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trans\BAADTbVT\"/>
    </mc:Choice>
  </mc:AlternateContent>
  <xr:revisionPtr revIDLastSave="0" documentId="8_{9E31C6DD-9A10-47BF-AB3E-178C53A03B98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<sst xmlns="http://schemas.openxmlformats.org/spreadsheetml/2006/main" count="55499" uniqueCount="1966">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</sst>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90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PA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66580000000000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203066000000000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513130000000000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1326000000000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583855295826558.25</v>
      </c>
      <c r="F21" s="26">
        <f t="shared" ref="F21" si="0">IFERROR(F101*F117*F132/F86,0)</f>
        <v>2216751151849.0864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2049477538724.0967</v>
      </c>
      <c r="F22" s="33">
        <f t="shared" si="1"/>
        <v>13423968844237.229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42579844673135.188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0</v>
      </c>
      <c r="G24" s="22"/>
    </row>
    <row r="25" spans="2:9">
      <c r="D25" s="21" t="s">
        <v>53</v>
      </c>
      <c r="E25" s="90">
        <f t="shared" si="1"/>
        <v>4399478285772.043</v>
      </c>
      <c r="F25" s="90">
        <f t="shared" si="1"/>
        <v>1072503453387.6891</v>
      </c>
      <c r="G25" s="22"/>
    </row>
    <row r="26" spans="2:9">
      <c r="D26" s="23" t="s">
        <v>43</v>
      </c>
      <c r="E26" s="28">
        <f t="shared" si="1"/>
        <v>2097458973611.6743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16672762496060.334</v>
      </c>
      <c r="F27" s="29">
        <f t="shared" si="1"/>
        <v>14843415218114.531</v>
      </c>
      <c r="G27" s="20"/>
    </row>
    <row r="28" spans="2:9">
      <c r="D28" s="21" t="s">
        <v>50</v>
      </c>
      <c r="E28" s="33">
        <f t="shared" si="1"/>
        <v>1457094885519.1724</v>
      </c>
      <c r="F28" s="33">
        <f t="shared" si="1"/>
        <v>186553744660381.34</v>
      </c>
      <c r="G28" s="22"/>
    </row>
    <row r="29" spans="2:9">
      <c r="D29" s="21" t="s">
        <v>73</v>
      </c>
      <c r="E29" s="33"/>
      <c r="F29" s="33"/>
      <c r="G29" s="22">
        <f t="shared" si="1"/>
        <v>10413944598979.199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15775349218276.758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61579919944.364906</v>
      </c>
      <c r="G31" s="24"/>
      <c r="H31" s="37"/>
      <c r="I31" s="37"/>
    </row>
    <row r="32" spans="2:9">
      <c r="D32" s="91" t="s">
        <v>1541</v>
      </c>
      <c r="E32" s="92">
        <f>SUM(E21:E31)</f>
        <v>610531568006245.5</v>
      </c>
      <c r="F32" s="92">
        <f t="shared" ref="F32:G32" si="2">SUM(F21:F31)</f>
        <v>233947312466191</v>
      </c>
      <c r="G32" s="92">
        <f t="shared" si="2"/>
        <v>52993789272114.391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0.95630648179781863</v>
      </c>
      <c r="F37" s="94">
        <f t="shared" ref="F37:G37" si="3">F21/F$32</f>
        <v>9.4754290121175939E-3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3.3568739867405697E-3</v>
      </c>
      <c r="F38" s="110">
        <f t="shared" ref="F38:G47" si="5">F22/F$32</f>
        <v>5.738030799638786E-2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0.80348745122743892</v>
      </c>
    </row>
    <row r="40" spans="3:41">
      <c r="D40" s="21" t="s">
        <v>54</v>
      </c>
      <c r="E40" s="37">
        <f t="shared" si="4"/>
        <v>0</v>
      </c>
      <c r="F40" s="110">
        <f>F24/F$32</f>
        <v>0</v>
      </c>
      <c r="G40" s="96">
        <f t="shared" si="5"/>
        <v>0</v>
      </c>
    </row>
    <row r="41" spans="3:41">
      <c r="D41" s="21" t="s">
        <v>53</v>
      </c>
      <c r="E41" s="110">
        <f t="shared" si="4"/>
        <v>7.2059800284185113E-3</v>
      </c>
      <c r="F41" s="37">
        <f t="shared" si="5"/>
        <v>4.5843803123093467E-3</v>
      </c>
      <c r="G41" s="96">
        <f t="shared" si="5"/>
        <v>0</v>
      </c>
    </row>
    <row r="42" spans="3:41">
      <c r="D42" s="23" t="s">
        <v>43</v>
      </c>
      <c r="E42" s="113">
        <f t="shared" si="4"/>
        <v>3.4354635919337396E-3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2.7308600193282354E-2</v>
      </c>
      <c r="F43" s="94">
        <f t="shared" si="5"/>
        <v>6.34476842740377E-2</v>
      </c>
      <c r="G43" s="95">
        <f t="shared" si="5"/>
        <v>0</v>
      </c>
    </row>
    <row r="44" spans="3:41">
      <c r="D44" s="21" t="s">
        <v>50</v>
      </c>
      <c r="E44" s="37">
        <f t="shared" si="4"/>
        <v>2.3866004018063599E-3</v>
      </c>
      <c r="F44" s="110">
        <f t="shared" si="5"/>
        <v>0.79741777194957619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0.196512548772561</v>
      </c>
    </row>
    <row r="46" spans="3:41">
      <c r="D46" s="21" t="s">
        <v>55</v>
      </c>
      <c r="E46" s="37">
        <f t="shared" si="4"/>
        <v>0</v>
      </c>
      <c r="F46" s="110">
        <f t="shared" si="5"/>
        <v>6.7431205137509498E-2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2.6322131806179289E-4</v>
      </c>
      <c r="G47" s="98">
        <f t="shared" si="5"/>
        <v>0</v>
      </c>
    </row>
    <row r="48" spans="3:41">
      <c r="D48" s="91" t="s">
        <v>1541</v>
      </c>
      <c r="E48" s="93">
        <f>SUM(E37:E47)</f>
        <v>1.0000000000000002</v>
      </c>
      <c r="F48" s="93">
        <f t="shared" ref="F48:G48" si="6">SUM(F37:F47)</f>
        <v>1</v>
      </c>
      <c r="G48" s="93">
        <f t="shared" si="6"/>
        <v>0.99999999999999989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490709545004914.69</v>
      </c>
      <c r="F53" s="89">
        <f>F37*$E$12</f>
        <v>1924137467774.6714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1722512748816.1885</v>
      </c>
      <c r="F54" s="100">
        <f t="shared" ref="F54:F62" si="8">F38*$E$12</f>
        <v>11651989623594.498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53496194502722.883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0</v>
      </c>
      <c r="G56" s="101">
        <f t="shared" si="9"/>
        <v>0</v>
      </c>
    </row>
    <row r="57" spans="3:41">
      <c r="D57" s="21" t="s">
        <v>53</v>
      </c>
      <c r="E57" s="100">
        <f t="shared" si="7"/>
        <v>3697604531982.3906</v>
      </c>
      <c r="F57" s="100">
        <f t="shared" si="8"/>
        <v>930931772499.40979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1762839432928.9597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14012862017178.975</v>
      </c>
      <c r="F59" s="89">
        <f t="shared" si="8"/>
        <v>12884067454791.74</v>
      </c>
      <c r="G59" s="99">
        <f t="shared" si="9"/>
        <v>0</v>
      </c>
    </row>
    <row r="60" spans="3:41">
      <c r="D60" s="21" t="s">
        <v>50</v>
      </c>
      <c r="E60" s="100">
        <f t="shared" si="7"/>
        <v>1224636264178.8975</v>
      </c>
      <c r="F60" s="100">
        <f t="shared" si="8"/>
        <v>161928437278712.63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13083805497277.111</v>
      </c>
    </row>
    <row r="62" spans="3:41">
      <c r="D62" s="21" t="s">
        <v>55</v>
      </c>
      <c r="E62" s="100">
        <f t="shared" si="7"/>
        <v>0</v>
      </c>
      <c r="F62" s="100">
        <f t="shared" si="8"/>
        <v>13692985102453.504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1379451300173.5361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9542.6319052193576</v>
      </c>
      <c r="F69" s="104">
        <f t="shared" si="10"/>
        <v>9855.2590311683798</v>
      </c>
      <c r="G69" s="105">
        <f t="shared" si="10"/>
        <v>0</v>
      </c>
    </row>
    <row r="70" spans="2:41">
      <c r="D70" s="21" t="s">
        <v>51</v>
      </c>
      <c r="E70" s="78">
        <f t="shared" si="10"/>
        <v>13750.836762488454</v>
      </c>
      <c r="F70" s="117">
        <f t="shared" si="10"/>
        <v>14201.329312043854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860619.71348780103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0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163.05007835234767</v>
      </c>
      <c r="F73" s="78">
        <f t="shared" si="10"/>
        <v>168.39177840819673</v>
      </c>
      <c r="G73" s="106">
        <f t="shared" si="10"/>
        <v>0</v>
      </c>
    </row>
    <row r="74" spans="2:41">
      <c r="D74" s="23" t="s">
        <v>43</v>
      </c>
      <c r="E74" s="119">
        <f t="shared" si="10"/>
        <v>7393.5646353897027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8234.0289567935561</v>
      </c>
      <c r="F75" s="104">
        <f t="shared" si="10"/>
        <v>8503.7848096139369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29580.141791808641</v>
      </c>
      <c r="F76" s="117">
        <f t="shared" si="10"/>
        <v>30549.219799363316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1117445.1005178571</v>
      </c>
    </row>
    <row r="78" spans="2:41">
      <c r="D78" s="21" t="s">
        <v>55</v>
      </c>
      <c r="E78" s="78">
        <f t="shared" si="10"/>
        <v>0</v>
      </c>
      <c r="F78" s="117">
        <f t="shared" si="10"/>
        <v>14760.320576450442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1131283.7025227202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9487520</v>
      </c>
      <c r="F101" s="76">
        <f>SUMIFS('all_csv_SYVbT-passenger'!F:F,'all_csv_SYVbT-passenger'!$B:$B,$D101,'all_csv_SYVbT-passenger'!$A:$A,About!$B$2)</f>
        <v>40866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5034</v>
      </c>
      <c r="F102" s="78">
        <f>SUMIFS('all_csv_SYVbT-passenger'!F:F,'all_csv_SYVbT-passenger'!$B:$B,$D102,'all_csv_SYVbT-passenger'!$A:$A,About!$B$2)</f>
        <v>39992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170</v>
      </c>
      <c r="G103" s="79">
        <f>F103</f>
        <v>170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0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269239</v>
      </c>
      <c r="F105" s="78">
        <f>SUMIFS('all_csv_SYVbT-passenger'!F:F,'all_csv_SYVbT-passenger'!$B:$B,$D105,'all_csv_SYVbT-passenger'!$A:$A,About!$B$2)</f>
        <v>65635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342114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158818</v>
      </c>
      <c r="F107" s="194">
        <f>SUMIFS('all_csv_SYVbT-freight'!F:F,'all_csv_SYVbT-freight'!$B:$B,$D107,'all_csv_SYVbT-freight'!$A:$A,About!$B$2)</f>
        <v>135738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1739</v>
      </c>
      <c r="F108" s="197">
        <f>SUMIFS('all_csv_SYVbT-freight'!F:F,'all_csv_SYVbT-freight'!$B:$B,$D108,'all_csv_SYVbT-freight'!$A:$A,About!$B$2)</f>
        <v>248661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26</v>
      </c>
      <c r="G109" s="198">
        <f>F109</f>
        <v>26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891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3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490709545004914.69</v>
      </c>
      <c r="F149" s="26">
        <f t="shared" si="18"/>
        <v>1924137467774.6714</v>
      </c>
      <c r="G149" s="20"/>
    </row>
    <row r="150" spans="2:7">
      <c r="D150" s="21" t="s">
        <v>51</v>
      </c>
      <c r="E150" s="33">
        <f t="shared" si="18"/>
        <v>1722512748816.1885</v>
      </c>
      <c r="F150" s="33">
        <f t="shared" si="18"/>
        <v>11651989623594.498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53496194502722.875</v>
      </c>
    </row>
    <row r="152" spans="2:7">
      <c r="D152" s="21" t="s">
        <v>54</v>
      </c>
      <c r="E152" s="33">
        <f t="shared" si="18"/>
        <v>0</v>
      </c>
      <c r="F152" s="33">
        <f>F120*F104*F72/F89</f>
        <v>0</v>
      </c>
      <c r="G152" s="22"/>
    </row>
    <row r="153" spans="2:7">
      <c r="D153" s="21" t="s">
        <v>53</v>
      </c>
      <c r="E153" s="90">
        <f t="shared" si="18"/>
        <v>3697604531982.3906</v>
      </c>
      <c r="F153" s="90">
        <f t="shared" si="18"/>
        <v>930931772499.40979</v>
      </c>
      <c r="G153" s="22"/>
    </row>
    <row r="154" spans="2:7">
      <c r="D154" s="23" t="s">
        <v>43</v>
      </c>
      <c r="E154" s="28">
        <f t="shared" si="18"/>
        <v>1762839432928.96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14012862017178.975</v>
      </c>
      <c r="F155" s="29">
        <f t="shared" si="18"/>
        <v>12884067454791.74</v>
      </c>
      <c r="G155" s="20"/>
    </row>
    <row r="156" spans="2:7">
      <c r="D156" s="21" t="s">
        <v>50</v>
      </c>
      <c r="E156" s="33">
        <f t="shared" si="18"/>
        <v>1224636264178.8975</v>
      </c>
      <c r="F156" s="33">
        <f t="shared" si="18"/>
        <v>161928437278712.63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13083805497277.111</v>
      </c>
    </row>
    <row r="158" spans="2:7">
      <c r="D158" s="21" t="s">
        <v>55</v>
      </c>
      <c r="E158" s="33">
        <f t="shared" si="18"/>
        <v>0</v>
      </c>
      <c r="F158" s="33">
        <f t="shared" si="18"/>
        <v>13692985102453.502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1379451300173.5361</v>
      </c>
      <c r="G159" s="24"/>
    </row>
    <row r="160" spans="2:7">
      <c r="D160" s="91" t="s">
        <v>1548</v>
      </c>
      <c r="E160" s="92">
        <f>SUM(E149:E159)</f>
        <v>513130000000000.06</v>
      </c>
      <c r="F160" s="92">
        <f>SUM(F149:F159)</f>
        <v>204391999999999.97</v>
      </c>
      <c r="G160" s="92">
        <f t="shared" ref="G160" si="19">SUM(G149:G159)</f>
        <v>66579999999999.984</v>
      </c>
    </row>
    <row r="161" spans="5:7">
      <c r="E161" s="37">
        <f>E160/E13</f>
        <v>1.0000000000000002</v>
      </c>
      <c r="F161" s="37">
        <f>F160/SUM(E12,E14)</f>
        <v>0.99999999999999989</v>
      </c>
      <c r="G161" s="37">
        <f>G160/E11</f>
        <v>0.99999999999999978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9542.6319052193576</v>
      </c>
    </row>
    <row r="3" spans="1:2">
      <c r="A3" t="s">
        <v>39</v>
      </c>
      <c r="B3" s="8">
        <f>'BAADTbVT-passengers'!D3</f>
        <v>14201.329312043854</v>
      </c>
    </row>
    <row r="4" spans="1:2">
      <c r="A4" t="s">
        <v>40</v>
      </c>
      <c r="B4" s="8">
        <f>'BAADTbVT-passengers'!D4</f>
        <v>860619.71348780103</v>
      </c>
    </row>
    <row r="5" spans="1:2">
      <c r="A5" t="s">
        <v>41</v>
      </c>
      <c r="B5" s="8">
        <f>SUMIFS('psgr rail calcs'!M:M,'psgr rail calcs'!C:C,About!B2)</f>
        <v>211901.47727272726</v>
      </c>
    </row>
    <row r="6" spans="1:2">
      <c r="A6" t="s">
        <v>42</v>
      </c>
      <c r="B6" s="8">
        <f>'BAADTbVT-passengers'!D6</f>
        <v>163.05007835234767</v>
      </c>
    </row>
    <row r="7" spans="1:2">
      <c r="A7" t="s">
        <v>43</v>
      </c>
      <c r="B7" s="8">
        <f>'BAADTbVT-passengers'!D7</f>
        <v>7393.5646353897027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8234.0289567935561</v>
      </c>
    </row>
    <row r="3" spans="1:2">
      <c r="A3" t="s">
        <v>39</v>
      </c>
      <c r="B3">
        <f>'BAADTbVT-freight'!D3</f>
        <v>30549.219799363316</v>
      </c>
    </row>
    <row r="4" spans="1:2">
      <c r="A4" t="s">
        <v>40</v>
      </c>
      <c r="B4">
        <f>'BAADTbVT-freight'!D4</f>
        <v>1117445.1005178571</v>
      </c>
    </row>
    <row r="5" spans="1:2">
      <c r="A5" t="s">
        <v>41</v>
      </c>
      <c r="B5">
        <f>'BAADTbVT-freight'!D5</f>
        <v>14760.320576450442</v>
      </c>
    </row>
    <row r="6" spans="1:2">
      <c r="A6" t="s">
        <v>42</v>
      </c>
      <c r="B6" s="212">
        <f>'BAADTbVT-freight'!D6</f>
        <v>1131283.7025227202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9542.6319052193576</v>
      </c>
      <c r="C2" s="8">
        <f t="shared" ref="C2:L3" si="0">$B2</f>
        <v>9542.6319052193576</v>
      </c>
      <c r="D2" s="8">
        <f t="shared" si="0"/>
        <v>9542.6319052193576</v>
      </c>
      <c r="E2" s="8">
        <f t="shared" si="0"/>
        <v>9542.6319052193576</v>
      </c>
      <c r="F2" s="8">
        <f t="shared" si="0"/>
        <v>9542.6319052193576</v>
      </c>
      <c r="G2" s="8">
        <f t="shared" si="0"/>
        <v>9542.6319052193576</v>
      </c>
      <c r="H2" s="8">
        <f t="shared" si="0"/>
        <v>9542.6319052193576</v>
      </c>
      <c r="I2" s="8">
        <f t="shared" si="0"/>
        <v>9542.6319052193576</v>
      </c>
      <c r="J2" s="8">
        <f t="shared" si="0"/>
        <v>9542.6319052193576</v>
      </c>
      <c r="K2" s="8">
        <f t="shared" si="0"/>
        <v>9542.6319052193576</v>
      </c>
      <c r="L2" s="8">
        <f t="shared" si="0"/>
        <v>9542.6319052193576</v>
      </c>
      <c r="M2" s="8">
        <f t="shared" ref="M2:V3" si="1">$B2</f>
        <v>9542.6319052193576</v>
      </c>
      <c r="N2" s="8">
        <f t="shared" si="1"/>
        <v>9542.6319052193576</v>
      </c>
      <c r="O2" s="8">
        <f t="shared" si="1"/>
        <v>9542.6319052193576</v>
      </c>
      <c r="P2" s="8">
        <f t="shared" si="1"/>
        <v>9542.6319052193576</v>
      </c>
      <c r="Q2" s="8">
        <f t="shared" si="1"/>
        <v>9542.6319052193576</v>
      </c>
      <c r="R2" s="8">
        <f t="shared" si="1"/>
        <v>9542.6319052193576</v>
      </c>
      <c r="S2" s="8">
        <f t="shared" si="1"/>
        <v>9542.6319052193576</v>
      </c>
      <c r="T2" s="8">
        <f t="shared" si="1"/>
        <v>9542.6319052193576</v>
      </c>
      <c r="U2" s="8">
        <f t="shared" si="1"/>
        <v>9542.6319052193576</v>
      </c>
      <c r="V2" s="8">
        <f t="shared" si="1"/>
        <v>9542.6319052193576</v>
      </c>
      <c r="W2" s="8">
        <f t="shared" ref="W2:AB3" si="2">$B2</f>
        <v>9542.6319052193576</v>
      </c>
      <c r="X2" s="8">
        <f t="shared" si="2"/>
        <v>9542.6319052193576</v>
      </c>
      <c r="Y2" s="8">
        <f t="shared" si="2"/>
        <v>9542.6319052193576</v>
      </c>
      <c r="Z2" s="8">
        <f t="shared" si="2"/>
        <v>9542.6319052193576</v>
      </c>
      <c r="AA2" s="8">
        <f t="shared" si="2"/>
        <v>9542.6319052193576</v>
      </c>
      <c r="AB2" s="8">
        <f t="shared" si="2"/>
        <v>9542.6319052193576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14201.329312043854</v>
      </c>
      <c r="C3" s="8">
        <f t="shared" si="0"/>
        <v>14201.329312043854</v>
      </c>
      <c r="D3" s="8">
        <f t="shared" si="0"/>
        <v>14201.329312043854</v>
      </c>
      <c r="E3" s="8">
        <f t="shared" si="0"/>
        <v>14201.329312043854</v>
      </c>
      <c r="F3" s="8">
        <f t="shared" si="0"/>
        <v>14201.329312043854</v>
      </c>
      <c r="G3" s="8">
        <f t="shared" si="0"/>
        <v>14201.329312043854</v>
      </c>
      <c r="H3" s="8">
        <f t="shared" si="0"/>
        <v>14201.329312043854</v>
      </c>
      <c r="I3" s="8">
        <f t="shared" si="0"/>
        <v>14201.329312043854</v>
      </c>
      <c r="J3" s="8">
        <f t="shared" si="0"/>
        <v>14201.329312043854</v>
      </c>
      <c r="K3" s="8">
        <f t="shared" si="0"/>
        <v>14201.329312043854</v>
      </c>
      <c r="L3" s="8">
        <f t="shared" si="0"/>
        <v>14201.329312043854</v>
      </c>
      <c r="M3" s="8">
        <f t="shared" si="1"/>
        <v>14201.329312043854</v>
      </c>
      <c r="N3" s="8">
        <f t="shared" si="1"/>
        <v>14201.329312043854</v>
      </c>
      <c r="O3" s="8">
        <f t="shared" si="1"/>
        <v>14201.329312043854</v>
      </c>
      <c r="P3" s="8">
        <f t="shared" si="1"/>
        <v>14201.329312043854</v>
      </c>
      <c r="Q3" s="8">
        <f t="shared" si="1"/>
        <v>14201.329312043854</v>
      </c>
      <c r="R3" s="8">
        <f t="shared" si="1"/>
        <v>14201.329312043854</v>
      </c>
      <c r="S3" s="8">
        <f t="shared" si="1"/>
        <v>14201.329312043854</v>
      </c>
      <c r="T3" s="8">
        <f t="shared" si="1"/>
        <v>14201.329312043854</v>
      </c>
      <c r="U3" s="8">
        <f t="shared" si="1"/>
        <v>14201.329312043854</v>
      </c>
      <c r="V3" s="8">
        <f t="shared" si="1"/>
        <v>14201.329312043854</v>
      </c>
      <c r="W3" s="8">
        <f t="shared" si="2"/>
        <v>14201.329312043854</v>
      </c>
      <c r="X3" s="8">
        <f t="shared" si="2"/>
        <v>14201.329312043854</v>
      </c>
      <c r="Y3" s="8">
        <f t="shared" si="2"/>
        <v>14201.329312043854</v>
      </c>
      <c r="Z3" s="8">
        <f t="shared" si="2"/>
        <v>14201.329312043854</v>
      </c>
      <c r="AA3" s="8">
        <f t="shared" si="2"/>
        <v>14201.329312043854</v>
      </c>
      <c r="AB3" s="8">
        <f t="shared" si="2"/>
        <v>14201.329312043854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860619.71348780103</v>
      </c>
      <c r="C4" s="8">
        <f t="shared" ref="C4:AB4" si="3">$B$4</f>
        <v>860619.71348780103</v>
      </c>
      <c r="D4" s="8">
        <f t="shared" si="3"/>
        <v>860619.71348780103</v>
      </c>
      <c r="E4" s="8">
        <f t="shared" si="3"/>
        <v>860619.71348780103</v>
      </c>
      <c r="F4" s="8">
        <f t="shared" si="3"/>
        <v>860619.71348780103</v>
      </c>
      <c r="G4" s="8">
        <f t="shared" si="3"/>
        <v>860619.71348780103</v>
      </c>
      <c r="H4" s="8">
        <f t="shared" si="3"/>
        <v>860619.71348780103</v>
      </c>
      <c r="I4" s="8">
        <f t="shared" si="3"/>
        <v>860619.71348780103</v>
      </c>
      <c r="J4" s="8">
        <f t="shared" si="3"/>
        <v>860619.71348780103</v>
      </c>
      <c r="K4" s="8">
        <f t="shared" si="3"/>
        <v>860619.71348780103</v>
      </c>
      <c r="L4" s="8">
        <f t="shared" si="3"/>
        <v>860619.71348780103</v>
      </c>
      <c r="M4" s="8">
        <f t="shared" si="3"/>
        <v>860619.71348780103</v>
      </c>
      <c r="N4" s="8">
        <f t="shared" si="3"/>
        <v>860619.71348780103</v>
      </c>
      <c r="O4" s="8">
        <f t="shared" si="3"/>
        <v>860619.71348780103</v>
      </c>
      <c r="P4" s="8">
        <f t="shared" si="3"/>
        <v>860619.71348780103</v>
      </c>
      <c r="Q4" s="8">
        <f t="shared" si="3"/>
        <v>860619.71348780103</v>
      </c>
      <c r="R4" s="8">
        <f t="shared" si="3"/>
        <v>860619.71348780103</v>
      </c>
      <c r="S4" s="8">
        <f t="shared" si="3"/>
        <v>860619.71348780103</v>
      </c>
      <c r="T4" s="8">
        <f t="shared" si="3"/>
        <v>860619.71348780103</v>
      </c>
      <c r="U4" s="8">
        <f t="shared" si="3"/>
        <v>860619.71348780103</v>
      </c>
      <c r="V4" s="8">
        <f t="shared" si="3"/>
        <v>860619.71348780103</v>
      </c>
      <c r="W4" s="8">
        <f t="shared" si="3"/>
        <v>860619.71348780103</v>
      </c>
      <c r="X4" s="8">
        <f t="shared" si="3"/>
        <v>860619.71348780103</v>
      </c>
      <c r="Y4" s="8">
        <f t="shared" si="3"/>
        <v>860619.71348780103</v>
      </c>
      <c r="Z4" s="8">
        <f t="shared" si="3"/>
        <v>860619.71348780103</v>
      </c>
      <c r="AA4" s="8">
        <f t="shared" si="3"/>
        <v>860619.71348780103</v>
      </c>
      <c r="AB4" s="8">
        <f t="shared" si="3"/>
        <v>860619.71348780103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211901.47727272726</v>
      </c>
      <c r="C5" s="8">
        <f t="shared" ref="C5:L7" si="4">$B5</f>
        <v>211901.47727272726</v>
      </c>
      <c r="D5" s="8">
        <f t="shared" si="4"/>
        <v>211901.47727272726</v>
      </c>
      <c r="E5" s="8">
        <f t="shared" si="4"/>
        <v>211901.47727272726</v>
      </c>
      <c r="F5" s="8">
        <f t="shared" si="4"/>
        <v>211901.47727272726</v>
      </c>
      <c r="G5" s="8">
        <f t="shared" si="4"/>
        <v>211901.47727272726</v>
      </c>
      <c r="H5" s="8">
        <f t="shared" si="4"/>
        <v>211901.47727272726</v>
      </c>
      <c r="I5" s="8">
        <f t="shared" si="4"/>
        <v>211901.47727272726</v>
      </c>
      <c r="J5" s="8">
        <f t="shared" si="4"/>
        <v>211901.47727272726</v>
      </c>
      <c r="K5" s="8">
        <f t="shared" si="4"/>
        <v>211901.47727272726</v>
      </c>
      <c r="L5" s="8">
        <f t="shared" si="4"/>
        <v>211901.47727272726</v>
      </c>
      <c r="M5" s="8">
        <f t="shared" ref="M5:V7" si="5">$B5</f>
        <v>211901.47727272726</v>
      </c>
      <c r="N5" s="8">
        <f t="shared" si="5"/>
        <v>211901.47727272726</v>
      </c>
      <c r="O5" s="8">
        <f t="shared" si="5"/>
        <v>211901.47727272726</v>
      </c>
      <c r="P5" s="8">
        <f t="shared" si="5"/>
        <v>211901.47727272726</v>
      </c>
      <c r="Q5" s="8">
        <f t="shared" si="5"/>
        <v>211901.47727272726</v>
      </c>
      <c r="R5" s="8">
        <f t="shared" si="5"/>
        <v>211901.47727272726</v>
      </c>
      <c r="S5" s="8">
        <f t="shared" si="5"/>
        <v>211901.47727272726</v>
      </c>
      <c r="T5" s="8">
        <f t="shared" si="5"/>
        <v>211901.47727272726</v>
      </c>
      <c r="U5" s="8">
        <f t="shared" si="5"/>
        <v>211901.47727272726</v>
      </c>
      <c r="V5" s="8">
        <f t="shared" si="5"/>
        <v>211901.47727272726</v>
      </c>
      <c r="W5" s="8">
        <f t="shared" ref="W5:AB7" si="6">$B5</f>
        <v>211901.47727272726</v>
      </c>
      <c r="X5" s="8">
        <f t="shared" si="6"/>
        <v>211901.47727272726</v>
      </c>
      <c r="Y5" s="8">
        <f t="shared" si="6"/>
        <v>211901.47727272726</v>
      </c>
      <c r="Z5" s="8">
        <f t="shared" si="6"/>
        <v>211901.47727272726</v>
      </c>
      <c r="AA5" s="8">
        <f t="shared" si="6"/>
        <v>211901.47727272726</v>
      </c>
      <c r="AB5" s="8">
        <f t="shared" si="6"/>
        <v>211901.47727272726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163.05007835234767</v>
      </c>
      <c r="C6" s="8">
        <f t="shared" si="4"/>
        <v>163.05007835234767</v>
      </c>
      <c r="D6" s="8">
        <f t="shared" si="4"/>
        <v>163.05007835234767</v>
      </c>
      <c r="E6" s="8">
        <f t="shared" si="4"/>
        <v>163.05007835234767</v>
      </c>
      <c r="F6" s="8">
        <f t="shared" si="4"/>
        <v>163.05007835234767</v>
      </c>
      <c r="G6" s="8">
        <f t="shared" si="4"/>
        <v>163.05007835234767</v>
      </c>
      <c r="H6" s="8">
        <f t="shared" si="4"/>
        <v>163.05007835234767</v>
      </c>
      <c r="I6" s="8">
        <f t="shared" si="4"/>
        <v>163.05007835234767</v>
      </c>
      <c r="J6" s="8">
        <f t="shared" si="4"/>
        <v>163.05007835234767</v>
      </c>
      <c r="K6" s="8">
        <f t="shared" si="4"/>
        <v>163.05007835234767</v>
      </c>
      <c r="L6" s="8">
        <f t="shared" si="4"/>
        <v>163.05007835234767</v>
      </c>
      <c r="M6" s="8">
        <f t="shared" si="5"/>
        <v>163.05007835234767</v>
      </c>
      <c r="N6" s="8">
        <f t="shared" si="5"/>
        <v>163.05007835234767</v>
      </c>
      <c r="O6" s="8">
        <f t="shared" si="5"/>
        <v>163.05007835234767</v>
      </c>
      <c r="P6" s="8">
        <f t="shared" si="5"/>
        <v>163.05007835234767</v>
      </c>
      <c r="Q6" s="8">
        <f t="shared" si="5"/>
        <v>163.05007835234767</v>
      </c>
      <c r="R6" s="8">
        <f t="shared" si="5"/>
        <v>163.05007835234767</v>
      </c>
      <c r="S6" s="8">
        <f t="shared" si="5"/>
        <v>163.05007835234767</v>
      </c>
      <c r="T6" s="8">
        <f t="shared" si="5"/>
        <v>163.05007835234767</v>
      </c>
      <c r="U6" s="8">
        <f t="shared" si="5"/>
        <v>163.05007835234767</v>
      </c>
      <c r="V6" s="8">
        <f t="shared" si="5"/>
        <v>163.05007835234767</v>
      </c>
      <c r="W6" s="8">
        <f t="shared" si="6"/>
        <v>163.05007835234767</v>
      </c>
      <c r="X6" s="8">
        <f t="shared" si="6"/>
        <v>163.05007835234767</v>
      </c>
      <c r="Y6" s="8">
        <f t="shared" si="6"/>
        <v>163.05007835234767</v>
      </c>
      <c r="Z6" s="8">
        <f t="shared" si="6"/>
        <v>163.05007835234767</v>
      </c>
      <c r="AA6" s="8">
        <f t="shared" si="6"/>
        <v>163.05007835234767</v>
      </c>
      <c r="AB6" s="8">
        <f t="shared" si="6"/>
        <v>163.05007835234767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7393.5646353897027</v>
      </c>
      <c r="C7" s="8">
        <f t="shared" si="4"/>
        <v>7393.5646353897027</v>
      </c>
      <c r="D7" s="8">
        <f t="shared" si="4"/>
        <v>7393.5646353897027</v>
      </c>
      <c r="E7" s="8">
        <f t="shared" si="4"/>
        <v>7393.5646353897027</v>
      </c>
      <c r="F7" s="8">
        <f t="shared" si="4"/>
        <v>7393.5646353897027</v>
      </c>
      <c r="G7" s="8">
        <f t="shared" si="4"/>
        <v>7393.5646353897027</v>
      </c>
      <c r="H7" s="8">
        <f t="shared" si="4"/>
        <v>7393.5646353897027</v>
      </c>
      <c r="I7" s="8">
        <f t="shared" si="4"/>
        <v>7393.5646353897027</v>
      </c>
      <c r="J7" s="8">
        <f t="shared" si="4"/>
        <v>7393.5646353897027</v>
      </c>
      <c r="K7" s="8">
        <f t="shared" si="4"/>
        <v>7393.5646353897027</v>
      </c>
      <c r="L7" s="8">
        <f t="shared" si="4"/>
        <v>7393.5646353897027</v>
      </c>
      <c r="M7" s="8">
        <f t="shared" si="5"/>
        <v>7393.5646353897027</v>
      </c>
      <c r="N7" s="8">
        <f t="shared" si="5"/>
        <v>7393.5646353897027</v>
      </c>
      <c r="O7" s="8">
        <f t="shared" si="5"/>
        <v>7393.5646353897027</v>
      </c>
      <c r="P7" s="8">
        <f t="shared" si="5"/>
        <v>7393.5646353897027</v>
      </c>
      <c r="Q7" s="8">
        <f t="shared" si="5"/>
        <v>7393.5646353897027</v>
      </c>
      <c r="R7" s="8">
        <f t="shared" si="5"/>
        <v>7393.5646353897027</v>
      </c>
      <c r="S7" s="8">
        <f t="shared" si="5"/>
        <v>7393.5646353897027</v>
      </c>
      <c r="T7" s="8">
        <f t="shared" si="5"/>
        <v>7393.5646353897027</v>
      </c>
      <c r="U7" s="8">
        <f t="shared" si="5"/>
        <v>7393.5646353897027</v>
      </c>
      <c r="V7" s="8">
        <f t="shared" si="5"/>
        <v>7393.5646353897027</v>
      </c>
      <c r="W7" s="8">
        <f t="shared" si="6"/>
        <v>7393.5646353897027</v>
      </c>
      <c r="X7" s="8">
        <f t="shared" si="6"/>
        <v>7393.5646353897027</v>
      </c>
      <c r="Y7" s="8">
        <f t="shared" si="6"/>
        <v>7393.5646353897027</v>
      </c>
      <c r="Z7" s="8">
        <f t="shared" si="6"/>
        <v>7393.5646353897027</v>
      </c>
      <c r="AA7" s="8">
        <f t="shared" si="6"/>
        <v>7393.5646353897027</v>
      </c>
      <c r="AB7" s="8">
        <f t="shared" si="6"/>
        <v>7393.5646353897027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8234.0289567935561</v>
      </c>
      <c r="C2" s="8">
        <f t="shared" ref="C2:AB2" si="0">B2</f>
        <v>8234.0289567935561</v>
      </c>
      <c r="D2" s="8">
        <f t="shared" si="0"/>
        <v>8234.0289567935561</v>
      </c>
      <c r="E2" s="8">
        <f t="shared" si="0"/>
        <v>8234.0289567935561</v>
      </c>
      <c r="F2" s="8">
        <f t="shared" si="0"/>
        <v>8234.0289567935561</v>
      </c>
      <c r="G2" s="8">
        <f t="shared" si="0"/>
        <v>8234.0289567935561</v>
      </c>
      <c r="H2" s="8">
        <f t="shared" si="0"/>
        <v>8234.0289567935561</v>
      </c>
      <c r="I2" s="8">
        <f t="shared" si="0"/>
        <v>8234.0289567935561</v>
      </c>
      <c r="J2" s="8">
        <f t="shared" si="0"/>
        <v>8234.0289567935561</v>
      </c>
      <c r="K2" s="8">
        <f t="shared" si="0"/>
        <v>8234.0289567935561</v>
      </c>
      <c r="L2" s="8">
        <f t="shared" si="0"/>
        <v>8234.0289567935561</v>
      </c>
      <c r="M2" s="8">
        <f t="shared" si="0"/>
        <v>8234.0289567935561</v>
      </c>
      <c r="N2" s="8">
        <f t="shared" si="0"/>
        <v>8234.0289567935561</v>
      </c>
      <c r="O2" s="8">
        <f t="shared" si="0"/>
        <v>8234.0289567935561</v>
      </c>
      <c r="P2" s="8">
        <f t="shared" si="0"/>
        <v>8234.0289567935561</v>
      </c>
      <c r="Q2" s="8">
        <f t="shared" si="0"/>
        <v>8234.0289567935561</v>
      </c>
      <c r="R2" s="8">
        <f t="shared" si="0"/>
        <v>8234.0289567935561</v>
      </c>
      <c r="S2" s="8">
        <f t="shared" si="0"/>
        <v>8234.0289567935561</v>
      </c>
      <c r="T2" s="8">
        <f t="shared" si="0"/>
        <v>8234.0289567935561</v>
      </c>
      <c r="U2" s="8">
        <f t="shared" si="0"/>
        <v>8234.0289567935561</v>
      </c>
      <c r="V2" s="8">
        <f t="shared" si="0"/>
        <v>8234.0289567935561</v>
      </c>
      <c r="W2" s="8">
        <f t="shared" si="0"/>
        <v>8234.0289567935561</v>
      </c>
      <c r="X2" s="8">
        <f t="shared" si="0"/>
        <v>8234.0289567935561</v>
      </c>
      <c r="Y2" s="8">
        <f t="shared" si="0"/>
        <v>8234.0289567935561</v>
      </c>
      <c r="Z2" s="8">
        <f t="shared" si="0"/>
        <v>8234.0289567935561</v>
      </c>
      <c r="AA2" s="8">
        <f t="shared" si="0"/>
        <v>8234.0289567935561</v>
      </c>
      <c r="AB2" s="8">
        <f t="shared" si="0"/>
        <v>8234.0289567935561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30549.219799363316</v>
      </c>
      <c r="C3" s="8">
        <f t="shared" ref="C3:AB3" si="1">B3</f>
        <v>30549.219799363316</v>
      </c>
      <c r="D3" s="8">
        <f t="shared" si="1"/>
        <v>30549.219799363316</v>
      </c>
      <c r="E3" s="8">
        <f t="shared" si="1"/>
        <v>30549.219799363316</v>
      </c>
      <c r="F3" s="8">
        <f t="shared" si="1"/>
        <v>30549.219799363316</v>
      </c>
      <c r="G3" s="8">
        <f t="shared" si="1"/>
        <v>30549.219799363316</v>
      </c>
      <c r="H3" s="8">
        <f t="shared" si="1"/>
        <v>30549.219799363316</v>
      </c>
      <c r="I3" s="8">
        <f t="shared" si="1"/>
        <v>30549.219799363316</v>
      </c>
      <c r="J3" s="8">
        <f t="shared" si="1"/>
        <v>30549.219799363316</v>
      </c>
      <c r="K3" s="8">
        <f t="shared" si="1"/>
        <v>30549.219799363316</v>
      </c>
      <c r="L3" s="8">
        <f t="shared" si="1"/>
        <v>30549.219799363316</v>
      </c>
      <c r="M3" s="8">
        <f t="shared" si="1"/>
        <v>30549.219799363316</v>
      </c>
      <c r="N3" s="8">
        <f t="shared" si="1"/>
        <v>30549.219799363316</v>
      </c>
      <c r="O3" s="8">
        <f t="shared" si="1"/>
        <v>30549.219799363316</v>
      </c>
      <c r="P3" s="8">
        <f t="shared" si="1"/>
        <v>30549.219799363316</v>
      </c>
      <c r="Q3" s="8">
        <f t="shared" si="1"/>
        <v>30549.219799363316</v>
      </c>
      <c r="R3" s="8">
        <f t="shared" si="1"/>
        <v>30549.219799363316</v>
      </c>
      <c r="S3" s="8">
        <f t="shared" si="1"/>
        <v>30549.219799363316</v>
      </c>
      <c r="T3" s="8">
        <f t="shared" si="1"/>
        <v>30549.219799363316</v>
      </c>
      <c r="U3" s="8">
        <f t="shared" si="1"/>
        <v>30549.219799363316</v>
      </c>
      <c r="V3" s="8">
        <f t="shared" si="1"/>
        <v>30549.219799363316</v>
      </c>
      <c r="W3" s="8">
        <f t="shared" si="1"/>
        <v>30549.219799363316</v>
      </c>
      <c r="X3" s="8">
        <f t="shared" si="1"/>
        <v>30549.219799363316</v>
      </c>
      <c r="Y3" s="8">
        <f t="shared" si="1"/>
        <v>30549.219799363316</v>
      </c>
      <c r="Z3" s="8">
        <f t="shared" si="1"/>
        <v>30549.219799363316</v>
      </c>
      <c r="AA3" s="8">
        <f t="shared" si="1"/>
        <v>30549.219799363316</v>
      </c>
      <c r="AB3" s="8">
        <f t="shared" si="1"/>
        <v>30549.219799363316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1117445.1005178571</v>
      </c>
      <c r="C4" s="8">
        <f t="shared" ref="C4:AB4" si="2">B4</f>
        <v>1117445.1005178571</v>
      </c>
      <c r="D4" s="8">
        <f t="shared" si="2"/>
        <v>1117445.1005178571</v>
      </c>
      <c r="E4" s="8">
        <f t="shared" si="2"/>
        <v>1117445.1005178571</v>
      </c>
      <c r="F4" s="8">
        <f t="shared" si="2"/>
        <v>1117445.1005178571</v>
      </c>
      <c r="G4" s="8">
        <f t="shared" si="2"/>
        <v>1117445.1005178571</v>
      </c>
      <c r="H4" s="8">
        <f t="shared" si="2"/>
        <v>1117445.1005178571</v>
      </c>
      <c r="I4" s="8">
        <f t="shared" si="2"/>
        <v>1117445.1005178571</v>
      </c>
      <c r="J4" s="8">
        <f t="shared" si="2"/>
        <v>1117445.1005178571</v>
      </c>
      <c r="K4" s="8">
        <f t="shared" si="2"/>
        <v>1117445.1005178571</v>
      </c>
      <c r="L4" s="8">
        <f t="shared" si="2"/>
        <v>1117445.1005178571</v>
      </c>
      <c r="M4" s="8">
        <f t="shared" si="2"/>
        <v>1117445.1005178571</v>
      </c>
      <c r="N4" s="8">
        <f t="shared" si="2"/>
        <v>1117445.1005178571</v>
      </c>
      <c r="O4" s="8">
        <f t="shared" si="2"/>
        <v>1117445.1005178571</v>
      </c>
      <c r="P4" s="8">
        <f t="shared" si="2"/>
        <v>1117445.1005178571</v>
      </c>
      <c r="Q4" s="8">
        <f t="shared" si="2"/>
        <v>1117445.1005178571</v>
      </c>
      <c r="R4" s="8">
        <f t="shared" si="2"/>
        <v>1117445.1005178571</v>
      </c>
      <c r="S4" s="8">
        <f t="shared" si="2"/>
        <v>1117445.1005178571</v>
      </c>
      <c r="T4" s="8">
        <f t="shared" si="2"/>
        <v>1117445.1005178571</v>
      </c>
      <c r="U4" s="8">
        <f t="shared" si="2"/>
        <v>1117445.1005178571</v>
      </c>
      <c r="V4" s="8">
        <f t="shared" si="2"/>
        <v>1117445.1005178571</v>
      </c>
      <c r="W4" s="8">
        <f t="shared" si="2"/>
        <v>1117445.1005178571</v>
      </c>
      <c r="X4" s="8">
        <f t="shared" si="2"/>
        <v>1117445.1005178571</v>
      </c>
      <c r="Y4" s="8">
        <f t="shared" si="2"/>
        <v>1117445.1005178571</v>
      </c>
      <c r="Z4" s="8">
        <f t="shared" si="2"/>
        <v>1117445.1005178571</v>
      </c>
      <c r="AA4" s="8">
        <f t="shared" si="2"/>
        <v>1117445.1005178571</v>
      </c>
      <c r="AB4" s="8">
        <f t="shared" si="2"/>
        <v>1117445.1005178571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14760.320576450442</v>
      </c>
      <c r="C5" s="8">
        <f t="shared" ref="C5:AB5" si="3">B5</f>
        <v>14760.320576450442</v>
      </c>
      <c r="D5" s="8">
        <f t="shared" si="3"/>
        <v>14760.320576450442</v>
      </c>
      <c r="E5" s="8">
        <f t="shared" si="3"/>
        <v>14760.320576450442</v>
      </c>
      <c r="F5" s="8">
        <f t="shared" si="3"/>
        <v>14760.320576450442</v>
      </c>
      <c r="G5" s="8">
        <f t="shared" si="3"/>
        <v>14760.320576450442</v>
      </c>
      <c r="H5" s="8">
        <f t="shared" si="3"/>
        <v>14760.320576450442</v>
      </c>
      <c r="I5" s="8">
        <f t="shared" si="3"/>
        <v>14760.320576450442</v>
      </c>
      <c r="J5" s="8">
        <f t="shared" si="3"/>
        <v>14760.320576450442</v>
      </c>
      <c r="K5" s="8">
        <f t="shared" si="3"/>
        <v>14760.320576450442</v>
      </c>
      <c r="L5" s="8">
        <f t="shared" si="3"/>
        <v>14760.320576450442</v>
      </c>
      <c r="M5" s="8">
        <f t="shared" si="3"/>
        <v>14760.320576450442</v>
      </c>
      <c r="N5" s="8">
        <f t="shared" si="3"/>
        <v>14760.320576450442</v>
      </c>
      <c r="O5" s="8">
        <f t="shared" si="3"/>
        <v>14760.320576450442</v>
      </c>
      <c r="P5" s="8">
        <f t="shared" si="3"/>
        <v>14760.320576450442</v>
      </c>
      <c r="Q5" s="8">
        <f t="shared" si="3"/>
        <v>14760.320576450442</v>
      </c>
      <c r="R5" s="8">
        <f t="shared" si="3"/>
        <v>14760.320576450442</v>
      </c>
      <c r="S5" s="8">
        <f t="shared" si="3"/>
        <v>14760.320576450442</v>
      </c>
      <c r="T5" s="8">
        <f t="shared" si="3"/>
        <v>14760.320576450442</v>
      </c>
      <c r="U5" s="8">
        <f t="shared" si="3"/>
        <v>14760.320576450442</v>
      </c>
      <c r="V5" s="8">
        <f t="shared" si="3"/>
        <v>14760.320576450442</v>
      </c>
      <c r="W5" s="8">
        <f t="shared" si="3"/>
        <v>14760.320576450442</v>
      </c>
      <c r="X5" s="8">
        <f t="shared" si="3"/>
        <v>14760.320576450442</v>
      </c>
      <c r="Y5" s="8">
        <f t="shared" si="3"/>
        <v>14760.320576450442</v>
      </c>
      <c r="Z5" s="8">
        <f t="shared" si="3"/>
        <v>14760.320576450442</v>
      </c>
      <c r="AA5" s="8">
        <f t="shared" si="3"/>
        <v>14760.320576450442</v>
      </c>
      <c r="AB5" s="8">
        <f t="shared" si="3"/>
        <v>14760.320576450442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1131283.7025227202</v>
      </c>
      <c r="C6" s="8">
        <f t="shared" ref="C6:AB6" si="4">B6</f>
        <v>1131283.7025227202</v>
      </c>
      <c r="D6" s="8">
        <f t="shared" si="4"/>
        <v>1131283.7025227202</v>
      </c>
      <c r="E6" s="8">
        <f t="shared" si="4"/>
        <v>1131283.7025227202</v>
      </c>
      <c r="F6" s="8">
        <f t="shared" si="4"/>
        <v>1131283.7025227202</v>
      </c>
      <c r="G6" s="8">
        <f t="shared" si="4"/>
        <v>1131283.7025227202</v>
      </c>
      <c r="H6" s="8">
        <f t="shared" si="4"/>
        <v>1131283.7025227202</v>
      </c>
      <c r="I6" s="8">
        <f t="shared" si="4"/>
        <v>1131283.7025227202</v>
      </c>
      <c r="J6" s="8">
        <f t="shared" si="4"/>
        <v>1131283.7025227202</v>
      </c>
      <c r="K6" s="8">
        <f t="shared" si="4"/>
        <v>1131283.7025227202</v>
      </c>
      <c r="L6" s="8">
        <f t="shared" si="4"/>
        <v>1131283.7025227202</v>
      </c>
      <c r="M6" s="8">
        <f t="shared" si="4"/>
        <v>1131283.7025227202</v>
      </c>
      <c r="N6" s="8">
        <f t="shared" si="4"/>
        <v>1131283.7025227202</v>
      </c>
      <c r="O6" s="8">
        <f t="shared" si="4"/>
        <v>1131283.7025227202</v>
      </c>
      <c r="P6" s="8">
        <f t="shared" si="4"/>
        <v>1131283.7025227202</v>
      </c>
      <c r="Q6" s="8">
        <f t="shared" si="4"/>
        <v>1131283.7025227202</v>
      </c>
      <c r="R6" s="8">
        <f t="shared" si="4"/>
        <v>1131283.7025227202</v>
      </c>
      <c r="S6" s="8">
        <f t="shared" si="4"/>
        <v>1131283.7025227202</v>
      </c>
      <c r="T6" s="8">
        <f t="shared" si="4"/>
        <v>1131283.7025227202</v>
      </c>
      <c r="U6" s="8">
        <f t="shared" si="4"/>
        <v>1131283.7025227202</v>
      </c>
      <c r="V6" s="8">
        <f t="shared" si="4"/>
        <v>1131283.7025227202</v>
      </c>
      <c r="W6" s="8">
        <f t="shared" si="4"/>
        <v>1131283.7025227202</v>
      </c>
      <c r="X6" s="8">
        <f t="shared" si="4"/>
        <v>1131283.7025227202</v>
      </c>
      <c r="Y6" s="8">
        <f t="shared" si="4"/>
        <v>1131283.7025227202</v>
      </c>
      <c r="Z6" s="8">
        <f t="shared" si="4"/>
        <v>1131283.7025227202</v>
      </c>
      <c r="AA6" s="8">
        <f t="shared" si="4"/>
        <v>1131283.7025227202</v>
      </c>
      <c r="AB6" s="8">
        <f t="shared" si="4"/>
        <v>1131283.7025227202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2026-08-11T22:28:54Z</dcterms:modified>
</cp:coreProperties>
</file>