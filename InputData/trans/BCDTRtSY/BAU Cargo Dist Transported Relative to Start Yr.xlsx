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PA\trans\BCDTRtSY\"/>
    </mc:Choice>
  </mc:AlternateContent>
  <xr:revisionPtr revIDLastSave="0" documentId="8_{CD1477A0-9C98-46D3-B423-1416D1E11526}"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<sst xmlns="http://schemas.openxmlformats.org/spreadsheetml/2006/main" count="6428" uniqueCount="3038">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</sst>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2923</v>
      </c>
      <c r="C1" s="77">
        <v>46248</v>
      </c>
      <c r="H1" t="s">
        <v>2981</v>
      </c>
      <c r="I1" t="s">
        <v>2982</v>
      </c>
    </row>
    <row r="2" spans="1:9">
      <c r="B2" t="str">
        <f>VLOOKUP(B1,H2:I52,2)</f>
        <v>PA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Pennsylvania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1.0052239527266327</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1.0118718491185974</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1.015444529966576</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1.0186131062010062</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1.0210466011184196</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1.01964178377337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1.0183999202477925</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1.0157839184995445</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1.0137656026198525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1.0109249511680272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1.0087749773967649</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1.0070508812471728</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1.0053838377514721</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1.0031399993423653</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1.0010956539583746</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0.99798505179437114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0.99476094002961768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0.99122142432586813</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0.98790287177949443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0.98438285586689056</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0.98061928392225806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0.97613121610074383</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0.97177558149997711</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0.96721901196074689</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0.96304297466776023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1.0170221454056227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1.0282360053783177</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1.0359812975005813</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1.0425110649464238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1.0476362719058214</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1.0477828159232112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1.0475045456816914</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1.0476950614475322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1.0474182252687723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1.0474510089289222</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1.0467183260522748</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1.0461092640586258</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1.0450156037568341</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1.0439012589910381</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1.0427365999839895</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1.0405690088371298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1.0383537796748841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1.0358217210238652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1.0331770388553461</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1.0304279900769675</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1.0273216176124271</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1.0241143549698617</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1.0205619285505125</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1.016855369207561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1.0130922528318649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1.0304279025703007</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1.048250582018202</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1.0553000963277015</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1.0671560095701069</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1.0831237795343807</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1.0946313291309582</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1.1103677835284647</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1.1278449553758811</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1.1474964720407412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1.1694895116025616</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1.1845628937553183</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1.1995944347505498</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1.2142724016973354</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1.2278869679517277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1.2418287856555934</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1.2540166538366653</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1.2671230997396272</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1.2813655129302493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1.2953996800924052</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1.3094282411802318</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1.3223762955489384</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1.3333689226131988</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1.3444215705584386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1.3543823026412956</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1.364694328141248</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1.0627596303875924</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1.1090847287103351</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1.1438566741267786</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1.1737933409291408</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1.1990923651985805</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1.2161792673903731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1.2309673162206276</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1.246486825750434</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1.2569365101875951</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1.2672695242971517</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1.2739048391296992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1.2813239057768409</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1.2874273579241278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1.2908802000221848</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1.2946397924353272</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1.2965762814331134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1.2984993401154348</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1.2989127031179104</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1.3000657814503855</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1.3018018319654467</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1.3019745236043767</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1.3027963674003855</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1.3014435494023286</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1.2996932123621932</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1.2976495142627509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1.0010478617697629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0.99503102919885844</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0.98308589902804633</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0.97359622730072248</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0.96640559107203905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0.95569510932994883</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0.94735682304261037</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0.94024452036545425</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0.93438776873455831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0.92982736293288226</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0.92240889391133885</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0.91507216227641497</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0.9076222560976972</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0.90015032767153291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0.89281276186471681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0.88457817328640787</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0.87679202696470437</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0.86932757399973537</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0.86190461486019176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0.85449237951684642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0.8466851334319534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0.83832074931055933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0.82987542105492929</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0.82113530152811132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0.81269672246627833</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1.0049885266340581</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1.0121680988344453</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1.0164147868694655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1.0204562716786174</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1.0234730991733427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1.0232985445703968</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1.0231671085685952</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1.0215180323408295</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1.0202230897425855</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1.018041448403898</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1.016651741078419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1.0157015032731254</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1.0147223084580146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1.0130447672417537</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1.0115921919520059</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1.0093381590850752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1.0068286524137671</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1.0040988253293772</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1.0016907728281901</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0.99915830745525269</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0.99619067739407352</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0.99253998132196419</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0.98885031202553064</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0.98502510203544447</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0.98158167626149906</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0.99519498703334486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0.99585701102898905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0.99615542739467844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0.99762628955716348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1.0038713899980614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1.005484804154603</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1.0088743916734095</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1.0109651883093622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1.0149565155624565</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1.0196279630704443</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1.0246131674171142</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1.0308168889287708</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1.0382005962474736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1.0459093476513015</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1.0540848245166583</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1.0609845898169243</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1.0672442837689859</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1.0709808373547831</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1.0744288772152042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1.0791589701811279</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1.0843040998429476</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1.0900678022329788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1.0945737176479668</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1.0997878445180391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1.1042454209507448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1.0098260383898847</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1.0238759917735094</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1.0370500247084922</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1.0476229210495929</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1.0605565194657991</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1.065620163584035</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1.0715598492602567</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1.0752946039468441</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1.0802475756095995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1.085036801565608</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1.0890079249599383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1.0922686288943761</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1.0945172194242287</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1.0961928147101825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1.0980282348014692</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1.0993112878291094</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1.1000581360611541</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1.0998021127487472</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1.099837460391097</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1.1016611573916275</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1.1036618442267812</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1.1055454447911852</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1.1053755038988544</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1.105118295890585</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1.1043113963678888</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1.0258813474513675</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1.0439758500839753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1.0556028588178465</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1.0709084575655941</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1.0891717664642495</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1.1034797668514309</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1.12078089325654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1.1394222528808375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1.1596948301467174</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1.1816982429343112</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1.1991580731859004</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1.2166930405647656</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1.2340829464321543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1.2508285748760517</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1.2678956327591191</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1.2837082178816785</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1.3002157311252533</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1.3175742093775684</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1.3348596990337065</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1.3522084420891771</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1.3688761051377274</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1.384242763825688</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1.3997199822650082</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1.4145010955557336</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1.4296151306791509</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0.97636781254973359</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1.0069089855198021</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0.98534652163632386</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0.97666984702065951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0.98227547246593938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0.95315902902758076</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0.95324074314343465</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0.95346015258256234</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0.9468756641844398</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0.94609948594360826</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0.94448491393285172</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0.94421123726923961</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0.9407656165036784</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0.93884700531394616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0.9359821214457209</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0.93111935204458052</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0.92425636734023664</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0.91803509536986516</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0.9141828435776107</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0.90978243603590225</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0.90776115871280605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0.90917521607849727</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0.90812405915826078</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0.90163091919837635</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0.89578751578429472</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0.99122541307157108</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1.0094209546748296</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1.0296075386168755</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1.0464064078993449</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1.0640999754879297</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1.0768652363117854</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1.0915482733453716</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1.1063965474335584</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1.1218265199944384</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1.1381144489405726</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1.1503472451733796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1.1592180276664961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1.1679979695829446</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1.1755535557650572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1.1831154862074096</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1.1899211253929347</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1.1976656141275692</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1.2049208170843158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1.2119501741152834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1.2201767082496116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1.2284581005851429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1.2368260597789678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1.2443792603810604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1.2515569968378393</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1.2599855797501893</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1.0052239527266327</v>
      </c>
      <c r="E2">
        <f>'BCDTRtSY-state-adjusted'!E5</f>
        <v>1.0118718491185974</v>
      </c>
      <c r="F2">
        <f>'BCDTRtSY-state-adjusted'!F5</f>
        <v>1.015444529966576</v>
      </c>
      <c r="G2">
        <f>'BCDTRtSY-state-adjusted'!G5</f>
        <v>1.0186131062010062</v>
      </c>
      <c r="H2">
        <f>'BCDTRtSY-state-adjusted'!H5</f>
        <v>1.0210466011184196</v>
      </c>
      <c r="I2">
        <f>'BCDTRtSY-state-adjusted'!I5</f>
        <v>1.01964178377337</v>
      </c>
      <c r="J2">
        <f>'BCDTRtSY-state-adjusted'!J5</f>
        <v>1.0183999202477925</v>
      </c>
      <c r="K2">
        <f>'BCDTRtSY-state-adjusted'!K5</f>
        <v>1.0157839184995445</v>
      </c>
      <c r="L2">
        <f>'BCDTRtSY-state-adjusted'!L5</f>
        <v>1.0137656026198525</v>
      </c>
      <c r="M2">
        <f>'BCDTRtSY-state-adjusted'!M5</f>
        <v>1.0109249511680272</v>
      </c>
      <c r="N2">
        <f>'BCDTRtSY-state-adjusted'!N5</f>
        <v>1.0087749773967649</v>
      </c>
      <c r="O2">
        <f>'BCDTRtSY-state-adjusted'!O5</f>
        <v>1.0070508812471728</v>
      </c>
      <c r="P2">
        <f>'BCDTRtSY-state-adjusted'!P5</f>
        <v>1.0053838377514721</v>
      </c>
      <c r="Q2">
        <f>'BCDTRtSY-state-adjusted'!Q5</f>
        <v>1.0031399993423653</v>
      </c>
      <c r="R2">
        <f>'BCDTRtSY-state-adjusted'!R5</f>
        <v>1.0010956539583746</v>
      </c>
      <c r="S2">
        <f>'BCDTRtSY-state-adjusted'!S5</f>
        <v>0.99798505179437114</v>
      </c>
      <c r="T2">
        <f>'BCDTRtSY-state-adjusted'!T5</f>
        <v>0.99476094002961768</v>
      </c>
      <c r="U2">
        <f>'BCDTRtSY-state-adjusted'!U5</f>
        <v>0.99122142432586813</v>
      </c>
      <c r="V2">
        <f>'BCDTRtSY-state-adjusted'!V5</f>
        <v>0.98790287177949443</v>
      </c>
      <c r="W2">
        <f>'BCDTRtSY-state-adjusted'!W5</f>
        <v>0.98438285586689056</v>
      </c>
      <c r="X2">
        <f>'BCDTRtSY-state-adjusted'!X5</f>
        <v>0.98061928392225806</v>
      </c>
      <c r="Y2">
        <f>'BCDTRtSY-state-adjusted'!Y5</f>
        <v>0.97613121610074383</v>
      </c>
      <c r="Z2">
        <f>'BCDTRtSY-state-adjusted'!Z5</f>
        <v>0.97177558149997711</v>
      </c>
      <c r="AA2">
        <f>'BCDTRtSY-state-adjusted'!AA5</f>
        <v>0.96721901196074689</v>
      </c>
      <c r="AB2">
        <f>'BCDTRtSY-state-adjusted'!AB5</f>
        <v>0.96304297466776023</v>
      </c>
    </row>
    <row r="3" spans="1:28">
      <c r="A3" t="s">
        <v>118</v>
      </c>
      <c r="B3">
        <f>'BCDTRtSY-state-adjusted'!B6</f>
        <v>1</v>
      </c>
      <c r="C3">
        <f>'BCDTRtSY-state-adjusted'!C6</f>
        <v>1</v>
      </c>
      <c r="D3">
        <f>'BCDTRtSY-state-adjusted'!D6</f>
        <v>1.0170221454056227</v>
      </c>
      <c r="E3">
        <f>'BCDTRtSY-state-adjusted'!E6</f>
        <v>1.0282360053783177</v>
      </c>
      <c r="F3">
        <f>'BCDTRtSY-state-adjusted'!F6</f>
        <v>1.0359812975005813</v>
      </c>
      <c r="G3">
        <f>'BCDTRtSY-state-adjusted'!G6</f>
        <v>1.0425110649464238</v>
      </c>
      <c r="H3">
        <f>'BCDTRtSY-state-adjusted'!H6</f>
        <v>1.0476362719058214</v>
      </c>
      <c r="I3">
        <f>'BCDTRtSY-state-adjusted'!I6</f>
        <v>1.0477828159232112</v>
      </c>
      <c r="J3">
        <f>'BCDTRtSY-state-adjusted'!J6</f>
        <v>1.0475045456816914</v>
      </c>
      <c r="K3">
        <f>'BCDTRtSY-state-adjusted'!K6</f>
        <v>1.0476950614475322</v>
      </c>
      <c r="L3">
        <f>'BCDTRtSY-state-adjusted'!L6</f>
        <v>1.0474182252687723</v>
      </c>
      <c r="M3">
        <f>'BCDTRtSY-state-adjusted'!M6</f>
        <v>1.0474510089289222</v>
      </c>
      <c r="N3">
        <f>'BCDTRtSY-state-adjusted'!N6</f>
        <v>1.0467183260522748</v>
      </c>
      <c r="O3">
        <f>'BCDTRtSY-state-adjusted'!O6</f>
        <v>1.0461092640586258</v>
      </c>
      <c r="P3">
        <f>'BCDTRtSY-state-adjusted'!P6</f>
        <v>1.0450156037568341</v>
      </c>
      <c r="Q3">
        <f>'BCDTRtSY-state-adjusted'!Q6</f>
        <v>1.0439012589910381</v>
      </c>
      <c r="R3">
        <f>'BCDTRtSY-state-adjusted'!R6</f>
        <v>1.0427365999839895</v>
      </c>
      <c r="S3">
        <f>'BCDTRtSY-state-adjusted'!S6</f>
        <v>1.0405690088371298</v>
      </c>
      <c r="T3">
        <f>'BCDTRtSY-state-adjusted'!T6</f>
        <v>1.0383537796748841</v>
      </c>
      <c r="U3">
        <f>'BCDTRtSY-state-adjusted'!U6</f>
        <v>1.0358217210238652</v>
      </c>
      <c r="V3">
        <f>'BCDTRtSY-state-adjusted'!V6</f>
        <v>1.0331770388553461</v>
      </c>
      <c r="W3">
        <f>'BCDTRtSY-state-adjusted'!W6</f>
        <v>1.0304279900769675</v>
      </c>
      <c r="X3">
        <f>'BCDTRtSY-state-adjusted'!X6</f>
        <v>1.0273216176124271</v>
      </c>
      <c r="Y3">
        <f>'BCDTRtSY-state-adjusted'!Y6</f>
        <v>1.0241143549698617</v>
      </c>
      <c r="Z3">
        <f>'BCDTRtSY-state-adjusted'!Z6</f>
        <v>1.0205619285505125</v>
      </c>
      <c r="AA3">
        <f>'BCDTRtSY-state-adjusted'!AA6</f>
        <v>1.016855369207561</v>
      </c>
      <c r="AB3">
        <f>'BCDTRtSY-state-adjusted'!AB6</f>
        <v>1.0130922528318649</v>
      </c>
    </row>
    <row r="4" spans="1:28">
      <c r="A4" t="s">
        <v>116</v>
      </c>
      <c r="B4">
        <f>'BCDTRtSY-state-adjusted'!B7</f>
        <v>1</v>
      </c>
      <c r="C4">
        <f>'BCDTRtSY-state-adjusted'!C7</f>
        <v>1</v>
      </c>
      <c r="D4">
        <f>'BCDTRtSY-state-adjusted'!D7</f>
        <v>1.0304279025703007</v>
      </c>
      <c r="E4">
        <f>'BCDTRtSY-state-adjusted'!E7</f>
        <v>1.048250582018202</v>
      </c>
      <c r="F4">
        <f>'BCDTRtSY-state-adjusted'!F7</f>
        <v>1.0553000963277015</v>
      </c>
      <c r="G4">
        <f>'BCDTRtSY-state-adjusted'!G7</f>
        <v>1.0671560095701069</v>
      </c>
      <c r="H4">
        <f>'BCDTRtSY-state-adjusted'!H7</f>
        <v>1.0831237795343807</v>
      </c>
      <c r="I4">
        <f>'BCDTRtSY-state-adjusted'!I7</f>
        <v>1.0946313291309582</v>
      </c>
      <c r="J4">
        <f>'BCDTRtSY-state-adjusted'!J7</f>
        <v>1.1103677835284647</v>
      </c>
      <c r="K4">
        <f>'BCDTRtSY-state-adjusted'!K7</f>
        <v>1.1278449553758811</v>
      </c>
      <c r="L4">
        <f>'BCDTRtSY-state-adjusted'!L7</f>
        <v>1.1474964720407412</v>
      </c>
      <c r="M4">
        <f>'BCDTRtSY-state-adjusted'!M7</f>
        <v>1.1694895116025616</v>
      </c>
      <c r="N4">
        <f>'BCDTRtSY-state-adjusted'!N7</f>
        <v>1.1845628937553183</v>
      </c>
      <c r="O4">
        <f>'BCDTRtSY-state-adjusted'!O7</f>
        <v>1.1995944347505498</v>
      </c>
      <c r="P4">
        <f>'BCDTRtSY-state-adjusted'!P7</f>
        <v>1.2142724016973354</v>
      </c>
      <c r="Q4">
        <f>'BCDTRtSY-state-adjusted'!Q7</f>
        <v>1.2278869679517277</v>
      </c>
      <c r="R4">
        <f>'BCDTRtSY-state-adjusted'!R7</f>
        <v>1.2418287856555934</v>
      </c>
      <c r="S4">
        <f>'BCDTRtSY-state-adjusted'!S7</f>
        <v>1.2540166538366653</v>
      </c>
      <c r="T4">
        <f>'BCDTRtSY-state-adjusted'!T7</f>
        <v>1.2671230997396272</v>
      </c>
      <c r="U4">
        <f>'BCDTRtSY-state-adjusted'!U7</f>
        <v>1.2813655129302493</v>
      </c>
      <c r="V4">
        <f>'BCDTRtSY-state-adjusted'!V7</f>
        <v>1.2953996800924052</v>
      </c>
      <c r="W4">
        <f>'BCDTRtSY-state-adjusted'!W7</f>
        <v>1.3094282411802318</v>
      </c>
      <c r="X4">
        <f>'BCDTRtSY-state-adjusted'!X7</f>
        <v>1.3223762955489384</v>
      </c>
      <c r="Y4">
        <f>'BCDTRtSY-state-adjusted'!Y7</f>
        <v>1.3333689226131988</v>
      </c>
      <c r="Z4">
        <f>'BCDTRtSY-state-adjusted'!Z7</f>
        <v>1.3444215705584386</v>
      </c>
      <c r="AA4">
        <f>'BCDTRtSY-state-adjusted'!AA7</f>
        <v>1.3543823026412956</v>
      </c>
      <c r="AB4">
        <f>'BCDTRtSY-state-adjusted'!AB7</f>
        <v>1.364694328141248</v>
      </c>
    </row>
    <row r="5" spans="1:28">
      <c r="A5" t="s">
        <v>121</v>
      </c>
      <c r="B5">
        <f>'BCDTRtSY-state-adjusted'!B8</f>
        <v>1</v>
      </c>
      <c r="C5">
        <f>'BCDTRtSY-state-adjusted'!C8</f>
        <v>1</v>
      </c>
      <c r="D5">
        <f>'BCDTRtSY-state-adjusted'!D8</f>
        <v>1.0627596303875924</v>
      </c>
      <c r="E5">
        <f>'BCDTRtSY-state-adjusted'!E8</f>
        <v>1.1090847287103351</v>
      </c>
      <c r="F5">
        <f>'BCDTRtSY-state-adjusted'!F8</f>
        <v>1.1438566741267786</v>
      </c>
      <c r="G5">
        <f>'BCDTRtSY-state-adjusted'!G8</f>
        <v>1.1737933409291408</v>
      </c>
      <c r="H5">
        <f>'BCDTRtSY-state-adjusted'!H8</f>
        <v>1.1990923651985805</v>
      </c>
      <c r="I5">
        <f>'BCDTRtSY-state-adjusted'!I8</f>
        <v>1.2161792673903731</v>
      </c>
      <c r="J5">
        <f>'BCDTRtSY-state-adjusted'!J8</f>
        <v>1.2309673162206276</v>
      </c>
      <c r="K5">
        <f>'BCDTRtSY-state-adjusted'!K8</f>
        <v>1.246486825750434</v>
      </c>
      <c r="L5">
        <f>'BCDTRtSY-state-adjusted'!L8</f>
        <v>1.2569365101875951</v>
      </c>
      <c r="M5">
        <f>'BCDTRtSY-state-adjusted'!M8</f>
        <v>1.2672695242971517</v>
      </c>
      <c r="N5">
        <f>'BCDTRtSY-state-adjusted'!N8</f>
        <v>1.2739048391296992</v>
      </c>
      <c r="O5">
        <f>'BCDTRtSY-state-adjusted'!O8</f>
        <v>1.2813239057768409</v>
      </c>
      <c r="P5">
        <f>'BCDTRtSY-state-adjusted'!P8</f>
        <v>1.2874273579241278</v>
      </c>
      <c r="Q5">
        <f>'BCDTRtSY-state-adjusted'!Q8</f>
        <v>1.2908802000221848</v>
      </c>
      <c r="R5">
        <f>'BCDTRtSY-state-adjusted'!R8</f>
        <v>1.2946397924353272</v>
      </c>
      <c r="S5">
        <f>'BCDTRtSY-state-adjusted'!S8</f>
        <v>1.2965762814331134</v>
      </c>
      <c r="T5">
        <f>'BCDTRtSY-state-adjusted'!T8</f>
        <v>1.2984993401154348</v>
      </c>
      <c r="U5">
        <f>'BCDTRtSY-state-adjusted'!U8</f>
        <v>1.2989127031179104</v>
      </c>
      <c r="V5">
        <f>'BCDTRtSY-state-adjusted'!V8</f>
        <v>1.3000657814503855</v>
      </c>
      <c r="W5">
        <f>'BCDTRtSY-state-adjusted'!W8</f>
        <v>1.3018018319654467</v>
      </c>
      <c r="X5">
        <f>'BCDTRtSY-state-adjusted'!X8</f>
        <v>1.3019745236043767</v>
      </c>
      <c r="Y5">
        <f>'BCDTRtSY-state-adjusted'!Y8</f>
        <v>1.3027963674003855</v>
      </c>
      <c r="Z5">
        <f>'BCDTRtSY-state-adjusted'!Z8</f>
        <v>1.3014435494023286</v>
      </c>
      <c r="AA5">
        <f>'BCDTRtSY-state-adjusted'!AA8</f>
        <v>1.2996932123621932</v>
      </c>
      <c r="AB5">
        <f>'BCDTRtSY-state-adjusted'!AB8</f>
        <v>1.2976495142627509</v>
      </c>
    </row>
    <row r="6" spans="1:28">
      <c r="A6" t="s">
        <v>122</v>
      </c>
      <c r="B6">
        <f>'BCDTRtSY-state-adjusted'!B9</f>
        <v>1</v>
      </c>
      <c r="C6">
        <f>'BCDTRtSY-state-adjusted'!C9</f>
        <v>1</v>
      </c>
      <c r="D6">
        <f>'BCDTRtSY-state-adjusted'!D9</f>
        <v>1.0010478617697629</v>
      </c>
      <c r="E6">
        <f>'BCDTRtSY-state-adjusted'!E9</f>
        <v>0.99503102919885844</v>
      </c>
      <c r="F6">
        <f>'BCDTRtSY-state-adjusted'!F9</f>
        <v>0.98308589902804633</v>
      </c>
      <c r="G6">
        <f>'BCDTRtSY-state-adjusted'!G9</f>
        <v>0.97359622730072248</v>
      </c>
      <c r="H6">
        <f>'BCDTRtSY-state-adjusted'!H9</f>
        <v>0.96640559107203905</v>
      </c>
      <c r="I6">
        <f>'BCDTRtSY-state-adjusted'!I9</f>
        <v>0.95569510932994883</v>
      </c>
      <c r="J6">
        <f>'BCDTRtSY-state-adjusted'!J9</f>
        <v>0.94735682304261037</v>
      </c>
      <c r="K6">
        <f>'BCDTRtSY-state-adjusted'!K9</f>
        <v>0.94024452036545425</v>
      </c>
      <c r="L6">
        <f>'BCDTRtSY-state-adjusted'!L9</f>
        <v>0.93438776873455831</v>
      </c>
      <c r="M6">
        <f>'BCDTRtSY-state-adjusted'!M9</f>
        <v>0.92982736293288226</v>
      </c>
      <c r="N6">
        <f>'BCDTRtSY-state-adjusted'!N9</f>
        <v>0.92240889391133885</v>
      </c>
      <c r="O6">
        <f>'BCDTRtSY-state-adjusted'!O9</f>
        <v>0.91507216227641497</v>
      </c>
      <c r="P6">
        <f>'BCDTRtSY-state-adjusted'!P9</f>
        <v>0.9076222560976972</v>
      </c>
      <c r="Q6">
        <f>'BCDTRtSY-state-adjusted'!Q9</f>
        <v>0.90015032767153291</v>
      </c>
      <c r="R6">
        <f>'BCDTRtSY-state-adjusted'!R9</f>
        <v>0.89281276186471681</v>
      </c>
      <c r="S6">
        <f>'BCDTRtSY-state-adjusted'!S9</f>
        <v>0.88457817328640787</v>
      </c>
      <c r="T6">
        <f>'BCDTRtSY-state-adjusted'!T9</f>
        <v>0.87679202696470437</v>
      </c>
      <c r="U6">
        <f>'BCDTRtSY-state-adjusted'!U9</f>
        <v>0.86932757399973537</v>
      </c>
      <c r="V6">
        <f>'BCDTRtSY-state-adjusted'!V9</f>
        <v>0.86190461486019176</v>
      </c>
      <c r="W6">
        <f>'BCDTRtSY-state-adjusted'!W9</f>
        <v>0.85449237951684642</v>
      </c>
      <c r="X6">
        <f>'BCDTRtSY-state-adjusted'!X9</f>
        <v>0.8466851334319534</v>
      </c>
      <c r="Y6">
        <f>'BCDTRtSY-state-adjusted'!Y9</f>
        <v>0.83832074931055933</v>
      </c>
      <c r="Z6">
        <f>'BCDTRtSY-state-adjusted'!Z9</f>
        <v>0.82987542105492929</v>
      </c>
      <c r="AA6">
        <f>'BCDTRtSY-state-adjusted'!AA9</f>
        <v>0.82113530152811132</v>
      </c>
      <c r="AB6">
        <f>'BCDTRtSY-state-adjusted'!AB9</f>
        <v>0.81269672246627833</v>
      </c>
    </row>
    <row r="7" spans="1:28">
      <c r="A7" t="s">
        <v>123</v>
      </c>
      <c r="B7">
        <f>'BCDTRtSY-state-adjusted'!B10</f>
        <v>1</v>
      </c>
      <c r="C7">
        <f>'BCDTRtSY-state-adjusted'!C10</f>
        <v>1</v>
      </c>
      <c r="D7">
        <f>'BCDTRtSY-state-adjusted'!D10</f>
        <v>1.0049885266340581</v>
      </c>
      <c r="E7">
        <f>'BCDTRtSY-state-adjusted'!E10</f>
        <v>1.0121680988344453</v>
      </c>
      <c r="F7">
        <f>'BCDTRtSY-state-adjusted'!F10</f>
        <v>1.0164147868694655</v>
      </c>
      <c r="G7">
        <f>'BCDTRtSY-state-adjusted'!G10</f>
        <v>1.0204562716786174</v>
      </c>
      <c r="H7">
        <f>'BCDTRtSY-state-adjusted'!H10</f>
        <v>1.0234730991733427</v>
      </c>
      <c r="I7">
        <f>'BCDTRtSY-state-adjusted'!I10</f>
        <v>1.0232985445703968</v>
      </c>
      <c r="J7">
        <f>'BCDTRtSY-state-adjusted'!J10</f>
        <v>1.0231671085685952</v>
      </c>
      <c r="K7">
        <f>'BCDTRtSY-state-adjusted'!K10</f>
        <v>1.0215180323408295</v>
      </c>
      <c r="L7">
        <f>'BCDTRtSY-state-adjusted'!L10</f>
        <v>1.0202230897425855</v>
      </c>
      <c r="M7">
        <f>'BCDTRtSY-state-adjusted'!M10</f>
        <v>1.018041448403898</v>
      </c>
      <c r="N7">
        <f>'BCDTRtSY-state-adjusted'!N10</f>
        <v>1.016651741078419</v>
      </c>
      <c r="O7">
        <f>'BCDTRtSY-state-adjusted'!O10</f>
        <v>1.0157015032731254</v>
      </c>
      <c r="P7">
        <f>'BCDTRtSY-state-adjusted'!P10</f>
        <v>1.0147223084580146</v>
      </c>
      <c r="Q7">
        <f>'BCDTRtSY-state-adjusted'!Q10</f>
        <v>1.0130447672417537</v>
      </c>
      <c r="R7">
        <f>'BCDTRtSY-state-adjusted'!R10</f>
        <v>1.0115921919520059</v>
      </c>
      <c r="S7">
        <f>'BCDTRtSY-state-adjusted'!S10</f>
        <v>1.0093381590850752</v>
      </c>
      <c r="T7">
        <f>'BCDTRtSY-state-adjusted'!T10</f>
        <v>1.0068286524137671</v>
      </c>
      <c r="U7">
        <f>'BCDTRtSY-state-adjusted'!U10</f>
        <v>1.0040988253293772</v>
      </c>
      <c r="V7">
        <f>'BCDTRtSY-state-adjusted'!V10</f>
        <v>1.0016907728281901</v>
      </c>
      <c r="W7">
        <f>'BCDTRtSY-state-adjusted'!W10</f>
        <v>0.99915830745525269</v>
      </c>
      <c r="X7">
        <f>'BCDTRtSY-state-adjusted'!X10</f>
        <v>0.99619067739407352</v>
      </c>
      <c r="Y7">
        <f>'BCDTRtSY-state-adjusted'!Y10</f>
        <v>0.99253998132196419</v>
      </c>
      <c r="Z7">
        <f>'BCDTRtSY-state-adjusted'!Z10</f>
        <v>0.98885031202553064</v>
      </c>
      <c r="AA7">
        <f>'BCDTRtSY-state-adjusted'!AA10</f>
        <v>0.98502510203544447</v>
      </c>
      <c r="AB7">
        <f>'BCDTRtSY-state-adjusted'!AB10</f>
        <v>0.98158167626149906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0.99519498703334486</v>
      </c>
      <c r="E2">
        <f>'BCDTRtSY-state-adjusted'!E13</f>
        <v>0.99585701102898905</v>
      </c>
      <c r="F2">
        <f>'BCDTRtSY-state-adjusted'!F13</f>
        <v>0.99615542739467844</v>
      </c>
      <c r="G2">
        <f>'BCDTRtSY-state-adjusted'!G13</f>
        <v>0.99762628955716348</v>
      </c>
      <c r="H2">
        <f>'BCDTRtSY-state-adjusted'!H13</f>
        <v>1.0038713899980614</v>
      </c>
      <c r="I2">
        <f>'BCDTRtSY-state-adjusted'!I13</f>
        <v>1.005484804154603</v>
      </c>
      <c r="J2">
        <f>'BCDTRtSY-state-adjusted'!J13</f>
        <v>1.0088743916734095</v>
      </c>
      <c r="K2">
        <f>'BCDTRtSY-state-adjusted'!K13</f>
        <v>1.0109651883093622</v>
      </c>
      <c r="L2">
        <f>'BCDTRtSY-state-adjusted'!L13</f>
        <v>1.0149565155624565</v>
      </c>
      <c r="M2">
        <f>'BCDTRtSY-state-adjusted'!M13</f>
        <v>1.0196279630704443</v>
      </c>
      <c r="N2">
        <f>'BCDTRtSY-state-adjusted'!N13</f>
        <v>1.0246131674171142</v>
      </c>
      <c r="O2">
        <f>'BCDTRtSY-state-adjusted'!O13</f>
        <v>1.0308168889287708</v>
      </c>
      <c r="P2">
        <f>'BCDTRtSY-state-adjusted'!P13</f>
        <v>1.0382005962474736</v>
      </c>
      <c r="Q2">
        <f>'BCDTRtSY-state-adjusted'!Q13</f>
        <v>1.0459093476513015</v>
      </c>
      <c r="R2">
        <f>'BCDTRtSY-state-adjusted'!R13</f>
        <v>1.0540848245166583</v>
      </c>
      <c r="S2">
        <f>'BCDTRtSY-state-adjusted'!S13</f>
        <v>1.0609845898169243</v>
      </c>
      <c r="T2">
        <f>'BCDTRtSY-state-adjusted'!T13</f>
        <v>1.0672442837689859</v>
      </c>
      <c r="U2">
        <f>'BCDTRtSY-state-adjusted'!U13</f>
        <v>1.0709808373547831</v>
      </c>
      <c r="V2">
        <f>'BCDTRtSY-state-adjusted'!V13</f>
        <v>1.0744288772152042</v>
      </c>
      <c r="W2">
        <f>'BCDTRtSY-state-adjusted'!W13</f>
        <v>1.0791589701811279</v>
      </c>
      <c r="X2">
        <f>'BCDTRtSY-state-adjusted'!X13</f>
        <v>1.0843040998429476</v>
      </c>
      <c r="Y2">
        <f>'BCDTRtSY-state-adjusted'!Y13</f>
        <v>1.0900678022329788</v>
      </c>
      <c r="Z2">
        <f>'BCDTRtSY-state-adjusted'!Z13</f>
        <v>1.0945737176479668</v>
      </c>
      <c r="AA2">
        <f>'BCDTRtSY-state-adjusted'!AA13</f>
        <v>1.0997878445180391</v>
      </c>
      <c r="AB2">
        <f>'BCDTRtSY-state-adjusted'!AB13</f>
        <v>1.1042454209507448</v>
      </c>
    </row>
    <row r="3" spans="1:28">
      <c r="A3" t="s">
        <v>118</v>
      </c>
      <c r="B3">
        <f>'BCDTRtSY-state-adjusted'!B14</f>
        <v>1</v>
      </c>
      <c r="C3">
        <f>'BCDTRtSY-state-adjusted'!C14</f>
        <v>1</v>
      </c>
      <c r="D3">
        <f>'BCDTRtSY-state-adjusted'!D14</f>
        <v>1.0098260383898847</v>
      </c>
      <c r="E3">
        <f>'BCDTRtSY-state-adjusted'!E14</f>
        <v>1.0238759917735094</v>
      </c>
      <c r="F3">
        <f>'BCDTRtSY-state-adjusted'!F14</f>
        <v>1.0370500247084922</v>
      </c>
      <c r="G3">
        <f>'BCDTRtSY-state-adjusted'!G14</f>
        <v>1.0476229210495929</v>
      </c>
      <c r="H3">
        <f>'BCDTRtSY-state-adjusted'!H14</f>
        <v>1.0605565194657991</v>
      </c>
      <c r="I3">
        <f>'BCDTRtSY-state-adjusted'!I14</f>
        <v>1.065620163584035</v>
      </c>
      <c r="J3">
        <f>'BCDTRtSY-state-adjusted'!J14</f>
        <v>1.0715598492602567</v>
      </c>
      <c r="K3">
        <f>'BCDTRtSY-state-adjusted'!K14</f>
        <v>1.0752946039468441</v>
      </c>
      <c r="L3">
        <f>'BCDTRtSY-state-adjusted'!L14</f>
        <v>1.0802475756095995</v>
      </c>
      <c r="M3">
        <f>'BCDTRtSY-state-adjusted'!M14</f>
        <v>1.085036801565608</v>
      </c>
      <c r="N3">
        <f>'BCDTRtSY-state-adjusted'!N14</f>
        <v>1.0890079249599383</v>
      </c>
      <c r="O3">
        <f>'BCDTRtSY-state-adjusted'!O14</f>
        <v>1.0922686288943761</v>
      </c>
      <c r="P3">
        <f>'BCDTRtSY-state-adjusted'!P14</f>
        <v>1.0945172194242287</v>
      </c>
      <c r="Q3">
        <f>'BCDTRtSY-state-adjusted'!Q14</f>
        <v>1.0961928147101825</v>
      </c>
      <c r="R3">
        <f>'BCDTRtSY-state-adjusted'!R14</f>
        <v>1.0980282348014692</v>
      </c>
      <c r="S3">
        <f>'BCDTRtSY-state-adjusted'!S14</f>
        <v>1.0993112878291094</v>
      </c>
      <c r="T3">
        <f>'BCDTRtSY-state-adjusted'!T14</f>
        <v>1.1000581360611541</v>
      </c>
      <c r="U3">
        <f>'BCDTRtSY-state-adjusted'!U14</f>
        <v>1.0998021127487472</v>
      </c>
      <c r="V3">
        <f>'BCDTRtSY-state-adjusted'!V14</f>
        <v>1.099837460391097</v>
      </c>
      <c r="W3">
        <f>'BCDTRtSY-state-adjusted'!W14</f>
        <v>1.1016611573916275</v>
      </c>
      <c r="X3">
        <f>'BCDTRtSY-state-adjusted'!X14</f>
        <v>1.1036618442267812</v>
      </c>
      <c r="Y3">
        <f>'BCDTRtSY-state-adjusted'!Y14</f>
        <v>1.1055454447911852</v>
      </c>
      <c r="Z3">
        <f>'BCDTRtSY-state-adjusted'!Z14</f>
        <v>1.1053755038988544</v>
      </c>
      <c r="AA3">
        <f>'BCDTRtSY-state-adjusted'!AA14</f>
        <v>1.105118295890585</v>
      </c>
      <c r="AB3">
        <f>'BCDTRtSY-state-adjusted'!AB14</f>
        <v>1.1043113963678888</v>
      </c>
    </row>
    <row r="4" spans="1:28">
      <c r="A4" t="s">
        <v>116</v>
      </c>
      <c r="B4">
        <f>'BCDTRtSY-state-adjusted'!B15</f>
        <v>1</v>
      </c>
      <c r="C4">
        <f>'BCDTRtSY-state-adjusted'!C15</f>
        <v>1</v>
      </c>
      <c r="D4">
        <f>'BCDTRtSY-state-adjusted'!D15</f>
        <v>1.0258813474513675</v>
      </c>
      <c r="E4">
        <f>'BCDTRtSY-state-adjusted'!E15</f>
        <v>1.0439758500839753</v>
      </c>
      <c r="F4">
        <f>'BCDTRtSY-state-adjusted'!F15</f>
        <v>1.0556028588178465</v>
      </c>
      <c r="G4">
        <f>'BCDTRtSY-state-adjusted'!G15</f>
        <v>1.0709084575655941</v>
      </c>
      <c r="H4">
        <f>'BCDTRtSY-state-adjusted'!H15</f>
        <v>1.0891717664642495</v>
      </c>
      <c r="I4">
        <f>'BCDTRtSY-state-adjusted'!I15</f>
        <v>1.1034797668514309</v>
      </c>
      <c r="J4">
        <f>'BCDTRtSY-state-adjusted'!J15</f>
        <v>1.12078089325654</v>
      </c>
      <c r="K4">
        <f>'BCDTRtSY-state-adjusted'!K15</f>
        <v>1.1394222528808375</v>
      </c>
      <c r="L4">
        <f>'BCDTRtSY-state-adjusted'!L15</f>
        <v>1.1596948301467174</v>
      </c>
      <c r="M4">
        <f>'BCDTRtSY-state-adjusted'!M15</f>
        <v>1.1816982429343112</v>
      </c>
      <c r="N4">
        <f>'BCDTRtSY-state-adjusted'!N15</f>
        <v>1.1991580731859004</v>
      </c>
      <c r="O4">
        <f>'BCDTRtSY-state-adjusted'!O15</f>
        <v>1.2166930405647656</v>
      </c>
      <c r="P4">
        <f>'BCDTRtSY-state-adjusted'!P15</f>
        <v>1.2340829464321543</v>
      </c>
      <c r="Q4">
        <f>'BCDTRtSY-state-adjusted'!Q15</f>
        <v>1.2508285748760517</v>
      </c>
      <c r="R4">
        <f>'BCDTRtSY-state-adjusted'!R15</f>
        <v>1.2678956327591191</v>
      </c>
      <c r="S4">
        <f>'BCDTRtSY-state-adjusted'!S15</f>
        <v>1.2837082178816785</v>
      </c>
      <c r="T4">
        <f>'BCDTRtSY-state-adjusted'!T15</f>
        <v>1.3002157311252533</v>
      </c>
      <c r="U4">
        <f>'BCDTRtSY-state-adjusted'!U15</f>
        <v>1.3175742093775684</v>
      </c>
      <c r="V4">
        <f>'BCDTRtSY-state-adjusted'!V15</f>
        <v>1.3348596990337065</v>
      </c>
      <c r="W4">
        <f>'BCDTRtSY-state-adjusted'!W15</f>
        <v>1.3522084420891771</v>
      </c>
      <c r="X4">
        <f>'BCDTRtSY-state-adjusted'!X15</f>
        <v>1.3688761051377274</v>
      </c>
      <c r="Y4">
        <f>'BCDTRtSY-state-adjusted'!Y15</f>
        <v>1.384242763825688</v>
      </c>
      <c r="Z4">
        <f>'BCDTRtSY-state-adjusted'!Z15</f>
        <v>1.3997199822650082</v>
      </c>
      <c r="AA4">
        <f>'BCDTRtSY-state-adjusted'!AA15</f>
        <v>1.4145010955557336</v>
      </c>
      <c r="AB4">
        <f>'BCDTRtSY-state-adjusted'!AB15</f>
        <v>1.4296151306791509</v>
      </c>
    </row>
    <row r="5" spans="1:28">
      <c r="A5" t="s">
        <v>121</v>
      </c>
      <c r="B5">
        <f>'BCDTRtSY-state-adjusted'!B16</f>
        <v>1</v>
      </c>
      <c r="C5">
        <f>'BCDTRtSY-state-adjusted'!C16</f>
        <v>1</v>
      </c>
      <c r="D5">
        <f>'BCDTRtSY-state-adjusted'!D16</f>
        <v>0.97636781254973359</v>
      </c>
      <c r="E5">
        <f>'BCDTRtSY-state-adjusted'!E16</f>
        <v>1.0069089855198021</v>
      </c>
      <c r="F5">
        <f>'BCDTRtSY-state-adjusted'!F16</f>
        <v>0.98534652163632386</v>
      </c>
      <c r="G5">
        <f>'BCDTRtSY-state-adjusted'!G16</f>
        <v>0.97666984702065951</v>
      </c>
      <c r="H5">
        <f>'BCDTRtSY-state-adjusted'!H16</f>
        <v>0.98227547246593938</v>
      </c>
      <c r="I5">
        <f>'BCDTRtSY-state-adjusted'!I16</f>
        <v>0.95315902902758076</v>
      </c>
      <c r="J5">
        <f>'BCDTRtSY-state-adjusted'!J16</f>
        <v>0.95324074314343465</v>
      </c>
      <c r="K5">
        <f>'BCDTRtSY-state-adjusted'!K16</f>
        <v>0.95346015258256234</v>
      </c>
      <c r="L5">
        <f>'BCDTRtSY-state-adjusted'!L16</f>
        <v>0.9468756641844398</v>
      </c>
      <c r="M5">
        <f>'BCDTRtSY-state-adjusted'!M16</f>
        <v>0.94609948594360826</v>
      </c>
      <c r="N5">
        <f>'BCDTRtSY-state-adjusted'!N16</f>
        <v>0.94448491393285172</v>
      </c>
      <c r="O5">
        <f>'BCDTRtSY-state-adjusted'!O16</f>
        <v>0.94421123726923961</v>
      </c>
      <c r="P5">
        <f>'BCDTRtSY-state-adjusted'!P16</f>
        <v>0.9407656165036784</v>
      </c>
      <c r="Q5">
        <f>'BCDTRtSY-state-adjusted'!Q16</f>
        <v>0.93884700531394616</v>
      </c>
      <c r="R5">
        <f>'BCDTRtSY-state-adjusted'!R16</f>
        <v>0.9359821214457209</v>
      </c>
      <c r="S5">
        <f>'BCDTRtSY-state-adjusted'!S16</f>
        <v>0.93111935204458052</v>
      </c>
      <c r="T5">
        <f>'BCDTRtSY-state-adjusted'!T16</f>
        <v>0.92425636734023664</v>
      </c>
      <c r="U5">
        <f>'BCDTRtSY-state-adjusted'!U16</f>
        <v>0.91803509536986516</v>
      </c>
      <c r="V5">
        <f>'BCDTRtSY-state-adjusted'!V16</f>
        <v>0.9141828435776107</v>
      </c>
      <c r="W5">
        <f>'BCDTRtSY-state-adjusted'!W16</f>
        <v>0.90978243603590225</v>
      </c>
      <c r="X5">
        <f>'BCDTRtSY-state-adjusted'!X16</f>
        <v>0.90776115871280605</v>
      </c>
      <c r="Y5">
        <f>'BCDTRtSY-state-adjusted'!Y16</f>
        <v>0.90917521607849727</v>
      </c>
      <c r="Z5">
        <f>'BCDTRtSY-state-adjusted'!Z16</f>
        <v>0.90812405915826078</v>
      </c>
      <c r="AA5">
        <f>'BCDTRtSY-state-adjusted'!AA16</f>
        <v>0.90163091919837635</v>
      </c>
      <c r="AB5">
        <f>'BCDTRtSY-state-adjusted'!AB16</f>
        <v>0.89578751578429472</v>
      </c>
    </row>
    <row r="6" spans="1:28">
      <c r="A6" t="s">
        <v>122</v>
      </c>
      <c r="B6">
        <f>'BCDTRtSY-state-adjusted'!B17</f>
        <v>1</v>
      </c>
      <c r="C6">
        <f>'BCDTRtSY-state-adjusted'!C17</f>
        <v>1</v>
      </c>
      <c r="D6">
        <f>'BCDTRtSY-state-adjusted'!D17</f>
        <v>0.99122541307157108</v>
      </c>
      <c r="E6">
        <f>'BCDTRtSY-state-adjusted'!E17</f>
        <v>1.0094209546748296</v>
      </c>
      <c r="F6">
        <f>'BCDTRtSY-state-adjusted'!F17</f>
        <v>1.0296075386168755</v>
      </c>
      <c r="G6">
        <f>'BCDTRtSY-state-adjusted'!G17</f>
        <v>1.0464064078993449</v>
      </c>
      <c r="H6">
        <f>'BCDTRtSY-state-adjusted'!H17</f>
        <v>1.0640999754879297</v>
      </c>
      <c r="I6">
        <f>'BCDTRtSY-state-adjusted'!I17</f>
        <v>1.0768652363117854</v>
      </c>
      <c r="J6">
        <f>'BCDTRtSY-state-adjusted'!J17</f>
        <v>1.0915482733453716</v>
      </c>
      <c r="K6">
        <f>'BCDTRtSY-state-adjusted'!K17</f>
        <v>1.1063965474335584</v>
      </c>
      <c r="L6">
        <f>'BCDTRtSY-state-adjusted'!L17</f>
        <v>1.1218265199944384</v>
      </c>
      <c r="M6">
        <f>'BCDTRtSY-state-adjusted'!M17</f>
        <v>1.1381144489405726</v>
      </c>
      <c r="N6">
        <f>'BCDTRtSY-state-adjusted'!N17</f>
        <v>1.1503472451733796</v>
      </c>
      <c r="O6">
        <f>'BCDTRtSY-state-adjusted'!O17</f>
        <v>1.1592180276664961</v>
      </c>
      <c r="P6">
        <f>'BCDTRtSY-state-adjusted'!P17</f>
        <v>1.1679979695829446</v>
      </c>
      <c r="Q6">
        <f>'BCDTRtSY-state-adjusted'!Q17</f>
        <v>1.1755535557650572</v>
      </c>
      <c r="R6">
        <f>'BCDTRtSY-state-adjusted'!R17</f>
        <v>1.1831154862074096</v>
      </c>
      <c r="S6">
        <f>'BCDTRtSY-state-adjusted'!S17</f>
        <v>1.1899211253929347</v>
      </c>
      <c r="T6">
        <f>'BCDTRtSY-state-adjusted'!T17</f>
        <v>1.1976656141275692</v>
      </c>
      <c r="U6">
        <f>'BCDTRtSY-state-adjusted'!U17</f>
        <v>1.2049208170843158</v>
      </c>
      <c r="V6">
        <f>'BCDTRtSY-state-adjusted'!V17</f>
        <v>1.2119501741152834</v>
      </c>
      <c r="W6">
        <f>'BCDTRtSY-state-adjusted'!W17</f>
        <v>1.2201767082496116</v>
      </c>
      <c r="X6">
        <f>'BCDTRtSY-state-adjusted'!X17</f>
        <v>1.2284581005851429</v>
      </c>
      <c r="Y6">
        <f>'BCDTRtSY-state-adjusted'!Y17</f>
        <v>1.2368260597789678</v>
      </c>
      <c r="Z6">
        <f>'BCDTRtSY-state-adjusted'!Z17</f>
        <v>1.2443792603810604</v>
      </c>
      <c r="AA6">
        <f>'BCDTRtSY-state-adjusted'!AA17</f>
        <v>1.2515569968378393</v>
      </c>
      <c r="AB6">
        <f>'BCDTRtSY-state-adjusted'!AB17</f>
        <v>1.2599855797501893</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2026-08-14T21:49:29Z</dcterms:modified>
</cp:coreProperties>
</file>