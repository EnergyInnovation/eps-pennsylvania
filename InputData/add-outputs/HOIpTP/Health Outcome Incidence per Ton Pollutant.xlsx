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PA\add-outputs\HOIpTP\"/>
    </mc:Choice>
  </mc:AlternateContent>
  <xr:revisionPtr revIDLastSave="0" documentId="8_{78A02A48-AC6A-43AB-93E3-972CB3E59AA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B13" i="19"/>
  <c r="J13" i="19" s="1"/>
  <c r="Q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L7" i="19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J3" i="19"/>
  <c r="F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R17" i="18"/>
  <c r="Q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D15" i="18"/>
  <c r="B15" i="18"/>
  <c r="C15" i="18" s="1"/>
  <c r="AA14" i="18"/>
  <c r="Y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V8" i="18"/>
  <c r="U8" i="18"/>
  <c r="N8" i="18"/>
  <c r="F8" i="18"/>
  <c r="E8" i="18"/>
  <c r="B8" i="18"/>
  <c r="Y8" i="18" s="1"/>
  <c r="AB7" i="18"/>
  <c r="AA7" i="18"/>
  <c r="H7" i="18"/>
  <c r="D7" i="18"/>
  <c r="C7" i="18"/>
  <c r="B7" i="18"/>
  <c r="G7" i="18" s="1"/>
  <c r="B6" i="18"/>
  <c r="P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P3" i="18"/>
  <c r="N3" i="18"/>
  <c r="B3" i="18"/>
  <c r="Z2" i="18"/>
  <c r="P2" i="18"/>
  <c r="B2" i="18"/>
  <c r="K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S13" i="17"/>
  <c r="R13" i="17"/>
  <c r="B13" i="17"/>
  <c r="X13" i="17" s="1"/>
  <c r="Z12" i="17"/>
  <c r="T12" i="17"/>
  <c r="S12" i="17"/>
  <c r="R12" i="17"/>
  <c r="P12" i="17"/>
  <c r="O12" i="17"/>
  <c r="H12" i="17"/>
  <c r="G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U7" i="17"/>
  <c r="B7" i="17"/>
  <c r="Q6" i="17"/>
  <c r="M6" i="17"/>
  <c r="G6" i="17"/>
  <c r="E6" i="17"/>
  <c r="C6" i="17"/>
  <c r="B6" i="17"/>
  <c r="L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Y17" i="16"/>
  <c r="V17" i="16"/>
  <c r="U17" i="16"/>
  <c r="H17" i="16"/>
  <c r="G17" i="16"/>
  <c r="B17" i="16"/>
  <c r="R17" i="16" s="1"/>
  <c r="B16" i="16"/>
  <c r="AA15" i="16"/>
  <c r="X15" i="16"/>
  <c r="K15" i="16"/>
  <c r="B15" i="16"/>
  <c r="Y15" i="16" s="1"/>
  <c r="G14" i="16"/>
  <c r="F14" i="16"/>
  <c r="C14" i="16"/>
  <c r="B14" i="16"/>
  <c r="AB14" i="16" s="1"/>
  <c r="X13" i="16"/>
  <c r="W13" i="16"/>
  <c r="J13" i="16"/>
  <c r="B13" i="16"/>
  <c r="D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T7" i="16"/>
  <c r="G7" i="16"/>
  <c r="B7" i="16"/>
  <c r="T6" i="16"/>
  <c r="S6" i="16"/>
  <c r="N6" i="16"/>
  <c r="L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R3" i="16"/>
  <c r="O3" i="16"/>
  <c r="C3" i="16"/>
  <c r="B3" i="16"/>
  <c r="T3" i="16" s="1"/>
  <c r="B2" i="16"/>
  <c r="AA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T15" i="15"/>
  <c r="S15" i="15"/>
  <c r="K15" i="15"/>
  <c r="I15" i="15"/>
  <c r="G15" i="15"/>
  <c r="E15" i="15"/>
  <c r="C15" i="15"/>
  <c r="B15" i="15"/>
  <c r="AA15" i="15" s="1"/>
  <c r="AB14" i="15"/>
  <c r="O14" i="15"/>
  <c r="M14" i="15"/>
  <c r="D14" i="15"/>
  <c r="B14" i="15"/>
  <c r="N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Y8" i="15"/>
  <c r="R8" i="15"/>
  <c r="O8" i="15"/>
  <c r="N8" i="15"/>
  <c r="L8" i="15"/>
  <c r="K8" i="15"/>
  <c r="G8" i="15"/>
  <c r="C8" i="15"/>
  <c r="B8" i="15"/>
  <c r="AA7" i="15"/>
  <c r="Y7" i="15"/>
  <c r="W7" i="15"/>
  <c r="S7" i="15"/>
  <c r="R7" i="15"/>
  <c r="Q7" i="15"/>
  <c r="O7" i="15"/>
  <c r="N7" i="15"/>
  <c r="M7" i="15"/>
  <c r="L7" i="15"/>
  <c r="K7" i="15"/>
  <c r="J7" i="15"/>
  <c r="I7" i="15"/>
  <c r="H7" i="15"/>
  <c r="G7" i="15"/>
  <c r="F7" i="15"/>
  <c r="D7" i="15"/>
  <c r="B7" i="15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G3" i="15"/>
  <c r="F3" i="15"/>
  <c r="E3" i="15"/>
  <c r="D3" i="15"/>
  <c r="B3" i="15"/>
  <c r="AA2" i="15"/>
  <c r="Z2" i="15"/>
  <c r="S2" i="15"/>
  <c r="R2" i="15"/>
  <c r="Q2" i="15"/>
  <c r="M2" i="15"/>
  <c r="I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W15" i="14"/>
  <c r="V15" i="14"/>
  <c r="B15" i="14"/>
  <c r="P15" i="14" s="1"/>
  <c r="AB14" i="14"/>
  <c r="S14" i="14"/>
  <c r="B14" i="14"/>
  <c r="Y14" i="14" s="1"/>
  <c r="S13" i="14"/>
  <c r="R13" i="14"/>
  <c r="B13" i="14"/>
  <c r="X13" i="14" s="1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V7" i="14"/>
  <c r="S7" i="14"/>
  <c r="P7" i="14"/>
  <c r="N7" i="14"/>
  <c r="I7" i="14"/>
  <c r="C7" i="14"/>
  <c r="B7" i="14"/>
  <c r="Z6" i="14"/>
  <c r="X6" i="14"/>
  <c r="W6" i="14"/>
  <c r="T6" i="14"/>
  <c r="S6" i="14"/>
  <c r="R6" i="14"/>
  <c r="P6" i="14"/>
  <c r="N6" i="14"/>
  <c r="M6" i="14"/>
  <c r="K6" i="14"/>
  <c r="H6" i="14"/>
  <c r="G6" i="14"/>
  <c r="F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W3" i="14"/>
  <c r="V3" i="14"/>
  <c r="U3" i="14"/>
  <c r="S3" i="14"/>
  <c r="P3" i="14"/>
  <c r="N3" i="14"/>
  <c r="K3" i="14"/>
  <c r="F3" i="14"/>
  <c r="D3" i="14"/>
  <c r="B3" i="14"/>
  <c r="U2" i="14"/>
  <c r="P2" i="14"/>
  <c r="O2" i="14"/>
  <c r="F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F15" i="13"/>
  <c r="B15" i="13"/>
  <c r="AB15" i="13" s="1"/>
  <c r="AA14" i="13"/>
  <c r="W14" i="13"/>
  <c r="B14" i="13"/>
  <c r="M14" i="13" s="1"/>
  <c r="Z13" i="13"/>
  <c r="Y13" i="13"/>
  <c r="X13" i="13"/>
  <c r="V13" i="13"/>
  <c r="T13" i="13"/>
  <c r="S13" i="13"/>
  <c r="Q13" i="13"/>
  <c r="O13" i="13"/>
  <c r="N13" i="13"/>
  <c r="M13" i="13"/>
  <c r="G13" i="13"/>
  <c r="B13" i="13"/>
  <c r="O12" i="13"/>
  <c r="L12" i="13"/>
  <c r="J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W7" i="13"/>
  <c r="U7" i="13"/>
  <c r="S7" i="13"/>
  <c r="M7" i="13"/>
  <c r="G7" i="13"/>
  <c r="F7" i="13"/>
  <c r="B7" i="13"/>
  <c r="M6" i="13"/>
  <c r="K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J3" i="13"/>
  <c r="I3" i="13"/>
  <c r="F3" i="13"/>
  <c r="E3" i="13"/>
  <c r="C3" i="13"/>
  <c r="B3" i="13"/>
  <c r="AB2" i="13"/>
  <c r="Z2" i="13"/>
  <c r="B2" i="13"/>
  <c r="F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B17" i="12"/>
  <c r="G17" i="12" s="1"/>
  <c r="AB16" i="12"/>
  <c r="AA16" i="12"/>
  <c r="Z16" i="12"/>
  <c r="J16" i="12"/>
  <c r="C16" i="12"/>
  <c r="B16" i="12"/>
  <c r="L15" i="12"/>
  <c r="K15" i="12"/>
  <c r="F15" i="12"/>
  <c r="D15" i="12"/>
  <c r="B15" i="12"/>
  <c r="W14" i="12"/>
  <c r="L14" i="12"/>
  <c r="K14" i="12"/>
  <c r="B14" i="12"/>
  <c r="X14" i="12" s="1"/>
  <c r="B13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V8" i="12"/>
  <c r="S8" i="12"/>
  <c r="R8" i="12"/>
  <c r="Q8" i="12"/>
  <c r="M8" i="12"/>
  <c r="J8" i="12"/>
  <c r="I8" i="12"/>
  <c r="H8" i="12"/>
  <c r="G8" i="12"/>
  <c r="F8" i="12"/>
  <c r="C8" i="12"/>
  <c r="B8" i="12"/>
  <c r="J7" i="12"/>
  <c r="I7" i="12"/>
  <c r="F7" i="12"/>
  <c r="D7" i="12"/>
  <c r="B7" i="12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T3" i="12"/>
  <c r="K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R15" i="11" s="1"/>
  <c r="AB14" i="11"/>
  <c r="AA14" i="11"/>
  <c r="X14" i="11"/>
  <c r="W14" i="11"/>
  <c r="V14" i="11"/>
  <c r="U14" i="11"/>
  <c r="T14" i="11"/>
  <c r="R14" i="11"/>
  <c r="N14" i="11"/>
  <c r="H14" i="1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J12" i="11"/>
  <c r="I12" i="11"/>
  <c r="G12" i="11"/>
  <c r="E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P8" i="11"/>
  <c r="I8" i="11"/>
  <c r="B8" i="11"/>
  <c r="AA7" i="11"/>
  <c r="Z7" i="11"/>
  <c r="X7" i="11"/>
  <c r="V7" i="11"/>
  <c r="U7" i="11"/>
  <c r="T7" i="11"/>
  <c r="S7" i="11"/>
  <c r="P7" i="11"/>
  <c r="O7" i="11"/>
  <c r="N7" i="11"/>
  <c r="J7" i="11"/>
  <c r="B7" i="11"/>
  <c r="AB7" i="11" s="1"/>
  <c r="X6" i="11"/>
  <c r="T6" i="11"/>
  <c r="R6" i="11"/>
  <c r="Q6" i="11"/>
  <c r="P6" i="11"/>
  <c r="L6" i="11"/>
  <c r="K6" i="11"/>
  <c r="J6" i="11"/>
  <c r="H6" i="11"/>
  <c r="G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B3" i="11"/>
  <c r="K3" i="11" s="1"/>
  <c r="Q2" i="11"/>
  <c r="N2" i="11"/>
  <c r="I2" i="11"/>
  <c r="G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W15" i="10"/>
  <c r="V15" i="10"/>
  <c r="U15" i="10"/>
  <c r="T15" i="10"/>
  <c r="R15" i="10"/>
  <c r="Q15" i="10"/>
  <c r="P15" i="10"/>
  <c r="M15" i="10"/>
  <c r="B15" i="10"/>
  <c r="Z14" i="10"/>
  <c r="Y14" i="10"/>
  <c r="W14" i="10"/>
  <c r="V14" i="10"/>
  <c r="U14" i="10"/>
  <c r="T14" i="10"/>
  <c r="S14" i="10"/>
  <c r="R14" i="10"/>
  <c r="Q14" i="10"/>
  <c r="P14" i="10"/>
  <c r="L14" i="10"/>
  <c r="B14" i="10"/>
  <c r="C14" i="10" s="1"/>
  <c r="B13" i="10"/>
  <c r="Y13" i="10" s="1"/>
  <c r="AA12" i="10"/>
  <c r="G12" i="10"/>
  <c r="B12" i="10"/>
  <c r="C11" i="10"/>
  <c r="B11" i="10"/>
  <c r="B10" i="10"/>
  <c r="B9" i="10"/>
  <c r="Z8" i="10"/>
  <c r="C8" i="10"/>
  <c r="B8" i="10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Y2" i="10"/>
  <c r="B2" i="10"/>
  <c r="F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F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K15" i="9" s="1"/>
  <c r="B14" i="9"/>
  <c r="T14" i="9" s="1"/>
  <c r="AA13" i="9"/>
  <c r="Z13" i="9"/>
  <c r="Y13" i="9"/>
  <c r="X13" i="9"/>
  <c r="W13" i="9"/>
  <c r="S13" i="9"/>
  <c r="Q13" i="9"/>
  <c r="M13" i="9"/>
  <c r="D13" i="9"/>
  <c r="C13" i="9"/>
  <c r="B13" i="9"/>
  <c r="AB12" i="9"/>
  <c r="Z12" i="9"/>
  <c r="Y12" i="9"/>
  <c r="W12" i="9"/>
  <c r="U12" i="9"/>
  <c r="S12" i="9"/>
  <c r="J12" i="9"/>
  <c r="H12" i="9"/>
  <c r="E12" i="9"/>
  <c r="D12" i="9"/>
  <c r="C12" i="9"/>
  <c r="B12" i="9"/>
  <c r="AA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Q8" i="9"/>
  <c r="P8" i="9"/>
  <c r="O8" i="9"/>
  <c r="N8" i="9"/>
  <c r="M8" i="9"/>
  <c r="L8" i="9"/>
  <c r="K8" i="9"/>
  <c r="I8" i="9"/>
  <c r="G8" i="9"/>
  <c r="F8" i="9"/>
  <c r="B8" i="9"/>
  <c r="Q7" i="9"/>
  <c r="P7" i="9"/>
  <c r="N7" i="9"/>
  <c r="L7" i="9"/>
  <c r="J7" i="9"/>
  <c r="I7" i="9"/>
  <c r="G7" i="9"/>
  <c r="F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F3" i="9"/>
  <c r="C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F15" i="8"/>
  <c r="E15" i="8"/>
  <c r="B15" i="8"/>
  <c r="AB14" i="8"/>
  <c r="Z14" i="8"/>
  <c r="Y14" i="8"/>
  <c r="W14" i="8"/>
  <c r="E14" i="8"/>
  <c r="C14" i="8"/>
  <c r="B14" i="8"/>
  <c r="AB13" i="8"/>
  <c r="AA13" i="8"/>
  <c r="X13" i="8"/>
  <c r="F13" i="8"/>
  <c r="C13" i="8"/>
  <c r="B13" i="8"/>
  <c r="AB12" i="8"/>
  <c r="AA12" i="8"/>
  <c r="Z12" i="8"/>
  <c r="B12" i="8"/>
  <c r="T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U7" i="8" s="1"/>
  <c r="O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W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AB3" i="8" s="1"/>
  <c r="B2" i="8"/>
  <c r="R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D17" i="7"/>
  <c r="B17" i="7"/>
  <c r="N16" i="7"/>
  <c r="M16" i="7"/>
  <c r="L16" i="7"/>
  <c r="J16" i="7"/>
  <c r="H16" i="7"/>
  <c r="G16" i="7"/>
  <c r="B16" i="7"/>
  <c r="AA16" i="7" s="1"/>
  <c r="AB15" i="7"/>
  <c r="Y15" i="7"/>
  <c r="W15" i="7"/>
  <c r="V15" i="7"/>
  <c r="U15" i="7"/>
  <c r="T15" i="7"/>
  <c r="S15" i="7"/>
  <c r="Q15" i="7"/>
  <c r="P15" i="7"/>
  <c r="O15" i="7"/>
  <c r="M15" i="7"/>
  <c r="L15" i="7"/>
  <c r="K15" i="7"/>
  <c r="J15" i="7"/>
  <c r="I15" i="7"/>
  <c r="H15" i="7"/>
  <c r="D15" i="7"/>
  <c r="C15" i="7"/>
  <c r="B15" i="7"/>
  <c r="Z15" i="7" s="1"/>
  <c r="AB14" i="7"/>
  <c r="AA14" i="7"/>
  <c r="Y14" i="7"/>
  <c r="X14" i="7"/>
  <c r="V14" i="7"/>
  <c r="T14" i="7"/>
  <c r="S14" i="7"/>
  <c r="R14" i="7"/>
  <c r="O14" i="7"/>
  <c r="N14" i="7"/>
  <c r="M14" i="7"/>
  <c r="L14" i="7"/>
  <c r="J14" i="7"/>
  <c r="I14" i="7"/>
  <c r="H14" i="7"/>
  <c r="F14" i="7"/>
  <c r="B14" i="7"/>
  <c r="B13" i="7"/>
  <c r="J13" i="7" s="1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T8" i="7"/>
  <c r="B8" i="7"/>
  <c r="C8" i="7" s="1"/>
  <c r="AB7" i="7"/>
  <c r="AA7" i="7"/>
  <c r="Z7" i="7"/>
  <c r="Y7" i="7"/>
  <c r="W7" i="7"/>
  <c r="V7" i="7"/>
  <c r="U7" i="7"/>
  <c r="S7" i="7"/>
  <c r="B7" i="7"/>
  <c r="J7" i="7" s="1"/>
  <c r="AB6" i="7"/>
  <c r="Z6" i="7"/>
  <c r="X6" i="7"/>
  <c r="W6" i="7"/>
  <c r="V6" i="7"/>
  <c r="U6" i="7"/>
  <c r="S6" i="7"/>
  <c r="R6" i="7"/>
  <c r="Q6" i="7"/>
  <c r="P6" i="7"/>
  <c r="O6" i="7"/>
  <c r="N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Z3" i="7" s="1"/>
  <c r="Z2" i="7"/>
  <c r="S2" i="7"/>
  <c r="R2" i="7"/>
  <c r="Q2" i="7"/>
  <c r="P2" i="7"/>
  <c r="O2" i="7"/>
  <c r="K2" i="7"/>
  <c r="B2" i="7"/>
  <c r="G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M17" i="6"/>
  <c r="K17" i="6"/>
  <c r="J17" i="6"/>
  <c r="E17" i="6"/>
  <c r="D17" i="6"/>
  <c r="B17" i="6"/>
  <c r="E16" i="6"/>
  <c r="D16" i="6"/>
  <c r="C16" i="6"/>
  <c r="B16" i="6"/>
  <c r="AA15" i="6"/>
  <c r="Y15" i="6"/>
  <c r="W15" i="6"/>
  <c r="V15" i="6"/>
  <c r="U15" i="6"/>
  <c r="T15" i="6"/>
  <c r="C15" i="6"/>
  <c r="B15" i="6"/>
  <c r="AB14" i="6"/>
  <c r="AA14" i="6"/>
  <c r="Y14" i="6"/>
  <c r="X14" i="6"/>
  <c r="T14" i="6"/>
  <c r="C14" i="6"/>
  <c r="B14" i="6"/>
  <c r="Y13" i="6"/>
  <c r="V13" i="6"/>
  <c r="T13" i="6"/>
  <c r="R13" i="6"/>
  <c r="Q13" i="6"/>
  <c r="P13" i="6"/>
  <c r="O13" i="6"/>
  <c r="N13" i="6"/>
  <c r="H13" i="6"/>
  <c r="G13" i="6"/>
  <c r="B13" i="6"/>
  <c r="Y12" i="6"/>
  <c r="V12" i="6"/>
  <c r="U12" i="6"/>
  <c r="T12" i="6"/>
  <c r="S12" i="6"/>
  <c r="R12" i="6"/>
  <c r="P12" i="6"/>
  <c r="O12" i="6"/>
  <c r="L12" i="6"/>
  <c r="K12" i="6"/>
  <c r="J12" i="6"/>
  <c r="D12" i="6"/>
  <c r="B12" i="6"/>
  <c r="AB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AB8" i="6" s="1"/>
  <c r="B7" i="6"/>
  <c r="J7" i="6" s="1"/>
  <c r="AB6" i="6"/>
  <c r="AA6" i="6"/>
  <c r="O6" i="6"/>
  <c r="N6" i="6"/>
  <c r="M6" i="6"/>
  <c r="L6" i="6"/>
  <c r="K6" i="6"/>
  <c r="J6" i="6"/>
  <c r="I6" i="6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O17" i="5" s="1"/>
  <c r="B16" i="5"/>
  <c r="AB15" i="5"/>
  <c r="AA15" i="5"/>
  <c r="V15" i="5"/>
  <c r="U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B15" i="5"/>
  <c r="X15" i="5" s="1"/>
  <c r="B14" i="5"/>
  <c r="D14" i="5" s="1"/>
  <c r="Z13" i="5"/>
  <c r="Y13" i="5"/>
  <c r="X13" i="5"/>
  <c r="R13" i="5"/>
  <c r="M13" i="5"/>
  <c r="K13" i="5"/>
  <c r="J13" i="5"/>
  <c r="I13" i="5"/>
  <c r="H13" i="5"/>
  <c r="G13" i="5"/>
  <c r="F13" i="5"/>
  <c r="D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F2" i="5"/>
  <c r="E2" i="5"/>
  <c r="B2" i="5"/>
  <c r="D2" i="5" s="1"/>
  <c r="B2" i="1"/>
  <c r="AB17" i="7" l="1"/>
  <c r="G17" i="7"/>
  <c r="C17" i="7"/>
  <c r="AB14" i="9"/>
  <c r="X15" i="12"/>
  <c r="H15" i="12"/>
  <c r="E15" i="12"/>
  <c r="AA15" i="12"/>
  <c r="C15" i="12"/>
  <c r="V15" i="12"/>
  <c r="Y2" i="13"/>
  <c r="Q2" i="14"/>
  <c r="AA2" i="14"/>
  <c r="Y2" i="14"/>
  <c r="R2" i="14"/>
  <c r="Q13" i="14"/>
  <c r="U15" i="14"/>
  <c r="X15" i="13"/>
  <c r="W15" i="13"/>
  <c r="S15" i="13"/>
  <c r="Q15" i="13"/>
  <c r="M15" i="13"/>
  <c r="E6" i="18"/>
  <c r="N12" i="7"/>
  <c r="J12" i="7"/>
  <c r="H13" i="7"/>
  <c r="F17" i="7"/>
  <c r="F2" i="8"/>
  <c r="S13" i="8"/>
  <c r="O13" i="8"/>
  <c r="X14" i="8"/>
  <c r="P14" i="8"/>
  <c r="L14" i="8"/>
  <c r="AA14" i="8"/>
  <c r="E14" i="9"/>
  <c r="Y15" i="9"/>
  <c r="D13" i="10"/>
  <c r="D3" i="11"/>
  <c r="C12" i="11"/>
  <c r="X12" i="11"/>
  <c r="Y7" i="12"/>
  <c r="V7" i="12"/>
  <c r="P7" i="12"/>
  <c r="G7" i="12"/>
  <c r="G15" i="12"/>
  <c r="AA3" i="13"/>
  <c r="W3" i="13"/>
  <c r="P3" i="13"/>
  <c r="K3" i="13"/>
  <c r="C15" i="13"/>
  <c r="G2" i="14"/>
  <c r="Y15" i="14"/>
  <c r="Z6" i="16"/>
  <c r="W6" i="16"/>
  <c r="Q6" i="16"/>
  <c r="O6" i="16"/>
  <c r="M6" i="16"/>
  <c r="K6" i="16"/>
  <c r="I6" i="16"/>
  <c r="H6" i="16"/>
  <c r="G6" i="16"/>
  <c r="F6" i="16"/>
  <c r="Z3" i="18"/>
  <c r="H3" i="18"/>
  <c r="E3" i="18"/>
  <c r="D3" i="18"/>
  <c r="Y3" i="18"/>
  <c r="V3" i="18"/>
  <c r="S3" i="18"/>
  <c r="R3" i="18"/>
  <c r="Q3" i="18"/>
  <c r="M3" i="18"/>
  <c r="K3" i="18"/>
  <c r="F14" i="9"/>
  <c r="Z15" i="9"/>
  <c r="Z17" i="9"/>
  <c r="G17" i="9"/>
  <c r="AA17" i="9"/>
  <c r="F13" i="10"/>
  <c r="E3" i="11"/>
  <c r="I15" i="12"/>
  <c r="AB6" i="13"/>
  <c r="AA6" i="13"/>
  <c r="P6" i="13"/>
  <c r="J6" i="13"/>
  <c r="D15" i="13"/>
  <c r="L2" i="14"/>
  <c r="AA15" i="14"/>
  <c r="E6" i="16"/>
  <c r="I3" i="18"/>
  <c r="N3" i="5"/>
  <c r="I7" i="5"/>
  <c r="P17" i="5"/>
  <c r="U14" i="6"/>
  <c r="W14" i="6"/>
  <c r="X15" i="6"/>
  <c r="S15" i="6"/>
  <c r="Z15" i="6"/>
  <c r="E12" i="7"/>
  <c r="I17" i="7"/>
  <c r="H2" i="8"/>
  <c r="F6" i="8"/>
  <c r="E13" i="8"/>
  <c r="D14" i="8"/>
  <c r="Z15" i="8"/>
  <c r="N15" i="8"/>
  <c r="J15" i="8"/>
  <c r="M7" i="9"/>
  <c r="G14" i="9"/>
  <c r="E17" i="9"/>
  <c r="H13" i="10"/>
  <c r="H3" i="11"/>
  <c r="F12" i="11"/>
  <c r="E7" i="12"/>
  <c r="J15" i="12"/>
  <c r="D3" i="13"/>
  <c r="G6" i="13"/>
  <c r="AB12" i="13"/>
  <c r="M12" i="13"/>
  <c r="I12" i="13"/>
  <c r="D12" i="13"/>
  <c r="E15" i="13"/>
  <c r="M2" i="14"/>
  <c r="R14" i="14"/>
  <c r="AB15" i="14"/>
  <c r="P3" i="15"/>
  <c r="C3" i="15"/>
  <c r="Z3" i="15"/>
  <c r="Y3" i="15"/>
  <c r="X3" i="15"/>
  <c r="Q3" i="15"/>
  <c r="J6" i="16"/>
  <c r="J3" i="18"/>
  <c r="Z13" i="7"/>
  <c r="R13" i="7"/>
  <c r="M13" i="7"/>
  <c r="E13" i="7"/>
  <c r="AB6" i="18"/>
  <c r="AA6" i="18"/>
  <c r="X6" i="18"/>
  <c r="W6" i="18"/>
  <c r="Q6" i="18"/>
  <c r="O6" i="18"/>
  <c r="K6" i="18"/>
  <c r="J6" i="18"/>
  <c r="I6" i="18"/>
  <c r="L3" i="5"/>
  <c r="L17" i="5"/>
  <c r="T3" i="5"/>
  <c r="V7" i="5"/>
  <c r="S17" i="5"/>
  <c r="E14" i="6"/>
  <c r="L2" i="8"/>
  <c r="K14" i="9"/>
  <c r="K17" i="9"/>
  <c r="H15" i="13"/>
  <c r="Q2" i="16"/>
  <c r="V3" i="5"/>
  <c r="Y7" i="5"/>
  <c r="O14" i="5"/>
  <c r="U17" i="5"/>
  <c r="E8" i="6"/>
  <c r="W12" i="6"/>
  <c r="H14" i="6"/>
  <c r="G15" i="6"/>
  <c r="J3" i="7"/>
  <c r="D7" i="7"/>
  <c r="D8" i="7"/>
  <c r="L12" i="7"/>
  <c r="S13" i="7"/>
  <c r="Q17" i="7"/>
  <c r="N2" i="8"/>
  <c r="J7" i="8"/>
  <c r="D12" i="8"/>
  <c r="J13" i="8"/>
  <c r="I14" i="8"/>
  <c r="I15" i="8"/>
  <c r="T7" i="9"/>
  <c r="N14" i="9"/>
  <c r="O17" i="9"/>
  <c r="D2" i="10"/>
  <c r="Q8" i="10"/>
  <c r="N8" i="10"/>
  <c r="AA13" i="10"/>
  <c r="AB14" i="10"/>
  <c r="Q3" i="11"/>
  <c r="L12" i="11"/>
  <c r="W15" i="11"/>
  <c r="S7" i="12"/>
  <c r="AA12" i="12"/>
  <c r="O15" i="12"/>
  <c r="E2" i="13"/>
  <c r="L3" i="13"/>
  <c r="Z6" i="13"/>
  <c r="R12" i="13"/>
  <c r="E14" i="13"/>
  <c r="J15" i="13"/>
  <c r="X2" i="14"/>
  <c r="E15" i="14"/>
  <c r="X2" i="15"/>
  <c r="E2" i="15"/>
  <c r="AB2" i="15"/>
  <c r="C2" i="15"/>
  <c r="Y2" i="15"/>
  <c r="V2" i="15"/>
  <c r="U2" i="15"/>
  <c r="P2" i="15"/>
  <c r="I3" i="15"/>
  <c r="T2" i="16"/>
  <c r="V6" i="16"/>
  <c r="F13" i="7"/>
  <c r="C3" i="11"/>
  <c r="J14" i="9"/>
  <c r="P13" i="10"/>
  <c r="E15" i="6"/>
  <c r="G3" i="7"/>
  <c r="O13" i="7"/>
  <c r="H12" i="12"/>
  <c r="M15" i="12"/>
  <c r="C2" i="13"/>
  <c r="U3" i="5"/>
  <c r="H3" i="7"/>
  <c r="M17" i="7"/>
  <c r="M2" i="8"/>
  <c r="G7" i="8"/>
  <c r="C12" i="8"/>
  <c r="H14" i="8"/>
  <c r="S7" i="9"/>
  <c r="Z13" i="10"/>
  <c r="Z12" i="12"/>
  <c r="N15" i="12"/>
  <c r="D2" i="13"/>
  <c r="K7" i="8"/>
  <c r="E12" i="8"/>
  <c r="K13" i="8"/>
  <c r="J14" i="8"/>
  <c r="K15" i="8"/>
  <c r="U7" i="9"/>
  <c r="X15" i="10"/>
  <c r="I15" i="10"/>
  <c r="D15" i="10"/>
  <c r="Y15" i="10"/>
  <c r="Q7" i="11"/>
  <c r="W7" i="11"/>
  <c r="R7" i="11"/>
  <c r="M7" i="11"/>
  <c r="AB8" i="11"/>
  <c r="S8" i="11"/>
  <c r="O8" i="11"/>
  <c r="M12" i="11"/>
  <c r="S14" i="11"/>
  <c r="P14" i="11"/>
  <c r="M14" i="11"/>
  <c r="K14" i="11"/>
  <c r="G14" i="11"/>
  <c r="W7" i="12"/>
  <c r="AB12" i="12"/>
  <c r="P15" i="12"/>
  <c r="M3" i="13"/>
  <c r="Y7" i="13"/>
  <c r="D7" i="13"/>
  <c r="X7" i="13"/>
  <c r="S12" i="13"/>
  <c r="F14" i="13"/>
  <c r="K15" i="13"/>
  <c r="Z2" i="14"/>
  <c r="F15" i="14"/>
  <c r="D2" i="15"/>
  <c r="J3" i="15"/>
  <c r="Z7" i="16"/>
  <c r="V7" i="16"/>
  <c r="U7" i="16"/>
  <c r="S7" i="16"/>
  <c r="P7" i="16"/>
  <c r="M7" i="16"/>
  <c r="L7" i="16"/>
  <c r="J7" i="16"/>
  <c r="I7" i="16"/>
  <c r="E7" i="16"/>
  <c r="X7" i="17"/>
  <c r="W7" i="17"/>
  <c r="V7" i="17"/>
  <c r="S7" i="17"/>
  <c r="R7" i="17"/>
  <c r="P7" i="17"/>
  <c r="O7" i="17"/>
  <c r="J7" i="17"/>
  <c r="G7" i="17"/>
  <c r="F7" i="17"/>
  <c r="E7" i="17"/>
  <c r="D7" i="17"/>
  <c r="AA17" i="17"/>
  <c r="Z17" i="17"/>
  <c r="Y17" i="17"/>
  <c r="X17" i="17"/>
  <c r="W17" i="17"/>
  <c r="U17" i="17"/>
  <c r="Q17" i="17"/>
  <c r="O17" i="17"/>
  <c r="M17" i="17"/>
  <c r="L17" i="17"/>
  <c r="E17" i="7"/>
  <c r="I13" i="7"/>
  <c r="Q3" i="5"/>
  <c r="M13" i="10"/>
  <c r="S2" i="13"/>
  <c r="U2" i="13"/>
  <c r="P2" i="13"/>
  <c r="N2" i="13"/>
  <c r="I2" i="13"/>
  <c r="X8" i="7"/>
  <c r="I8" i="7"/>
  <c r="E8" i="7"/>
  <c r="G15" i="8"/>
  <c r="V2" i="14"/>
  <c r="Z7" i="5"/>
  <c r="I14" i="6"/>
  <c r="S17" i="7"/>
  <c r="P2" i="8"/>
  <c r="O14" i="9"/>
  <c r="P17" i="9"/>
  <c r="E2" i="10"/>
  <c r="R3" i="11"/>
  <c r="AA7" i="5"/>
  <c r="W14" i="5"/>
  <c r="S15" i="5"/>
  <c r="W17" i="5"/>
  <c r="H8" i="6"/>
  <c r="J14" i="6"/>
  <c r="I15" i="6"/>
  <c r="N17" i="6"/>
  <c r="L17" i="6"/>
  <c r="AB17" i="6"/>
  <c r="L3" i="7"/>
  <c r="F7" i="7"/>
  <c r="G8" i="7"/>
  <c r="O12" i="7"/>
  <c r="V13" i="7"/>
  <c r="T17" i="7"/>
  <c r="Q2" i="8"/>
  <c r="S3" i="8"/>
  <c r="M7" i="8"/>
  <c r="H12" i="8"/>
  <c r="L13" i="8"/>
  <c r="K14" i="8"/>
  <c r="L15" i="8"/>
  <c r="W7" i="9"/>
  <c r="P14" i="9"/>
  <c r="Q17" i="9"/>
  <c r="G8" i="10"/>
  <c r="C15" i="10"/>
  <c r="S3" i="11"/>
  <c r="C7" i="11"/>
  <c r="C8" i="11"/>
  <c r="O12" i="11"/>
  <c r="C14" i="11"/>
  <c r="M3" i="12"/>
  <c r="J3" i="12"/>
  <c r="G3" i="12"/>
  <c r="X7" i="12"/>
  <c r="Q15" i="12"/>
  <c r="G2" i="13"/>
  <c r="N3" i="13"/>
  <c r="C7" i="13"/>
  <c r="T12" i="13"/>
  <c r="H14" i="13"/>
  <c r="L15" i="13"/>
  <c r="AB2" i="14"/>
  <c r="H15" i="14"/>
  <c r="F2" i="15"/>
  <c r="K3" i="15"/>
  <c r="C7" i="16"/>
  <c r="H7" i="17"/>
  <c r="E17" i="17"/>
  <c r="G2" i="8"/>
  <c r="J3" i="11"/>
  <c r="F3" i="7"/>
  <c r="G12" i="7"/>
  <c r="J17" i="9"/>
  <c r="W2" i="10"/>
  <c r="V2" i="10"/>
  <c r="M2" i="10"/>
  <c r="D8" i="6"/>
  <c r="F15" i="6"/>
  <c r="K12" i="7"/>
  <c r="H15" i="8"/>
  <c r="K7" i="12"/>
  <c r="V14" i="5"/>
  <c r="H15" i="6"/>
  <c r="X14" i="10"/>
  <c r="M14" i="10"/>
  <c r="H14" i="10"/>
  <c r="AA14" i="10"/>
  <c r="D14" i="10"/>
  <c r="AB7" i="5"/>
  <c r="Y14" i="5"/>
  <c r="T15" i="5"/>
  <c r="X17" i="5"/>
  <c r="I8" i="6"/>
  <c r="AB13" i="6"/>
  <c r="S13" i="6"/>
  <c r="K14" i="6"/>
  <c r="J15" i="6"/>
  <c r="C17" i="6"/>
  <c r="M3" i="7"/>
  <c r="I7" i="7"/>
  <c r="H8" i="7"/>
  <c r="P12" i="7"/>
  <c r="W13" i="7"/>
  <c r="X15" i="7"/>
  <c r="R15" i="7"/>
  <c r="N15" i="7"/>
  <c r="AA15" i="7"/>
  <c r="U17" i="7"/>
  <c r="V3" i="8"/>
  <c r="O7" i="8"/>
  <c r="N12" i="8"/>
  <c r="M13" i="8"/>
  <c r="M14" i="8"/>
  <c r="M15" i="8"/>
  <c r="X7" i="9"/>
  <c r="Q14" i="9"/>
  <c r="R17" i="9"/>
  <c r="G2" i="10"/>
  <c r="I8" i="10"/>
  <c r="E14" i="10"/>
  <c r="E15" i="10"/>
  <c r="Y3" i="11"/>
  <c r="D7" i="11"/>
  <c r="D8" i="11"/>
  <c r="P12" i="11"/>
  <c r="E14" i="11"/>
  <c r="F3" i="12"/>
  <c r="Z7" i="12"/>
  <c r="R15" i="12"/>
  <c r="H2" i="13"/>
  <c r="V3" i="13"/>
  <c r="E7" i="13"/>
  <c r="U12" i="13"/>
  <c r="J14" i="13"/>
  <c r="N15" i="13"/>
  <c r="E3" i="14"/>
  <c r="C3" i="14"/>
  <c r="Z3" i="14"/>
  <c r="X3" i="14"/>
  <c r="T3" i="14"/>
  <c r="J15" i="14"/>
  <c r="G2" i="15"/>
  <c r="L3" i="15"/>
  <c r="D7" i="16"/>
  <c r="K7" i="17"/>
  <c r="R17" i="17"/>
  <c r="O2" i="8"/>
  <c r="D2" i="8"/>
  <c r="AA2" i="8"/>
  <c r="J17" i="7"/>
  <c r="X7" i="5"/>
  <c r="M17" i="9"/>
  <c r="C2" i="10"/>
  <c r="O6" i="13"/>
  <c r="I15" i="13"/>
  <c r="Z14" i="5"/>
  <c r="Y17" i="5"/>
  <c r="J8" i="6"/>
  <c r="L14" i="6"/>
  <c r="K15" i="6"/>
  <c r="N3" i="7"/>
  <c r="J8" i="7"/>
  <c r="R12" i="7"/>
  <c r="X13" i="7"/>
  <c r="V17" i="7"/>
  <c r="S2" i="8"/>
  <c r="P7" i="8"/>
  <c r="O12" i="8"/>
  <c r="N13" i="8"/>
  <c r="N14" i="8"/>
  <c r="O15" i="8"/>
  <c r="AA7" i="9"/>
  <c r="R14" i="9"/>
  <c r="S17" i="9"/>
  <c r="H2" i="10"/>
  <c r="K8" i="10"/>
  <c r="F14" i="10"/>
  <c r="F15" i="10"/>
  <c r="E7" i="11"/>
  <c r="E8" i="11"/>
  <c r="T12" i="11"/>
  <c r="F14" i="11"/>
  <c r="I3" i="12"/>
  <c r="AA7" i="12"/>
  <c r="S15" i="12"/>
  <c r="J2" i="13"/>
  <c r="AB3" i="13"/>
  <c r="V12" i="13"/>
  <c r="K14" i="13"/>
  <c r="O15" i="13"/>
  <c r="Z7" i="14"/>
  <c r="R7" i="14"/>
  <c r="O7" i="14"/>
  <c r="L7" i="14"/>
  <c r="J7" i="14"/>
  <c r="E7" i="14"/>
  <c r="K15" i="14"/>
  <c r="H2" i="15"/>
  <c r="M3" i="15"/>
  <c r="AA8" i="15"/>
  <c r="X8" i="15"/>
  <c r="W8" i="15"/>
  <c r="T8" i="15"/>
  <c r="M8" i="15"/>
  <c r="F7" i="16"/>
  <c r="T7" i="17"/>
  <c r="AB17" i="17"/>
  <c r="N7" i="5"/>
  <c r="AB2" i="16"/>
  <c r="Y2" i="16"/>
  <c r="X2" i="16"/>
  <c r="W2" i="16"/>
  <c r="U2" i="16"/>
  <c r="K2" i="16"/>
  <c r="N13" i="7"/>
  <c r="K2" i="8"/>
  <c r="G13" i="8"/>
  <c r="G7" i="7"/>
  <c r="L7" i="7"/>
  <c r="H7" i="7"/>
  <c r="H12" i="7"/>
  <c r="L17" i="7"/>
  <c r="G14" i="8"/>
  <c r="L3" i="11"/>
  <c r="E17" i="13"/>
  <c r="L14" i="9"/>
  <c r="P3" i="11"/>
  <c r="O14" i="8"/>
  <c r="S14" i="9"/>
  <c r="G14" i="10"/>
  <c r="G15" i="10"/>
  <c r="F7" i="11"/>
  <c r="AB7" i="12"/>
  <c r="T15" i="12"/>
  <c r="L2" i="13"/>
  <c r="W12" i="13"/>
  <c r="L14" i="13"/>
  <c r="P15" i="13"/>
  <c r="M15" i="14"/>
  <c r="N3" i="15"/>
  <c r="AB12" i="16"/>
  <c r="W12" i="16"/>
  <c r="K12" i="16"/>
  <c r="C12" i="16"/>
  <c r="AA15" i="9"/>
  <c r="M15" i="9"/>
  <c r="M3" i="5"/>
  <c r="H17" i="7"/>
  <c r="S3" i="5"/>
  <c r="C17" i="13"/>
  <c r="D2" i="16"/>
  <c r="F14" i="6"/>
  <c r="C7" i="7"/>
  <c r="I13" i="8"/>
  <c r="K12" i="11"/>
  <c r="D15" i="14"/>
  <c r="V17" i="5"/>
  <c r="G8" i="6"/>
  <c r="K3" i="7"/>
  <c r="E7" i="7"/>
  <c r="F8" i="7"/>
  <c r="M12" i="7"/>
  <c r="T13" i="7"/>
  <c r="M14" i="6"/>
  <c r="L15" i="6"/>
  <c r="O3" i="7"/>
  <c r="Z17" i="7"/>
  <c r="T2" i="8"/>
  <c r="Q7" i="8"/>
  <c r="Q12" i="8"/>
  <c r="P13" i="8"/>
  <c r="P15" i="8"/>
  <c r="T17" i="9"/>
  <c r="J2" i="10"/>
  <c r="U12" i="11"/>
  <c r="G12" i="5"/>
  <c r="AB14" i="5"/>
  <c r="W15" i="5"/>
  <c r="I13" i="6"/>
  <c r="N14" i="6"/>
  <c r="M15" i="6"/>
  <c r="F17" i="6"/>
  <c r="P3" i="7"/>
  <c r="M7" i="7"/>
  <c r="L8" i="7"/>
  <c r="T12" i="7"/>
  <c r="AB13" i="7"/>
  <c r="E15" i="7"/>
  <c r="AA17" i="7"/>
  <c r="U2" i="8"/>
  <c r="AA3" i="8"/>
  <c r="S7" i="8"/>
  <c r="R12" i="8"/>
  <c r="Q13" i="8"/>
  <c r="Q14" i="8"/>
  <c r="U15" i="8"/>
  <c r="W8" i="9"/>
  <c r="X8" i="9"/>
  <c r="R8" i="9"/>
  <c r="U17" i="9"/>
  <c r="K2" i="10"/>
  <c r="AB8" i="10"/>
  <c r="I14" i="10"/>
  <c r="H15" i="10"/>
  <c r="G7" i="11"/>
  <c r="J8" i="11"/>
  <c r="Y12" i="11"/>
  <c r="I14" i="11"/>
  <c r="L3" i="12"/>
  <c r="Z8" i="12"/>
  <c r="W8" i="12"/>
  <c r="U8" i="12"/>
  <c r="P8" i="12"/>
  <c r="Q14" i="12"/>
  <c r="W15" i="12"/>
  <c r="M2" i="13"/>
  <c r="H7" i="13"/>
  <c r="X12" i="13"/>
  <c r="R15" i="13"/>
  <c r="G3" i="14"/>
  <c r="D7" i="14"/>
  <c r="O15" i="14"/>
  <c r="J2" i="15"/>
  <c r="T3" i="15"/>
  <c r="D8" i="15"/>
  <c r="H7" i="16"/>
  <c r="I12" i="16"/>
  <c r="Y7" i="17"/>
  <c r="X14" i="9"/>
  <c r="M14" i="9"/>
  <c r="H14" i="9"/>
  <c r="AA14" i="9"/>
  <c r="D14" i="9"/>
  <c r="J17" i="5"/>
  <c r="C2" i="8"/>
  <c r="C12" i="7"/>
  <c r="Q17" i="5"/>
  <c r="K17" i="7"/>
  <c r="P6" i="8"/>
  <c r="F14" i="8"/>
  <c r="U14" i="13"/>
  <c r="Y14" i="13"/>
  <c r="T14" i="13"/>
  <c r="R14" i="13"/>
  <c r="N14" i="13"/>
  <c r="Y2" i="7"/>
  <c r="L2" i="7"/>
  <c r="K13" i="6"/>
  <c r="O14" i="6"/>
  <c r="N15" i="6"/>
  <c r="G17" i="6"/>
  <c r="H2" i="7"/>
  <c r="S3" i="7"/>
  <c r="N7" i="7"/>
  <c r="M8" i="7"/>
  <c r="V12" i="7"/>
  <c r="Z14" i="7"/>
  <c r="U14" i="7"/>
  <c r="Q14" i="7"/>
  <c r="F15" i="7"/>
  <c r="V2" i="8"/>
  <c r="T7" i="8"/>
  <c r="R13" i="8"/>
  <c r="R14" i="8"/>
  <c r="Y15" i="8"/>
  <c r="C8" i="9"/>
  <c r="U14" i="9"/>
  <c r="W17" i="9"/>
  <c r="L2" i="10"/>
  <c r="J14" i="10"/>
  <c r="K15" i="10"/>
  <c r="H7" i="11"/>
  <c r="K8" i="11"/>
  <c r="Z12" i="11"/>
  <c r="J14" i="11"/>
  <c r="N3" i="12"/>
  <c r="R14" i="12"/>
  <c r="Y15" i="12"/>
  <c r="O2" i="13"/>
  <c r="I7" i="13"/>
  <c r="W13" i="13"/>
  <c r="U13" i="13"/>
  <c r="R13" i="13"/>
  <c r="P13" i="13"/>
  <c r="K13" i="13"/>
  <c r="O14" i="13"/>
  <c r="T15" i="13"/>
  <c r="I3" i="14"/>
  <c r="G7" i="14"/>
  <c r="K2" i="15"/>
  <c r="U3" i="15"/>
  <c r="E8" i="15"/>
  <c r="O7" i="16"/>
  <c r="X12" i="16"/>
  <c r="Z7" i="17"/>
  <c r="C14" i="9"/>
  <c r="I14" i="9"/>
  <c r="U7" i="5"/>
  <c r="R17" i="5"/>
  <c r="AB15" i="6"/>
  <c r="W12" i="8"/>
  <c r="S12" i="8"/>
  <c r="H13" i="8"/>
  <c r="X15" i="14"/>
  <c r="N15" i="14"/>
  <c r="L15" i="14"/>
  <c r="I15" i="14"/>
  <c r="G15" i="14"/>
  <c r="Z15" i="14"/>
  <c r="C15" i="14"/>
  <c r="P2" i="16"/>
  <c r="T17" i="5"/>
  <c r="Q13" i="7"/>
  <c r="AA14" i="5"/>
  <c r="U8" i="6"/>
  <c r="K7" i="7"/>
  <c r="K8" i="7"/>
  <c r="S12" i="7"/>
  <c r="AA13" i="7"/>
  <c r="Y15" i="5"/>
  <c r="C15" i="5"/>
  <c r="Z15" i="5"/>
  <c r="E6" i="6"/>
  <c r="M13" i="6"/>
  <c r="P14" i="6"/>
  <c r="O15" i="6"/>
  <c r="H17" i="6"/>
  <c r="I2" i="7"/>
  <c r="T3" i="7"/>
  <c r="O7" i="7"/>
  <c r="N8" i="7"/>
  <c r="W12" i="7"/>
  <c r="D14" i="7"/>
  <c r="G15" i="7"/>
  <c r="W2" i="8"/>
  <c r="W7" i="8"/>
  <c r="U12" i="8"/>
  <c r="T13" i="8"/>
  <c r="S14" i="8"/>
  <c r="AA15" i="8"/>
  <c r="E8" i="9"/>
  <c r="V14" i="9"/>
  <c r="X17" i="9"/>
  <c r="N2" i="10"/>
  <c r="K14" i="10"/>
  <c r="L15" i="10"/>
  <c r="I7" i="11"/>
  <c r="N8" i="11"/>
  <c r="AB12" i="11"/>
  <c r="L14" i="11"/>
  <c r="P3" i="12"/>
  <c r="D8" i="12"/>
  <c r="V14" i="12"/>
  <c r="Z15" i="12"/>
  <c r="Q2" i="13"/>
  <c r="L7" i="13"/>
  <c r="F13" i="13"/>
  <c r="P14" i="13"/>
  <c r="V15" i="13"/>
  <c r="J3" i="14"/>
  <c r="H7" i="14"/>
  <c r="F12" i="14"/>
  <c r="Q15" i="14"/>
  <c r="L2" i="15"/>
  <c r="W3" i="15"/>
  <c r="X7" i="15"/>
  <c r="AB7" i="15"/>
  <c r="E7" i="15"/>
  <c r="Z7" i="15"/>
  <c r="C7" i="15"/>
  <c r="V7" i="15"/>
  <c r="U7" i="15"/>
  <c r="T7" i="15"/>
  <c r="P7" i="15"/>
  <c r="F8" i="15"/>
  <c r="R7" i="16"/>
  <c r="Y12" i="16"/>
  <c r="Z2" i="17"/>
  <c r="W2" i="17"/>
  <c r="J2" i="17"/>
  <c r="I2" i="17"/>
  <c r="G2" i="17"/>
  <c r="F2" i="17"/>
  <c r="K17" i="5"/>
  <c r="Y7" i="9"/>
  <c r="V7" i="9"/>
  <c r="R7" i="9"/>
  <c r="R2" i="13"/>
  <c r="Q14" i="13"/>
  <c r="Y15" i="13"/>
  <c r="AB13" i="14"/>
  <c r="K13" i="14"/>
  <c r="E13" i="14"/>
  <c r="R15" i="14"/>
  <c r="W2" i="18"/>
  <c r="Y2" i="18"/>
  <c r="X2" i="18"/>
  <c r="V2" i="18"/>
  <c r="U2" i="18"/>
  <c r="S2" i="18"/>
  <c r="R2" i="18"/>
  <c r="O2" i="18"/>
  <c r="N2" i="18"/>
  <c r="M2" i="18"/>
  <c r="L2" i="18"/>
  <c r="G2" i="18"/>
  <c r="F2" i="18"/>
  <c r="U3" i="11"/>
  <c r="M3" i="11"/>
  <c r="I3" i="11"/>
  <c r="K13" i="7"/>
  <c r="I2" i="8"/>
  <c r="C8" i="6"/>
  <c r="C2" i="5"/>
  <c r="X12" i="6"/>
  <c r="N12" i="6"/>
  <c r="R14" i="6"/>
  <c r="Q15" i="6"/>
  <c r="M2" i="7"/>
  <c r="Q7" i="7"/>
  <c r="Q8" i="7"/>
  <c r="Y12" i="7"/>
  <c r="J3" i="8"/>
  <c r="E3" i="8"/>
  <c r="Z7" i="8"/>
  <c r="X12" i="8"/>
  <c r="V13" i="8"/>
  <c r="U14" i="8"/>
  <c r="C7" i="9"/>
  <c r="Y14" i="9"/>
  <c r="U2" i="10"/>
  <c r="N14" i="10"/>
  <c r="N15" i="10"/>
  <c r="AA6" i="11"/>
  <c r="U6" i="11"/>
  <c r="O6" i="11"/>
  <c r="I6" i="11"/>
  <c r="K7" i="11"/>
  <c r="Q8" i="11"/>
  <c r="O14" i="11"/>
  <c r="U3" i="12"/>
  <c r="Y14" i="12"/>
  <c r="V2" i="13"/>
  <c r="N7" i="13"/>
  <c r="H13" i="13"/>
  <c r="S14" i="13"/>
  <c r="Z15" i="13"/>
  <c r="L3" i="14"/>
  <c r="K7" i="14"/>
  <c r="G13" i="14"/>
  <c r="S15" i="14"/>
  <c r="N2" i="15"/>
  <c r="H8" i="15"/>
  <c r="X7" i="16"/>
  <c r="D2" i="18"/>
  <c r="D17" i="5"/>
  <c r="X3" i="7"/>
  <c r="U3" i="7"/>
  <c r="F12" i="7"/>
  <c r="D14" i="6"/>
  <c r="D15" i="6"/>
  <c r="G15" i="13"/>
  <c r="Q14" i="6"/>
  <c r="P15" i="6"/>
  <c r="V3" i="7"/>
  <c r="P7" i="7"/>
  <c r="P8" i="7"/>
  <c r="X12" i="7"/>
  <c r="Z2" i="8"/>
  <c r="Y7" i="8"/>
  <c r="V12" i="8"/>
  <c r="U13" i="8"/>
  <c r="T14" i="8"/>
  <c r="W14" i="9"/>
  <c r="P2" i="10"/>
  <c r="AB15" i="12"/>
  <c r="S14" i="6"/>
  <c r="R15" i="6"/>
  <c r="N2" i="7"/>
  <c r="AB3" i="7"/>
  <c r="R7" i="7"/>
  <c r="R8" i="7"/>
  <c r="AB12" i="7"/>
  <c r="Y12" i="8"/>
  <c r="W13" i="8"/>
  <c r="V14" i="8"/>
  <c r="D7" i="9"/>
  <c r="X12" i="9"/>
  <c r="O12" i="9"/>
  <c r="Z14" i="9"/>
  <c r="X2" i="10"/>
  <c r="AB12" i="10"/>
  <c r="Z12" i="10"/>
  <c r="O14" i="10"/>
  <c r="O15" i="10"/>
  <c r="C6" i="11"/>
  <c r="L7" i="11"/>
  <c r="R8" i="11"/>
  <c r="Q14" i="11"/>
  <c r="Y3" i="12"/>
  <c r="AB14" i="12"/>
  <c r="X2" i="13"/>
  <c r="R7" i="13"/>
  <c r="V14" i="13"/>
  <c r="AA15" i="13"/>
  <c r="M3" i="14"/>
  <c r="U6" i="14"/>
  <c r="Q6" i="14"/>
  <c r="O6" i="14"/>
  <c r="L6" i="14"/>
  <c r="J6" i="14"/>
  <c r="E6" i="14"/>
  <c r="M7" i="14"/>
  <c r="N13" i="14"/>
  <c r="T15" i="14"/>
  <c r="O2" i="15"/>
  <c r="J8" i="15"/>
  <c r="Y7" i="16"/>
  <c r="X12" i="17"/>
  <c r="M12" i="17"/>
  <c r="J12" i="17"/>
  <c r="I12" i="17"/>
  <c r="F12" i="17"/>
  <c r="E12" i="17"/>
  <c r="D12" i="17"/>
  <c r="C12" i="17"/>
  <c r="AB12" i="17"/>
  <c r="Y12" i="17"/>
  <c r="W12" i="17"/>
  <c r="V12" i="17"/>
  <c r="U12" i="17"/>
  <c r="Q12" i="17"/>
  <c r="J2" i="18"/>
  <c r="AB8" i="18"/>
  <c r="Y12" i="18"/>
  <c r="E15" i="18"/>
  <c r="W17" i="18"/>
  <c r="H2" i="19"/>
  <c r="K3" i="19"/>
  <c r="N6" i="19"/>
  <c r="M8" i="19"/>
  <c r="C12" i="19"/>
  <c r="K13" i="19"/>
  <c r="T14" i="19"/>
  <c r="U15" i="15"/>
  <c r="Z17" i="16"/>
  <c r="C8" i="18"/>
  <c r="Z12" i="18"/>
  <c r="J15" i="18"/>
  <c r="Y17" i="18"/>
  <c r="M2" i="19"/>
  <c r="M3" i="19"/>
  <c r="O6" i="19"/>
  <c r="N8" i="19"/>
  <c r="E12" i="19"/>
  <c r="L13" i="19"/>
  <c r="U14" i="19"/>
  <c r="D8" i="18"/>
  <c r="K15" i="18"/>
  <c r="AA17" i="18"/>
  <c r="N2" i="19"/>
  <c r="N3" i="19"/>
  <c r="R6" i="19"/>
  <c r="O8" i="19"/>
  <c r="F12" i="19"/>
  <c r="M13" i="19"/>
  <c r="V14" i="19"/>
  <c r="M15" i="18"/>
  <c r="AB17" i="18"/>
  <c r="O2" i="19"/>
  <c r="P3" i="19"/>
  <c r="W6" i="19"/>
  <c r="P8" i="19"/>
  <c r="G12" i="19"/>
  <c r="O13" i="19"/>
  <c r="AB14" i="19"/>
  <c r="H12" i="19"/>
  <c r="P13" i="19"/>
  <c r="K6" i="7"/>
  <c r="W6" i="15"/>
  <c r="Z12" i="15"/>
  <c r="Z13" i="15"/>
  <c r="J14" i="16"/>
  <c r="H8" i="17"/>
  <c r="H15" i="17"/>
  <c r="G8" i="18"/>
  <c r="H13" i="18"/>
  <c r="S15" i="18"/>
  <c r="C17" i="18"/>
  <c r="R2" i="19"/>
  <c r="R3" i="19"/>
  <c r="C7" i="19"/>
  <c r="R8" i="19"/>
  <c r="I12" i="19"/>
  <c r="Q13" i="19"/>
  <c r="C15" i="19"/>
  <c r="X6" i="15"/>
  <c r="AA12" i="15"/>
  <c r="AA13" i="15"/>
  <c r="Y14" i="16"/>
  <c r="J8" i="17"/>
  <c r="I15" i="17"/>
  <c r="J8" i="18"/>
  <c r="P13" i="18"/>
  <c r="W15" i="18"/>
  <c r="D17" i="18"/>
  <c r="S2" i="19"/>
  <c r="S3" i="19"/>
  <c r="F7" i="19"/>
  <c r="S8" i="19"/>
  <c r="J12" i="19"/>
  <c r="T13" i="19"/>
  <c r="E15" i="19"/>
  <c r="AB13" i="15"/>
  <c r="N8" i="17"/>
  <c r="N15" i="17"/>
  <c r="K8" i="18"/>
  <c r="X15" i="18"/>
  <c r="E17" i="18"/>
  <c r="U2" i="19"/>
  <c r="T3" i="19"/>
  <c r="G7" i="19"/>
  <c r="T8" i="19"/>
  <c r="L12" i="19"/>
  <c r="V13" i="19"/>
  <c r="F15" i="19"/>
  <c r="M8" i="18"/>
  <c r="Y15" i="18"/>
  <c r="G17" i="18"/>
  <c r="V2" i="19"/>
  <c r="U3" i="19"/>
  <c r="H7" i="19"/>
  <c r="V8" i="19"/>
  <c r="P12" i="19"/>
  <c r="W13" i="19"/>
  <c r="G15" i="19"/>
  <c r="G12" i="15"/>
  <c r="E14" i="15"/>
  <c r="Q8" i="17"/>
  <c r="O8" i="18"/>
  <c r="L14" i="18"/>
  <c r="AA15" i="18"/>
  <c r="J17" i="18"/>
  <c r="X2" i="19"/>
  <c r="W3" i="19"/>
  <c r="M7" i="19"/>
  <c r="Y8" i="19"/>
  <c r="R12" i="19"/>
  <c r="Z13" i="19"/>
  <c r="L15" i="19"/>
  <c r="C17" i="19"/>
  <c r="P8" i="18"/>
  <c r="Q14" i="18"/>
  <c r="AB15" i="18"/>
  <c r="L17" i="18"/>
  <c r="Z2" i="19"/>
  <c r="Y3" i="19"/>
  <c r="R7" i="19"/>
  <c r="Z8" i="19"/>
  <c r="T12" i="19"/>
  <c r="AA13" i="19"/>
  <c r="M15" i="19"/>
  <c r="E17" i="19"/>
  <c r="C13" i="17"/>
  <c r="Q8" i="18"/>
  <c r="R14" i="18"/>
  <c r="M17" i="18"/>
  <c r="Z3" i="19"/>
  <c r="U7" i="19"/>
  <c r="U12" i="19"/>
  <c r="O15" i="19"/>
  <c r="F17" i="19"/>
  <c r="D13" i="17"/>
  <c r="R8" i="18"/>
  <c r="U14" i="18"/>
  <c r="N17" i="18"/>
  <c r="AA3" i="19"/>
  <c r="AB8" i="19"/>
  <c r="V12" i="19"/>
  <c r="F14" i="19"/>
  <c r="P15" i="19"/>
  <c r="G17" i="19"/>
  <c r="S3" i="16"/>
  <c r="C17" i="16"/>
  <c r="U8" i="17"/>
  <c r="N13" i="17"/>
  <c r="S8" i="18"/>
  <c r="V14" i="18"/>
  <c r="O17" i="18"/>
  <c r="C3" i="19"/>
  <c r="AB3" i="19"/>
  <c r="C8" i="19"/>
  <c r="Y12" i="19"/>
  <c r="G14" i="19"/>
  <c r="Q15" i="19"/>
  <c r="M17" i="19"/>
  <c r="L17" i="15"/>
  <c r="D17" i="16"/>
  <c r="V8" i="17"/>
  <c r="Q13" i="17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J17" i="16"/>
  <c r="AA8" i="17"/>
  <c r="U13" i="17"/>
  <c r="W8" i="18"/>
  <c r="S17" i="18"/>
  <c r="G3" i="19"/>
  <c r="E6" i="19"/>
  <c r="G8" i="19"/>
  <c r="C13" i="19"/>
  <c r="L14" i="19"/>
  <c r="AB15" i="19"/>
  <c r="V17" i="19"/>
  <c r="W13" i="17"/>
  <c r="X8" i="18"/>
  <c r="T17" i="18"/>
  <c r="H3" i="19"/>
  <c r="G6" i="19"/>
  <c r="H8" i="19"/>
  <c r="D13" i="19"/>
  <c r="O14" i="19"/>
  <c r="Y17" i="19"/>
  <c r="U17" i="18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<sst xmlns="http://schemas.openxmlformats.org/spreadsheetml/2006/main" count="3113" uniqueCount="587">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</sst>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148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PA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5.5883650304263253E-2</v>
      </c>
      <c r="C2" s="7">
        <f>$B2 * IFERROR(VLOOKUP("transport|PM25|Premature mortality", US_national_yearly!$D:$AM, 11, FALSE) / VLOOKUP("transport|PM25|Premature mortality", US_national_yearly!$D:$AM, 10, FALSE), 1)</f>
        <v>5.6576485099791365E-2</v>
      </c>
      <c r="D2" s="7">
        <f>$B2 * IFERROR(VLOOKUP("transport|PM25|Premature mortality", US_national_yearly!$D:$AM, 12, FALSE) / VLOOKUP("transport|PM25|Premature mortality", US_national_yearly!$D:$AM, 10, FALSE), 1)</f>
        <v>5.7269319895319457E-2</v>
      </c>
      <c r="E2" s="7">
        <f>$B2 * IFERROR(VLOOKUP("transport|PM25|Premature mortality", US_national_yearly!$D:$AM, 13, FALSE) / VLOOKUP("transport|PM25|Premature mortality", US_national_yearly!$D:$AM, 10, FALSE), 1)</f>
        <v>5.7962154690847555E-2</v>
      </c>
      <c r="F2" s="7">
        <f>$B2 * IFERROR(VLOOKUP("transport|PM25|Premature mortality", US_national_yearly!$D:$AM, 14, FALSE) / VLOOKUP("transport|PM25|Premature mortality", US_national_yearly!$D:$AM, 10, FALSE), 1)</f>
        <v>5.8654989486375653E-2</v>
      </c>
      <c r="G2" s="7">
        <f>$B2 * IFERROR(VLOOKUP("transport|PM25|Premature mortality", US_national_yearly!$D:$AM, 15, FALSE) / VLOOKUP("transport|PM25|Premature mortality", US_national_yearly!$D:$AM, 10, FALSE), 1)</f>
        <v>6.000428002543029E-2</v>
      </c>
      <c r="H2" s="7">
        <f>$B2 * IFERROR(VLOOKUP("transport|PM25|Premature mortality", US_national_yearly!$D:$AM, 16, FALSE) / VLOOKUP("transport|PM25|Premature mortality", US_national_yearly!$D:$AM, 10, FALSE), 1)</f>
        <v>6.1353570564484927E-2</v>
      </c>
      <c r="I2" s="7">
        <f>$B2 * IFERROR(VLOOKUP("transport|PM25|Premature mortality", US_national_yearly!$D:$AM, 17, FALSE) / VLOOKUP("transport|PM25|Premature mortality", US_national_yearly!$D:$AM, 10, FALSE), 1)</f>
        <v>6.2239841389103996E-2</v>
      </c>
      <c r="J2" s="7">
        <f>$B2 * IFERROR(VLOOKUP("transport|PM25|Premature mortality", US_national_yearly!$D:$AM, 18, FALSE) / VLOOKUP("transport|PM25|Premature mortality", US_national_yearly!$D:$AM, 10, FALSE), 1)</f>
        <v>6.3126112213723079E-2</v>
      </c>
      <c r="K2" s="7">
        <f>$B2 * IFERROR(VLOOKUP("transport|PM25|Premature mortality", US_national_yearly!$D:$AM, 19, FALSE) / VLOOKUP("transport|PM25|Premature mortality", US_national_yearly!$D:$AM, 10, FALSE), 1)</f>
        <v>6.4012383038342155E-2</v>
      </c>
      <c r="L2" s="7">
        <f>$B2 * IFERROR(VLOOKUP("transport|PM25|Premature mortality", US_national_yearly!$D:$AM, 20, FALSE) / VLOOKUP("transport|PM25|Premature mortality", US_national_yearly!$D:$AM, 10, FALSE), 1)</f>
        <v>6.4898653862961245E-2</v>
      </c>
      <c r="M2" s="7">
        <f>$B2 * IFERROR(VLOOKUP("transport|PM25|Premature mortality", US_national_yearly!$D:$AM, 21, FALSE) / VLOOKUP("transport|PM25|Premature mortality", US_national_yearly!$D:$AM, 10, FALSE), 1)</f>
        <v>6.5784924687580321E-2</v>
      </c>
      <c r="N2" s="7">
        <f>$B2 * IFERROR(VLOOKUP("transport|PM25|Premature mortality", US_national_yearly!$D:$AM, 22, FALSE) / VLOOKUP("transport|PM25|Premature mortality", US_national_yearly!$D:$AM, 10, FALSE), 1)</f>
        <v>6.647305757704175E-2</v>
      </c>
      <c r="O2" s="7">
        <f>$B2 * IFERROR(VLOOKUP("transport|PM25|Premature mortality", US_national_yearly!$D:$AM, 23, FALSE) / VLOOKUP("transport|PM25|Premature mortality", US_national_yearly!$D:$AM, 10, FALSE), 1)</f>
        <v>6.7161190466503179E-2</v>
      </c>
      <c r="P2" s="7">
        <f>$B2 * IFERROR(VLOOKUP("transport|PM25|Premature mortality", US_national_yearly!$D:$AM, 24, FALSE) / VLOOKUP("transport|PM25|Premature mortality", US_national_yearly!$D:$AM, 10, FALSE), 1)</f>
        <v>6.7849323355964594E-2</v>
      </c>
      <c r="Q2" s="7">
        <f>$B2 * IFERROR(VLOOKUP("transport|PM25|Premature mortality", US_national_yearly!$D:$AM, 25, FALSE) / VLOOKUP("transport|PM25|Premature mortality", US_national_yearly!$D:$AM, 10, FALSE), 1)</f>
        <v>6.8537456245426023E-2</v>
      </c>
      <c r="R2" s="7">
        <f>$B2 * IFERROR(VLOOKUP("transport|PM25|Premature mortality", US_national_yearly!$D:$AM, 26, FALSE) / VLOOKUP("transport|PM25|Premature mortality", US_national_yearly!$D:$AM, 10, FALSE), 1)</f>
        <v>6.9225589134887466E-2</v>
      </c>
      <c r="S2" s="7">
        <f>$B2 * IFERROR(VLOOKUP("transport|PM25|Premature mortality", US_national_yearly!$D:$AM, 27, FALSE) / VLOOKUP("transport|PM25|Premature mortality", US_national_yearly!$D:$AM, 10, FALSE), 1)</f>
        <v>6.9590141494614524E-2</v>
      </c>
      <c r="T2" s="7">
        <f>$B2 * IFERROR(VLOOKUP("transport|PM25|Premature mortality", US_national_yearly!$D:$AM, 28, FALSE) / VLOOKUP("transport|PM25|Premature mortality", US_national_yearly!$D:$AM, 10, FALSE), 1)</f>
        <v>6.9954693854341582E-2</v>
      </c>
      <c r="U2" s="7">
        <f>$B2 * IFERROR(VLOOKUP("transport|PM25|Premature mortality", US_national_yearly!$D:$AM, 29, FALSE) / VLOOKUP("transport|PM25|Premature mortality", US_national_yearly!$D:$AM, 10, FALSE), 1)</f>
        <v>7.031924621406864E-2</v>
      </c>
      <c r="V2" s="7">
        <f>$B2 * IFERROR(VLOOKUP("transport|PM25|Premature mortality", US_national_yearly!$D:$AM, 30, FALSE) / VLOOKUP("transport|PM25|Premature mortality", US_national_yearly!$D:$AM, 10, FALSE), 1)</f>
        <v>7.0683798573795698E-2</v>
      </c>
      <c r="W2" s="7">
        <f>$B2 * IFERROR(VLOOKUP("transport|PM25|Premature mortality", US_national_yearly!$D:$AM, 31, FALSE) / VLOOKUP("transport|PM25|Premature mortality", US_national_yearly!$D:$AM, 10, FALSE), 1)</f>
        <v>7.1048350933522755E-2</v>
      </c>
      <c r="X2" s="7">
        <f>$B2 * IFERROR(VLOOKUP("transport|PM25|Premature mortality", US_national_yearly!$D:$AM, 32, FALSE) / VLOOKUP("transport|PM25|Premature mortality", US_national_yearly!$D:$AM, 10, FALSE), 1)</f>
        <v>7.1112095733628894E-2</v>
      </c>
      <c r="Y2" s="7">
        <f>$B2 * IFERROR(VLOOKUP("transport|PM25|Premature mortality", US_national_yearly!$D:$AM, 33, FALSE) / VLOOKUP("transport|PM25|Premature mortality", US_national_yearly!$D:$AM, 10, FALSE), 1)</f>
        <v>7.1175840533735033E-2</v>
      </c>
      <c r="Z2" s="7">
        <f>$B2 * IFERROR(VLOOKUP("transport|PM25|Premature mortality", US_national_yearly!$D:$AM, 34, FALSE) / VLOOKUP("transport|PM25|Premature mortality", US_national_yearly!$D:$AM, 10, FALSE), 1)</f>
        <v>7.1239585333841171E-2</v>
      </c>
      <c r="AA2" s="7">
        <f>$B2 * IFERROR(VLOOKUP("transport|PM25|Premature mortality", US_national_yearly!$D:$AM, 35, FALSE) / VLOOKUP("transport|PM25|Premature mortality", US_national_yearly!$D:$AM, 10, FALSE), 1)</f>
        <v>7.1303330133947324E-2</v>
      </c>
      <c r="AB2" s="7">
        <f>$B2 * IFERROR(VLOOKUP("transport|PM25|Premature mortality", US_national_yearly!$D:$AM, 36, FALSE) / VLOOKUP("transport|PM25|Premature mortality", US_national_yearly!$D:$AM, 10, FALSE), 1)</f>
        <v>7.1367074934053448E-2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1.2414934242231001E-4</v>
      </c>
      <c r="C3" s="7">
        <f>$B3 * IFERROR(VLOOKUP("transport|PM25|Infant mortality", US_national_yearly!$D:$AM, 11, FALSE) / VLOOKUP("transport|PM25|Infant mortality", US_national_yearly!$D:$AM, 10, FALSE), 1)</f>
        <v>1.2306687344346991E-4</v>
      </c>
      <c r="D3" s="7">
        <f>$B3 * IFERROR(VLOOKUP("transport|PM25|Infant mortality", US_national_yearly!$D:$AM, 12, FALSE) / VLOOKUP("transport|PM25|Infant mortality", US_national_yearly!$D:$AM, 10, FALSE), 1)</f>
        <v>1.2198440446462981E-4</v>
      </c>
      <c r="E3" s="7">
        <f>$B3 * IFERROR(VLOOKUP("transport|PM25|Infant mortality", US_national_yearly!$D:$AM, 13, FALSE) / VLOOKUP("transport|PM25|Infant mortality", US_national_yearly!$D:$AM, 10, FALSE), 1)</f>
        <v>1.2090193548578972E-4</v>
      </c>
      <c r="F3" s="7">
        <f>$B3 * IFERROR(VLOOKUP("transport|PM25|Infant mortality", US_national_yearly!$D:$AM, 14, FALSE) / VLOOKUP("transport|PM25|Infant mortality", US_national_yearly!$D:$AM, 10, FALSE), 1)</f>
        <v>1.1981946650694959E-4</v>
      </c>
      <c r="G3" s="7">
        <f>$B3 * IFERROR(VLOOKUP("transport|PM25|Infant mortality", US_national_yearly!$D:$AM, 15, FALSE) / VLOOKUP("transport|PM25|Infant mortality", US_national_yearly!$D:$AM, 10, FALSE), 1)</f>
        <v>7.9686354604761877E-5</v>
      </c>
      <c r="H3" s="7">
        <f>$B3 * IFERROR(VLOOKUP("transport|PM25|Infant mortality", US_national_yearly!$D:$AM, 16, FALSE) / VLOOKUP("transport|PM25|Infant mortality", US_national_yearly!$D:$AM, 10, FALSE), 1)</f>
        <v>3.9553242702574129E-5</v>
      </c>
      <c r="I3" s="7">
        <f>$B3 * IFERROR(VLOOKUP("transport|PM25|Infant mortality", US_national_yearly!$D:$AM, 17, FALSE) / VLOOKUP("transport|PM25|Infant mortality", US_national_yearly!$D:$AM, 10, FALSE), 1)</f>
        <v>3.9294696925382544E-5</v>
      </c>
      <c r="J3" s="7">
        <f>$B3 * IFERROR(VLOOKUP("transport|PM25|Infant mortality", US_national_yearly!$D:$AM, 18, FALSE) / VLOOKUP("transport|PM25|Infant mortality", US_national_yearly!$D:$AM, 10, FALSE), 1)</f>
        <v>3.9036151148190952E-5</v>
      </c>
      <c r="K3" s="7">
        <f>$B3 * IFERROR(VLOOKUP("transport|PM25|Infant mortality", US_national_yearly!$D:$AM, 19, FALSE) / VLOOKUP("transport|PM25|Infant mortality", US_national_yearly!$D:$AM, 10, FALSE), 1)</f>
        <v>3.8777605370999353E-5</v>
      </c>
      <c r="L3" s="7">
        <f>$B3 * IFERROR(VLOOKUP("transport|PM25|Infant mortality", US_national_yearly!$D:$AM, 20, FALSE) / VLOOKUP("transport|PM25|Infant mortality", US_national_yearly!$D:$AM, 10, FALSE), 1)</f>
        <v>3.8519059593807768E-5</v>
      </c>
      <c r="M3" s="7">
        <f>$B3 * IFERROR(VLOOKUP("transport|PM25|Infant mortality", US_national_yearly!$D:$AM, 21, FALSE) / VLOOKUP("transport|PM25|Infant mortality", US_national_yearly!$D:$AM, 10, FALSE), 1)</f>
        <v>3.8260513816616183E-5</v>
      </c>
      <c r="N3" s="7">
        <f>$B3 * IFERROR(VLOOKUP("transport|PM25|Infant mortality", US_national_yearly!$D:$AM, 22, FALSE) / VLOOKUP("transport|PM25|Infant mortality", US_national_yearly!$D:$AM, 10, FALSE), 1)</f>
        <v>3.8098118444726805E-5</v>
      </c>
      <c r="O3" s="7">
        <f>$B3 * IFERROR(VLOOKUP("transport|PM25|Infant mortality", US_national_yearly!$D:$AM, 23, FALSE) / VLOOKUP("transport|PM25|Infant mortality", US_national_yearly!$D:$AM, 10, FALSE), 1)</f>
        <v>3.7935723072837427E-5</v>
      </c>
      <c r="P3" s="7">
        <f>$B3 * IFERROR(VLOOKUP("transport|PM25|Infant mortality", US_national_yearly!$D:$AM, 24, FALSE) / VLOOKUP("transport|PM25|Infant mortality", US_national_yearly!$D:$AM, 10, FALSE), 1)</f>
        <v>3.7773327700948035E-5</v>
      </c>
      <c r="Q3" s="7">
        <f>$B3 * IFERROR(VLOOKUP("transport|PM25|Infant mortality", US_national_yearly!$D:$AM, 25, FALSE) / VLOOKUP("transport|PM25|Infant mortality", US_national_yearly!$D:$AM, 10, FALSE), 1)</f>
        <v>3.7610932329058656E-5</v>
      </c>
      <c r="R3" s="7">
        <f>$B3 * IFERROR(VLOOKUP("transport|PM25|Infant mortality", US_national_yearly!$D:$AM, 26, FALSE) / VLOOKUP("transport|PM25|Infant mortality", US_national_yearly!$D:$AM, 10, FALSE), 1)</f>
        <v>3.7448536957169278E-5</v>
      </c>
      <c r="S3" s="7">
        <f>$B3 * IFERROR(VLOOKUP("transport|PM25|Infant mortality", US_national_yearly!$D:$AM, 27, FALSE) / VLOOKUP("transport|PM25|Infant mortality", US_national_yearly!$D:$AM, 10, FALSE), 1)</f>
        <v>3.7246107805676172E-5</v>
      </c>
      <c r="T3" s="7">
        <f>$B3 * IFERROR(VLOOKUP("transport|PM25|Infant mortality", US_national_yearly!$D:$AM, 28, FALSE) / VLOOKUP("transport|PM25|Infant mortality", US_national_yearly!$D:$AM, 10, FALSE), 1)</f>
        <v>3.704367865418306E-5</v>
      </c>
      <c r="U3" s="7">
        <f>$B3 * IFERROR(VLOOKUP("transport|PM25|Infant mortality", US_national_yearly!$D:$AM, 29, FALSE) / VLOOKUP("transport|PM25|Infant mortality", US_national_yearly!$D:$AM, 10, FALSE), 1)</f>
        <v>3.6841249502689961E-5</v>
      </c>
      <c r="V3" s="7">
        <f>$B3 * IFERROR(VLOOKUP("transport|PM25|Infant mortality", US_national_yearly!$D:$AM, 30, FALSE) / VLOOKUP("transport|PM25|Infant mortality", US_national_yearly!$D:$AM, 10, FALSE), 1)</f>
        <v>3.6638820351196855E-5</v>
      </c>
      <c r="W3" s="7">
        <f>$B3 * IFERROR(VLOOKUP("transport|PM25|Infant mortality", US_national_yearly!$D:$AM, 31, FALSE) / VLOOKUP("transport|PM25|Infant mortality", US_national_yearly!$D:$AM, 10, FALSE), 1)</f>
        <v>3.6436391199703743E-5</v>
      </c>
      <c r="X3" s="7">
        <f>$B3 * IFERROR(VLOOKUP("transport|PM25|Infant mortality", US_national_yearly!$D:$AM, 32, FALSE) / VLOOKUP("transport|PM25|Infant mortality", US_national_yearly!$D:$AM, 10, FALSE), 1)</f>
        <v>3.6218147131719078E-5</v>
      </c>
      <c r="Y3" s="7">
        <f>$B3 * IFERROR(VLOOKUP("transport|PM25|Infant mortality", US_national_yearly!$D:$AM, 33, FALSE) / VLOOKUP("transport|PM25|Infant mortality", US_national_yearly!$D:$AM, 10, FALSE), 1)</f>
        <v>3.59999030637344E-5</v>
      </c>
      <c r="Z3" s="7">
        <f>$B3 * IFERROR(VLOOKUP("transport|PM25|Infant mortality", US_national_yearly!$D:$AM, 34, FALSE) / VLOOKUP("transport|PM25|Infant mortality", US_national_yearly!$D:$AM, 10, FALSE), 1)</f>
        <v>3.5781658995749736E-5</v>
      </c>
      <c r="AA3" s="7">
        <f>$B3 * IFERROR(VLOOKUP("transport|PM25|Infant mortality", US_national_yearly!$D:$AM, 35, FALSE) / VLOOKUP("transport|PM25|Infant mortality", US_national_yearly!$D:$AM, 10, FALSE), 1)</f>
        <v>3.5563414927765064E-5</v>
      </c>
      <c r="AB3" s="7">
        <f>$B3 * IFERROR(VLOOKUP("transport|PM25|Infant mortality", US_national_yearly!$D:$AM, 36, FALSE) / VLOOKUP("transport|PM25|Infant mortality", US_national_yearly!$D:$AM, 10, FALSE), 1)</f>
        <v>3.53451708597804E-5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0.11818640977295089</v>
      </c>
      <c r="C6" s="7">
        <f>$B6 * IFERROR(VLOOKUP("transport|PM25|Asthma symptoms cough", US_national_yearly!$D:$AM, 11, FALSE) / VLOOKUP("transport|PM25|Asthma symptoms cough", US_national_yearly!$D:$AM, 10, FALSE), 1)</f>
        <v>0.11818640977295089</v>
      </c>
      <c r="D6" s="7">
        <f>$B6 * IFERROR(VLOOKUP("transport|PM25|Asthma symptoms cough", US_national_yearly!$D:$AM, 12, FALSE) / VLOOKUP("transport|PM25|Asthma symptoms cough", US_national_yearly!$D:$AM, 10, FALSE), 1)</f>
        <v>0.11818640977295089</v>
      </c>
      <c r="E6" s="7">
        <f>$B6 * IFERROR(VLOOKUP("transport|PM25|Asthma symptoms cough", US_national_yearly!$D:$AM, 13, FALSE) / VLOOKUP("transport|PM25|Asthma symptoms cough", US_national_yearly!$D:$AM, 10, FALSE), 1)</f>
        <v>0.11818640977295089</v>
      </c>
      <c r="F6" s="7">
        <f>$B6 * IFERROR(VLOOKUP("transport|PM25|Asthma symptoms cough", US_national_yearly!$D:$AM, 14, FALSE) / VLOOKUP("transport|PM25|Asthma symptoms cough", US_national_yearly!$D:$AM, 10, FALSE), 1)</f>
        <v>0.11818640977295089</v>
      </c>
      <c r="G6" s="7">
        <f>$B6 * IFERROR(VLOOKUP("transport|PM25|Asthma symptoms cough", US_national_yearly!$D:$AM, 15, FALSE) / VLOOKUP("transport|PM25|Asthma symptoms cough", US_national_yearly!$D:$AM, 10, FALSE), 1)</f>
        <v>0.11818640977295089</v>
      </c>
      <c r="H6" s="7">
        <f>$B6 * IFERROR(VLOOKUP("transport|PM25|Asthma symptoms cough", US_national_yearly!$D:$AM, 16, FALSE) / VLOOKUP("transport|PM25|Asthma symptoms cough", US_national_yearly!$D:$AM, 10, FALSE), 1)</f>
        <v>0.11818640977295089</v>
      </c>
      <c r="I6" s="7">
        <f>$B6 * IFERROR(VLOOKUP("transport|PM25|Asthma symptoms cough", US_national_yearly!$D:$AM, 17, FALSE) / VLOOKUP("transport|PM25|Asthma symptoms cough", US_national_yearly!$D:$AM, 10, FALSE), 1)</f>
        <v>0.11818640977295089</v>
      </c>
      <c r="J6" s="7">
        <f>$B6 * IFERROR(VLOOKUP("transport|PM25|Asthma symptoms cough", US_national_yearly!$D:$AM, 18, FALSE) / VLOOKUP("transport|PM25|Asthma symptoms cough", US_national_yearly!$D:$AM, 10, FALSE), 1)</f>
        <v>0.11818640977295089</v>
      </c>
      <c r="K6" s="7">
        <f>$B6 * IFERROR(VLOOKUP("transport|PM25|Asthma symptoms cough", US_national_yearly!$D:$AM, 19, FALSE) / VLOOKUP("transport|PM25|Asthma symptoms cough", US_national_yearly!$D:$AM, 10, FALSE), 1)</f>
        <v>0.11818640977295089</v>
      </c>
      <c r="L6" s="7">
        <f>$B6 * IFERROR(VLOOKUP("transport|PM25|Asthma symptoms cough", US_national_yearly!$D:$AM, 20, FALSE) / VLOOKUP("transport|PM25|Asthma symptoms cough", US_national_yearly!$D:$AM, 10, FALSE), 1)</f>
        <v>0.11818640977295089</v>
      </c>
      <c r="M6" s="7">
        <f>$B6 * IFERROR(VLOOKUP("transport|PM25|Asthma symptoms cough", US_national_yearly!$D:$AM, 21, FALSE) / VLOOKUP("transport|PM25|Asthma symptoms cough", US_national_yearly!$D:$AM, 10, FALSE), 1)</f>
        <v>0.11818640977295089</v>
      </c>
      <c r="N6" s="7">
        <f>$B6 * IFERROR(VLOOKUP("transport|PM25|Asthma symptoms cough", US_national_yearly!$D:$AM, 22, FALSE) / VLOOKUP("transport|PM25|Asthma symptoms cough", US_national_yearly!$D:$AM, 10, FALSE), 1)</f>
        <v>0.11818640977295089</v>
      </c>
      <c r="O6" s="7">
        <f>$B6 * IFERROR(VLOOKUP("transport|PM25|Asthma symptoms cough", US_national_yearly!$D:$AM, 23, FALSE) / VLOOKUP("transport|PM25|Asthma symptoms cough", US_national_yearly!$D:$AM, 10, FALSE), 1)</f>
        <v>0.11818640977295089</v>
      </c>
      <c r="P6" s="7">
        <f>$B6 * IFERROR(VLOOKUP("transport|PM25|Asthma symptoms cough", US_national_yearly!$D:$AM, 24, FALSE) / VLOOKUP("transport|PM25|Asthma symptoms cough", US_national_yearly!$D:$AM, 10, FALSE), 1)</f>
        <v>0.11818640977295089</v>
      </c>
      <c r="Q6" s="7">
        <f>$B6 * IFERROR(VLOOKUP("transport|PM25|Asthma symptoms cough", US_national_yearly!$D:$AM, 25, FALSE) / VLOOKUP("transport|PM25|Asthma symptoms cough", US_national_yearly!$D:$AM, 10, FALSE), 1)</f>
        <v>0.11818640977295089</v>
      </c>
      <c r="R6" s="7">
        <f>$B6 * IFERROR(VLOOKUP("transport|PM25|Asthma symptoms cough", US_national_yearly!$D:$AM, 26, FALSE) / VLOOKUP("transport|PM25|Asthma symptoms cough", US_national_yearly!$D:$AM, 10, FALSE), 1)</f>
        <v>0.11818640977295089</v>
      </c>
      <c r="S6" s="7">
        <f>$B6 * IFERROR(VLOOKUP("transport|PM25|Asthma symptoms cough", US_national_yearly!$D:$AM, 27, FALSE) / VLOOKUP("transport|PM25|Asthma symptoms cough", US_national_yearly!$D:$AM, 10, FALSE), 1)</f>
        <v>0.11818640977295089</v>
      </c>
      <c r="T6" s="7">
        <f>$B6 * IFERROR(VLOOKUP("transport|PM25|Asthma symptoms cough", US_national_yearly!$D:$AM, 28, FALSE) / VLOOKUP("transport|PM25|Asthma symptoms cough", US_national_yearly!$D:$AM, 10, FALSE), 1)</f>
        <v>0.11818640977295089</v>
      </c>
      <c r="U6" s="7">
        <f>$B6 * IFERROR(VLOOKUP("transport|PM25|Asthma symptoms cough", US_national_yearly!$D:$AM, 29, FALSE) / VLOOKUP("transport|PM25|Asthma symptoms cough", US_national_yearly!$D:$AM, 10, FALSE), 1)</f>
        <v>0.11818640977295089</v>
      </c>
      <c r="V6" s="7">
        <f>$B6 * IFERROR(VLOOKUP("transport|PM25|Asthma symptoms cough", US_national_yearly!$D:$AM, 30, FALSE) / VLOOKUP("transport|PM25|Asthma symptoms cough", US_national_yearly!$D:$AM, 10, FALSE), 1)</f>
        <v>0.11818640977295089</v>
      </c>
      <c r="W6" s="7">
        <f>$B6 * IFERROR(VLOOKUP("transport|PM25|Asthma symptoms cough", US_national_yearly!$D:$AM, 31, FALSE) / VLOOKUP("transport|PM25|Asthma symptoms cough", US_national_yearly!$D:$AM, 10, FALSE), 1)</f>
        <v>0.11818640977295089</v>
      </c>
      <c r="X6" s="7">
        <f>$B6 * IFERROR(VLOOKUP("transport|PM25|Asthma symptoms cough", US_national_yearly!$D:$AM, 32, FALSE) / VLOOKUP("transport|PM25|Asthma symptoms cough", US_national_yearly!$D:$AM, 10, FALSE), 1)</f>
        <v>0.11818640977295089</v>
      </c>
      <c r="Y6" s="7">
        <f>$B6 * IFERROR(VLOOKUP("transport|PM25|Asthma symptoms cough", US_national_yearly!$D:$AM, 33, FALSE) / VLOOKUP("transport|PM25|Asthma symptoms cough", US_national_yearly!$D:$AM, 10, FALSE), 1)</f>
        <v>0.11818640977295089</v>
      </c>
      <c r="Z6" s="7">
        <f>$B6 * IFERROR(VLOOKUP("transport|PM25|Asthma symptoms cough", US_national_yearly!$D:$AM, 34, FALSE) / VLOOKUP("transport|PM25|Asthma symptoms cough", US_national_yearly!$D:$AM, 10, FALSE), 1)</f>
        <v>0.11818640977295089</v>
      </c>
      <c r="AA6" s="7">
        <f>$B6 * IFERROR(VLOOKUP("transport|PM25|Asthma symptoms cough", US_national_yearly!$D:$AM, 35, FALSE) / VLOOKUP("transport|PM25|Asthma symptoms cough", US_national_yearly!$D:$AM, 10, FALSE), 1)</f>
        <v>0.11818640977295089</v>
      </c>
      <c r="AB6" s="7">
        <f>$B6 * IFERROR(VLOOKUP("transport|PM25|Asthma symptoms cough", US_national_yearly!$D:$AM, 36, FALSE) / VLOOKUP("transport|PM25|Asthma symptoms cough", US_national_yearly!$D:$AM, 10, FALSE), 1)</f>
        <v>0.11818640977295089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0.15914993163101432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0.15914993163101432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0.15914993163101432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0.15914993163101432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0.15914993163101432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0.15914993163101432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0.15914993163101432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0.15914993163101432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0.15914993163101432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0.15914993163101432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0.15914993163101432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0.15914993163101432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0.15914993163101432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0.15914993163101432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0.15914993163101432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0.15914993163101432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0.15914993163101432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0.15914993163101432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0.15914993163101432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0.15914993163101432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0.15914993163101432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0.15914993163101432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0.15914993163101432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0.15914993163101432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0.15914993163101432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0.15914993163101432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0.15914993163101432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0.24317272921054375</v>
      </c>
      <c r="C8" s="7">
        <f>$B8 * IFERROR(VLOOKUP("transport|PM25|Asthma symptoms wheeze", US_national_yearly!$D:$AM, 11, FALSE) / VLOOKUP("transport|PM25|Asthma symptoms wheeze", US_national_yearly!$D:$AM, 10, FALSE), 1)</f>
        <v>0.24317272921054375</v>
      </c>
      <c r="D8" s="7">
        <f>$B8 * IFERROR(VLOOKUP("transport|PM25|Asthma symptoms wheeze", US_national_yearly!$D:$AM, 12, FALSE) / VLOOKUP("transport|PM25|Asthma symptoms wheeze", US_national_yearly!$D:$AM, 10, FALSE), 1)</f>
        <v>0.24317272921054375</v>
      </c>
      <c r="E8" s="7">
        <f>$B8 * IFERROR(VLOOKUP("transport|PM25|Asthma symptoms wheeze", US_national_yearly!$D:$AM, 13, FALSE) / VLOOKUP("transport|PM25|Asthma symptoms wheeze", US_national_yearly!$D:$AM, 10, FALSE), 1)</f>
        <v>0.24317272921054375</v>
      </c>
      <c r="F8" s="7">
        <f>$B8 * IFERROR(VLOOKUP("transport|PM25|Asthma symptoms wheeze", US_national_yearly!$D:$AM, 14, FALSE) / VLOOKUP("transport|PM25|Asthma symptoms wheeze", US_national_yearly!$D:$AM, 10, FALSE), 1)</f>
        <v>0.24317272921054375</v>
      </c>
      <c r="G8" s="7">
        <f>$B8 * IFERROR(VLOOKUP("transport|PM25|Asthma symptoms wheeze", US_national_yearly!$D:$AM, 15, FALSE) / VLOOKUP("transport|PM25|Asthma symptoms wheeze", US_national_yearly!$D:$AM, 10, FALSE), 1)</f>
        <v>0.24317272921054375</v>
      </c>
      <c r="H8" s="7">
        <f>$B8 * IFERROR(VLOOKUP("transport|PM25|Asthma symptoms wheeze", US_national_yearly!$D:$AM, 16, FALSE) / VLOOKUP("transport|PM25|Asthma symptoms wheeze", US_national_yearly!$D:$AM, 10, FALSE), 1)</f>
        <v>0.24317272921054375</v>
      </c>
      <c r="I8" s="7">
        <f>$B8 * IFERROR(VLOOKUP("transport|PM25|Asthma symptoms wheeze", US_national_yearly!$D:$AM, 17, FALSE) / VLOOKUP("transport|PM25|Asthma symptoms wheeze", US_national_yearly!$D:$AM, 10, FALSE), 1)</f>
        <v>0.24317272921054375</v>
      </c>
      <c r="J8" s="7">
        <f>$B8 * IFERROR(VLOOKUP("transport|PM25|Asthma symptoms wheeze", US_national_yearly!$D:$AM, 18, FALSE) / VLOOKUP("transport|PM25|Asthma symptoms wheeze", US_national_yearly!$D:$AM, 10, FALSE), 1)</f>
        <v>0.24317272921054375</v>
      </c>
      <c r="K8" s="7">
        <f>$B8 * IFERROR(VLOOKUP("transport|PM25|Asthma symptoms wheeze", US_national_yearly!$D:$AM, 19, FALSE) / VLOOKUP("transport|PM25|Asthma symptoms wheeze", US_national_yearly!$D:$AM, 10, FALSE), 1)</f>
        <v>0.24317272921054375</v>
      </c>
      <c r="L8" s="7">
        <f>$B8 * IFERROR(VLOOKUP("transport|PM25|Asthma symptoms wheeze", US_national_yearly!$D:$AM, 20, FALSE) / VLOOKUP("transport|PM25|Asthma symptoms wheeze", US_national_yearly!$D:$AM, 10, FALSE), 1)</f>
        <v>0.24317272921054375</v>
      </c>
      <c r="M8" s="7">
        <f>$B8 * IFERROR(VLOOKUP("transport|PM25|Asthma symptoms wheeze", US_national_yearly!$D:$AM, 21, FALSE) / VLOOKUP("transport|PM25|Asthma symptoms wheeze", US_national_yearly!$D:$AM, 10, FALSE), 1)</f>
        <v>0.24317272921054375</v>
      </c>
      <c r="N8" s="7">
        <f>$B8 * IFERROR(VLOOKUP("transport|PM25|Asthma symptoms wheeze", US_national_yearly!$D:$AM, 22, FALSE) / VLOOKUP("transport|PM25|Asthma symptoms wheeze", US_national_yearly!$D:$AM, 10, FALSE), 1)</f>
        <v>0.24317272921054375</v>
      </c>
      <c r="O8" s="7">
        <f>$B8 * IFERROR(VLOOKUP("transport|PM25|Asthma symptoms wheeze", US_national_yearly!$D:$AM, 23, FALSE) / VLOOKUP("transport|PM25|Asthma symptoms wheeze", US_national_yearly!$D:$AM, 10, FALSE), 1)</f>
        <v>0.24317272921054375</v>
      </c>
      <c r="P8" s="7">
        <f>$B8 * IFERROR(VLOOKUP("transport|PM25|Asthma symptoms wheeze", US_national_yearly!$D:$AM, 24, FALSE) / VLOOKUP("transport|PM25|Asthma symptoms wheeze", US_national_yearly!$D:$AM, 10, FALSE), 1)</f>
        <v>0.24317272921054375</v>
      </c>
      <c r="Q8" s="7">
        <f>$B8 * IFERROR(VLOOKUP("transport|PM25|Asthma symptoms wheeze", US_national_yearly!$D:$AM, 25, FALSE) / VLOOKUP("transport|PM25|Asthma symptoms wheeze", US_national_yearly!$D:$AM, 10, FALSE), 1)</f>
        <v>0.24317272921054375</v>
      </c>
      <c r="R8" s="7">
        <f>$B8 * IFERROR(VLOOKUP("transport|PM25|Asthma symptoms wheeze", US_national_yearly!$D:$AM, 26, FALSE) / VLOOKUP("transport|PM25|Asthma symptoms wheeze", US_national_yearly!$D:$AM, 10, FALSE), 1)</f>
        <v>0.24317272921054375</v>
      </c>
      <c r="S8" s="7">
        <f>$B8 * IFERROR(VLOOKUP("transport|PM25|Asthma symptoms wheeze", US_national_yearly!$D:$AM, 27, FALSE) / VLOOKUP("transport|PM25|Asthma symptoms wheeze", US_national_yearly!$D:$AM, 10, FALSE), 1)</f>
        <v>0.24317272921054375</v>
      </c>
      <c r="T8" s="7">
        <f>$B8 * IFERROR(VLOOKUP("transport|PM25|Asthma symptoms wheeze", US_national_yearly!$D:$AM, 28, FALSE) / VLOOKUP("transport|PM25|Asthma symptoms wheeze", US_national_yearly!$D:$AM, 10, FALSE), 1)</f>
        <v>0.24317272921054375</v>
      </c>
      <c r="U8" s="7">
        <f>$B8 * IFERROR(VLOOKUP("transport|PM25|Asthma symptoms wheeze", US_national_yearly!$D:$AM, 29, FALSE) / VLOOKUP("transport|PM25|Asthma symptoms wheeze", US_national_yearly!$D:$AM, 10, FALSE), 1)</f>
        <v>0.24317272921054375</v>
      </c>
      <c r="V8" s="7">
        <f>$B8 * IFERROR(VLOOKUP("transport|PM25|Asthma symptoms wheeze", US_national_yearly!$D:$AM, 30, FALSE) / VLOOKUP("transport|PM25|Asthma symptoms wheeze", US_national_yearly!$D:$AM, 10, FALSE), 1)</f>
        <v>0.24317272921054375</v>
      </c>
      <c r="W8" s="7">
        <f>$B8 * IFERROR(VLOOKUP("transport|PM25|Asthma symptoms wheeze", US_national_yearly!$D:$AM, 31, FALSE) / VLOOKUP("transport|PM25|Asthma symptoms wheeze", US_national_yearly!$D:$AM, 10, FALSE), 1)</f>
        <v>0.24317272921054375</v>
      </c>
      <c r="X8" s="7">
        <f>$B8 * IFERROR(VLOOKUP("transport|PM25|Asthma symptoms wheeze", US_national_yearly!$D:$AM, 32, FALSE) / VLOOKUP("transport|PM25|Asthma symptoms wheeze", US_national_yearly!$D:$AM, 10, FALSE), 1)</f>
        <v>0.24317272921054375</v>
      </c>
      <c r="Y8" s="7">
        <f>$B8 * IFERROR(VLOOKUP("transport|PM25|Asthma symptoms wheeze", US_national_yearly!$D:$AM, 33, FALSE) / VLOOKUP("transport|PM25|Asthma symptoms wheeze", US_national_yearly!$D:$AM, 10, FALSE), 1)</f>
        <v>0.24317272921054375</v>
      </c>
      <c r="Z8" s="7">
        <f>$B8 * IFERROR(VLOOKUP("transport|PM25|Asthma symptoms wheeze", US_national_yearly!$D:$AM, 34, FALSE) / VLOOKUP("transport|PM25|Asthma symptoms wheeze", US_national_yearly!$D:$AM, 10, FALSE), 1)</f>
        <v>0.24317272921054375</v>
      </c>
      <c r="AA8" s="7">
        <f>$B8 * IFERROR(VLOOKUP("transport|PM25|Asthma symptoms wheeze", US_national_yearly!$D:$AM, 35, FALSE) / VLOOKUP("transport|PM25|Asthma symptoms wheeze", US_national_yearly!$D:$AM, 10, FALSE), 1)</f>
        <v>0.24317272921054375</v>
      </c>
      <c r="AB8" s="7">
        <f>$B8 * IFERROR(VLOOKUP("transport|PM25|Asthma symptoms wheeze", US_national_yearly!$D:$AM, 36, FALSE) / VLOOKUP("transport|PM25|Asthma symptoms wheeze", US_national_yearly!$D:$AM, 10, FALSE), 1)</f>
        <v>0.24317272921054375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3.430933856460581E-3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3.4505985864640687E-3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3.4702633164675561E-3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3.4899280464710442E-3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3.5095927764745311E-3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3.5308315236827772E-3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3.5520702708910232E-3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3.572363086913906E-3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3.5926559029367902E-3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3.6129487189596734E-3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3.6332415349825571E-3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3.6535343510054399E-3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3.6680990972465508E-3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3.6826638434876609E-3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3.6972285897287705E-3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3.7117933359698809E-3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3.7263580822109918E-3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3.7402256397981197E-3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3.7540931973852479E-3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3.7679607549723757E-3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3.7818283125595036E-3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3.7956958701466314E-3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3.8090366374423732E-3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3.8223774047381133E-3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3.8357181720338543E-3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3.8490589393295944E-3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3.8623997066253354E-3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2.1675433845824266E-2</v>
      </c>
      <c r="C13" s="7">
        <f>$B13 * IFERROR(VLOOKUP("transport|PM25|Non-fatal heart attacks", US_national_yearly!$D:$AM, 11, FALSE) / VLOOKUP("transport|PM25|Non-fatal heart attacks", US_national_yearly!$D:$AM, 10, FALSE), 1)</f>
        <v>2.2305596227740643E-2</v>
      </c>
      <c r="D13" s="7">
        <f>$B13 * IFERROR(VLOOKUP("transport|PM25|Non-fatal heart attacks", US_national_yearly!$D:$AM, 12, FALSE) / VLOOKUP("transport|PM25|Non-fatal heart attacks", US_national_yearly!$D:$AM, 10, FALSE), 1)</f>
        <v>2.2935758609657016E-2</v>
      </c>
      <c r="E13" s="7">
        <f>$B13 * IFERROR(VLOOKUP("transport|PM25|Non-fatal heart attacks", US_national_yearly!$D:$AM, 13, FALSE) / VLOOKUP("transport|PM25|Non-fatal heart attacks", US_national_yearly!$D:$AM, 10, FALSE), 1)</f>
        <v>2.356592099157339E-2</v>
      </c>
      <c r="F13" s="7">
        <f>$B13 * IFERROR(VLOOKUP("transport|PM25|Non-fatal heart attacks", US_national_yearly!$D:$AM, 14, FALSE) / VLOOKUP("transport|PM25|Non-fatal heart attacks", US_national_yearly!$D:$AM, 10, FALSE), 1)</f>
        <v>2.4196083373489771E-2</v>
      </c>
      <c r="G13" s="7">
        <f>$B13 * IFERROR(VLOOKUP("transport|PM25|Non-fatal heart attacks", US_national_yearly!$D:$AM, 15, FALSE) / VLOOKUP("transport|PM25|Non-fatal heart attacks", US_national_yearly!$D:$AM, 10, FALSE), 1)</f>
        <v>2.4790366337730352E-2</v>
      </c>
      <c r="H13" s="7">
        <f>$B13 * IFERROR(VLOOKUP("transport|PM25|Non-fatal heart attacks", US_national_yearly!$D:$AM, 16, FALSE) / VLOOKUP("transport|PM25|Non-fatal heart attacks", US_national_yearly!$D:$AM, 10, FALSE), 1)</f>
        <v>2.5384649301970926E-2</v>
      </c>
      <c r="I13" s="7">
        <f>$B13 * IFERROR(VLOOKUP("transport|PM25|Non-fatal heart attacks", US_national_yearly!$D:$AM, 17, FALSE) / VLOOKUP("transport|PM25|Non-fatal heart attacks", US_national_yearly!$D:$AM, 10, FALSE), 1)</f>
        <v>2.5862255054589264E-2</v>
      </c>
      <c r="J13" s="7">
        <f>$B13 * IFERROR(VLOOKUP("transport|PM25|Non-fatal heart attacks", US_national_yearly!$D:$AM, 18, FALSE) / VLOOKUP("transport|PM25|Non-fatal heart attacks", US_national_yearly!$D:$AM, 10, FALSE), 1)</f>
        <v>2.6339860807207599E-2</v>
      </c>
      <c r="K13" s="7">
        <f>$B13 * IFERROR(VLOOKUP("transport|PM25|Non-fatal heart attacks", US_national_yearly!$D:$AM, 19, FALSE) / VLOOKUP("transport|PM25|Non-fatal heart attacks", US_national_yearly!$D:$AM, 10, FALSE), 1)</f>
        <v>2.6817466559825941E-2</v>
      </c>
      <c r="L13" s="7">
        <f>$B13 * IFERROR(VLOOKUP("transport|PM25|Non-fatal heart attacks", US_national_yearly!$D:$AM, 20, FALSE) / VLOOKUP("transport|PM25|Non-fatal heart attacks", US_national_yearly!$D:$AM, 10, FALSE), 1)</f>
        <v>2.7295072312444279E-2</v>
      </c>
      <c r="M13" s="7">
        <f>$B13 * IFERROR(VLOOKUP("transport|PM25|Non-fatal heart attacks", US_national_yearly!$D:$AM, 21, FALSE) / VLOOKUP("transport|PM25|Non-fatal heart attacks", US_national_yearly!$D:$AM, 10, FALSE), 1)</f>
        <v>2.7772678065062621E-2</v>
      </c>
      <c r="N13" s="7">
        <f>$B13 * IFERROR(VLOOKUP("transport|PM25|Non-fatal heart attacks", US_national_yearly!$D:$AM, 22, FALSE) / VLOOKUP("transport|PM25|Non-fatal heart attacks", US_national_yearly!$D:$AM, 10, FALSE), 1)</f>
        <v>2.8080686614092309E-2</v>
      </c>
      <c r="O13" s="7">
        <f>$B13 * IFERROR(VLOOKUP("transport|PM25|Non-fatal heart attacks", US_national_yearly!$D:$AM, 23, FALSE) / VLOOKUP("transport|PM25|Non-fatal heart attacks", US_national_yearly!$D:$AM, 10, FALSE), 1)</f>
        <v>2.8388695163122001E-2</v>
      </c>
      <c r="P13" s="7">
        <f>$B13 * IFERROR(VLOOKUP("transport|PM25|Non-fatal heart attacks", US_national_yearly!$D:$AM, 24, FALSE) / VLOOKUP("transport|PM25|Non-fatal heart attacks", US_national_yearly!$D:$AM, 10, FALSE), 1)</f>
        <v>2.8696703712151696E-2</v>
      </c>
      <c r="Q13" s="7">
        <f>$B13 * IFERROR(VLOOKUP("transport|PM25|Non-fatal heart attacks", US_national_yearly!$D:$AM, 25, FALSE) / VLOOKUP("transport|PM25|Non-fatal heart attacks", US_national_yearly!$D:$AM, 10, FALSE), 1)</f>
        <v>2.9004712261181384E-2</v>
      </c>
      <c r="R13" s="7">
        <f>$B13 * IFERROR(VLOOKUP("transport|PM25|Non-fatal heart attacks", US_national_yearly!$D:$AM, 26, FALSE) / VLOOKUP("transport|PM25|Non-fatal heart attacks", US_national_yearly!$D:$AM, 10, FALSE), 1)</f>
        <v>2.9312720810211076E-2</v>
      </c>
      <c r="S13" s="7">
        <f>$B13 * IFERROR(VLOOKUP("transport|PM25|Non-fatal heart attacks", US_national_yearly!$D:$AM, 27, FALSE) / VLOOKUP("transport|PM25|Non-fatal heart attacks", US_national_yearly!$D:$AM, 10, FALSE), 1)</f>
        <v>2.9474926911867198E-2</v>
      </c>
      <c r="T13" s="7">
        <f>$B13 * IFERROR(VLOOKUP("transport|PM25|Non-fatal heart attacks", US_national_yearly!$D:$AM, 28, FALSE) / VLOOKUP("transport|PM25|Non-fatal heart attacks", US_national_yearly!$D:$AM, 10, FALSE), 1)</f>
        <v>2.9637133013523331E-2</v>
      </c>
      <c r="U13" s="7">
        <f>$B13 * IFERROR(VLOOKUP("transport|PM25|Non-fatal heart attacks", US_national_yearly!$D:$AM, 29, FALSE) / VLOOKUP("transport|PM25|Non-fatal heart attacks", US_national_yearly!$D:$AM, 10, FALSE), 1)</f>
        <v>2.9799339115179464E-2</v>
      </c>
      <c r="V13" s="7">
        <f>$B13 * IFERROR(VLOOKUP("transport|PM25|Non-fatal heart attacks", US_national_yearly!$D:$AM, 30, FALSE) / VLOOKUP("transport|PM25|Non-fatal heart attacks", US_national_yearly!$D:$AM, 10, FALSE), 1)</f>
        <v>2.9961545216835594E-2</v>
      </c>
      <c r="W13" s="7">
        <f>$B13 * IFERROR(VLOOKUP("transport|PM25|Non-fatal heart attacks", US_national_yearly!$D:$AM, 31, FALSE) / VLOOKUP("transport|PM25|Non-fatal heart attacks", US_national_yearly!$D:$AM, 10, FALSE), 1)</f>
        <v>3.012375131849172E-2</v>
      </c>
      <c r="X13" s="7">
        <f>$B13 * IFERROR(VLOOKUP("transport|PM25|Non-fatal heart attacks", US_national_yearly!$D:$AM, 32, FALSE) / VLOOKUP("transport|PM25|Non-fatal heart attacks", US_national_yearly!$D:$AM, 10, FALSE), 1)</f>
        <v>3.0246889204168983E-2</v>
      </c>
      <c r="Y13" s="7">
        <f>$B13 * IFERROR(VLOOKUP("transport|PM25|Non-fatal heart attacks", US_national_yearly!$D:$AM, 33, FALSE) / VLOOKUP("transport|PM25|Non-fatal heart attacks", US_national_yearly!$D:$AM, 10, FALSE), 1)</f>
        <v>3.0370027089846249E-2</v>
      </c>
      <c r="Z13" s="7">
        <f>$B13 * IFERROR(VLOOKUP("transport|PM25|Non-fatal heart attacks", US_national_yearly!$D:$AM, 34, FALSE) / VLOOKUP("transport|PM25|Non-fatal heart attacks", US_national_yearly!$D:$AM, 10, FALSE), 1)</f>
        <v>3.0493164975523512E-2</v>
      </c>
      <c r="AA13" s="7">
        <f>$B13 * IFERROR(VLOOKUP("transport|PM25|Non-fatal heart attacks", US_national_yearly!$D:$AM, 35, FALSE) / VLOOKUP("transport|PM25|Non-fatal heart attacks", US_national_yearly!$D:$AM, 10, FALSE), 1)</f>
        <v>3.0616302861200782E-2</v>
      </c>
      <c r="AB13" s="7">
        <f>$B13 * IFERROR(VLOOKUP("transport|PM25|Non-fatal heart attacks", US_national_yearly!$D:$AM, 36, FALSE) / VLOOKUP("transport|PM25|Non-fatal heart attacks", US_national_yearly!$D:$AM, 10, FALSE), 1)</f>
        <v>3.0739440746878045E-2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15.210770988756927</v>
      </c>
      <c r="C14" s="7">
        <f>$B14 * IFERROR(VLOOKUP("transport|PM25|Minor restricted activity days", US_national_yearly!$D:$AM, 11, FALSE) / VLOOKUP("transport|PM25|Minor restricted activity days", US_national_yearly!$D:$AM, 10, FALSE), 1)</f>
        <v>15.247917495370247</v>
      </c>
      <c r="D14" s="7">
        <f>$B14 * IFERROR(VLOOKUP("transport|PM25|Minor restricted activity days", US_national_yearly!$D:$AM, 12, FALSE) / VLOOKUP("transport|PM25|Minor restricted activity days", US_national_yearly!$D:$AM, 10, FALSE), 1)</f>
        <v>15.285064001983567</v>
      </c>
      <c r="E14" s="7">
        <f>$B14 * IFERROR(VLOOKUP("transport|PM25|Minor restricted activity days", US_national_yearly!$D:$AM, 13, FALSE) / VLOOKUP("transport|PM25|Minor restricted activity days", US_national_yearly!$D:$AM, 10, FALSE), 1)</f>
        <v>15.322210508596889</v>
      </c>
      <c r="F14" s="7">
        <f>$B14 * IFERROR(VLOOKUP("transport|PM25|Minor restricted activity days", US_national_yearly!$D:$AM, 14, FALSE) / VLOOKUP("transport|PM25|Minor restricted activity days", US_national_yearly!$D:$AM, 10, FALSE), 1)</f>
        <v>15.359357015210206</v>
      </c>
      <c r="G14" s="7">
        <f>$B14 * IFERROR(VLOOKUP("transport|PM25|Minor restricted activity days", US_national_yearly!$D:$AM, 15, FALSE) / VLOOKUP("transport|PM25|Minor restricted activity days", US_national_yearly!$D:$AM, 10, FALSE), 1)</f>
        <v>15.414165574019554</v>
      </c>
      <c r="H14" s="7">
        <f>$B14 * IFERROR(VLOOKUP("transport|PM25|Minor restricted activity days", US_national_yearly!$D:$AM, 16, FALSE) / VLOOKUP("transport|PM25|Minor restricted activity days", US_national_yearly!$D:$AM, 10, FALSE), 1)</f>
        <v>15.468974132828903</v>
      </c>
      <c r="I14" s="7">
        <f>$B14 * IFERROR(VLOOKUP("transport|PM25|Minor restricted activity days", US_national_yearly!$D:$AM, 17, FALSE) / VLOOKUP("transport|PM25|Minor restricted activity days", US_national_yearly!$D:$AM, 10, FALSE), 1)</f>
        <v>15.562671669955085</v>
      </c>
      <c r="J14" s="7">
        <f>$B14 * IFERROR(VLOOKUP("transport|PM25|Minor restricted activity days", US_national_yearly!$D:$AM, 18, FALSE) / VLOOKUP("transport|PM25|Minor restricted activity days", US_national_yearly!$D:$AM, 10, FALSE), 1)</f>
        <v>15.65636920708126</v>
      </c>
      <c r="K14" s="7">
        <f>$B14 * IFERROR(VLOOKUP("transport|PM25|Minor restricted activity days", US_national_yearly!$D:$AM, 19, FALSE) / VLOOKUP("transport|PM25|Minor restricted activity days", US_national_yearly!$D:$AM, 10, FALSE), 1)</f>
        <v>15.750066744207443</v>
      </c>
      <c r="L14" s="7">
        <f>$B14 * IFERROR(VLOOKUP("transport|PM25|Minor restricted activity days", US_national_yearly!$D:$AM, 20, FALSE) / VLOOKUP("transport|PM25|Minor restricted activity days", US_national_yearly!$D:$AM, 10, FALSE), 1)</f>
        <v>15.84376428133362</v>
      </c>
      <c r="M14" s="7">
        <f>$B14 * IFERROR(VLOOKUP("transport|PM25|Minor restricted activity days", US_national_yearly!$D:$AM, 21, FALSE) / VLOOKUP("transport|PM25|Minor restricted activity days", US_national_yearly!$D:$AM, 10, FALSE), 1)</f>
        <v>15.937461818459798</v>
      </c>
      <c r="N14" s="7">
        <f>$B14 * IFERROR(VLOOKUP("transport|PM25|Minor restricted activity days", US_national_yearly!$D:$AM, 22, FALSE) / VLOOKUP("transport|PM25|Minor restricted activity days", US_national_yearly!$D:$AM, 10, FALSE), 1)</f>
        <v>16.065096519172123</v>
      </c>
      <c r="O14" s="7">
        <f>$B14 * IFERROR(VLOOKUP("transport|PM25|Minor restricted activity days", US_national_yearly!$D:$AM, 23, FALSE) / VLOOKUP("transport|PM25|Minor restricted activity days", US_national_yearly!$D:$AM, 10, FALSE), 1)</f>
        <v>16.19273121988444</v>
      </c>
      <c r="P14" s="7">
        <f>$B14 * IFERROR(VLOOKUP("transport|PM25|Minor restricted activity days", US_national_yearly!$D:$AM, 24, FALSE) / VLOOKUP("transport|PM25|Minor restricted activity days", US_national_yearly!$D:$AM, 10, FALSE), 1)</f>
        <v>16.32036592059676</v>
      </c>
      <c r="Q14" s="7">
        <f>$B14 * IFERROR(VLOOKUP("transport|PM25|Minor restricted activity days", US_national_yearly!$D:$AM, 25, FALSE) / VLOOKUP("transport|PM25|Minor restricted activity days", US_national_yearly!$D:$AM, 10, FALSE), 1)</f>
        <v>16.448000621309081</v>
      </c>
      <c r="R14" s="7">
        <f>$B14 * IFERROR(VLOOKUP("transport|PM25|Minor restricted activity days", US_national_yearly!$D:$AM, 26, FALSE) / VLOOKUP("transport|PM25|Minor restricted activity days", US_national_yearly!$D:$AM, 10, FALSE), 1)</f>
        <v>16.575635322021398</v>
      </c>
      <c r="S14" s="7">
        <f>$B14 * IFERROR(VLOOKUP("transport|PM25|Minor restricted activity days", US_national_yearly!$D:$AM, 27, FALSE) / VLOOKUP("transport|PM25|Minor restricted activity days", US_national_yearly!$D:$AM, 10, FALSE), 1)</f>
        <v>16.704149001094262</v>
      </c>
      <c r="T14" s="7">
        <f>$B14 * IFERROR(VLOOKUP("transport|PM25|Minor restricted activity days", US_national_yearly!$D:$AM, 28, FALSE) / VLOOKUP("transport|PM25|Minor restricted activity days", US_national_yearly!$D:$AM, 10, FALSE), 1)</f>
        <v>16.832662680167125</v>
      </c>
      <c r="U14" s="7">
        <f>$B14 * IFERROR(VLOOKUP("transport|PM25|Minor restricted activity days", US_national_yearly!$D:$AM, 29, FALSE) / VLOOKUP("transport|PM25|Minor restricted activity days", US_national_yearly!$D:$AM, 10, FALSE), 1)</f>
        <v>16.961176359239989</v>
      </c>
      <c r="V14" s="7">
        <f>$B14 * IFERROR(VLOOKUP("transport|PM25|Minor restricted activity days", US_national_yearly!$D:$AM, 30, FALSE) / VLOOKUP("transport|PM25|Minor restricted activity days", US_national_yearly!$D:$AM, 10, FALSE), 1)</f>
        <v>17.089690038312852</v>
      </c>
      <c r="W14" s="7">
        <f>$B14 * IFERROR(VLOOKUP("transport|PM25|Minor restricted activity days", US_national_yearly!$D:$AM, 31, FALSE) / VLOOKUP("transport|PM25|Minor restricted activity days", US_national_yearly!$D:$AM, 10, FALSE), 1)</f>
        <v>17.21820371738572</v>
      </c>
      <c r="X14" s="7">
        <f>$B14 * IFERROR(VLOOKUP("transport|PM25|Minor restricted activity days", US_national_yearly!$D:$AM, 32, FALSE) / VLOOKUP("transport|PM25|Minor restricted activity days", US_national_yearly!$D:$AM, 10, FALSE), 1)</f>
        <v>17.329766519543064</v>
      </c>
      <c r="Y14" s="7">
        <f>$B14 * IFERROR(VLOOKUP("transport|PM25|Minor restricted activity days", US_national_yearly!$D:$AM, 33, FALSE) / VLOOKUP("transport|PM25|Minor restricted activity days", US_national_yearly!$D:$AM, 10, FALSE), 1)</f>
        <v>17.441329321700408</v>
      </c>
      <c r="Z14" s="7">
        <f>$B14 * IFERROR(VLOOKUP("transport|PM25|Minor restricted activity days", US_national_yearly!$D:$AM, 34, FALSE) / VLOOKUP("transport|PM25|Minor restricted activity days", US_national_yearly!$D:$AM, 10, FALSE), 1)</f>
        <v>17.552892123857752</v>
      </c>
      <c r="AA14" s="7">
        <f>$B14 * IFERROR(VLOOKUP("transport|PM25|Minor restricted activity days", US_national_yearly!$D:$AM, 35, FALSE) / VLOOKUP("transport|PM25|Minor restricted activity days", US_national_yearly!$D:$AM, 10, FALSE), 1)</f>
        <v>17.664454926015093</v>
      </c>
      <c r="AB14" s="7">
        <f>$B14 * IFERROR(VLOOKUP("transport|PM25|Minor restricted activity days", US_national_yearly!$D:$AM, 36, FALSE) / VLOOKUP("transport|PM25|Minor restricted activity days", US_national_yearly!$D:$AM, 10, FALSE), 1)</f>
        <v>17.776017728172437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2.5766996049479842</v>
      </c>
      <c r="C15" s="7">
        <f>$B15 * IFERROR(VLOOKUP("transport|PM25|Work loss days", US_national_yearly!$D:$AM, 11, FALSE) / VLOOKUP("transport|PM25|Work loss days", US_national_yearly!$D:$AM, 10, FALSE), 1)</f>
        <v>2.5846864456713772</v>
      </c>
      <c r="D15" s="7">
        <f>$B15 * IFERROR(VLOOKUP("transport|PM25|Work loss days", US_national_yearly!$D:$AM, 12, FALSE) / VLOOKUP("transport|PM25|Work loss days", US_national_yearly!$D:$AM, 10, FALSE), 1)</f>
        <v>2.5926732863947701</v>
      </c>
      <c r="E15" s="7">
        <f>$B15 * IFERROR(VLOOKUP("transport|PM25|Work loss days", US_national_yearly!$D:$AM, 13, FALSE) / VLOOKUP("transport|PM25|Work loss days", US_national_yearly!$D:$AM, 10, FALSE), 1)</f>
        <v>2.6006601271181631</v>
      </c>
      <c r="F15" s="7">
        <f>$B15 * IFERROR(VLOOKUP("transport|PM25|Work loss days", US_national_yearly!$D:$AM, 14, FALSE) / VLOOKUP("transport|PM25|Work loss days", US_national_yearly!$D:$AM, 10, FALSE), 1)</f>
        <v>2.608646967841556</v>
      </c>
      <c r="G15" s="7">
        <f>$B15 * IFERROR(VLOOKUP("transport|PM25|Work loss days", US_national_yearly!$D:$AM, 15, FALSE) / VLOOKUP("transport|PM25|Work loss days", US_national_yearly!$D:$AM, 10, FALSE), 1)</f>
        <v>2.6191182256778904</v>
      </c>
      <c r="H15" s="7">
        <f>$B15 * IFERROR(VLOOKUP("transport|PM25|Work loss days", US_national_yearly!$D:$AM, 16, FALSE) / VLOOKUP("transport|PM25|Work loss days", US_national_yearly!$D:$AM, 10, FALSE), 1)</f>
        <v>2.6295894835142257</v>
      </c>
      <c r="I15" s="7">
        <f>$B15 * IFERROR(VLOOKUP("transport|PM25|Work loss days", US_national_yearly!$D:$AM, 17, FALSE) / VLOOKUP("transport|PM25|Work loss days", US_national_yearly!$D:$AM, 10, FALSE), 1)</f>
        <v>2.6450095623585574</v>
      </c>
      <c r="J15" s="7">
        <f>$B15 * IFERROR(VLOOKUP("transport|PM25|Work loss days", US_national_yearly!$D:$AM, 18, FALSE) / VLOOKUP("transport|PM25|Work loss days", US_national_yearly!$D:$AM, 10, FALSE), 1)</f>
        <v>2.6604296412028892</v>
      </c>
      <c r="K15" s="7">
        <f>$B15 * IFERROR(VLOOKUP("transport|PM25|Work loss days", US_national_yearly!$D:$AM, 19, FALSE) / VLOOKUP("transport|PM25|Work loss days", US_national_yearly!$D:$AM, 10, FALSE), 1)</f>
        <v>2.6758497200472209</v>
      </c>
      <c r="L15" s="7">
        <f>$B15 * IFERROR(VLOOKUP("transport|PM25|Work loss days", US_national_yearly!$D:$AM, 20, FALSE) / VLOOKUP("transport|PM25|Work loss days", US_national_yearly!$D:$AM, 10, FALSE), 1)</f>
        <v>2.6912697988915526</v>
      </c>
      <c r="M15" s="7">
        <f>$B15 * IFERROR(VLOOKUP("transport|PM25|Work loss days", US_national_yearly!$D:$AM, 21, FALSE) / VLOOKUP("transport|PM25|Work loss days", US_national_yearly!$D:$AM, 10, FALSE), 1)</f>
        <v>2.7066898777358839</v>
      </c>
      <c r="N15" s="7">
        <f>$B15 * IFERROR(VLOOKUP("transport|PM25|Work loss days", US_national_yearly!$D:$AM, 22, FALSE) / VLOOKUP("transport|PM25|Work loss days", US_national_yearly!$D:$AM, 10, FALSE), 1)</f>
        <v>2.7260972140887558</v>
      </c>
      <c r="O15" s="7">
        <f>$B15 * IFERROR(VLOOKUP("transport|PM25|Work loss days", US_national_yearly!$D:$AM, 23, FALSE) / VLOOKUP("transport|PM25|Work loss days", US_national_yearly!$D:$AM, 10, FALSE), 1)</f>
        <v>2.7455045504416269</v>
      </c>
      <c r="P15" s="7">
        <f>$B15 * IFERROR(VLOOKUP("transport|PM25|Work loss days", US_national_yearly!$D:$AM, 24, FALSE) / VLOOKUP("transport|PM25|Work loss days", US_national_yearly!$D:$AM, 10, FALSE), 1)</f>
        <v>2.7649118867944988</v>
      </c>
      <c r="Q15" s="7">
        <f>$B15 * IFERROR(VLOOKUP("transport|PM25|Work loss days", US_national_yearly!$D:$AM, 25, FALSE) / VLOOKUP("transport|PM25|Work loss days", US_national_yearly!$D:$AM, 10, FALSE), 1)</f>
        <v>2.7843192231473699</v>
      </c>
      <c r="R15" s="7">
        <f>$B15 * IFERROR(VLOOKUP("transport|PM25|Work loss days", US_national_yearly!$D:$AM, 26, FALSE) / VLOOKUP("transport|PM25|Work loss days", US_national_yearly!$D:$AM, 10, FALSE), 1)</f>
        <v>2.8037265595002414</v>
      </c>
      <c r="S15" s="7">
        <f>$B15 * IFERROR(VLOOKUP("transport|PM25|Work loss days", US_national_yearly!$D:$AM, 27, FALSE) / VLOOKUP("transport|PM25|Work loss days", US_national_yearly!$D:$AM, 10, FALSE), 1)</f>
        <v>2.8251919020727216</v>
      </c>
      <c r="T15" s="7">
        <f>$B15 * IFERROR(VLOOKUP("transport|PM25|Work loss days", US_national_yearly!$D:$AM, 28, FALSE) / VLOOKUP("transport|PM25|Work loss days", US_national_yearly!$D:$AM, 10, FALSE), 1)</f>
        <v>2.8466572446452023</v>
      </c>
      <c r="U15" s="7">
        <f>$B15 * IFERROR(VLOOKUP("transport|PM25|Work loss days", US_national_yearly!$D:$AM, 29, FALSE) / VLOOKUP("transport|PM25|Work loss days", US_national_yearly!$D:$AM, 10, FALSE), 1)</f>
        <v>2.8681225872176817</v>
      </c>
      <c r="V15" s="7">
        <f>$B15 * IFERROR(VLOOKUP("transport|PM25|Work loss days", US_national_yearly!$D:$AM, 30, FALSE) / VLOOKUP("transport|PM25|Work loss days", US_national_yearly!$D:$AM, 10, FALSE), 1)</f>
        <v>2.8895879297901623</v>
      </c>
      <c r="W15" s="7">
        <f>$B15 * IFERROR(VLOOKUP("transport|PM25|Work loss days", US_national_yearly!$D:$AM, 31, FALSE) / VLOOKUP("transport|PM25|Work loss days", US_national_yearly!$D:$AM, 10, FALSE), 1)</f>
        <v>2.9110532723626426</v>
      </c>
      <c r="X15" s="7">
        <f>$B15 * IFERROR(VLOOKUP("transport|PM25|Work loss days", US_national_yearly!$D:$AM, 32, FALSE) / VLOOKUP("transport|PM25|Work loss days", US_national_yearly!$D:$AM, 10, FALSE), 1)</f>
        <v>2.93009882050508</v>
      </c>
      <c r="Y15" s="7">
        <f>$B15 * IFERROR(VLOOKUP("transport|PM25|Work loss days", US_national_yearly!$D:$AM, 33, FALSE) / VLOOKUP("transport|PM25|Work loss days", US_national_yearly!$D:$AM, 10, FALSE), 1)</f>
        <v>2.9491443686475174</v>
      </c>
      <c r="Z15" s="7">
        <f>$B15 * IFERROR(VLOOKUP("transport|PM25|Work loss days", US_national_yearly!$D:$AM, 34, FALSE) / VLOOKUP("transport|PM25|Work loss days", US_national_yearly!$D:$AM, 10, FALSE), 1)</f>
        <v>2.9681899167899553</v>
      </c>
      <c r="AA15" s="7">
        <f>$B15 * IFERROR(VLOOKUP("transport|PM25|Work loss days", US_national_yearly!$D:$AM, 35, FALSE) / VLOOKUP("transport|PM25|Work loss days", US_national_yearly!$D:$AM, 10, FALSE), 1)</f>
        <v>2.9872354649323931</v>
      </c>
      <c r="AB15" s="7">
        <f>$B15 * IFERROR(VLOOKUP("transport|PM25|Work loss days", US_national_yearly!$D:$AM, 36, FALSE) / VLOOKUP("transport|PM25|Work loss days", US_national_yearly!$D:$AM, 10, FALSE), 1)</f>
        <v>3.0062810130748305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5.9171105725294975E-3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6.0939179625376207E-3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6.2707253525457456E-3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6.4475327425538706E-3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6.6243401325619946E-3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6.7936900296602341E-3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6.9630399267584754E-3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7.1078772564389572E-3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7.2527145861194372E-3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7.3975519157999173E-3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7.5423892454803999E-3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7.6872265751608809E-3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7.7837929296881801E-3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7.880359284215481E-3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7.9769256387427819E-3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8.0734919932700829E-3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8.170058347797382E-3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8.2211509648803874E-3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8.2722435819633927E-3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8.3233361990463963E-3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8.3744288161293999E-3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8.4255214332124052E-3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8.4599176551034411E-3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8.4943138769944786E-3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8.5287100988855162E-3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8.5631063207765538E-3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8.5975025426675896E-3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1.8422588654852321E-3</v>
      </c>
      <c r="C2" s="7">
        <f>$B2 * IFERROR(VLOOKUP("transport|NOx|Premature mortality", US_national_yearly!$D:$AM, 11, FALSE) / VLOOKUP("transport|NOx|Premature mortality", US_national_yearly!$D:$AM, 10, FALSE), 1)</f>
        <v>1.8693185343351335E-3</v>
      </c>
      <c r="D2" s="7">
        <f>$B2 * IFERROR(VLOOKUP("transport|NOx|Premature mortality", US_national_yearly!$D:$AM, 12, FALSE) / VLOOKUP("transport|NOx|Premature mortality", US_national_yearly!$D:$AM, 10, FALSE), 1)</f>
        <v>1.8963782031850343E-3</v>
      </c>
      <c r="E2" s="7">
        <f>$B2 * IFERROR(VLOOKUP("transport|NOx|Premature mortality", US_national_yearly!$D:$AM, 13, FALSE) / VLOOKUP("transport|NOx|Premature mortality", US_national_yearly!$D:$AM, 10, FALSE), 1)</f>
        <v>1.9234378720349356E-3</v>
      </c>
      <c r="F2" s="7">
        <f>$B2 * IFERROR(VLOOKUP("transport|NOx|Premature mortality", US_national_yearly!$D:$AM, 14, FALSE) / VLOOKUP("transport|NOx|Premature mortality", US_national_yearly!$D:$AM, 10, FALSE), 1)</f>
        <v>1.950497540884837E-3</v>
      </c>
      <c r="G2" s="7">
        <f>$B2 * IFERROR(VLOOKUP("transport|NOx|Premature mortality", US_national_yearly!$D:$AM, 15, FALSE) / VLOOKUP("transport|NOx|Premature mortality", US_national_yearly!$D:$AM, 10, FALSE), 1)</f>
        <v>1.9991031036999366E-3</v>
      </c>
      <c r="H2" s="7">
        <f>$B2 * IFERROR(VLOOKUP("transport|NOx|Premature mortality", US_national_yearly!$D:$AM, 16, FALSE) / VLOOKUP("transport|NOx|Premature mortality", US_national_yearly!$D:$AM, 10, FALSE), 1)</f>
        <v>2.0477086665150373E-3</v>
      </c>
      <c r="I2" s="7">
        <f>$B2 * IFERROR(VLOOKUP("transport|NOx|Premature mortality", US_national_yearly!$D:$AM, 17, FALSE) / VLOOKUP("transport|NOx|Premature mortality", US_national_yearly!$D:$AM, 10, FALSE), 1)</f>
        <v>2.0790844792933638E-3</v>
      </c>
      <c r="J2" s="7">
        <f>$B2 * IFERROR(VLOOKUP("transport|NOx|Premature mortality", US_national_yearly!$D:$AM, 18, FALSE) / VLOOKUP("transport|NOx|Premature mortality", US_national_yearly!$D:$AM, 10, FALSE), 1)</f>
        <v>2.1104602920716908E-3</v>
      </c>
      <c r="K2" s="7">
        <f>$B2 * IFERROR(VLOOKUP("transport|NOx|Premature mortality", US_national_yearly!$D:$AM, 19, FALSE) / VLOOKUP("transport|NOx|Premature mortality", US_national_yearly!$D:$AM, 10, FALSE), 1)</f>
        <v>2.1418361048500178E-3</v>
      </c>
      <c r="L2" s="7">
        <f>$B2 * IFERROR(VLOOKUP("transport|NOx|Premature mortality", US_national_yearly!$D:$AM, 20, FALSE) / VLOOKUP("transport|NOx|Premature mortality", US_national_yearly!$D:$AM, 10, FALSE), 1)</f>
        <v>2.1732119176283444E-3</v>
      </c>
      <c r="M2" s="7">
        <f>$B2 * IFERROR(VLOOKUP("transport|NOx|Premature mortality", US_national_yearly!$D:$AM, 21, FALSE) / VLOOKUP("transport|NOx|Premature mortality", US_national_yearly!$D:$AM, 10, FALSE), 1)</f>
        <v>2.2045877304066714E-3</v>
      </c>
      <c r="N2" s="7">
        <f>$B2 * IFERROR(VLOOKUP("transport|NOx|Premature mortality", US_national_yearly!$D:$AM, 22, FALSE) / VLOOKUP("transport|NOx|Premature mortality", US_national_yearly!$D:$AM, 10, FALSE), 1)</f>
        <v>2.2278308105380127E-3</v>
      </c>
      <c r="O2" s="7">
        <f>$B2 * IFERROR(VLOOKUP("transport|NOx|Premature mortality", US_national_yearly!$D:$AM, 23, FALSE) / VLOOKUP("transport|NOx|Premature mortality", US_national_yearly!$D:$AM, 10, FALSE), 1)</f>
        <v>2.2510738906693539E-3</v>
      </c>
      <c r="P2" s="7">
        <f>$B2 * IFERROR(VLOOKUP("transport|NOx|Premature mortality", US_national_yearly!$D:$AM, 24, FALSE) / VLOOKUP("transport|NOx|Premature mortality", US_national_yearly!$D:$AM, 10, FALSE), 1)</f>
        <v>2.2743169708006952E-3</v>
      </c>
      <c r="Q2" s="7">
        <f>$B2 * IFERROR(VLOOKUP("transport|NOx|Premature mortality", US_national_yearly!$D:$AM, 25, FALSE) / VLOOKUP("transport|NOx|Premature mortality", US_national_yearly!$D:$AM, 10, FALSE), 1)</f>
        <v>2.2975600509320369E-3</v>
      </c>
      <c r="R2" s="7">
        <f>$B2 * IFERROR(VLOOKUP("transport|NOx|Premature mortality", US_national_yearly!$D:$AM, 26, FALSE) / VLOOKUP("transport|NOx|Premature mortality", US_national_yearly!$D:$AM, 10, FALSE), 1)</f>
        <v>2.3208031310633782E-3</v>
      </c>
      <c r="S2" s="7">
        <f>$B2 * IFERROR(VLOOKUP("transport|NOx|Premature mortality", US_national_yearly!$D:$AM, 27, FALSE) / VLOOKUP("transport|NOx|Premature mortality", US_national_yearly!$D:$AM, 10, FALSE), 1)</f>
        <v>2.3313673450377792E-3</v>
      </c>
      <c r="T2" s="7">
        <f>$B2 * IFERROR(VLOOKUP("transport|NOx|Premature mortality", US_national_yearly!$D:$AM, 28, FALSE) / VLOOKUP("transport|NOx|Premature mortality", US_national_yearly!$D:$AM, 10, FALSE), 1)</f>
        <v>2.3419315590121805E-3</v>
      </c>
      <c r="U2" s="7">
        <f>$B2 * IFERROR(VLOOKUP("transport|NOx|Premature mortality", US_national_yearly!$D:$AM, 29, FALSE) / VLOOKUP("transport|NOx|Premature mortality", US_national_yearly!$D:$AM, 10, FALSE), 1)</f>
        <v>2.3524957729865819E-3</v>
      </c>
      <c r="V2" s="7">
        <f>$B2 * IFERROR(VLOOKUP("transport|NOx|Premature mortality", US_national_yearly!$D:$AM, 30, FALSE) / VLOOKUP("transport|NOx|Premature mortality", US_national_yearly!$D:$AM, 10, FALSE), 1)</f>
        <v>2.3630599869609828E-3</v>
      </c>
      <c r="W2" s="7">
        <f>$B2 * IFERROR(VLOOKUP("transport|NOx|Premature mortality", US_national_yearly!$D:$AM, 31, FALSE) / VLOOKUP("transport|NOx|Premature mortality", US_national_yearly!$D:$AM, 10, FALSE), 1)</f>
        <v>2.3736242009353842E-3</v>
      </c>
      <c r="X2" s="7">
        <f>$B2 * IFERROR(VLOOKUP("transport|NOx|Premature mortality", US_national_yearly!$D:$AM, 32, FALSE) / VLOOKUP("transport|NOx|Premature mortality", US_national_yearly!$D:$AM, 10, FALSE), 1)</f>
        <v>2.3739901392435502E-3</v>
      </c>
      <c r="Y2" s="7">
        <f>$B2 * IFERROR(VLOOKUP("transport|NOx|Premature mortality", US_national_yearly!$D:$AM, 33, FALSE) / VLOOKUP("transport|NOx|Premature mortality", US_national_yearly!$D:$AM, 10, FALSE), 1)</f>
        <v>2.3743560775517161E-3</v>
      </c>
      <c r="Z2" s="7">
        <f>$B2 * IFERROR(VLOOKUP("transport|NOx|Premature mortality", US_national_yearly!$D:$AM, 34, FALSE) / VLOOKUP("transport|NOx|Premature mortality", US_national_yearly!$D:$AM, 10, FALSE), 1)</f>
        <v>2.3747220158598817E-3</v>
      </c>
      <c r="AA2" s="7">
        <f>$B2 * IFERROR(VLOOKUP("transport|NOx|Premature mortality", US_national_yearly!$D:$AM, 35, FALSE) / VLOOKUP("transport|NOx|Premature mortality", US_national_yearly!$D:$AM, 10, FALSE), 1)</f>
        <v>2.3750879541680481E-3</v>
      </c>
      <c r="AB2" s="7">
        <f>$B2 * IFERROR(VLOOKUP("transport|NOx|Premature mortality", US_national_yearly!$D:$AM, 36, FALSE) / VLOOKUP("transport|NOx|Premature mortality", US_national_yearly!$D:$AM, 10, FALSE), 1)</f>
        <v>2.3754538924762141E-3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3.746249389359162E-6</v>
      </c>
      <c r="C3" s="7">
        <f>$B3 * IFERROR(VLOOKUP("transport|NOx|Infant mortality", US_national_yearly!$D:$AM, 11, FALSE) / VLOOKUP("transport|NOx|Infant mortality", US_national_yearly!$D:$AM, 10, FALSE), 1)</f>
        <v>3.7105568178732953E-6</v>
      </c>
      <c r="D3" s="7">
        <f>$B3 * IFERROR(VLOOKUP("transport|NOx|Infant mortality", US_national_yearly!$D:$AM, 12, FALSE) / VLOOKUP("transport|NOx|Infant mortality", US_national_yearly!$D:$AM, 10, FALSE), 1)</f>
        <v>3.6748642463874276E-6</v>
      </c>
      <c r="E3" s="7">
        <f>$B3 * IFERROR(VLOOKUP("transport|NOx|Infant mortality", US_national_yearly!$D:$AM, 13, FALSE) / VLOOKUP("transport|NOx|Infant mortality", US_national_yearly!$D:$AM, 10, FALSE), 1)</f>
        <v>3.6391716749015609E-6</v>
      </c>
      <c r="F3" s="7">
        <f>$B3 * IFERROR(VLOOKUP("transport|NOx|Infant mortality", US_national_yearly!$D:$AM, 14, FALSE) / VLOOKUP("transport|NOx|Infant mortality", US_national_yearly!$D:$AM, 10, FALSE), 1)</f>
        <v>3.6034791034156941E-6</v>
      </c>
      <c r="G3" s="7">
        <f>$B3 * IFERROR(VLOOKUP("transport|NOx|Infant mortality", US_national_yearly!$D:$AM, 15, FALSE) / VLOOKUP("transport|NOx|Infant mortality", US_national_yearly!$D:$AM, 10, FALSE), 1)</f>
        <v>2.3921673721864014E-6</v>
      </c>
      <c r="H3" s="7">
        <f>$B3 * IFERROR(VLOOKUP("transport|NOx|Infant mortality", US_national_yearly!$D:$AM, 16, FALSE) / VLOOKUP("transport|NOx|Infant mortality", US_national_yearly!$D:$AM, 10, FALSE), 1)</f>
        <v>1.1808556409571093E-6</v>
      </c>
      <c r="I3" s="7">
        <f>$B3 * IFERROR(VLOOKUP("transport|NOx|Infant mortality", US_national_yearly!$D:$AM, 17, FALSE) / VLOOKUP("transport|NOx|Infant mortality", US_national_yearly!$D:$AM, 10, FALSE), 1)</f>
        <v>1.1725058640899821E-6</v>
      </c>
      <c r="J3" s="7">
        <f>$B3 * IFERROR(VLOOKUP("transport|NOx|Infant mortality", US_national_yearly!$D:$AM, 18, FALSE) / VLOOKUP("transport|NOx|Infant mortality", US_national_yearly!$D:$AM, 10, FALSE), 1)</f>
        <v>1.1641560872228549E-6</v>
      </c>
      <c r="K3" s="7">
        <f>$B3 * IFERROR(VLOOKUP("transport|NOx|Infant mortality", US_national_yearly!$D:$AM, 19, FALSE) / VLOOKUP("transport|NOx|Infant mortality", US_national_yearly!$D:$AM, 10, FALSE), 1)</f>
        <v>1.1558063103557276E-6</v>
      </c>
      <c r="L3" s="7">
        <f>$B3 * IFERROR(VLOOKUP("transport|NOx|Infant mortality", US_national_yearly!$D:$AM, 20, FALSE) / VLOOKUP("transport|NOx|Infant mortality", US_national_yearly!$D:$AM, 10, FALSE), 1)</f>
        <v>1.1474565334886004E-6</v>
      </c>
      <c r="M3" s="7">
        <f>$B3 * IFERROR(VLOOKUP("transport|NOx|Infant mortality", US_national_yearly!$D:$AM, 21, FALSE) / VLOOKUP("transport|NOx|Infant mortality", US_national_yearly!$D:$AM, 10, FALSE), 1)</f>
        <v>1.1391067566214729E-6</v>
      </c>
      <c r="N3" s="7">
        <f>$B3 * IFERROR(VLOOKUP("transport|NOx|Infant mortality", US_national_yearly!$D:$AM, 22, FALSE) / VLOOKUP("transport|NOx|Infant mortality", US_national_yearly!$D:$AM, 10, FALSE), 1)</f>
        <v>1.1335645238619907E-6</v>
      </c>
      <c r="O3" s="7">
        <f>$B3 * IFERROR(VLOOKUP("transport|NOx|Infant mortality", US_national_yearly!$D:$AM, 23, FALSE) / VLOOKUP("transport|NOx|Infant mortality", US_national_yearly!$D:$AM, 10, FALSE), 1)</f>
        <v>1.1280222911025087E-6</v>
      </c>
      <c r="P3" s="7">
        <f>$B3 * IFERROR(VLOOKUP("transport|NOx|Infant mortality", US_national_yearly!$D:$AM, 24, FALSE) / VLOOKUP("transport|NOx|Infant mortality", US_national_yearly!$D:$AM, 10, FALSE), 1)</f>
        <v>1.1224800583430265E-6</v>
      </c>
      <c r="Q3" s="7">
        <f>$B3 * IFERROR(VLOOKUP("transport|NOx|Infant mortality", US_national_yearly!$D:$AM, 25, FALSE) / VLOOKUP("transport|NOx|Infant mortality", US_national_yearly!$D:$AM, 10, FALSE), 1)</f>
        <v>1.1169378255835442E-6</v>
      </c>
      <c r="R3" s="7">
        <f>$B3 * IFERROR(VLOOKUP("transport|NOx|Infant mortality", US_national_yearly!$D:$AM, 26, FALSE) / VLOOKUP("transport|NOx|Infant mortality", US_national_yearly!$D:$AM, 10, FALSE), 1)</f>
        <v>1.111395592824062E-6</v>
      </c>
      <c r="S3" s="7">
        <f>$B3 * IFERROR(VLOOKUP("transport|NOx|Infant mortality", US_national_yearly!$D:$AM, 27, FALSE) / VLOOKUP("transport|NOx|Infant mortality", US_national_yearly!$D:$AM, 10, FALSE), 1)</f>
        <v>1.1047329477001078E-6</v>
      </c>
      <c r="T3" s="7">
        <f>$B3 * IFERROR(VLOOKUP("transport|NOx|Infant mortality", US_national_yearly!$D:$AM, 28, FALSE) / VLOOKUP("transport|NOx|Infant mortality", US_national_yearly!$D:$AM, 10, FALSE), 1)</f>
        <v>1.0980703025761537E-6</v>
      </c>
      <c r="U3" s="7">
        <f>$B3 * IFERROR(VLOOKUP("transport|NOx|Infant mortality", US_national_yearly!$D:$AM, 29, FALSE) / VLOOKUP("transport|NOx|Infant mortality", US_national_yearly!$D:$AM, 10, FALSE), 1)</f>
        <v>1.0914076574521993E-6</v>
      </c>
      <c r="V3" s="7">
        <f>$B3 * IFERROR(VLOOKUP("transport|NOx|Infant mortality", US_national_yearly!$D:$AM, 30, FALSE) / VLOOKUP("transport|NOx|Infant mortality", US_national_yearly!$D:$AM, 10, FALSE), 1)</f>
        <v>1.0847450123282452E-6</v>
      </c>
      <c r="W3" s="7">
        <f>$B3 * IFERROR(VLOOKUP("transport|NOx|Infant mortality", US_national_yearly!$D:$AM, 31, FALSE) / VLOOKUP("transport|NOx|Infant mortality", US_national_yearly!$D:$AM, 10, FALSE), 1)</f>
        <v>1.078082367204291E-6</v>
      </c>
      <c r="X3" s="7">
        <f>$B3 * IFERROR(VLOOKUP("transport|NOx|Infant mortality", US_national_yearly!$D:$AM, 32, FALSE) / VLOOKUP("transport|NOx|Infant mortality", US_national_yearly!$D:$AM, 10, FALSE), 1)</f>
        <v>1.0710263038256555E-6</v>
      </c>
      <c r="Y3" s="7">
        <f>$B3 * IFERROR(VLOOKUP("transport|NOx|Infant mortality", US_national_yearly!$D:$AM, 33, FALSE) / VLOOKUP("transport|NOx|Infant mortality", US_national_yearly!$D:$AM, 10, FALSE), 1)</f>
        <v>1.0639702404470199E-6</v>
      </c>
      <c r="Z3" s="7">
        <f>$B3 * IFERROR(VLOOKUP("transport|NOx|Infant mortality", US_national_yearly!$D:$AM, 34, FALSE) / VLOOKUP("transport|NOx|Infant mortality", US_national_yearly!$D:$AM, 10, FALSE), 1)</f>
        <v>1.056914177068384E-6</v>
      </c>
      <c r="AA3" s="7">
        <f>$B3 * IFERROR(VLOOKUP("transport|NOx|Infant mortality", US_national_yearly!$D:$AM, 35, FALSE) / VLOOKUP("transport|NOx|Infant mortality", US_national_yearly!$D:$AM, 10, FALSE), 1)</f>
        <v>1.0498581136897483E-6</v>
      </c>
      <c r="AB3" s="7">
        <f>$B3 * IFERROR(VLOOKUP("transport|NOx|Infant mortality", US_national_yearly!$D:$AM, 36, FALSE) / VLOOKUP("transport|NOx|Infant mortality", US_national_yearly!$D:$AM, 10, FALSE), 1)</f>
        <v>1.0428020503111127E-6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3.7002640138604783E-3</v>
      </c>
      <c r="C6" s="7">
        <f>$B6 * IFERROR(VLOOKUP("transport|NOx|Asthma symptoms cough", US_national_yearly!$D:$AM, 11, FALSE) / VLOOKUP("transport|NOx|Asthma symptoms cough", US_national_yearly!$D:$AM, 10, FALSE), 1)</f>
        <v>3.7508526726221388E-3</v>
      </c>
      <c r="D6" s="7">
        <f>$B6 * IFERROR(VLOOKUP("transport|NOx|Asthma symptoms cough", US_national_yearly!$D:$AM, 12, FALSE) / VLOOKUP("transport|NOx|Asthma symptoms cough", US_national_yearly!$D:$AM, 10, FALSE), 1)</f>
        <v>3.8014413313837993E-3</v>
      </c>
      <c r="E6" s="7">
        <f>$B6 * IFERROR(VLOOKUP("transport|NOx|Asthma symptoms cough", US_national_yearly!$D:$AM, 13, FALSE) / VLOOKUP("transport|NOx|Asthma symptoms cough", US_national_yearly!$D:$AM, 10, FALSE), 1)</f>
        <v>3.8520299901454598E-3</v>
      </c>
      <c r="F6" s="7">
        <f>$B6 * IFERROR(VLOOKUP("transport|NOx|Asthma symptoms cough", US_national_yearly!$D:$AM, 14, FALSE) / VLOOKUP("transport|NOx|Asthma symptoms cough", US_national_yearly!$D:$AM, 10, FALSE), 1)</f>
        <v>3.9026186489071204E-3</v>
      </c>
      <c r="G6" s="7">
        <f>$B6 * IFERROR(VLOOKUP("transport|NOx|Asthma symptoms cough", US_national_yearly!$D:$AM, 15, FALSE) / VLOOKUP("transport|NOx|Asthma symptoms cough", US_national_yearly!$D:$AM, 10, FALSE), 1)</f>
        <v>3.9430066236408427E-3</v>
      </c>
      <c r="H6" s="7">
        <f>$B6 * IFERROR(VLOOKUP("transport|NOx|Asthma symptoms cough", US_national_yearly!$D:$AM, 16, FALSE) / VLOOKUP("transport|NOx|Asthma symptoms cough", US_national_yearly!$D:$AM, 10, FALSE), 1)</f>
        <v>3.9833945983745655E-3</v>
      </c>
      <c r="I6" s="7">
        <f>$B6 * IFERROR(VLOOKUP("transport|NOx|Asthma symptoms cough", US_national_yearly!$D:$AM, 17, FALSE) / VLOOKUP("transport|NOx|Asthma symptoms cough", US_national_yearly!$D:$AM, 10, FALSE), 1)</f>
        <v>3.9972955619014695E-3</v>
      </c>
      <c r="J6" s="7">
        <f>$B6 * IFERROR(VLOOKUP("transport|NOx|Asthma symptoms cough", US_national_yearly!$D:$AM, 18, FALSE) / VLOOKUP("transport|NOx|Asthma symptoms cough", US_national_yearly!$D:$AM, 10, FALSE), 1)</f>
        <v>4.0111965254283751E-3</v>
      </c>
      <c r="K6" s="7">
        <f>$B6 * IFERROR(VLOOKUP("transport|NOx|Asthma symptoms cough", US_national_yearly!$D:$AM, 19, FALSE) / VLOOKUP("transport|NOx|Asthma symptoms cough", US_national_yearly!$D:$AM, 10, FALSE), 1)</f>
        <v>4.0250974889552791E-3</v>
      </c>
      <c r="L6" s="7">
        <f>$B6 * IFERROR(VLOOKUP("transport|NOx|Asthma symptoms cough", US_national_yearly!$D:$AM, 20, FALSE) / VLOOKUP("transport|NOx|Asthma symptoms cough", US_national_yearly!$D:$AM, 10, FALSE), 1)</f>
        <v>4.0389984524821839E-3</v>
      </c>
      <c r="M6" s="7">
        <f>$B6 * IFERROR(VLOOKUP("transport|NOx|Asthma symptoms cough", US_national_yearly!$D:$AM, 21, FALSE) / VLOOKUP("transport|NOx|Asthma symptoms cough", US_national_yearly!$D:$AM, 10, FALSE), 1)</f>
        <v>4.0528994160090887E-3</v>
      </c>
      <c r="N6" s="7">
        <f>$B6 * IFERROR(VLOOKUP("transport|NOx|Asthma symptoms cough", US_national_yearly!$D:$AM, 22, FALSE) / VLOOKUP("transport|NOx|Asthma symptoms cough", US_national_yearly!$D:$AM, 10, FALSE), 1)</f>
        <v>4.0690186183853332E-3</v>
      </c>
      <c r="O6" s="7">
        <f>$B6 * IFERROR(VLOOKUP("transport|NOx|Asthma symptoms cough", US_national_yearly!$D:$AM, 23, FALSE) / VLOOKUP("transport|NOx|Asthma symptoms cough", US_national_yearly!$D:$AM, 10, FALSE), 1)</f>
        <v>4.0851378207615785E-3</v>
      </c>
      <c r="P6" s="7">
        <f>$B6 * IFERROR(VLOOKUP("transport|NOx|Asthma symptoms cough", US_national_yearly!$D:$AM, 24, FALSE) / VLOOKUP("transport|NOx|Asthma symptoms cough", US_national_yearly!$D:$AM, 10, FALSE), 1)</f>
        <v>4.1012570231378229E-3</v>
      </c>
      <c r="Q6" s="7">
        <f>$B6 * IFERROR(VLOOKUP("transport|NOx|Asthma symptoms cough", US_national_yearly!$D:$AM, 25, FALSE) / VLOOKUP("transport|NOx|Asthma symptoms cough", US_national_yearly!$D:$AM, 10, FALSE), 1)</f>
        <v>4.1173762255140682E-3</v>
      </c>
      <c r="R6" s="7">
        <f>$B6 * IFERROR(VLOOKUP("transport|NOx|Asthma symptoms cough", US_national_yearly!$D:$AM, 26, FALSE) / VLOOKUP("transport|NOx|Asthma symptoms cough", US_national_yearly!$D:$AM, 10, FALSE), 1)</f>
        <v>4.1334954278903135E-3</v>
      </c>
      <c r="S6" s="7">
        <f>$B6 * IFERROR(VLOOKUP("transport|NOx|Asthma symptoms cough", US_national_yearly!$D:$AM, 27, FALSE) / VLOOKUP("transport|NOx|Asthma symptoms cough", US_national_yearly!$D:$AM, 10, FALSE), 1)</f>
        <v>4.1545522401216037E-3</v>
      </c>
      <c r="T6" s="7">
        <f>$B6 * IFERROR(VLOOKUP("transport|NOx|Asthma symptoms cough", US_national_yearly!$D:$AM, 28, FALSE) / VLOOKUP("transport|NOx|Asthma symptoms cough", US_national_yearly!$D:$AM, 10, FALSE), 1)</f>
        <v>4.175609052352894E-3</v>
      </c>
      <c r="U6" s="7">
        <f>$B6 * IFERROR(VLOOKUP("transport|NOx|Asthma symptoms cough", US_national_yearly!$D:$AM, 29, FALSE) / VLOOKUP("transport|NOx|Asthma symptoms cough", US_national_yearly!$D:$AM, 10, FALSE), 1)</f>
        <v>4.1966658645841825E-3</v>
      </c>
      <c r="V6" s="7">
        <f>$B6 * IFERROR(VLOOKUP("transport|NOx|Asthma symptoms cough", US_national_yearly!$D:$AM, 30, FALSE) / VLOOKUP("transport|NOx|Asthma symptoms cough", US_national_yearly!$D:$AM, 10, FALSE), 1)</f>
        <v>4.2177226768154727E-3</v>
      </c>
      <c r="W6" s="7">
        <f>$B6 * IFERROR(VLOOKUP("transport|NOx|Asthma symptoms cough", US_national_yearly!$D:$AM, 31, FALSE) / VLOOKUP("transport|NOx|Asthma symptoms cough", US_national_yearly!$D:$AM, 10, FALSE), 1)</f>
        <v>4.238779489046763E-3</v>
      </c>
      <c r="X6" s="7">
        <f>$B6 * IFERROR(VLOOKUP("transport|NOx|Asthma symptoms cough", US_national_yearly!$D:$AM, 32, FALSE) / VLOOKUP("transport|NOx|Asthma symptoms cough", US_national_yearly!$D:$AM, 10, FALSE), 1)</f>
        <v>4.2583442931692292E-3</v>
      </c>
      <c r="Y6" s="7">
        <f>$B6 * IFERROR(VLOOKUP("transport|NOx|Asthma symptoms cough", US_national_yearly!$D:$AM, 33, FALSE) / VLOOKUP("transport|NOx|Asthma symptoms cough", US_national_yearly!$D:$AM, 10, FALSE), 1)</f>
        <v>4.2779090972916954E-3</v>
      </c>
      <c r="Z6" s="7">
        <f>$B6 * IFERROR(VLOOKUP("transport|NOx|Asthma symptoms cough", US_national_yearly!$D:$AM, 34, FALSE) / VLOOKUP("transport|NOx|Asthma symptoms cough", US_national_yearly!$D:$AM, 10, FALSE), 1)</f>
        <v>4.2974739014141625E-3</v>
      </c>
      <c r="AA6" s="7">
        <f>$B6 * IFERROR(VLOOKUP("transport|NOx|Asthma symptoms cough", US_national_yearly!$D:$AM, 35, FALSE) / VLOOKUP("transport|NOx|Asthma symptoms cough", US_national_yearly!$D:$AM, 10, FALSE), 1)</f>
        <v>4.3170387055366287E-3</v>
      </c>
      <c r="AB6" s="7">
        <f>$B6 * IFERROR(VLOOKUP("transport|NOx|Asthma symptoms cough", US_national_yearly!$D:$AM, 36, FALSE) / VLOOKUP("transport|NOx|Asthma symptoms cough", US_national_yearly!$D:$AM, 10, FALSE), 1)</f>
        <v>4.3366035096590958E-3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4.9827869926587585E-3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5.0509098373293657E-3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5.119032681999972E-3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5.1871555266705801E-3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5.2552783713411873E-3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5.3096649432390099E-3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5.3640515151368333E-3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5.3827705955939572E-3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5.4014896760510821E-3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5.4202087565082069E-3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5.4389278369653318E-3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5.4576469174224566E-3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5.4793530852447828E-3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5.5010592530671081E-3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5.5227654208894325E-3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5.5444715887117586E-3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5.5661777565340839E-3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5.5945329251527271E-3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5.6228880937713712E-3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5.6512432623900145E-3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5.6795984310086568E-3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5.7079535996272992E-3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5.7342996254845921E-3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5.7606456513418849E-3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5.7869916771991787E-3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5.8133377030564716E-3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5.8396837289137636E-3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7.6134082457815925E-3</v>
      </c>
      <c r="C8" s="7">
        <f>$B8 * IFERROR(VLOOKUP("transport|NOx|Asthma symptoms wheeze", US_national_yearly!$D:$AM, 11, FALSE) / VLOOKUP("transport|NOx|Asthma symptoms wheeze", US_national_yearly!$D:$AM, 10, FALSE), 1)</f>
        <v>7.7174959840747136E-3</v>
      </c>
      <c r="D8" s="7">
        <f>$B8 * IFERROR(VLOOKUP("transport|NOx|Asthma symptoms wheeze", US_national_yearly!$D:$AM, 12, FALSE) / VLOOKUP("transport|NOx|Asthma symptoms wheeze", US_national_yearly!$D:$AM, 10, FALSE), 1)</f>
        <v>7.8215837223678374E-3</v>
      </c>
      <c r="E8" s="7">
        <f>$B8 * IFERROR(VLOOKUP("transport|NOx|Asthma symptoms wheeze", US_national_yearly!$D:$AM, 13, FALSE) / VLOOKUP("transport|NOx|Asthma symptoms wheeze", US_national_yearly!$D:$AM, 10, FALSE), 1)</f>
        <v>7.9256714606609577E-3</v>
      </c>
      <c r="F8" s="7">
        <f>$B8 * IFERROR(VLOOKUP("transport|NOx|Asthma symptoms wheeze", US_national_yearly!$D:$AM, 14, FALSE) / VLOOKUP("transport|NOx|Asthma symptoms wheeze", US_national_yearly!$D:$AM, 10, FALSE), 1)</f>
        <v>8.0297591989540781E-3</v>
      </c>
      <c r="G8" s="7">
        <f>$B8 * IFERROR(VLOOKUP("transport|NOx|Asthma symptoms wheeze", US_national_yearly!$D:$AM, 15, FALSE) / VLOOKUP("transport|NOx|Asthma symptoms wheeze", US_national_yearly!$D:$AM, 10, FALSE), 1)</f>
        <v>8.1128587127642909E-3</v>
      </c>
      <c r="H8" s="7">
        <f>$B8 * IFERROR(VLOOKUP("transport|NOx|Asthma symptoms wheeze", US_national_yearly!$D:$AM, 16, FALSE) / VLOOKUP("transport|NOx|Asthma symptoms wheeze", US_national_yearly!$D:$AM, 10, FALSE), 1)</f>
        <v>8.1959582265745019E-3</v>
      </c>
      <c r="I8" s="7">
        <f>$B8 * IFERROR(VLOOKUP("transport|NOx|Asthma symptoms wheeze", US_national_yearly!$D:$AM, 17, FALSE) / VLOOKUP("transport|NOx|Asthma symptoms wheeze", US_national_yearly!$D:$AM, 10, FALSE), 1)</f>
        <v>8.2245598913636281E-3</v>
      </c>
      <c r="J8" s="7">
        <f>$B8 * IFERROR(VLOOKUP("transport|NOx|Asthma symptoms wheeze", US_national_yearly!$D:$AM, 18, FALSE) / VLOOKUP("transport|NOx|Asthma symptoms wheeze", US_national_yearly!$D:$AM, 10, FALSE), 1)</f>
        <v>8.2531615561527542E-3</v>
      </c>
      <c r="K8" s="7">
        <f>$B8 * IFERROR(VLOOKUP("transport|NOx|Asthma symptoms wheeze", US_national_yearly!$D:$AM, 19, FALSE) / VLOOKUP("transport|NOx|Asthma symptoms wheeze", US_national_yearly!$D:$AM, 10, FALSE), 1)</f>
        <v>8.2817632209418787E-3</v>
      </c>
      <c r="L8" s="7">
        <f>$B8 * IFERROR(VLOOKUP("transport|NOx|Asthma symptoms wheeze", US_national_yearly!$D:$AM, 20, FALSE) / VLOOKUP("transport|NOx|Asthma symptoms wheeze", US_national_yearly!$D:$AM, 10, FALSE), 1)</f>
        <v>8.3103648857310065E-3</v>
      </c>
      <c r="M8" s="7">
        <f>$B8 * IFERROR(VLOOKUP("transport|NOx|Asthma symptoms wheeze", US_national_yearly!$D:$AM, 21, FALSE) / VLOOKUP("transport|NOx|Asthma symptoms wheeze", US_national_yearly!$D:$AM, 10, FALSE), 1)</f>
        <v>8.338966550520131E-3</v>
      </c>
      <c r="N8" s="7">
        <f>$B8 * IFERROR(VLOOKUP("transport|NOx|Asthma symptoms wheeze", US_national_yearly!$D:$AM, 22, FALSE) / VLOOKUP("transport|NOx|Asthma symptoms wheeze", US_national_yearly!$D:$AM, 10, FALSE), 1)</f>
        <v>8.3721323107442385E-3</v>
      </c>
      <c r="O8" s="7">
        <f>$B8 * IFERROR(VLOOKUP("transport|NOx|Asthma symptoms wheeze", US_national_yearly!$D:$AM, 23, FALSE) / VLOOKUP("transport|NOx|Asthma symptoms wheeze", US_national_yearly!$D:$AM, 10, FALSE), 1)</f>
        <v>8.4052980709683478E-3</v>
      </c>
      <c r="P8" s="7">
        <f>$B8 * IFERROR(VLOOKUP("transport|NOx|Asthma symptoms wheeze", US_national_yearly!$D:$AM, 24, FALSE) / VLOOKUP("transport|NOx|Asthma symptoms wheeze", US_national_yearly!$D:$AM, 10, FALSE), 1)</f>
        <v>8.4384638311924554E-3</v>
      </c>
      <c r="Q8" s="7">
        <f>$B8 * IFERROR(VLOOKUP("transport|NOx|Asthma symptoms wheeze", US_national_yearly!$D:$AM, 25, FALSE) / VLOOKUP("transport|NOx|Asthma symptoms wheeze", US_national_yearly!$D:$AM, 10, FALSE), 1)</f>
        <v>8.4716295914165646E-3</v>
      </c>
      <c r="R8" s="7">
        <f>$B8 * IFERROR(VLOOKUP("transport|NOx|Asthma symptoms wheeze", US_national_yearly!$D:$AM, 26, FALSE) / VLOOKUP("transport|NOx|Asthma symptoms wheeze", US_national_yearly!$D:$AM, 10, FALSE), 1)</f>
        <v>8.5047953516406722E-3</v>
      </c>
      <c r="S8" s="7">
        <f>$B8 * IFERROR(VLOOKUP("transport|NOx|Asthma symptoms wheeze", US_national_yearly!$D:$AM, 27, FALSE) / VLOOKUP("transport|NOx|Asthma symptoms wheeze", US_national_yearly!$D:$AM, 10, FALSE), 1)</f>
        <v>8.54812039768405E-3</v>
      </c>
      <c r="T8" s="7">
        <f>$B8 * IFERROR(VLOOKUP("transport|NOx|Asthma symptoms wheeze", US_national_yearly!$D:$AM, 28, FALSE) / VLOOKUP("transport|NOx|Asthma symptoms wheeze", US_national_yearly!$D:$AM, 10, FALSE), 1)</f>
        <v>8.5914454437274277E-3</v>
      </c>
      <c r="U8" s="7">
        <f>$B8 * IFERROR(VLOOKUP("transport|NOx|Asthma symptoms wheeze", US_national_yearly!$D:$AM, 29, FALSE) / VLOOKUP("transport|NOx|Asthma symptoms wheeze", US_national_yearly!$D:$AM, 10, FALSE), 1)</f>
        <v>8.6347704897708072E-3</v>
      </c>
      <c r="V8" s="7">
        <f>$B8 * IFERROR(VLOOKUP("transport|NOx|Asthma symptoms wheeze", US_national_yearly!$D:$AM, 30, FALSE) / VLOOKUP("transport|NOx|Asthma symptoms wheeze", US_national_yearly!$D:$AM, 10, FALSE), 1)</f>
        <v>8.6780955358141867E-3</v>
      </c>
      <c r="W8" s="7">
        <f>$B8 * IFERROR(VLOOKUP("transport|NOx|Asthma symptoms wheeze", US_national_yearly!$D:$AM, 31, FALSE) / VLOOKUP("transport|NOx|Asthma symptoms wheeze", US_national_yearly!$D:$AM, 10, FALSE), 1)</f>
        <v>8.7214205818575627E-3</v>
      </c>
      <c r="X8" s="7">
        <f>$B8 * IFERROR(VLOOKUP("transport|NOx|Asthma symptoms wheeze", US_national_yearly!$D:$AM, 32, FALSE) / VLOOKUP("transport|NOx|Asthma symptoms wheeze", US_national_yearly!$D:$AM, 10, FALSE), 1)</f>
        <v>8.7616757748011538E-3</v>
      </c>
      <c r="Y8" s="7">
        <f>$B8 * IFERROR(VLOOKUP("transport|NOx|Asthma symptoms wheeze", US_national_yearly!$D:$AM, 33, FALSE) / VLOOKUP("transport|NOx|Asthma symptoms wheeze", US_national_yearly!$D:$AM, 10, FALSE), 1)</f>
        <v>8.8019309677447432E-3</v>
      </c>
      <c r="Z8" s="7">
        <f>$B8 * IFERROR(VLOOKUP("transport|NOx|Asthma symptoms wheeze", US_national_yearly!$D:$AM, 34, FALSE) / VLOOKUP("transport|NOx|Asthma symptoms wheeze", US_national_yearly!$D:$AM, 10, FALSE), 1)</f>
        <v>8.8421861606883343E-3</v>
      </c>
      <c r="AA8" s="7">
        <f>$B8 * IFERROR(VLOOKUP("transport|NOx|Asthma symptoms wheeze", US_national_yearly!$D:$AM, 35, FALSE) / VLOOKUP("transport|NOx|Asthma symptoms wheeze", US_national_yearly!$D:$AM, 10, FALSE), 1)</f>
        <v>8.8824413536319237E-3</v>
      </c>
      <c r="AB8" s="7">
        <f>$B8 * IFERROR(VLOOKUP("transport|NOx|Asthma symptoms wheeze", US_national_yearly!$D:$AM, 36, FALSE) / VLOOKUP("transport|NOx|Asthma symptoms wheeze", US_national_yearly!$D:$AM, 10, FALSE), 1)</f>
        <v>8.9226965465755148E-3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1.1324929939529224E-4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1.160742651965113E-4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1.1889923099773039E-4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1.2172419679894947E-4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1.2454916260016855E-4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1.2724992605652458E-4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1.2995068951288062E-4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1.3224369320940466E-4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1.3453669690592868E-4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1.3682970060245272E-4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1.3912270429897677E-4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1.4141570799550081E-4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1.4294862225114829E-4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1.4448153650679579E-4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1.460144507624433E-4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1.475473650180908E-4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1.4908027927373828E-4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1.4990157319474929E-4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1.5072286711576027E-4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1.5154416103677125E-4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1.523654549577822E-4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1.5318674887879321E-4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1.5374799657418486E-4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1.5430924426957656E-4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1.5487049196496823E-4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1.5543173966035991E-4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1.5599298735575155E-4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7.0945262751176766E-4</v>
      </c>
      <c r="C13" s="7">
        <f>$B13 * IFERROR(VLOOKUP("transport|NOx|Non-fatal heart attacks", US_national_yearly!$D:$AM, 11, FALSE) / VLOOKUP("transport|NOx|Non-fatal heart attacks", US_national_yearly!$D:$AM, 10, FALSE), 1)</f>
        <v>7.2973525306468349E-4</v>
      </c>
      <c r="D13" s="7">
        <f>$B13 * IFERROR(VLOOKUP("transport|NOx|Non-fatal heart attacks", US_national_yearly!$D:$AM, 12, FALSE) / VLOOKUP("transport|NOx|Non-fatal heart attacks", US_national_yearly!$D:$AM, 10, FALSE), 1)</f>
        <v>7.5001787861759932E-4</v>
      </c>
      <c r="E13" s="7">
        <f>$B13 * IFERROR(VLOOKUP("transport|NOx|Non-fatal heart attacks", US_national_yearly!$D:$AM, 13, FALSE) / VLOOKUP("transport|NOx|Non-fatal heart attacks", US_national_yearly!$D:$AM, 10, FALSE), 1)</f>
        <v>7.7030050417051504E-4</v>
      </c>
      <c r="F13" s="7">
        <f>$B13 * IFERROR(VLOOKUP("transport|NOx|Non-fatal heart attacks", US_national_yearly!$D:$AM, 14, FALSE) / VLOOKUP("transport|NOx|Non-fatal heart attacks", US_national_yearly!$D:$AM, 10, FALSE), 1)</f>
        <v>7.9058312972343087E-4</v>
      </c>
      <c r="G13" s="7">
        <f>$B13 * IFERROR(VLOOKUP("transport|NOx|Non-fatal heart attacks", US_national_yearly!$D:$AM, 15, FALSE) / VLOOKUP("transport|NOx|Non-fatal heart attacks", US_national_yearly!$D:$AM, 10, FALSE), 1)</f>
        <v>8.0953720114829435E-4</v>
      </c>
      <c r="H13" s="7">
        <f>$B13 * IFERROR(VLOOKUP("transport|NOx|Non-fatal heart attacks", US_national_yearly!$D:$AM, 16, FALSE) / VLOOKUP("transport|NOx|Non-fatal heart attacks", US_national_yearly!$D:$AM, 10, FALSE), 1)</f>
        <v>8.2849127257315783E-4</v>
      </c>
      <c r="I13" s="7">
        <f>$B13 * IFERROR(VLOOKUP("transport|NOx|Non-fatal heart attacks", US_national_yearly!$D:$AM, 17, FALSE) / VLOOKUP("transport|NOx|Non-fatal heart attacks", US_national_yearly!$D:$AM, 10, FALSE), 1)</f>
        <v>8.4343439123442355E-4</v>
      </c>
      <c r="J13" s="7">
        <f>$B13 * IFERROR(VLOOKUP("transport|NOx|Non-fatal heart attacks", US_national_yearly!$D:$AM, 18, FALSE) / VLOOKUP("transport|NOx|Non-fatal heart attacks", US_national_yearly!$D:$AM, 10, FALSE), 1)</f>
        <v>8.5837750989568938E-4</v>
      </c>
      <c r="K13" s="7">
        <f>$B13 * IFERROR(VLOOKUP("transport|NOx|Non-fatal heart attacks", US_national_yearly!$D:$AM, 19, FALSE) / VLOOKUP("transport|NOx|Non-fatal heart attacks", US_national_yearly!$D:$AM, 10, FALSE), 1)</f>
        <v>8.7332062855695455E-4</v>
      </c>
      <c r="L13" s="7">
        <f>$B13 * IFERROR(VLOOKUP("transport|NOx|Non-fatal heart attacks", US_national_yearly!$D:$AM, 20, FALSE) / VLOOKUP("transport|NOx|Non-fatal heart attacks", US_national_yearly!$D:$AM, 10, FALSE), 1)</f>
        <v>8.8826374721822081E-4</v>
      </c>
      <c r="M13" s="7">
        <f>$B13 * IFERROR(VLOOKUP("transport|NOx|Non-fatal heart attacks", US_national_yearly!$D:$AM, 21, FALSE) / VLOOKUP("transport|NOx|Non-fatal heart attacks", US_national_yearly!$D:$AM, 10, FALSE), 1)</f>
        <v>9.0320686587948631E-4</v>
      </c>
      <c r="N13" s="7">
        <f>$B13 * IFERROR(VLOOKUP("transport|NOx|Non-fatal heart attacks", US_national_yearly!$D:$AM, 22, FALSE) / VLOOKUP("transport|NOx|Non-fatal heart attacks", US_national_yearly!$D:$AM, 10, FALSE), 1)</f>
        <v>9.1219709923975358E-4</v>
      </c>
      <c r="O13" s="7">
        <f>$B13 * IFERROR(VLOOKUP("transport|NOx|Non-fatal heart attacks", US_national_yearly!$D:$AM, 23, FALSE) / VLOOKUP("transport|NOx|Non-fatal heart attacks", US_national_yearly!$D:$AM, 10, FALSE), 1)</f>
        <v>9.2118733260002073E-4</v>
      </c>
      <c r="P13" s="7">
        <f>$B13 * IFERROR(VLOOKUP("transport|NOx|Non-fatal heart attacks", US_national_yearly!$D:$AM, 24, FALSE) / VLOOKUP("transport|NOx|Non-fatal heart attacks", US_national_yearly!$D:$AM, 10, FALSE), 1)</f>
        <v>9.3017756596028766E-4</v>
      </c>
      <c r="Q13" s="7">
        <f>$B13 * IFERROR(VLOOKUP("transport|NOx|Non-fatal heart attacks", US_national_yearly!$D:$AM, 25, FALSE) / VLOOKUP("transport|NOx|Non-fatal heart attacks", US_national_yearly!$D:$AM, 10, FALSE), 1)</f>
        <v>9.3916779932055503E-4</v>
      </c>
      <c r="R13" s="7">
        <f>$B13 * IFERROR(VLOOKUP("transport|NOx|Non-fatal heart attacks", US_national_yearly!$D:$AM, 26, FALSE) / VLOOKUP("transport|NOx|Non-fatal heart attacks", US_national_yearly!$D:$AM, 10, FALSE), 1)</f>
        <v>9.4815803268082218E-4</v>
      </c>
      <c r="S13" s="7">
        <f>$B13 * IFERROR(VLOOKUP("transport|NOx|Non-fatal heart attacks", US_national_yearly!$D:$AM, 27, FALSE) / VLOOKUP("transport|NOx|Non-fatal heart attacks", US_national_yearly!$D:$AM, 10, FALSE), 1)</f>
        <v>9.5223606471283781E-4</v>
      </c>
      <c r="T13" s="7">
        <f>$B13 * IFERROR(VLOOKUP("transport|NOx|Non-fatal heart attacks", US_national_yearly!$D:$AM, 28, FALSE) / VLOOKUP("transport|NOx|Non-fatal heart attacks", US_national_yearly!$D:$AM, 10, FALSE), 1)</f>
        <v>9.5631409674485333E-4</v>
      </c>
      <c r="U13" s="7">
        <f>$B13 * IFERROR(VLOOKUP("transport|NOx|Non-fatal heart attacks", US_national_yearly!$D:$AM, 29, FALSE) / VLOOKUP("transport|NOx|Non-fatal heart attacks", US_national_yearly!$D:$AM, 10, FALSE), 1)</f>
        <v>9.6039212877686896E-4</v>
      </c>
      <c r="V13" s="7">
        <f>$B13 * IFERROR(VLOOKUP("transport|NOx|Non-fatal heart attacks", US_national_yearly!$D:$AM, 30, FALSE) / VLOOKUP("transport|NOx|Non-fatal heart attacks", US_national_yearly!$D:$AM, 10, FALSE), 1)</f>
        <v>9.6447016080888448E-4</v>
      </c>
      <c r="W13" s="7">
        <f>$B13 * IFERROR(VLOOKUP("transport|NOx|Non-fatal heart attacks", US_national_yearly!$D:$AM, 31, FALSE) / VLOOKUP("transport|NOx|Non-fatal heart attacks", US_national_yearly!$D:$AM, 10, FALSE), 1)</f>
        <v>9.6854819284090011E-4</v>
      </c>
      <c r="X13" s="7">
        <f>$B13 * IFERROR(VLOOKUP("transport|NOx|Non-fatal heart attacks", US_national_yearly!$D:$AM, 32, FALSE) / VLOOKUP("transport|NOx|Non-fatal heart attacks", US_national_yearly!$D:$AM, 10, FALSE), 1)</f>
        <v>9.7127334842344085E-4</v>
      </c>
      <c r="Y13" s="7">
        <f>$B13 * IFERROR(VLOOKUP("transport|NOx|Non-fatal heart attacks", US_national_yearly!$D:$AM, 33, FALSE) / VLOOKUP("transport|NOx|Non-fatal heart attacks", US_national_yearly!$D:$AM, 10, FALSE), 1)</f>
        <v>9.7399850400598171E-4</v>
      </c>
      <c r="Z13" s="7">
        <f>$B13 * IFERROR(VLOOKUP("transport|NOx|Non-fatal heart attacks", US_national_yearly!$D:$AM, 34, FALSE) / VLOOKUP("transport|NOx|Non-fatal heart attacks", US_national_yearly!$D:$AM, 10, FALSE), 1)</f>
        <v>9.7672365958852213E-4</v>
      </c>
      <c r="AA13" s="7">
        <f>$B13 * IFERROR(VLOOKUP("transport|NOx|Non-fatal heart attacks", US_national_yearly!$D:$AM, 35, FALSE) / VLOOKUP("transport|NOx|Non-fatal heart attacks", US_national_yearly!$D:$AM, 10, FALSE), 1)</f>
        <v>9.7944881517106298E-4</v>
      </c>
      <c r="AB13" s="7">
        <f>$B13 * IFERROR(VLOOKUP("transport|NOx|Non-fatal heart attacks", US_national_yearly!$D:$AM, 36, FALSE) / VLOOKUP("transport|NOx|Non-fatal heart attacks", US_national_yearly!$D:$AM, 10, FALSE), 1)</f>
        <v>9.8217397075360383E-4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0.47927733616418267</v>
      </c>
      <c r="C14" s="7">
        <f>$B14 * IFERROR(VLOOKUP("transport|NOx|Minor restricted activity days", US_national_yearly!$D:$AM, 11, FALSE) / VLOOKUP("transport|NOx|Minor restricted activity days", US_national_yearly!$D:$AM, 10, FALSE), 1)</f>
        <v>0.48001214875218462</v>
      </c>
      <c r="D14" s="7">
        <f>$B14 * IFERROR(VLOOKUP("transport|NOx|Minor restricted activity days", US_national_yearly!$D:$AM, 12, FALSE) / VLOOKUP("transport|NOx|Minor restricted activity days", US_national_yearly!$D:$AM, 10, FALSE), 1)</f>
        <v>0.48074696134018668</v>
      </c>
      <c r="E14" s="7">
        <f>$B14 * IFERROR(VLOOKUP("transport|NOx|Minor restricted activity days", US_national_yearly!$D:$AM, 13, FALSE) / VLOOKUP("transport|NOx|Minor restricted activity days", US_national_yearly!$D:$AM, 10, FALSE), 1)</f>
        <v>0.48148177392818875</v>
      </c>
      <c r="F14" s="7">
        <f>$B14 * IFERROR(VLOOKUP("transport|NOx|Minor restricted activity days", US_national_yearly!$D:$AM, 14, FALSE) / VLOOKUP("transport|NOx|Minor restricted activity days", US_national_yearly!$D:$AM, 10, FALSE), 1)</f>
        <v>0.48221658651619076</v>
      </c>
      <c r="G14" s="7">
        <f>$B14 * IFERROR(VLOOKUP("transport|NOx|Minor restricted activity days", US_national_yearly!$D:$AM, 15, FALSE) / VLOOKUP("transport|NOx|Minor restricted activity days", US_national_yearly!$D:$AM, 10, FALSE), 1)</f>
        <v>0.48354348314969747</v>
      </c>
      <c r="H14" s="7">
        <f>$B14 * IFERROR(VLOOKUP("transport|NOx|Minor restricted activity days", US_national_yearly!$D:$AM, 16, FALSE) / VLOOKUP("transport|NOx|Minor restricted activity days", US_national_yearly!$D:$AM, 10, FALSE), 1)</f>
        <v>0.48487037978320408</v>
      </c>
      <c r="I14" s="7">
        <f>$B14 * IFERROR(VLOOKUP("transport|NOx|Minor restricted activity days", US_national_yearly!$D:$AM, 17, FALSE) / VLOOKUP("transport|NOx|Minor restricted activity days", US_national_yearly!$D:$AM, 10, FALSE), 1)</f>
        <v>0.48746573712742086</v>
      </c>
      <c r="J14" s="7">
        <f>$B14 * IFERROR(VLOOKUP("transport|NOx|Minor restricted activity days", US_national_yearly!$D:$AM, 18, FALSE) / VLOOKUP("transport|NOx|Minor restricted activity days", US_national_yearly!$D:$AM, 10, FALSE), 1)</f>
        <v>0.49006109447163754</v>
      </c>
      <c r="K14" s="7">
        <f>$B14 * IFERROR(VLOOKUP("transport|NOx|Minor restricted activity days", US_national_yearly!$D:$AM, 19, FALSE) / VLOOKUP("transport|NOx|Minor restricted activity days", US_national_yearly!$D:$AM, 10, FALSE), 1)</f>
        <v>0.49265645181585432</v>
      </c>
      <c r="L14" s="7">
        <f>$B14 * IFERROR(VLOOKUP("transport|NOx|Minor restricted activity days", US_national_yearly!$D:$AM, 20, FALSE) / VLOOKUP("transport|NOx|Minor restricted activity days", US_national_yearly!$D:$AM, 10, FALSE), 1)</f>
        <v>0.495251809160071</v>
      </c>
      <c r="M14" s="7">
        <f>$B14 * IFERROR(VLOOKUP("transport|NOx|Minor restricted activity days", US_national_yearly!$D:$AM, 21, FALSE) / VLOOKUP("transport|NOx|Minor restricted activity days", US_national_yearly!$D:$AM, 10, FALSE), 1)</f>
        <v>0.49784716650428779</v>
      </c>
      <c r="N14" s="7">
        <f>$B14 * IFERROR(VLOOKUP("transport|NOx|Minor restricted activity days", US_national_yearly!$D:$AM, 22, FALSE) / VLOOKUP("transport|NOx|Minor restricted activity days", US_national_yearly!$D:$AM, 10, FALSE), 1)</f>
        <v>0.50156312973667461</v>
      </c>
      <c r="O14" s="7">
        <f>$B14 * IFERROR(VLOOKUP("transport|NOx|Minor restricted activity days", US_national_yearly!$D:$AM, 23, FALSE) / VLOOKUP("transport|NOx|Minor restricted activity days", US_national_yearly!$D:$AM, 10, FALSE), 1)</f>
        <v>0.50527909296906148</v>
      </c>
      <c r="P14" s="7">
        <f>$B14 * IFERROR(VLOOKUP("transport|NOx|Minor restricted activity days", US_national_yearly!$D:$AM, 24, FALSE) / VLOOKUP("transport|NOx|Minor restricted activity days", US_national_yearly!$D:$AM, 10, FALSE), 1)</f>
        <v>0.50899505620144836</v>
      </c>
      <c r="Q14" s="7">
        <f>$B14 * IFERROR(VLOOKUP("transport|NOx|Minor restricted activity days", US_national_yearly!$D:$AM, 25, FALSE) / VLOOKUP("transport|NOx|Minor restricted activity days", US_national_yearly!$D:$AM, 10, FALSE), 1)</f>
        <v>0.51271101943383512</v>
      </c>
      <c r="R14" s="7">
        <f>$B14 * IFERROR(VLOOKUP("transport|NOx|Minor restricted activity days", US_national_yearly!$D:$AM, 26, FALSE) / VLOOKUP("transport|NOx|Minor restricted activity days", US_national_yearly!$D:$AM, 10, FALSE), 1)</f>
        <v>0.516426982666222</v>
      </c>
      <c r="S14" s="7">
        <f>$B14 * IFERROR(VLOOKUP("transport|NOx|Minor restricted activity days", US_national_yearly!$D:$AM, 27, FALSE) / VLOOKUP("transport|NOx|Minor restricted activity days", US_national_yearly!$D:$AM, 10, FALSE), 1)</f>
        <v>0.52014216462529272</v>
      </c>
      <c r="T14" s="7">
        <f>$B14 * IFERROR(VLOOKUP("transport|NOx|Minor restricted activity days", US_national_yearly!$D:$AM, 28, FALSE) / VLOOKUP("transport|NOx|Minor restricted activity days", US_national_yearly!$D:$AM, 10, FALSE), 1)</f>
        <v>0.52385734658436323</v>
      </c>
      <c r="U14" s="7">
        <f>$B14 * IFERROR(VLOOKUP("transport|NOx|Minor restricted activity days", US_national_yearly!$D:$AM, 29, FALSE) / VLOOKUP("transport|NOx|Minor restricted activity days", US_national_yearly!$D:$AM, 10, FALSE), 1)</f>
        <v>0.52757252854343395</v>
      </c>
      <c r="V14" s="7">
        <f>$B14 * IFERROR(VLOOKUP("transport|NOx|Minor restricted activity days", US_national_yearly!$D:$AM, 30, FALSE) / VLOOKUP("transport|NOx|Minor restricted activity days", US_national_yearly!$D:$AM, 10, FALSE), 1)</f>
        <v>0.53128771050250456</v>
      </c>
      <c r="W14" s="7">
        <f>$B14 * IFERROR(VLOOKUP("transport|NOx|Minor restricted activity days", US_national_yearly!$D:$AM, 31, FALSE) / VLOOKUP("transport|NOx|Minor restricted activity days", US_national_yearly!$D:$AM, 10, FALSE), 1)</f>
        <v>0.53500289246157517</v>
      </c>
      <c r="X14" s="7">
        <f>$B14 * IFERROR(VLOOKUP("transport|NOx|Minor restricted activity days", US_national_yearly!$D:$AM, 32, FALSE) / VLOOKUP("transport|NOx|Minor restricted activity days", US_national_yearly!$D:$AM, 10, FALSE), 1)</f>
        <v>0.53814393727502952</v>
      </c>
      <c r="Y14" s="7">
        <f>$B14 * IFERROR(VLOOKUP("transport|NOx|Minor restricted activity days", US_national_yearly!$D:$AM, 33, FALSE) / VLOOKUP("transport|NOx|Minor restricted activity days", US_national_yearly!$D:$AM, 10, FALSE), 1)</f>
        <v>0.54128498208848397</v>
      </c>
      <c r="Z14" s="7">
        <f>$B14 * IFERROR(VLOOKUP("transport|NOx|Minor restricted activity days", US_national_yearly!$D:$AM, 34, FALSE) / VLOOKUP("transport|NOx|Minor restricted activity days", US_national_yearly!$D:$AM, 10, FALSE), 1)</f>
        <v>0.54442602690193831</v>
      </c>
      <c r="AA14" s="7">
        <f>$B14 * IFERROR(VLOOKUP("transport|NOx|Minor restricted activity days", US_national_yearly!$D:$AM, 35, FALSE) / VLOOKUP("transport|NOx|Minor restricted activity days", US_national_yearly!$D:$AM, 10, FALSE), 1)</f>
        <v>0.54756707171539276</v>
      </c>
      <c r="AB14" s="7">
        <f>$B14 * IFERROR(VLOOKUP("transport|NOx|Minor restricted activity days", US_national_yearly!$D:$AM, 36, FALSE) / VLOOKUP("transport|NOx|Minor restricted activity days", US_national_yearly!$D:$AM, 10, FALSE), 1)</f>
        <v>0.5507081165288471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8.0991487874846807E-2</v>
      </c>
      <c r="C15" s="7">
        <f>$B15 * IFERROR(VLOOKUP("transport|NOx|Work loss days", US_national_yearly!$D:$AM, 11, FALSE) / VLOOKUP("transport|NOx|Work loss days", US_national_yearly!$D:$AM, 10, FALSE), 1)</f>
        <v>8.1171649082557584E-2</v>
      </c>
      <c r="D15" s="7">
        <f>$B15 * IFERROR(VLOOKUP("transport|NOx|Work loss days", US_national_yearly!$D:$AM, 12, FALSE) / VLOOKUP("transport|NOx|Work loss days", US_national_yearly!$D:$AM, 10, FALSE), 1)</f>
        <v>8.1351810290268375E-2</v>
      </c>
      <c r="E15" s="7">
        <f>$B15 * IFERROR(VLOOKUP("transport|NOx|Work loss days", US_national_yearly!$D:$AM, 13, FALSE) / VLOOKUP("transport|NOx|Work loss days", US_national_yearly!$D:$AM, 10, FALSE), 1)</f>
        <v>8.1531971497979153E-2</v>
      </c>
      <c r="F15" s="7">
        <f>$B15 * IFERROR(VLOOKUP("transport|NOx|Work loss days", US_national_yearly!$D:$AM, 14, FALSE) / VLOOKUP("transport|NOx|Work loss days", US_national_yearly!$D:$AM, 10, FALSE), 1)</f>
        <v>8.1712132705689958E-2</v>
      </c>
      <c r="G15" s="7">
        <f>$B15 * IFERROR(VLOOKUP("transport|NOx|Work loss days", US_national_yearly!$D:$AM, 15, FALSE) / VLOOKUP("transport|NOx|Work loss days", US_national_yearly!$D:$AM, 10, FALSE), 1)</f>
        <v>8.1975169605802783E-2</v>
      </c>
      <c r="H15" s="7">
        <f>$B15 * IFERROR(VLOOKUP("transport|NOx|Work loss days", US_national_yearly!$D:$AM, 16, FALSE) / VLOOKUP("transport|NOx|Work loss days", US_national_yearly!$D:$AM, 10, FALSE), 1)</f>
        <v>8.2238206505915637E-2</v>
      </c>
      <c r="I15" s="7">
        <f>$B15 * IFERROR(VLOOKUP("transport|NOx|Work loss days", US_national_yearly!$D:$AM, 17, FALSE) / VLOOKUP("transport|NOx|Work loss days", US_national_yearly!$D:$AM, 10, FALSE), 1)</f>
        <v>8.26643120284936E-2</v>
      </c>
      <c r="J15" s="7">
        <f>$B15 * IFERROR(VLOOKUP("transport|NOx|Work loss days", US_national_yearly!$D:$AM, 18, FALSE) / VLOOKUP("transport|NOx|Work loss days", US_national_yearly!$D:$AM, 10, FALSE), 1)</f>
        <v>8.3090417551071577E-2</v>
      </c>
      <c r="K15" s="7">
        <f>$B15 * IFERROR(VLOOKUP("transport|NOx|Work loss days", US_national_yearly!$D:$AM, 19, FALSE) / VLOOKUP("transport|NOx|Work loss days", US_national_yearly!$D:$AM, 10, FALSE), 1)</f>
        <v>8.351652307364954E-2</v>
      </c>
      <c r="L15" s="7">
        <f>$B15 * IFERROR(VLOOKUP("transport|NOx|Work loss days", US_national_yearly!$D:$AM, 20, FALSE) / VLOOKUP("transport|NOx|Work loss days", US_national_yearly!$D:$AM, 10, FALSE), 1)</f>
        <v>8.3942628596227503E-2</v>
      </c>
      <c r="M15" s="7">
        <f>$B15 * IFERROR(VLOOKUP("transport|NOx|Work loss days", US_national_yearly!$D:$AM, 21, FALSE) / VLOOKUP("transport|NOx|Work loss days", US_national_yearly!$D:$AM, 10, FALSE), 1)</f>
        <v>8.436873411880548E-2</v>
      </c>
      <c r="N15" s="7">
        <f>$B15 * IFERROR(VLOOKUP("transport|NOx|Work loss days", US_national_yearly!$D:$AM, 22, FALSE) / VLOOKUP("transport|NOx|Work loss days", US_national_yearly!$D:$AM, 10, FALSE), 1)</f>
        <v>8.4923284309441169E-2</v>
      </c>
      <c r="O15" s="7">
        <f>$B15 * IFERROR(VLOOKUP("transport|NOx|Work loss days", US_national_yearly!$D:$AM, 23, FALSE) / VLOOKUP("transport|NOx|Work loss days", US_national_yearly!$D:$AM, 10, FALSE), 1)</f>
        <v>8.5477834500076857E-2</v>
      </c>
      <c r="P15" s="7">
        <f>$B15 * IFERROR(VLOOKUP("transport|NOx|Work loss days", US_national_yearly!$D:$AM, 24, FALSE) / VLOOKUP("transport|NOx|Work loss days", US_national_yearly!$D:$AM, 10, FALSE), 1)</f>
        <v>8.6032384690712546E-2</v>
      </c>
      <c r="Q15" s="7">
        <f>$B15 * IFERROR(VLOOKUP("transport|NOx|Work loss days", US_national_yearly!$D:$AM, 25, FALSE) / VLOOKUP("transport|NOx|Work loss days", US_national_yearly!$D:$AM, 10, FALSE), 1)</f>
        <v>8.6586934881348207E-2</v>
      </c>
      <c r="R15" s="7">
        <f>$B15 * IFERROR(VLOOKUP("transport|NOx|Work loss days", US_national_yearly!$D:$AM, 26, FALSE) / VLOOKUP("transport|NOx|Work loss days", US_national_yearly!$D:$AM, 10, FALSE), 1)</f>
        <v>8.7141485071983923E-2</v>
      </c>
      <c r="S15" s="7">
        <f>$B15 * IFERROR(VLOOKUP("transport|NOx|Work loss days", US_national_yearly!$D:$AM, 27, FALSE) / VLOOKUP("transport|NOx|Work loss days", US_national_yearly!$D:$AM, 10, FALSE), 1)</f>
        <v>8.7759737628643641E-2</v>
      </c>
      <c r="T15" s="7">
        <f>$B15 * IFERROR(VLOOKUP("transport|NOx|Work loss days", US_national_yearly!$D:$AM, 28, FALSE) / VLOOKUP("transport|NOx|Work loss days", US_national_yearly!$D:$AM, 10, FALSE), 1)</f>
        <v>8.8377990185303359E-2</v>
      </c>
      <c r="U15" s="7">
        <f>$B15 * IFERROR(VLOOKUP("transport|NOx|Work loss days", US_national_yearly!$D:$AM, 29, FALSE) / VLOOKUP("transport|NOx|Work loss days", US_national_yearly!$D:$AM, 10, FALSE), 1)</f>
        <v>8.899624274196305E-2</v>
      </c>
      <c r="V15" s="7">
        <f>$B15 * IFERROR(VLOOKUP("transport|NOx|Work loss days", US_national_yearly!$D:$AM, 30, FALSE) / VLOOKUP("transport|NOx|Work loss days", US_national_yearly!$D:$AM, 10, FALSE), 1)</f>
        <v>8.9614495298622768E-2</v>
      </c>
      <c r="W15" s="7">
        <f>$B15 * IFERROR(VLOOKUP("transport|NOx|Work loss days", US_national_yearly!$D:$AM, 31, FALSE) / VLOOKUP("transport|NOx|Work loss days", US_national_yearly!$D:$AM, 10, FALSE), 1)</f>
        <v>9.0232747855282486E-2</v>
      </c>
      <c r="X15" s="7">
        <f>$B15 * IFERROR(VLOOKUP("transport|NOx|Work loss days", US_national_yearly!$D:$AM, 32, FALSE) / VLOOKUP("transport|NOx|Work loss days", US_national_yearly!$D:$AM, 10, FALSE), 1)</f>
        <v>9.0769358111251947E-2</v>
      </c>
      <c r="Y15" s="7">
        <f>$B15 * IFERROR(VLOOKUP("transport|NOx|Work loss days", US_national_yearly!$D:$AM, 33, FALSE) / VLOOKUP("transport|NOx|Work loss days", US_national_yearly!$D:$AM, 10, FALSE), 1)</f>
        <v>9.1305968367221407E-2</v>
      </c>
      <c r="Z15" s="7">
        <f>$B15 * IFERROR(VLOOKUP("transport|NOx|Work loss days", US_national_yearly!$D:$AM, 34, FALSE) / VLOOKUP("transport|NOx|Work loss days", US_national_yearly!$D:$AM, 10, FALSE), 1)</f>
        <v>9.1842578623190868E-2</v>
      </c>
      <c r="AA15" s="7">
        <f>$B15 * IFERROR(VLOOKUP("transport|NOx|Work loss days", US_national_yearly!$D:$AM, 35, FALSE) / VLOOKUP("transport|NOx|Work loss days", US_national_yearly!$D:$AM, 10, FALSE), 1)</f>
        <v>9.2379188879160329E-2</v>
      </c>
      <c r="AB15" s="7">
        <f>$B15 * IFERROR(VLOOKUP("transport|NOx|Work loss days", US_national_yearly!$D:$AM, 36, FALSE) / VLOOKUP("transport|NOx|Work loss days", US_national_yearly!$D:$AM, 10, FALSE), 1)</f>
        <v>9.291579913512979E-2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1.933497976650918E-4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1.9903131026194213E-4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2.0471282285879243E-4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2.1039433545564271E-4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2.1607584805249304E-4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2.2147234544163622E-4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2.2686884283077945E-4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2.314068808187735E-4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2.3594491880676754E-4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2.4048295679476162E-4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2.4502099478275566E-4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2.4955903277074976E-4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2.5239681829155924E-4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2.5523460381236872E-4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2.580723893331782E-4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2.6091017485398773E-4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2.6374796037479721E-4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2.6504276398098801E-4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2.6633756758717887E-4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2.6763237119336968E-4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2.6892717479956054E-4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2.702219784057514E-4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2.7094258150293894E-4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2.7166318460012642E-4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2.7238378769731396E-4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2.731043907945015E-4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2.7382499389168904E-4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9.3831735735502367E-3</v>
      </c>
      <c r="C2" s="7">
        <f>$B2 * IFERROR(VLOOKUP("transport|SO2|Premature mortality", US_national_yearly!$D:$AM, 11, FALSE) / VLOOKUP("transport|SO2|Premature mortality", US_national_yearly!$D:$AM, 10, FALSE), 1)</f>
        <v>9.5020063899577817E-3</v>
      </c>
      <c r="D2" s="7">
        <f>$B2 * IFERROR(VLOOKUP("transport|SO2|Premature mortality", US_national_yearly!$D:$AM, 12, FALSE) / VLOOKUP("transport|SO2|Premature mortality", US_national_yearly!$D:$AM, 10, FALSE), 1)</f>
        <v>9.6208392063653267E-3</v>
      </c>
      <c r="E2" s="7">
        <f>$B2 * IFERROR(VLOOKUP("transport|SO2|Premature mortality", US_national_yearly!$D:$AM, 13, FALSE) / VLOOKUP("transport|SO2|Premature mortality", US_national_yearly!$D:$AM, 10, FALSE), 1)</f>
        <v>9.7396720227728717E-3</v>
      </c>
      <c r="F2" s="7">
        <f>$B2 * IFERROR(VLOOKUP("transport|SO2|Premature mortality", US_national_yearly!$D:$AM, 14, FALSE) / VLOOKUP("transport|SO2|Premature mortality", US_national_yearly!$D:$AM, 10, FALSE), 1)</f>
        <v>9.858504839180415E-3</v>
      </c>
      <c r="G2" s="7">
        <f>$B2 * IFERROR(VLOOKUP("transport|SO2|Premature mortality", US_national_yearly!$D:$AM, 15, FALSE) / VLOOKUP("transport|SO2|Premature mortality", US_national_yearly!$D:$AM, 10, FALSE), 1)</f>
        <v>1.0087488941684335E-2</v>
      </c>
      <c r="H2" s="7">
        <f>$B2 * IFERROR(VLOOKUP("transport|SO2|Premature mortality", US_national_yearly!$D:$AM, 16, FALSE) / VLOOKUP("transport|SO2|Premature mortality", US_national_yearly!$D:$AM, 10, FALSE), 1)</f>
        <v>1.031647304418825E-2</v>
      </c>
      <c r="I2" s="7">
        <f>$B2 * IFERROR(VLOOKUP("transport|SO2|Premature mortality", US_national_yearly!$D:$AM, 17, FALSE) / VLOOKUP("transport|SO2|Premature mortality", US_national_yearly!$D:$AM, 10, FALSE), 1)</f>
        <v>1.0467799769899184E-2</v>
      </c>
      <c r="J2" s="7">
        <f>$B2 * IFERROR(VLOOKUP("transport|SO2|Premature mortality", US_national_yearly!$D:$AM, 18, FALSE) / VLOOKUP("transport|SO2|Premature mortality", US_national_yearly!$D:$AM, 10, FALSE), 1)</f>
        <v>1.0619126495610118E-2</v>
      </c>
      <c r="K2" s="7">
        <f>$B2 * IFERROR(VLOOKUP("transport|SO2|Premature mortality", US_national_yearly!$D:$AM, 19, FALSE) / VLOOKUP("transport|SO2|Premature mortality", US_national_yearly!$D:$AM, 10, FALSE), 1)</f>
        <v>1.0770453221321051E-2</v>
      </c>
      <c r="L2" s="7">
        <f>$B2 * IFERROR(VLOOKUP("transport|SO2|Premature mortality", US_national_yearly!$D:$AM, 20, FALSE) / VLOOKUP("transport|SO2|Premature mortality", US_national_yearly!$D:$AM, 10, FALSE), 1)</f>
        <v>1.0921779947031985E-2</v>
      </c>
      <c r="M2" s="7">
        <f>$B2 * IFERROR(VLOOKUP("transport|SO2|Premature mortality", US_national_yearly!$D:$AM, 21, FALSE) / VLOOKUP("transport|SO2|Premature mortality", US_national_yearly!$D:$AM, 10, FALSE), 1)</f>
        <v>1.107310667274292E-2</v>
      </c>
      <c r="N2" s="7">
        <f>$B2 * IFERROR(VLOOKUP("transport|SO2|Premature mortality", US_national_yearly!$D:$AM, 22, FALSE) / VLOOKUP("transport|SO2|Premature mortality", US_national_yearly!$D:$AM, 10, FALSE), 1)</f>
        <v>1.1191345167839215E-2</v>
      </c>
      <c r="O2" s="7">
        <f>$B2 * IFERROR(VLOOKUP("transport|SO2|Premature mortality", US_national_yearly!$D:$AM, 23, FALSE) / VLOOKUP("transport|SO2|Premature mortality", US_national_yearly!$D:$AM, 10, FALSE), 1)</f>
        <v>1.130958366293551E-2</v>
      </c>
      <c r="P2" s="7">
        <f>$B2 * IFERROR(VLOOKUP("transport|SO2|Premature mortality", US_national_yearly!$D:$AM, 24, FALSE) / VLOOKUP("transport|SO2|Premature mortality", US_national_yearly!$D:$AM, 10, FALSE), 1)</f>
        <v>1.1427822158031805E-2</v>
      </c>
      <c r="Q2" s="7">
        <f>$B2 * IFERROR(VLOOKUP("transport|SO2|Premature mortality", US_national_yearly!$D:$AM, 25, FALSE) / VLOOKUP("transport|SO2|Premature mortality", US_national_yearly!$D:$AM, 10, FALSE), 1)</f>
        <v>1.1546060653128101E-2</v>
      </c>
      <c r="R2" s="7">
        <f>$B2 * IFERROR(VLOOKUP("transport|SO2|Premature mortality", US_national_yearly!$D:$AM, 26, FALSE) / VLOOKUP("transport|SO2|Premature mortality", US_national_yearly!$D:$AM, 10, FALSE), 1)</f>
        <v>1.1664299148224394E-2</v>
      </c>
      <c r="S2" s="7">
        <f>$B2 * IFERROR(VLOOKUP("transport|SO2|Premature mortality", US_national_yearly!$D:$AM, 27, FALSE) / VLOOKUP("transport|SO2|Premature mortality", US_national_yearly!$D:$AM, 10, FALSE), 1)</f>
        <v>1.1727617436717581E-2</v>
      </c>
      <c r="T2" s="7">
        <f>$B2 * IFERROR(VLOOKUP("transport|SO2|Premature mortality", US_national_yearly!$D:$AM, 28, FALSE) / VLOOKUP("transport|SO2|Premature mortality", US_national_yearly!$D:$AM, 10, FALSE), 1)</f>
        <v>1.1790935725210765E-2</v>
      </c>
      <c r="U2" s="7">
        <f>$B2 * IFERROR(VLOOKUP("transport|SO2|Premature mortality", US_national_yearly!$D:$AM, 29, FALSE) / VLOOKUP("transport|SO2|Premature mortality", US_national_yearly!$D:$AM, 10, FALSE), 1)</f>
        <v>1.1854254013703951E-2</v>
      </c>
      <c r="V2" s="7">
        <f>$B2 * IFERROR(VLOOKUP("transport|SO2|Premature mortality", US_national_yearly!$D:$AM, 30, FALSE) / VLOOKUP("transport|SO2|Premature mortality", US_national_yearly!$D:$AM, 10, FALSE), 1)</f>
        <v>1.1917572302197137E-2</v>
      </c>
      <c r="W2" s="7">
        <f>$B2 * IFERROR(VLOOKUP("transport|SO2|Premature mortality", US_national_yearly!$D:$AM, 31, FALSE) / VLOOKUP("transport|SO2|Premature mortality", US_national_yearly!$D:$AM, 10, FALSE), 1)</f>
        <v>1.1980890590690324E-2</v>
      </c>
      <c r="X2" s="7">
        <f>$B2 * IFERROR(VLOOKUP("transport|SO2|Premature mortality", US_national_yearly!$D:$AM, 32, FALSE) / VLOOKUP("transport|SO2|Premature mortality", US_national_yearly!$D:$AM, 10, FALSE), 1)</f>
        <v>1.1993753894673794E-2</v>
      </c>
      <c r="Y2" s="7">
        <f>$B2 * IFERROR(VLOOKUP("transport|SO2|Premature mortality", US_national_yearly!$D:$AM, 33, FALSE) / VLOOKUP("transport|SO2|Premature mortality", US_national_yearly!$D:$AM, 10, FALSE), 1)</f>
        <v>1.2006617198657265E-2</v>
      </c>
      <c r="Z2" s="7">
        <f>$B2 * IFERROR(VLOOKUP("transport|SO2|Premature mortality", US_national_yearly!$D:$AM, 34, FALSE) / VLOOKUP("transport|SO2|Premature mortality", US_national_yearly!$D:$AM, 10, FALSE), 1)</f>
        <v>1.2019480502640737E-2</v>
      </c>
      <c r="AA2" s="7">
        <f>$B2 * IFERROR(VLOOKUP("transport|SO2|Premature mortality", US_national_yearly!$D:$AM, 35, FALSE) / VLOOKUP("transport|SO2|Premature mortality", US_national_yearly!$D:$AM, 10, FALSE), 1)</f>
        <v>1.2032343806624209E-2</v>
      </c>
      <c r="AB2" s="7">
        <f>$B2 * IFERROR(VLOOKUP("transport|SO2|Premature mortality", US_national_yearly!$D:$AM, 36, FALSE) / VLOOKUP("transport|SO2|Premature mortality", US_national_yearly!$D:$AM, 10, FALSE), 1)</f>
        <v>1.2045207110607678E-2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2.2323332945488141E-5</v>
      </c>
      <c r="C3" s="7">
        <f>$B3 * IFERROR(VLOOKUP("transport|SO2|Infant mortality", US_national_yearly!$D:$AM, 11, FALSE) / VLOOKUP("transport|SO2|Infant mortality", US_national_yearly!$D:$AM, 10, FALSE), 1)</f>
        <v>2.2131571443586107E-5</v>
      </c>
      <c r="D3" s="7">
        <f>$B3 * IFERROR(VLOOKUP("transport|SO2|Infant mortality", US_national_yearly!$D:$AM, 12, FALSE) / VLOOKUP("transport|SO2|Infant mortality", US_national_yearly!$D:$AM, 10, FALSE), 1)</f>
        <v>2.1939809941684076E-5</v>
      </c>
      <c r="E3" s="7">
        <f>$B3 * IFERROR(VLOOKUP("transport|SO2|Infant mortality", US_national_yearly!$D:$AM, 13, FALSE) / VLOOKUP("transport|SO2|Infant mortality", US_national_yearly!$D:$AM, 10, FALSE), 1)</f>
        <v>2.1748048439782038E-5</v>
      </c>
      <c r="F3" s="7">
        <f>$B3 * IFERROR(VLOOKUP("transport|SO2|Infant mortality", US_national_yearly!$D:$AM, 14, FALSE) / VLOOKUP("transport|SO2|Infant mortality", US_national_yearly!$D:$AM, 10, FALSE), 1)</f>
        <v>2.1556286937880003E-5</v>
      </c>
      <c r="G3" s="7">
        <f>$B3 * IFERROR(VLOOKUP("transport|SO2|Infant mortality", US_national_yearly!$D:$AM, 15, FALSE) / VLOOKUP("transport|SO2|Infant mortality", US_national_yearly!$D:$AM, 10, FALSE), 1)</f>
        <v>1.4358223278051888E-5</v>
      </c>
      <c r="H3" s="7">
        <f>$B3 * IFERROR(VLOOKUP("transport|SO2|Infant mortality", US_national_yearly!$D:$AM, 16, FALSE) / VLOOKUP("transport|SO2|Infant mortality", US_national_yearly!$D:$AM, 10, FALSE), 1)</f>
        <v>7.1601596182237814E-6</v>
      </c>
      <c r="I3" s="7">
        <f>$B3 * IFERROR(VLOOKUP("transport|SO2|Infant mortality", US_national_yearly!$D:$AM, 17, FALSE) / VLOOKUP("transport|SO2|Infant mortality", US_national_yearly!$D:$AM, 10, FALSE), 1)</f>
        <v>7.1152417747560982E-6</v>
      </c>
      <c r="J3" s="7">
        <f>$B3 * IFERROR(VLOOKUP("transport|SO2|Infant mortality", US_national_yearly!$D:$AM, 18, FALSE) / VLOOKUP("transport|SO2|Infant mortality", US_national_yearly!$D:$AM, 10, FALSE), 1)</f>
        <v>7.0703239312884151E-6</v>
      </c>
      <c r="K3" s="7">
        <f>$B3 * IFERROR(VLOOKUP("transport|SO2|Infant mortality", US_national_yearly!$D:$AM, 19, FALSE) / VLOOKUP("transport|SO2|Infant mortality", US_national_yearly!$D:$AM, 10, FALSE), 1)</f>
        <v>7.025406087820732E-6</v>
      </c>
      <c r="L3" s="7">
        <f>$B3 * IFERROR(VLOOKUP("transport|SO2|Infant mortality", US_national_yearly!$D:$AM, 20, FALSE) / VLOOKUP("transport|SO2|Infant mortality", US_national_yearly!$D:$AM, 10, FALSE), 1)</f>
        <v>6.9804882443530506E-6</v>
      </c>
      <c r="M3" s="7">
        <f>$B3 * IFERROR(VLOOKUP("transport|SO2|Infant mortality", US_national_yearly!$D:$AM, 21, FALSE) / VLOOKUP("transport|SO2|Infant mortality", US_national_yearly!$D:$AM, 10, FALSE), 1)</f>
        <v>6.9355704008853675E-6</v>
      </c>
      <c r="N3" s="7">
        <f>$B3 * IFERROR(VLOOKUP("transport|SO2|Infant mortality", US_national_yearly!$D:$AM, 22, FALSE) / VLOOKUP("transport|SO2|Infant mortality", US_national_yearly!$D:$AM, 10, FALSE), 1)</f>
        <v>6.907375806825425E-6</v>
      </c>
      <c r="O3" s="7">
        <f>$B3 * IFERROR(VLOOKUP("transport|SO2|Infant mortality", US_national_yearly!$D:$AM, 23, FALSE) / VLOOKUP("transport|SO2|Infant mortality", US_national_yearly!$D:$AM, 10, FALSE), 1)</f>
        <v>6.8791812127654825E-6</v>
      </c>
      <c r="P3" s="7">
        <f>$B3 * IFERROR(VLOOKUP("transport|SO2|Infant mortality", US_national_yearly!$D:$AM, 24, FALSE) / VLOOKUP("transport|SO2|Infant mortality", US_national_yearly!$D:$AM, 10, FALSE), 1)</f>
        <v>6.8509866187055383E-6</v>
      </c>
      <c r="Q3" s="7">
        <f>$B3 * IFERROR(VLOOKUP("transport|SO2|Infant mortality", US_national_yearly!$D:$AM, 25, FALSE) / VLOOKUP("transport|SO2|Infant mortality", US_national_yearly!$D:$AM, 10, FALSE), 1)</f>
        <v>6.8227920246455958E-6</v>
      </c>
      <c r="R3" s="7">
        <f>$B3 * IFERROR(VLOOKUP("transport|SO2|Infant mortality", US_national_yearly!$D:$AM, 26, FALSE) / VLOOKUP("transport|SO2|Infant mortality", US_national_yearly!$D:$AM, 10, FALSE), 1)</f>
        <v>6.7945974305856516E-6</v>
      </c>
      <c r="S3" s="7">
        <f>$B3 * IFERROR(VLOOKUP("transport|SO2|Infant mortality", US_national_yearly!$D:$AM, 27, FALSE) / VLOOKUP("transport|SO2|Infant mortality", US_national_yearly!$D:$AM, 10, FALSE), 1)</f>
        <v>6.7591974000919559E-6</v>
      </c>
      <c r="T3" s="7">
        <f>$B3 * IFERROR(VLOOKUP("transport|SO2|Infant mortality", US_national_yearly!$D:$AM, 28, FALSE) / VLOOKUP("transport|SO2|Infant mortality", US_national_yearly!$D:$AM, 10, FALSE), 1)</f>
        <v>6.7237973695982602E-6</v>
      </c>
      <c r="U3" s="7">
        <f>$B3 * IFERROR(VLOOKUP("transport|SO2|Infant mortality", US_national_yearly!$D:$AM, 29, FALSE) / VLOOKUP("transport|SO2|Infant mortality", US_national_yearly!$D:$AM, 10, FALSE), 1)</f>
        <v>6.688397339104562E-6</v>
      </c>
      <c r="V3" s="7">
        <f>$B3 * IFERROR(VLOOKUP("transport|SO2|Infant mortality", US_national_yearly!$D:$AM, 30, FALSE) / VLOOKUP("transport|SO2|Infant mortality", US_national_yearly!$D:$AM, 10, FALSE), 1)</f>
        <v>6.6529973086108671E-6</v>
      </c>
      <c r="W3" s="7">
        <f>$B3 * IFERROR(VLOOKUP("transport|SO2|Infant mortality", US_national_yearly!$D:$AM, 31, FALSE) / VLOOKUP("transport|SO2|Infant mortality", US_national_yearly!$D:$AM, 10, FALSE), 1)</f>
        <v>6.6175972781171697E-6</v>
      </c>
      <c r="X3" s="7">
        <f>$B3 * IFERROR(VLOOKUP("transport|SO2|Infant mortality", US_national_yearly!$D:$AM, 32, FALSE) / VLOOKUP("transport|SO2|Infant mortality", US_national_yearly!$D:$AM, 10, FALSE), 1)</f>
        <v>6.5788941177868059E-6</v>
      </c>
      <c r="Y3" s="7">
        <f>$B3 * IFERROR(VLOOKUP("transport|SO2|Infant mortality", US_national_yearly!$D:$AM, 33, FALSE) / VLOOKUP("transport|SO2|Infant mortality", US_national_yearly!$D:$AM, 10, FALSE), 1)</f>
        <v>6.5401909574564396E-6</v>
      </c>
      <c r="Z3" s="7">
        <f>$B3 * IFERROR(VLOOKUP("transport|SO2|Infant mortality", US_national_yearly!$D:$AM, 34, FALSE) / VLOOKUP("transport|SO2|Infant mortality", US_national_yearly!$D:$AM, 10, FALSE), 1)</f>
        <v>6.5014877971260758E-6</v>
      </c>
      <c r="AA3" s="7">
        <f>$B3 * IFERROR(VLOOKUP("transport|SO2|Infant mortality", US_national_yearly!$D:$AM, 35, FALSE) / VLOOKUP("transport|SO2|Infant mortality", US_national_yearly!$D:$AM, 10, FALSE), 1)</f>
        <v>6.4627846367957095E-6</v>
      </c>
      <c r="AB3" s="7">
        <f>$B3 * IFERROR(VLOOKUP("transport|SO2|Infant mortality", US_national_yearly!$D:$AM, 36, FALSE) / VLOOKUP("transport|SO2|Infant mortality", US_national_yearly!$D:$AM, 10, FALSE), 1)</f>
        <v>6.4240814764653457E-6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1.9796890155690427E-2</v>
      </c>
      <c r="C6" s="7">
        <f>$B6 * IFERROR(VLOOKUP("transport|SO2|Asthma symptoms cough", US_national_yearly!$D:$AM, 11, FALSE) / VLOOKUP("transport|SO2|Asthma symptoms cough", US_national_yearly!$D:$AM, 10, FALSE), 1)</f>
        <v>1.9796890155690427E-2</v>
      </c>
      <c r="D6" s="7">
        <f>$B6 * IFERROR(VLOOKUP("transport|SO2|Asthma symptoms cough", US_national_yearly!$D:$AM, 12, FALSE) / VLOOKUP("transport|SO2|Asthma symptoms cough", US_national_yearly!$D:$AM, 10, FALSE), 1)</f>
        <v>1.9796890155690427E-2</v>
      </c>
      <c r="E6" s="7">
        <f>$B6 * IFERROR(VLOOKUP("transport|SO2|Asthma symptoms cough", US_national_yearly!$D:$AM, 13, FALSE) / VLOOKUP("transport|SO2|Asthma symptoms cough", US_national_yearly!$D:$AM, 10, FALSE), 1)</f>
        <v>1.9796890155690427E-2</v>
      </c>
      <c r="F6" s="7">
        <f>$B6 * IFERROR(VLOOKUP("transport|SO2|Asthma symptoms cough", US_national_yearly!$D:$AM, 14, FALSE) / VLOOKUP("transport|SO2|Asthma symptoms cough", US_national_yearly!$D:$AM, 10, FALSE), 1)</f>
        <v>1.9796890155690427E-2</v>
      </c>
      <c r="G6" s="7">
        <f>$B6 * IFERROR(VLOOKUP("transport|SO2|Asthma symptoms cough", US_national_yearly!$D:$AM, 15, FALSE) / VLOOKUP("transport|SO2|Asthma symptoms cough", US_national_yearly!$D:$AM, 10, FALSE), 1)</f>
        <v>1.9796890155690427E-2</v>
      </c>
      <c r="H6" s="7">
        <f>$B6 * IFERROR(VLOOKUP("transport|SO2|Asthma symptoms cough", US_national_yearly!$D:$AM, 16, FALSE) / VLOOKUP("transport|SO2|Asthma symptoms cough", US_national_yearly!$D:$AM, 10, FALSE), 1)</f>
        <v>1.9796890155690427E-2</v>
      </c>
      <c r="I6" s="7">
        <f>$B6 * IFERROR(VLOOKUP("transport|SO2|Asthma symptoms cough", US_national_yearly!$D:$AM, 17, FALSE) / VLOOKUP("transport|SO2|Asthma symptoms cough", US_national_yearly!$D:$AM, 10, FALSE), 1)</f>
        <v>1.9796890155690427E-2</v>
      </c>
      <c r="J6" s="7">
        <f>$B6 * IFERROR(VLOOKUP("transport|SO2|Asthma symptoms cough", US_national_yearly!$D:$AM, 18, FALSE) / VLOOKUP("transport|SO2|Asthma symptoms cough", US_national_yearly!$D:$AM, 10, FALSE), 1)</f>
        <v>1.9796890155690427E-2</v>
      </c>
      <c r="K6" s="7">
        <f>$B6 * IFERROR(VLOOKUP("transport|SO2|Asthma symptoms cough", US_national_yearly!$D:$AM, 19, FALSE) / VLOOKUP("transport|SO2|Asthma symptoms cough", US_national_yearly!$D:$AM, 10, FALSE), 1)</f>
        <v>1.9796890155690427E-2</v>
      </c>
      <c r="L6" s="7">
        <f>$B6 * IFERROR(VLOOKUP("transport|SO2|Asthma symptoms cough", US_national_yearly!$D:$AM, 20, FALSE) / VLOOKUP("transport|SO2|Asthma symptoms cough", US_national_yearly!$D:$AM, 10, FALSE), 1)</f>
        <v>1.9796890155690427E-2</v>
      </c>
      <c r="M6" s="7">
        <f>$B6 * IFERROR(VLOOKUP("transport|SO2|Asthma symptoms cough", US_national_yearly!$D:$AM, 21, FALSE) / VLOOKUP("transport|SO2|Asthma symptoms cough", US_national_yearly!$D:$AM, 10, FALSE), 1)</f>
        <v>1.9796890155690427E-2</v>
      </c>
      <c r="N6" s="7">
        <f>$B6 * IFERROR(VLOOKUP("transport|SO2|Asthma symptoms cough", US_national_yearly!$D:$AM, 22, FALSE) / VLOOKUP("transport|SO2|Asthma symptoms cough", US_national_yearly!$D:$AM, 10, FALSE), 1)</f>
        <v>1.9796890155690427E-2</v>
      </c>
      <c r="O6" s="7">
        <f>$B6 * IFERROR(VLOOKUP("transport|SO2|Asthma symptoms cough", US_national_yearly!$D:$AM, 23, FALSE) / VLOOKUP("transport|SO2|Asthma symptoms cough", US_national_yearly!$D:$AM, 10, FALSE), 1)</f>
        <v>1.9796890155690427E-2</v>
      </c>
      <c r="P6" s="7">
        <f>$B6 * IFERROR(VLOOKUP("transport|SO2|Asthma symptoms cough", US_national_yearly!$D:$AM, 24, FALSE) / VLOOKUP("transport|SO2|Asthma symptoms cough", US_national_yearly!$D:$AM, 10, FALSE), 1)</f>
        <v>1.9796890155690427E-2</v>
      </c>
      <c r="Q6" s="7">
        <f>$B6 * IFERROR(VLOOKUP("transport|SO2|Asthma symptoms cough", US_national_yearly!$D:$AM, 25, FALSE) / VLOOKUP("transport|SO2|Asthma symptoms cough", US_national_yearly!$D:$AM, 10, FALSE), 1)</f>
        <v>1.9796890155690427E-2</v>
      </c>
      <c r="R6" s="7">
        <f>$B6 * IFERROR(VLOOKUP("transport|SO2|Asthma symptoms cough", US_national_yearly!$D:$AM, 26, FALSE) / VLOOKUP("transport|SO2|Asthma symptoms cough", US_national_yearly!$D:$AM, 10, FALSE), 1)</f>
        <v>1.9796890155690427E-2</v>
      </c>
      <c r="S6" s="7">
        <f>$B6 * IFERROR(VLOOKUP("transport|SO2|Asthma symptoms cough", US_national_yearly!$D:$AM, 27, FALSE) / VLOOKUP("transport|SO2|Asthma symptoms cough", US_national_yearly!$D:$AM, 10, FALSE), 1)</f>
        <v>1.9796890155690427E-2</v>
      </c>
      <c r="T6" s="7">
        <f>$B6 * IFERROR(VLOOKUP("transport|SO2|Asthma symptoms cough", US_national_yearly!$D:$AM, 28, FALSE) / VLOOKUP("transport|SO2|Asthma symptoms cough", US_national_yearly!$D:$AM, 10, FALSE), 1)</f>
        <v>1.9796890155690427E-2</v>
      </c>
      <c r="U6" s="7">
        <f>$B6 * IFERROR(VLOOKUP("transport|SO2|Asthma symptoms cough", US_national_yearly!$D:$AM, 29, FALSE) / VLOOKUP("transport|SO2|Asthma symptoms cough", US_national_yearly!$D:$AM, 10, FALSE), 1)</f>
        <v>1.9796890155690427E-2</v>
      </c>
      <c r="V6" s="7">
        <f>$B6 * IFERROR(VLOOKUP("transport|SO2|Asthma symptoms cough", US_national_yearly!$D:$AM, 30, FALSE) / VLOOKUP("transport|SO2|Asthma symptoms cough", US_national_yearly!$D:$AM, 10, FALSE), 1)</f>
        <v>1.9796890155690427E-2</v>
      </c>
      <c r="W6" s="7">
        <f>$B6 * IFERROR(VLOOKUP("transport|SO2|Asthma symptoms cough", US_national_yearly!$D:$AM, 31, FALSE) / VLOOKUP("transport|SO2|Asthma symptoms cough", US_national_yearly!$D:$AM, 10, FALSE), 1)</f>
        <v>1.9796890155690427E-2</v>
      </c>
      <c r="X6" s="7">
        <f>$B6 * IFERROR(VLOOKUP("transport|SO2|Asthma symptoms cough", US_national_yearly!$D:$AM, 32, FALSE) / VLOOKUP("transport|SO2|Asthma symptoms cough", US_national_yearly!$D:$AM, 10, FALSE), 1)</f>
        <v>1.9796890155690427E-2</v>
      </c>
      <c r="Y6" s="7">
        <f>$B6 * IFERROR(VLOOKUP("transport|SO2|Asthma symptoms cough", US_national_yearly!$D:$AM, 33, FALSE) / VLOOKUP("transport|SO2|Asthma symptoms cough", US_national_yearly!$D:$AM, 10, FALSE), 1)</f>
        <v>1.9796890155690427E-2</v>
      </c>
      <c r="Z6" s="7">
        <f>$B6 * IFERROR(VLOOKUP("transport|SO2|Asthma symptoms cough", US_national_yearly!$D:$AM, 34, FALSE) / VLOOKUP("transport|SO2|Asthma symptoms cough", US_national_yearly!$D:$AM, 10, FALSE), 1)</f>
        <v>1.9796890155690427E-2</v>
      </c>
      <c r="AA6" s="7">
        <f>$B6 * IFERROR(VLOOKUP("transport|SO2|Asthma symptoms cough", US_national_yearly!$D:$AM, 35, FALSE) / VLOOKUP("transport|SO2|Asthma symptoms cough", US_national_yearly!$D:$AM, 10, FALSE), 1)</f>
        <v>1.9796890155690427E-2</v>
      </c>
      <c r="AB6" s="7">
        <f>$B6 * IFERROR(VLOOKUP("transport|SO2|Asthma symptoms cough", US_national_yearly!$D:$AM, 36, FALSE) / VLOOKUP("transport|SO2|Asthma symptoms cough", US_national_yearly!$D:$AM, 10, FALSE), 1)</f>
        <v>1.9796890155690427E-2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2.665935005782195E-2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2.665935005782195E-2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2.665935005782195E-2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2.665935005782195E-2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2.665935005782195E-2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2.665935005782195E-2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2.665935005782195E-2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2.665935005782195E-2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2.665935005782195E-2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2.665935005782195E-2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2.665935005782195E-2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2.665935005782195E-2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2.665935005782195E-2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2.665935005782195E-2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2.665935005782195E-2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2.665935005782195E-2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2.665935005782195E-2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2.665935005782195E-2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2.665935005782195E-2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2.665935005782195E-2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2.665935005782195E-2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2.665935005782195E-2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2.665935005782195E-2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2.665935005782195E-2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2.665935005782195E-2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2.665935005782195E-2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2.665935005782195E-2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4.073109418254011E-2</v>
      </c>
      <c r="C8" s="7">
        <f>$B8 * IFERROR(VLOOKUP("transport|SO2|Asthma symptoms wheeze", US_national_yearly!$D:$AM, 11, FALSE) / VLOOKUP("transport|SO2|Asthma symptoms wheeze", US_national_yearly!$D:$AM, 10, FALSE), 1)</f>
        <v>4.073109418254011E-2</v>
      </c>
      <c r="D8" s="7">
        <f>$B8 * IFERROR(VLOOKUP("transport|SO2|Asthma symptoms wheeze", US_national_yearly!$D:$AM, 12, FALSE) / VLOOKUP("transport|SO2|Asthma symptoms wheeze", US_national_yearly!$D:$AM, 10, FALSE), 1)</f>
        <v>4.073109418254011E-2</v>
      </c>
      <c r="E8" s="7">
        <f>$B8 * IFERROR(VLOOKUP("transport|SO2|Asthma symptoms wheeze", US_national_yearly!$D:$AM, 13, FALSE) / VLOOKUP("transport|SO2|Asthma symptoms wheeze", US_national_yearly!$D:$AM, 10, FALSE), 1)</f>
        <v>4.073109418254011E-2</v>
      </c>
      <c r="F8" s="7">
        <f>$B8 * IFERROR(VLOOKUP("transport|SO2|Asthma symptoms wheeze", US_national_yearly!$D:$AM, 14, FALSE) / VLOOKUP("transport|SO2|Asthma symptoms wheeze", US_national_yearly!$D:$AM, 10, FALSE), 1)</f>
        <v>4.073109418254011E-2</v>
      </c>
      <c r="G8" s="7">
        <f>$B8 * IFERROR(VLOOKUP("transport|SO2|Asthma symptoms wheeze", US_national_yearly!$D:$AM, 15, FALSE) / VLOOKUP("transport|SO2|Asthma symptoms wheeze", US_national_yearly!$D:$AM, 10, FALSE), 1)</f>
        <v>4.073109418254011E-2</v>
      </c>
      <c r="H8" s="7">
        <f>$B8 * IFERROR(VLOOKUP("transport|SO2|Asthma symptoms wheeze", US_national_yearly!$D:$AM, 16, FALSE) / VLOOKUP("transport|SO2|Asthma symptoms wheeze", US_national_yearly!$D:$AM, 10, FALSE), 1)</f>
        <v>4.073109418254011E-2</v>
      </c>
      <c r="I8" s="7">
        <f>$B8 * IFERROR(VLOOKUP("transport|SO2|Asthma symptoms wheeze", US_national_yearly!$D:$AM, 17, FALSE) / VLOOKUP("transport|SO2|Asthma symptoms wheeze", US_national_yearly!$D:$AM, 10, FALSE), 1)</f>
        <v>4.073109418254011E-2</v>
      </c>
      <c r="J8" s="7">
        <f>$B8 * IFERROR(VLOOKUP("transport|SO2|Asthma symptoms wheeze", US_national_yearly!$D:$AM, 18, FALSE) / VLOOKUP("transport|SO2|Asthma symptoms wheeze", US_national_yearly!$D:$AM, 10, FALSE), 1)</f>
        <v>4.073109418254011E-2</v>
      </c>
      <c r="K8" s="7">
        <f>$B8 * IFERROR(VLOOKUP("transport|SO2|Asthma symptoms wheeze", US_national_yearly!$D:$AM, 19, FALSE) / VLOOKUP("transport|SO2|Asthma symptoms wheeze", US_national_yearly!$D:$AM, 10, FALSE), 1)</f>
        <v>4.073109418254011E-2</v>
      </c>
      <c r="L8" s="7">
        <f>$B8 * IFERROR(VLOOKUP("transport|SO2|Asthma symptoms wheeze", US_national_yearly!$D:$AM, 20, FALSE) / VLOOKUP("transport|SO2|Asthma symptoms wheeze", US_national_yearly!$D:$AM, 10, FALSE), 1)</f>
        <v>4.073109418254011E-2</v>
      </c>
      <c r="M8" s="7">
        <f>$B8 * IFERROR(VLOOKUP("transport|SO2|Asthma symptoms wheeze", US_national_yearly!$D:$AM, 21, FALSE) / VLOOKUP("transport|SO2|Asthma symptoms wheeze", US_national_yearly!$D:$AM, 10, FALSE), 1)</f>
        <v>4.073109418254011E-2</v>
      </c>
      <c r="N8" s="7">
        <f>$B8 * IFERROR(VLOOKUP("transport|SO2|Asthma symptoms wheeze", US_national_yearly!$D:$AM, 22, FALSE) / VLOOKUP("transport|SO2|Asthma symptoms wheeze", US_national_yearly!$D:$AM, 10, FALSE), 1)</f>
        <v>4.073109418254011E-2</v>
      </c>
      <c r="O8" s="7">
        <f>$B8 * IFERROR(VLOOKUP("transport|SO2|Asthma symptoms wheeze", US_national_yearly!$D:$AM, 23, FALSE) / VLOOKUP("transport|SO2|Asthma symptoms wheeze", US_national_yearly!$D:$AM, 10, FALSE), 1)</f>
        <v>4.073109418254011E-2</v>
      </c>
      <c r="P8" s="7">
        <f>$B8 * IFERROR(VLOOKUP("transport|SO2|Asthma symptoms wheeze", US_national_yearly!$D:$AM, 24, FALSE) / VLOOKUP("transport|SO2|Asthma symptoms wheeze", US_national_yearly!$D:$AM, 10, FALSE), 1)</f>
        <v>4.073109418254011E-2</v>
      </c>
      <c r="Q8" s="7">
        <f>$B8 * IFERROR(VLOOKUP("transport|SO2|Asthma symptoms wheeze", US_national_yearly!$D:$AM, 25, FALSE) / VLOOKUP("transport|SO2|Asthma symptoms wheeze", US_national_yearly!$D:$AM, 10, FALSE), 1)</f>
        <v>4.073109418254011E-2</v>
      </c>
      <c r="R8" s="7">
        <f>$B8 * IFERROR(VLOOKUP("transport|SO2|Asthma symptoms wheeze", US_national_yearly!$D:$AM, 26, FALSE) / VLOOKUP("transport|SO2|Asthma symptoms wheeze", US_national_yearly!$D:$AM, 10, FALSE), 1)</f>
        <v>4.073109418254011E-2</v>
      </c>
      <c r="S8" s="7">
        <f>$B8 * IFERROR(VLOOKUP("transport|SO2|Asthma symptoms wheeze", US_national_yearly!$D:$AM, 27, FALSE) / VLOOKUP("transport|SO2|Asthma symptoms wheeze", US_national_yearly!$D:$AM, 10, FALSE), 1)</f>
        <v>4.073109418254011E-2</v>
      </c>
      <c r="T8" s="7">
        <f>$B8 * IFERROR(VLOOKUP("transport|SO2|Asthma symptoms wheeze", US_national_yearly!$D:$AM, 28, FALSE) / VLOOKUP("transport|SO2|Asthma symptoms wheeze", US_national_yearly!$D:$AM, 10, FALSE), 1)</f>
        <v>4.073109418254011E-2</v>
      </c>
      <c r="U8" s="7">
        <f>$B8 * IFERROR(VLOOKUP("transport|SO2|Asthma symptoms wheeze", US_national_yearly!$D:$AM, 29, FALSE) / VLOOKUP("transport|SO2|Asthma symptoms wheeze", US_national_yearly!$D:$AM, 10, FALSE), 1)</f>
        <v>4.073109418254011E-2</v>
      </c>
      <c r="V8" s="7">
        <f>$B8 * IFERROR(VLOOKUP("transport|SO2|Asthma symptoms wheeze", US_national_yearly!$D:$AM, 30, FALSE) / VLOOKUP("transport|SO2|Asthma symptoms wheeze", US_national_yearly!$D:$AM, 10, FALSE), 1)</f>
        <v>4.073109418254011E-2</v>
      </c>
      <c r="W8" s="7">
        <f>$B8 * IFERROR(VLOOKUP("transport|SO2|Asthma symptoms wheeze", US_national_yearly!$D:$AM, 31, FALSE) / VLOOKUP("transport|SO2|Asthma symptoms wheeze", US_national_yearly!$D:$AM, 10, FALSE), 1)</f>
        <v>4.073109418254011E-2</v>
      </c>
      <c r="X8" s="7">
        <f>$B8 * IFERROR(VLOOKUP("transport|SO2|Asthma symptoms wheeze", US_national_yearly!$D:$AM, 32, FALSE) / VLOOKUP("transport|SO2|Asthma symptoms wheeze", US_national_yearly!$D:$AM, 10, FALSE), 1)</f>
        <v>4.073109418254011E-2</v>
      </c>
      <c r="Y8" s="7">
        <f>$B8 * IFERROR(VLOOKUP("transport|SO2|Asthma symptoms wheeze", US_national_yearly!$D:$AM, 33, FALSE) / VLOOKUP("transport|SO2|Asthma symptoms wheeze", US_national_yearly!$D:$AM, 10, FALSE), 1)</f>
        <v>4.073109418254011E-2</v>
      </c>
      <c r="Z8" s="7">
        <f>$B8 * IFERROR(VLOOKUP("transport|SO2|Asthma symptoms wheeze", US_national_yearly!$D:$AM, 34, FALSE) / VLOOKUP("transport|SO2|Asthma symptoms wheeze", US_national_yearly!$D:$AM, 10, FALSE), 1)</f>
        <v>4.073109418254011E-2</v>
      </c>
      <c r="AA8" s="7">
        <f>$B8 * IFERROR(VLOOKUP("transport|SO2|Asthma symptoms wheeze", US_national_yearly!$D:$AM, 35, FALSE) / VLOOKUP("transport|SO2|Asthma symptoms wheeze", US_national_yearly!$D:$AM, 10, FALSE), 1)</f>
        <v>4.073109418254011E-2</v>
      </c>
      <c r="AB8" s="7">
        <f>$B8 * IFERROR(VLOOKUP("transport|SO2|Asthma symptoms wheeze", US_national_yearly!$D:$AM, 36, FALSE) / VLOOKUP("transport|SO2|Asthma symptoms wheeze", US_national_yearly!$D:$AM, 10, FALSE), 1)</f>
        <v>4.073109418254011E-2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5.6490486111575072E-4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5.6823669805950176E-4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5.7156853500325269E-4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5.7490037194700373E-4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5.7823220889075466E-4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5.8186447314369488E-4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5.8549673739663498E-4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5.8907858242241893E-4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5.9266042744820309E-4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5.9624227247398692E-4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5.9982411749977098E-4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6.0340596252555481E-4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6.0602059882784417E-4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6.0863523513013341E-4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6.1124987143242266E-4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6.1386450773471201E-4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6.1647914403700126E-4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6.1897330756700581E-4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6.2146747109701026E-4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6.2396163462701481E-4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6.2645579815701947E-4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6.2894996168702403E-4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6.3131651338401069E-4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6.3368306508099735E-4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6.3604961677798391E-4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6.3841616847497057E-4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6.4078272017195734E-4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3.6044352640570054E-3</v>
      </c>
      <c r="C13" s="7">
        <f>$B13 * IFERROR(VLOOKUP("transport|SO2|Non-fatal heart attacks", US_national_yearly!$D:$AM, 11, FALSE) / VLOOKUP("transport|SO2|Non-fatal heart attacks", US_national_yearly!$D:$AM, 10, FALSE), 1)</f>
        <v>3.7102483913829943E-3</v>
      </c>
      <c r="D13" s="7">
        <f>$B13 * IFERROR(VLOOKUP("transport|SO2|Non-fatal heart attacks", US_national_yearly!$D:$AM, 12, FALSE) / VLOOKUP("transport|SO2|Non-fatal heart attacks", US_national_yearly!$D:$AM, 10, FALSE), 1)</f>
        <v>3.8160615187089828E-3</v>
      </c>
      <c r="E13" s="7">
        <f>$B13 * IFERROR(VLOOKUP("transport|SO2|Non-fatal heart attacks", US_national_yearly!$D:$AM, 13, FALSE) / VLOOKUP("transport|SO2|Non-fatal heart attacks", US_national_yearly!$D:$AM, 10, FALSE), 1)</f>
        <v>3.9218746460349717E-3</v>
      </c>
      <c r="F13" s="7">
        <f>$B13 * IFERROR(VLOOKUP("transport|SO2|Non-fatal heart attacks", US_national_yearly!$D:$AM, 14, FALSE) / VLOOKUP("transport|SO2|Non-fatal heart attacks", US_national_yearly!$D:$AM, 10, FALSE), 1)</f>
        <v>4.0276877733609598E-3</v>
      </c>
      <c r="G13" s="7">
        <f>$B13 * IFERROR(VLOOKUP("transport|SO2|Non-fatal heart attacks", US_national_yearly!$D:$AM, 15, FALSE) / VLOOKUP("transport|SO2|Non-fatal heart attacks", US_national_yearly!$D:$AM, 10, FALSE), 1)</f>
        <v>4.1274793671965092E-3</v>
      </c>
      <c r="H13" s="7">
        <f>$B13 * IFERROR(VLOOKUP("transport|SO2|Non-fatal heart attacks", US_national_yearly!$D:$AM, 16, FALSE) / VLOOKUP("transport|SO2|Non-fatal heart attacks", US_national_yearly!$D:$AM, 10, FALSE), 1)</f>
        <v>4.2272709610320586E-3</v>
      </c>
      <c r="I13" s="7">
        <f>$B13 * IFERROR(VLOOKUP("transport|SO2|Non-fatal heart attacks", US_national_yearly!$D:$AM, 17, FALSE) / VLOOKUP("transport|SO2|Non-fatal heart attacks", US_national_yearly!$D:$AM, 10, FALSE), 1)</f>
        <v>4.3075719108518267E-3</v>
      </c>
      <c r="J13" s="7">
        <f>$B13 * IFERROR(VLOOKUP("transport|SO2|Non-fatal heart attacks", US_national_yearly!$D:$AM, 18, FALSE) / VLOOKUP("transport|SO2|Non-fatal heart attacks", US_national_yearly!$D:$AM, 10, FALSE), 1)</f>
        <v>4.3878728606715966E-3</v>
      </c>
      <c r="K13" s="7">
        <f>$B13 * IFERROR(VLOOKUP("transport|SO2|Non-fatal heart attacks", US_national_yearly!$D:$AM, 19, FALSE) / VLOOKUP("transport|SO2|Non-fatal heart attacks", US_national_yearly!$D:$AM, 10, FALSE), 1)</f>
        <v>4.4681738104913648E-3</v>
      </c>
      <c r="L13" s="7">
        <f>$B13 * IFERROR(VLOOKUP("transport|SO2|Non-fatal heart attacks", US_national_yearly!$D:$AM, 20, FALSE) / VLOOKUP("transport|SO2|Non-fatal heart attacks", US_national_yearly!$D:$AM, 10, FALSE), 1)</f>
        <v>4.5484747603111355E-3</v>
      </c>
      <c r="M13" s="7">
        <f>$B13 * IFERROR(VLOOKUP("transport|SO2|Non-fatal heart attacks", US_national_yearly!$D:$AM, 21, FALSE) / VLOOKUP("transport|SO2|Non-fatal heart attacks", US_national_yearly!$D:$AM, 10, FALSE), 1)</f>
        <v>4.6287757101309045E-3</v>
      </c>
      <c r="N13" s="7">
        <f>$B13 * IFERROR(VLOOKUP("transport|SO2|Non-fatal heart attacks", US_national_yearly!$D:$AM, 22, FALSE) / VLOOKUP("transport|SO2|Non-fatal heart attacks", US_national_yearly!$D:$AM, 10, FALSE), 1)</f>
        <v>4.6809160870130706E-3</v>
      </c>
      <c r="O13" s="7">
        <f>$B13 * IFERROR(VLOOKUP("transport|SO2|Non-fatal heart attacks", US_national_yearly!$D:$AM, 23, FALSE) / VLOOKUP("transport|SO2|Non-fatal heart attacks", US_national_yearly!$D:$AM, 10, FALSE), 1)</f>
        <v>4.7330564638952376E-3</v>
      </c>
      <c r="P13" s="7">
        <f>$B13 * IFERROR(VLOOKUP("transport|SO2|Non-fatal heart attacks", US_national_yearly!$D:$AM, 24, FALSE) / VLOOKUP("transport|SO2|Non-fatal heart attacks", US_national_yearly!$D:$AM, 10, FALSE), 1)</f>
        <v>4.7851968407774045E-3</v>
      </c>
      <c r="Q13" s="7">
        <f>$B13 * IFERROR(VLOOKUP("transport|SO2|Non-fatal heart attacks", US_national_yearly!$D:$AM, 25, FALSE) / VLOOKUP("transport|SO2|Non-fatal heart attacks", US_national_yearly!$D:$AM, 10, FALSE), 1)</f>
        <v>4.8373372176595715E-3</v>
      </c>
      <c r="R13" s="7">
        <f>$B13 * IFERROR(VLOOKUP("transport|SO2|Non-fatal heart attacks", US_national_yearly!$D:$AM, 26, FALSE) / VLOOKUP("transport|SO2|Non-fatal heart attacks", US_national_yearly!$D:$AM, 10, FALSE), 1)</f>
        <v>4.8894775945417376E-3</v>
      </c>
      <c r="S13" s="7">
        <f>$B13 * IFERROR(VLOOKUP("transport|SO2|Non-fatal heart attacks", US_national_yearly!$D:$AM, 27, FALSE) / VLOOKUP("transport|SO2|Non-fatal heart attacks", US_national_yearly!$D:$AM, 10, FALSE), 1)</f>
        <v>4.9166997920332967E-3</v>
      </c>
      <c r="T13" s="7">
        <f>$B13 * IFERROR(VLOOKUP("transport|SO2|Non-fatal heart attacks", US_national_yearly!$D:$AM, 28, FALSE) / VLOOKUP("transport|SO2|Non-fatal heart attacks", US_national_yearly!$D:$AM, 10, FALSE), 1)</f>
        <v>4.9439219895248548E-3</v>
      </c>
      <c r="U13" s="7">
        <f>$B13 * IFERROR(VLOOKUP("transport|SO2|Non-fatal heart attacks", US_national_yearly!$D:$AM, 29, FALSE) / VLOOKUP("transport|SO2|Non-fatal heart attacks", US_national_yearly!$D:$AM, 10, FALSE), 1)</f>
        <v>4.971144187016413E-3</v>
      </c>
      <c r="V13" s="7">
        <f>$B13 * IFERROR(VLOOKUP("transport|SO2|Non-fatal heart attacks", US_national_yearly!$D:$AM, 30, FALSE) / VLOOKUP("transport|SO2|Non-fatal heart attacks", US_national_yearly!$D:$AM, 10, FALSE), 1)</f>
        <v>4.9983663845079712E-3</v>
      </c>
      <c r="W13" s="7">
        <f>$B13 * IFERROR(VLOOKUP("transport|SO2|Non-fatal heart attacks", US_national_yearly!$D:$AM, 31, FALSE) / VLOOKUP("transport|SO2|Non-fatal heart attacks", US_national_yearly!$D:$AM, 10, FALSE), 1)</f>
        <v>5.0255885819995303E-3</v>
      </c>
      <c r="X13" s="7">
        <f>$B13 * IFERROR(VLOOKUP("transport|SO2|Non-fatal heart attacks", US_national_yearly!$D:$AM, 32, FALSE) / VLOOKUP("transport|SO2|Non-fatal heart attacks", US_national_yearly!$D:$AM, 10, FALSE), 1)</f>
        <v>5.0461389598752049E-3</v>
      </c>
      <c r="Y13" s="7">
        <f>$B13 * IFERROR(VLOOKUP("transport|SO2|Non-fatal heart attacks", US_national_yearly!$D:$AM, 33, FALSE) / VLOOKUP("transport|SO2|Non-fatal heart attacks", US_national_yearly!$D:$AM, 10, FALSE), 1)</f>
        <v>5.0666893377508786E-3</v>
      </c>
      <c r="Z13" s="7">
        <f>$B13 * IFERROR(VLOOKUP("transport|SO2|Non-fatal heart attacks", US_national_yearly!$D:$AM, 34, FALSE) / VLOOKUP("transport|SO2|Non-fatal heart attacks", US_national_yearly!$D:$AM, 10, FALSE), 1)</f>
        <v>5.0872397156265532E-3</v>
      </c>
      <c r="AA13" s="7">
        <f>$B13 * IFERROR(VLOOKUP("transport|SO2|Non-fatal heart attacks", US_national_yearly!$D:$AM, 35, FALSE) / VLOOKUP("transport|SO2|Non-fatal heart attacks", US_national_yearly!$D:$AM, 10, FALSE), 1)</f>
        <v>5.1077900935022277E-3</v>
      </c>
      <c r="AB13" s="7">
        <f>$B13 * IFERROR(VLOOKUP("transport|SO2|Non-fatal heart attacks", US_national_yearly!$D:$AM, 36, FALSE) / VLOOKUP("transport|SO2|Non-fatal heart attacks", US_national_yearly!$D:$AM, 10, FALSE), 1)</f>
        <v>5.1283404713779015E-3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2.5314938812036396</v>
      </c>
      <c r="C14" s="7">
        <f>$B14 * IFERROR(VLOOKUP("transport|SO2|Minor restricted activity days", US_national_yearly!$D:$AM, 11, FALSE) / VLOOKUP("transport|SO2|Minor restricted activity days", US_national_yearly!$D:$AM, 10, FALSE), 1)</f>
        <v>2.5378749338038284</v>
      </c>
      <c r="D14" s="7">
        <f>$B14 * IFERROR(VLOOKUP("transport|SO2|Minor restricted activity days", US_national_yearly!$D:$AM, 12, FALSE) / VLOOKUP("transport|SO2|Minor restricted activity days", US_national_yearly!$D:$AM, 10, FALSE), 1)</f>
        <v>2.5442559864040168</v>
      </c>
      <c r="E14" s="7">
        <f>$B14 * IFERROR(VLOOKUP("transport|SO2|Minor restricted activity days", US_national_yearly!$D:$AM, 13, FALSE) / VLOOKUP("transport|SO2|Minor restricted activity days", US_national_yearly!$D:$AM, 10, FALSE), 1)</f>
        <v>2.5506370390042057</v>
      </c>
      <c r="F14" s="7">
        <f>$B14 * IFERROR(VLOOKUP("transport|SO2|Minor restricted activity days", US_national_yearly!$D:$AM, 14, FALSE) / VLOOKUP("transport|SO2|Minor restricted activity days", US_national_yearly!$D:$AM, 10, FALSE), 1)</f>
        <v>2.5570180916043941</v>
      </c>
      <c r="G14" s="7">
        <f>$B14 * IFERROR(VLOOKUP("transport|SO2|Minor restricted activity days", US_national_yearly!$D:$AM, 15, FALSE) / VLOOKUP("transport|SO2|Minor restricted activity days", US_national_yearly!$D:$AM, 10, FALSE), 1)</f>
        <v>2.5664103741537643</v>
      </c>
      <c r="H14" s="7">
        <f>$B14 * IFERROR(VLOOKUP("transport|SO2|Minor restricted activity days", US_national_yearly!$D:$AM, 16, FALSE) / VLOOKUP("transport|SO2|Minor restricted activity days", US_national_yearly!$D:$AM, 10, FALSE), 1)</f>
        <v>2.575802656703134</v>
      </c>
      <c r="I14" s="7">
        <f>$B14 * IFERROR(VLOOKUP("transport|SO2|Minor restricted activity days", US_national_yearly!$D:$AM, 17, FALSE) / VLOOKUP("transport|SO2|Minor restricted activity days", US_national_yearly!$D:$AM, 10, FALSE), 1)</f>
        <v>2.5918203191277787</v>
      </c>
      <c r="J14" s="7">
        <f>$B14 * IFERROR(VLOOKUP("transport|SO2|Minor restricted activity days", US_national_yearly!$D:$AM, 18, FALSE) / VLOOKUP("transport|SO2|Minor restricted activity days", US_national_yearly!$D:$AM, 10, FALSE), 1)</f>
        <v>2.6078379815524233</v>
      </c>
      <c r="K14" s="7">
        <f>$B14 * IFERROR(VLOOKUP("transport|SO2|Minor restricted activity days", US_national_yearly!$D:$AM, 19, FALSE) / VLOOKUP("transport|SO2|Minor restricted activity days", US_national_yearly!$D:$AM, 10, FALSE), 1)</f>
        <v>2.6238556439770684</v>
      </c>
      <c r="L14" s="7">
        <f>$B14 * IFERROR(VLOOKUP("transport|SO2|Minor restricted activity days", US_national_yearly!$D:$AM, 20, FALSE) / VLOOKUP("transport|SO2|Minor restricted activity days", US_national_yearly!$D:$AM, 10, FALSE), 1)</f>
        <v>2.6398733064017126</v>
      </c>
      <c r="M14" s="7">
        <f>$B14 * IFERROR(VLOOKUP("transport|SO2|Minor restricted activity days", US_national_yearly!$D:$AM, 21, FALSE) / VLOOKUP("transport|SO2|Minor restricted activity days", US_national_yearly!$D:$AM, 10, FALSE), 1)</f>
        <v>2.6558909688263572</v>
      </c>
      <c r="N14" s="7">
        <f>$B14 * IFERROR(VLOOKUP("transport|SO2|Minor restricted activity days", US_national_yearly!$D:$AM, 22, FALSE) / VLOOKUP("transport|SO2|Minor restricted activity days", US_national_yearly!$D:$AM, 10, FALSE), 1)</f>
        <v>2.677800560845522</v>
      </c>
      <c r="O14" s="7">
        <f>$B14 * IFERROR(VLOOKUP("transport|SO2|Minor restricted activity days", US_national_yearly!$D:$AM, 23, FALSE) / VLOOKUP("transport|SO2|Minor restricted activity days", US_national_yearly!$D:$AM, 10, FALSE), 1)</f>
        <v>2.6997101528646867</v>
      </c>
      <c r="P14" s="7">
        <f>$B14 * IFERROR(VLOOKUP("transport|SO2|Minor restricted activity days", US_national_yearly!$D:$AM, 24, FALSE) / VLOOKUP("transport|SO2|Minor restricted activity days", US_national_yearly!$D:$AM, 10, FALSE), 1)</f>
        <v>2.7216197448838515</v>
      </c>
      <c r="Q14" s="7">
        <f>$B14 * IFERROR(VLOOKUP("transport|SO2|Minor restricted activity days", US_national_yearly!$D:$AM, 25, FALSE) / VLOOKUP("transport|SO2|Minor restricted activity days", US_national_yearly!$D:$AM, 10, FALSE), 1)</f>
        <v>2.7435293369030163</v>
      </c>
      <c r="R14" s="7">
        <f>$B14 * IFERROR(VLOOKUP("transport|SO2|Minor restricted activity days", US_national_yearly!$D:$AM, 26, FALSE) / VLOOKUP("transport|SO2|Minor restricted activity days", US_national_yearly!$D:$AM, 10, FALSE), 1)</f>
        <v>2.765438928922181</v>
      </c>
      <c r="S14" s="7">
        <f>$B14 * IFERROR(VLOOKUP("transport|SO2|Minor restricted activity days", US_national_yearly!$D:$AM, 27, FALSE) / VLOOKUP("transport|SO2|Minor restricted activity days", US_national_yearly!$D:$AM, 10, FALSE), 1)</f>
        <v>2.7877779023634828</v>
      </c>
      <c r="T14" s="7">
        <f>$B14 * IFERROR(VLOOKUP("transport|SO2|Minor restricted activity days", US_national_yearly!$D:$AM, 28, FALSE) / VLOOKUP("transport|SO2|Minor restricted activity days", US_national_yearly!$D:$AM, 10, FALSE), 1)</f>
        <v>2.8101168758047845</v>
      </c>
      <c r="U14" s="7">
        <f>$B14 * IFERROR(VLOOKUP("transport|SO2|Minor restricted activity days", US_national_yearly!$D:$AM, 29, FALSE) / VLOOKUP("transport|SO2|Minor restricted activity days", US_national_yearly!$D:$AM, 10, FALSE), 1)</f>
        <v>2.8324558492460867</v>
      </c>
      <c r="V14" s="7">
        <f>$B14 * IFERROR(VLOOKUP("transport|SO2|Minor restricted activity days", US_national_yearly!$D:$AM, 30, FALSE) / VLOOKUP("transport|SO2|Minor restricted activity days", US_national_yearly!$D:$AM, 10, FALSE), 1)</f>
        <v>2.8547948226873885</v>
      </c>
      <c r="W14" s="7">
        <f>$B14 * IFERROR(VLOOKUP("transport|SO2|Minor restricted activity days", US_national_yearly!$D:$AM, 31, FALSE) / VLOOKUP("transport|SO2|Minor restricted activity days", US_national_yearly!$D:$AM, 10, FALSE), 1)</f>
        <v>2.8771337961286911</v>
      </c>
      <c r="X14" s="7">
        <f>$B14 * IFERROR(VLOOKUP("transport|SO2|Minor restricted activity days", US_national_yearly!$D:$AM, 32, FALSE) / VLOOKUP("transport|SO2|Minor restricted activity days", US_national_yearly!$D:$AM, 10, FALSE), 1)</f>
        <v>2.8967791431039625</v>
      </c>
      <c r="Y14" s="7">
        <f>$B14 * IFERROR(VLOOKUP("transport|SO2|Minor restricted activity days", US_national_yearly!$D:$AM, 33, FALSE) / VLOOKUP("transport|SO2|Minor restricted activity days", US_national_yearly!$D:$AM, 10, FALSE), 1)</f>
        <v>2.9164244900792342</v>
      </c>
      <c r="Z14" s="7">
        <f>$B14 * IFERROR(VLOOKUP("transport|SO2|Minor restricted activity days", US_national_yearly!$D:$AM, 34, FALSE) / VLOOKUP("transport|SO2|Minor restricted activity days", US_national_yearly!$D:$AM, 10, FALSE), 1)</f>
        <v>2.9360698370545064</v>
      </c>
      <c r="AA14" s="7">
        <f>$B14 * IFERROR(VLOOKUP("transport|SO2|Minor restricted activity days", US_national_yearly!$D:$AM, 35, FALSE) / VLOOKUP("transport|SO2|Minor restricted activity days", US_national_yearly!$D:$AM, 10, FALSE), 1)</f>
        <v>2.9557151840297782</v>
      </c>
      <c r="AB14" s="7">
        <f>$B14 * IFERROR(VLOOKUP("transport|SO2|Minor restricted activity days", US_national_yearly!$D:$AM, 36, FALSE) / VLOOKUP("transport|SO2|Minor restricted activity days", US_national_yearly!$D:$AM, 10, FALSE), 1)</f>
        <v>2.9753605310050504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0.42870029543593013</v>
      </c>
      <c r="C15" s="7">
        <f>$B15 * IFERROR(VLOOKUP("transport|SO2|Work loss days", US_national_yearly!$D:$AM, 11, FALSE) / VLOOKUP("transport|SO2|Work loss days", US_national_yearly!$D:$AM, 10, FALSE), 1)</f>
        <v>0.43008921625725755</v>
      </c>
      <c r="D15" s="7">
        <f>$B15 * IFERROR(VLOOKUP("transport|SO2|Work loss days", US_national_yearly!$D:$AM, 12, FALSE) / VLOOKUP("transport|SO2|Work loss days", US_national_yearly!$D:$AM, 10, FALSE), 1)</f>
        <v>0.4314781370785849</v>
      </c>
      <c r="E15" s="7">
        <f>$B15 * IFERROR(VLOOKUP("transport|SO2|Work loss days", US_national_yearly!$D:$AM, 13, FALSE) / VLOOKUP("transport|SO2|Work loss days", US_national_yearly!$D:$AM, 10, FALSE), 1)</f>
        <v>0.43286705789991231</v>
      </c>
      <c r="F15" s="7">
        <f>$B15 * IFERROR(VLOOKUP("transport|SO2|Work loss days", US_national_yearly!$D:$AM, 14, FALSE) / VLOOKUP("transport|SO2|Work loss days", US_national_yearly!$D:$AM, 10, FALSE), 1)</f>
        <v>0.43425597872123967</v>
      </c>
      <c r="G15" s="7">
        <f>$B15 * IFERROR(VLOOKUP("transport|SO2|Work loss days", US_national_yearly!$D:$AM, 15, FALSE) / VLOOKUP("transport|SO2|Work loss days", US_national_yearly!$D:$AM, 10, FALSE), 1)</f>
        <v>0.4360707737196286</v>
      </c>
      <c r="H15" s="7">
        <f>$B15 * IFERROR(VLOOKUP("transport|SO2|Work loss days", US_national_yearly!$D:$AM, 16, FALSE) / VLOOKUP("transport|SO2|Work loss days", US_national_yearly!$D:$AM, 10, FALSE), 1)</f>
        <v>0.43788556871801737</v>
      </c>
      <c r="I15" s="7">
        <f>$B15 * IFERROR(VLOOKUP("transport|SO2|Work loss days", US_national_yearly!$D:$AM, 17, FALSE) / VLOOKUP("transport|SO2|Work loss days", US_national_yearly!$D:$AM, 10, FALSE), 1)</f>
        <v>0.44054037018200748</v>
      </c>
      <c r="J15" s="7">
        <f>$B15 * IFERROR(VLOOKUP("transport|SO2|Work loss days", US_national_yearly!$D:$AM, 18, FALSE) / VLOOKUP("transport|SO2|Work loss days", US_national_yearly!$D:$AM, 10, FALSE), 1)</f>
        <v>0.44319517164599753</v>
      </c>
      <c r="K15" s="7">
        <f>$B15 * IFERROR(VLOOKUP("transport|SO2|Work loss days", US_national_yearly!$D:$AM, 19, FALSE) / VLOOKUP("transport|SO2|Work loss days", US_national_yearly!$D:$AM, 10, FALSE), 1)</f>
        <v>0.44584997310998764</v>
      </c>
      <c r="L15" s="7">
        <f>$B15 * IFERROR(VLOOKUP("transport|SO2|Work loss days", US_national_yearly!$D:$AM, 20, FALSE) / VLOOKUP("transport|SO2|Work loss days", US_national_yearly!$D:$AM, 10, FALSE), 1)</f>
        <v>0.44850477457397775</v>
      </c>
      <c r="M15" s="7">
        <f>$B15 * IFERROR(VLOOKUP("transport|SO2|Work loss days", US_national_yearly!$D:$AM, 21, FALSE) / VLOOKUP("transport|SO2|Work loss days", US_national_yearly!$D:$AM, 10, FALSE), 1)</f>
        <v>0.45115957603796786</v>
      </c>
      <c r="N15" s="7">
        <f>$B15 * IFERROR(VLOOKUP("transport|SO2|Work loss days", US_national_yearly!$D:$AM, 22, FALSE) / VLOOKUP("transport|SO2|Work loss days", US_national_yearly!$D:$AM, 10, FALSE), 1)</f>
        <v>0.4544882668616993</v>
      </c>
      <c r="O15" s="7">
        <f>$B15 * IFERROR(VLOOKUP("transport|SO2|Work loss days", US_national_yearly!$D:$AM, 23, FALSE) / VLOOKUP("transport|SO2|Work loss days", US_national_yearly!$D:$AM, 10, FALSE), 1)</f>
        <v>0.45781695768543079</v>
      </c>
      <c r="P15" s="7">
        <f>$B15 * IFERROR(VLOOKUP("transport|SO2|Work loss days", US_national_yearly!$D:$AM, 24, FALSE) / VLOOKUP("transport|SO2|Work loss days", US_national_yearly!$D:$AM, 10, FALSE), 1)</f>
        <v>0.46114564850916218</v>
      </c>
      <c r="Q15" s="7">
        <f>$B15 * IFERROR(VLOOKUP("transport|SO2|Work loss days", US_national_yearly!$D:$AM, 25, FALSE) / VLOOKUP("transport|SO2|Work loss days", US_national_yearly!$D:$AM, 10, FALSE), 1)</f>
        <v>0.46447433933289362</v>
      </c>
      <c r="R15" s="7">
        <f>$B15 * IFERROR(VLOOKUP("transport|SO2|Work loss days", US_national_yearly!$D:$AM, 26, FALSE) / VLOOKUP("transport|SO2|Work loss days", US_national_yearly!$D:$AM, 10, FALSE), 1)</f>
        <v>0.46780303015662511</v>
      </c>
      <c r="S15" s="7">
        <f>$B15 * IFERROR(VLOOKUP("transport|SO2|Work loss days", US_national_yearly!$D:$AM, 27, FALSE) / VLOOKUP("transport|SO2|Work loss days", US_national_yearly!$D:$AM, 10, FALSE), 1)</f>
        <v>0.47152283117759153</v>
      </c>
      <c r="T15" s="7">
        <f>$B15 * IFERROR(VLOOKUP("transport|SO2|Work loss days", US_national_yearly!$D:$AM, 28, FALSE) / VLOOKUP("transport|SO2|Work loss days", US_national_yearly!$D:$AM, 10, FALSE), 1)</f>
        <v>0.47524263219855806</v>
      </c>
      <c r="U15" s="7">
        <f>$B15 * IFERROR(VLOOKUP("transport|SO2|Work loss days", US_national_yearly!$D:$AM, 29, FALSE) / VLOOKUP("transport|SO2|Work loss days", US_national_yearly!$D:$AM, 10, FALSE), 1)</f>
        <v>0.47896243321952447</v>
      </c>
      <c r="V15" s="7">
        <f>$B15 * IFERROR(VLOOKUP("transport|SO2|Work loss days", US_national_yearly!$D:$AM, 30, FALSE) / VLOOKUP("transport|SO2|Work loss days", US_national_yearly!$D:$AM, 10, FALSE), 1)</f>
        <v>0.48268223424049089</v>
      </c>
      <c r="W15" s="7">
        <f>$B15 * IFERROR(VLOOKUP("transport|SO2|Work loss days", US_national_yearly!$D:$AM, 31, FALSE) / VLOOKUP("transport|SO2|Work loss days", US_national_yearly!$D:$AM, 10, FALSE), 1)</f>
        <v>0.48640203526145742</v>
      </c>
      <c r="X15" s="7">
        <f>$B15 * IFERROR(VLOOKUP("transport|SO2|Work loss days", US_national_yearly!$D:$AM, 32, FALSE) / VLOOKUP("transport|SO2|Work loss days", US_national_yearly!$D:$AM, 10, FALSE), 1)</f>
        <v>0.48974190385350269</v>
      </c>
      <c r="Y15" s="7">
        <f>$B15 * IFERROR(VLOOKUP("transport|SO2|Work loss days", US_national_yearly!$D:$AM, 33, FALSE) / VLOOKUP("transport|SO2|Work loss days", US_national_yearly!$D:$AM, 10, FALSE), 1)</f>
        <v>0.49308177244554802</v>
      </c>
      <c r="Z15" s="7">
        <f>$B15 * IFERROR(VLOOKUP("transport|SO2|Work loss days", US_national_yearly!$D:$AM, 34, FALSE) / VLOOKUP("transport|SO2|Work loss days", US_national_yearly!$D:$AM, 10, FALSE), 1)</f>
        <v>0.4964216410375934</v>
      </c>
      <c r="AA15" s="7">
        <f>$B15 * IFERROR(VLOOKUP("transport|SO2|Work loss days", US_national_yearly!$D:$AM, 35, FALSE) / VLOOKUP("transport|SO2|Work loss days", US_national_yearly!$D:$AM, 10, FALSE), 1)</f>
        <v>0.49976150962963872</v>
      </c>
      <c r="AB15" s="7">
        <f>$B15 * IFERROR(VLOOKUP("transport|SO2|Work loss days", US_national_yearly!$D:$AM, 36, FALSE) / VLOOKUP("transport|SO2|Work loss days", US_national_yearly!$D:$AM, 10, FALSE), 1)</f>
        <v>0.5031013782216841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9.8103562966342307E-4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1.0107059039036435E-3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1.0403761781438642E-3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1.0700464523840847E-3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1.0997167266243056E-3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1.1281380281443251E-3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1.1565593296643448E-3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1.1809108386984274E-3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1.20526234773251E-3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1.2296138567665926E-3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1.2539653658006752E-3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1.2783168748347578E-3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1.2946755418809818E-3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1.3110342089272058E-3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1.3273928759734298E-3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1.3437515430196538E-3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1.360110210065878E-3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1.3687137041940101E-3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1.3773171983221424E-3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1.3859206924502748E-3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1.3945241865784069E-3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1.4031276807065392E-3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1.4089034907245411E-3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1.4146793007425429E-3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1.4204551107605448E-3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1.4262309207785468E-3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1.4320067307965485E-3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1.8578796885388427E-2</v>
      </c>
      <c r="C2" s="7">
        <f>$B2 * IFERROR(VLOOKUP("electricity|PM25|Premature mortality", US_national_yearly!$D:$AM, 11, FALSE) / VLOOKUP("electricity|PM25|Premature mortality", US_national_yearly!$D:$AM, 10, FALSE), 1)</f>
        <v>1.8808918280492717E-2</v>
      </c>
      <c r="D2" s="7">
        <f>$B2 * IFERROR(VLOOKUP("electricity|PM25|Premature mortality", US_national_yearly!$D:$AM, 12, FALSE) / VLOOKUP("electricity|PM25|Premature mortality", US_national_yearly!$D:$AM, 10, FALSE), 1)</f>
        <v>1.9039039675597003E-2</v>
      </c>
      <c r="E2" s="7">
        <f>$B2 * IFERROR(VLOOKUP("electricity|PM25|Premature mortality", US_national_yearly!$D:$AM, 13, FALSE) / VLOOKUP("electricity|PM25|Premature mortality", US_national_yearly!$D:$AM, 10, FALSE), 1)</f>
        <v>1.9269161070701292E-2</v>
      </c>
      <c r="F2" s="7">
        <f>$B2 * IFERROR(VLOOKUP("electricity|PM25|Premature mortality", US_national_yearly!$D:$AM, 14, FALSE) / VLOOKUP("electricity|PM25|Premature mortality", US_national_yearly!$D:$AM, 10, FALSE), 1)</f>
        <v>1.9499282465805585E-2</v>
      </c>
      <c r="G2" s="7">
        <f>$B2 * IFERROR(VLOOKUP("electricity|PM25|Premature mortality", US_national_yearly!$D:$AM, 15, FALSE) / VLOOKUP("electricity|PM25|Premature mortality", US_national_yearly!$D:$AM, 10, FALSE), 1)</f>
        <v>1.9951253124031662E-2</v>
      </c>
      <c r="H2" s="7">
        <f>$B2 * IFERROR(VLOOKUP("electricity|PM25|Premature mortality", US_national_yearly!$D:$AM, 16, FALSE) / VLOOKUP("electricity|PM25|Premature mortality", US_national_yearly!$D:$AM, 10, FALSE), 1)</f>
        <v>2.0403223782257743E-2</v>
      </c>
      <c r="I2" s="7">
        <f>$B2 * IFERROR(VLOOKUP("electricity|PM25|Premature mortality", US_national_yearly!$D:$AM, 17, FALSE) / VLOOKUP("electricity|PM25|Premature mortality", US_national_yearly!$D:$AM, 10, FALSE), 1)</f>
        <v>2.0706906706727098E-2</v>
      </c>
      <c r="J2" s="7">
        <f>$B2 * IFERROR(VLOOKUP("electricity|PM25|Premature mortality", US_national_yearly!$D:$AM, 18, FALSE) / VLOOKUP("electricity|PM25|Premature mortality", US_national_yearly!$D:$AM, 10, FALSE), 1)</f>
        <v>2.1010589631196452E-2</v>
      </c>
      <c r="K2" s="7">
        <f>$B2 * IFERROR(VLOOKUP("electricity|PM25|Premature mortality", US_national_yearly!$D:$AM, 19, FALSE) / VLOOKUP("electricity|PM25|Premature mortality", US_national_yearly!$D:$AM, 10, FALSE), 1)</f>
        <v>2.1314272555665807E-2</v>
      </c>
      <c r="L2" s="7">
        <f>$B2 * IFERROR(VLOOKUP("electricity|PM25|Premature mortality", US_national_yearly!$D:$AM, 20, FALSE) / VLOOKUP("electricity|PM25|Premature mortality", US_national_yearly!$D:$AM, 10, FALSE), 1)</f>
        <v>2.1617955480135162E-2</v>
      </c>
      <c r="M2" s="7">
        <f>$B2 * IFERROR(VLOOKUP("electricity|PM25|Premature mortality", US_national_yearly!$D:$AM, 21, FALSE) / VLOOKUP("electricity|PM25|Premature mortality", US_national_yearly!$D:$AM, 10, FALSE), 1)</f>
        <v>2.1921638404604513E-2</v>
      </c>
      <c r="N2" s="7">
        <f>$B2 * IFERROR(VLOOKUP("electricity|PM25|Premature mortality", US_national_yearly!$D:$AM, 22, FALSE) / VLOOKUP("electricity|PM25|Premature mortality", US_national_yearly!$D:$AM, 10, FALSE), 1)</f>
        <v>2.2163708077324606E-2</v>
      </c>
      <c r="O2" s="7">
        <f>$B2 * IFERROR(VLOOKUP("electricity|PM25|Premature mortality", US_national_yearly!$D:$AM, 23, FALSE) / VLOOKUP("electricity|PM25|Premature mortality", US_national_yearly!$D:$AM, 10, FALSE), 1)</f>
        <v>2.2405777750044695E-2</v>
      </c>
      <c r="P2" s="7">
        <f>$B2 * IFERROR(VLOOKUP("electricity|PM25|Premature mortality", US_national_yearly!$D:$AM, 24, FALSE) / VLOOKUP("electricity|PM25|Premature mortality", US_national_yearly!$D:$AM, 10, FALSE), 1)</f>
        <v>2.2647847422764784E-2</v>
      </c>
      <c r="Q2" s="7">
        <f>$B2 * IFERROR(VLOOKUP("electricity|PM25|Premature mortality", US_national_yearly!$D:$AM, 25, FALSE) / VLOOKUP("electricity|PM25|Premature mortality", US_national_yearly!$D:$AM, 10, FALSE), 1)</f>
        <v>2.2889917095484873E-2</v>
      </c>
      <c r="R2" s="7">
        <f>$B2 * IFERROR(VLOOKUP("electricity|PM25|Premature mortality", US_national_yearly!$D:$AM, 26, FALSE) / VLOOKUP("electricity|PM25|Premature mortality", US_national_yearly!$D:$AM, 10, FALSE), 1)</f>
        <v>2.3131986768204965E-2</v>
      </c>
      <c r="S2" s="7">
        <f>$B2 * IFERROR(VLOOKUP("electricity|PM25|Premature mortality", US_national_yearly!$D:$AM, 27, FALSE) / VLOOKUP("electricity|PM25|Premature mortality", US_national_yearly!$D:$AM, 10, FALSE), 1)</f>
        <v>2.3270500332367879E-2</v>
      </c>
      <c r="T2" s="7">
        <f>$B2 * IFERROR(VLOOKUP("electricity|PM25|Premature mortality", US_national_yearly!$D:$AM, 28, FALSE) / VLOOKUP("electricity|PM25|Premature mortality", US_national_yearly!$D:$AM, 10, FALSE), 1)</f>
        <v>2.3409013896530793E-2</v>
      </c>
      <c r="U2" s="7">
        <f>$B2 * IFERROR(VLOOKUP("electricity|PM25|Premature mortality", US_national_yearly!$D:$AM, 29, FALSE) / VLOOKUP("electricity|PM25|Premature mortality", US_national_yearly!$D:$AM, 10, FALSE), 1)</f>
        <v>2.3547527460693714E-2</v>
      </c>
      <c r="V2" s="7">
        <f>$B2 * IFERROR(VLOOKUP("electricity|PM25|Premature mortality", US_national_yearly!$D:$AM, 30, FALSE) / VLOOKUP("electricity|PM25|Premature mortality", US_national_yearly!$D:$AM, 10, FALSE), 1)</f>
        <v>2.3686041024856629E-2</v>
      </c>
      <c r="W2" s="7">
        <f>$B2 * IFERROR(VLOOKUP("electricity|PM25|Premature mortality", US_national_yearly!$D:$AM, 31, FALSE) / VLOOKUP("electricity|PM25|Premature mortality", US_national_yearly!$D:$AM, 10, FALSE), 1)</f>
        <v>2.3824554589019543E-2</v>
      </c>
      <c r="X2" s="7">
        <f>$B2 * IFERROR(VLOOKUP("electricity|PM25|Premature mortality", US_national_yearly!$D:$AM, 32, FALSE) / VLOOKUP("electricity|PM25|Premature mortality", US_national_yearly!$D:$AM, 10, FALSE), 1)</f>
        <v>2.3863032761571708E-2</v>
      </c>
      <c r="Y2" s="7">
        <f>$B2 * IFERROR(VLOOKUP("electricity|PM25|Premature mortality", US_national_yearly!$D:$AM, 33, FALSE) / VLOOKUP("electricity|PM25|Premature mortality", US_national_yearly!$D:$AM, 10, FALSE), 1)</f>
        <v>2.3901510934123873E-2</v>
      </c>
      <c r="Z2" s="7">
        <f>$B2 * IFERROR(VLOOKUP("electricity|PM25|Premature mortality", US_national_yearly!$D:$AM, 34, FALSE) / VLOOKUP("electricity|PM25|Premature mortality", US_national_yearly!$D:$AM, 10, FALSE), 1)</f>
        <v>2.3939989106676034E-2</v>
      </c>
      <c r="AA2" s="7">
        <f>$B2 * IFERROR(VLOOKUP("electricity|PM25|Premature mortality", US_national_yearly!$D:$AM, 35, FALSE) / VLOOKUP("electricity|PM25|Premature mortality", US_national_yearly!$D:$AM, 10, FALSE), 1)</f>
        <v>2.3978467279228203E-2</v>
      </c>
      <c r="AB2" s="7">
        <f>$B2 * IFERROR(VLOOKUP("electricity|PM25|Premature mortality", US_national_yearly!$D:$AM, 36, FALSE) / VLOOKUP("electricity|PM25|Premature mortality", US_national_yearly!$D:$AM, 10, FALSE), 1)</f>
        <v>2.4016945451780368E-2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3.5397603104301851E-5</v>
      </c>
      <c r="C3" s="7">
        <f>$B3 * IFERROR(VLOOKUP("electricity|PM25|Infant mortality", US_national_yearly!$D:$AM, 11, FALSE) / VLOOKUP("electricity|PM25|Infant mortality", US_national_yearly!$D:$AM, 10, FALSE), 1)</f>
        <v>3.5089183877616776E-5</v>
      </c>
      <c r="D3" s="7">
        <f>$B3 * IFERROR(VLOOKUP("electricity|PM25|Infant mortality", US_national_yearly!$D:$AM, 12, FALSE) / VLOOKUP("electricity|PM25|Infant mortality", US_national_yearly!$D:$AM, 10, FALSE), 1)</f>
        <v>3.4780764650931714E-5</v>
      </c>
      <c r="E3" s="7">
        <f>$B3 * IFERROR(VLOOKUP("electricity|PM25|Infant mortality", US_national_yearly!$D:$AM, 13, FALSE) / VLOOKUP("electricity|PM25|Infant mortality", US_national_yearly!$D:$AM, 10, FALSE), 1)</f>
        <v>3.4472345424246638E-5</v>
      </c>
      <c r="F3" s="7">
        <f>$B3 * IFERROR(VLOOKUP("electricity|PM25|Infant mortality", US_national_yearly!$D:$AM, 14, FALSE) / VLOOKUP("electricity|PM25|Infant mortality", US_national_yearly!$D:$AM, 10, FALSE), 1)</f>
        <v>3.4163926197561563E-5</v>
      </c>
      <c r="G3" s="7">
        <f>$B3 * IFERROR(VLOOKUP("electricity|PM25|Infant mortality", US_national_yearly!$D:$AM, 15, FALSE) / VLOOKUP("electricity|PM25|Infant mortality", US_national_yearly!$D:$AM, 10, FALSE), 1)</f>
        <v>2.2656451018769652E-5</v>
      </c>
      <c r="H3" s="7">
        <f>$B3 * IFERROR(VLOOKUP("electricity|PM25|Infant mortality", US_national_yearly!$D:$AM, 16, FALSE) / VLOOKUP("electricity|PM25|Infant mortality", US_national_yearly!$D:$AM, 10, FALSE), 1)</f>
        <v>1.1148975839977738E-5</v>
      </c>
      <c r="I3" s="7">
        <f>$B3 * IFERROR(VLOOKUP("electricity|PM25|Infant mortality", US_national_yearly!$D:$AM, 17, FALSE) / VLOOKUP("electricity|PM25|Infant mortality", US_national_yearly!$D:$AM, 10, FALSE), 1)</f>
        <v>1.1070258961815444E-5</v>
      </c>
      <c r="J3" s="7">
        <f>$B3 * IFERROR(VLOOKUP("electricity|PM25|Infant mortality", US_national_yearly!$D:$AM, 18, FALSE) / VLOOKUP("electricity|PM25|Infant mortality", US_national_yearly!$D:$AM, 10, FALSE), 1)</f>
        <v>1.0991542083653153E-5</v>
      </c>
      <c r="K3" s="7">
        <f>$B3 * IFERROR(VLOOKUP("electricity|PM25|Infant mortality", US_national_yearly!$D:$AM, 19, FALSE) / VLOOKUP("electricity|PM25|Infant mortality", US_national_yearly!$D:$AM, 10, FALSE), 1)</f>
        <v>1.0912825205490857E-5</v>
      </c>
      <c r="L3" s="7">
        <f>$B3 * IFERROR(VLOOKUP("electricity|PM25|Infant mortality", US_national_yearly!$D:$AM, 20, FALSE) / VLOOKUP("electricity|PM25|Infant mortality", US_national_yearly!$D:$AM, 10, FALSE), 1)</f>
        <v>1.0834108327328564E-5</v>
      </c>
      <c r="M3" s="7">
        <f>$B3 * IFERROR(VLOOKUP("electricity|PM25|Infant mortality", US_national_yearly!$D:$AM, 21, FALSE) / VLOOKUP("electricity|PM25|Infant mortality", US_national_yearly!$D:$AM, 10, FALSE), 1)</f>
        <v>1.0755391449166272E-5</v>
      </c>
      <c r="N3" s="7">
        <f>$B3 * IFERROR(VLOOKUP("electricity|PM25|Infant mortality", US_national_yearly!$D:$AM, 22, FALSE) / VLOOKUP("electricity|PM25|Infant mortality", US_national_yearly!$D:$AM, 10, FALSE), 1)</f>
        <v>1.0704766045449525E-5</v>
      </c>
      <c r="O3" s="7">
        <f>$B3 * IFERROR(VLOOKUP("electricity|PM25|Infant mortality", US_national_yearly!$D:$AM, 23, FALSE) / VLOOKUP("electricity|PM25|Infant mortality", US_national_yearly!$D:$AM, 10, FALSE), 1)</f>
        <v>1.0654140641732779E-5</v>
      </c>
      <c r="P3" s="7">
        <f>$B3 * IFERROR(VLOOKUP("electricity|PM25|Infant mortality", US_national_yearly!$D:$AM, 24, FALSE) / VLOOKUP("electricity|PM25|Infant mortality", US_national_yearly!$D:$AM, 10, FALSE), 1)</f>
        <v>1.060351523801603E-5</v>
      </c>
      <c r="Q3" s="7">
        <f>$B3 * IFERROR(VLOOKUP("electricity|PM25|Infant mortality", US_national_yearly!$D:$AM, 25, FALSE) / VLOOKUP("electricity|PM25|Infant mortality", US_national_yearly!$D:$AM, 10, FALSE), 1)</f>
        <v>1.0552889834299283E-5</v>
      </c>
      <c r="R3" s="7">
        <f>$B3 * IFERROR(VLOOKUP("electricity|PM25|Infant mortality", US_national_yearly!$D:$AM, 26, FALSE) / VLOOKUP("electricity|PM25|Infant mortality", US_national_yearly!$D:$AM, 10, FALSE), 1)</f>
        <v>1.0502264430582535E-5</v>
      </c>
      <c r="S3" s="7">
        <f>$B3 * IFERROR(VLOOKUP("electricity|PM25|Infant mortality", US_national_yearly!$D:$AM, 27, FALSE) / VLOOKUP("electricity|PM25|Infant mortality", US_national_yearly!$D:$AM, 10, FALSE), 1)</f>
        <v>1.0441614065628419E-5</v>
      </c>
      <c r="T3" s="7">
        <f>$B3 * IFERROR(VLOOKUP("electricity|PM25|Infant mortality", US_national_yearly!$D:$AM, 28, FALSE) / VLOOKUP("electricity|PM25|Infant mortality", US_national_yearly!$D:$AM, 10, FALSE), 1)</f>
        <v>1.0380963700674305E-5</v>
      </c>
      <c r="U3" s="7">
        <f>$B3 * IFERROR(VLOOKUP("electricity|PM25|Infant mortality", US_national_yearly!$D:$AM, 29, FALSE) / VLOOKUP("electricity|PM25|Infant mortality", US_national_yearly!$D:$AM, 10, FALSE), 1)</f>
        <v>1.0320313335720193E-5</v>
      </c>
      <c r="V3" s="7">
        <f>$B3 * IFERROR(VLOOKUP("electricity|PM25|Infant mortality", US_national_yearly!$D:$AM, 30, FALSE) / VLOOKUP("electricity|PM25|Infant mortality", US_national_yearly!$D:$AM, 10, FALSE), 1)</f>
        <v>1.0259662970766077E-5</v>
      </c>
      <c r="W3" s="7">
        <f>$B3 * IFERROR(VLOOKUP("electricity|PM25|Infant mortality", US_national_yearly!$D:$AM, 31, FALSE) / VLOOKUP("electricity|PM25|Infant mortality", US_national_yearly!$D:$AM, 10, FALSE), 1)</f>
        <v>1.0199012605811963E-5</v>
      </c>
      <c r="X3" s="7">
        <f>$B3 * IFERROR(VLOOKUP("electricity|PM25|Infant mortality", US_national_yearly!$D:$AM, 32, FALSE) / VLOOKUP("electricity|PM25|Infant mortality", US_national_yearly!$D:$AM, 10, FALSE), 1)</f>
        <v>1.013633802617608E-5</v>
      </c>
      <c r="Y3" s="7">
        <f>$B3 * IFERROR(VLOOKUP("electricity|PM25|Infant mortality", US_national_yearly!$D:$AM, 33, FALSE) / VLOOKUP("electricity|PM25|Infant mortality", US_national_yearly!$D:$AM, 10, FALSE), 1)</f>
        <v>1.0073663446540196E-5</v>
      </c>
      <c r="Z3" s="7">
        <f>$B3 * IFERROR(VLOOKUP("electricity|PM25|Infant mortality", US_national_yearly!$D:$AM, 34, FALSE) / VLOOKUP("electricity|PM25|Infant mortality", US_national_yearly!$D:$AM, 10, FALSE), 1)</f>
        <v>1.0010988866904313E-5</v>
      </c>
      <c r="AA3" s="7">
        <f>$B3 * IFERROR(VLOOKUP("electricity|PM25|Infant mortality", US_national_yearly!$D:$AM, 35, FALSE) / VLOOKUP("electricity|PM25|Infant mortality", US_national_yearly!$D:$AM, 10, FALSE), 1)</f>
        <v>9.9483142872684298E-6</v>
      </c>
      <c r="AB3" s="7">
        <f>$B3 * IFERROR(VLOOKUP("electricity|PM25|Infant mortality", US_national_yearly!$D:$AM, 36, FALSE) / VLOOKUP("electricity|PM25|Infant mortality", US_national_yearly!$D:$AM, 10, FALSE), 1)</f>
        <v>9.8856397076325464E-6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3.6490192974916E-2</v>
      </c>
      <c r="C6" s="7">
        <f>$B6 * IFERROR(VLOOKUP("electricity|PM25|Asthma symptoms cough", US_national_yearly!$D:$AM, 11, FALSE) / VLOOKUP("electricity|PM25|Asthma symptoms cough", US_national_yearly!$D:$AM, 10, FALSE), 1)</f>
        <v>3.6490192974916E-2</v>
      </c>
      <c r="D6" s="7">
        <f>$B6 * IFERROR(VLOOKUP("electricity|PM25|Asthma symptoms cough", US_national_yearly!$D:$AM, 12, FALSE) / VLOOKUP("electricity|PM25|Asthma symptoms cough", US_national_yearly!$D:$AM, 10, FALSE), 1)</f>
        <v>3.6490192974916E-2</v>
      </c>
      <c r="E6" s="7">
        <f>$B6 * IFERROR(VLOOKUP("electricity|PM25|Asthma symptoms cough", US_national_yearly!$D:$AM, 13, FALSE) / VLOOKUP("electricity|PM25|Asthma symptoms cough", US_national_yearly!$D:$AM, 10, FALSE), 1)</f>
        <v>3.6490192974916E-2</v>
      </c>
      <c r="F6" s="7">
        <f>$B6 * IFERROR(VLOOKUP("electricity|PM25|Asthma symptoms cough", US_national_yearly!$D:$AM, 14, FALSE) / VLOOKUP("electricity|PM25|Asthma symptoms cough", US_national_yearly!$D:$AM, 10, FALSE), 1)</f>
        <v>3.6490192974916E-2</v>
      </c>
      <c r="G6" s="7">
        <f>$B6 * IFERROR(VLOOKUP("electricity|PM25|Asthma symptoms cough", US_national_yearly!$D:$AM, 15, FALSE) / VLOOKUP("electricity|PM25|Asthma symptoms cough", US_national_yearly!$D:$AM, 10, FALSE), 1)</f>
        <v>3.6490192974916E-2</v>
      </c>
      <c r="H6" s="7">
        <f>$B6 * IFERROR(VLOOKUP("electricity|PM25|Asthma symptoms cough", US_national_yearly!$D:$AM, 16, FALSE) / VLOOKUP("electricity|PM25|Asthma symptoms cough", US_national_yearly!$D:$AM, 10, FALSE), 1)</f>
        <v>3.6490192974916E-2</v>
      </c>
      <c r="I6" s="7">
        <f>$B6 * IFERROR(VLOOKUP("electricity|PM25|Asthma symptoms cough", US_national_yearly!$D:$AM, 17, FALSE) / VLOOKUP("electricity|PM25|Asthma symptoms cough", US_national_yearly!$D:$AM, 10, FALSE), 1)</f>
        <v>3.6490192974916E-2</v>
      </c>
      <c r="J6" s="7">
        <f>$B6 * IFERROR(VLOOKUP("electricity|PM25|Asthma symptoms cough", US_national_yearly!$D:$AM, 18, FALSE) / VLOOKUP("electricity|PM25|Asthma symptoms cough", US_national_yearly!$D:$AM, 10, FALSE), 1)</f>
        <v>3.6490192974916E-2</v>
      </c>
      <c r="K6" s="7">
        <f>$B6 * IFERROR(VLOOKUP("electricity|PM25|Asthma symptoms cough", US_national_yearly!$D:$AM, 19, FALSE) / VLOOKUP("electricity|PM25|Asthma symptoms cough", US_national_yearly!$D:$AM, 10, FALSE), 1)</f>
        <v>3.6490192974916E-2</v>
      </c>
      <c r="L6" s="7">
        <f>$B6 * IFERROR(VLOOKUP("electricity|PM25|Asthma symptoms cough", US_national_yearly!$D:$AM, 20, FALSE) / VLOOKUP("electricity|PM25|Asthma symptoms cough", US_national_yearly!$D:$AM, 10, FALSE), 1)</f>
        <v>3.6490192974916E-2</v>
      </c>
      <c r="M6" s="7">
        <f>$B6 * IFERROR(VLOOKUP("electricity|PM25|Asthma symptoms cough", US_national_yearly!$D:$AM, 21, FALSE) / VLOOKUP("electricity|PM25|Asthma symptoms cough", US_national_yearly!$D:$AM, 10, FALSE), 1)</f>
        <v>3.6490192974916E-2</v>
      </c>
      <c r="N6" s="7">
        <f>$B6 * IFERROR(VLOOKUP("electricity|PM25|Asthma symptoms cough", US_national_yearly!$D:$AM, 22, FALSE) / VLOOKUP("electricity|PM25|Asthma symptoms cough", US_national_yearly!$D:$AM, 10, FALSE), 1)</f>
        <v>3.6490192974916E-2</v>
      </c>
      <c r="O6" s="7">
        <f>$B6 * IFERROR(VLOOKUP("electricity|PM25|Asthma symptoms cough", US_national_yearly!$D:$AM, 23, FALSE) / VLOOKUP("electricity|PM25|Asthma symptoms cough", US_national_yearly!$D:$AM, 10, FALSE), 1)</f>
        <v>3.6490192974916E-2</v>
      </c>
      <c r="P6" s="7">
        <f>$B6 * IFERROR(VLOOKUP("electricity|PM25|Asthma symptoms cough", US_national_yearly!$D:$AM, 24, FALSE) / VLOOKUP("electricity|PM25|Asthma symptoms cough", US_national_yearly!$D:$AM, 10, FALSE), 1)</f>
        <v>3.6490192974916E-2</v>
      </c>
      <c r="Q6" s="7">
        <f>$B6 * IFERROR(VLOOKUP("electricity|PM25|Asthma symptoms cough", US_national_yearly!$D:$AM, 25, FALSE) / VLOOKUP("electricity|PM25|Asthma symptoms cough", US_national_yearly!$D:$AM, 10, FALSE), 1)</f>
        <v>3.6490192974916E-2</v>
      </c>
      <c r="R6" s="7">
        <f>$B6 * IFERROR(VLOOKUP("electricity|PM25|Asthma symptoms cough", US_national_yearly!$D:$AM, 26, FALSE) / VLOOKUP("electricity|PM25|Asthma symptoms cough", US_national_yearly!$D:$AM, 10, FALSE), 1)</f>
        <v>3.6490192974916E-2</v>
      </c>
      <c r="S6" s="7">
        <f>$B6 * IFERROR(VLOOKUP("electricity|PM25|Asthma symptoms cough", US_national_yearly!$D:$AM, 27, FALSE) / VLOOKUP("electricity|PM25|Asthma symptoms cough", US_national_yearly!$D:$AM, 10, FALSE), 1)</f>
        <v>3.6490192974916E-2</v>
      </c>
      <c r="T6" s="7">
        <f>$B6 * IFERROR(VLOOKUP("electricity|PM25|Asthma symptoms cough", US_national_yearly!$D:$AM, 28, FALSE) / VLOOKUP("electricity|PM25|Asthma symptoms cough", US_national_yearly!$D:$AM, 10, FALSE), 1)</f>
        <v>3.6490192974916E-2</v>
      </c>
      <c r="U6" s="7">
        <f>$B6 * IFERROR(VLOOKUP("electricity|PM25|Asthma symptoms cough", US_national_yearly!$D:$AM, 29, FALSE) / VLOOKUP("electricity|PM25|Asthma symptoms cough", US_national_yearly!$D:$AM, 10, FALSE), 1)</f>
        <v>3.6490192974916E-2</v>
      </c>
      <c r="V6" s="7">
        <f>$B6 * IFERROR(VLOOKUP("electricity|PM25|Asthma symptoms cough", US_national_yearly!$D:$AM, 30, FALSE) / VLOOKUP("electricity|PM25|Asthma symptoms cough", US_national_yearly!$D:$AM, 10, FALSE), 1)</f>
        <v>3.6490192974916E-2</v>
      </c>
      <c r="W6" s="7">
        <f>$B6 * IFERROR(VLOOKUP("electricity|PM25|Asthma symptoms cough", US_national_yearly!$D:$AM, 31, FALSE) / VLOOKUP("electricity|PM25|Asthma symptoms cough", US_national_yearly!$D:$AM, 10, FALSE), 1)</f>
        <v>3.6490192974916E-2</v>
      </c>
      <c r="X6" s="7">
        <f>$B6 * IFERROR(VLOOKUP("electricity|PM25|Asthma symptoms cough", US_national_yearly!$D:$AM, 32, FALSE) / VLOOKUP("electricity|PM25|Asthma symptoms cough", US_national_yearly!$D:$AM, 10, FALSE), 1)</f>
        <v>3.6490192974916E-2</v>
      </c>
      <c r="Y6" s="7">
        <f>$B6 * IFERROR(VLOOKUP("electricity|PM25|Asthma symptoms cough", US_national_yearly!$D:$AM, 33, FALSE) / VLOOKUP("electricity|PM25|Asthma symptoms cough", US_national_yearly!$D:$AM, 10, FALSE), 1)</f>
        <v>3.6490192974916E-2</v>
      </c>
      <c r="Z6" s="7">
        <f>$B6 * IFERROR(VLOOKUP("electricity|PM25|Asthma symptoms cough", US_national_yearly!$D:$AM, 34, FALSE) / VLOOKUP("electricity|PM25|Asthma symptoms cough", US_national_yearly!$D:$AM, 10, FALSE), 1)</f>
        <v>3.6490192974916E-2</v>
      </c>
      <c r="AA6" s="7">
        <f>$B6 * IFERROR(VLOOKUP("electricity|PM25|Asthma symptoms cough", US_national_yearly!$D:$AM, 35, FALSE) / VLOOKUP("electricity|PM25|Asthma symptoms cough", US_national_yearly!$D:$AM, 10, FALSE), 1)</f>
        <v>3.6490192974916E-2</v>
      </c>
      <c r="AB6" s="7">
        <f>$B6 * IFERROR(VLOOKUP("electricity|PM25|Asthma symptoms cough", US_national_yearly!$D:$AM, 36, FALSE) / VLOOKUP("electricity|PM25|Asthma symptoms cough", US_national_yearly!$D:$AM, 10, FALSE), 1)</f>
        <v>3.6490192974916E-2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4.9138607461742312E-2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4.9138607461742312E-2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4.9138607461742312E-2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4.9138607461742312E-2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4.9138607461742312E-2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4.9138607461742312E-2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4.9138607461742312E-2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4.9138607461742312E-2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4.9138607461742312E-2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4.9138607461742312E-2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4.9138607461742312E-2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4.9138607461742312E-2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4.9138607461742312E-2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4.9138607461742312E-2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4.9138607461742312E-2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4.9138607461742312E-2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4.9138607461742312E-2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4.9138607461742312E-2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4.9138607461742312E-2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4.9138607461742312E-2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4.9138607461742312E-2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4.9138607461742312E-2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4.9138607461742312E-2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4.9138607461742312E-2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4.9138607461742312E-2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4.9138607461742312E-2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4.9138607461742312E-2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7.5078075816571319E-2</v>
      </c>
      <c r="C8" s="7">
        <f>$B8 * IFERROR(VLOOKUP("electricity|PM25|Asthma symptoms wheeze", US_national_yearly!$D:$AM, 11, FALSE) / VLOOKUP("electricity|PM25|Asthma symptoms wheeze", US_national_yearly!$D:$AM, 10, FALSE), 1)</f>
        <v>7.5078075816571319E-2</v>
      </c>
      <c r="D8" s="7">
        <f>$B8 * IFERROR(VLOOKUP("electricity|PM25|Asthma symptoms wheeze", US_national_yearly!$D:$AM, 12, FALSE) / VLOOKUP("electricity|PM25|Asthma symptoms wheeze", US_national_yearly!$D:$AM, 10, FALSE), 1)</f>
        <v>7.5078075816571319E-2</v>
      </c>
      <c r="E8" s="7">
        <f>$B8 * IFERROR(VLOOKUP("electricity|PM25|Asthma symptoms wheeze", US_national_yearly!$D:$AM, 13, FALSE) / VLOOKUP("electricity|PM25|Asthma symptoms wheeze", US_national_yearly!$D:$AM, 10, FALSE), 1)</f>
        <v>7.5078075816571319E-2</v>
      </c>
      <c r="F8" s="7">
        <f>$B8 * IFERROR(VLOOKUP("electricity|PM25|Asthma symptoms wheeze", US_national_yearly!$D:$AM, 14, FALSE) / VLOOKUP("electricity|PM25|Asthma symptoms wheeze", US_national_yearly!$D:$AM, 10, FALSE), 1)</f>
        <v>7.5078075816571319E-2</v>
      </c>
      <c r="G8" s="7">
        <f>$B8 * IFERROR(VLOOKUP("electricity|PM25|Asthma symptoms wheeze", US_national_yearly!$D:$AM, 15, FALSE) / VLOOKUP("electricity|PM25|Asthma symptoms wheeze", US_national_yearly!$D:$AM, 10, FALSE), 1)</f>
        <v>7.5078075816571319E-2</v>
      </c>
      <c r="H8" s="7">
        <f>$B8 * IFERROR(VLOOKUP("electricity|PM25|Asthma symptoms wheeze", US_national_yearly!$D:$AM, 16, FALSE) / VLOOKUP("electricity|PM25|Asthma symptoms wheeze", US_national_yearly!$D:$AM, 10, FALSE), 1)</f>
        <v>7.5078075816571319E-2</v>
      </c>
      <c r="I8" s="7">
        <f>$B8 * IFERROR(VLOOKUP("electricity|PM25|Asthma symptoms wheeze", US_national_yearly!$D:$AM, 17, FALSE) / VLOOKUP("electricity|PM25|Asthma symptoms wheeze", US_national_yearly!$D:$AM, 10, FALSE), 1)</f>
        <v>7.5078075816571319E-2</v>
      </c>
      <c r="J8" s="7">
        <f>$B8 * IFERROR(VLOOKUP("electricity|PM25|Asthma symptoms wheeze", US_national_yearly!$D:$AM, 18, FALSE) / VLOOKUP("electricity|PM25|Asthma symptoms wheeze", US_national_yearly!$D:$AM, 10, FALSE), 1)</f>
        <v>7.5078075816571319E-2</v>
      </c>
      <c r="K8" s="7">
        <f>$B8 * IFERROR(VLOOKUP("electricity|PM25|Asthma symptoms wheeze", US_national_yearly!$D:$AM, 19, FALSE) / VLOOKUP("electricity|PM25|Asthma symptoms wheeze", US_national_yearly!$D:$AM, 10, FALSE), 1)</f>
        <v>7.5078075816571319E-2</v>
      </c>
      <c r="L8" s="7">
        <f>$B8 * IFERROR(VLOOKUP("electricity|PM25|Asthma symptoms wheeze", US_national_yearly!$D:$AM, 20, FALSE) / VLOOKUP("electricity|PM25|Asthma symptoms wheeze", US_national_yearly!$D:$AM, 10, FALSE), 1)</f>
        <v>7.5078075816571319E-2</v>
      </c>
      <c r="M8" s="7">
        <f>$B8 * IFERROR(VLOOKUP("electricity|PM25|Asthma symptoms wheeze", US_national_yearly!$D:$AM, 21, FALSE) / VLOOKUP("electricity|PM25|Asthma symptoms wheeze", US_national_yearly!$D:$AM, 10, FALSE), 1)</f>
        <v>7.5078075816571319E-2</v>
      </c>
      <c r="N8" s="7">
        <f>$B8 * IFERROR(VLOOKUP("electricity|PM25|Asthma symptoms wheeze", US_national_yearly!$D:$AM, 22, FALSE) / VLOOKUP("electricity|PM25|Asthma symptoms wheeze", US_national_yearly!$D:$AM, 10, FALSE), 1)</f>
        <v>7.5078075816571319E-2</v>
      </c>
      <c r="O8" s="7">
        <f>$B8 * IFERROR(VLOOKUP("electricity|PM25|Asthma symptoms wheeze", US_national_yearly!$D:$AM, 23, FALSE) / VLOOKUP("electricity|PM25|Asthma symptoms wheeze", US_national_yearly!$D:$AM, 10, FALSE), 1)</f>
        <v>7.5078075816571319E-2</v>
      </c>
      <c r="P8" s="7">
        <f>$B8 * IFERROR(VLOOKUP("electricity|PM25|Asthma symptoms wheeze", US_national_yearly!$D:$AM, 24, FALSE) / VLOOKUP("electricity|PM25|Asthma symptoms wheeze", US_national_yearly!$D:$AM, 10, FALSE), 1)</f>
        <v>7.5078075816571319E-2</v>
      </c>
      <c r="Q8" s="7">
        <f>$B8 * IFERROR(VLOOKUP("electricity|PM25|Asthma symptoms wheeze", US_national_yearly!$D:$AM, 25, FALSE) / VLOOKUP("electricity|PM25|Asthma symptoms wheeze", US_national_yearly!$D:$AM, 10, FALSE), 1)</f>
        <v>7.5078075816571319E-2</v>
      </c>
      <c r="R8" s="7">
        <f>$B8 * IFERROR(VLOOKUP("electricity|PM25|Asthma symptoms wheeze", US_national_yearly!$D:$AM, 26, FALSE) / VLOOKUP("electricity|PM25|Asthma symptoms wheeze", US_national_yearly!$D:$AM, 10, FALSE), 1)</f>
        <v>7.5078075816571319E-2</v>
      </c>
      <c r="S8" s="7">
        <f>$B8 * IFERROR(VLOOKUP("electricity|PM25|Asthma symptoms wheeze", US_national_yearly!$D:$AM, 27, FALSE) / VLOOKUP("electricity|PM25|Asthma symptoms wheeze", US_national_yearly!$D:$AM, 10, FALSE), 1)</f>
        <v>7.5078075816571319E-2</v>
      </c>
      <c r="T8" s="7">
        <f>$B8 * IFERROR(VLOOKUP("electricity|PM25|Asthma symptoms wheeze", US_national_yearly!$D:$AM, 28, FALSE) / VLOOKUP("electricity|PM25|Asthma symptoms wheeze", US_national_yearly!$D:$AM, 10, FALSE), 1)</f>
        <v>7.5078075816571319E-2</v>
      </c>
      <c r="U8" s="7">
        <f>$B8 * IFERROR(VLOOKUP("electricity|PM25|Asthma symptoms wheeze", US_national_yearly!$D:$AM, 29, FALSE) / VLOOKUP("electricity|PM25|Asthma symptoms wheeze", US_national_yearly!$D:$AM, 10, FALSE), 1)</f>
        <v>7.5078075816571319E-2</v>
      </c>
      <c r="V8" s="7">
        <f>$B8 * IFERROR(VLOOKUP("electricity|PM25|Asthma symptoms wheeze", US_national_yearly!$D:$AM, 30, FALSE) / VLOOKUP("electricity|PM25|Asthma symptoms wheeze", US_national_yearly!$D:$AM, 10, FALSE), 1)</f>
        <v>7.5078075816571319E-2</v>
      </c>
      <c r="W8" s="7">
        <f>$B8 * IFERROR(VLOOKUP("electricity|PM25|Asthma symptoms wheeze", US_national_yearly!$D:$AM, 31, FALSE) / VLOOKUP("electricity|PM25|Asthma symptoms wheeze", US_national_yearly!$D:$AM, 10, FALSE), 1)</f>
        <v>7.5078075816571319E-2</v>
      </c>
      <c r="X8" s="7">
        <f>$B8 * IFERROR(VLOOKUP("electricity|PM25|Asthma symptoms wheeze", US_national_yearly!$D:$AM, 32, FALSE) / VLOOKUP("electricity|PM25|Asthma symptoms wheeze", US_national_yearly!$D:$AM, 10, FALSE), 1)</f>
        <v>7.5078075816571319E-2</v>
      </c>
      <c r="Y8" s="7">
        <f>$B8 * IFERROR(VLOOKUP("electricity|PM25|Asthma symptoms wheeze", US_national_yearly!$D:$AM, 33, FALSE) / VLOOKUP("electricity|PM25|Asthma symptoms wheeze", US_national_yearly!$D:$AM, 10, FALSE), 1)</f>
        <v>7.5078075816571319E-2</v>
      </c>
      <c r="Z8" s="7">
        <f>$B8 * IFERROR(VLOOKUP("electricity|PM25|Asthma symptoms wheeze", US_national_yearly!$D:$AM, 34, FALSE) / VLOOKUP("electricity|PM25|Asthma symptoms wheeze", US_national_yearly!$D:$AM, 10, FALSE), 1)</f>
        <v>7.5078075816571319E-2</v>
      </c>
      <c r="AA8" s="7">
        <f>$B8 * IFERROR(VLOOKUP("electricity|PM25|Asthma symptoms wheeze", US_national_yearly!$D:$AM, 35, FALSE) / VLOOKUP("electricity|PM25|Asthma symptoms wheeze", US_national_yearly!$D:$AM, 10, FALSE), 1)</f>
        <v>7.5078075816571319E-2</v>
      </c>
      <c r="AB8" s="7">
        <f>$B8 * IFERROR(VLOOKUP("electricity|PM25|Asthma symptoms wheeze", US_national_yearly!$D:$AM, 36, FALSE) / VLOOKUP("electricity|PM25|Asthma symptoms wheeze", US_national_yearly!$D:$AM, 10, FALSE), 1)</f>
        <v>7.5078075816571319E-2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1.1909817195861633E-3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1.197527210125052E-3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1.2040727006639403E-3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1.2106181912028293E-3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1.2171636817417178E-3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1.2241802867065349E-3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1.2311968916713521E-3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1.2374655113986256E-3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1.2437341311258988E-3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1.2500027508531718E-3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1.256271370580445E-3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1.2625399903077184E-3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1.2667683969082497E-3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1.2709968035087811E-3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1.2752252101093128E-3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1.2794536167098441E-3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1.2836820233103755E-3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1.2876223069116074E-3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1.2915625905128389E-3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1.2955028741140706E-3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1.2994431577153024E-3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1.3033834413165339E-3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1.3072796314282714E-3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1.3111758215400085E-3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1.3150720116517458E-3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1.3189682017634829E-3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1.3228643918752204E-3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7.2783903158017364E-3</v>
      </c>
      <c r="C13" s="7">
        <f>$B13 * IFERROR(VLOOKUP("electricity|PM25|Non-fatal heart attacks", US_national_yearly!$D:$AM, 11, FALSE) / VLOOKUP("electricity|PM25|Non-fatal heart attacks", US_national_yearly!$D:$AM, 10, FALSE), 1)</f>
        <v>7.489207594453067E-3</v>
      </c>
      <c r="D13" s="7">
        <f>$B13 * IFERROR(VLOOKUP("electricity|PM25|Non-fatal heart attacks", US_national_yearly!$D:$AM, 12, FALSE) / VLOOKUP("electricity|PM25|Non-fatal heart attacks", US_national_yearly!$D:$AM, 10, FALSE), 1)</f>
        <v>7.7000248731043967E-3</v>
      </c>
      <c r="E13" s="7">
        <f>$B13 * IFERROR(VLOOKUP("electricity|PM25|Non-fatal heart attacks", US_national_yearly!$D:$AM, 13, FALSE) / VLOOKUP("electricity|PM25|Non-fatal heart attacks", US_national_yearly!$D:$AM, 10, FALSE), 1)</f>
        <v>7.9108421517557256E-3</v>
      </c>
      <c r="F13" s="7">
        <f>$B13 * IFERROR(VLOOKUP("electricity|PM25|Non-fatal heart attacks", US_national_yearly!$D:$AM, 14, FALSE) / VLOOKUP("electricity|PM25|Non-fatal heart attacks", US_national_yearly!$D:$AM, 10, FALSE), 1)</f>
        <v>8.1216594304070553E-3</v>
      </c>
      <c r="G13" s="7">
        <f>$B13 * IFERROR(VLOOKUP("electricity|PM25|Non-fatal heart attacks", US_national_yearly!$D:$AM, 15, FALSE) / VLOOKUP("electricity|PM25|Non-fatal heart attacks", US_national_yearly!$D:$AM, 10, FALSE), 1)</f>
        <v>8.3217602334527147E-3</v>
      </c>
      <c r="H13" s="7">
        <f>$B13 * IFERROR(VLOOKUP("electricity|PM25|Non-fatal heart attacks", US_national_yearly!$D:$AM, 16, FALSE) / VLOOKUP("electricity|PM25|Non-fatal heart attacks", US_national_yearly!$D:$AM, 10, FALSE), 1)</f>
        <v>8.5218610364983724E-3</v>
      </c>
      <c r="I13" s="7">
        <f>$B13 * IFERROR(VLOOKUP("electricity|PM25|Non-fatal heart attacks", US_national_yearly!$D:$AM, 17, FALSE) / VLOOKUP("electricity|PM25|Non-fatal heart attacks", US_national_yearly!$D:$AM, 10, FALSE), 1)</f>
        <v>8.685119668765064E-3</v>
      </c>
      <c r="J13" s="7">
        <f>$B13 * IFERROR(VLOOKUP("electricity|PM25|Non-fatal heart attacks", US_national_yearly!$D:$AM, 18, FALSE) / VLOOKUP("electricity|PM25|Non-fatal heart attacks", US_national_yearly!$D:$AM, 10, FALSE), 1)</f>
        <v>8.8483783010317556E-3</v>
      </c>
      <c r="K13" s="7">
        <f>$B13 * IFERROR(VLOOKUP("electricity|PM25|Non-fatal heart attacks", US_national_yearly!$D:$AM, 19, FALSE) / VLOOKUP("electricity|PM25|Non-fatal heart attacks", US_national_yearly!$D:$AM, 10, FALSE), 1)</f>
        <v>9.0116369332984454E-3</v>
      </c>
      <c r="L13" s="7">
        <f>$B13 * IFERROR(VLOOKUP("electricity|PM25|Non-fatal heart attacks", US_national_yearly!$D:$AM, 20, FALSE) / VLOOKUP("electricity|PM25|Non-fatal heart attacks", US_national_yearly!$D:$AM, 10, FALSE), 1)</f>
        <v>9.174895565565137E-3</v>
      </c>
      <c r="M13" s="7">
        <f>$B13 * IFERROR(VLOOKUP("electricity|PM25|Non-fatal heart attacks", US_national_yearly!$D:$AM, 21, FALSE) / VLOOKUP("electricity|PM25|Non-fatal heart attacks", US_national_yearly!$D:$AM, 10, FALSE), 1)</f>
        <v>9.3381541978318303E-3</v>
      </c>
      <c r="N13" s="7">
        <f>$B13 * IFERROR(VLOOKUP("electricity|PM25|Non-fatal heart attacks", US_national_yearly!$D:$AM, 22, FALSE) / VLOOKUP("electricity|PM25|Non-fatal heart attacks", US_national_yearly!$D:$AM, 10, FALSE), 1)</f>
        <v>9.4440879746534277E-3</v>
      </c>
      <c r="O13" s="7">
        <f>$B13 * IFERROR(VLOOKUP("electricity|PM25|Non-fatal heart attacks", US_national_yearly!$D:$AM, 23, FALSE) / VLOOKUP("electricity|PM25|Non-fatal heart attacks", US_national_yearly!$D:$AM, 10, FALSE), 1)</f>
        <v>9.5500217514750251E-3</v>
      </c>
      <c r="P13" s="7">
        <f>$B13 * IFERROR(VLOOKUP("electricity|PM25|Non-fatal heart attacks", US_national_yearly!$D:$AM, 24, FALSE) / VLOOKUP("electricity|PM25|Non-fatal heart attacks", US_national_yearly!$D:$AM, 10, FALSE), 1)</f>
        <v>9.6559555282966225E-3</v>
      </c>
      <c r="Q13" s="7">
        <f>$B13 * IFERROR(VLOOKUP("electricity|PM25|Non-fatal heart attacks", US_national_yearly!$D:$AM, 25, FALSE) / VLOOKUP("electricity|PM25|Non-fatal heart attacks", US_national_yearly!$D:$AM, 10, FALSE), 1)</f>
        <v>9.7618893051182199E-3</v>
      </c>
      <c r="R13" s="7">
        <f>$B13 * IFERROR(VLOOKUP("electricity|PM25|Non-fatal heart attacks", US_national_yearly!$D:$AM, 26, FALSE) / VLOOKUP("electricity|PM25|Non-fatal heart attacks", US_national_yearly!$D:$AM, 10, FALSE), 1)</f>
        <v>9.8678230819398173E-3</v>
      </c>
      <c r="S13" s="7">
        <f>$B13 * IFERROR(VLOOKUP("electricity|PM25|Non-fatal heart attacks", US_national_yearly!$D:$AM, 27, FALSE) / VLOOKUP("electricity|PM25|Non-fatal heart attacks", US_national_yearly!$D:$AM, 10, FALSE), 1)</f>
        <v>9.9261423475401084E-3</v>
      </c>
      <c r="T13" s="7">
        <f>$B13 * IFERROR(VLOOKUP("electricity|PM25|Non-fatal heart attacks", US_national_yearly!$D:$AM, 28, FALSE) / VLOOKUP("electricity|PM25|Non-fatal heart attacks", US_national_yearly!$D:$AM, 10, FALSE), 1)</f>
        <v>9.9844616131404013E-3</v>
      </c>
      <c r="U13" s="7">
        <f>$B13 * IFERROR(VLOOKUP("electricity|PM25|Non-fatal heart attacks", US_national_yearly!$D:$AM, 29, FALSE) / VLOOKUP("electricity|PM25|Non-fatal heart attacks", US_national_yearly!$D:$AM, 10, FALSE), 1)</f>
        <v>1.0042780878740691E-2</v>
      </c>
      <c r="V13" s="7">
        <f>$B13 * IFERROR(VLOOKUP("electricity|PM25|Non-fatal heart attacks", US_national_yearly!$D:$AM, 30, FALSE) / VLOOKUP("electricity|PM25|Non-fatal heart attacks", US_national_yearly!$D:$AM, 10, FALSE), 1)</f>
        <v>1.0101100144340982E-2</v>
      </c>
      <c r="W13" s="7">
        <f>$B13 * IFERROR(VLOOKUP("electricity|PM25|Non-fatal heart attacks", US_national_yearly!$D:$AM, 31, FALSE) / VLOOKUP("electricity|PM25|Non-fatal heart attacks", US_national_yearly!$D:$AM, 10, FALSE), 1)</f>
        <v>1.0159419409941275E-2</v>
      </c>
      <c r="X13" s="7">
        <f>$B13 * IFERROR(VLOOKUP("electricity|PM25|Non-fatal heart attacks", US_national_yearly!$D:$AM, 32, FALSE) / VLOOKUP("electricity|PM25|Non-fatal heart attacks", US_national_yearly!$D:$AM, 10, FALSE), 1)</f>
        <v>1.0205043492023601E-2</v>
      </c>
      <c r="Y13" s="7">
        <f>$B13 * IFERROR(VLOOKUP("electricity|PM25|Non-fatal heart attacks", US_national_yearly!$D:$AM, 33, FALSE) / VLOOKUP("electricity|PM25|Non-fatal heart attacks", US_national_yearly!$D:$AM, 10, FALSE), 1)</f>
        <v>1.0250667574105929E-2</v>
      </c>
      <c r="Z13" s="7">
        <f>$B13 * IFERROR(VLOOKUP("electricity|PM25|Non-fatal heart attacks", US_national_yearly!$D:$AM, 34, FALSE) / VLOOKUP("electricity|PM25|Non-fatal heart attacks", US_national_yearly!$D:$AM, 10, FALSE), 1)</f>
        <v>1.0296291656188256E-2</v>
      </c>
      <c r="AA13" s="7">
        <f>$B13 * IFERROR(VLOOKUP("electricity|PM25|Non-fatal heart attacks", US_national_yearly!$D:$AM, 35, FALSE) / VLOOKUP("electricity|PM25|Non-fatal heart attacks", US_national_yearly!$D:$AM, 10, FALSE), 1)</f>
        <v>1.0341915738270585E-2</v>
      </c>
      <c r="AB13" s="7">
        <f>$B13 * IFERROR(VLOOKUP("electricity|PM25|Non-fatal heart attacks", US_national_yearly!$D:$AM, 36, FALSE) / VLOOKUP("electricity|PM25|Non-fatal heart attacks", US_national_yearly!$D:$AM, 10, FALSE), 1)</f>
        <v>1.0387539820352912E-2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4.7340793164733403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4.7445886543424463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4.755097992211553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4.7656073300806598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4.7761166679497666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4.7917113075901225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4.8073059472304784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4.8348418343689952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4.8623777215075137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4.8899136086460304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4.917449495784548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4.9449853829230657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4.9831855998420531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5.0213858167610415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5.0595860336800307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5.097786250599019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5.1359864675180074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5.1745161806777284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5.2130458938374487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5.2515756069971689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5.2901053201568899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5.328635033316611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5.3616630398021687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5.3946910462877291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5.4277190527732886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5.4607470592588463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5.4937750657444067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0.79732367736702681</v>
      </c>
      <c r="C15" s="7">
        <f>$B15 * IFERROR(VLOOKUP("electricity|PM25|Work loss days", US_national_yearly!$D:$AM, 11, FALSE) / VLOOKUP("electricity|PM25|Work loss days", US_national_yearly!$D:$AM, 10, FALSE), 1)</f>
        <v>0.79960526515901087</v>
      </c>
      <c r="D15" s="7">
        <f>$B15 * IFERROR(VLOOKUP("electricity|PM25|Work loss days", US_national_yearly!$D:$AM, 12, FALSE) / VLOOKUP("electricity|PM25|Work loss days", US_national_yearly!$D:$AM, 10, FALSE), 1)</f>
        <v>0.80188685295099504</v>
      </c>
      <c r="E15" s="7">
        <f>$B15 * IFERROR(VLOOKUP("electricity|PM25|Work loss days", US_national_yearly!$D:$AM, 13, FALSE) / VLOOKUP("electricity|PM25|Work loss days", US_national_yearly!$D:$AM, 10, FALSE), 1)</f>
        <v>0.80416844074297911</v>
      </c>
      <c r="F15" s="7">
        <f>$B15 * IFERROR(VLOOKUP("electricity|PM25|Work loss days", US_national_yearly!$D:$AM, 14, FALSE) / VLOOKUP("electricity|PM25|Work loss days", US_national_yearly!$D:$AM, 10, FALSE), 1)</f>
        <v>0.80645002853496317</v>
      </c>
      <c r="G15" s="7">
        <f>$B15 * IFERROR(VLOOKUP("electricity|PM25|Work loss days", US_national_yearly!$D:$AM, 15, FALSE) / VLOOKUP("electricity|PM25|Work loss days", US_national_yearly!$D:$AM, 10, FALSE), 1)</f>
        <v>0.80940570839452064</v>
      </c>
      <c r="H15" s="7">
        <f>$B15 * IFERROR(VLOOKUP("electricity|PM25|Work loss days", US_national_yearly!$D:$AM, 16, FALSE) / VLOOKUP("electricity|PM25|Work loss days", US_national_yearly!$D:$AM, 10, FALSE), 1)</f>
        <v>0.81236138825407822</v>
      </c>
      <c r="I15" s="7">
        <f>$B15 * IFERROR(VLOOKUP("electricity|PM25|Work loss days", US_national_yearly!$D:$AM, 17, FALSE) / VLOOKUP("electricity|PM25|Work loss days", US_national_yearly!$D:$AM, 10, FALSE), 1)</f>
        <v>0.81680474821362248</v>
      </c>
      <c r="J15" s="7">
        <f>$B15 * IFERROR(VLOOKUP("electricity|PM25|Work loss days", US_national_yearly!$D:$AM, 18, FALSE) / VLOOKUP("electricity|PM25|Work loss days", US_national_yearly!$D:$AM, 10, FALSE), 1)</f>
        <v>0.82124810817316651</v>
      </c>
      <c r="K15" s="7">
        <f>$B15 * IFERROR(VLOOKUP("electricity|PM25|Work loss days", US_national_yearly!$D:$AM, 19, FALSE) / VLOOKUP("electricity|PM25|Work loss days", US_national_yearly!$D:$AM, 10, FALSE), 1)</f>
        <v>0.82569146813271077</v>
      </c>
      <c r="L15" s="7">
        <f>$B15 * IFERROR(VLOOKUP("electricity|PM25|Work loss days", US_national_yearly!$D:$AM, 20, FALSE) / VLOOKUP("electricity|PM25|Work loss days", US_national_yearly!$D:$AM, 10, FALSE), 1)</f>
        <v>0.83013482809225503</v>
      </c>
      <c r="M15" s="7">
        <f>$B15 * IFERROR(VLOOKUP("electricity|PM25|Work loss days", US_national_yearly!$D:$AM, 21, FALSE) / VLOOKUP("electricity|PM25|Work loss days", US_national_yearly!$D:$AM, 10, FALSE), 1)</f>
        <v>0.83457818805179929</v>
      </c>
      <c r="N15" s="7">
        <f>$B15 * IFERROR(VLOOKUP("electricity|PM25|Work loss days", US_national_yearly!$D:$AM, 22, FALSE) / VLOOKUP("electricity|PM25|Work loss days", US_national_yearly!$D:$AM, 10, FALSE), 1)</f>
        <v>0.84031487422861995</v>
      </c>
      <c r="O15" s="7">
        <f>$B15 * IFERROR(VLOOKUP("electricity|PM25|Work loss days", US_national_yearly!$D:$AM, 23, FALSE) / VLOOKUP("electricity|PM25|Work loss days", US_national_yearly!$D:$AM, 10, FALSE), 1)</f>
        <v>0.84605156040544072</v>
      </c>
      <c r="P15" s="7">
        <f>$B15 * IFERROR(VLOOKUP("electricity|PM25|Work loss days", US_national_yearly!$D:$AM, 24, FALSE) / VLOOKUP("electricity|PM25|Work loss days", US_national_yearly!$D:$AM, 10, FALSE), 1)</f>
        <v>0.85178824658226127</v>
      </c>
      <c r="Q15" s="7">
        <f>$B15 * IFERROR(VLOOKUP("electricity|PM25|Work loss days", US_national_yearly!$D:$AM, 25, FALSE) / VLOOKUP("electricity|PM25|Work loss days", US_national_yearly!$D:$AM, 10, FALSE), 1)</f>
        <v>0.85752493275908181</v>
      </c>
      <c r="R15" s="7">
        <f>$B15 * IFERROR(VLOOKUP("electricity|PM25|Work loss days", US_national_yearly!$D:$AM, 26, FALSE) / VLOOKUP("electricity|PM25|Work loss days", US_national_yearly!$D:$AM, 10, FALSE), 1)</f>
        <v>0.86326161893590259</v>
      </c>
      <c r="S15" s="7">
        <f>$B15 * IFERROR(VLOOKUP("electricity|PM25|Work loss days", US_national_yearly!$D:$AM, 27, FALSE) / VLOOKUP("electricity|PM25|Work loss days", US_national_yearly!$D:$AM, 10, FALSE), 1)</f>
        <v>0.86962731488198119</v>
      </c>
      <c r="T15" s="7">
        <f>$B15 * IFERROR(VLOOKUP("electricity|PM25|Work loss days", US_national_yearly!$D:$AM, 28, FALSE) / VLOOKUP("electricity|PM25|Work loss days", US_national_yearly!$D:$AM, 10, FALSE), 1)</f>
        <v>0.87599301082806003</v>
      </c>
      <c r="U15" s="7">
        <f>$B15 * IFERROR(VLOOKUP("electricity|PM25|Work loss days", US_national_yearly!$D:$AM, 29, FALSE) / VLOOKUP("electricity|PM25|Work loss days", US_national_yearly!$D:$AM, 10, FALSE), 1)</f>
        <v>0.88235870677413897</v>
      </c>
      <c r="V15" s="7">
        <f>$B15 * IFERROR(VLOOKUP("electricity|PM25|Work loss days", US_national_yearly!$D:$AM, 30, FALSE) / VLOOKUP("electricity|PM25|Work loss days", US_national_yearly!$D:$AM, 10, FALSE), 1)</f>
        <v>0.8887244027202178</v>
      </c>
      <c r="W15" s="7">
        <f>$B15 * IFERROR(VLOOKUP("electricity|PM25|Work loss days", US_national_yearly!$D:$AM, 31, FALSE) / VLOOKUP("electricity|PM25|Work loss days", US_national_yearly!$D:$AM, 10, FALSE), 1)</f>
        <v>0.89509009866629641</v>
      </c>
      <c r="X15" s="7">
        <f>$B15 * IFERROR(VLOOKUP("electricity|PM25|Work loss days", US_national_yearly!$D:$AM, 32, FALSE) / VLOOKUP("electricity|PM25|Work loss days", US_national_yearly!$D:$AM, 10, FALSE), 1)</f>
        <v>0.90070568700900522</v>
      </c>
      <c r="Y15" s="7">
        <f>$B15 * IFERROR(VLOOKUP("electricity|PM25|Work loss days", US_national_yearly!$D:$AM, 33, FALSE) / VLOOKUP("electricity|PM25|Work loss days", US_national_yearly!$D:$AM, 10, FALSE), 1)</f>
        <v>0.9063212753517137</v>
      </c>
      <c r="Z15" s="7">
        <f>$B15 * IFERROR(VLOOKUP("electricity|PM25|Work loss days", US_national_yearly!$D:$AM, 34, FALSE) / VLOOKUP("electricity|PM25|Work loss days", US_national_yearly!$D:$AM, 10, FALSE), 1)</f>
        <v>0.91193686369442239</v>
      </c>
      <c r="AA15" s="7">
        <f>$B15 * IFERROR(VLOOKUP("electricity|PM25|Work loss days", US_national_yearly!$D:$AM, 35, FALSE) / VLOOKUP("electricity|PM25|Work loss days", US_national_yearly!$D:$AM, 10, FALSE), 1)</f>
        <v>0.91755245203713121</v>
      </c>
      <c r="AB15" s="7">
        <f>$B15 * IFERROR(VLOOKUP("electricity|PM25|Work loss days", US_national_yearly!$D:$AM, 36, FALSE) / VLOOKUP("electricity|PM25|Work loss days", US_national_yearly!$D:$AM, 10, FALSE), 1)</f>
        <v>0.92316804037983979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1.98705906781599E-3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2.0460248651608072E-3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2.1049906625056247E-3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2.1639564598504419E-3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2.2229222571952595E-3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2.2797946772552592E-3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2.3366670973152589E-3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2.3859345075597695E-3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2.4352019178042802E-3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2.4844693280487908E-3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2.5337367382933015E-3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2.5830041485378117E-3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2.6161228309473732E-3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2.6492415133569339E-3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2.682360195766495E-3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2.7154788781760561E-3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2.7485975605856172E-3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2.7668758056148442E-3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2.7851540506440699E-3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2.8034322956732968E-3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2.8217105407025234E-3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2.83998878573175E-3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2.8527406793300565E-3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2.8654925729283622E-3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2.8782444665266687E-3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2.8909963601249757E-3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2.9037482537232822E-3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4.2371712042948615E-4</v>
      </c>
      <c r="C2" s="7">
        <f>$B2 * IFERROR(VLOOKUP("electricity|NOx|Premature mortality", US_national_yearly!$D:$AM, 11, FALSE) / VLOOKUP("electricity|NOx|Premature mortality", US_national_yearly!$D:$AM, 10, FALSE), 1)</f>
        <v>4.3012822897430208E-4</v>
      </c>
      <c r="D2" s="7">
        <f>$B2 * IFERROR(VLOOKUP("electricity|NOx|Premature mortality", US_national_yearly!$D:$AM, 12, FALSE) / VLOOKUP("electricity|NOx|Premature mortality", US_national_yearly!$D:$AM, 10, FALSE), 1)</f>
        <v>4.3653933751911813E-4</v>
      </c>
      <c r="E2" s="7">
        <f>$B2 * IFERROR(VLOOKUP("electricity|NOx|Premature mortality", US_national_yearly!$D:$AM, 13, FALSE) / VLOOKUP("electricity|NOx|Premature mortality", US_national_yearly!$D:$AM, 10, FALSE), 1)</f>
        <v>4.4295044606393401E-4</v>
      </c>
      <c r="F2" s="7">
        <f>$B2 * IFERROR(VLOOKUP("electricity|NOx|Premature mortality", US_national_yearly!$D:$AM, 14, FALSE) / VLOOKUP("electricity|NOx|Premature mortality", US_national_yearly!$D:$AM, 10, FALSE), 1)</f>
        <v>4.4936155460874994E-4</v>
      </c>
      <c r="G2" s="7">
        <f>$B2 * IFERROR(VLOOKUP("electricity|NOx|Premature mortality", US_national_yearly!$D:$AM, 15, FALSE) / VLOOKUP("electricity|NOx|Premature mortality", US_national_yearly!$D:$AM, 10, FALSE), 1)</f>
        <v>4.6081415562616564E-4</v>
      </c>
      <c r="H2" s="7">
        <f>$B2 * IFERROR(VLOOKUP("electricity|NOx|Premature mortality", US_national_yearly!$D:$AM, 16, FALSE) / VLOOKUP("electricity|NOx|Premature mortality", US_national_yearly!$D:$AM, 10, FALSE), 1)</f>
        <v>4.7226675664358117E-4</v>
      </c>
      <c r="I2" s="7">
        <f>$B2 * IFERROR(VLOOKUP("electricity|NOx|Premature mortality", US_national_yearly!$D:$AM, 17, FALSE) / VLOOKUP("electricity|NOx|Premature mortality", US_national_yearly!$D:$AM, 10, FALSE), 1)</f>
        <v>4.7987748043297782E-4</v>
      </c>
      <c r="J2" s="7">
        <f>$B2 * IFERROR(VLOOKUP("electricity|NOx|Premature mortality", US_national_yearly!$D:$AM, 18, FALSE) / VLOOKUP("electricity|NOx|Premature mortality", US_national_yearly!$D:$AM, 10, FALSE), 1)</f>
        <v>4.8748820422237464E-4</v>
      </c>
      <c r="K2" s="7">
        <f>$B2 * IFERROR(VLOOKUP("electricity|NOx|Premature mortality", US_national_yearly!$D:$AM, 19, FALSE) / VLOOKUP("electricity|NOx|Premature mortality", US_national_yearly!$D:$AM, 10, FALSE), 1)</f>
        <v>4.9509892801177129E-4</v>
      </c>
      <c r="L2" s="7">
        <f>$B2 * IFERROR(VLOOKUP("electricity|NOx|Premature mortality", US_national_yearly!$D:$AM, 20, FALSE) / VLOOKUP("electricity|NOx|Premature mortality", US_national_yearly!$D:$AM, 10, FALSE), 1)</f>
        <v>5.02709651801168E-4</v>
      </c>
      <c r="M2" s="7">
        <f>$B2 * IFERROR(VLOOKUP("electricity|NOx|Premature mortality", US_national_yearly!$D:$AM, 21, FALSE) / VLOOKUP("electricity|NOx|Premature mortality", US_national_yearly!$D:$AM, 10, FALSE), 1)</f>
        <v>5.1032037559056471E-4</v>
      </c>
      <c r="N2" s="7">
        <f>$B2 * IFERROR(VLOOKUP("electricity|NOx|Premature mortality", US_national_yearly!$D:$AM, 22, FALSE) / VLOOKUP("electricity|NOx|Premature mortality", US_national_yearly!$D:$AM, 10, FALSE), 1)</f>
        <v>5.1619292883093985E-4</v>
      </c>
      <c r="O2" s="7">
        <f>$B2 * IFERROR(VLOOKUP("electricity|NOx|Premature mortality", US_national_yearly!$D:$AM, 23, FALSE) / VLOOKUP("electricity|NOx|Premature mortality", US_national_yearly!$D:$AM, 10, FALSE), 1)</f>
        <v>5.2206548207131521E-4</v>
      </c>
      <c r="P2" s="7">
        <f>$B2 * IFERROR(VLOOKUP("electricity|NOx|Premature mortality", US_national_yearly!$D:$AM, 24, FALSE) / VLOOKUP("electricity|NOx|Premature mortality", US_national_yearly!$D:$AM, 10, FALSE), 1)</f>
        <v>5.2793803531169035E-4</v>
      </c>
      <c r="Q2" s="7">
        <f>$B2 * IFERROR(VLOOKUP("electricity|NOx|Premature mortality", US_national_yearly!$D:$AM, 25, FALSE) / VLOOKUP("electricity|NOx|Premature mortality", US_national_yearly!$D:$AM, 10, FALSE), 1)</f>
        <v>5.3381058855206571E-4</v>
      </c>
      <c r="R2" s="7">
        <f>$B2 * IFERROR(VLOOKUP("electricity|NOx|Premature mortality", US_national_yearly!$D:$AM, 26, FALSE) / VLOOKUP("electricity|NOx|Premature mortality", US_national_yearly!$D:$AM, 10, FALSE), 1)</f>
        <v>5.3968314179244086E-4</v>
      </c>
      <c r="S2" s="7">
        <f>$B2 * IFERROR(VLOOKUP("electricity|NOx|Premature mortality", US_national_yearly!$D:$AM, 27, FALSE) / VLOOKUP("electricity|NOx|Premature mortality", US_national_yearly!$D:$AM, 10, FALSE), 1)</f>
        <v>5.4271773593968914E-4</v>
      </c>
      <c r="T2" s="7">
        <f>$B2 * IFERROR(VLOOKUP("electricity|NOx|Premature mortality", US_national_yearly!$D:$AM, 28, FALSE) / VLOOKUP("electricity|NOx|Premature mortality", US_national_yearly!$D:$AM, 10, FALSE), 1)</f>
        <v>5.4575233008693743E-4</v>
      </c>
      <c r="U2" s="7">
        <f>$B2 * IFERROR(VLOOKUP("electricity|NOx|Premature mortality", US_national_yearly!$D:$AM, 29, FALSE) / VLOOKUP("electricity|NOx|Premature mortality", US_national_yearly!$D:$AM, 10, FALSE), 1)</f>
        <v>5.4878692423418582E-4</v>
      </c>
      <c r="V2" s="7">
        <f>$B2 * IFERROR(VLOOKUP("electricity|NOx|Premature mortality", US_national_yearly!$D:$AM, 30, FALSE) / VLOOKUP("electricity|NOx|Premature mortality", US_national_yearly!$D:$AM, 10, FALSE), 1)</f>
        <v>5.5182151838143411E-4</v>
      </c>
      <c r="W2" s="7">
        <f>$B2 * IFERROR(VLOOKUP("electricity|NOx|Premature mortality", US_national_yearly!$D:$AM, 31, FALSE) / VLOOKUP("electricity|NOx|Premature mortality", US_national_yearly!$D:$AM, 10, FALSE), 1)</f>
        <v>5.5485611252868239E-4</v>
      </c>
      <c r="X2" s="7">
        <f>$B2 * IFERROR(VLOOKUP("electricity|NOx|Premature mortality", US_national_yearly!$D:$AM, 32, FALSE) / VLOOKUP("electricity|NOx|Premature mortality", US_national_yearly!$D:$AM, 10, FALSE), 1)</f>
        <v>5.5554263199827404E-4</v>
      </c>
      <c r="Y2" s="7">
        <f>$B2 * IFERROR(VLOOKUP("electricity|NOx|Premature mortality", US_national_yearly!$D:$AM, 33, FALSE) / VLOOKUP("electricity|NOx|Premature mortality", US_national_yearly!$D:$AM, 10, FALSE), 1)</f>
        <v>5.5622915146786558E-4</v>
      </c>
      <c r="Z2" s="7">
        <f>$B2 * IFERROR(VLOOKUP("electricity|NOx|Premature mortality", US_national_yearly!$D:$AM, 34, FALSE) / VLOOKUP("electricity|NOx|Premature mortality", US_national_yearly!$D:$AM, 10, FALSE), 1)</f>
        <v>5.5691567093745723E-4</v>
      </c>
      <c r="AA2" s="7">
        <f>$B2 * IFERROR(VLOOKUP("electricity|NOx|Premature mortality", US_national_yearly!$D:$AM, 35, FALSE) / VLOOKUP("electricity|NOx|Premature mortality", US_national_yearly!$D:$AM, 10, FALSE), 1)</f>
        <v>5.5760219040704878E-4</v>
      </c>
      <c r="AB2" s="7">
        <f>$B2 * IFERROR(VLOOKUP("electricity|NOx|Premature mortality", US_national_yearly!$D:$AM, 36, FALSE) / VLOOKUP("electricity|NOx|Premature mortality", US_national_yearly!$D:$AM, 10, FALSE), 1)</f>
        <v>5.5828870987664043E-4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7.5399895251448221E-7</v>
      </c>
      <c r="C3" s="7">
        <f>$B3 * IFERROR(VLOOKUP("electricity|NOx|Infant mortality", US_national_yearly!$D:$AM, 11, FALSE) / VLOOKUP("electricity|NOx|Infant mortality", US_national_yearly!$D:$AM, 10, FALSE), 1)</f>
        <v>7.4694486151527343E-7</v>
      </c>
      <c r="D3" s="7">
        <f>$B3 * IFERROR(VLOOKUP("electricity|NOx|Infant mortality", US_national_yearly!$D:$AM, 12, FALSE) / VLOOKUP("electricity|NOx|Infant mortality", US_national_yearly!$D:$AM, 10, FALSE), 1)</f>
        <v>7.3989077051606454E-7</v>
      </c>
      <c r="E3" s="7">
        <f>$B3 * IFERROR(VLOOKUP("electricity|NOx|Infant mortality", US_national_yearly!$D:$AM, 13, FALSE) / VLOOKUP("electricity|NOx|Infant mortality", US_national_yearly!$D:$AM, 10, FALSE), 1)</f>
        <v>7.3283667951685576E-7</v>
      </c>
      <c r="F3" s="7">
        <f>$B3 * IFERROR(VLOOKUP("electricity|NOx|Infant mortality", US_national_yearly!$D:$AM, 14, FALSE) / VLOOKUP("electricity|NOx|Infant mortality", US_national_yearly!$D:$AM, 10, FALSE), 1)</f>
        <v>7.2578258851764676E-7</v>
      </c>
      <c r="G3" s="7">
        <f>$B3 * IFERROR(VLOOKUP("electricity|NOx|Infant mortality", US_national_yearly!$D:$AM, 15, FALSE) / VLOOKUP("electricity|NOx|Infant mortality", US_national_yearly!$D:$AM, 10, FALSE), 1)</f>
        <v>4.8086692278581226E-7</v>
      </c>
      <c r="H3" s="7">
        <f>$B3 * IFERROR(VLOOKUP("electricity|NOx|Infant mortality", US_national_yearly!$D:$AM, 16, FALSE) / VLOOKUP("electricity|NOx|Infant mortality", US_national_yearly!$D:$AM, 10, FALSE), 1)</f>
        <v>2.3595125705397776E-7</v>
      </c>
      <c r="I3" s="7">
        <f>$B3 * IFERROR(VLOOKUP("electricity|NOx|Infant mortality", US_national_yearly!$D:$AM, 17, FALSE) / VLOOKUP("electricity|NOx|Infant mortality", US_national_yearly!$D:$AM, 10, FALSE), 1)</f>
        <v>2.3423529057518458E-7</v>
      </c>
      <c r="J3" s="7">
        <f>$B3 * IFERROR(VLOOKUP("electricity|NOx|Infant mortality", US_national_yearly!$D:$AM, 18, FALSE) / VLOOKUP("electricity|NOx|Infant mortality", US_national_yearly!$D:$AM, 10, FALSE), 1)</f>
        <v>2.325193240963914E-7</v>
      </c>
      <c r="K3" s="7">
        <f>$B3 * IFERROR(VLOOKUP("electricity|NOx|Infant mortality", US_national_yearly!$D:$AM, 19, FALSE) / VLOOKUP("electricity|NOx|Infant mortality", US_national_yearly!$D:$AM, 10, FALSE), 1)</f>
        <v>2.3080335761759822E-7</v>
      </c>
      <c r="L3" s="7">
        <f>$B3 * IFERROR(VLOOKUP("electricity|NOx|Infant mortality", US_national_yearly!$D:$AM, 20, FALSE) / VLOOKUP("electricity|NOx|Infant mortality", US_national_yearly!$D:$AM, 10, FALSE), 1)</f>
        <v>2.2908739113880504E-7</v>
      </c>
      <c r="M3" s="7">
        <f>$B3 * IFERROR(VLOOKUP("electricity|NOx|Infant mortality", US_national_yearly!$D:$AM, 21, FALSE) / VLOOKUP("electricity|NOx|Infant mortality", US_national_yearly!$D:$AM, 10, FALSE), 1)</f>
        <v>2.2737142466001184E-7</v>
      </c>
      <c r="N3" s="7">
        <f>$B3 * IFERROR(VLOOKUP("electricity|NOx|Infant mortality", US_national_yearly!$D:$AM, 22, FALSE) / VLOOKUP("electricity|NOx|Infant mortality", US_national_yearly!$D:$AM, 10, FALSE), 1)</f>
        <v>2.2621914084301221E-7</v>
      </c>
      <c r="O3" s="7">
        <f>$B3 * IFERROR(VLOOKUP("electricity|NOx|Infant mortality", US_national_yearly!$D:$AM, 23, FALSE) / VLOOKUP("electricity|NOx|Infant mortality", US_national_yearly!$D:$AM, 10, FALSE), 1)</f>
        <v>2.2506685702601254E-7</v>
      </c>
      <c r="P3" s="7">
        <f>$B3 * IFERROR(VLOOKUP("electricity|NOx|Infant mortality", US_national_yearly!$D:$AM, 24, FALSE) / VLOOKUP("electricity|NOx|Infant mortality", US_national_yearly!$D:$AM, 10, FALSE), 1)</f>
        <v>2.2391457320901286E-7</v>
      </c>
      <c r="Q3" s="7">
        <f>$B3 * IFERROR(VLOOKUP("electricity|NOx|Infant mortality", US_national_yearly!$D:$AM, 25, FALSE) / VLOOKUP("electricity|NOx|Infant mortality", US_national_yearly!$D:$AM, 10, FALSE), 1)</f>
        <v>2.2276228939201318E-7</v>
      </c>
      <c r="R3" s="7">
        <f>$B3 * IFERROR(VLOOKUP("electricity|NOx|Infant mortality", US_national_yearly!$D:$AM, 26, FALSE) / VLOOKUP("electricity|NOx|Infant mortality", US_national_yearly!$D:$AM, 10, FALSE), 1)</f>
        <v>2.2161000557501356E-7</v>
      </c>
      <c r="S3" s="7">
        <f>$B3 * IFERROR(VLOOKUP("electricity|NOx|Infant mortality", US_national_yearly!$D:$AM, 27, FALSE) / VLOOKUP("electricity|NOx|Infant mortality", US_national_yearly!$D:$AM, 10, FALSE), 1)</f>
        <v>2.2024204402037799E-7</v>
      </c>
      <c r="T3" s="7">
        <f>$B3 * IFERROR(VLOOKUP("electricity|NOx|Infant mortality", US_national_yearly!$D:$AM, 28, FALSE) / VLOOKUP("electricity|NOx|Infant mortality", US_national_yearly!$D:$AM, 10, FALSE), 1)</f>
        <v>2.1887408246574243E-7</v>
      </c>
      <c r="U3" s="7">
        <f>$B3 * IFERROR(VLOOKUP("electricity|NOx|Infant mortality", US_national_yearly!$D:$AM, 29, FALSE) / VLOOKUP("electricity|NOx|Infant mortality", US_national_yearly!$D:$AM, 10, FALSE), 1)</f>
        <v>2.1750612091110691E-7</v>
      </c>
      <c r="V3" s="7">
        <f>$B3 * IFERROR(VLOOKUP("electricity|NOx|Infant mortality", US_national_yearly!$D:$AM, 30, FALSE) / VLOOKUP("electricity|NOx|Infant mortality", US_national_yearly!$D:$AM, 10, FALSE), 1)</f>
        <v>2.1613815935647137E-7</v>
      </c>
      <c r="W3" s="7">
        <f>$B3 * IFERROR(VLOOKUP("electricity|NOx|Infant mortality", US_national_yearly!$D:$AM, 31, FALSE) / VLOOKUP("electricity|NOx|Infant mortality", US_national_yearly!$D:$AM, 10, FALSE), 1)</f>
        <v>2.1477019780183584E-7</v>
      </c>
      <c r="X3" s="7">
        <f>$B3 * IFERROR(VLOOKUP("electricity|NOx|Infant mortality", US_national_yearly!$D:$AM, 32, FALSE) / VLOOKUP("electricity|NOx|Infant mortality", US_national_yearly!$D:$AM, 10, FALSE), 1)</f>
        <v>2.1336164284698234E-7</v>
      </c>
      <c r="Y3" s="7">
        <f>$B3 * IFERROR(VLOOKUP("electricity|NOx|Infant mortality", US_national_yearly!$D:$AM, 33, FALSE) / VLOOKUP("electricity|NOx|Infant mortality", US_national_yearly!$D:$AM, 10, FALSE), 1)</f>
        <v>2.1195308789212884E-7</v>
      </c>
      <c r="Z3" s="7">
        <f>$B3 * IFERROR(VLOOKUP("electricity|NOx|Infant mortality", US_national_yearly!$D:$AM, 34, FALSE) / VLOOKUP("electricity|NOx|Infant mortality", US_national_yearly!$D:$AM, 10, FALSE), 1)</f>
        <v>2.1054453293727534E-7</v>
      </c>
      <c r="AA3" s="7">
        <f>$B3 * IFERROR(VLOOKUP("electricity|NOx|Infant mortality", US_national_yearly!$D:$AM, 35, FALSE) / VLOOKUP("electricity|NOx|Infant mortality", US_national_yearly!$D:$AM, 10, FALSE), 1)</f>
        <v>2.0913597798242184E-7</v>
      </c>
      <c r="AB3" s="7">
        <f>$B3 * IFERROR(VLOOKUP("electricity|NOx|Infant mortality", US_national_yearly!$D:$AM, 36, FALSE) / VLOOKUP("electricity|NOx|Infant mortality", US_national_yearly!$D:$AM, 10, FALSE), 1)</f>
        <v>2.0772742302756832E-7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7.9345462617048999E-4</v>
      </c>
      <c r="C6" s="7">
        <f>$B6 * IFERROR(VLOOKUP("electricity|NOx|Asthma symptoms cough", US_national_yearly!$D:$AM, 11, FALSE) / VLOOKUP("electricity|NOx|Asthma symptoms cough", US_national_yearly!$D:$AM, 10, FALSE), 1)</f>
        <v>8.0434775125108745E-4</v>
      </c>
      <c r="D6" s="7">
        <f>$B6 * IFERROR(VLOOKUP("electricity|NOx|Asthma symptoms cough", US_national_yearly!$D:$AM, 12, FALSE) / VLOOKUP("electricity|NOx|Asthma symptoms cough", US_national_yearly!$D:$AM, 10, FALSE), 1)</f>
        <v>8.1524087633168512E-4</v>
      </c>
      <c r="E6" s="7">
        <f>$B6 * IFERROR(VLOOKUP("electricity|NOx|Asthma symptoms cough", US_national_yearly!$D:$AM, 13, FALSE) / VLOOKUP("electricity|NOx|Asthma symptoms cough", US_national_yearly!$D:$AM, 10, FALSE), 1)</f>
        <v>8.2613400141228258E-4</v>
      </c>
      <c r="F6" s="7">
        <f>$B6 * IFERROR(VLOOKUP("electricity|NOx|Asthma symptoms cough", US_national_yearly!$D:$AM, 14, FALSE) / VLOOKUP("electricity|NOx|Asthma symptoms cough", US_national_yearly!$D:$AM, 10, FALSE), 1)</f>
        <v>8.3702712649288003E-4</v>
      </c>
      <c r="G6" s="7">
        <f>$B6 * IFERROR(VLOOKUP("electricity|NOx|Asthma symptoms cough", US_national_yearly!$D:$AM, 15, FALSE) / VLOOKUP("electricity|NOx|Asthma symptoms cough", US_national_yearly!$D:$AM, 10, FALSE), 1)</f>
        <v>8.4588381476130429E-4</v>
      </c>
      <c r="H6" s="7">
        <f>$B6 * IFERROR(VLOOKUP("electricity|NOx|Asthma symptoms cough", US_national_yearly!$D:$AM, 16, FALSE) / VLOOKUP("electricity|NOx|Asthma symptoms cough", US_national_yearly!$D:$AM, 10, FALSE), 1)</f>
        <v>8.5474050302972854E-4</v>
      </c>
      <c r="I6" s="7">
        <f>$B6 * IFERROR(VLOOKUP("electricity|NOx|Asthma symptoms cough", US_national_yearly!$D:$AM, 17, FALSE) / VLOOKUP("electricity|NOx|Asthma symptoms cough", US_national_yearly!$D:$AM, 10, FALSE), 1)</f>
        <v>8.5803287098959306E-4</v>
      </c>
      <c r="J6" s="7">
        <f>$B6 * IFERROR(VLOOKUP("electricity|NOx|Asthma symptoms cough", US_national_yearly!$D:$AM, 18, FALSE) / VLOOKUP("electricity|NOx|Asthma symptoms cough", US_national_yearly!$D:$AM, 10, FALSE), 1)</f>
        <v>8.6132523894945747E-4</v>
      </c>
      <c r="K6" s="7">
        <f>$B6 * IFERROR(VLOOKUP("electricity|NOx|Asthma symptoms cough", US_national_yearly!$D:$AM, 19, FALSE) / VLOOKUP("electricity|NOx|Asthma symptoms cough", US_national_yearly!$D:$AM, 10, FALSE), 1)</f>
        <v>8.646176069093222E-4</v>
      </c>
      <c r="L6" s="7">
        <f>$B6 * IFERROR(VLOOKUP("electricity|NOx|Asthma symptoms cough", US_national_yearly!$D:$AM, 20, FALSE) / VLOOKUP("electricity|NOx|Asthma symptoms cough", US_national_yearly!$D:$AM, 10, FALSE), 1)</f>
        <v>8.6790997486918661E-4</v>
      </c>
      <c r="M6" s="7">
        <f>$B6 * IFERROR(VLOOKUP("electricity|NOx|Asthma symptoms cough", US_national_yearly!$D:$AM, 21, FALSE) / VLOOKUP("electricity|NOx|Asthma symptoms cough", US_national_yearly!$D:$AM, 10, FALSE), 1)</f>
        <v>8.7120234282905124E-4</v>
      </c>
      <c r="N6" s="7">
        <f>$B6 * IFERROR(VLOOKUP("electricity|NOx|Asthma symptoms cough", US_national_yearly!$D:$AM, 22, FALSE) / VLOOKUP("electricity|NOx|Asthma symptoms cough", US_national_yearly!$D:$AM, 10, FALSE), 1)</f>
        <v>8.7485025910471472E-4</v>
      </c>
      <c r="O6" s="7">
        <f>$B6 * IFERROR(VLOOKUP("electricity|NOx|Asthma symptoms cough", US_national_yearly!$D:$AM, 23, FALSE) / VLOOKUP("electricity|NOx|Asthma symptoms cough", US_national_yearly!$D:$AM, 10, FALSE), 1)</f>
        <v>8.7849817538037842E-4</v>
      </c>
      <c r="P6" s="7">
        <f>$B6 * IFERROR(VLOOKUP("electricity|NOx|Asthma symptoms cough", US_national_yearly!$D:$AM, 24, FALSE) / VLOOKUP("electricity|NOx|Asthma symptoms cough", US_national_yearly!$D:$AM, 10, FALSE), 1)</f>
        <v>8.8214609165604191E-4</v>
      </c>
      <c r="Q6" s="7">
        <f>$B6 * IFERROR(VLOOKUP("electricity|NOx|Asthma symptoms cough", US_national_yearly!$D:$AM, 25, FALSE) / VLOOKUP("electricity|NOx|Asthma symptoms cough", US_national_yearly!$D:$AM, 10, FALSE), 1)</f>
        <v>8.8579400793170561E-4</v>
      </c>
      <c r="R6" s="7">
        <f>$B6 * IFERROR(VLOOKUP("electricity|NOx|Asthma symptoms cough", US_national_yearly!$D:$AM, 26, FALSE) / VLOOKUP("electricity|NOx|Asthma symptoms cough", US_national_yearly!$D:$AM, 10, FALSE), 1)</f>
        <v>8.8944192420736909E-4</v>
      </c>
      <c r="S6" s="7">
        <f>$B6 * IFERROR(VLOOKUP("electricity|NOx|Asthma symptoms cough", US_national_yearly!$D:$AM, 27, FALSE) / VLOOKUP("electricity|NOx|Asthma symptoms cough", US_national_yearly!$D:$AM, 10, FALSE), 1)</f>
        <v>8.9399303569020713E-4</v>
      </c>
      <c r="T6" s="7">
        <f>$B6 * IFERROR(VLOOKUP("electricity|NOx|Asthma symptoms cough", US_national_yearly!$D:$AM, 28, FALSE) / VLOOKUP("electricity|NOx|Asthma symptoms cough", US_national_yearly!$D:$AM, 10, FALSE), 1)</f>
        <v>8.9854414717304495E-4</v>
      </c>
      <c r="U6" s="7">
        <f>$B6 * IFERROR(VLOOKUP("electricity|NOx|Asthma symptoms cough", US_national_yearly!$D:$AM, 29, FALSE) / VLOOKUP("electricity|NOx|Asthma symptoms cough", US_national_yearly!$D:$AM, 10, FALSE), 1)</f>
        <v>9.0309525865588309E-4</v>
      </c>
      <c r="V6" s="7">
        <f>$B6 * IFERROR(VLOOKUP("electricity|NOx|Asthma symptoms cough", US_national_yearly!$D:$AM, 30, FALSE) / VLOOKUP("electricity|NOx|Asthma symptoms cough", US_national_yearly!$D:$AM, 10, FALSE), 1)</f>
        <v>9.0764637013872091E-4</v>
      </c>
      <c r="W6" s="7">
        <f>$B6 * IFERROR(VLOOKUP("electricity|NOx|Asthma symptoms cough", US_national_yearly!$D:$AM, 31, FALSE) / VLOOKUP("electricity|NOx|Asthma symptoms cough", US_national_yearly!$D:$AM, 10, FALSE), 1)</f>
        <v>9.1219748162155894E-4</v>
      </c>
      <c r="X6" s="7">
        <f>$B6 * IFERROR(VLOOKUP("electricity|NOx|Asthma symptoms cough", US_national_yearly!$D:$AM, 32, FALSE) / VLOOKUP("electricity|NOx|Asthma symptoms cough", US_national_yearly!$D:$AM, 10, FALSE), 1)</f>
        <v>9.1639045101016183E-4</v>
      </c>
      <c r="Y6" s="7">
        <f>$B6 * IFERROR(VLOOKUP("electricity|NOx|Asthma symptoms cough", US_national_yearly!$D:$AM, 33, FALSE) / VLOOKUP("electricity|NOx|Asthma symptoms cough", US_national_yearly!$D:$AM, 10, FALSE), 1)</f>
        <v>9.2058342039876484E-4</v>
      </c>
      <c r="Z6" s="7">
        <f>$B6 * IFERROR(VLOOKUP("electricity|NOx|Asthma symptoms cough", US_national_yearly!$D:$AM, 34, FALSE) / VLOOKUP("electricity|NOx|Asthma symptoms cough", US_national_yearly!$D:$AM, 10, FALSE), 1)</f>
        <v>9.2477638978736795E-4</v>
      </c>
      <c r="AA6" s="7">
        <f>$B6 * IFERROR(VLOOKUP("electricity|NOx|Asthma symptoms cough", US_national_yearly!$D:$AM, 35, FALSE) / VLOOKUP("electricity|NOx|Asthma symptoms cough", US_national_yearly!$D:$AM, 10, FALSE), 1)</f>
        <v>9.2896935917597073E-4</v>
      </c>
      <c r="AB6" s="7">
        <f>$B6 * IFERROR(VLOOKUP("electricity|NOx|Asthma symptoms cough", US_national_yearly!$D:$AM, 36, FALSE) / VLOOKUP("electricity|NOx|Asthma symptoms cough", US_national_yearly!$D:$AM, 10, FALSE), 1)</f>
        <v>9.3316232856457384E-4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1.0685009060140563E-3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1.0831700674409758E-3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1.0978392288678953E-3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1.1125083902948148E-3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1.1271775517217341E-3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1.139104357738436E-3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1.1510311637551378E-3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1.1554648112486385E-3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1.1598984587421388E-3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1.1643321062356396E-3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1.1687657537291399E-3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1.1731994012226404E-3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1.1781118457244312E-3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1.1830242902262219E-3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1.1879367347280125E-3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1.1928491792298035E-3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1.197761623731594E-3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1.2038903506400166E-3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1.2100190775484387E-3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1.216147804456861E-3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1.2222765313652832E-3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1.2284052582737055E-3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1.2340516952813565E-3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1.2396981322890077E-3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1.2453445692966587E-3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1.2509910063043096E-3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1.2566374433119608E-3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1.632491444432321E-3</v>
      </c>
      <c r="C8" s="7">
        <f>$B8 * IFERROR(VLOOKUP("electricity|NOx|Asthma symptoms wheeze", US_national_yearly!$D:$AM, 11, FALSE) / VLOOKUP("electricity|NOx|Asthma symptoms wheeze", US_national_yearly!$D:$AM, 10, FALSE), 1)</f>
        <v>1.6549034802388527E-3</v>
      </c>
      <c r="D8" s="7">
        <f>$B8 * IFERROR(VLOOKUP("electricity|NOx|Asthma symptoms wheeze", US_national_yearly!$D:$AM, 12, FALSE) / VLOOKUP("electricity|NOx|Asthma symptoms wheeze", US_national_yearly!$D:$AM, 10, FALSE), 1)</f>
        <v>1.6773155160453841E-3</v>
      </c>
      <c r="E8" s="7">
        <f>$B8 * IFERROR(VLOOKUP("electricity|NOx|Asthma symptoms wheeze", US_national_yearly!$D:$AM, 13, FALSE) / VLOOKUP("electricity|NOx|Asthma symptoms wheeze", US_national_yearly!$D:$AM, 10, FALSE), 1)</f>
        <v>1.6997275518519158E-3</v>
      </c>
      <c r="F8" s="7">
        <f>$B8 * IFERROR(VLOOKUP("electricity|NOx|Asthma symptoms wheeze", US_national_yearly!$D:$AM, 14, FALSE) / VLOOKUP("electricity|NOx|Asthma symptoms wheeze", US_national_yearly!$D:$AM, 10, FALSE), 1)</f>
        <v>1.7221395876584476E-3</v>
      </c>
      <c r="G8" s="7">
        <f>$B8 * IFERROR(VLOOKUP("electricity|NOx|Asthma symptoms wheeze", US_national_yearly!$D:$AM, 15, FALSE) / VLOOKUP("electricity|NOx|Asthma symptoms wheeze", US_national_yearly!$D:$AM, 10, FALSE), 1)</f>
        <v>1.7403617611014661E-3</v>
      </c>
      <c r="H8" s="7">
        <f>$B8 * IFERROR(VLOOKUP("electricity|NOx|Asthma symptoms wheeze", US_national_yearly!$D:$AM, 16, FALSE) / VLOOKUP("electricity|NOx|Asthma symptoms wheeze", US_national_yearly!$D:$AM, 10, FALSE), 1)</f>
        <v>1.7585839345444852E-3</v>
      </c>
      <c r="I8" s="7">
        <f>$B8 * IFERROR(VLOOKUP("electricity|NOx|Asthma symptoms wheeze", US_national_yearly!$D:$AM, 17, FALSE) / VLOOKUP("electricity|NOx|Asthma symptoms wheeze", US_national_yearly!$D:$AM, 10, FALSE), 1)</f>
        <v>1.7653578096208464E-3</v>
      </c>
      <c r="J8" s="7">
        <f>$B8 * IFERROR(VLOOKUP("electricity|NOx|Asthma symptoms wheeze", US_national_yearly!$D:$AM, 18, FALSE) / VLOOKUP("electricity|NOx|Asthma symptoms wheeze", US_national_yearly!$D:$AM, 10, FALSE), 1)</f>
        <v>1.7721316846972079E-3</v>
      </c>
      <c r="K8" s="7">
        <f>$B8 * IFERROR(VLOOKUP("electricity|NOx|Asthma symptoms wheeze", US_national_yearly!$D:$AM, 19, FALSE) / VLOOKUP("electricity|NOx|Asthma symptoms wheeze", US_national_yearly!$D:$AM, 10, FALSE), 1)</f>
        <v>1.7789055597735701E-3</v>
      </c>
      <c r="L8" s="7">
        <f>$B8 * IFERROR(VLOOKUP("electricity|NOx|Asthma symptoms wheeze", US_national_yearly!$D:$AM, 20, FALSE) / VLOOKUP("electricity|NOx|Asthma symptoms wheeze", US_national_yearly!$D:$AM, 10, FALSE), 1)</f>
        <v>1.7856794348499315E-3</v>
      </c>
      <c r="M8" s="7">
        <f>$B8 * IFERROR(VLOOKUP("electricity|NOx|Asthma symptoms wheeze", US_national_yearly!$D:$AM, 21, FALSE) / VLOOKUP("electricity|NOx|Asthma symptoms wheeze", US_national_yearly!$D:$AM, 10, FALSE), 1)</f>
        <v>1.792453309926293E-3</v>
      </c>
      <c r="N8" s="7">
        <f>$B8 * IFERROR(VLOOKUP("electricity|NOx|Asthma symptoms wheeze", US_national_yearly!$D:$AM, 22, FALSE) / VLOOKUP("electricity|NOx|Asthma symptoms wheeze", US_national_yearly!$D:$AM, 10, FALSE), 1)</f>
        <v>1.7999587070885764E-3</v>
      </c>
      <c r="O8" s="7">
        <f>$B8 * IFERROR(VLOOKUP("electricity|NOx|Asthma symptoms wheeze", US_national_yearly!$D:$AM, 23, FALSE) / VLOOKUP("electricity|NOx|Asthma symptoms wheeze", US_national_yearly!$D:$AM, 10, FALSE), 1)</f>
        <v>1.8074641042508603E-3</v>
      </c>
      <c r="P8" s="7">
        <f>$B8 * IFERROR(VLOOKUP("electricity|NOx|Asthma symptoms wheeze", US_national_yearly!$D:$AM, 24, FALSE) / VLOOKUP("electricity|NOx|Asthma symptoms wheeze", US_national_yearly!$D:$AM, 10, FALSE), 1)</f>
        <v>1.8149695014131441E-3</v>
      </c>
      <c r="Q8" s="7">
        <f>$B8 * IFERROR(VLOOKUP("electricity|NOx|Asthma symptoms wheeze", US_national_yearly!$D:$AM, 25, FALSE) / VLOOKUP("electricity|NOx|Asthma symptoms wheeze", US_national_yearly!$D:$AM, 10, FALSE), 1)</f>
        <v>1.8224748985754275E-3</v>
      </c>
      <c r="R8" s="7">
        <f>$B8 * IFERROR(VLOOKUP("electricity|NOx|Asthma symptoms wheeze", US_national_yearly!$D:$AM, 26, FALSE) / VLOOKUP("electricity|NOx|Asthma symptoms wheeze", US_national_yearly!$D:$AM, 10, FALSE), 1)</f>
        <v>1.8299802957377109E-3</v>
      </c>
      <c r="S8" s="7">
        <f>$B8 * IFERROR(VLOOKUP("electricity|NOx|Asthma symptoms wheeze", US_national_yearly!$D:$AM, 27, FALSE) / VLOOKUP("electricity|NOx|Asthma symptoms wheeze", US_national_yearly!$D:$AM, 10, FALSE), 1)</f>
        <v>1.8393439698566859E-3</v>
      </c>
      <c r="T8" s="7">
        <f>$B8 * IFERROR(VLOOKUP("electricity|NOx|Asthma symptoms wheeze", US_national_yearly!$D:$AM, 28, FALSE) / VLOOKUP("electricity|NOx|Asthma symptoms wheeze", US_national_yearly!$D:$AM, 10, FALSE), 1)</f>
        <v>1.8487076439756606E-3</v>
      </c>
      <c r="U8" s="7">
        <f>$B8 * IFERROR(VLOOKUP("electricity|NOx|Asthma symptoms wheeze", US_national_yearly!$D:$AM, 29, FALSE) / VLOOKUP("electricity|NOx|Asthma symptoms wheeze", US_national_yearly!$D:$AM, 10, FALSE), 1)</f>
        <v>1.858071318094635E-3</v>
      </c>
      <c r="V8" s="7">
        <f>$B8 * IFERROR(VLOOKUP("electricity|NOx|Asthma symptoms wheeze", US_national_yearly!$D:$AM, 30, FALSE) / VLOOKUP("electricity|NOx|Asthma symptoms wheeze", US_national_yearly!$D:$AM, 10, FALSE), 1)</f>
        <v>1.8674349922136099E-3</v>
      </c>
      <c r="W8" s="7">
        <f>$B8 * IFERROR(VLOOKUP("electricity|NOx|Asthma symptoms wheeze", US_national_yearly!$D:$AM, 31, FALSE) / VLOOKUP("electricity|NOx|Asthma symptoms wheeze", US_national_yearly!$D:$AM, 10, FALSE), 1)</f>
        <v>1.8767986663325846E-3</v>
      </c>
      <c r="X8" s="7">
        <f>$B8 * IFERROR(VLOOKUP("electricity|NOx|Asthma symptoms wheeze", US_national_yearly!$D:$AM, 32, FALSE) / VLOOKUP("electricity|NOx|Asthma symptoms wheeze", US_national_yearly!$D:$AM, 10, FALSE), 1)</f>
        <v>1.8854254818011264E-3</v>
      </c>
      <c r="Y8" s="7">
        <f>$B8 * IFERROR(VLOOKUP("electricity|NOx|Asthma symptoms wheeze", US_national_yearly!$D:$AM, 33, FALSE) / VLOOKUP("electricity|NOx|Asthma symptoms wheeze", US_national_yearly!$D:$AM, 10, FALSE), 1)</f>
        <v>1.8940522972696685E-3</v>
      </c>
      <c r="Z8" s="7">
        <f>$B8 * IFERROR(VLOOKUP("electricity|NOx|Asthma symptoms wheeze", US_national_yearly!$D:$AM, 34, FALSE) / VLOOKUP("electricity|NOx|Asthma symptoms wheeze", US_national_yearly!$D:$AM, 10, FALSE), 1)</f>
        <v>1.90267911273821E-3</v>
      </c>
      <c r="AA8" s="7">
        <f>$B8 * IFERROR(VLOOKUP("electricity|NOx|Asthma symptoms wheeze", US_national_yearly!$D:$AM, 35, FALSE) / VLOOKUP("electricity|NOx|Asthma symptoms wheeze", US_national_yearly!$D:$AM, 10, FALSE), 1)</f>
        <v>1.911305928206752E-3</v>
      </c>
      <c r="AB8" s="7">
        <f>$B8 * IFERROR(VLOOKUP("electricity|NOx|Asthma symptoms wheeze", US_national_yearly!$D:$AM, 36, FALSE) / VLOOKUP("electricity|NOx|Asthma symptoms wheeze", US_national_yearly!$D:$AM, 10, FALSE), 1)</f>
        <v>1.9199327436752939E-3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2.5939359841021008E-5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2.6603710171432534E-5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2.7268060501844068E-5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2.7932410832255595E-5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2.8596761162667118E-5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2.9236300854905309E-5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2.987584054714351E-5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3.0425792068574219E-5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3.0975743590004933E-5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3.1525695111435656E-5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3.2075646632866366E-5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3.2625598154297083E-5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3.300248683772521E-5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3.3379375521153344E-5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3.3756264204581471E-5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3.4133152888009605E-5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3.4510041571437732E-5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3.472469170060159E-5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3.4939341829765454E-5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3.5153991958929304E-5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3.5368642088093168E-5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3.5583292217257026E-5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3.5739417042659844E-5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3.5895541868062662E-5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3.6051666693465487E-5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3.6207791518868312E-5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3.6363916344271123E-5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1.6155631020279057E-4</v>
      </c>
      <c r="C13" s="7">
        <f>$B13 * IFERROR(VLOOKUP("electricity|NOx|Non-fatal heart attacks", US_national_yearly!$D:$AM, 11, FALSE) / VLOOKUP("electricity|NOx|Non-fatal heart attacks", US_national_yearly!$D:$AM, 10, FALSE), 1)</f>
        <v>1.6619253122614062E-4</v>
      </c>
      <c r="D13" s="7">
        <f>$B13 * IFERROR(VLOOKUP("electricity|NOx|Non-fatal heart attacks", US_national_yearly!$D:$AM, 12, FALSE) / VLOOKUP("electricity|NOx|Non-fatal heart attacks", US_national_yearly!$D:$AM, 10, FALSE), 1)</f>
        <v>1.7082875224949066E-4</v>
      </c>
      <c r="E13" s="7">
        <f>$B13 * IFERROR(VLOOKUP("electricity|NOx|Non-fatal heart attacks", US_national_yearly!$D:$AM, 13, FALSE) / VLOOKUP("electricity|NOx|Non-fatal heart attacks", US_national_yearly!$D:$AM, 10, FALSE), 1)</f>
        <v>1.754649732728407E-4</v>
      </c>
      <c r="F13" s="7">
        <f>$B13 * IFERROR(VLOOKUP("electricity|NOx|Non-fatal heart attacks", US_national_yearly!$D:$AM, 14, FALSE) / VLOOKUP("electricity|NOx|Non-fatal heart attacks", US_national_yearly!$D:$AM, 10, FALSE), 1)</f>
        <v>1.8010119429619079E-4</v>
      </c>
      <c r="G13" s="7">
        <f>$B13 * IFERROR(VLOOKUP("electricity|NOx|Non-fatal heart attacks", US_national_yearly!$D:$AM, 15, FALSE) / VLOOKUP("electricity|NOx|Non-fatal heart attacks", US_national_yearly!$D:$AM, 10, FALSE), 1)</f>
        <v>1.8446869238431763E-4</v>
      </c>
      <c r="H13" s="7">
        <f>$B13 * IFERROR(VLOOKUP("electricity|NOx|Non-fatal heart attacks", US_national_yearly!$D:$AM, 16, FALSE) / VLOOKUP("electricity|NOx|Non-fatal heart attacks", US_national_yearly!$D:$AM, 10, FALSE), 1)</f>
        <v>1.8883619047244449E-4</v>
      </c>
      <c r="I13" s="7">
        <f>$B13 * IFERROR(VLOOKUP("electricity|NOx|Non-fatal heart attacks", US_national_yearly!$D:$AM, 17, FALSE) / VLOOKUP("electricity|NOx|Non-fatal heart attacks", US_national_yearly!$D:$AM, 10, FALSE), 1)</f>
        <v>1.9233848208233218E-4</v>
      </c>
      <c r="J13" s="7">
        <f>$B13 * IFERROR(VLOOKUP("electricity|NOx|Non-fatal heart attacks", US_national_yearly!$D:$AM, 18, FALSE) / VLOOKUP("electricity|NOx|Non-fatal heart attacks", US_national_yearly!$D:$AM, 10, FALSE), 1)</f>
        <v>1.9584077369221988E-4</v>
      </c>
      <c r="K13" s="7">
        <f>$B13 * IFERROR(VLOOKUP("electricity|NOx|Non-fatal heart attacks", US_national_yearly!$D:$AM, 19, FALSE) / VLOOKUP("electricity|NOx|Non-fatal heart attacks", US_national_yearly!$D:$AM, 10, FALSE), 1)</f>
        <v>1.9934306530210741E-4</v>
      </c>
      <c r="L13" s="7">
        <f>$B13 * IFERROR(VLOOKUP("electricity|NOx|Non-fatal heart attacks", US_national_yearly!$D:$AM, 20, FALSE) / VLOOKUP("electricity|NOx|Non-fatal heart attacks", US_national_yearly!$D:$AM, 10, FALSE), 1)</f>
        <v>2.028453569119951E-4</v>
      </c>
      <c r="M13" s="7">
        <f>$B13 * IFERROR(VLOOKUP("electricity|NOx|Non-fatal heart attacks", US_national_yearly!$D:$AM, 21, FALSE) / VLOOKUP("electricity|NOx|Non-fatal heart attacks", US_national_yearly!$D:$AM, 10, FALSE), 1)</f>
        <v>2.0634764852188285E-4</v>
      </c>
      <c r="N13" s="7">
        <f>$B13 * IFERROR(VLOOKUP("electricity|NOx|Non-fatal heart attacks", US_national_yearly!$D:$AM, 22, FALSE) / VLOOKUP("electricity|NOx|Non-fatal heart attacks", US_national_yearly!$D:$AM, 10, FALSE), 1)</f>
        <v>2.0850758452638457E-4</v>
      </c>
      <c r="O13" s="7">
        <f>$B13 * IFERROR(VLOOKUP("electricity|NOx|Non-fatal heart attacks", US_national_yearly!$D:$AM, 23, FALSE) / VLOOKUP("electricity|NOx|Non-fatal heart attacks", US_national_yearly!$D:$AM, 10, FALSE), 1)</f>
        <v>2.1066752053088637E-4</v>
      </c>
      <c r="P13" s="7">
        <f>$B13 * IFERROR(VLOOKUP("electricity|NOx|Non-fatal heart attacks", US_national_yearly!$D:$AM, 24, FALSE) / VLOOKUP("electricity|NOx|Non-fatal heart attacks", US_national_yearly!$D:$AM, 10, FALSE), 1)</f>
        <v>2.1282745653538812E-4</v>
      </c>
      <c r="Q13" s="7">
        <f>$B13 * IFERROR(VLOOKUP("electricity|NOx|Non-fatal heart attacks", US_national_yearly!$D:$AM, 25, FALSE) / VLOOKUP("electricity|NOx|Non-fatal heart attacks", US_national_yearly!$D:$AM, 10, FALSE), 1)</f>
        <v>2.149873925398899E-4</v>
      </c>
      <c r="R13" s="7">
        <f>$B13 * IFERROR(VLOOKUP("electricity|NOx|Non-fatal heart attacks", US_national_yearly!$D:$AM, 26, FALSE) / VLOOKUP("electricity|NOx|Non-fatal heart attacks", US_national_yearly!$D:$AM, 10, FALSE), 1)</f>
        <v>2.1714732854439164E-4</v>
      </c>
      <c r="S13" s="7">
        <f>$B13 * IFERROR(VLOOKUP("electricity|NOx|Non-fatal heart attacks", US_national_yearly!$D:$AM, 27, FALSE) / VLOOKUP("electricity|NOx|Non-fatal heart attacks", US_national_yearly!$D:$AM, 10, FALSE), 1)</f>
        <v>2.182026660803275E-4</v>
      </c>
      <c r="T13" s="7">
        <f>$B13 * IFERROR(VLOOKUP("electricity|NOx|Non-fatal heart attacks", US_national_yearly!$D:$AM, 28, FALSE) / VLOOKUP("electricity|NOx|Non-fatal heart attacks", US_national_yearly!$D:$AM, 10, FALSE), 1)</f>
        <v>2.192580036162633E-4</v>
      </c>
      <c r="U13" s="7">
        <f>$B13 * IFERROR(VLOOKUP("electricity|NOx|Non-fatal heart attacks", US_national_yearly!$D:$AM, 29, FALSE) / VLOOKUP("electricity|NOx|Non-fatal heart attacks", US_national_yearly!$D:$AM, 10, FALSE), 1)</f>
        <v>2.2031334115219919E-4</v>
      </c>
      <c r="V13" s="7">
        <f>$B13 * IFERROR(VLOOKUP("electricity|NOx|Non-fatal heart attacks", US_national_yearly!$D:$AM, 30, FALSE) / VLOOKUP("electricity|NOx|Non-fatal heart attacks", US_national_yearly!$D:$AM, 10, FALSE), 1)</f>
        <v>2.2136867868813499E-4</v>
      </c>
      <c r="W13" s="7">
        <f>$B13 * IFERROR(VLOOKUP("electricity|NOx|Non-fatal heart attacks", US_national_yearly!$D:$AM, 31, FALSE) / VLOOKUP("electricity|NOx|Non-fatal heart attacks", US_national_yearly!$D:$AM, 10, FALSE), 1)</f>
        <v>2.2242401622407087E-4</v>
      </c>
      <c r="X13" s="7">
        <f>$B13 * IFERROR(VLOOKUP("electricity|NOx|Non-fatal heart attacks", US_national_yearly!$D:$AM, 32, FALSE) / VLOOKUP("electricity|NOx|Non-fatal heart attacks", US_national_yearly!$D:$AM, 10, FALSE), 1)</f>
        <v>2.2316061377842519E-4</v>
      </c>
      <c r="Y13" s="7">
        <f>$B13 * IFERROR(VLOOKUP("electricity|NOx|Non-fatal heart attacks", US_national_yearly!$D:$AM, 33, FALSE) / VLOOKUP("electricity|NOx|Non-fatal heart attacks", US_national_yearly!$D:$AM, 10, FALSE), 1)</f>
        <v>2.2389721133277957E-4</v>
      </c>
      <c r="Z13" s="7">
        <f>$B13 * IFERROR(VLOOKUP("electricity|NOx|Non-fatal heart attacks", US_national_yearly!$D:$AM, 34, FALSE) / VLOOKUP("electricity|NOx|Non-fatal heart attacks", US_national_yearly!$D:$AM, 10, FALSE), 1)</f>
        <v>2.2463380888713388E-4</v>
      </c>
      <c r="AA13" s="7">
        <f>$B13 * IFERROR(VLOOKUP("electricity|NOx|Non-fatal heart attacks", US_national_yearly!$D:$AM, 35, FALSE) / VLOOKUP("electricity|NOx|Non-fatal heart attacks", US_national_yearly!$D:$AM, 10, FALSE), 1)</f>
        <v>2.2537040644148818E-4</v>
      </c>
      <c r="AB13" s="7">
        <f>$B13 * IFERROR(VLOOKUP("electricity|NOx|Non-fatal heart attacks", US_national_yearly!$D:$AM, 36, FALSE) / VLOOKUP("electricity|NOx|Non-fatal heart attacks", US_national_yearly!$D:$AM, 10, FALSE), 1)</f>
        <v>2.2610700399584258E-4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0.10427678902899963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0.10443666811441235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0.10459654719982507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0.10475642628523779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0.10491630537065054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0.10519519036658083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0.1054740753625111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0.10602584743830841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0.10657761951410567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0.10712939158990299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0.10768116366570026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0.10823293574149757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0.10903084452318521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0.10982875330487281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0.11062666208656043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0.11142457086824806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0.11222247964993569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0.11302642247508506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0.11383036530023444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0.11463430812538383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0.1154382509505332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0.11624219377568258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0.11692209115560062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0.11760198853551861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0.11828188591543674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0.11896178329535477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0.1196416806752728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1.7562655299858197E-2</v>
      </c>
      <c r="C15" s="7">
        <f>$B15 * IFERROR(VLOOKUP("electricity|NOx|Work loss days", US_national_yearly!$D:$AM, 11, FALSE) / VLOOKUP("electricity|NOx|Work loss days", US_national_yearly!$D:$AM, 10, FALSE), 1)</f>
        <v>1.7601826298076245E-2</v>
      </c>
      <c r="D15" s="7">
        <f>$B15 * IFERROR(VLOOKUP("electricity|NOx|Work loss days", US_national_yearly!$D:$AM, 12, FALSE) / VLOOKUP("electricity|NOx|Work loss days", US_national_yearly!$D:$AM, 10, FALSE), 1)</f>
        <v>1.7640997296294293E-2</v>
      </c>
      <c r="E15" s="7">
        <f>$B15 * IFERROR(VLOOKUP("electricity|NOx|Work loss days", US_national_yearly!$D:$AM, 13, FALSE) / VLOOKUP("electricity|NOx|Work loss days", US_national_yearly!$D:$AM, 10, FALSE), 1)</f>
        <v>1.7680168294512341E-2</v>
      </c>
      <c r="F15" s="7">
        <f>$B15 * IFERROR(VLOOKUP("electricity|NOx|Work loss days", US_national_yearly!$D:$AM, 14, FALSE) / VLOOKUP("electricity|NOx|Work loss days", US_national_yearly!$D:$AM, 10, FALSE), 1)</f>
        <v>1.7719339292730389E-2</v>
      </c>
      <c r="G15" s="7">
        <f>$B15 * IFERROR(VLOOKUP("electricity|NOx|Work loss days", US_national_yearly!$D:$AM, 15, FALSE) / VLOOKUP("electricity|NOx|Work loss days", US_national_yearly!$D:$AM, 10, FALSE), 1)</f>
        <v>1.7774561420586508E-2</v>
      </c>
      <c r="H15" s="7">
        <f>$B15 * IFERROR(VLOOKUP("electricity|NOx|Work loss days", US_national_yearly!$D:$AM, 16, FALSE) / VLOOKUP("electricity|NOx|Work loss days", US_national_yearly!$D:$AM, 10, FALSE), 1)</f>
        <v>1.782978354844262E-2</v>
      </c>
      <c r="I15" s="7">
        <f>$B15 * IFERROR(VLOOKUP("electricity|NOx|Work loss days", US_national_yearly!$D:$AM, 17, FALSE) / VLOOKUP("electricity|NOx|Work loss days", US_national_yearly!$D:$AM, 10, FALSE), 1)</f>
        <v>1.7919449459836728E-2</v>
      </c>
      <c r="J15" s="7">
        <f>$B15 * IFERROR(VLOOKUP("electricity|NOx|Work loss days", US_national_yearly!$D:$AM, 18, FALSE) / VLOOKUP("electricity|NOx|Work loss days", US_national_yearly!$D:$AM, 10, FALSE), 1)</f>
        <v>1.8009115371230833E-2</v>
      </c>
      <c r="K15" s="7">
        <f>$B15 * IFERROR(VLOOKUP("electricity|NOx|Work loss days", US_national_yearly!$D:$AM, 19, FALSE) / VLOOKUP("electricity|NOx|Work loss days", US_national_yearly!$D:$AM, 10, FALSE), 1)</f>
        <v>1.8098781282624939E-2</v>
      </c>
      <c r="L15" s="7">
        <f>$B15 * IFERROR(VLOOKUP("electricity|NOx|Work loss days", US_national_yearly!$D:$AM, 20, FALSE) / VLOOKUP("electricity|NOx|Work loss days", US_national_yearly!$D:$AM, 10, FALSE), 1)</f>
        <v>1.818844719401904E-2</v>
      </c>
      <c r="M15" s="7">
        <f>$B15 * IFERROR(VLOOKUP("electricity|NOx|Work loss days", US_national_yearly!$D:$AM, 21, FALSE) / VLOOKUP("electricity|NOx|Work loss days", US_national_yearly!$D:$AM, 10, FALSE), 1)</f>
        <v>1.8278113105413146E-2</v>
      </c>
      <c r="N15" s="7">
        <f>$B15 * IFERROR(VLOOKUP("electricity|NOx|Work loss days", US_national_yearly!$D:$AM, 22, FALSE) / VLOOKUP("electricity|NOx|Work loss days", US_national_yearly!$D:$AM, 10, FALSE), 1)</f>
        <v>1.8396415534874113E-2</v>
      </c>
      <c r="O15" s="7">
        <f>$B15 * IFERROR(VLOOKUP("electricity|NOx|Work loss days", US_national_yearly!$D:$AM, 23, FALSE) / VLOOKUP("electricity|NOx|Work loss days", US_national_yearly!$D:$AM, 10, FALSE), 1)</f>
        <v>1.8514717964335074E-2</v>
      </c>
      <c r="P15" s="7">
        <f>$B15 * IFERROR(VLOOKUP("electricity|NOx|Work loss days", US_national_yearly!$D:$AM, 24, FALSE) / VLOOKUP("electricity|NOx|Work loss days", US_national_yearly!$D:$AM, 10, FALSE), 1)</f>
        <v>1.8633020393796041E-2</v>
      </c>
      <c r="Q15" s="7">
        <f>$B15 * IFERROR(VLOOKUP("electricity|NOx|Work loss days", US_national_yearly!$D:$AM, 25, FALSE) / VLOOKUP("electricity|NOx|Work loss days", US_national_yearly!$D:$AM, 10, FALSE), 1)</f>
        <v>1.8751322823257005E-2</v>
      </c>
      <c r="R15" s="7">
        <f>$B15 * IFERROR(VLOOKUP("electricity|NOx|Work loss days", US_national_yearly!$D:$AM, 26, FALSE) / VLOOKUP("electricity|NOx|Work loss days", US_national_yearly!$D:$AM, 10, FALSE), 1)</f>
        <v>1.8869625252717962E-2</v>
      </c>
      <c r="S15" s="7">
        <f>$B15 * IFERROR(VLOOKUP("electricity|NOx|Work loss days", US_national_yearly!$D:$AM, 27, FALSE) / VLOOKUP("electricity|NOx|Work loss days", US_national_yearly!$D:$AM, 10, FALSE), 1)</f>
        <v>1.9002198189576939E-2</v>
      </c>
      <c r="T15" s="7">
        <f>$B15 * IFERROR(VLOOKUP("electricity|NOx|Work loss days", US_national_yearly!$D:$AM, 28, FALSE) / VLOOKUP("electricity|NOx|Work loss days", US_national_yearly!$D:$AM, 10, FALSE), 1)</f>
        <v>1.9134771126435912E-2</v>
      </c>
      <c r="U15" s="7">
        <f>$B15 * IFERROR(VLOOKUP("electricity|NOx|Work loss days", US_national_yearly!$D:$AM, 29, FALSE) / VLOOKUP("electricity|NOx|Work loss days", US_national_yearly!$D:$AM, 10, FALSE), 1)</f>
        <v>1.9267344063294882E-2</v>
      </c>
      <c r="V15" s="7">
        <f>$B15 * IFERROR(VLOOKUP("electricity|NOx|Work loss days", US_national_yearly!$D:$AM, 30, FALSE) / VLOOKUP("electricity|NOx|Work loss days", US_national_yearly!$D:$AM, 10, FALSE), 1)</f>
        <v>1.9399917000153855E-2</v>
      </c>
      <c r="W15" s="7">
        <f>$B15 * IFERROR(VLOOKUP("electricity|NOx|Work loss days", US_national_yearly!$D:$AM, 31, FALSE) / VLOOKUP("electricity|NOx|Work loss days", US_national_yearly!$D:$AM, 10, FALSE), 1)</f>
        <v>1.9532489937012829E-2</v>
      </c>
      <c r="X15" s="7">
        <f>$B15 * IFERROR(VLOOKUP("electricity|NOx|Work loss days", US_national_yearly!$D:$AM, 32, FALSE) / VLOOKUP("electricity|NOx|Work loss days", US_national_yearly!$D:$AM, 10, FALSE), 1)</f>
        <v>1.9648054340067101E-2</v>
      </c>
      <c r="Y15" s="7">
        <f>$B15 * IFERROR(VLOOKUP("electricity|NOx|Work loss days", US_national_yearly!$D:$AM, 33, FALSE) / VLOOKUP("electricity|NOx|Work loss days", US_national_yearly!$D:$AM, 10, FALSE), 1)</f>
        <v>1.976361874312137E-2</v>
      </c>
      <c r="Z15" s="7">
        <f>$B15 * IFERROR(VLOOKUP("electricity|NOx|Work loss days", US_national_yearly!$D:$AM, 34, FALSE) / VLOOKUP("electricity|NOx|Work loss days", US_national_yearly!$D:$AM, 10, FALSE), 1)</f>
        <v>1.9879183146175639E-2</v>
      </c>
      <c r="AA15" s="7">
        <f>$B15 * IFERROR(VLOOKUP("electricity|NOx|Work loss days", US_national_yearly!$D:$AM, 35, FALSE) / VLOOKUP("electricity|NOx|Work loss days", US_national_yearly!$D:$AM, 10, FALSE), 1)</f>
        <v>1.9994747549229915E-2</v>
      </c>
      <c r="AB15" s="7">
        <f>$B15 * IFERROR(VLOOKUP("electricity|NOx|Work loss days", US_national_yearly!$D:$AM, 36, FALSE) / VLOOKUP("electricity|NOx|Work loss days", US_national_yearly!$D:$AM, 10, FALSE), 1)</f>
        <v>2.0110311952284184E-2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4.3842893556214601E-5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4.513435759921427E-5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4.6425821642213953E-5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4.7717285685213622E-5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4.9008749728213305E-5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5.0245426823027291E-5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5.1482103917841278E-5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5.2537671302769377E-5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5.3593238687697482E-5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5.4648806072625588E-5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5.5704373457553694E-5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5.6759940842481786E-5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5.7437374564912221E-5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5.8114808287342656E-5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5.8792242009773084E-5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5.9469675732203519E-5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6.0147109454633947E-5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6.0480486527988433E-5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6.0813863601342919E-5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6.1147240674697405E-5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6.1480617748051891E-5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6.1813994821406377E-5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6.2013800364339329E-5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6.2213605907272267E-5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6.2413411450205219E-5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6.2613216993138171E-5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6.2813022536071123E-5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3.579400393646009E-3</v>
      </c>
      <c r="C2" s="7">
        <f>$B2 * IFERROR(VLOOKUP("electricity|SO2|Premature mortality", US_national_yearly!$D:$AM, 11, FALSE) / VLOOKUP("electricity|SO2|Premature mortality", US_national_yearly!$D:$AM, 10, FALSE), 1)</f>
        <v>3.6252891324835305E-3</v>
      </c>
      <c r="D2" s="7">
        <f>$B2 * IFERROR(VLOOKUP("electricity|SO2|Premature mortality", US_national_yearly!$D:$AM, 12, FALSE) / VLOOKUP("electricity|SO2|Premature mortality", US_national_yearly!$D:$AM, 10, FALSE), 1)</f>
        <v>3.6711778713210512E-3</v>
      </c>
      <c r="E2" s="7">
        <f>$B2 * IFERROR(VLOOKUP("electricity|SO2|Premature mortality", US_national_yearly!$D:$AM, 13, FALSE) / VLOOKUP("electricity|SO2|Premature mortality", US_national_yearly!$D:$AM, 10, FALSE), 1)</f>
        <v>3.7170666101585727E-3</v>
      </c>
      <c r="F2" s="7">
        <f>$B2 * IFERROR(VLOOKUP("electricity|SO2|Premature mortality", US_national_yearly!$D:$AM, 14, FALSE) / VLOOKUP("electricity|SO2|Premature mortality", US_national_yearly!$D:$AM, 10, FALSE), 1)</f>
        <v>3.7629553489960934E-3</v>
      </c>
      <c r="G2" s="7">
        <f>$B2 * IFERROR(VLOOKUP("electricity|SO2|Premature mortality", US_national_yearly!$D:$AM, 15, FALSE) / VLOOKUP("electricity|SO2|Premature mortality", US_national_yearly!$D:$AM, 10, FALSE), 1)</f>
        <v>3.8513554657690625E-3</v>
      </c>
      <c r="H2" s="7">
        <f>$B2 * IFERROR(VLOOKUP("electricity|SO2|Premature mortality", US_national_yearly!$D:$AM, 16, FALSE) / VLOOKUP("electricity|SO2|Premature mortality", US_national_yearly!$D:$AM, 10, FALSE), 1)</f>
        <v>3.9397555825420308E-3</v>
      </c>
      <c r="I2" s="7">
        <f>$B2 * IFERROR(VLOOKUP("electricity|SO2|Premature mortality", US_national_yearly!$D:$AM, 17, FALSE) / VLOOKUP("electricity|SO2|Premature mortality", US_national_yearly!$D:$AM, 10, FALSE), 1)</f>
        <v>3.9992610706393169E-3</v>
      </c>
      <c r="J2" s="7">
        <f>$B2 * IFERROR(VLOOKUP("electricity|SO2|Premature mortality", US_national_yearly!$D:$AM, 18, FALSE) / VLOOKUP("electricity|SO2|Premature mortality", US_national_yearly!$D:$AM, 10, FALSE), 1)</f>
        <v>4.058766558736604E-3</v>
      </c>
      <c r="K2" s="7">
        <f>$B2 * IFERROR(VLOOKUP("electricity|SO2|Premature mortality", US_national_yearly!$D:$AM, 19, FALSE) / VLOOKUP("electricity|SO2|Premature mortality", US_national_yearly!$D:$AM, 10, FALSE), 1)</f>
        <v>4.1182720468338901E-3</v>
      </c>
      <c r="L2" s="7">
        <f>$B2 * IFERROR(VLOOKUP("electricity|SO2|Premature mortality", US_national_yearly!$D:$AM, 20, FALSE) / VLOOKUP("electricity|SO2|Premature mortality", US_national_yearly!$D:$AM, 10, FALSE), 1)</f>
        <v>4.1777775349311781E-3</v>
      </c>
      <c r="M2" s="7">
        <f>$B2 * IFERROR(VLOOKUP("electricity|SO2|Premature mortality", US_national_yearly!$D:$AM, 21, FALSE) / VLOOKUP("electricity|SO2|Premature mortality", US_national_yearly!$D:$AM, 10, FALSE), 1)</f>
        <v>4.2372830230284642E-3</v>
      </c>
      <c r="N2" s="7">
        <f>$B2 * IFERROR(VLOOKUP("electricity|SO2|Premature mortality", US_national_yearly!$D:$AM, 22, FALSE) / VLOOKUP("electricity|SO2|Premature mortality", US_national_yearly!$D:$AM, 10, FALSE), 1)</f>
        <v>4.2849719288916071E-3</v>
      </c>
      <c r="O2" s="7">
        <f>$B2 * IFERROR(VLOOKUP("electricity|SO2|Premature mortality", US_national_yearly!$D:$AM, 23, FALSE) / VLOOKUP("electricity|SO2|Premature mortality", US_national_yearly!$D:$AM, 10, FALSE), 1)</f>
        <v>4.33266083475475E-3</v>
      </c>
      <c r="P2" s="7">
        <f>$B2 * IFERROR(VLOOKUP("electricity|SO2|Premature mortality", US_national_yearly!$D:$AM, 24, FALSE) / VLOOKUP("electricity|SO2|Premature mortality", US_national_yearly!$D:$AM, 10, FALSE), 1)</f>
        <v>4.3803497406178921E-3</v>
      </c>
      <c r="Q2" s="7">
        <f>$B2 * IFERROR(VLOOKUP("electricity|SO2|Premature mortality", US_national_yearly!$D:$AM, 25, FALSE) / VLOOKUP("electricity|SO2|Premature mortality", US_national_yearly!$D:$AM, 10, FALSE), 1)</f>
        <v>4.428038646481035E-3</v>
      </c>
      <c r="R2" s="7">
        <f>$B2 * IFERROR(VLOOKUP("electricity|SO2|Premature mortality", US_national_yearly!$D:$AM, 26, FALSE) / VLOOKUP("electricity|SO2|Premature mortality", US_national_yearly!$D:$AM, 10, FALSE), 1)</f>
        <v>4.475727552344177E-3</v>
      </c>
      <c r="S2" s="7">
        <f>$B2 * IFERROR(VLOOKUP("electricity|SO2|Premature mortality", US_national_yearly!$D:$AM, 27, FALSE) / VLOOKUP("electricity|SO2|Premature mortality", US_national_yearly!$D:$AM, 10, FALSE), 1)</f>
        <v>4.5030689950467852E-3</v>
      </c>
      <c r="T2" s="7">
        <f>$B2 * IFERROR(VLOOKUP("electricity|SO2|Premature mortality", US_national_yearly!$D:$AM, 28, FALSE) / VLOOKUP("electricity|SO2|Premature mortality", US_national_yearly!$D:$AM, 10, FALSE), 1)</f>
        <v>4.5304104377493935E-3</v>
      </c>
      <c r="U2" s="7">
        <f>$B2 * IFERROR(VLOOKUP("electricity|SO2|Premature mortality", US_national_yearly!$D:$AM, 29, FALSE) / VLOOKUP("electricity|SO2|Premature mortality", US_national_yearly!$D:$AM, 10, FALSE), 1)</f>
        <v>4.5577518804520009E-3</v>
      </c>
      <c r="V2" s="7">
        <f>$B2 * IFERROR(VLOOKUP("electricity|SO2|Premature mortality", US_national_yearly!$D:$AM, 30, FALSE) / VLOOKUP("electricity|SO2|Premature mortality", US_national_yearly!$D:$AM, 10, FALSE), 1)</f>
        <v>4.58509332315461E-3</v>
      </c>
      <c r="W2" s="7">
        <f>$B2 * IFERROR(VLOOKUP("electricity|SO2|Premature mortality", US_national_yearly!$D:$AM, 31, FALSE) / VLOOKUP("electricity|SO2|Premature mortality", US_national_yearly!$D:$AM, 10, FALSE), 1)</f>
        <v>4.6124347658572174E-3</v>
      </c>
      <c r="X2" s="7">
        <f>$B2 * IFERROR(VLOOKUP("electricity|SO2|Premature mortality", US_national_yearly!$D:$AM, 32, FALSE) / VLOOKUP("electricity|SO2|Premature mortality", US_national_yearly!$D:$AM, 10, FALSE), 1)</f>
        <v>4.6204908035161942E-3</v>
      </c>
      <c r="Y2" s="7">
        <f>$B2 * IFERROR(VLOOKUP("electricity|SO2|Premature mortality", US_national_yearly!$D:$AM, 33, FALSE) / VLOOKUP("electricity|SO2|Premature mortality", US_national_yearly!$D:$AM, 10, FALSE), 1)</f>
        <v>4.6285468411751702E-3</v>
      </c>
      <c r="Z2" s="7">
        <f>$B2 * IFERROR(VLOOKUP("electricity|SO2|Premature mortality", US_national_yearly!$D:$AM, 34, FALSE) / VLOOKUP("electricity|SO2|Premature mortality", US_national_yearly!$D:$AM, 10, FALSE), 1)</f>
        <v>4.6366028788341462E-3</v>
      </c>
      <c r="AA2" s="7">
        <f>$B2 * IFERROR(VLOOKUP("electricity|SO2|Premature mortality", US_national_yearly!$D:$AM, 35, FALSE) / VLOOKUP("electricity|SO2|Premature mortality", US_national_yearly!$D:$AM, 10, FALSE), 1)</f>
        <v>4.6446589164931221E-3</v>
      </c>
      <c r="AB2" s="7">
        <f>$B2 * IFERROR(VLOOKUP("electricity|SO2|Premature mortality", US_national_yearly!$D:$AM, 36, FALSE) / VLOOKUP("electricity|SO2|Premature mortality", US_national_yearly!$D:$AM, 10, FALSE), 1)</f>
        <v>4.6527149541520981E-3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6.5815095540326126E-6</v>
      </c>
      <c r="C3" s="7">
        <f>$B3 * IFERROR(VLOOKUP("electricity|SO2|Infant mortality", US_national_yearly!$D:$AM, 11, FALSE) / VLOOKUP("electricity|SO2|Infant mortality", US_national_yearly!$D:$AM, 10, FALSE), 1)</f>
        <v>6.5259083121551198E-6</v>
      </c>
      <c r="D3" s="7">
        <f>$B3 * IFERROR(VLOOKUP("electricity|SO2|Infant mortality", US_national_yearly!$D:$AM, 12, FALSE) / VLOOKUP("electricity|SO2|Infant mortality", US_national_yearly!$D:$AM, 10, FALSE), 1)</f>
        <v>6.4703070702776262E-6</v>
      </c>
      <c r="E3" s="7">
        <f>$B3 * IFERROR(VLOOKUP("electricity|SO2|Infant mortality", US_national_yearly!$D:$AM, 13, FALSE) / VLOOKUP("electricity|SO2|Infant mortality", US_national_yearly!$D:$AM, 10, FALSE), 1)</f>
        <v>6.4147058284001334E-6</v>
      </c>
      <c r="F3" s="7">
        <f>$B3 * IFERROR(VLOOKUP("electricity|SO2|Infant mortality", US_national_yearly!$D:$AM, 14, FALSE) / VLOOKUP("electricity|SO2|Infant mortality", US_national_yearly!$D:$AM, 10, FALSE), 1)</f>
        <v>6.3591045865226415E-6</v>
      </c>
      <c r="G3" s="7">
        <f>$B3 * IFERROR(VLOOKUP("electricity|SO2|Infant mortality", US_national_yearly!$D:$AM, 15, FALSE) / VLOOKUP("electricity|SO2|Infant mortality", US_national_yearly!$D:$AM, 10, FALSE), 1)</f>
        <v>4.229133959710647E-6</v>
      </c>
      <c r="H3" s="7">
        <f>$B3 * IFERROR(VLOOKUP("electricity|SO2|Infant mortality", US_national_yearly!$D:$AM, 16, FALSE) / VLOOKUP("electricity|SO2|Infant mortality", US_national_yearly!$D:$AM, 10, FALSE), 1)</f>
        <v>2.0991633328986534E-6</v>
      </c>
      <c r="I3" s="7">
        <f>$B3 * IFERROR(VLOOKUP("electricity|SO2|Infant mortality", US_national_yearly!$D:$AM, 17, FALSE) / VLOOKUP("electricity|SO2|Infant mortality", US_national_yearly!$D:$AM, 10, FALSE), 1)</f>
        <v>2.0857339761171622E-6</v>
      </c>
      <c r="J3" s="7">
        <f>$B3 * IFERROR(VLOOKUP("electricity|SO2|Infant mortality", US_national_yearly!$D:$AM, 18, FALSE) / VLOOKUP("electricity|SO2|Infant mortality", US_national_yearly!$D:$AM, 10, FALSE), 1)</f>
        <v>2.0723046193356707E-6</v>
      </c>
      <c r="K3" s="7">
        <f>$B3 * IFERROR(VLOOKUP("electricity|SO2|Infant mortality", US_national_yearly!$D:$AM, 19, FALSE) / VLOOKUP("electricity|SO2|Infant mortality", US_national_yearly!$D:$AM, 10, FALSE), 1)</f>
        <v>2.0588752625541799E-6</v>
      </c>
      <c r="L3" s="7">
        <f>$B3 * IFERROR(VLOOKUP("electricity|SO2|Infant mortality", US_national_yearly!$D:$AM, 20, FALSE) / VLOOKUP("electricity|SO2|Infant mortality", US_national_yearly!$D:$AM, 10, FALSE), 1)</f>
        <v>2.0454459057726883E-6</v>
      </c>
      <c r="M3" s="7">
        <f>$B3 * IFERROR(VLOOKUP("electricity|SO2|Infant mortality", US_national_yearly!$D:$AM, 21, FALSE) / VLOOKUP("electricity|SO2|Infant mortality", US_national_yearly!$D:$AM, 10, FALSE), 1)</f>
        <v>2.0320165489911972E-6</v>
      </c>
      <c r="N3" s="7">
        <f>$B3 * IFERROR(VLOOKUP("electricity|SO2|Infant mortality", US_national_yearly!$D:$AM, 22, FALSE) / VLOOKUP("electricity|SO2|Infant mortality", US_national_yearly!$D:$AM, 10, FALSE), 1)</f>
        <v>2.0235071134389596E-6</v>
      </c>
      <c r="O3" s="7">
        <f>$B3 * IFERROR(VLOOKUP("electricity|SO2|Infant mortality", US_national_yearly!$D:$AM, 23, FALSE) / VLOOKUP("electricity|SO2|Infant mortality", US_national_yearly!$D:$AM, 10, FALSE), 1)</f>
        <v>2.0149976778867221E-6</v>
      </c>
      <c r="P3" s="7">
        <f>$B3 * IFERROR(VLOOKUP("electricity|SO2|Infant mortality", US_national_yearly!$D:$AM, 24, FALSE) / VLOOKUP("electricity|SO2|Infant mortality", US_national_yearly!$D:$AM, 10, FALSE), 1)</f>
        <v>2.0064882423344841E-6</v>
      </c>
      <c r="Q3" s="7">
        <f>$B3 * IFERROR(VLOOKUP("electricity|SO2|Infant mortality", US_national_yearly!$D:$AM, 25, FALSE) / VLOOKUP("electricity|SO2|Infant mortality", US_national_yearly!$D:$AM, 10, FALSE), 1)</f>
        <v>1.997978806782247E-6</v>
      </c>
      <c r="R3" s="7">
        <f>$B3 * IFERROR(VLOOKUP("electricity|SO2|Infant mortality", US_national_yearly!$D:$AM, 26, FALSE) / VLOOKUP("electricity|SO2|Infant mortality", US_national_yearly!$D:$AM, 10, FALSE), 1)</f>
        <v>1.9894693712300094E-6</v>
      </c>
      <c r="S3" s="7">
        <f>$B3 * IFERROR(VLOOKUP("electricity|SO2|Infant mortality", US_national_yearly!$D:$AM, 27, FALSE) / VLOOKUP("electricity|SO2|Infant mortality", US_national_yearly!$D:$AM, 10, FALSE), 1)</f>
        <v>1.9788634380516791E-6</v>
      </c>
      <c r="T3" s="7">
        <f>$B3 * IFERROR(VLOOKUP("electricity|SO2|Infant mortality", US_national_yearly!$D:$AM, 28, FALSE) / VLOOKUP("electricity|SO2|Infant mortality", US_national_yearly!$D:$AM, 10, FALSE), 1)</f>
        <v>1.9682575048733497E-6</v>
      </c>
      <c r="U3" s="7">
        <f>$B3 * IFERROR(VLOOKUP("electricity|SO2|Infant mortality", US_national_yearly!$D:$AM, 29, FALSE) / VLOOKUP("electricity|SO2|Infant mortality", US_national_yearly!$D:$AM, 10, FALSE), 1)</f>
        <v>1.9576515716950199E-6</v>
      </c>
      <c r="V3" s="7">
        <f>$B3 * IFERROR(VLOOKUP("electricity|SO2|Infant mortality", US_national_yearly!$D:$AM, 30, FALSE) / VLOOKUP("electricity|SO2|Infant mortality", US_national_yearly!$D:$AM, 10, FALSE), 1)</f>
        <v>1.9470456385166904E-6</v>
      </c>
      <c r="W3" s="7">
        <f>$B3 * IFERROR(VLOOKUP("electricity|SO2|Infant mortality", US_national_yearly!$D:$AM, 31, FALSE) / VLOOKUP("electricity|SO2|Infant mortality", US_national_yearly!$D:$AM, 10, FALSE), 1)</f>
        <v>1.9364397053383602E-6</v>
      </c>
      <c r="X3" s="7">
        <f>$B3 * IFERROR(VLOOKUP("electricity|SO2|Infant mortality", US_national_yearly!$D:$AM, 32, FALSE) / VLOOKUP("electricity|SO2|Infant mortality", US_national_yearly!$D:$AM, 10, FALSE), 1)</f>
        <v>1.9251234852203484E-6</v>
      </c>
      <c r="Y3" s="7">
        <f>$B3 * IFERROR(VLOOKUP("electricity|SO2|Infant mortality", US_national_yearly!$D:$AM, 33, FALSE) / VLOOKUP("electricity|SO2|Infant mortality", US_national_yearly!$D:$AM, 10, FALSE), 1)</f>
        <v>1.9138072651023358E-6</v>
      </c>
      <c r="Z3" s="7">
        <f>$B3 * IFERROR(VLOOKUP("electricity|SO2|Infant mortality", US_national_yearly!$D:$AM, 34, FALSE) / VLOOKUP("electricity|SO2|Infant mortality", US_national_yearly!$D:$AM, 10, FALSE), 1)</f>
        <v>1.9024910449843242E-6</v>
      </c>
      <c r="AA3" s="7">
        <f>$B3 * IFERROR(VLOOKUP("electricity|SO2|Infant mortality", US_national_yearly!$D:$AM, 35, FALSE) / VLOOKUP("electricity|SO2|Infant mortality", US_national_yearly!$D:$AM, 10, FALSE), 1)</f>
        <v>1.8911748248663122E-6</v>
      </c>
      <c r="AB3" s="7">
        <f>$B3 * IFERROR(VLOOKUP("electricity|SO2|Infant mortality", US_national_yearly!$D:$AM, 36, FALSE) / VLOOKUP("electricity|SO2|Infant mortality", US_national_yearly!$D:$AM, 10, FALSE), 1)</f>
        <v>1.8798586047483002E-6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6.87871635543073E-3</v>
      </c>
      <c r="C6" s="7">
        <f>$B6 * IFERROR(VLOOKUP("electricity|SO2|Asthma symptoms cough", US_national_yearly!$D:$AM, 11, FALSE) / VLOOKUP("electricity|SO2|Asthma symptoms cough", US_national_yearly!$D:$AM, 10, FALSE), 1)</f>
        <v>6.87871635543073E-3</v>
      </c>
      <c r="D6" s="7">
        <f>$B6 * IFERROR(VLOOKUP("electricity|SO2|Asthma symptoms cough", US_national_yearly!$D:$AM, 12, FALSE) / VLOOKUP("electricity|SO2|Asthma symptoms cough", US_national_yearly!$D:$AM, 10, FALSE), 1)</f>
        <v>6.87871635543073E-3</v>
      </c>
      <c r="E6" s="7">
        <f>$B6 * IFERROR(VLOOKUP("electricity|SO2|Asthma symptoms cough", US_national_yearly!$D:$AM, 13, FALSE) / VLOOKUP("electricity|SO2|Asthma symptoms cough", US_national_yearly!$D:$AM, 10, FALSE), 1)</f>
        <v>6.87871635543073E-3</v>
      </c>
      <c r="F6" s="7">
        <f>$B6 * IFERROR(VLOOKUP("electricity|SO2|Asthma symptoms cough", US_national_yearly!$D:$AM, 14, FALSE) / VLOOKUP("electricity|SO2|Asthma symptoms cough", US_national_yearly!$D:$AM, 10, FALSE), 1)</f>
        <v>6.87871635543073E-3</v>
      </c>
      <c r="G6" s="7">
        <f>$B6 * IFERROR(VLOOKUP("electricity|SO2|Asthma symptoms cough", US_national_yearly!$D:$AM, 15, FALSE) / VLOOKUP("electricity|SO2|Asthma symptoms cough", US_national_yearly!$D:$AM, 10, FALSE), 1)</f>
        <v>6.87871635543073E-3</v>
      </c>
      <c r="H6" s="7">
        <f>$B6 * IFERROR(VLOOKUP("electricity|SO2|Asthma symptoms cough", US_national_yearly!$D:$AM, 16, FALSE) / VLOOKUP("electricity|SO2|Asthma symptoms cough", US_national_yearly!$D:$AM, 10, FALSE), 1)</f>
        <v>6.87871635543073E-3</v>
      </c>
      <c r="I6" s="7">
        <f>$B6 * IFERROR(VLOOKUP("electricity|SO2|Asthma symptoms cough", US_national_yearly!$D:$AM, 17, FALSE) / VLOOKUP("electricity|SO2|Asthma symptoms cough", US_national_yearly!$D:$AM, 10, FALSE), 1)</f>
        <v>6.87871635543073E-3</v>
      </c>
      <c r="J6" s="7">
        <f>$B6 * IFERROR(VLOOKUP("electricity|SO2|Asthma symptoms cough", US_national_yearly!$D:$AM, 18, FALSE) / VLOOKUP("electricity|SO2|Asthma symptoms cough", US_national_yearly!$D:$AM, 10, FALSE), 1)</f>
        <v>6.87871635543073E-3</v>
      </c>
      <c r="K6" s="7">
        <f>$B6 * IFERROR(VLOOKUP("electricity|SO2|Asthma symptoms cough", US_national_yearly!$D:$AM, 19, FALSE) / VLOOKUP("electricity|SO2|Asthma symptoms cough", US_national_yearly!$D:$AM, 10, FALSE), 1)</f>
        <v>6.87871635543073E-3</v>
      </c>
      <c r="L6" s="7">
        <f>$B6 * IFERROR(VLOOKUP("electricity|SO2|Asthma symptoms cough", US_national_yearly!$D:$AM, 20, FALSE) / VLOOKUP("electricity|SO2|Asthma symptoms cough", US_national_yearly!$D:$AM, 10, FALSE), 1)</f>
        <v>6.87871635543073E-3</v>
      </c>
      <c r="M6" s="7">
        <f>$B6 * IFERROR(VLOOKUP("electricity|SO2|Asthma symptoms cough", US_national_yearly!$D:$AM, 21, FALSE) / VLOOKUP("electricity|SO2|Asthma symptoms cough", US_national_yearly!$D:$AM, 10, FALSE), 1)</f>
        <v>6.87871635543073E-3</v>
      </c>
      <c r="N6" s="7">
        <f>$B6 * IFERROR(VLOOKUP("electricity|SO2|Asthma symptoms cough", US_national_yearly!$D:$AM, 22, FALSE) / VLOOKUP("electricity|SO2|Asthma symptoms cough", US_national_yearly!$D:$AM, 10, FALSE), 1)</f>
        <v>6.87871635543073E-3</v>
      </c>
      <c r="O6" s="7">
        <f>$B6 * IFERROR(VLOOKUP("electricity|SO2|Asthma symptoms cough", US_national_yearly!$D:$AM, 23, FALSE) / VLOOKUP("electricity|SO2|Asthma symptoms cough", US_national_yearly!$D:$AM, 10, FALSE), 1)</f>
        <v>6.87871635543073E-3</v>
      </c>
      <c r="P6" s="7">
        <f>$B6 * IFERROR(VLOOKUP("electricity|SO2|Asthma symptoms cough", US_national_yearly!$D:$AM, 24, FALSE) / VLOOKUP("electricity|SO2|Asthma symptoms cough", US_national_yearly!$D:$AM, 10, FALSE), 1)</f>
        <v>6.87871635543073E-3</v>
      </c>
      <c r="Q6" s="7">
        <f>$B6 * IFERROR(VLOOKUP("electricity|SO2|Asthma symptoms cough", US_national_yearly!$D:$AM, 25, FALSE) / VLOOKUP("electricity|SO2|Asthma symptoms cough", US_national_yearly!$D:$AM, 10, FALSE), 1)</f>
        <v>6.87871635543073E-3</v>
      </c>
      <c r="R6" s="7">
        <f>$B6 * IFERROR(VLOOKUP("electricity|SO2|Asthma symptoms cough", US_national_yearly!$D:$AM, 26, FALSE) / VLOOKUP("electricity|SO2|Asthma symptoms cough", US_national_yearly!$D:$AM, 10, FALSE), 1)</f>
        <v>6.87871635543073E-3</v>
      </c>
      <c r="S6" s="7">
        <f>$B6 * IFERROR(VLOOKUP("electricity|SO2|Asthma symptoms cough", US_national_yearly!$D:$AM, 27, FALSE) / VLOOKUP("electricity|SO2|Asthma symptoms cough", US_national_yearly!$D:$AM, 10, FALSE), 1)</f>
        <v>6.87871635543073E-3</v>
      </c>
      <c r="T6" s="7">
        <f>$B6 * IFERROR(VLOOKUP("electricity|SO2|Asthma symptoms cough", US_national_yearly!$D:$AM, 28, FALSE) / VLOOKUP("electricity|SO2|Asthma symptoms cough", US_national_yearly!$D:$AM, 10, FALSE), 1)</f>
        <v>6.87871635543073E-3</v>
      </c>
      <c r="U6" s="7">
        <f>$B6 * IFERROR(VLOOKUP("electricity|SO2|Asthma symptoms cough", US_national_yearly!$D:$AM, 29, FALSE) / VLOOKUP("electricity|SO2|Asthma symptoms cough", US_national_yearly!$D:$AM, 10, FALSE), 1)</f>
        <v>6.87871635543073E-3</v>
      </c>
      <c r="V6" s="7">
        <f>$B6 * IFERROR(VLOOKUP("electricity|SO2|Asthma symptoms cough", US_national_yearly!$D:$AM, 30, FALSE) / VLOOKUP("electricity|SO2|Asthma symptoms cough", US_national_yearly!$D:$AM, 10, FALSE), 1)</f>
        <v>6.87871635543073E-3</v>
      </c>
      <c r="W6" s="7">
        <f>$B6 * IFERROR(VLOOKUP("electricity|SO2|Asthma symptoms cough", US_national_yearly!$D:$AM, 31, FALSE) / VLOOKUP("electricity|SO2|Asthma symptoms cough", US_national_yearly!$D:$AM, 10, FALSE), 1)</f>
        <v>6.87871635543073E-3</v>
      </c>
      <c r="X6" s="7">
        <f>$B6 * IFERROR(VLOOKUP("electricity|SO2|Asthma symptoms cough", US_national_yearly!$D:$AM, 32, FALSE) / VLOOKUP("electricity|SO2|Asthma symptoms cough", US_national_yearly!$D:$AM, 10, FALSE), 1)</f>
        <v>6.87871635543073E-3</v>
      </c>
      <c r="Y6" s="7">
        <f>$B6 * IFERROR(VLOOKUP("electricity|SO2|Asthma symptoms cough", US_national_yearly!$D:$AM, 33, FALSE) / VLOOKUP("electricity|SO2|Asthma symptoms cough", US_national_yearly!$D:$AM, 10, FALSE), 1)</f>
        <v>6.87871635543073E-3</v>
      </c>
      <c r="Z6" s="7">
        <f>$B6 * IFERROR(VLOOKUP("electricity|SO2|Asthma symptoms cough", US_national_yearly!$D:$AM, 34, FALSE) / VLOOKUP("electricity|SO2|Asthma symptoms cough", US_national_yearly!$D:$AM, 10, FALSE), 1)</f>
        <v>6.87871635543073E-3</v>
      </c>
      <c r="AA6" s="7">
        <f>$B6 * IFERROR(VLOOKUP("electricity|SO2|Asthma symptoms cough", US_national_yearly!$D:$AM, 35, FALSE) / VLOOKUP("electricity|SO2|Asthma symptoms cough", US_national_yearly!$D:$AM, 10, FALSE), 1)</f>
        <v>6.87871635543073E-3</v>
      </c>
      <c r="AB6" s="7">
        <f>$B6 * IFERROR(VLOOKUP("electricity|SO2|Asthma symptoms cough", US_national_yearly!$D:$AM, 36, FALSE) / VLOOKUP("electricity|SO2|Asthma symptoms cough", US_national_yearly!$D:$AM, 10, FALSE), 1)</f>
        <v>6.87871635543073E-3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9.2631729583150975E-3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9.2631729583150975E-3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9.2631729583150975E-3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9.2631729583150975E-3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9.2631729583150975E-3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9.2631729583150975E-3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9.2631729583150975E-3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9.2631729583150975E-3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9.2631729583150975E-3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9.2631729583150975E-3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9.2631729583150975E-3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9.2631729583150975E-3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9.2631729583150975E-3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9.2631729583150975E-3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9.2631729583150975E-3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9.2631729583150975E-3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9.2631729583150975E-3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9.2631729583150975E-3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9.2631729583150975E-3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9.2631729583150975E-3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9.2631729583150975E-3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9.2631729583150975E-3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9.2631729583150975E-3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9.2631729583150975E-3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9.2631729583150975E-3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9.2631729583150975E-3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9.2631729583150975E-3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1.4152618133608214E-2</v>
      </c>
      <c r="C8" s="7">
        <f>$B8 * IFERROR(VLOOKUP("electricity|SO2|Asthma symptoms wheeze", US_national_yearly!$D:$AM, 11, FALSE) / VLOOKUP("electricity|SO2|Asthma symptoms wheeze", US_national_yearly!$D:$AM, 10, FALSE), 1)</f>
        <v>1.4152618133608214E-2</v>
      </c>
      <c r="D8" s="7">
        <f>$B8 * IFERROR(VLOOKUP("electricity|SO2|Asthma symptoms wheeze", US_national_yearly!$D:$AM, 12, FALSE) / VLOOKUP("electricity|SO2|Asthma symptoms wheeze", US_national_yearly!$D:$AM, 10, FALSE), 1)</f>
        <v>1.4152618133608214E-2</v>
      </c>
      <c r="E8" s="7">
        <f>$B8 * IFERROR(VLOOKUP("electricity|SO2|Asthma symptoms wheeze", US_national_yearly!$D:$AM, 13, FALSE) / VLOOKUP("electricity|SO2|Asthma symptoms wheeze", US_national_yearly!$D:$AM, 10, FALSE), 1)</f>
        <v>1.4152618133608214E-2</v>
      </c>
      <c r="F8" s="7">
        <f>$B8 * IFERROR(VLOOKUP("electricity|SO2|Asthma symptoms wheeze", US_national_yearly!$D:$AM, 14, FALSE) / VLOOKUP("electricity|SO2|Asthma symptoms wheeze", US_national_yearly!$D:$AM, 10, FALSE), 1)</f>
        <v>1.4152618133608214E-2</v>
      </c>
      <c r="G8" s="7">
        <f>$B8 * IFERROR(VLOOKUP("electricity|SO2|Asthma symptoms wheeze", US_national_yearly!$D:$AM, 15, FALSE) / VLOOKUP("electricity|SO2|Asthma symptoms wheeze", US_national_yearly!$D:$AM, 10, FALSE), 1)</f>
        <v>1.4152618133608214E-2</v>
      </c>
      <c r="H8" s="7">
        <f>$B8 * IFERROR(VLOOKUP("electricity|SO2|Asthma symptoms wheeze", US_national_yearly!$D:$AM, 16, FALSE) / VLOOKUP("electricity|SO2|Asthma symptoms wheeze", US_national_yearly!$D:$AM, 10, FALSE), 1)</f>
        <v>1.4152618133608214E-2</v>
      </c>
      <c r="I8" s="7">
        <f>$B8 * IFERROR(VLOOKUP("electricity|SO2|Asthma symptoms wheeze", US_national_yearly!$D:$AM, 17, FALSE) / VLOOKUP("electricity|SO2|Asthma symptoms wheeze", US_national_yearly!$D:$AM, 10, FALSE), 1)</f>
        <v>1.4152618133608214E-2</v>
      </c>
      <c r="J8" s="7">
        <f>$B8 * IFERROR(VLOOKUP("electricity|SO2|Asthma symptoms wheeze", US_national_yearly!$D:$AM, 18, FALSE) / VLOOKUP("electricity|SO2|Asthma symptoms wheeze", US_national_yearly!$D:$AM, 10, FALSE), 1)</f>
        <v>1.4152618133608214E-2</v>
      </c>
      <c r="K8" s="7">
        <f>$B8 * IFERROR(VLOOKUP("electricity|SO2|Asthma symptoms wheeze", US_national_yearly!$D:$AM, 19, FALSE) / VLOOKUP("electricity|SO2|Asthma symptoms wheeze", US_national_yearly!$D:$AM, 10, FALSE), 1)</f>
        <v>1.4152618133608214E-2</v>
      </c>
      <c r="L8" s="7">
        <f>$B8 * IFERROR(VLOOKUP("electricity|SO2|Asthma symptoms wheeze", US_national_yearly!$D:$AM, 20, FALSE) / VLOOKUP("electricity|SO2|Asthma symptoms wheeze", US_national_yearly!$D:$AM, 10, FALSE), 1)</f>
        <v>1.4152618133608214E-2</v>
      </c>
      <c r="M8" s="7">
        <f>$B8 * IFERROR(VLOOKUP("electricity|SO2|Asthma symptoms wheeze", US_national_yearly!$D:$AM, 21, FALSE) / VLOOKUP("electricity|SO2|Asthma symptoms wheeze", US_national_yearly!$D:$AM, 10, FALSE), 1)</f>
        <v>1.4152618133608214E-2</v>
      </c>
      <c r="N8" s="7">
        <f>$B8 * IFERROR(VLOOKUP("electricity|SO2|Asthma symptoms wheeze", US_national_yearly!$D:$AM, 22, FALSE) / VLOOKUP("electricity|SO2|Asthma symptoms wheeze", US_national_yearly!$D:$AM, 10, FALSE), 1)</f>
        <v>1.4152618133608214E-2</v>
      </c>
      <c r="O8" s="7">
        <f>$B8 * IFERROR(VLOOKUP("electricity|SO2|Asthma symptoms wheeze", US_national_yearly!$D:$AM, 23, FALSE) / VLOOKUP("electricity|SO2|Asthma symptoms wheeze", US_national_yearly!$D:$AM, 10, FALSE), 1)</f>
        <v>1.4152618133608214E-2</v>
      </c>
      <c r="P8" s="7">
        <f>$B8 * IFERROR(VLOOKUP("electricity|SO2|Asthma symptoms wheeze", US_national_yearly!$D:$AM, 24, FALSE) / VLOOKUP("electricity|SO2|Asthma symptoms wheeze", US_national_yearly!$D:$AM, 10, FALSE), 1)</f>
        <v>1.4152618133608214E-2</v>
      </c>
      <c r="Q8" s="7">
        <f>$B8 * IFERROR(VLOOKUP("electricity|SO2|Asthma symptoms wheeze", US_national_yearly!$D:$AM, 25, FALSE) / VLOOKUP("electricity|SO2|Asthma symptoms wheeze", US_national_yearly!$D:$AM, 10, FALSE), 1)</f>
        <v>1.4152618133608214E-2</v>
      </c>
      <c r="R8" s="7">
        <f>$B8 * IFERROR(VLOOKUP("electricity|SO2|Asthma symptoms wheeze", US_national_yearly!$D:$AM, 26, FALSE) / VLOOKUP("electricity|SO2|Asthma symptoms wheeze", US_national_yearly!$D:$AM, 10, FALSE), 1)</f>
        <v>1.4152618133608214E-2</v>
      </c>
      <c r="S8" s="7">
        <f>$B8 * IFERROR(VLOOKUP("electricity|SO2|Asthma symptoms wheeze", US_national_yearly!$D:$AM, 27, FALSE) / VLOOKUP("electricity|SO2|Asthma symptoms wheeze", US_national_yearly!$D:$AM, 10, FALSE), 1)</f>
        <v>1.4152618133608214E-2</v>
      </c>
      <c r="T8" s="7">
        <f>$B8 * IFERROR(VLOOKUP("electricity|SO2|Asthma symptoms wheeze", US_national_yearly!$D:$AM, 28, FALSE) / VLOOKUP("electricity|SO2|Asthma symptoms wheeze", US_national_yearly!$D:$AM, 10, FALSE), 1)</f>
        <v>1.4152618133608214E-2</v>
      </c>
      <c r="U8" s="7">
        <f>$B8 * IFERROR(VLOOKUP("electricity|SO2|Asthma symptoms wheeze", US_national_yearly!$D:$AM, 29, FALSE) / VLOOKUP("electricity|SO2|Asthma symptoms wheeze", US_national_yearly!$D:$AM, 10, FALSE), 1)</f>
        <v>1.4152618133608214E-2</v>
      </c>
      <c r="V8" s="7">
        <f>$B8 * IFERROR(VLOOKUP("electricity|SO2|Asthma symptoms wheeze", US_national_yearly!$D:$AM, 30, FALSE) / VLOOKUP("electricity|SO2|Asthma symptoms wheeze", US_national_yearly!$D:$AM, 10, FALSE), 1)</f>
        <v>1.4152618133608214E-2</v>
      </c>
      <c r="W8" s="7">
        <f>$B8 * IFERROR(VLOOKUP("electricity|SO2|Asthma symptoms wheeze", US_national_yearly!$D:$AM, 31, FALSE) / VLOOKUP("electricity|SO2|Asthma symptoms wheeze", US_national_yearly!$D:$AM, 10, FALSE), 1)</f>
        <v>1.4152618133608214E-2</v>
      </c>
      <c r="X8" s="7">
        <f>$B8 * IFERROR(VLOOKUP("electricity|SO2|Asthma symptoms wheeze", US_national_yearly!$D:$AM, 32, FALSE) / VLOOKUP("electricity|SO2|Asthma symptoms wheeze", US_national_yearly!$D:$AM, 10, FALSE), 1)</f>
        <v>1.4152618133608214E-2</v>
      </c>
      <c r="Y8" s="7">
        <f>$B8 * IFERROR(VLOOKUP("electricity|SO2|Asthma symptoms wheeze", US_national_yearly!$D:$AM, 33, FALSE) / VLOOKUP("electricity|SO2|Asthma symptoms wheeze", US_national_yearly!$D:$AM, 10, FALSE), 1)</f>
        <v>1.4152618133608214E-2</v>
      </c>
      <c r="Z8" s="7">
        <f>$B8 * IFERROR(VLOOKUP("electricity|SO2|Asthma symptoms wheeze", US_national_yearly!$D:$AM, 34, FALSE) / VLOOKUP("electricity|SO2|Asthma symptoms wheeze", US_national_yearly!$D:$AM, 10, FALSE), 1)</f>
        <v>1.4152618133608214E-2</v>
      </c>
      <c r="AA8" s="7">
        <f>$B8 * IFERROR(VLOOKUP("electricity|SO2|Asthma symptoms wheeze", US_national_yearly!$D:$AM, 35, FALSE) / VLOOKUP("electricity|SO2|Asthma symptoms wheeze", US_national_yearly!$D:$AM, 10, FALSE), 1)</f>
        <v>1.4152618133608214E-2</v>
      </c>
      <c r="AB8" s="7">
        <f>$B8 * IFERROR(VLOOKUP("electricity|SO2|Asthma symptoms wheeze", US_national_yearly!$D:$AM, 36, FALSE) / VLOOKUP("electricity|SO2|Asthma symptoms wheeze", US_national_yearly!$D:$AM, 10, FALSE), 1)</f>
        <v>1.4152618133608214E-2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2.2563488296492218E-4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2.269637891476548E-4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2.2829269533038748E-4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2.296216015131201E-4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2.3095050769585278E-4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2.3239861086727883E-4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2.3384671403870494E-4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2.3523981045250731E-4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2.3663290686630971E-4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2.3802600328011212E-4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2.3941909969391449E-4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2.408121961077169E-4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2.4181140900167585E-4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2.4281062189563486E-4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2.4380983478959381E-4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2.4480904768355276E-4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2.458082605775118E-4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2.467513704661034E-4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2.4769448035469506E-4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2.4863759024328666E-4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2.4958070013187831E-4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2.5052381002047002E-4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2.5142856074479255E-4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2.5233331146911513E-4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2.5323806219343777E-4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2.5414281291776029E-4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2.5504756364208293E-4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1.3885142055474701E-3</v>
      </c>
      <c r="C13" s="7">
        <f>$B13 * IFERROR(VLOOKUP("electricity|SO2|Non-fatal heart attacks", US_national_yearly!$D:$AM, 11, FALSE) / VLOOKUP("electricity|SO2|Non-fatal heart attacks", US_national_yearly!$D:$AM, 10, FALSE), 1)</f>
        <v>1.4294136822547694E-3</v>
      </c>
      <c r="D13" s="7">
        <f>$B13 * IFERROR(VLOOKUP("electricity|SO2|Non-fatal heart attacks", US_national_yearly!$D:$AM, 12, FALSE) / VLOOKUP("electricity|SO2|Non-fatal heart attacks", US_national_yearly!$D:$AM, 10, FALSE), 1)</f>
        <v>1.4703131589620683E-3</v>
      </c>
      <c r="E13" s="7">
        <f>$B13 * IFERROR(VLOOKUP("electricity|SO2|Non-fatal heart attacks", US_national_yearly!$D:$AM, 13, FALSE) / VLOOKUP("electricity|SO2|Non-fatal heart attacks", US_national_yearly!$D:$AM, 10, FALSE), 1)</f>
        <v>1.5112126356693677E-3</v>
      </c>
      <c r="F13" s="7">
        <f>$B13 * IFERROR(VLOOKUP("electricity|SO2|Non-fatal heart attacks", US_national_yearly!$D:$AM, 14, FALSE) / VLOOKUP("electricity|SO2|Non-fatal heart attacks", US_national_yearly!$D:$AM, 10, FALSE), 1)</f>
        <v>1.5521121123766668E-3</v>
      </c>
      <c r="G13" s="7">
        <f>$B13 * IFERROR(VLOOKUP("electricity|SO2|Non-fatal heart attacks", US_national_yearly!$D:$AM, 15, FALSE) / VLOOKUP("electricity|SO2|Non-fatal heart attacks", US_national_yearly!$D:$AM, 10, FALSE), 1)</f>
        <v>1.5909269428814978E-3</v>
      </c>
      <c r="H13" s="7">
        <f>$B13 * IFERROR(VLOOKUP("electricity|SO2|Non-fatal heart attacks", US_national_yearly!$D:$AM, 16, FALSE) / VLOOKUP("electricity|SO2|Non-fatal heart attacks", US_national_yearly!$D:$AM, 10, FALSE), 1)</f>
        <v>1.629741773386329E-3</v>
      </c>
      <c r="I13" s="7">
        <f>$B13 * IFERROR(VLOOKUP("electricity|SO2|Non-fatal heart attacks", US_national_yearly!$D:$AM, 17, FALSE) / VLOOKUP("electricity|SO2|Non-fatal heart attacks", US_national_yearly!$D:$AM, 10, FALSE), 1)</f>
        <v>1.6613520100182244E-3</v>
      </c>
      <c r="J13" s="7">
        <f>$B13 * IFERROR(VLOOKUP("electricity|SO2|Non-fatal heart attacks", US_national_yearly!$D:$AM, 18, FALSE) / VLOOKUP("electricity|SO2|Non-fatal heart attacks", US_national_yearly!$D:$AM, 10, FALSE), 1)</f>
        <v>1.6929622466501193E-3</v>
      </c>
      <c r="K13" s="7">
        <f>$B13 * IFERROR(VLOOKUP("electricity|SO2|Non-fatal heart attacks", US_national_yearly!$D:$AM, 19, FALSE) / VLOOKUP("electricity|SO2|Non-fatal heart attacks", US_national_yearly!$D:$AM, 10, FALSE), 1)</f>
        <v>1.7245724832820146E-3</v>
      </c>
      <c r="L13" s="7">
        <f>$B13 * IFERROR(VLOOKUP("electricity|SO2|Non-fatal heart attacks", US_national_yearly!$D:$AM, 20, FALSE) / VLOOKUP("electricity|SO2|Non-fatal heart attacks", US_national_yearly!$D:$AM, 10, FALSE), 1)</f>
        <v>1.7561827199139097E-3</v>
      </c>
      <c r="M13" s="7">
        <f>$B13 * IFERROR(VLOOKUP("electricity|SO2|Non-fatal heart attacks", US_national_yearly!$D:$AM, 21, FALSE) / VLOOKUP("electricity|SO2|Non-fatal heart attacks", US_national_yearly!$D:$AM, 10, FALSE), 1)</f>
        <v>1.7877929565458051E-3</v>
      </c>
      <c r="N13" s="7">
        <f>$B13 * IFERROR(VLOOKUP("electricity|SO2|Non-fatal heart attacks", US_national_yearly!$D:$AM, 22, FALSE) / VLOOKUP("electricity|SO2|Non-fatal heart attacks", US_national_yearly!$D:$AM, 10, FALSE), 1)</f>
        <v>1.8086384194437059E-3</v>
      </c>
      <c r="O13" s="7">
        <f>$B13 * IFERROR(VLOOKUP("electricity|SO2|Non-fatal heart attacks", US_national_yearly!$D:$AM, 23, FALSE) / VLOOKUP("electricity|SO2|Non-fatal heart attacks", US_national_yearly!$D:$AM, 10, FALSE), 1)</f>
        <v>1.8294838823416065E-3</v>
      </c>
      <c r="P13" s="7">
        <f>$B13 * IFERROR(VLOOKUP("electricity|SO2|Non-fatal heart attacks", US_national_yearly!$D:$AM, 24, FALSE) / VLOOKUP("electricity|SO2|Non-fatal heart attacks", US_national_yearly!$D:$AM, 10, FALSE), 1)</f>
        <v>1.8503293452395075E-3</v>
      </c>
      <c r="Q13" s="7">
        <f>$B13 * IFERROR(VLOOKUP("electricity|SO2|Non-fatal heart attacks", US_national_yearly!$D:$AM, 25, FALSE) / VLOOKUP("electricity|SO2|Non-fatal heart attacks", US_national_yearly!$D:$AM, 10, FALSE), 1)</f>
        <v>1.8711748081374083E-3</v>
      </c>
      <c r="R13" s="7">
        <f>$B13 * IFERROR(VLOOKUP("electricity|SO2|Non-fatal heart attacks", US_national_yearly!$D:$AM, 26, FALSE) / VLOOKUP("electricity|SO2|Non-fatal heart attacks", US_national_yearly!$D:$AM, 10, FALSE), 1)</f>
        <v>1.8920202710353091E-3</v>
      </c>
      <c r="S13" s="7">
        <f>$B13 * IFERROR(VLOOKUP("electricity|SO2|Non-fatal heart attacks", US_national_yearly!$D:$AM, 27, FALSE) / VLOOKUP("electricity|SO2|Non-fatal heart attacks", US_national_yearly!$D:$AM, 10, FALSE), 1)</f>
        <v>1.9033638758843435E-3</v>
      </c>
      <c r="T13" s="7">
        <f>$B13 * IFERROR(VLOOKUP("electricity|SO2|Non-fatal heart attacks", US_national_yearly!$D:$AM, 28, FALSE) / VLOOKUP("electricity|SO2|Non-fatal heart attacks", US_national_yearly!$D:$AM, 10, FALSE), 1)</f>
        <v>1.9147074807333781E-3</v>
      </c>
      <c r="U13" s="7">
        <f>$B13 * IFERROR(VLOOKUP("electricity|SO2|Non-fatal heart attacks", US_national_yearly!$D:$AM, 29, FALSE) / VLOOKUP("electricity|SO2|Non-fatal heart attacks", US_national_yearly!$D:$AM, 10, FALSE), 1)</f>
        <v>1.9260510855824125E-3</v>
      </c>
      <c r="V13" s="7">
        <f>$B13 * IFERROR(VLOOKUP("electricity|SO2|Non-fatal heart attacks", US_national_yearly!$D:$AM, 30, FALSE) / VLOOKUP("electricity|SO2|Non-fatal heart attacks", US_national_yearly!$D:$AM, 10, FALSE), 1)</f>
        <v>1.9373946904314464E-3</v>
      </c>
      <c r="W13" s="7">
        <f>$B13 * IFERROR(VLOOKUP("electricity|SO2|Non-fatal heart attacks", US_national_yearly!$D:$AM, 31, FALSE) / VLOOKUP("electricity|SO2|Non-fatal heart attacks", US_national_yearly!$D:$AM, 10, FALSE), 1)</f>
        <v>1.948738295280481E-3</v>
      </c>
      <c r="X13" s="7">
        <f>$B13 * IFERROR(VLOOKUP("electricity|SO2|Non-fatal heart attacks", US_national_yearly!$D:$AM, 32, FALSE) / VLOOKUP("electricity|SO2|Non-fatal heart attacks", US_national_yearly!$D:$AM, 10, FALSE), 1)</f>
        <v>1.9574520775730775E-3</v>
      </c>
      <c r="Y13" s="7">
        <f>$B13 * IFERROR(VLOOKUP("electricity|SO2|Non-fatal heart attacks", US_national_yearly!$D:$AM, 33, FALSE) / VLOOKUP("electricity|SO2|Non-fatal heart attacks", US_national_yearly!$D:$AM, 10, FALSE), 1)</f>
        <v>1.9661658598656745E-3</v>
      </c>
      <c r="Z13" s="7">
        <f>$B13 * IFERROR(VLOOKUP("electricity|SO2|Non-fatal heart attacks", US_national_yearly!$D:$AM, 34, FALSE) / VLOOKUP("electricity|SO2|Non-fatal heart attacks", US_national_yearly!$D:$AM, 10, FALSE), 1)</f>
        <v>1.9748796421582707E-3</v>
      </c>
      <c r="AA13" s="7">
        <f>$B13 * IFERROR(VLOOKUP("electricity|SO2|Non-fatal heart attacks", US_national_yearly!$D:$AM, 35, FALSE) / VLOOKUP("electricity|SO2|Non-fatal heart attacks", US_national_yearly!$D:$AM, 10, FALSE), 1)</f>
        <v>1.9835934244508673E-3</v>
      </c>
      <c r="AB13" s="7">
        <f>$B13 * IFERROR(VLOOKUP("electricity|SO2|Non-fatal heart attacks", US_national_yearly!$D:$AM, 36, FALSE) / VLOOKUP("electricity|SO2|Non-fatal heart attacks", US_national_yearly!$D:$AM, 10, FALSE), 1)</f>
        <v>1.9923072067434644E-3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0.89460195804075426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0.89685004996582307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0.89909814189089199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0.90134623381596102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0.9035943257410296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0.90684233254996816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0.91009033935890671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0.91566092110413178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0.92123150284935695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0.92680208459458191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0.93237266633980731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0.93794324808503227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0.94561474380450061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0.95328623952396874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0.96095773524343686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0.96862923096290521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0.97630072668237344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0.98416521927211964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0.99202971186186595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0.99989420445161203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1.0077586970413583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1.0156231896311048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1.0225430811818201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1.0294629727325353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1.0363828642832507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1.043302755833966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1.0502226473846812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0.15060987314244104</v>
      </c>
      <c r="C15" s="7">
        <f>$B15 * IFERROR(VLOOKUP("electricity|SO2|Work loss days", US_national_yearly!$D:$AM, 11, FALSE) / VLOOKUP("electricity|SO2|Work loss days", US_national_yearly!$D:$AM, 10, FALSE), 1)</f>
        <v>0.15109755246659656</v>
      </c>
      <c r="D15" s="7">
        <f>$B15 * IFERROR(VLOOKUP("electricity|SO2|Work loss days", US_national_yearly!$D:$AM, 12, FALSE) / VLOOKUP("electricity|SO2|Work loss days", US_national_yearly!$D:$AM, 10, FALSE), 1)</f>
        <v>0.15158523179075209</v>
      </c>
      <c r="E15" s="7">
        <f>$B15 * IFERROR(VLOOKUP("electricity|SO2|Work loss days", US_national_yearly!$D:$AM, 13, FALSE) / VLOOKUP("electricity|SO2|Work loss days", US_national_yearly!$D:$AM, 10, FALSE), 1)</f>
        <v>0.15207291111490764</v>
      </c>
      <c r="F15" s="7">
        <f>$B15 * IFERROR(VLOOKUP("electricity|SO2|Work loss days", US_national_yearly!$D:$AM, 14, FALSE) / VLOOKUP("electricity|SO2|Work loss days", US_national_yearly!$D:$AM, 10, FALSE), 1)</f>
        <v>0.15256059043906317</v>
      </c>
      <c r="G15" s="7">
        <f>$B15 * IFERROR(VLOOKUP("electricity|SO2|Work loss days", US_national_yearly!$D:$AM, 15, FALSE) / VLOOKUP("electricity|SO2|Work loss days", US_national_yearly!$D:$AM, 10, FALSE), 1)</f>
        <v>0.15318533787184294</v>
      </c>
      <c r="H15" s="7">
        <f>$B15 * IFERROR(VLOOKUP("electricity|SO2|Work loss days", US_national_yearly!$D:$AM, 16, FALSE) / VLOOKUP("electricity|SO2|Work loss days", US_national_yearly!$D:$AM, 10, FALSE), 1)</f>
        <v>0.15381008530462267</v>
      </c>
      <c r="I15" s="7">
        <f>$B15 * IFERROR(VLOOKUP("electricity|SO2|Work loss days", US_national_yearly!$D:$AM, 17, FALSE) / VLOOKUP("electricity|SO2|Work loss days", US_national_yearly!$D:$AM, 10, FALSE), 1)</f>
        <v>0.15472416428723199</v>
      </c>
      <c r="J15" s="7">
        <f>$B15 * IFERROR(VLOOKUP("electricity|SO2|Work loss days", US_national_yearly!$D:$AM, 18, FALSE) / VLOOKUP("electricity|SO2|Work loss days", US_national_yearly!$D:$AM, 10, FALSE), 1)</f>
        <v>0.15563824326984127</v>
      </c>
      <c r="K15" s="7">
        <f>$B15 * IFERROR(VLOOKUP("electricity|SO2|Work loss days", US_national_yearly!$D:$AM, 19, FALSE) / VLOOKUP("electricity|SO2|Work loss days", US_national_yearly!$D:$AM, 10, FALSE), 1)</f>
        <v>0.15655232225245061</v>
      </c>
      <c r="L15" s="7">
        <f>$B15 * IFERROR(VLOOKUP("electricity|SO2|Work loss days", US_national_yearly!$D:$AM, 20, FALSE) / VLOOKUP("electricity|SO2|Work loss days", US_national_yearly!$D:$AM, 10, FALSE), 1)</f>
        <v>0.15746640123505989</v>
      </c>
      <c r="M15" s="7">
        <f>$B15 * IFERROR(VLOOKUP("electricity|SO2|Work loss days", US_national_yearly!$D:$AM, 21, FALSE) / VLOOKUP("electricity|SO2|Work loss days", US_national_yearly!$D:$AM, 10, FALSE), 1)</f>
        <v>0.15838048021766923</v>
      </c>
      <c r="N15" s="7">
        <f>$B15 * IFERROR(VLOOKUP("electricity|SO2|Work loss days", US_national_yearly!$D:$AM, 22, FALSE) / VLOOKUP("electricity|SO2|Work loss days", US_national_yearly!$D:$AM, 10, FALSE), 1)</f>
        <v>0.15953701745684878</v>
      </c>
      <c r="O15" s="7">
        <f>$B15 * IFERROR(VLOOKUP("electricity|SO2|Work loss days", US_national_yearly!$D:$AM, 23, FALSE) / VLOOKUP("electricity|SO2|Work loss days", US_national_yearly!$D:$AM, 10, FALSE), 1)</f>
        <v>0.16069355469602833</v>
      </c>
      <c r="P15" s="7">
        <f>$B15 * IFERROR(VLOOKUP("electricity|SO2|Work loss days", US_national_yearly!$D:$AM, 24, FALSE) / VLOOKUP("electricity|SO2|Work loss days", US_national_yearly!$D:$AM, 10, FALSE), 1)</f>
        <v>0.16185009193520791</v>
      </c>
      <c r="Q15" s="7">
        <f>$B15 * IFERROR(VLOOKUP("electricity|SO2|Work loss days", US_national_yearly!$D:$AM, 25, FALSE) / VLOOKUP("electricity|SO2|Work loss days", US_national_yearly!$D:$AM, 10, FALSE), 1)</f>
        <v>0.16300662917438744</v>
      </c>
      <c r="R15" s="7">
        <f>$B15 * IFERROR(VLOOKUP("electricity|SO2|Work loss days", US_national_yearly!$D:$AM, 26, FALSE) / VLOOKUP("electricity|SO2|Work loss days", US_national_yearly!$D:$AM, 10, FALSE), 1)</f>
        <v>0.16416316641356701</v>
      </c>
      <c r="S15" s="7">
        <f>$B15 * IFERROR(VLOOKUP("electricity|SO2|Work loss days", US_national_yearly!$D:$AM, 27, FALSE) / VLOOKUP("electricity|SO2|Work loss days", US_national_yearly!$D:$AM, 10, FALSE), 1)</f>
        <v>0.16545975258334605</v>
      </c>
      <c r="T15" s="7">
        <f>$B15 * IFERROR(VLOOKUP("electricity|SO2|Work loss days", US_national_yearly!$D:$AM, 28, FALSE) / VLOOKUP("electricity|SO2|Work loss days", US_national_yearly!$D:$AM, 10, FALSE), 1)</f>
        <v>0.16675633875312512</v>
      </c>
      <c r="U15" s="7">
        <f>$B15 * IFERROR(VLOOKUP("electricity|SO2|Work loss days", US_national_yearly!$D:$AM, 29, FALSE) / VLOOKUP("electricity|SO2|Work loss days", US_national_yearly!$D:$AM, 10, FALSE), 1)</f>
        <v>0.16805292492290419</v>
      </c>
      <c r="V15" s="7">
        <f>$B15 * IFERROR(VLOOKUP("electricity|SO2|Work loss days", US_national_yearly!$D:$AM, 30, FALSE) / VLOOKUP("electricity|SO2|Work loss days", US_national_yearly!$D:$AM, 10, FALSE), 1)</f>
        <v>0.16934951109268326</v>
      </c>
      <c r="W15" s="7">
        <f>$B15 * IFERROR(VLOOKUP("electricity|SO2|Work loss days", US_national_yearly!$D:$AM, 31, FALSE) / VLOOKUP("electricity|SO2|Work loss days", US_national_yearly!$D:$AM, 10, FALSE), 1)</f>
        <v>0.17064609726246233</v>
      </c>
      <c r="X15" s="7">
        <f>$B15 * IFERROR(VLOOKUP("electricity|SO2|Work loss days", US_national_yearly!$D:$AM, 32, FALSE) / VLOOKUP("electricity|SO2|Work loss days", US_national_yearly!$D:$AM, 10, FALSE), 1)</f>
        <v>0.17181419316144533</v>
      </c>
      <c r="Y15" s="7">
        <f>$B15 * IFERROR(VLOOKUP("electricity|SO2|Work loss days", US_national_yearly!$D:$AM, 33, FALSE) / VLOOKUP("electricity|SO2|Work loss days", US_national_yearly!$D:$AM, 10, FALSE), 1)</f>
        <v>0.17298228906042837</v>
      </c>
      <c r="Z15" s="7">
        <f>$B15 * IFERROR(VLOOKUP("electricity|SO2|Work loss days", US_national_yearly!$D:$AM, 34, FALSE) / VLOOKUP("electricity|SO2|Work loss days", US_national_yearly!$D:$AM, 10, FALSE), 1)</f>
        <v>0.17415038495941135</v>
      </c>
      <c r="AA15" s="7">
        <f>$B15 * IFERROR(VLOOKUP("electricity|SO2|Work loss days", US_national_yearly!$D:$AM, 35, FALSE) / VLOOKUP("electricity|SO2|Work loss days", US_national_yearly!$D:$AM, 10, FALSE), 1)</f>
        <v>0.17531848085839435</v>
      </c>
      <c r="AB15" s="7">
        <f>$B15 * IFERROR(VLOOKUP("electricity|SO2|Work loss days", US_national_yearly!$D:$AM, 36, FALSE) / VLOOKUP("electricity|SO2|Work loss days", US_national_yearly!$D:$AM, 10, FALSE), 1)</f>
        <v>0.17648657675737739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3.7802793955377762E-4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3.8948323697264191E-4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4.0093853439150613E-4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4.1239383181037052E-4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4.2384912922923475E-4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4.3489130599171631E-4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4.4593348275419786E-4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4.5549314282725454E-4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4.6505280290031116E-4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4.7461246297336777E-4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4.8417212304642434E-4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4.9373178311948101E-4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5.0025622563217584E-4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5.0678066814487067E-4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5.1330511065756572E-4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5.1982955317026055E-4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5.2635399568295548E-4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5.2993081459207648E-4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5.3350763350119737E-4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5.3708445241031826E-4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5.4066127131943914E-4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5.4423809022856014E-4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5.4670712475948422E-4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5.4917615929040808E-4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5.5164519382133205E-4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5.5411422835225613E-4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5.565832628831801E-4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5.2599057012206199E-2</v>
      </c>
      <c r="C2" s="7">
        <f>$B2 * IFERROR(VLOOKUP("buildings|PM25|Premature mortality", US_national_yearly!$D:$AM, 11, FALSE) / VLOOKUP("buildings|PM25|Premature mortality", US_national_yearly!$D:$AM, 10, FALSE), 1)</f>
        <v>5.3251642383411936E-2</v>
      </c>
      <c r="D2" s="7">
        <f>$B2 * IFERROR(VLOOKUP("buildings|PM25|Premature mortality", US_national_yearly!$D:$AM, 12, FALSE) / VLOOKUP("buildings|PM25|Premature mortality", US_national_yearly!$D:$AM, 10, FALSE), 1)</f>
        <v>5.3904227754617673E-2</v>
      </c>
      <c r="E2" s="7">
        <f>$B2 * IFERROR(VLOOKUP("buildings|PM25|Premature mortality", US_national_yearly!$D:$AM, 13, FALSE) / VLOOKUP("buildings|PM25|Premature mortality", US_national_yearly!$D:$AM, 10, FALSE), 1)</f>
        <v>5.4556813125823417E-2</v>
      </c>
      <c r="F2" s="7">
        <f>$B2 * IFERROR(VLOOKUP("buildings|PM25|Premature mortality", US_national_yearly!$D:$AM, 14, FALSE) / VLOOKUP("buildings|PM25|Premature mortality", US_national_yearly!$D:$AM, 10, FALSE), 1)</f>
        <v>5.5209398497029154E-2</v>
      </c>
      <c r="G2" s="7">
        <f>$B2 * IFERROR(VLOOKUP("buildings|PM25|Premature mortality", US_national_yearly!$D:$AM, 15, FALSE) / VLOOKUP("buildings|PM25|Premature mortality", US_national_yearly!$D:$AM, 10, FALSE), 1)</f>
        <v>5.6480116041151558E-2</v>
      </c>
      <c r="H2" s="7">
        <f>$B2 * IFERROR(VLOOKUP("buildings|PM25|Premature mortality", US_national_yearly!$D:$AM, 16, FALSE) / VLOOKUP("buildings|PM25|Premature mortality", US_national_yearly!$D:$AM, 10, FALSE), 1)</f>
        <v>5.775083358527397E-2</v>
      </c>
      <c r="I2" s="7">
        <f>$B2 * IFERROR(VLOOKUP("buildings|PM25|Premature mortality", US_national_yearly!$D:$AM, 17, FALSE) / VLOOKUP("buildings|PM25|Premature mortality", US_national_yearly!$D:$AM, 10, FALSE), 1)</f>
        <v>5.8586562627159139E-2</v>
      </c>
      <c r="J2" s="7">
        <f>$B2 * IFERROR(VLOOKUP("buildings|PM25|Premature mortality", US_national_yearly!$D:$AM, 18, FALSE) / VLOOKUP("buildings|PM25|Premature mortality", US_national_yearly!$D:$AM, 10, FALSE), 1)</f>
        <v>5.9422291669044308E-2</v>
      </c>
      <c r="K2" s="7">
        <f>$B2 * IFERROR(VLOOKUP("buildings|PM25|Premature mortality", US_national_yearly!$D:$AM, 19, FALSE) / VLOOKUP("buildings|PM25|Premature mortality", US_national_yearly!$D:$AM, 10, FALSE), 1)</f>
        <v>6.0258020710929477E-2</v>
      </c>
      <c r="L2" s="7">
        <f>$B2 * IFERROR(VLOOKUP("buildings|PM25|Premature mortality", US_national_yearly!$D:$AM, 20, FALSE) / VLOOKUP("buildings|PM25|Premature mortality", US_national_yearly!$D:$AM, 10, FALSE), 1)</f>
        <v>6.1093749752814647E-2</v>
      </c>
      <c r="M2" s="7">
        <f>$B2 * IFERROR(VLOOKUP("buildings|PM25|Premature mortality", US_national_yearly!$D:$AM, 21, FALSE) / VLOOKUP("buildings|PM25|Premature mortality", US_national_yearly!$D:$AM, 10, FALSE), 1)</f>
        <v>6.1929478794699816E-2</v>
      </c>
      <c r="N2" s="7">
        <f>$B2 * IFERROR(VLOOKUP("buildings|PM25|Premature mortality", US_national_yearly!$D:$AM, 22, FALSE) / VLOOKUP("buildings|PM25|Premature mortality", US_national_yearly!$D:$AM, 10, FALSE), 1)</f>
        <v>6.2579351009205739E-2</v>
      </c>
      <c r="O2" s="7">
        <f>$B2 * IFERROR(VLOOKUP("buildings|PM25|Premature mortality", US_national_yearly!$D:$AM, 23, FALSE) / VLOOKUP("buildings|PM25|Premature mortality", US_national_yearly!$D:$AM, 10, FALSE), 1)</f>
        <v>6.3229223223711675E-2</v>
      </c>
      <c r="P2" s="7">
        <f>$B2 * IFERROR(VLOOKUP("buildings|PM25|Premature mortality", US_national_yearly!$D:$AM, 24, FALSE) / VLOOKUP("buildings|PM25|Premature mortality", US_national_yearly!$D:$AM, 10, FALSE), 1)</f>
        <v>6.3879095438217598E-2</v>
      </c>
      <c r="Q2" s="7">
        <f>$B2 * IFERROR(VLOOKUP("buildings|PM25|Premature mortality", US_national_yearly!$D:$AM, 25, FALSE) / VLOOKUP("buildings|PM25|Premature mortality", US_national_yearly!$D:$AM, 10, FALSE), 1)</f>
        <v>6.4528967652723548E-2</v>
      </c>
      <c r="R2" s="7">
        <f>$B2 * IFERROR(VLOOKUP("buildings|PM25|Premature mortality", US_national_yearly!$D:$AM, 26, FALSE) / VLOOKUP("buildings|PM25|Premature mortality", US_national_yearly!$D:$AM, 10, FALSE), 1)</f>
        <v>6.5178839867229485E-2</v>
      </c>
      <c r="S2" s="7">
        <f>$B2 * IFERROR(VLOOKUP("buildings|PM25|Premature mortality", US_national_yearly!$D:$AM, 27, FALSE) / VLOOKUP("buildings|PM25|Premature mortality", US_national_yearly!$D:$AM, 10, FALSE), 1)</f>
        <v>6.5524253404340649E-2</v>
      </c>
      <c r="T2" s="7">
        <f>$B2 * IFERROR(VLOOKUP("buildings|PM25|Premature mortality", US_national_yearly!$D:$AM, 28, FALSE) / VLOOKUP("buildings|PM25|Premature mortality", US_national_yearly!$D:$AM, 10, FALSE), 1)</f>
        <v>6.5869666941451827E-2</v>
      </c>
      <c r="U2" s="7">
        <f>$B2 * IFERROR(VLOOKUP("buildings|PM25|Premature mortality", US_national_yearly!$D:$AM, 29, FALSE) / VLOOKUP("buildings|PM25|Premature mortality", US_national_yearly!$D:$AM, 10, FALSE), 1)</f>
        <v>6.6215080478563004E-2</v>
      </c>
      <c r="V2" s="7">
        <f>$B2 * IFERROR(VLOOKUP("buildings|PM25|Premature mortality", US_national_yearly!$D:$AM, 30, FALSE) / VLOOKUP("buildings|PM25|Premature mortality", US_national_yearly!$D:$AM, 10, FALSE), 1)</f>
        <v>6.6560494015674182E-2</v>
      </c>
      <c r="W2" s="7">
        <f>$B2 * IFERROR(VLOOKUP("buildings|PM25|Premature mortality", US_national_yearly!$D:$AM, 31, FALSE) / VLOOKUP("buildings|PM25|Premature mortality", US_national_yearly!$D:$AM, 10, FALSE), 1)</f>
        <v>6.6905907552785346E-2</v>
      </c>
      <c r="X2" s="7">
        <f>$B2 * IFERROR(VLOOKUP("buildings|PM25|Premature mortality", US_national_yearly!$D:$AM, 32, FALSE) / VLOOKUP("buildings|PM25|Premature mortality", US_national_yearly!$D:$AM, 10, FALSE), 1)</f>
        <v>6.6967906509659836E-2</v>
      </c>
      <c r="Y2" s="7">
        <f>$B2 * IFERROR(VLOOKUP("buildings|PM25|Premature mortality", US_national_yearly!$D:$AM, 33, FALSE) / VLOOKUP("buildings|PM25|Premature mortality", US_national_yearly!$D:$AM, 10, FALSE), 1)</f>
        <v>6.7029905466534312E-2</v>
      </c>
      <c r="Z2" s="7">
        <f>$B2 * IFERROR(VLOOKUP("buildings|PM25|Premature mortality", US_national_yearly!$D:$AM, 34, FALSE) / VLOOKUP("buildings|PM25|Premature mortality", US_national_yearly!$D:$AM, 10, FALSE), 1)</f>
        <v>6.7091904423408788E-2</v>
      </c>
      <c r="AA2" s="7">
        <f>$B2 * IFERROR(VLOOKUP("buildings|PM25|Premature mortality", US_national_yearly!$D:$AM, 35, FALSE) / VLOOKUP("buildings|PM25|Premature mortality", US_national_yearly!$D:$AM, 10, FALSE), 1)</f>
        <v>6.7153903380283278E-2</v>
      </c>
      <c r="AB2" s="7">
        <f>$B2 * IFERROR(VLOOKUP("buildings|PM25|Premature mortality", US_national_yearly!$D:$AM, 36, FALSE) / VLOOKUP("buildings|PM25|Premature mortality", US_national_yearly!$D:$AM, 10, FALSE), 1)</f>
        <v>6.721590233715774E-2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1.2140906707363312E-4</v>
      </c>
      <c r="C3" s="7">
        <f>$B3 * IFERROR(VLOOKUP("buildings|PM25|Infant mortality", US_national_yearly!$D:$AM, 11, FALSE) / VLOOKUP("buildings|PM25|Infant mortality", US_national_yearly!$D:$AM, 10, FALSE), 1)</f>
        <v>1.2035746815518293E-4</v>
      </c>
      <c r="D3" s="7">
        <f>$B3 * IFERROR(VLOOKUP("buildings|PM25|Infant mortality", US_national_yearly!$D:$AM, 12, FALSE) / VLOOKUP("buildings|PM25|Infant mortality", US_national_yearly!$D:$AM, 10, FALSE), 1)</f>
        <v>1.1930586923673275E-4</v>
      </c>
      <c r="E3" s="7">
        <f>$B3 * IFERROR(VLOOKUP("buildings|PM25|Infant mortality", US_national_yearly!$D:$AM, 13, FALSE) / VLOOKUP("buildings|PM25|Infant mortality", US_national_yearly!$D:$AM, 10, FALSE), 1)</f>
        <v>1.1825427031828255E-4</v>
      </c>
      <c r="F3" s="7">
        <f>$B3 * IFERROR(VLOOKUP("buildings|PM25|Infant mortality", US_national_yearly!$D:$AM, 14, FALSE) / VLOOKUP("buildings|PM25|Infant mortality", US_national_yearly!$D:$AM, 10, FALSE), 1)</f>
        <v>1.1720267139983238E-4</v>
      </c>
      <c r="G3" s="7">
        <f>$B3 * IFERROR(VLOOKUP("buildings|PM25|Infant mortality", US_national_yearly!$D:$AM, 15, FALSE) / VLOOKUP("buildings|PM25|Infant mortality", US_national_yearly!$D:$AM, 10, FALSE), 1)</f>
        <v>7.7935524464636317E-5</v>
      </c>
      <c r="H3" s="7">
        <f>$B3 * IFERROR(VLOOKUP("buildings|PM25|Infant mortality", US_national_yearly!$D:$AM, 16, FALSE) / VLOOKUP("buildings|PM25|Infant mortality", US_national_yearly!$D:$AM, 10, FALSE), 1)</f>
        <v>3.8668377529440255E-5</v>
      </c>
      <c r="I3" s="7">
        <f>$B3 * IFERROR(VLOOKUP("buildings|PM25|Infant mortality", US_national_yearly!$D:$AM, 17, FALSE) / VLOOKUP("buildings|PM25|Infant mortality", US_national_yearly!$D:$AM, 10, FALSE), 1)</f>
        <v>3.8416398696372107E-5</v>
      </c>
      <c r="J3" s="7">
        <f>$B3 * IFERROR(VLOOKUP("buildings|PM25|Infant mortality", US_national_yearly!$D:$AM, 18, FALSE) / VLOOKUP("buildings|PM25|Infant mortality", US_national_yearly!$D:$AM, 10, FALSE), 1)</f>
        <v>3.8164419863303951E-5</v>
      </c>
      <c r="K3" s="7">
        <f>$B3 * IFERROR(VLOOKUP("buildings|PM25|Infant mortality", US_national_yearly!$D:$AM, 19, FALSE) / VLOOKUP("buildings|PM25|Infant mortality", US_national_yearly!$D:$AM, 10, FALSE), 1)</f>
        <v>3.7912441030235802E-5</v>
      </c>
      <c r="L3" s="7">
        <f>$B3 * IFERROR(VLOOKUP("buildings|PM25|Infant mortality", US_national_yearly!$D:$AM, 20, FALSE) / VLOOKUP("buildings|PM25|Infant mortality", US_national_yearly!$D:$AM, 10, FALSE), 1)</f>
        <v>3.7660462197167653E-5</v>
      </c>
      <c r="M3" s="7">
        <f>$B3 * IFERROR(VLOOKUP("buildings|PM25|Infant mortality", US_national_yearly!$D:$AM, 21, FALSE) / VLOOKUP("buildings|PM25|Infant mortality", US_national_yearly!$D:$AM, 10, FALSE), 1)</f>
        <v>3.7408483364099497E-5</v>
      </c>
      <c r="N3" s="7">
        <f>$B3 * IFERROR(VLOOKUP("buildings|PM25|Infant mortality", US_national_yearly!$D:$AM, 22, FALSE) / VLOOKUP("buildings|PM25|Infant mortality", US_national_yearly!$D:$AM, 10, FALSE), 1)</f>
        <v>3.7250821289648198E-5</v>
      </c>
      <c r="O3" s="7">
        <f>$B3 * IFERROR(VLOOKUP("buildings|PM25|Infant mortality", US_national_yearly!$D:$AM, 23, FALSE) / VLOOKUP("buildings|PM25|Infant mortality", US_national_yearly!$D:$AM, 10, FALSE), 1)</f>
        <v>3.70931592151969E-5</v>
      </c>
      <c r="P3" s="7">
        <f>$B3 * IFERROR(VLOOKUP("buildings|PM25|Infant mortality", US_national_yearly!$D:$AM, 24, FALSE) / VLOOKUP("buildings|PM25|Infant mortality", US_national_yearly!$D:$AM, 10, FALSE), 1)</f>
        <v>3.6935497140745601E-5</v>
      </c>
      <c r="Q3" s="7">
        <f>$B3 * IFERROR(VLOOKUP("buildings|PM25|Infant mortality", US_national_yearly!$D:$AM, 25, FALSE) / VLOOKUP("buildings|PM25|Infant mortality", US_national_yearly!$D:$AM, 10, FALSE), 1)</f>
        <v>3.6777835066294302E-5</v>
      </c>
      <c r="R3" s="7">
        <f>$B3 * IFERROR(VLOOKUP("buildings|PM25|Infant mortality", US_national_yearly!$D:$AM, 26, FALSE) / VLOOKUP("buildings|PM25|Infant mortality", US_national_yearly!$D:$AM, 10, FALSE), 1)</f>
        <v>3.6620172991843003E-5</v>
      </c>
      <c r="S3" s="7">
        <f>$B3 * IFERROR(VLOOKUP("buildings|PM25|Infant mortality", US_national_yearly!$D:$AM, 27, FALSE) / VLOOKUP("buildings|PM25|Infant mortality", US_national_yearly!$D:$AM, 10, FALSE), 1)</f>
        <v>3.6423321050639253E-5</v>
      </c>
      <c r="T3" s="7">
        <f>$B3 * IFERROR(VLOOKUP("buildings|PM25|Infant mortality", US_national_yearly!$D:$AM, 28, FALSE) / VLOOKUP("buildings|PM25|Infant mortality", US_national_yearly!$D:$AM, 10, FALSE), 1)</f>
        <v>3.6226469109435516E-5</v>
      </c>
      <c r="U3" s="7">
        <f>$B3 * IFERROR(VLOOKUP("buildings|PM25|Infant mortality", US_national_yearly!$D:$AM, 29, FALSE) / VLOOKUP("buildings|PM25|Infant mortality", US_national_yearly!$D:$AM, 10, FALSE), 1)</f>
        <v>3.6029617168231759E-5</v>
      </c>
      <c r="V3" s="7">
        <f>$B3 * IFERROR(VLOOKUP("buildings|PM25|Infant mortality", US_national_yearly!$D:$AM, 30, FALSE) / VLOOKUP("buildings|PM25|Infant mortality", US_national_yearly!$D:$AM, 10, FALSE), 1)</f>
        <v>3.5832765227028023E-5</v>
      </c>
      <c r="W3" s="7">
        <f>$B3 * IFERROR(VLOOKUP("buildings|PM25|Infant mortality", US_national_yearly!$D:$AM, 31, FALSE) / VLOOKUP("buildings|PM25|Infant mortality", US_national_yearly!$D:$AM, 10, FALSE), 1)</f>
        <v>3.5635913285824273E-5</v>
      </c>
      <c r="X3" s="7">
        <f>$B3 * IFERROR(VLOOKUP("buildings|PM25|Infant mortality", US_national_yearly!$D:$AM, 32, FALSE) / VLOOKUP("buildings|PM25|Infant mortality", US_national_yearly!$D:$AM, 10, FALSE), 1)</f>
        <v>3.5423976825676461E-5</v>
      </c>
      <c r="Y3" s="7">
        <f>$B3 * IFERROR(VLOOKUP("buildings|PM25|Infant mortality", US_national_yearly!$D:$AM, 33, FALSE) / VLOOKUP("buildings|PM25|Infant mortality", US_national_yearly!$D:$AM, 10, FALSE), 1)</f>
        <v>3.5212040365528649E-5</v>
      </c>
      <c r="Z3" s="7">
        <f>$B3 * IFERROR(VLOOKUP("buildings|PM25|Infant mortality", US_national_yearly!$D:$AM, 34, FALSE) / VLOOKUP("buildings|PM25|Infant mortality", US_national_yearly!$D:$AM, 10, FALSE), 1)</f>
        <v>3.5000103905380831E-5</v>
      </c>
      <c r="AA3" s="7">
        <f>$B3 * IFERROR(VLOOKUP("buildings|PM25|Infant mortality", US_national_yearly!$D:$AM, 35, FALSE) / VLOOKUP("buildings|PM25|Infant mortality", US_national_yearly!$D:$AM, 10, FALSE), 1)</f>
        <v>3.4788167445233019E-5</v>
      </c>
      <c r="AB3" s="7">
        <f>$B3 * IFERROR(VLOOKUP("buildings|PM25|Infant mortality", US_national_yearly!$D:$AM, 36, FALSE) / VLOOKUP("buildings|PM25|Infant mortality", US_national_yearly!$D:$AM, 10, FALSE), 1)</f>
        <v>3.4576230985085208E-5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0.11465310796479981</v>
      </c>
      <c r="C6" s="7">
        <f>$B6 * IFERROR(VLOOKUP("buildings|PM25|Asthma symptoms cough", US_national_yearly!$D:$AM, 11, FALSE) / VLOOKUP("buildings|PM25|Asthma symptoms cough", US_national_yearly!$D:$AM, 10, FALSE), 1)</f>
        <v>0.11465310796479981</v>
      </c>
      <c r="D6" s="7">
        <f>$B6 * IFERROR(VLOOKUP("buildings|PM25|Asthma symptoms cough", US_national_yearly!$D:$AM, 12, FALSE) / VLOOKUP("buildings|PM25|Asthma symptoms cough", US_national_yearly!$D:$AM, 10, FALSE), 1)</f>
        <v>0.11465310796479981</v>
      </c>
      <c r="E6" s="7">
        <f>$B6 * IFERROR(VLOOKUP("buildings|PM25|Asthma symptoms cough", US_national_yearly!$D:$AM, 13, FALSE) / VLOOKUP("buildings|PM25|Asthma symptoms cough", US_national_yearly!$D:$AM, 10, FALSE), 1)</f>
        <v>0.11465310796479981</v>
      </c>
      <c r="F6" s="7">
        <f>$B6 * IFERROR(VLOOKUP("buildings|PM25|Asthma symptoms cough", US_national_yearly!$D:$AM, 14, FALSE) / VLOOKUP("buildings|PM25|Asthma symptoms cough", US_national_yearly!$D:$AM, 10, FALSE), 1)</f>
        <v>0.11465310796479981</v>
      </c>
      <c r="G6" s="7">
        <f>$B6 * IFERROR(VLOOKUP("buildings|PM25|Asthma symptoms cough", US_national_yearly!$D:$AM, 15, FALSE) / VLOOKUP("buildings|PM25|Asthma symptoms cough", US_national_yearly!$D:$AM, 10, FALSE), 1)</f>
        <v>0.11465310796479981</v>
      </c>
      <c r="H6" s="7">
        <f>$B6 * IFERROR(VLOOKUP("buildings|PM25|Asthma symptoms cough", US_national_yearly!$D:$AM, 16, FALSE) / VLOOKUP("buildings|PM25|Asthma symptoms cough", US_national_yearly!$D:$AM, 10, FALSE), 1)</f>
        <v>0.11465310796479981</v>
      </c>
      <c r="I6" s="7">
        <f>$B6 * IFERROR(VLOOKUP("buildings|PM25|Asthma symptoms cough", US_national_yearly!$D:$AM, 17, FALSE) / VLOOKUP("buildings|PM25|Asthma symptoms cough", US_national_yearly!$D:$AM, 10, FALSE), 1)</f>
        <v>0.11465310796479981</v>
      </c>
      <c r="J6" s="7">
        <f>$B6 * IFERROR(VLOOKUP("buildings|PM25|Asthma symptoms cough", US_national_yearly!$D:$AM, 18, FALSE) / VLOOKUP("buildings|PM25|Asthma symptoms cough", US_national_yearly!$D:$AM, 10, FALSE), 1)</f>
        <v>0.11465310796479981</v>
      </c>
      <c r="K6" s="7">
        <f>$B6 * IFERROR(VLOOKUP("buildings|PM25|Asthma symptoms cough", US_national_yearly!$D:$AM, 19, FALSE) / VLOOKUP("buildings|PM25|Asthma symptoms cough", US_national_yearly!$D:$AM, 10, FALSE), 1)</f>
        <v>0.11465310796479981</v>
      </c>
      <c r="L6" s="7">
        <f>$B6 * IFERROR(VLOOKUP("buildings|PM25|Asthma symptoms cough", US_national_yearly!$D:$AM, 20, FALSE) / VLOOKUP("buildings|PM25|Asthma symptoms cough", US_national_yearly!$D:$AM, 10, FALSE), 1)</f>
        <v>0.11465310796479981</v>
      </c>
      <c r="M6" s="7">
        <f>$B6 * IFERROR(VLOOKUP("buildings|PM25|Asthma symptoms cough", US_national_yearly!$D:$AM, 21, FALSE) / VLOOKUP("buildings|PM25|Asthma symptoms cough", US_national_yearly!$D:$AM, 10, FALSE), 1)</f>
        <v>0.11465310796479981</v>
      </c>
      <c r="N6" s="7">
        <f>$B6 * IFERROR(VLOOKUP("buildings|PM25|Asthma symptoms cough", US_national_yearly!$D:$AM, 22, FALSE) / VLOOKUP("buildings|PM25|Asthma symptoms cough", US_national_yearly!$D:$AM, 10, FALSE), 1)</f>
        <v>0.11465310796479981</v>
      </c>
      <c r="O6" s="7">
        <f>$B6 * IFERROR(VLOOKUP("buildings|PM25|Asthma symptoms cough", US_national_yearly!$D:$AM, 23, FALSE) / VLOOKUP("buildings|PM25|Asthma symptoms cough", US_national_yearly!$D:$AM, 10, FALSE), 1)</f>
        <v>0.11465310796479981</v>
      </c>
      <c r="P6" s="7">
        <f>$B6 * IFERROR(VLOOKUP("buildings|PM25|Asthma symptoms cough", US_national_yearly!$D:$AM, 24, FALSE) / VLOOKUP("buildings|PM25|Asthma symptoms cough", US_national_yearly!$D:$AM, 10, FALSE), 1)</f>
        <v>0.11465310796479981</v>
      </c>
      <c r="Q6" s="7">
        <f>$B6 * IFERROR(VLOOKUP("buildings|PM25|Asthma symptoms cough", US_national_yearly!$D:$AM, 25, FALSE) / VLOOKUP("buildings|PM25|Asthma symptoms cough", US_national_yearly!$D:$AM, 10, FALSE), 1)</f>
        <v>0.11465310796479981</v>
      </c>
      <c r="R6" s="7">
        <f>$B6 * IFERROR(VLOOKUP("buildings|PM25|Asthma symptoms cough", US_national_yearly!$D:$AM, 26, FALSE) / VLOOKUP("buildings|PM25|Asthma symptoms cough", US_national_yearly!$D:$AM, 10, FALSE), 1)</f>
        <v>0.11465310796479981</v>
      </c>
      <c r="S6" s="7">
        <f>$B6 * IFERROR(VLOOKUP("buildings|PM25|Asthma symptoms cough", US_national_yearly!$D:$AM, 27, FALSE) / VLOOKUP("buildings|PM25|Asthma symptoms cough", US_national_yearly!$D:$AM, 10, FALSE), 1)</f>
        <v>0.11465310796479981</v>
      </c>
      <c r="T6" s="7">
        <f>$B6 * IFERROR(VLOOKUP("buildings|PM25|Asthma symptoms cough", US_national_yearly!$D:$AM, 28, FALSE) / VLOOKUP("buildings|PM25|Asthma symptoms cough", US_national_yearly!$D:$AM, 10, FALSE), 1)</f>
        <v>0.11465310796479981</v>
      </c>
      <c r="U6" s="7">
        <f>$B6 * IFERROR(VLOOKUP("buildings|PM25|Asthma symptoms cough", US_national_yearly!$D:$AM, 29, FALSE) / VLOOKUP("buildings|PM25|Asthma symptoms cough", US_national_yearly!$D:$AM, 10, FALSE), 1)</f>
        <v>0.11465310796479981</v>
      </c>
      <c r="V6" s="7">
        <f>$B6 * IFERROR(VLOOKUP("buildings|PM25|Asthma symptoms cough", US_national_yearly!$D:$AM, 30, FALSE) / VLOOKUP("buildings|PM25|Asthma symptoms cough", US_national_yearly!$D:$AM, 10, FALSE), 1)</f>
        <v>0.11465310796479981</v>
      </c>
      <c r="W6" s="7">
        <f>$B6 * IFERROR(VLOOKUP("buildings|PM25|Asthma symptoms cough", US_national_yearly!$D:$AM, 31, FALSE) / VLOOKUP("buildings|PM25|Asthma symptoms cough", US_national_yearly!$D:$AM, 10, FALSE), 1)</f>
        <v>0.11465310796479981</v>
      </c>
      <c r="X6" s="7">
        <f>$B6 * IFERROR(VLOOKUP("buildings|PM25|Asthma symptoms cough", US_national_yearly!$D:$AM, 32, FALSE) / VLOOKUP("buildings|PM25|Asthma symptoms cough", US_national_yearly!$D:$AM, 10, FALSE), 1)</f>
        <v>0.11465310796479981</v>
      </c>
      <c r="Y6" s="7">
        <f>$B6 * IFERROR(VLOOKUP("buildings|PM25|Asthma symptoms cough", US_national_yearly!$D:$AM, 33, FALSE) / VLOOKUP("buildings|PM25|Asthma symptoms cough", US_national_yearly!$D:$AM, 10, FALSE), 1)</f>
        <v>0.11465310796479981</v>
      </c>
      <c r="Z6" s="7">
        <f>$B6 * IFERROR(VLOOKUP("buildings|PM25|Asthma symptoms cough", US_national_yearly!$D:$AM, 34, FALSE) / VLOOKUP("buildings|PM25|Asthma symptoms cough", US_national_yearly!$D:$AM, 10, FALSE), 1)</f>
        <v>0.11465310796479981</v>
      </c>
      <c r="AA6" s="7">
        <f>$B6 * IFERROR(VLOOKUP("buildings|PM25|Asthma symptoms cough", US_national_yearly!$D:$AM, 35, FALSE) / VLOOKUP("buildings|PM25|Asthma symptoms cough", US_national_yearly!$D:$AM, 10, FALSE), 1)</f>
        <v>0.11465310796479981</v>
      </c>
      <c r="AB6" s="7">
        <f>$B6 * IFERROR(VLOOKUP("buildings|PM25|Asthma symptoms cough", US_national_yearly!$D:$AM, 36, FALSE) / VLOOKUP("buildings|PM25|Asthma symptoms cough", US_national_yearly!$D:$AM, 10, FALSE), 1)</f>
        <v>0.11465310796479981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0.15439634475995859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0.15439634475995859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0.15439634475995859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0.15439634475995859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0.15439634475995859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0.15439634475995859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0.15439634475995859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0.15439634475995859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0.15439634475995859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0.15439634475995859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0.15439634475995859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0.15439634475995859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0.15439634475995859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0.15439634475995859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0.15439634475995859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0.15439634475995859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0.15439634475995859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0.15439634475995859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0.15439634475995859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0.15439634475995859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0.15439634475995859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0.15439634475995859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0.15439634475995859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0.15439634475995859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0.15439634475995859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0.15439634475995859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0.15439634475995859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0.23589395143307695</v>
      </c>
      <c r="C8" s="7">
        <f>$B8 * IFERROR(VLOOKUP("buildings|PM25|Asthma symptoms wheeze", US_national_yearly!$D:$AM, 11, FALSE) / VLOOKUP("buildings|PM25|Asthma symptoms wheeze", US_national_yearly!$D:$AM, 10, FALSE), 1)</f>
        <v>0.23589395143307695</v>
      </c>
      <c r="D8" s="7">
        <f>$B8 * IFERROR(VLOOKUP("buildings|PM25|Asthma symptoms wheeze", US_national_yearly!$D:$AM, 12, FALSE) / VLOOKUP("buildings|PM25|Asthma symptoms wheeze", US_national_yearly!$D:$AM, 10, FALSE), 1)</f>
        <v>0.23589395143307695</v>
      </c>
      <c r="E8" s="7">
        <f>$B8 * IFERROR(VLOOKUP("buildings|PM25|Asthma symptoms wheeze", US_national_yearly!$D:$AM, 13, FALSE) / VLOOKUP("buildings|PM25|Asthma symptoms wheeze", US_national_yearly!$D:$AM, 10, FALSE), 1)</f>
        <v>0.23589395143307695</v>
      </c>
      <c r="F8" s="7">
        <f>$B8 * IFERROR(VLOOKUP("buildings|PM25|Asthma symptoms wheeze", US_national_yearly!$D:$AM, 14, FALSE) / VLOOKUP("buildings|PM25|Asthma symptoms wheeze", US_national_yearly!$D:$AM, 10, FALSE), 1)</f>
        <v>0.23589395143307695</v>
      </c>
      <c r="G8" s="7">
        <f>$B8 * IFERROR(VLOOKUP("buildings|PM25|Asthma symptoms wheeze", US_national_yearly!$D:$AM, 15, FALSE) / VLOOKUP("buildings|PM25|Asthma symptoms wheeze", US_national_yearly!$D:$AM, 10, FALSE), 1)</f>
        <v>0.23589395143307695</v>
      </c>
      <c r="H8" s="7">
        <f>$B8 * IFERROR(VLOOKUP("buildings|PM25|Asthma symptoms wheeze", US_national_yearly!$D:$AM, 16, FALSE) / VLOOKUP("buildings|PM25|Asthma symptoms wheeze", US_national_yearly!$D:$AM, 10, FALSE), 1)</f>
        <v>0.23589395143307695</v>
      </c>
      <c r="I8" s="7">
        <f>$B8 * IFERROR(VLOOKUP("buildings|PM25|Asthma symptoms wheeze", US_national_yearly!$D:$AM, 17, FALSE) / VLOOKUP("buildings|PM25|Asthma symptoms wheeze", US_national_yearly!$D:$AM, 10, FALSE), 1)</f>
        <v>0.23589395143307695</v>
      </c>
      <c r="J8" s="7">
        <f>$B8 * IFERROR(VLOOKUP("buildings|PM25|Asthma symptoms wheeze", US_national_yearly!$D:$AM, 18, FALSE) / VLOOKUP("buildings|PM25|Asthma symptoms wheeze", US_national_yearly!$D:$AM, 10, FALSE), 1)</f>
        <v>0.23589395143307695</v>
      </c>
      <c r="K8" s="7">
        <f>$B8 * IFERROR(VLOOKUP("buildings|PM25|Asthma symptoms wheeze", US_national_yearly!$D:$AM, 19, FALSE) / VLOOKUP("buildings|PM25|Asthma symptoms wheeze", US_national_yearly!$D:$AM, 10, FALSE), 1)</f>
        <v>0.23589395143307695</v>
      </c>
      <c r="L8" s="7">
        <f>$B8 * IFERROR(VLOOKUP("buildings|PM25|Asthma symptoms wheeze", US_national_yearly!$D:$AM, 20, FALSE) / VLOOKUP("buildings|PM25|Asthma symptoms wheeze", US_national_yearly!$D:$AM, 10, FALSE), 1)</f>
        <v>0.23589395143307695</v>
      </c>
      <c r="M8" s="7">
        <f>$B8 * IFERROR(VLOOKUP("buildings|PM25|Asthma symptoms wheeze", US_national_yearly!$D:$AM, 21, FALSE) / VLOOKUP("buildings|PM25|Asthma symptoms wheeze", US_national_yearly!$D:$AM, 10, FALSE), 1)</f>
        <v>0.23589395143307695</v>
      </c>
      <c r="N8" s="7">
        <f>$B8 * IFERROR(VLOOKUP("buildings|PM25|Asthma symptoms wheeze", US_national_yearly!$D:$AM, 22, FALSE) / VLOOKUP("buildings|PM25|Asthma symptoms wheeze", US_national_yearly!$D:$AM, 10, FALSE), 1)</f>
        <v>0.23589395143307695</v>
      </c>
      <c r="O8" s="7">
        <f>$B8 * IFERROR(VLOOKUP("buildings|PM25|Asthma symptoms wheeze", US_national_yearly!$D:$AM, 23, FALSE) / VLOOKUP("buildings|PM25|Asthma symptoms wheeze", US_national_yearly!$D:$AM, 10, FALSE), 1)</f>
        <v>0.23589395143307695</v>
      </c>
      <c r="P8" s="7">
        <f>$B8 * IFERROR(VLOOKUP("buildings|PM25|Asthma symptoms wheeze", US_national_yearly!$D:$AM, 24, FALSE) / VLOOKUP("buildings|PM25|Asthma symptoms wheeze", US_national_yearly!$D:$AM, 10, FALSE), 1)</f>
        <v>0.23589395143307695</v>
      </c>
      <c r="Q8" s="7">
        <f>$B8 * IFERROR(VLOOKUP("buildings|PM25|Asthma symptoms wheeze", US_national_yearly!$D:$AM, 25, FALSE) / VLOOKUP("buildings|PM25|Asthma symptoms wheeze", US_national_yearly!$D:$AM, 10, FALSE), 1)</f>
        <v>0.23589395143307695</v>
      </c>
      <c r="R8" s="7">
        <f>$B8 * IFERROR(VLOOKUP("buildings|PM25|Asthma symptoms wheeze", US_national_yearly!$D:$AM, 26, FALSE) / VLOOKUP("buildings|PM25|Asthma symptoms wheeze", US_national_yearly!$D:$AM, 10, FALSE), 1)</f>
        <v>0.23589395143307695</v>
      </c>
      <c r="S8" s="7">
        <f>$B8 * IFERROR(VLOOKUP("buildings|PM25|Asthma symptoms wheeze", US_national_yearly!$D:$AM, 27, FALSE) / VLOOKUP("buildings|PM25|Asthma symptoms wheeze", US_national_yearly!$D:$AM, 10, FALSE), 1)</f>
        <v>0.23589395143307695</v>
      </c>
      <c r="T8" s="7">
        <f>$B8 * IFERROR(VLOOKUP("buildings|PM25|Asthma symptoms wheeze", US_national_yearly!$D:$AM, 28, FALSE) / VLOOKUP("buildings|PM25|Asthma symptoms wheeze", US_national_yearly!$D:$AM, 10, FALSE), 1)</f>
        <v>0.23589395143307695</v>
      </c>
      <c r="U8" s="7">
        <f>$B8 * IFERROR(VLOOKUP("buildings|PM25|Asthma symptoms wheeze", US_national_yearly!$D:$AM, 29, FALSE) / VLOOKUP("buildings|PM25|Asthma symptoms wheeze", US_national_yearly!$D:$AM, 10, FALSE), 1)</f>
        <v>0.23589395143307695</v>
      </c>
      <c r="V8" s="7">
        <f>$B8 * IFERROR(VLOOKUP("buildings|PM25|Asthma symptoms wheeze", US_national_yearly!$D:$AM, 30, FALSE) / VLOOKUP("buildings|PM25|Asthma symptoms wheeze", US_national_yearly!$D:$AM, 10, FALSE), 1)</f>
        <v>0.23589395143307695</v>
      </c>
      <c r="W8" s="7">
        <f>$B8 * IFERROR(VLOOKUP("buildings|PM25|Asthma symptoms wheeze", US_national_yearly!$D:$AM, 31, FALSE) / VLOOKUP("buildings|PM25|Asthma symptoms wheeze", US_national_yearly!$D:$AM, 10, FALSE), 1)</f>
        <v>0.23589395143307695</v>
      </c>
      <c r="X8" s="7">
        <f>$B8 * IFERROR(VLOOKUP("buildings|PM25|Asthma symptoms wheeze", US_national_yearly!$D:$AM, 32, FALSE) / VLOOKUP("buildings|PM25|Asthma symptoms wheeze", US_national_yearly!$D:$AM, 10, FALSE), 1)</f>
        <v>0.23589395143307695</v>
      </c>
      <c r="Y8" s="7">
        <f>$B8 * IFERROR(VLOOKUP("buildings|PM25|Asthma symptoms wheeze", US_national_yearly!$D:$AM, 33, FALSE) / VLOOKUP("buildings|PM25|Asthma symptoms wheeze", US_national_yearly!$D:$AM, 10, FALSE), 1)</f>
        <v>0.23589395143307695</v>
      </c>
      <c r="Z8" s="7">
        <f>$B8 * IFERROR(VLOOKUP("buildings|PM25|Asthma symptoms wheeze", US_national_yearly!$D:$AM, 34, FALSE) / VLOOKUP("buildings|PM25|Asthma symptoms wheeze", US_national_yearly!$D:$AM, 10, FALSE), 1)</f>
        <v>0.23589395143307695</v>
      </c>
      <c r="AA8" s="7">
        <f>$B8 * IFERROR(VLOOKUP("buildings|PM25|Asthma symptoms wheeze", US_national_yearly!$D:$AM, 35, FALSE) / VLOOKUP("buildings|PM25|Asthma symptoms wheeze", US_national_yearly!$D:$AM, 10, FALSE), 1)</f>
        <v>0.23589395143307695</v>
      </c>
      <c r="AB8" s="7">
        <f>$B8 * IFERROR(VLOOKUP("buildings|PM25|Asthma symptoms wheeze", US_national_yearly!$D:$AM, 36, FALSE) / VLOOKUP("buildings|PM25|Asthma symptoms wheeze", US_national_yearly!$D:$AM, 10, FALSE), 1)</f>
        <v>0.23589395143307695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3.3162971107446194E-3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3.335412798682724E-3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3.3545284866208294E-3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3.3736441745589344E-3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3.3927598624970399E-3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3.4133874608188322E-3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3.4340150591406246E-3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3.4536337704628331E-3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3.4732524817850403E-3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3.4928711931072475E-3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3.512489904429456E-3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3.5321086157516631E-3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3.5462197838059457E-3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3.5603309518602287E-3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3.5744421199145112E-3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3.5885532879687933E-3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3.6026644560230759E-3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3.6161091946746186E-3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3.6295539333261627E-3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3.642998671977705E-3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3.6564434106292477E-3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3.6698881492807918E-3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3.6828736355856168E-3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3.6958591218904423E-3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3.7088446081952674E-3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3.7218300945000933E-3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3.7348155808049179E-3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2.0744943435198029E-2</v>
      </c>
      <c r="C13" s="7">
        <f>$B13 * IFERROR(VLOOKUP("buildings|PM25|Non-fatal heart attacks", US_national_yearly!$D:$AM, 11, FALSE) / VLOOKUP("buildings|PM25|Non-fatal heart attacks", US_national_yearly!$D:$AM, 10, FALSE), 1)</f>
        <v>2.1348339469687363E-2</v>
      </c>
      <c r="D13" s="7">
        <f>$B13 * IFERROR(VLOOKUP("buildings|PM25|Non-fatal heart attacks", US_national_yearly!$D:$AM, 12, FALSE) / VLOOKUP("buildings|PM25|Non-fatal heart attacks", US_national_yearly!$D:$AM, 10, FALSE), 1)</f>
        <v>2.1951735504176693E-2</v>
      </c>
      <c r="E13" s="7">
        <f>$B13 * IFERROR(VLOOKUP("buildings|PM25|Non-fatal heart attacks", US_national_yearly!$D:$AM, 13, FALSE) / VLOOKUP("buildings|PM25|Non-fatal heart attacks", US_national_yearly!$D:$AM, 10, FALSE), 1)</f>
        <v>2.2555131538666024E-2</v>
      </c>
      <c r="F13" s="7">
        <f>$B13 * IFERROR(VLOOKUP("buildings|PM25|Non-fatal heart attacks", US_national_yearly!$D:$AM, 14, FALSE) / VLOOKUP("buildings|PM25|Non-fatal heart attacks", US_national_yearly!$D:$AM, 10, FALSE), 1)</f>
        <v>2.3158527573155362E-2</v>
      </c>
      <c r="G13" s="7">
        <f>$B13 * IFERROR(VLOOKUP("buildings|PM25|Non-fatal heart attacks", US_national_yearly!$D:$AM, 15, FALSE) / VLOOKUP("buildings|PM25|Non-fatal heart attacks", US_national_yearly!$D:$AM, 10, FALSE), 1)</f>
        <v>2.3727866194761936E-2</v>
      </c>
      <c r="H13" s="7">
        <f>$B13 * IFERROR(VLOOKUP("buildings|PM25|Non-fatal heart attacks", US_national_yearly!$D:$AM, 16, FALSE) / VLOOKUP("buildings|PM25|Non-fatal heart attacks", US_national_yearly!$D:$AM, 10, FALSE), 1)</f>
        <v>2.4297204816368507E-2</v>
      </c>
      <c r="I13" s="7">
        <f>$B13 * IFERROR(VLOOKUP("buildings|PM25|Non-fatal heart attacks", US_national_yearly!$D:$AM, 17, FALSE) / VLOOKUP("buildings|PM25|Non-fatal heart attacks", US_national_yearly!$D:$AM, 10, FALSE), 1)</f>
        <v>2.4755281957322201E-2</v>
      </c>
      <c r="J13" s="7">
        <f>$B13 * IFERROR(VLOOKUP("buildings|PM25|Non-fatal heart attacks", US_national_yearly!$D:$AM, 18, FALSE) / VLOOKUP("buildings|PM25|Non-fatal heart attacks", US_national_yearly!$D:$AM, 10, FALSE), 1)</f>
        <v>2.5213359098275892E-2</v>
      </c>
      <c r="K13" s="7">
        <f>$B13 * IFERROR(VLOOKUP("buildings|PM25|Non-fatal heart attacks", US_national_yearly!$D:$AM, 19, FALSE) / VLOOKUP("buildings|PM25|Non-fatal heart attacks", US_national_yearly!$D:$AM, 10, FALSE), 1)</f>
        <v>2.5671436239229583E-2</v>
      </c>
      <c r="L13" s="7">
        <f>$B13 * IFERROR(VLOOKUP("buildings|PM25|Non-fatal heart attacks", US_national_yearly!$D:$AM, 20, FALSE) / VLOOKUP("buildings|PM25|Non-fatal heart attacks", US_national_yearly!$D:$AM, 10, FALSE), 1)</f>
        <v>2.6129513380183274E-2</v>
      </c>
      <c r="M13" s="7">
        <f>$B13 * IFERROR(VLOOKUP("buildings|PM25|Non-fatal heart attacks", US_national_yearly!$D:$AM, 21, FALSE) / VLOOKUP("buildings|PM25|Non-fatal heart attacks", US_national_yearly!$D:$AM, 10, FALSE), 1)</f>
        <v>2.6587590521136961E-2</v>
      </c>
      <c r="N13" s="7">
        <f>$B13 * IFERROR(VLOOKUP("buildings|PM25|Non-fatal heart attacks", US_national_yearly!$D:$AM, 22, FALSE) / VLOOKUP("buildings|PM25|Non-fatal heart attacks", US_national_yearly!$D:$AM, 10, FALSE), 1)</f>
        <v>2.688351551085998E-2</v>
      </c>
      <c r="O13" s="7">
        <f>$B13 * IFERROR(VLOOKUP("buildings|PM25|Non-fatal heart attacks", US_national_yearly!$D:$AM, 23, FALSE) / VLOOKUP("buildings|PM25|Non-fatal heart attacks", US_national_yearly!$D:$AM, 10, FALSE), 1)</f>
        <v>2.7179440500582994E-2</v>
      </c>
      <c r="P13" s="7">
        <f>$B13 * IFERROR(VLOOKUP("buildings|PM25|Non-fatal heart attacks", US_national_yearly!$D:$AM, 24, FALSE) / VLOOKUP("buildings|PM25|Non-fatal heart attacks", US_national_yearly!$D:$AM, 10, FALSE), 1)</f>
        <v>2.7475365490306009E-2</v>
      </c>
      <c r="Q13" s="7">
        <f>$B13 * IFERROR(VLOOKUP("buildings|PM25|Non-fatal heart attacks", US_national_yearly!$D:$AM, 25, FALSE) / VLOOKUP("buildings|PM25|Non-fatal heart attacks", US_national_yearly!$D:$AM, 10, FALSE), 1)</f>
        <v>2.7771290480029031E-2</v>
      </c>
      <c r="R13" s="7">
        <f>$B13 * IFERROR(VLOOKUP("buildings|PM25|Non-fatal heart attacks", US_national_yearly!$D:$AM, 26, FALSE) / VLOOKUP("buildings|PM25|Non-fatal heart attacks", US_national_yearly!$D:$AM, 10, FALSE), 1)</f>
        <v>2.8067215469752042E-2</v>
      </c>
      <c r="S13" s="7">
        <f>$B13 * IFERROR(VLOOKUP("buildings|PM25|Non-fatal heart attacks", US_national_yearly!$D:$AM, 27, FALSE) / VLOOKUP("buildings|PM25|Non-fatal heart attacks", US_national_yearly!$D:$AM, 10, FALSE), 1)</f>
        <v>2.822373302049995E-2</v>
      </c>
      <c r="T13" s="7">
        <f>$B13 * IFERROR(VLOOKUP("buildings|PM25|Non-fatal heart attacks", US_national_yearly!$D:$AM, 28, FALSE) / VLOOKUP("buildings|PM25|Non-fatal heart attacks", US_national_yearly!$D:$AM, 10, FALSE), 1)</f>
        <v>2.8380250571247861E-2</v>
      </c>
      <c r="U13" s="7">
        <f>$B13 * IFERROR(VLOOKUP("buildings|PM25|Non-fatal heart attacks", US_national_yearly!$D:$AM, 29, FALSE) / VLOOKUP("buildings|PM25|Non-fatal heart attacks", US_national_yearly!$D:$AM, 10, FALSE), 1)</f>
        <v>2.8536768121995772E-2</v>
      </c>
      <c r="V13" s="7">
        <f>$B13 * IFERROR(VLOOKUP("buildings|PM25|Non-fatal heart attacks", US_national_yearly!$D:$AM, 30, FALSE) / VLOOKUP("buildings|PM25|Non-fatal heart attacks", US_national_yearly!$D:$AM, 10, FALSE), 1)</f>
        <v>2.8693285672743676E-2</v>
      </c>
      <c r="W13" s="7">
        <f>$B13 * IFERROR(VLOOKUP("buildings|PM25|Non-fatal heart attacks", US_national_yearly!$D:$AM, 31, FALSE) / VLOOKUP("buildings|PM25|Non-fatal heart attacks", US_national_yearly!$D:$AM, 10, FALSE), 1)</f>
        <v>2.8849803223491587E-2</v>
      </c>
      <c r="X13" s="7">
        <f>$B13 * IFERROR(VLOOKUP("buildings|PM25|Non-fatal heart attacks", US_national_yearly!$D:$AM, 32, FALSE) / VLOOKUP("buildings|PM25|Non-fatal heart attacks", US_national_yearly!$D:$AM, 10, FALSE), 1)</f>
        <v>2.8968924511390135E-2</v>
      </c>
      <c r="Y13" s="7">
        <f>$B13 * IFERROR(VLOOKUP("buildings|PM25|Non-fatal heart attacks", US_national_yearly!$D:$AM, 33, FALSE) / VLOOKUP("buildings|PM25|Non-fatal heart attacks", US_national_yearly!$D:$AM, 10, FALSE), 1)</f>
        <v>2.908804579928868E-2</v>
      </c>
      <c r="Z13" s="7">
        <f>$B13 * IFERROR(VLOOKUP("buildings|PM25|Non-fatal heart attacks", US_national_yearly!$D:$AM, 34, FALSE) / VLOOKUP("buildings|PM25|Non-fatal heart attacks", US_national_yearly!$D:$AM, 10, FALSE), 1)</f>
        <v>2.9207167087187225E-2</v>
      </c>
      <c r="AA13" s="7">
        <f>$B13 * IFERROR(VLOOKUP("buildings|PM25|Non-fatal heart attacks", US_national_yearly!$D:$AM, 35, FALSE) / VLOOKUP("buildings|PM25|Non-fatal heart attacks", US_national_yearly!$D:$AM, 10, FALSE), 1)</f>
        <v>2.932628837508577E-2</v>
      </c>
      <c r="AB13" s="7">
        <f>$B13 * IFERROR(VLOOKUP("buildings|PM25|Non-fatal heart attacks", US_national_yearly!$D:$AM, 36, FALSE) / VLOOKUP("buildings|PM25|Non-fatal heart attacks", US_national_yearly!$D:$AM, 10, FALSE), 1)</f>
        <v>2.9445409662984322E-2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14.699764148497158</v>
      </c>
      <c r="C14" s="7">
        <f>$B14 * IFERROR(VLOOKUP("buildings|PM25|Minor restricted activity days", US_national_yearly!$D:$AM, 11, FALSE) / VLOOKUP("buildings|PM25|Minor restricted activity days", US_national_yearly!$D:$AM, 10, FALSE), 1)</f>
        <v>14.736323286039356</v>
      </c>
      <c r="D14" s="7">
        <f>$B14 * IFERROR(VLOOKUP("buildings|PM25|Minor restricted activity days", US_national_yearly!$D:$AM, 12, FALSE) / VLOOKUP("buildings|PM25|Minor restricted activity days", US_national_yearly!$D:$AM, 10, FALSE), 1)</f>
        <v>14.772882423581555</v>
      </c>
      <c r="E14" s="7">
        <f>$B14 * IFERROR(VLOOKUP("buildings|PM25|Minor restricted activity days", US_national_yearly!$D:$AM, 13, FALSE) / VLOOKUP("buildings|PM25|Minor restricted activity days", US_national_yearly!$D:$AM, 10, FALSE), 1)</f>
        <v>14.809441561123753</v>
      </c>
      <c r="F14" s="7">
        <f>$B14 * IFERROR(VLOOKUP("buildings|PM25|Minor restricted activity days", US_national_yearly!$D:$AM, 14, FALSE) / VLOOKUP("buildings|PM25|Minor restricted activity days", US_national_yearly!$D:$AM, 10, FALSE), 1)</f>
        <v>14.846000698665948</v>
      </c>
      <c r="G14" s="7">
        <f>$B14 * IFERROR(VLOOKUP("buildings|PM25|Minor restricted activity days", US_national_yearly!$D:$AM, 15, FALSE) / VLOOKUP("buildings|PM25|Minor restricted activity days", US_national_yearly!$D:$AM, 10, FALSE), 1)</f>
        <v>14.899621853292459</v>
      </c>
      <c r="H14" s="7">
        <f>$B14 * IFERROR(VLOOKUP("buildings|PM25|Minor restricted activity days", US_national_yearly!$D:$AM, 16, FALSE) / VLOOKUP("buildings|PM25|Minor restricted activity days", US_national_yearly!$D:$AM, 10, FALSE), 1)</f>
        <v>14.953243007918964</v>
      </c>
      <c r="I14" s="7">
        <f>$B14 * IFERROR(VLOOKUP("buildings|PM25|Minor restricted activity days", US_national_yearly!$D:$AM, 17, FALSE) / VLOOKUP("buildings|PM25|Minor restricted activity days", US_national_yearly!$D:$AM, 10, FALSE), 1)</f>
        <v>15.044423041382943</v>
      </c>
      <c r="J14" s="7">
        <f>$B14 * IFERROR(VLOOKUP("buildings|PM25|Minor restricted activity days", US_national_yearly!$D:$AM, 18, FALSE) / VLOOKUP("buildings|PM25|Minor restricted activity days", US_national_yearly!$D:$AM, 10, FALSE), 1)</f>
        <v>15.135603074846928</v>
      </c>
      <c r="K14" s="7">
        <f>$B14 * IFERROR(VLOOKUP("buildings|PM25|Minor restricted activity days", US_national_yearly!$D:$AM, 19, FALSE) / VLOOKUP("buildings|PM25|Minor restricted activity days", US_national_yearly!$D:$AM, 10, FALSE), 1)</f>
        <v>15.226783108310901</v>
      </c>
      <c r="L14" s="7">
        <f>$B14 * IFERROR(VLOOKUP("buildings|PM25|Minor restricted activity days", US_national_yearly!$D:$AM, 20, FALSE) / VLOOKUP("buildings|PM25|Minor restricted activity days", US_national_yearly!$D:$AM, 10, FALSE), 1)</f>
        <v>15.317963141774877</v>
      </c>
      <c r="M14" s="7">
        <f>$B14 * IFERROR(VLOOKUP("buildings|PM25|Minor restricted activity days", US_national_yearly!$D:$AM, 21, FALSE) / VLOOKUP("buildings|PM25|Minor restricted activity days", US_national_yearly!$D:$AM, 10, FALSE), 1)</f>
        <v>15.409143175238853</v>
      </c>
      <c r="N14" s="7">
        <f>$B14 * IFERROR(VLOOKUP("buildings|PM25|Minor restricted activity days", US_national_yearly!$D:$AM, 22, FALSE) / VLOOKUP("buildings|PM25|Minor restricted activity days", US_national_yearly!$D:$AM, 10, FALSE), 1)</f>
        <v>15.533034842284609</v>
      </c>
      <c r="O14" s="7">
        <f>$B14 * IFERROR(VLOOKUP("buildings|PM25|Minor restricted activity days", US_national_yearly!$D:$AM, 23, FALSE) / VLOOKUP("buildings|PM25|Minor restricted activity days", US_national_yearly!$D:$AM, 10, FALSE), 1)</f>
        <v>15.656926509330361</v>
      </c>
      <c r="P14" s="7">
        <f>$B14 * IFERROR(VLOOKUP("buildings|PM25|Minor restricted activity days", US_national_yearly!$D:$AM, 24, FALSE) / VLOOKUP("buildings|PM25|Minor restricted activity days", US_national_yearly!$D:$AM, 10, FALSE), 1)</f>
        <v>15.780818176376114</v>
      </c>
      <c r="Q14" s="7">
        <f>$B14 * IFERROR(VLOOKUP("buildings|PM25|Minor restricted activity days", US_national_yearly!$D:$AM, 25, FALSE) / VLOOKUP("buildings|PM25|Minor restricted activity days", US_national_yearly!$D:$AM, 10, FALSE), 1)</f>
        <v>15.904709843421864</v>
      </c>
      <c r="R14" s="7">
        <f>$B14 * IFERROR(VLOOKUP("buildings|PM25|Minor restricted activity days", US_national_yearly!$D:$AM, 26, FALSE) / VLOOKUP("buildings|PM25|Minor restricted activity days", US_national_yearly!$D:$AM, 10, FALSE), 1)</f>
        <v>16.028601510467617</v>
      </c>
      <c r="S14" s="7">
        <f>$B14 * IFERROR(VLOOKUP("buildings|PM25|Minor restricted activity days", US_national_yearly!$D:$AM, 27, FALSE) / VLOOKUP("buildings|PM25|Minor restricted activity days", US_national_yearly!$D:$AM, 10, FALSE), 1)</f>
        <v>16.153260940875999</v>
      </c>
      <c r="T14" s="7">
        <f>$B14 * IFERROR(VLOOKUP("buildings|PM25|Minor restricted activity days", US_national_yearly!$D:$AM, 28, FALSE) / VLOOKUP("buildings|PM25|Minor restricted activity days", US_national_yearly!$D:$AM, 10, FALSE), 1)</f>
        <v>16.277920371284374</v>
      </c>
      <c r="U14" s="7">
        <f>$B14 * IFERROR(VLOOKUP("buildings|PM25|Minor restricted activity days", US_national_yearly!$D:$AM, 29, FALSE) / VLOOKUP("buildings|PM25|Minor restricted activity days", US_national_yearly!$D:$AM, 10, FALSE), 1)</f>
        <v>16.402579801692752</v>
      </c>
      <c r="V14" s="7">
        <f>$B14 * IFERROR(VLOOKUP("buildings|PM25|Minor restricted activity days", US_national_yearly!$D:$AM, 30, FALSE) / VLOOKUP("buildings|PM25|Minor restricted activity days", US_national_yearly!$D:$AM, 10, FALSE), 1)</f>
        <v>16.527239232101131</v>
      </c>
      <c r="W14" s="7">
        <f>$B14 * IFERROR(VLOOKUP("buildings|PM25|Minor restricted activity days", US_national_yearly!$D:$AM, 31, FALSE) / VLOOKUP("buildings|PM25|Minor restricted activity days", US_national_yearly!$D:$AM, 10, FALSE), 1)</f>
        <v>16.65189866250951</v>
      </c>
      <c r="X14" s="7">
        <f>$B14 * IFERROR(VLOOKUP("buildings|PM25|Minor restricted activity days", US_national_yearly!$D:$AM, 32, FALSE) / VLOOKUP("buildings|PM25|Minor restricted activity days", US_national_yearly!$D:$AM, 10, FALSE), 1)</f>
        <v>16.7601411428241</v>
      </c>
      <c r="Y14" s="7">
        <f>$B14 * IFERROR(VLOOKUP("buildings|PM25|Minor restricted activity days", US_national_yearly!$D:$AM, 33, FALSE) / VLOOKUP("buildings|PM25|Minor restricted activity days", US_national_yearly!$D:$AM, 10, FALSE), 1)</f>
        <v>16.868383623138691</v>
      </c>
      <c r="Z14" s="7">
        <f>$B14 * IFERROR(VLOOKUP("buildings|PM25|Minor restricted activity days", US_national_yearly!$D:$AM, 34, FALSE) / VLOOKUP("buildings|PM25|Minor restricted activity days", US_national_yearly!$D:$AM, 10, FALSE), 1)</f>
        <v>16.976626103453277</v>
      </c>
      <c r="AA14" s="7">
        <f>$B14 * IFERROR(VLOOKUP("buildings|PM25|Minor restricted activity days", US_national_yearly!$D:$AM, 35, FALSE) / VLOOKUP("buildings|PM25|Minor restricted activity days", US_national_yearly!$D:$AM, 10, FALSE), 1)</f>
        <v>17.084868583767864</v>
      </c>
      <c r="AB14" s="7">
        <f>$B14 * IFERROR(VLOOKUP("buildings|PM25|Minor restricted activity days", US_national_yearly!$D:$AM, 36, FALSE) / VLOOKUP("buildings|PM25|Minor restricted activity days", US_national_yearly!$D:$AM, 10, FALSE), 1)</f>
        <v>17.193111064082455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2.4906827831599174</v>
      </c>
      <c r="C15" s="7">
        <f>$B15 * IFERROR(VLOOKUP("buildings|PM25|Work loss days", US_national_yearly!$D:$AM, 11, FALSE) / VLOOKUP("buildings|PM25|Work loss days", US_national_yearly!$D:$AM, 10, FALSE), 1)</f>
        <v>2.4984990828744178</v>
      </c>
      <c r="D15" s="7">
        <f>$B15 * IFERROR(VLOOKUP("buildings|PM25|Work loss days", US_national_yearly!$D:$AM, 12, FALSE) / VLOOKUP("buildings|PM25|Work loss days", US_national_yearly!$D:$AM, 10, FALSE), 1)</f>
        <v>2.5063153825889182</v>
      </c>
      <c r="E15" s="7">
        <f>$B15 * IFERROR(VLOOKUP("buildings|PM25|Work loss days", US_national_yearly!$D:$AM, 13, FALSE) / VLOOKUP("buildings|PM25|Work loss days", US_national_yearly!$D:$AM, 10, FALSE), 1)</f>
        <v>2.5141316823034181</v>
      </c>
      <c r="F15" s="7">
        <f>$B15 * IFERROR(VLOOKUP("buildings|PM25|Work loss days", US_national_yearly!$D:$AM, 14, FALSE) / VLOOKUP("buildings|PM25|Work loss days", US_national_yearly!$D:$AM, 10, FALSE), 1)</f>
        <v>2.521947982017918</v>
      </c>
      <c r="G15" s="7">
        <f>$B15 * IFERROR(VLOOKUP("buildings|PM25|Work loss days", US_national_yearly!$D:$AM, 15, FALSE) / VLOOKUP("buildings|PM25|Work loss days", US_national_yearly!$D:$AM, 10, FALSE), 1)</f>
        <v>2.5321645861957278</v>
      </c>
      <c r="H15" s="7">
        <f>$B15 * IFERROR(VLOOKUP("buildings|PM25|Work loss days", US_national_yearly!$D:$AM, 16, FALSE) / VLOOKUP("buildings|PM25|Work loss days", US_national_yearly!$D:$AM, 10, FALSE), 1)</f>
        <v>2.5423811903735376</v>
      </c>
      <c r="I15" s="7">
        <f>$B15 * IFERROR(VLOOKUP("buildings|PM25|Work loss days", US_national_yearly!$D:$AM, 17, FALSE) / VLOOKUP("buildings|PM25|Work loss days", US_national_yearly!$D:$AM, 10, FALSE), 1)</f>
        <v>2.5573859726834236</v>
      </c>
      <c r="J15" s="7">
        <f>$B15 * IFERROR(VLOOKUP("buildings|PM25|Work loss days", US_national_yearly!$D:$AM, 18, FALSE) / VLOOKUP("buildings|PM25|Work loss days", US_national_yearly!$D:$AM, 10, FALSE), 1)</f>
        <v>2.5723907549933096</v>
      </c>
      <c r="K15" s="7">
        <f>$B15 * IFERROR(VLOOKUP("buildings|PM25|Work loss days", US_national_yearly!$D:$AM, 19, FALSE) / VLOOKUP("buildings|PM25|Work loss days", US_national_yearly!$D:$AM, 10, FALSE), 1)</f>
        <v>2.5873955373031956</v>
      </c>
      <c r="L15" s="7">
        <f>$B15 * IFERROR(VLOOKUP("buildings|PM25|Work loss days", US_national_yearly!$D:$AM, 20, FALSE) / VLOOKUP("buildings|PM25|Work loss days", US_national_yearly!$D:$AM, 10, FALSE), 1)</f>
        <v>2.6024003196130812</v>
      </c>
      <c r="M15" s="7">
        <f>$B15 * IFERROR(VLOOKUP("buildings|PM25|Work loss days", US_national_yearly!$D:$AM, 21, FALSE) / VLOOKUP("buildings|PM25|Work loss days", US_national_yearly!$D:$AM, 10, FALSE), 1)</f>
        <v>2.617405101922968</v>
      </c>
      <c r="N15" s="7">
        <f>$B15 * IFERROR(VLOOKUP("buildings|PM25|Work loss days", US_national_yearly!$D:$AM, 22, FALSE) / VLOOKUP("buildings|PM25|Work loss days", US_national_yearly!$D:$AM, 10, FALSE), 1)</f>
        <v>2.6362700959823941</v>
      </c>
      <c r="O15" s="7">
        <f>$B15 * IFERROR(VLOOKUP("buildings|PM25|Work loss days", US_national_yearly!$D:$AM, 23, FALSE) / VLOOKUP("buildings|PM25|Work loss days", US_national_yearly!$D:$AM, 10, FALSE), 1)</f>
        <v>2.6551350900418207</v>
      </c>
      <c r="P15" s="7">
        <f>$B15 * IFERROR(VLOOKUP("buildings|PM25|Work loss days", US_national_yearly!$D:$AM, 24, FALSE) / VLOOKUP("buildings|PM25|Work loss days", US_national_yearly!$D:$AM, 10, FALSE), 1)</f>
        <v>2.6740000841012472</v>
      </c>
      <c r="Q15" s="7">
        <f>$B15 * IFERROR(VLOOKUP("buildings|PM25|Work loss days", US_national_yearly!$D:$AM, 25, FALSE) / VLOOKUP("buildings|PM25|Work loss days", US_national_yearly!$D:$AM, 10, FALSE), 1)</f>
        <v>2.6928650781606733</v>
      </c>
      <c r="R15" s="7">
        <f>$B15 * IFERROR(VLOOKUP("buildings|PM25|Work loss days", US_national_yearly!$D:$AM, 26, FALSE) / VLOOKUP("buildings|PM25|Work loss days", US_national_yearly!$D:$AM, 10, FALSE), 1)</f>
        <v>2.7117300722201003</v>
      </c>
      <c r="S15" s="7">
        <f>$B15 * IFERROR(VLOOKUP("buildings|PM25|Work loss days", US_national_yearly!$D:$AM, 27, FALSE) / VLOOKUP("buildings|PM25|Work loss days", US_national_yearly!$D:$AM, 10, FALSE), 1)</f>
        <v>2.7325688027645318</v>
      </c>
      <c r="T15" s="7">
        <f>$B15 * IFERROR(VLOOKUP("buildings|PM25|Work loss days", US_national_yearly!$D:$AM, 28, FALSE) / VLOOKUP("buildings|PM25|Work loss days", US_national_yearly!$D:$AM, 10, FALSE), 1)</f>
        <v>2.7534075333089638</v>
      </c>
      <c r="U15" s="7">
        <f>$B15 * IFERROR(VLOOKUP("buildings|PM25|Work loss days", US_national_yearly!$D:$AM, 29, FALSE) / VLOOKUP("buildings|PM25|Work loss days", US_national_yearly!$D:$AM, 10, FALSE), 1)</f>
        <v>2.7742462638533962</v>
      </c>
      <c r="V15" s="7">
        <f>$B15 * IFERROR(VLOOKUP("buildings|PM25|Work loss days", US_national_yearly!$D:$AM, 30, FALSE) / VLOOKUP("buildings|PM25|Work loss days", US_national_yearly!$D:$AM, 10, FALSE), 1)</f>
        <v>2.7950849943978278</v>
      </c>
      <c r="W15" s="7">
        <f>$B15 * IFERROR(VLOOKUP("buildings|PM25|Work loss days", US_national_yearly!$D:$AM, 31, FALSE) / VLOOKUP("buildings|PM25|Work loss days", US_national_yearly!$D:$AM, 10, FALSE), 1)</f>
        <v>2.8159237249422597</v>
      </c>
      <c r="X15" s="7">
        <f>$B15 * IFERROR(VLOOKUP("buildings|PM25|Work loss days", US_national_yearly!$D:$AM, 32, FALSE) / VLOOKUP("buildings|PM25|Work loss days", US_national_yearly!$D:$AM, 10, FALSE), 1)</f>
        <v>2.8344161121733187</v>
      </c>
      <c r="Y15" s="7">
        <f>$B15 * IFERROR(VLOOKUP("buildings|PM25|Work loss days", US_national_yearly!$D:$AM, 33, FALSE) / VLOOKUP("buildings|PM25|Work loss days", US_national_yearly!$D:$AM, 10, FALSE), 1)</f>
        <v>2.8529084994043781</v>
      </c>
      <c r="Z15" s="7">
        <f>$B15 * IFERROR(VLOOKUP("buildings|PM25|Work loss days", US_national_yearly!$D:$AM, 34, FALSE) / VLOOKUP("buildings|PM25|Work loss days", US_national_yearly!$D:$AM, 10, FALSE), 1)</f>
        <v>2.8714008866354366</v>
      </c>
      <c r="AA15" s="7">
        <f>$B15 * IFERROR(VLOOKUP("buildings|PM25|Work loss days", US_national_yearly!$D:$AM, 35, FALSE) / VLOOKUP("buildings|PM25|Work loss days", US_national_yearly!$D:$AM, 10, FALSE), 1)</f>
        <v>2.889893273866496</v>
      </c>
      <c r="AB15" s="7">
        <f>$B15 * IFERROR(VLOOKUP("buildings|PM25|Work loss days", US_national_yearly!$D:$AM, 36, FALSE) / VLOOKUP("buildings|PM25|Work loss days", US_national_yearly!$D:$AM, 10, FALSE), 1)</f>
        <v>2.9083856610975549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5.6817629593891557E-3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5.8515700970858892E-3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6.0213772347826227E-3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6.1911843724793553E-3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6.3609915101760887E-3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6.5236924520104588E-3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6.686393393844828E-3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6.8256803698609576E-3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6.9649673458770881E-3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7.1042543218932186E-3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7.24354129790935E-3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7.3828282739254814E-3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7.4758372635215682E-3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7.5688462531176559E-3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7.6618552427137419E-3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7.7548642323098296E-3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7.8478732219059155E-3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7.8972950776069958E-3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7.9467169333080727E-3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7.996138789009153E-3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8.0455606447102299E-3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8.0949825004113102E-3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8.1283994091599122E-3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8.1618163179085108E-3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8.1952332266571129E-3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8.2286501354057115E-3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8.2620670441543118E-3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2.2199334205901095E-3</v>
      </c>
      <c r="C2" s="7">
        <f>$B2 * IFERROR(VLOOKUP("buildings|NOx|Premature mortality", US_national_yearly!$D:$AM, 11, FALSE) / VLOOKUP("buildings|NOx|Premature mortality", US_national_yearly!$D:$AM, 10, FALSE), 1)</f>
        <v>2.2525857196363671E-3</v>
      </c>
      <c r="D2" s="7">
        <f>$B2 * IFERROR(VLOOKUP("buildings|NOx|Premature mortality", US_national_yearly!$D:$AM, 12, FALSE) / VLOOKUP("buildings|NOx|Premature mortality", US_national_yearly!$D:$AM, 10, FALSE), 1)</f>
        <v>2.2852380186826247E-3</v>
      </c>
      <c r="E2" s="7">
        <f>$B2 * IFERROR(VLOOKUP("buildings|NOx|Premature mortality", US_national_yearly!$D:$AM, 13, FALSE) / VLOOKUP("buildings|NOx|Premature mortality", US_national_yearly!$D:$AM, 10, FALSE), 1)</f>
        <v>2.3178903177288822E-3</v>
      </c>
      <c r="F2" s="7">
        <f>$B2 * IFERROR(VLOOKUP("buildings|NOx|Premature mortality", US_national_yearly!$D:$AM, 14, FALSE) / VLOOKUP("buildings|NOx|Premature mortality", US_national_yearly!$D:$AM, 10, FALSE), 1)</f>
        <v>2.3505426167751394E-3</v>
      </c>
      <c r="G2" s="7">
        <f>$B2 * IFERROR(VLOOKUP("buildings|NOx|Premature mortality", US_national_yearly!$D:$AM, 15, FALSE) / VLOOKUP("buildings|NOx|Premature mortality", US_national_yearly!$D:$AM, 10, FALSE), 1)</f>
        <v>2.4091653257870865E-3</v>
      </c>
      <c r="H2" s="7">
        <f>$B2 * IFERROR(VLOOKUP("buildings|NOx|Premature mortality", US_national_yearly!$D:$AM, 16, FALSE) / VLOOKUP("buildings|NOx|Premature mortality", US_national_yearly!$D:$AM, 10, FALSE), 1)</f>
        <v>2.4677880347990342E-3</v>
      </c>
      <c r="I2" s="7">
        <f>$B2 * IFERROR(VLOOKUP("buildings|NOx|Premature mortality", US_national_yearly!$D:$AM, 17, FALSE) / VLOOKUP("buildings|NOx|Premature mortality", US_national_yearly!$D:$AM, 10, FALSE), 1)</f>
        <v>2.5056731872424931E-3</v>
      </c>
      <c r="J2" s="7">
        <f>$B2 * IFERROR(VLOOKUP("buildings|NOx|Premature mortality", US_national_yearly!$D:$AM, 18, FALSE) / VLOOKUP("buildings|NOx|Premature mortality", US_national_yearly!$D:$AM, 10, FALSE), 1)</f>
        <v>2.5435583396859517E-3</v>
      </c>
      <c r="K2" s="7">
        <f>$B2 * IFERROR(VLOOKUP("buildings|NOx|Premature mortality", US_national_yearly!$D:$AM, 19, FALSE) / VLOOKUP("buildings|NOx|Premature mortality", US_national_yearly!$D:$AM, 10, FALSE), 1)</f>
        <v>2.5814434921294111E-3</v>
      </c>
      <c r="L2" s="7">
        <f>$B2 * IFERROR(VLOOKUP("buildings|NOx|Premature mortality", US_national_yearly!$D:$AM, 20, FALSE) / VLOOKUP("buildings|NOx|Premature mortality", US_national_yearly!$D:$AM, 10, FALSE), 1)</f>
        <v>2.6193286445728701E-3</v>
      </c>
      <c r="M2" s="7">
        <f>$B2 * IFERROR(VLOOKUP("buildings|NOx|Premature mortality", US_national_yearly!$D:$AM, 21, FALSE) / VLOOKUP("buildings|NOx|Premature mortality", US_national_yearly!$D:$AM, 10, FALSE), 1)</f>
        <v>2.6572137970163291E-3</v>
      </c>
      <c r="N2" s="7">
        <f>$B2 * IFERROR(VLOOKUP("buildings|NOx|Premature mortality", US_national_yearly!$D:$AM, 22, FALSE) / VLOOKUP("buildings|NOx|Premature mortality", US_national_yearly!$D:$AM, 10, FALSE), 1)</f>
        <v>2.6852852487835536E-3</v>
      </c>
      <c r="O2" s="7">
        <f>$B2 * IFERROR(VLOOKUP("buildings|NOx|Premature mortality", US_national_yearly!$D:$AM, 23, FALSE) / VLOOKUP("buildings|NOx|Premature mortality", US_national_yearly!$D:$AM, 10, FALSE), 1)</f>
        <v>2.7133567005507785E-3</v>
      </c>
      <c r="P2" s="7">
        <f>$B2 * IFERROR(VLOOKUP("buildings|NOx|Premature mortality", US_national_yearly!$D:$AM, 24, FALSE) / VLOOKUP("buildings|NOx|Premature mortality", US_national_yearly!$D:$AM, 10, FALSE), 1)</f>
        <v>2.7414281523180034E-3</v>
      </c>
      <c r="Q2" s="7">
        <f>$B2 * IFERROR(VLOOKUP("buildings|NOx|Premature mortality", US_national_yearly!$D:$AM, 25, FALSE) / VLOOKUP("buildings|NOx|Premature mortality", US_national_yearly!$D:$AM, 10, FALSE), 1)</f>
        <v>2.7694996040852279E-3</v>
      </c>
      <c r="R2" s="7">
        <f>$B2 * IFERROR(VLOOKUP("buildings|NOx|Premature mortality", US_national_yearly!$D:$AM, 26, FALSE) / VLOOKUP("buildings|NOx|Premature mortality", US_national_yearly!$D:$AM, 10, FALSE), 1)</f>
        <v>2.7975710558524529E-3</v>
      </c>
      <c r="S2" s="7">
        <f>$B2 * IFERROR(VLOOKUP("buildings|NOx|Premature mortality", US_national_yearly!$D:$AM, 27, FALSE) / VLOOKUP("buildings|NOx|Premature mortality", US_national_yearly!$D:$AM, 10, FALSE), 1)</f>
        <v>2.8103334445620507E-3</v>
      </c>
      <c r="T2" s="7">
        <f>$B2 * IFERROR(VLOOKUP("buildings|NOx|Premature mortality", US_national_yearly!$D:$AM, 28, FALSE) / VLOOKUP("buildings|NOx|Premature mortality", US_national_yearly!$D:$AM, 10, FALSE), 1)</f>
        <v>2.8230958332716482E-3</v>
      </c>
      <c r="U2" s="7">
        <f>$B2 * IFERROR(VLOOKUP("buildings|NOx|Premature mortality", US_national_yearly!$D:$AM, 29, FALSE) / VLOOKUP("buildings|NOx|Premature mortality", US_national_yearly!$D:$AM, 10, FALSE), 1)</f>
        <v>2.835858221981246E-3</v>
      </c>
      <c r="V2" s="7">
        <f>$B2 * IFERROR(VLOOKUP("buildings|NOx|Premature mortality", US_national_yearly!$D:$AM, 30, FALSE) / VLOOKUP("buildings|NOx|Premature mortality", US_national_yearly!$D:$AM, 10, FALSE), 1)</f>
        <v>2.8486206106908439E-3</v>
      </c>
      <c r="W2" s="7">
        <f>$B2 * IFERROR(VLOOKUP("buildings|NOx|Premature mortality", US_national_yearly!$D:$AM, 31, FALSE) / VLOOKUP("buildings|NOx|Premature mortality", US_national_yearly!$D:$AM, 10, FALSE), 1)</f>
        <v>2.8613829994004413E-3</v>
      </c>
      <c r="X2" s="7">
        <f>$B2 * IFERROR(VLOOKUP("buildings|NOx|Premature mortality", US_national_yearly!$D:$AM, 32, FALSE) / VLOOKUP("buildings|NOx|Premature mortality", US_national_yearly!$D:$AM, 10, FALSE), 1)</f>
        <v>2.8618324803272948E-3</v>
      </c>
      <c r="Y2" s="7">
        <f>$B2 * IFERROR(VLOOKUP("buildings|NOx|Premature mortality", US_national_yearly!$D:$AM, 33, FALSE) / VLOOKUP("buildings|NOx|Premature mortality", US_national_yearly!$D:$AM, 10, FALSE), 1)</f>
        <v>2.8622819612541487E-3</v>
      </c>
      <c r="Z2" s="7">
        <f>$B2 * IFERROR(VLOOKUP("buildings|NOx|Premature mortality", US_national_yearly!$D:$AM, 34, FALSE) / VLOOKUP("buildings|NOx|Premature mortality", US_national_yearly!$D:$AM, 10, FALSE), 1)</f>
        <v>2.8627314421810022E-3</v>
      </c>
      <c r="AA2" s="7">
        <f>$B2 * IFERROR(VLOOKUP("buildings|NOx|Premature mortality", US_national_yearly!$D:$AM, 35, FALSE) / VLOOKUP("buildings|NOx|Premature mortality", US_national_yearly!$D:$AM, 10, FALSE), 1)</f>
        <v>2.8631809231078552E-3</v>
      </c>
      <c r="AB2" s="7">
        <f>$B2 * IFERROR(VLOOKUP("buildings|NOx|Premature mortality", US_national_yearly!$D:$AM, 36, FALSE) / VLOOKUP("buildings|NOx|Premature mortality", US_national_yearly!$D:$AM, 10, FALSE), 1)</f>
        <v>2.8636304040347092E-3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4.8609610546757918E-6</v>
      </c>
      <c r="C3" s="7">
        <f>$B3 * IFERROR(VLOOKUP("buildings|NOx|Infant mortality", US_national_yearly!$D:$AM, 11, FALSE) / VLOOKUP("buildings|NOx|Infant mortality", US_national_yearly!$D:$AM, 10, FALSE), 1)</f>
        <v>4.8147876296579955E-6</v>
      </c>
      <c r="D3" s="7">
        <f>$B3 * IFERROR(VLOOKUP("buildings|NOx|Infant mortality", US_national_yearly!$D:$AM, 12, FALSE) / VLOOKUP("buildings|NOx|Infant mortality", US_national_yearly!$D:$AM, 10, FALSE), 1)</f>
        <v>4.7686142046401975E-6</v>
      </c>
      <c r="E3" s="7">
        <f>$B3 * IFERROR(VLOOKUP("buildings|NOx|Infant mortality", US_national_yearly!$D:$AM, 13, FALSE) / VLOOKUP("buildings|NOx|Infant mortality", US_national_yearly!$D:$AM, 10, FALSE), 1)</f>
        <v>4.7224407796224012E-6</v>
      </c>
      <c r="F3" s="7">
        <f>$B3 * IFERROR(VLOOKUP("buildings|NOx|Infant mortality", US_national_yearly!$D:$AM, 14, FALSE) / VLOOKUP("buildings|NOx|Infant mortality", US_national_yearly!$D:$AM, 10, FALSE), 1)</f>
        <v>4.6762673546046032E-6</v>
      </c>
      <c r="G3" s="7">
        <f>$B3 * IFERROR(VLOOKUP("buildings|NOx|Infant mortality", US_national_yearly!$D:$AM, 15, FALSE) / VLOOKUP("buildings|NOx|Infant mortality", US_national_yearly!$D:$AM, 10, FALSE), 1)</f>
        <v>3.1038137558513086E-6</v>
      </c>
      <c r="H3" s="7">
        <f>$B3 * IFERROR(VLOOKUP("buildings|NOx|Infant mortality", US_national_yearly!$D:$AM, 16, FALSE) / VLOOKUP("buildings|NOx|Infant mortality", US_national_yearly!$D:$AM, 10, FALSE), 1)</f>
        <v>1.5313601570980143E-6</v>
      </c>
      <c r="I3" s="7">
        <f>$B3 * IFERROR(VLOOKUP("buildings|NOx|Infant mortality", US_national_yearly!$D:$AM, 17, FALSE) / VLOOKUP("buildings|NOx|Infant mortality", US_national_yearly!$D:$AM, 10, FALSE), 1)</f>
        <v>1.5205417738727327E-6</v>
      </c>
      <c r="J3" s="7">
        <f>$B3 * IFERROR(VLOOKUP("buildings|NOx|Infant mortality", US_national_yearly!$D:$AM, 18, FALSE) / VLOOKUP("buildings|NOx|Infant mortality", US_national_yearly!$D:$AM, 10, FALSE), 1)</f>
        <v>1.5097233906474507E-6</v>
      </c>
      <c r="K3" s="7">
        <f>$B3 * IFERROR(VLOOKUP("buildings|NOx|Infant mortality", US_national_yearly!$D:$AM, 19, FALSE) / VLOOKUP("buildings|NOx|Infant mortality", US_national_yearly!$D:$AM, 10, FALSE), 1)</f>
        <v>1.4989050074221691E-6</v>
      </c>
      <c r="L3" s="7">
        <f>$B3 * IFERROR(VLOOKUP("buildings|NOx|Infant mortality", US_national_yearly!$D:$AM, 20, FALSE) / VLOOKUP("buildings|NOx|Infant mortality", US_national_yearly!$D:$AM, 10, FALSE), 1)</f>
        <v>1.4880866241968873E-6</v>
      </c>
      <c r="M3" s="7">
        <f>$B3 * IFERROR(VLOOKUP("buildings|NOx|Infant mortality", US_national_yearly!$D:$AM, 21, FALSE) / VLOOKUP("buildings|NOx|Infant mortality", US_national_yearly!$D:$AM, 10, FALSE), 1)</f>
        <v>1.4772682409716052E-6</v>
      </c>
      <c r="N3" s="7">
        <f>$B3 * IFERROR(VLOOKUP("buildings|NOx|Infant mortality", US_national_yearly!$D:$AM, 22, FALSE) / VLOOKUP("buildings|NOx|Infant mortality", US_national_yearly!$D:$AM, 10, FALSE), 1)</f>
        <v>1.4700995041286967E-6</v>
      </c>
      <c r="O3" s="7">
        <f>$B3 * IFERROR(VLOOKUP("buildings|NOx|Infant mortality", US_national_yearly!$D:$AM, 23, FALSE) / VLOOKUP("buildings|NOx|Infant mortality", US_national_yearly!$D:$AM, 10, FALSE), 1)</f>
        <v>1.462930767285788E-6</v>
      </c>
      <c r="P3" s="7">
        <f>$B3 * IFERROR(VLOOKUP("buildings|NOx|Infant mortality", US_national_yearly!$D:$AM, 24, FALSE) / VLOOKUP("buildings|NOx|Infant mortality", US_national_yearly!$D:$AM, 10, FALSE), 1)</f>
        <v>1.4557620304428792E-6</v>
      </c>
      <c r="Q3" s="7">
        <f>$B3 * IFERROR(VLOOKUP("buildings|NOx|Infant mortality", US_national_yearly!$D:$AM, 25, FALSE) / VLOOKUP("buildings|NOx|Infant mortality", US_national_yearly!$D:$AM, 10, FALSE), 1)</f>
        <v>1.4485932935999707E-6</v>
      </c>
      <c r="R3" s="7">
        <f>$B3 * IFERROR(VLOOKUP("buildings|NOx|Infant mortality", US_national_yearly!$D:$AM, 26, FALSE) / VLOOKUP("buildings|NOx|Infant mortality", US_national_yearly!$D:$AM, 10, FALSE), 1)</f>
        <v>1.441424556757062E-6</v>
      </c>
      <c r="S3" s="7">
        <f>$B3 * IFERROR(VLOOKUP("buildings|NOx|Infant mortality", US_national_yearly!$D:$AM, 27, FALSE) / VLOOKUP("buildings|NOx|Infant mortality", US_national_yearly!$D:$AM, 10, FALSE), 1)</f>
        <v>1.432801024186704E-6</v>
      </c>
      <c r="T3" s="7">
        <f>$B3 * IFERROR(VLOOKUP("buildings|NOx|Infant mortality", US_national_yearly!$D:$AM, 28, FALSE) / VLOOKUP("buildings|NOx|Infant mortality", US_national_yearly!$D:$AM, 10, FALSE), 1)</f>
        <v>1.4241774916163463E-6</v>
      </c>
      <c r="U3" s="7">
        <f>$B3 * IFERROR(VLOOKUP("buildings|NOx|Infant mortality", US_national_yearly!$D:$AM, 29, FALSE) / VLOOKUP("buildings|NOx|Infant mortality", US_national_yearly!$D:$AM, 10, FALSE), 1)</f>
        <v>1.4155539590459884E-6</v>
      </c>
      <c r="V3" s="7">
        <f>$B3 * IFERROR(VLOOKUP("buildings|NOx|Infant mortality", US_national_yearly!$D:$AM, 30, FALSE) / VLOOKUP("buildings|NOx|Infant mortality", US_national_yearly!$D:$AM, 10, FALSE), 1)</f>
        <v>1.4069304264756305E-6</v>
      </c>
      <c r="W3" s="7">
        <f>$B3 * IFERROR(VLOOKUP("buildings|NOx|Infant mortality", US_national_yearly!$D:$AM, 31, FALSE) / VLOOKUP("buildings|NOx|Infant mortality", US_national_yearly!$D:$AM, 10, FALSE), 1)</f>
        <v>1.3983068939052727E-6</v>
      </c>
      <c r="X3" s="7">
        <f>$B3 * IFERROR(VLOOKUP("buildings|NOx|Infant mortality", US_national_yearly!$D:$AM, 32, FALSE) / VLOOKUP("buildings|NOx|Infant mortality", US_national_yearly!$D:$AM, 10, FALSE), 1)</f>
        <v>1.3891824406438308E-6</v>
      </c>
      <c r="Y3" s="7">
        <f>$B3 * IFERROR(VLOOKUP("buildings|NOx|Infant mortality", US_national_yearly!$D:$AM, 33, FALSE) / VLOOKUP("buildings|NOx|Infant mortality", US_national_yearly!$D:$AM, 10, FALSE), 1)</f>
        <v>1.3800579873823891E-6</v>
      </c>
      <c r="Z3" s="7">
        <f>$B3 * IFERROR(VLOOKUP("buildings|NOx|Infant mortality", US_national_yearly!$D:$AM, 34, FALSE) / VLOOKUP("buildings|NOx|Infant mortality", US_national_yearly!$D:$AM, 10, FALSE), 1)</f>
        <v>1.370933534120947E-6</v>
      </c>
      <c r="AA3" s="7">
        <f>$B3 * IFERROR(VLOOKUP("buildings|NOx|Infant mortality", US_national_yearly!$D:$AM, 35, FALSE) / VLOOKUP("buildings|NOx|Infant mortality", US_national_yearly!$D:$AM, 10, FALSE), 1)</f>
        <v>1.361809080859505E-6</v>
      </c>
      <c r="AB3" s="7">
        <f>$B3 * IFERROR(VLOOKUP("buildings|NOx|Infant mortality", US_national_yearly!$D:$AM, 36, FALSE) / VLOOKUP("buildings|NOx|Infant mortality", US_national_yearly!$D:$AM, 10, FALSE), 1)</f>
        <v>1.3526846275980629E-6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4.6460968775876802E-3</v>
      </c>
      <c r="C6" s="7">
        <f>$B6 * IFERROR(VLOOKUP("buildings|NOx|Asthma symptoms cough", US_national_yearly!$D:$AM, 11, FALSE) / VLOOKUP("buildings|NOx|Asthma symptoms cough", US_national_yearly!$D:$AM, 10, FALSE), 1)</f>
        <v>4.7096799788683523E-3</v>
      </c>
      <c r="D6" s="7">
        <f>$B6 * IFERROR(VLOOKUP("buildings|NOx|Asthma symptoms cough", US_national_yearly!$D:$AM, 12, FALSE) / VLOOKUP("buildings|NOx|Asthma symptoms cough", US_national_yearly!$D:$AM, 10, FALSE), 1)</f>
        <v>4.7732630801490261E-3</v>
      </c>
      <c r="E6" s="7">
        <f>$B6 * IFERROR(VLOOKUP("buildings|NOx|Asthma symptoms cough", US_national_yearly!$D:$AM, 13, FALSE) / VLOOKUP("buildings|NOx|Asthma symptoms cough", US_national_yearly!$D:$AM, 10, FALSE), 1)</f>
        <v>4.8368461814296982E-3</v>
      </c>
      <c r="F6" s="7">
        <f>$B6 * IFERROR(VLOOKUP("buildings|NOx|Asthma symptoms cough", US_national_yearly!$D:$AM, 14, FALSE) / VLOOKUP("buildings|NOx|Asthma symptoms cough", US_national_yearly!$D:$AM, 10, FALSE), 1)</f>
        <v>4.9004292827103712E-3</v>
      </c>
      <c r="G6" s="7">
        <f>$B6 * IFERROR(VLOOKUP("buildings|NOx|Asthma symptoms cough", US_national_yearly!$D:$AM, 15, FALSE) / VLOOKUP("buildings|NOx|Asthma symptoms cough", US_national_yearly!$D:$AM, 10, FALSE), 1)</f>
        <v>4.9512440948106485E-3</v>
      </c>
      <c r="H6" s="7">
        <f>$B6 * IFERROR(VLOOKUP("buildings|NOx|Asthma symptoms cough", US_national_yearly!$D:$AM, 16, FALSE) / VLOOKUP("buildings|NOx|Asthma symptoms cough", US_national_yearly!$D:$AM, 10, FALSE), 1)</f>
        <v>5.0020589069109259E-3</v>
      </c>
      <c r="I6" s="7">
        <f>$B6 * IFERROR(VLOOKUP("buildings|NOx|Asthma symptoms cough", US_national_yearly!$D:$AM, 17, FALSE) / VLOOKUP("buildings|NOx|Asthma symptoms cough", US_national_yearly!$D:$AM, 10, FALSE), 1)</f>
        <v>5.0196444125706514E-3</v>
      </c>
      <c r="J6" s="7">
        <f>$B6 * IFERROR(VLOOKUP("buildings|NOx|Asthma symptoms cough", US_national_yearly!$D:$AM, 18, FALSE) / VLOOKUP("buildings|NOx|Asthma symptoms cough", US_national_yearly!$D:$AM, 10, FALSE), 1)</f>
        <v>5.0372299182303779E-3</v>
      </c>
      <c r="K6" s="7">
        <f>$B6 * IFERROR(VLOOKUP("buildings|NOx|Asthma symptoms cough", US_national_yearly!$D:$AM, 19, FALSE) / VLOOKUP("buildings|NOx|Asthma symptoms cough", US_national_yearly!$D:$AM, 10, FALSE), 1)</f>
        <v>5.0548154238901034E-3</v>
      </c>
      <c r="L6" s="7">
        <f>$B6 * IFERROR(VLOOKUP("buildings|NOx|Asthma symptoms cough", US_national_yearly!$D:$AM, 20, FALSE) / VLOOKUP("buildings|NOx|Asthma symptoms cough", US_national_yearly!$D:$AM, 10, FALSE), 1)</f>
        <v>5.0724009295498289E-3</v>
      </c>
      <c r="M6" s="7">
        <f>$B6 * IFERROR(VLOOKUP("buildings|NOx|Asthma symptoms cough", US_national_yearly!$D:$AM, 21, FALSE) / VLOOKUP("buildings|NOx|Asthma symptoms cough", US_national_yearly!$D:$AM, 10, FALSE), 1)</f>
        <v>5.0899864352095545E-3</v>
      </c>
      <c r="N6" s="7">
        <f>$B6 * IFERROR(VLOOKUP("buildings|NOx|Asthma symptoms cough", US_national_yearly!$D:$AM, 22, FALSE) / VLOOKUP("buildings|NOx|Asthma symptoms cough", US_national_yearly!$D:$AM, 10, FALSE), 1)</f>
        <v>5.1103207718564527E-3</v>
      </c>
      <c r="O6" s="7">
        <f>$B6 * IFERROR(VLOOKUP("buildings|NOx|Asthma symptoms cough", US_national_yearly!$D:$AM, 23, FALSE) / VLOOKUP("buildings|NOx|Asthma symptoms cough", US_national_yearly!$D:$AM, 10, FALSE), 1)</f>
        <v>5.1306551085033491E-3</v>
      </c>
      <c r="P6" s="7">
        <f>$B6 * IFERROR(VLOOKUP("buildings|NOx|Asthma symptoms cough", US_national_yearly!$D:$AM, 24, FALSE) / VLOOKUP("buildings|NOx|Asthma symptoms cough", US_national_yearly!$D:$AM, 10, FALSE), 1)</f>
        <v>5.1509894451502464E-3</v>
      </c>
      <c r="Q6" s="7">
        <f>$B6 * IFERROR(VLOOKUP("buildings|NOx|Asthma symptoms cough", US_national_yearly!$D:$AM, 25, FALSE) / VLOOKUP("buildings|NOx|Asthma symptoms cough", US_national_yearly!$D:$AM, 10, FALSE), 1)</f>
        <v>5.1713237817971446E-3</v>
      </c>
      <c r="R6" s="7">
        <f>$B6 * IFERROR(VLOOKUP("buildings|NOx|Asthma symptoms cough", US_national_yearly!$D:$AM, 26, FALSE) / VLOOKUP("buildings|NOx|Asthma symptoms cough", US_national_yearly!$D:$AM, 10, FALSE), 1)</f>
        <v>5.1916581184440411E-3</v>
      </c>
      <c r="S6" s="7">
        <f>$B6 * IFERROR(VLOOKUP("buildings|NOx|Asthma symptoms cough", US_national_yearly!$D:$AM, 27, FALSE) / VLOOKUP("buildings|NOx|Asthma symptoms cough", US_national_yearly!$D:$AM, 10, FALSE), 1)</f>
        <v>5.2182151930451346E-3</v>
      </c>
      <c r="T6" s="7">
        <f>$B6 * IFERROR(VLOOKUP("buildings|NOx|Asthma symptoms cough", US_national_yearly!$D:$AM, 28, FALSE) / VLOOKUP("buildings|NOx|Asthma symptoms cough", US_national_yearly!$D:$AM, 10, FALSE), 1)</f>
        <v>5.2447722676462272E-3</v>
      </c>
      <c r="U6" s="7">
        <f>$B6 * IFERROR(VLOOKUP("buildings|NOx|Asthma symptoms cough", US_national_yearly!$D:$AM, 29, FALSE) / VLOOKUP("buildings|NOx|Asthma symptoms cough", US_national_yearly!$D:$AM, 10, FALSE), 1)</f>
        <v>5.2713293422473198E-3</v>
      </c>
      <c r="V6" s="7">
        <f>$B6 * IFERROR(VLOOKUP("buildings|NOx|Asthma symptoms cough", US_national_yearly!$D:$AM, 30, FALSE) / VLOOKUP("buildings|NOx|Asthma symptoms cough", US_national_yearly!$D:$AM, 10, FALSE), 1)</f>
        <v>5.2978864168484142E-3</v>
      </c>
      <c r="W6" s="7">
        <f>$B6 * IFERROR(VLOOKUP("buildings|NOx|Asthma symptoms cough", US_national_yearly!$D:$AM, 31, FALSE) / VLOOKUP("buildings|NOx|Asthma symptoms cough", US_national_yearly!$D:$AM, 10, FALSE), 1)</f>
        <v>5.3244434914495068E-3</v>
      </c>
      <c r="X6" s="7">
        <f>$B6 * IFERROR(VLOOKUP("buildings|NOx|Asthma symptoms cough", US_national_yearly!$D:$AM, 32, FALSE) / VLOOKUP("buildings|NOx|Asthma symptoms cough", US_national_yearly!$D:$AM, 10, FALSE), 1)</f>
        <v>5.3491186680781413E-3</v>
      </c>
      <c r="Y6" s="7">
        <f>$B6 * IFERROR(VLOOKUP("buildings|NOx|Asthma symptoms cough", US_national_yearly!$D:$AM, 33, FALSE) / VLOOKUP("buildings|NOx|Asthma symptoms cough", US_national_yearly!$D:$AM, 10, FALSE), 1)</f>
        <v>5.3737938447067767E-3</v>
      </c>
      <c r="Z6" s="7">
        <f>$B6 * IFERROR(VLOOKUP("buildings|NOx|Asthma symptoms cough", US_national_yearly!$D:$AM, 34, FALSE) / VLOOKUP("buildings|NOx|Asthma symptoms cough", US_national_yearly!$D:$AM, 10, FALSE), 1)</f>
        <v>5.398469021335413E-3</v>
      </c>
      <c r="AA6" s="7">
        <f>$B6 * IFERROR(VLOOKUP("buildings|NOx|Asthma symptoms cough", US_national_yearly!$D:$AM, 35, FALSE) / VLOOKUP("buildings|NOx|Asthma symptoms cough", US_national_yearly!$D:$AM, 10, FALSE), 1)</f>
        <v>5.4231441979640483E-3</v>
      </c>
      <c r="AB6" s="7">
        <f>$B6 * IFERROR(VLOOKUP("buildings|NOx|Asthma symptoms cough", US_national_yearly!$D:$AM, 36, FALSE) / VLOOKUP("buildings|NOx|Asthma symptoms cough", US_national_yearly!$D:$AM, 10, FALSE), 1)</f>
        <v>5.4478193745926846E-3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6.2565678632236178E-3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6.3421906984357547E-3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6.4278135336478916E-3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6.5134363688600285E-3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6.5990592040721654E-3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6.6674878932462094E-3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6.7359165824202533E-3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6.7595977304783558E-3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6.7832788785364573E-3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6.8069600265945615E-3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6.830641174652664E-3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6.8543223227107665E-3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6.8817051257880017E-3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6.9090879288652369E-3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6.936470731942472E-3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6.9638535350197081E-3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6.9912363380969433E-3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7.0269988594137437E-3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7.0627613807305442E-3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7.0985239020473438E-3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7.1342864233641425E-3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7.1700489446809429E-3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7.2032772479817715E-3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7.2365055512825984E-3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7.2697338545834262E-3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7.3029621578842522E-3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7.33619046118508E-3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9.5592455151373781E-3</v>
      </c>
      <c r="C8" s="7">
        <f>$B8 * IFERROR(VLOOKUP("buildings|NOx|Asthma symptoms wheeze", US_national_yearly!$D:$AM, 11, FALSE) / VLOOKUP("buildings|NOx|Asthma symptoms wheeze", US_national_yearly!$D:$AM, 10, FALSE), 1)</f>
        <v>9.6900663938254469E-3</v>
      </c>
      <c r="D8" s="7">
        <f>$B8 * IFERROR(VLOOKUP("buildings|NOx|Asthma symptoms wheeze", US_national_yearly!$D:$AM, 12, FALSE) / VLOOKUP("buildings|NOx|Asthma symptoms wheeze", US_national_yearly!$D:$AM, 10, FALSE), 1)</f>
        <v>9.8208872725135173E-3</v>
      </c>
      <c r="E8" s="7">
        <f>$B8 * IFERROR(VLOOKUP("buildings|NOx|Asthma symptoms wheeze", US_national_yearly!$D:$AM, 13, FALSE) / VLOOKUP("buildings|NOx|Asthma symptoms wheeze", US_national_yearly!$D:$AM, 10, FALSE), 1)</f>
        <v>9.9517081512015843E-3</v>
      </c>
      <c r="F8" s="7">
        <f>$B8 * IFERROR(VLOOKUP("buildings|NOx|Asthma symptoms wheeze", US_national_yearly!$D:$AM, 14, FALSE) / VLOOKUP("buildings|NOx|Asthma symptoms wheeze", US_national_yearly!$D:$AM, 10, FALSE), 1)</f>
        <v>1.0082529029889657E-2</v>
      </c>
      <c r="G8" s="7">
        <f>$B8 * IFERROR(VLOOKUP("buildings|NOx|Asthma symptoms wheeze", US_national_yearly!$D:$AM, 15, FALSE) / VLOOKUP("buildings|NOx|Asthma symptoms wheeze", US_national_yearly!$D:$AM, 10, FALSE), 1)</f>
        <v>1.0187079425129326E-2</v>
      </c>
      <c r="H8" s="7">
        <f>$B8 * IFERROR(VLOOKUP("buildings|NOx|Asthma symptoms wheeze", US_national_yearly!$D:$AM, 16, FALSE) / VLOOKUP("buildings|NOx|Asthma symptoms wheeze", US_national_yearly!$D:$AM, 10, FALSE), 1)</f>
        <v>1.0291629820368995E-2</v>
      </c>
      <c r="I8" s="7">
        <f>$B8 * IFERROR(VLOOKUP("buildings|NOx|Asthma symptoms wheeze", US_national_yearly!$D:$AM, 17, FALSE) / VLOOKUP("buildings|NOx|Asthma symptoms wheeze", US_national_yearly!$D:$AM, 10, FALSE), 1)</f>
        <v>1.032781162428611E-2</v>
      </c>
      <c r="J8" s="7">
        <f>$B8 * IFERROR(VLOOKUP("buildings|NOx|Asthma symptoms wheeze", US_national_yearly!$D:$AM, 18, FALSE) / VLOOKUP("buildings|NOx|Asthma symptoms wheeze", US_national_yearly!$D:$AM, 10, FALSE), 1)</f>
        <v>1.0363993428203223E-2</v>
      </c>
      <c r="K8" s="7">
        <f>$B8 * IFERROR(VLOOKUP("buildings|NOx|Asthma symptoms wheeze", US_national_yearly!$D:$AM, 19, FALSE) / VLOOKUP("buildings|NOx|Asthma symptoms wheeze", US_national_yearly!$D:$AM, 10, FALSE), 1)</f>
        <v>1.0400175232120336E-2</v>
      </c>
      <c r="L8" s="7">
        <f>$B8 * IFERROR(VLOOKUP("buildings|NOx|Asthma symptoms wheeze", US_national_yearly!$D:$AM, 20, FALSE) / VLOOKUP("buildings|NOx|Asthma symptoms wheeze", US_national_yearly!$D:$AM, 10, FALSE), 1)</f>
        <v>1.0436357036037449E-2</v>
      </c>
      <c r="M8" s="7">
        <f>$B8 * IFERROR(VLOOKUP("buildings|NOx|Asthma symptoms wheeze", US_national_yearly!$D:$AM, 21, FALSE) / VLOOKUP("buildings|NOx|Asthma symptoms wheeze", US_national_yearly!$D:$AM, 10, FALSE), 1)</f>
        <v>1.0472538839954564E-2</v>
      </c>
      <c r="N8" s="7">
        <f>$B8 * IFERROR(VLOOKUP("buildings|NOx|Asthma symptoms wheeze", US_national_yearly!$D:$AM, 22, FALSE) / VLOOKUP("buildings|NOx|Asthma symptoms wheeze", US_national_yearly!$D:$AM, 10, FALSE), 1)</f>
        <v>1.0514376305172003E-2</v>
      </c>
      <c r="O8" s="7">
        <f>$B8 * IFERROR(VLOOKUP("buildings|NOx|Asthma symptoms wheeze", US_national_yearly!$D:$AM, 23, FALSE) / VLOOKUP("buildings|NOx|Asthma symptoms wheeze", US_national_yearly!$D:$AM, 10, FALSE), 1)</f>
        <v>1.0556213770389443E-2</v>
      </c>
      <c r="P8" s="7">
        <f>$B8 * IFERROR(VLOOKUP("buildings|NOx|Asthma symptoms wheeze", US_national_yearly!$D:$AM, 24, FALSE) / VLOOKUP("buildings|NOx|Asthma symptoms wheeze", US_national_yearly!$D:$AM, 10, FALSE), 1)</f>
        <v>1.059805123560688E-2</v>
      </c>
      <c r="Q8" s="7">
        <f>$B8 * IFERROR(VLOOKUP("buildings|NOx|Asthma symptoms wheeze", US_national_yearly!$D:$AM, 25, FALSE) / VLOOKUP("buildings|NOx|Asthma symptoms wheeze", US_national_yearly!$D:$AM, 10, FALSE), 1)</f>
        <v>1.0639888700824321E-2</v>
      </c>
      <c r="R8" s="7">
        <f>$B8 * IFERROR(VLOOKUP("buildings|NOx|Asthma symptoms wheeze", US_national_yearly!$D:$AM, 26, FALSE) / VLOOKUP("buildings|NOx|Asthma symptoms wheeze", US_national_yearly!$D:$AM, 10, FALSE), 1)</f>
        <v>1.0681726166041759E-2</v>
      </c>
      <c r="S8" s="7">
        <f>$B8 * IFERROR(VLOOKUP("buildings|NOx|Asthma symptoms wheeze", US_national_yearly!$D:$AM, 27, FALSE) / VLOOKUP("buildings|NOx|Asthma symptoms wheeze", US_national_yearly!$D:$AM, 10, FALSE), 1)</f>
        <v>1.0736366782279027E-2</v>
      </c>
      <c r="T8" s="7">
        <f>$B8 * IFERROR(VLOOKUP("buildings|NOx|Asthma symptoms wheeze", US_national_yearly!$D:$AM, 28, FALSE) / VLOOKUP("buildings|NOx|Asthma symptoms wheeze", US_national_yearly!$D:$AM, 10, FALSE), 1)</f>
        <v>1.0791007398516293E-2</v>
      </c>
      <c r="U8" s="7">
        <f>$B8 * IFERROR(VLOOKUP("buildings|NOx|Asthma symptoms wheeze", US_national_yearly!$D:$AM, 29, FALSE) / VLOOKUP("buildings|NOx|Asthma symptoms wheeze", US_national_yearly!$D:$AM, 10, FALSE), 1)</f>
        <v>1.0845648014753561E-2</v>
      </c>
      <c r="V8" s="7">
        <f>$B8 * IFERROR(VLOOKUP("buildings|NOx|Asthma symptoms wheeze", US_national_yearly!$D:$AM, 30, FALSE) / VLOOKUP("buildings|NOx|Asthma symptoms wheeze", US_national_yearly!$D:$AM, 10, FALSE), 1)</f>
        <v>1.0900288630990828E-2</v>
      </c>
      <c r="W8" s="7">
        <f>$B8 * IFERROR(VLOOKUP("buildings|NOx|Asthma symptoms wheeze", US_national_yearly!$D:$AM, 31, FALSE) / VLOOKUP("buildings|NOx|Asthma symptoms wheeze", US_national_yearly!$D:$AM, 10, FALSE), 1)</f>
        <v>1.0954929247228094E-2</v>
      </c>
      <c r="X8" s="7">
        <f>$B8 * IFERROR(VLOOKUP("buildings|NOx|Asthma symptoms wheeze", US_national_yearly!$D:$AM, 32, FALSE) / VLOOKUP("buildings|NOx|Asthma symptoms wheeze", US_national_yearly!$D:$AM, 10, FALSE), 1)</f>
        <v>1.1005697898409498E-2</v>
      </c>
      <c r="Y8" s="7">
        <f>$B8 * IFERROR(VLOOKUP("buildings|NOx|Asthma symptoms wheeze", US_national_yearly!$D:$AM, 33, FALSE) / VLOOKUP("buildings|NOx|Asthma symptoms wheeze", US_national_yearly!$D:$AM, 10, FALSE), 1)</f>
        <v>1.10564665495909E-2</v>
      </c>
      <c r="Z8" s="7">
        <f>$B8 * IFERROR(VLOOKUP("buildings|NOx|Asthma symptoms wheeze", US_national_yearly!$D:$AM, 34, FALSE) / VLOOKUP("buildings|NOx|Asthma symptoms wheeze", US_national_yearly!$D:$AM, 10, FALSE), 1)</f>
        <v>1.1107235200772305E-2</v>
      </c>
      <c r="AA8" s="7">
        <f>$B8 * IFERROR(VLOOKUP("buildings|NOx|Asthma symptoms wheeze", US_national_yearly!$D:$AM, 35, FALSE) / VLOOKUP("buildings|NOx|Asthma symptoms wheeze", US_national_yearly!$D:$AM, 10, FALSE), 1)</f>
        <v>1.1158003851953709E-2</v>
      </c>
      <c r="AB8" s="7">
        <f>$B8 * IFERROR(VLOOKUP("buildings|NOx|Asthma symptoms wheeze", US_national_yearly!$D:$AM, 36, FALSE) / VLOOKUP("buildings|NOx|Asthma symptoms wheeze", US_national_yearly!$D:$AM, 10, FALSE), 1)</f>
        <v>1.1208772503135114E-2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1.3344696780753023E-4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1.3678105362300444E-4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1.4011513943847868E-4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1.4344922525395289E-4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1.4678331106942713E-4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1.4997079856452812E-4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1.5315828605962905E-4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1.5586598158866589E-4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1.5857367711770269E-4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1.6128137264673949E-4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1.6398906817577629E-4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1.6669676370481313E-4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1.6850684326767237E-4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1.7031692283053161E-4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1.7212700239339085E-4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1.7393708195625012E-4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1.7574716151910934E-4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1.7671767136487581E-4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1.7768818121064229E-4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1.7865869105640876E-4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1.7962920090217524E-4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1.8059971074794166E-4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1.8126407053046725E-4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1.819284303129928E-4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1.8259279009551842E-4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1.8325714987804396E-4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1.8392150966056956E-4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8.523288820431273E-4</v>
      </c>
      <c r="C13" s="7">
        <f>$B13 * IFERROR(VLOOKUP("buildings|NOx|Non-fatal heart attacks", US_national_yearly!$D:$AM, 11, FALSE) / VLOOKUP("buildings|NOx|Non-fatal heart attacks", US_national_yearly!$D:$AM, 10, FALSE), 1)</f>
        <v>8.7671227357653011E-4</v>
      </c>
      <c r="D13" s="7">
        <f>$B13 * IFERROR(VLOOKUP("buildings|NOx|Non-fatal heart attacks", US_national_yearly!$D:$AM, 12, FALSE) / VLOOKUP("buildings|NOx|Non-fatal heart attacks", US_national_yearly!$D:$AM, 10, FALSE), 1)</f>
        <v>9.0109566510993325E-4</v>
      </c>
      <c r="E13" s="7">
        <f>$B13 * IFERROR(VLOOKUP("buildings|NOx|Non-fatal heart attacks", US_national_yearly!$D:$AM, 13, FALSE) / VLOOKUP("buildings|NOx|Non-fatal heart attacks", US_national_yearly!$D:$AM, 10, FALSE), 1)</f>
        <v>9.2547905664333596E-4</v>
      </c>
      <c r="F13" s="7">
        <f>$B13 * IFERROR(VLOOKUP("buildings|NOx|Non-fatal heart attacks", US_national_yearly!$D:$AM, 14, FALSE) / VLOOKUP("buildings|NOx|Non-fatal heart attacks", US_national_yearly!$D:$AM, 10, FALSE), 1)</f>
        <v>9.4986244817673877E-4</v>
      </c>
      <c r="G13" s="7">
        <f>$B13 * IFERROR(VLOOKUP("buildings|NOx|Non-fatal heart attacks", US_national_yearly!$D:$AM, 15, FALSE) / VLOOKUP("buildings|NOx|Non-fatal heart attacks", US_national_yearly!$D:$AM, 10, FALSE), 1)</f>
        <v>9.7265352223094824E-4</v>
      </c>
      <c r="H13" s="7">
        <f>$B13 * IFERROR(VLOOKUP("buildings|NOx|Non-fatal heart attacks", US_national_yearly!$D:$AM, 16, FALSE) / VLOOKUP("buildings|NOx|Non-fatal heart attacks", US_national_yearly!$D:$AM, 10, FALSE), 1)</f>
        <v>9.9544459628515781E-4</v>
      </c>
      <c r="I13" s="7">
        <f>$B13 * IFERROR(VLOOKUP("buildings|NOx|Non-fatal heart attacks", US_national_yearly!$D:$AM, 17, FALSE) / VLOOKUP("buildings|NOx|Non-fatal heart attacks", US_national_yearly!$D:$AM, 10, FALSE), 1)</f>
        <v>1.0134251153878398E-3</v>
      </c>
      <c r="J13" s="7">
        <f>$B13 * IFERROR(VLOOKUP("buildings|NOx|Non-fatal heart attacks", US_national_yearly!$D:$AM, 18, FALSE) / VLOOKUP("buildings|NOx|Non-fatal heart attacks", US_national_yearly!$D:$AM, 10, FALSE), 1)</f>
        <v>1.0314056344905217E-3</v>
      </c>
      <c r="K13" s="7">
        <f>$B13 * IFERROR(VLOOKUP("buildings|NOx|Non-fatal heart attacks", US_national_yearly!$D:$AM, 19, FALSE) / VLOOKUP("buildings|NOx|Non-fatal heart attacks", US_national_yearly!$D:$AM, 10, FALSE), 1)</f>
        <v>1.0493861535932039E-3</v>
      </c>
      <c r="L13" s="7">
        <f>$B13 * IFERROR(VLOOKUP("buildings|NOx|Non-fatal heart attacks", US_national_yearly!$D:$AM, 20, FALSE) / VLOOKUP("buildings|NOx|Non-fatal heart attacks", US_national_yearly!$D:$AM, 10, FALSE), 1)</f>
        <v>1.0673666726958853E-3</v>
      </c>
      <c r="M13" s="7">
        <f>$B13 * IFERROR(VLOOKUP("buildings|NOx|Non-fatal heart attacks", US_national_yearly!$D:$AM, 21, FALSE) / VLOOKUP("buildings|NOx|Non-fatal heart attacks", US_national_yearly!$D:$AM, 10, FALSE), 1)</f>
        <v>1.0853471917985677E-3</v>
      </c>
      <c r="N13" s="7">
        <f>$B13 * IFERROR(VLOOKUP("buildings|NOx|Non-fatal heart attacks", US_national_yearly!$D:$AM, 22, FALSE) / VLOOKUP("buildings|NOx|Non-fatal heart attacks", US_national_yearly!$D:$AM, 10, FALSE), 1)</f>
        <v>1.0961684132565423E-3</v>
      </c>
      <c r="O13" s="7">
        <f>$B13 * IFERROR(VLOOKUP("buildings|NOx|Non-fatal heart attacks", US_national_yearly!$D:$AM, 23, FALSE) / VLOOKUP("buildings|NOx|Non-fatal heart attacks", US_national_yearly!$D:$AM, 10, FALSE), 1)</f>
        <v>1.1069896347145167E-3</v>
      </c>
      <c r="P13" s="7">
        <f>$B13 * IFERROR(VLOOKUP("buildings|NOx|Non-fatal heart attacks", US_national_yearly!$D:$AM, 24, FALSE) / VLOOKUP("buildings|NOx|Non-fatal heart attacks", US_national_yearly!$D:$AM, 10, FALSE), 1)</f>
        <v>1.1178108561724913E-3</v>
      </c>
      <c r="Q13" s="7">
        <f>$B13 * IFERROR(VLOOKUP("buildings|NOx|Non-fatal heart attacks", US_national_yearly!$D:$AM, 25, FALSE) / VLOOKUP("buildings|NOx|Non-fatal heart attacks", US_national_yearly!$D:$AM, 10, FALSE), 1)</f>
        <v>1.1286320776304659E-3</v>
      </c>
      <c r="R13" s="7">
        <f>$B13 * IFERROR(VLOOKUP("buildings|NOx|Non-fatal heart attacks", US_national_yearly!$D:$AM, 26, FALSE) / VLOOKUP("buildings|NOx|Non-fatal heart attacks", US_national_yearly!$D:$AM, 10, FALSE), 1)</f>
        <v>1.1394532990884406E-3</v>
      </c>
      <c r="S13" s="7">
        <f>$B13 * IFERROR(VLOOKUP("buildings|NOx|Non-fatal heart attacks", US_national_yearly!$D:$AM, 27, FALSE) / VLOOKUP("buildings|NOx|Non-fatal heart attacks", US_national_yearly!$D:$AM, 10, FALSE), 1)</f>
        <v>1.144370886637132E-3</v>
      </c>
      <c r="T13" s="7">
        <f>$B13 * IFERROR(VLOOKUP("buildings|NOx|Non-fatal heart attacks", US_national_yearly!$D:$AM, 28, FALSE) / VLOOKUP("buildings|NOx|Non-fatal heart attacks", US_national_yearly!$D:$AM, 10, FALSE), 1)</f>
        <v>1.1492884741858241E-3</v>
      </c>
      <c r="U13" s="7">
        <f>$B13 * IFERROR(VLOOKUP("buildings|NOx|Non-fatal heart attacks", US_national_yearly!$D:$AM, 29, FALSE) / VLOOKUP("buildings|NOx|Non-fatal heart attacks", US_national_yearly!$D:$AM, 10, FALSE), 1)</f>
        <v>1.1542060617345156E-3</v>
      </c>
      <c r="V13" s="7">
        <f>$B13 * IFERROR(VLOOKUP("buildings|NOx|Non-fatal heart attacks", US_national_yearly!$D:$AM, 30, FALSE) / VLOOKUP("buildings|NOx|Non-fatal heart attacks", US_national_yearly!$D:$AM, 10, FALSE), 1)</f>
        <v>1.1591236492832072E-3</v>
      </c>
      <c r="W13" s="7">
        <f>$B13 * IFERROR(VLOOKUP("buildings|NOx|Non-fatal heart attacks", US_national_yearly!$D:$AM, 31, FALSE) / VLOOKUP("buildings|NOx|Non-fatal heart attacks", US_national_yearly!$D:$AM, 10, FALSE), 1)</f>
        <v>1.1640412368318991E-3</v>
      </c>
      <c r="X13" s="7">
        <f>$B13 * IFERROR(VLOOKUP("buildings|NOx|Non-fatal heart attacks", US_national_yearly!$D:$AM, 32, FALSE) / VLOOKUP("buildings|NOx|Non-fatal heart attacks", US_national_yearly!$D:$AM, 10, FALSE), 1)</f>
        <v>1.1673307024554496E-3</v>
      </c>
      <c r="Y13" s="7">
        <f>$B13 * IFERROR(VLOOKUP("buildings|NOx|Non-fatal heart attacks", US_national_yearly!$D:$AM, 33, FALSE) / VLOOKUP("buildings|NOx|Non-fatal heart attacks", US_national_yearly!$D:$AM, 10, FALSE), 1)</f>
        <v>1.1706201680790002E-3</v>
      </c>
      <c r="Z13" s="7">
        <f>$B13 * IFERROR(VLOOKUP("buildings|NOx|Non-fatal heart attacks", US_national_yearly!$D:$AM, 34, FALSE) / VLOOKUP("buildings|NOx|Non-fatal heart attacks", US_national_yearly!$D:$AM, 10, FALSE), 1)</f>
        <v>1.173909633702551E-3</v>
      </c>
      <c r="AA13" s="7">
        <f>$B13 * IFERROR(VLOOKUP("buildings|NOx|Non-fatal heart attacks", US_national_yearly!$D:$AM, 35, FALSE) / VLOOKUP("buildings|NOx|Non-fatal heart attacks", US_national_yearly!$D:$AM, 10, FALSE), 1)</f>
        <v>1.1771990993261015E-3</v>
      </c>
      <c r="AB13" s="7">
        <f>$B13 * IFERROR(VLOOKUP("buildings|NOx|Non-fatal heart attacks", US_national_yearly!$D:$AM, 36, FALSE) / VLOOKUP("buildings|NOx|Non-fatal heart attacks", US_national_yearly!$D:$AM, 10, FALSE), 1)</f>
        <v>1.1804885649496521E-3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0.6021883218432289</v>
      </c>
      <c r="C14" s="7">
        <f>$B14 * IFERROR(VLOOKUP("buildings|NOx|Minor restricted activity days", US_national_yearly!$D:$AM, 11, FALSE) / VLOOKUP("buildings|NOx|Minor restricted activity days", US_national_yearly!$D:$AM, 10, FALSE), 1)</f>
        <v>0.60312277570546213</v>
      </c>
      <c r="D14" s="7">
        <f>$B14 * IFERROR(VLOOKUP("buildings|NOx|Minor restricted activity days", US_national_yearly!$D:$AM, 12, FALSE) / VLOOKUP("buildings|NOx|Minor restricted activity days", US_national_yearly!$D:$AM, 10, FALSE), 1)</f>
        <v>0.60405722956769536</v>
      </c>
      <c r="E14" s="7">
        <f>$B14 * IFERROR(VLOOKUP("buildings|NOx|Minor restricted activity days", US_national_yearly!$D:$AM, 13, FALSE) / VLOOKUP("buildings|NOx|Minor restricted activity days", US_national_yearly!$D:$AM, 10, FALSE), 1)</f>
        <v>0.60499168342992848</v>
      </c>
      <c r="F14" s="7">
        <f>$B14 * IFERROR(VLOOKUP("buildings|NOx|Minor restricted activity days", US_national_yearly!$D:$AM, 14, FALSE) / VLOOKUP("buildings|NOx|Minor restricted activity days", US_national_yearly!$D:$AM, 10, FALSE), 1)</f>
        <v>0.60592613729216172</v>
      </c>
      <c r="G14" s="7">
        <f>$B14 * IFERROR(VLOOKUP("buildings|NOx|Minor restricted activity days", US_national_yearly!$D:$AM, 15, FALSE) / VLOOKUP("buildings|NOx|Minor restricted activity days", US_national_yearly!$D:$AM, 10, FALSE), 1)</f>
        <v>0.60760488527723799</v>
      </c>
      <c r="H14" s="7">
        <f>$B14 * IFERROR(VLOOKUP("buildings|NOx|Minor restricted activity days", US_national_yearly!$D:$AM, 16, FALSE) / VLOOKUP("buildings|NOx|Minor restricted activity days", US_national_yearly!$D:$AM, 10, FALSE), 1)</f>
        <v>0.60928363326231427</v>
      </c>
      <c r="I14" s="7">
        <f>$B14 * IFERROR(VLOOKUP("buildings|NOx|Minor restricted activity days", US_national_yearly!$D:$AM, 17, FALSE) / VLOOKUP("buildings|NOx|Minor restricted activity days", US_national_yearly!$D:$AM, 10, FALSE), 1)</f>
        <v>0.61255671288399527</v>
      </c>
      <c r="J14" s="7">
        <f>$B14 * IFERROR(VLOOKUP("buildings|NOx|Minor restricted activity days", US_national_yearly!$D:$AM, 18, FALSE) / VLOOKUP("buildings|NOx|Minor restricted activity days", US_national_yearly!$D:$AM, 10, FALSE), 1)</f>
        <v>0.61582979250567627</v>
      </c>
      <c r="K14" s="7">
        <f>$B14 * IFERROR(VLOOKUP("buildings|NOx|Minor restricted activity days", US_national_yearly!$D:$AM, 19, FALSE) / VLOOKUP("buildings|NOx|Minor restricted activity days", US_national_yearly!$D:$AM, 10, FALSE), 1)</f>
        <v>0.61910287212735715</v>
      </c>
      <c r="L14" s="7">
        <f>$B14 * IFERROR(VLOOKUP("buildings|NOx|Minor restricted activity days", US_national_yearly!$D:$AM, 20, FALSE) / VLOOKUP("buildings|NOx|Minor restricted activity days", US_national_yearly!$D:$AM, 10, FALSE), 1)</f>
        <v>0.62237595174903815</v>
      </c>
      <c r="M14" s="7">
        <f>$B14 * IFERROR(VLOOKUP("buildings|NOx|Minor restricted activity days", US_national_yearly!$D:$AM, 21, FALSE) / VLOOKUP("buildings|NOx|Minor restricted activity days", US_national_yearly!$D:$AM, 10, FALSE), 1)</f>
        <v>0.62564903137071914</v>
      </c>
      <c r="N14" s="7">
        <f>$B14 * IFERROR(VLOOKUP("buildings|NOx|Minor restricted activity days", US_national_yearly!$D:$AM, 22, FALSE) / VLOOKUP("buildings|NOx|Minor restricted activity days", US_national_yearly!$D:$AM, 10, FALSE), 1)</f>
        <v>0.63033152619513755</v>
      </c>
      <c r="O14" s="7">
        <f>$B14 * IFERROR(VLOOKUP("buildings|NOx|Minor restricted activity days", US_national_yearly!$D:$AM, 23, FALSE) / VLOOKUP("buildings|NOx|Minor restricted activity days", US_national_yearly!$D:$AM, 10, FALSE), 1)</f>
        <v>0.63501402101955584</v>
      </c>
      <c r="P14" s="7">
        <f>$B14 * IFERROR(VLOOKUP("buildings|NOx|Minor restricted activity days", US_national_yearly!$D:$AM, 24, FALSE) / VLOOKUP("buildings|NOx|Minor restricted activity days", US_national_yearly!$D:$AM, 10, FALSE), 1)</f>
        <v>0.63969651584397424</v>
      </c>
      <c r="Q14" s="7">
        <f>$B14 * IFERROR(VLOOKUP("buildings|NOx|Minor restricted activity days", US_national_yearly!$D:$AM, 25, FALSE) / VLOOKUP("buildings|NOx|Minor restricted activity days", US_national_yearly!$D:$AM, 10, FALSE), 1)</f>
        <v>0.64437901066839254</v>
      </c>
      <c r="R14" s="7">
        <f>$B14 * IFERROR(VLOOKUP("buildings|NOx|Minor restricted activity days", US_national_yearly!$D:$AM, 26, FALSE) / VLOOKUP("buildings|NOx|Minor restricted activity days", US_national_yearly!$D:$AM, 10, FALSE), 1)</f>
        <v>0.64906150549281083</v>
      </c>
      <c r="S14" s="7">
        <f>$B14 * IFERROR(VLOOKUP("buildings|NOx|Minor restricted activity days", US_national_yearly!$D:$AM, 27, FALSE) / VLOOKUP("buildings|NOx|Minor restricted activity days", US_national_yearly!$D:$AM, 10, FALSE), 1)</f>
        <v>0.65374265235410522</v>
      </c>
      <c r="T14" s="7">
        <f>$B14 * IFERROR(VLOOKUP("buildings|NOx|Minor restricted activity days", US_national_yearly!$D:$AM, 28, FALSE) / VLOOKUP("buildings|NOx|Minor restricted activity days", US_national_yearly!$D:$AM, 10, FALSE), 1)</f>
        <v>0.65842379921539962</v>
      </c>
      <c r="U14" s="7">
        <f>$B14 * IFERROR(VLOOKUP("buildings|NOx|Minor restricted activity days", US_national_yearly!$D:$AM, 29, FALSE) / VLOOKUP("buildings|NOx|Minor restricted activity days", US_national_yearly!$D:$AM, 10, FALSE), 1)</f>
        <v>0.66310494607669401</v>
      </c>
      <c r="V14" s="7">
        <f>$B14 * IFERROR(VLOOKUP("buildings|NOx|Minor restricted activity days", US_national_yearly!$D:$AM, 30, FALSE) / VLOOKUP("buildings|NOx|Minor restricted activity days", US_national_yearly!$D:$AM, 10, FALSE), 1)</f>
        <v>0.66778609293798841</v>
      </c>
      <c r="W14" s="7">
        <f>$B14 * IFERROR(VLOOKUP("buildings|NOx|Minor restricted activity days", US_national_yearly!$D:$AM, 31, FALSE) / VLOOKUP("buildings|NOx|Minor restricted activity days", US_national_yearly!$D:$AM, 10, FALSE), 1)</f>
        <v>0.6724672397992828</v>
      </c>
      <c r="X14" s="7">
        <f>$B14 * IFERROR(VLOOKUP("buildings|NOx|Minor restricted activity days", US_national_yearly!$D:$AM, 32, FALSE) / VLOOKUP("buildings|NOx|Minor restricted activity days", US_national_yearly!$D:$AM, 10, FALSE), 1)</f>
        <v>0.67642627798680754</v>
      </c>
      <c r="Y14" s="7">
        <f>$B14 * IFERROR(VLOOKUP("buildings|NOx|Minor restricted activity days", US_national_yearly!$D:$AM, 33, FALSE) / VLOOKUP("buildings|NOx|Minor restricted activity days", US_national_yearly!$D:$AM, 10, FALSE), 1)</f>
        <v>0.68038531617433251</v>
      </c>
      <c r="Z14" s="7">
        <f>$B14 * IFERROR(VLOOKUP("buildings|NOx|Minor restricted activity days", US_national_yearly!$D:$AM, 34, FALSE) / VLOOKUP("buildings|NOx|Minor restricted activity days", US_national_yearly!$D:$AM, 10, FALSE), 1)</f>
        <v>0.68434435436185714</v>
      </c>
      <c r="AA14" s="7">
        <f>$B14 * IFERROR(VLOOKUP("buildings|NOx|Minor restricted activity days", US_national_yearly!$D:$AM, 35, FALSE) / VLOOKUP("buildings|NOx|Minor restricted activity days", US_national_yearly!$D:$AM, 10, FALSE), 1)</f>
        <v>0.68830339254938211</v>
      </c>
      <c r="AB14" s="7">
        <f>$B14 * IFERROR(VLOOKUP("buildings|NOx|Minor restricted activity days", US_national_yearly!$D:$AM, 36, FALSE) / VLOOKUP("buildings|NOx|Minor restricted activity days", US_national_yearly!$D:$AM, 10, FALSE), 1)</f>
        <v>0.69226243073690685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0.10208090185967915</v>
      </c>
      <c r="C15" s="7">
        <f>$B15 * IFERROR(VLOOKUP("buildings|NOx|Work loss days", US_national_yearly!$D:$AM, 11, FALSE) / VLOOKUP("buildings|NOx|Work loss days", US_national_yearly!$D:$AM, 10, FALSE), 1)</f>
        <v>0.10230974019648037</v>
      </c>
      <c r="D15" s="7">
        <f>$B15 * IFERROR(VLOOKUP("buildings|NOx|Work loss days", US_national_yearly!$D:$AM, 12, FALSE) / VLOOKUP("buildings|NOx|Work loss days", US_national_yearly!$D:$AM, 10, FALSE), 1)</f>
        <v>0.10253857853328158</v>
      </c>
      <c r="E15" s="7">
        <f>$B15 * IFERROR(VLOOKUP("buildings|NOx|Work loss days", US_national_yearly!$D:$AM, 13, FALSE) / VLOOKUP("buildings|NOx|Work loss days", US_national_yearly!$D:$AM, 10, FALSE), 1)</f>
        <v>0.10276741687008278</v>
      </c>
      <c r="F15" s="7">
        <f>$B15 * IFERROR(VLOOKUP("buildings|NOx|Work loss days", US_national_yearly!$D:$AM, 14, FALSE) / VLOOKUP("buildings|NOx|Work loss days", US_national_yearly!$D:$AM, 10, FALSE), 1)</f>
        <v>0.102996255206884</v>
      </c>
      <c r="G15" s="7">
        <f>$B15 * IFERROR(VLOOKUP("buildings|NOx|Work loss days", US_national_yearly!$D:$AM, 15, FALSE) / VLOOKUP("buildings|NOx|Work loss days", US_national_yearly!$D:$AM, 10, FALSE), 1)</f>
        <v>0.10332958390066523</v>
      </c>
      <c r="H15" s="7">
        <f>$B15 * IFERROR(VLOOKUP("buildings|NOx|Work loss days", US_national_yearly!$D:$AM, 16, FALSE) / VLOOKUP("buildings|NOx|Work loss days", US_national_yearly!$D:$AM, 10, FALSE), 1)</f>
        <v>0.10366291259444645</v>
      </c>
      <c r="I15" s="7">
        <f>$B15 * IFERROR(VLOOKUP("buildings|NOx|Work loss days", US_national_yearly!$D:$AM, 17, FALSE) / VLOOKUP("buildings|NOx|Work loss days", US_national_yearly!$D:$AM, 10, FALSE), 1)</f>
        <v>0.10420200556355648</v>
      </c>
      <c r="J15" s="7">
        <f>$B15 * IFERROR(VLOOKUP("buildings|NOx|Work loss days", US_national_yearly!$D:$AM, 18, FALSE) / VLOOKUP("buildings|NOx|Work loss days", US_national_yearly!$D:$AM, 10, FALSE), 1)</f>
        <v>0.1047410985326665</v>
      </c>
      <c r="K15" s="7">
        <f>$B15 * IFERROR(VLOOKUP("buildings|NOx|Work loss days", US_national_yearly!$D:$AM, 19, FALSE) / VLOOKUP("buildings|NOx|Work loss days", US_national_yearly!$D:$AM, 10, FALSE), 1)</f>
        <v>0.10528019150177653</v>
      </c>
      <c r="L15" s="7">
        <f>$B15 * IFERROR(VLOOKUP("buildings|NOx|Work loss days", US_national_yearly!$D:$AM, 20, FALSE) / VLOOKUP("buildings|NOx|Work loss days", US_national_yearly!$D:$AM, 10, FALSE), 1)</f>
        <v>0.10581928447088655</v>
      </c>
      <c r="M15" s="7">
        <f>$B15 * IFERROR(VLOOKUP("buildings|NOx|Work loss days", US_national_yearly!$D:$AM, 21, FALSE) / VLOOKUP("buildings|NOx|Work loss days", US_national_yearly!$D:$AM, 10, FALSE), 1)</f>
        <v>0.10635837743999657</v>
      </c>
      <c r="N15" s="7">
        <f>$B15 * IFERROR(VLOOKUP("buildings|NOx|Work loss days", US_national_yearly!$D:$AM, 22, FALSE) / VLOOKUP("buildings|NOx|Work loss days", US_national_yearly!$D:$AM, 10, FALSE), 1)</f>
        <v>0.10705973828203386</v>
      </c>
      <c r="O15" s="7">
        <f>$B15 * IFERROR(VLOOKUP("buildings|NOx|Work loss days", US_national_yearly!$D:$AM, 23, FALSE) / VLOOKUP("buildings|NOx|Work loss days", US_national_yearly!$D:$AM, 10, FALSE), 1)</f>
        <v>0.10776109912407114</v>
      </c>
      <c r="P15" s="7">
        <f>$B15 * IFERROR(VLOOKUP("buildings|NOx|Work loss days", US_national_yearly!$D:$AM, 24, FALSE) / VLOOKUP("buildings|NOx|Work loss days", US_national_yearly!$D:$AM, 10, FALSE), 1)</f>
        <v>0.10846245996610843</v>
      </c>
      <c r="Q15" s="7">
        <f>$B15 * IFERROR(VLOOKUP("buildings|NOx|Work loss days", US_national_yearly!$D:$AM, 25, FALSE) / VLOOKUP("buildings|NOx|Work loss days", US_national_yearly!$D:$AM, 10, FALSE), 1)</f>
        <v>0.10916382080814574</v>
      </c>
      <c r="R15" s="7">
        <f>$B15 * IFERROR(VLOOKUP("buildings|NOx|Work loss days", US_national_yearly!$D:$AM, 26, FALSE) / VLOOKUP("buildings|NOx|Work loss days", US_national_yearly!$D:$AM, 10, FALSE), 1)</f>
        <v>0.10986518165018302</v>
      </c>
      <c r="S15" s="7">
        <f>$B15 * IFERROR(VLOOKUP("buildings|NOx|Work loss days", US_national_yearly!$D:$AM, 27, FALSE) / VLOOKUP("buildings|NOx|Work loss days", US_national_yearly!$D:$AM, 10, FALSE), 1)</f>
        <v>0.11064672539607555</v>
      </c>
      <c r="T15" s="7">
        <f>$B15 * IFERROR(VLOOKUP("buildings|NOx|Work loss days", US_national_yearly!$D:$AM, 28, FALSE) / VLOOKUP("buildings|NOx|Work loss days", US_national_yearly!$D:$AM, 10, FALSE), 1)</f>
        <v>0.11142826914196811</v>
      </c>
      <c r="U15" s="7">
        <f>$B15 * IFERROR(VLOOKUP("buildings|NOx|Work loss days", US_national_yearly!$D:$AM, 29, FALSE) / VLOOKUP("buildings|NOx|Work loss days", US_national_yearly!$D:$AM, 10, FALSE), 1)</f>
        <v>0.11220981288786065</v>
      </c>
      <c r="V15" s="7">
        <f>$B15 * IFERROR(VLOOKUP("buildings|NOx|Work loss days", US_national_yearly!$D:$AM, 30, FALSE) / VLOOKUP("buildings|NOx|Work loss days", US_national_yearly!$D:$AM, 10, FALSE), 1)</f>
        <v>0.11299135663375319</v>
      </c>
      <c r="W15" s="7">
        <f>$B15 * IFERROR(VLOOKUP("buildings|NOx|Work loss days", US_national_yearly!$D:$AM, 31, FALSE) / VLOOKUP("buildings|NOx|Work loss days", US_national_yearly!$D:$AM, 10, FALSE), 1)</f>
        <v>0.11377290037964573</v>
      </c>
      <c r="X15" s="7">
        <f>$B15 * IFERROR(VLOOKUP("buildings|NOx|Work loss days", US_national_yearly!$D:$AM, 32, FALSE) / VLOOKUP("buildings|NOx|Work loss days", US_national_yearly!$D:$AM, 10, FALSE), 1)</f>
        <v>0.11445144364466417</v>
      </c>
      <c r="Y15" s="7">
        <f>$B15 * IFERROR(VLOOKUP("buildings|NOx|Work loss days", US_national_yearly!$D:$AM, 33, FALSE) / VLOOKUP("buildings|NOx|Work loss days", US_national_yearly!$D:$AM, 10, FALSE), 1)</f>
        <v>0.1151299869096826</v>
      </c>
      <c r="Z15" s="7">
        <f>$B15 * IFERROR(VLOOKUP("buildings|NOx|Work loss days", US_national_yearly!$D:$AM, 34, FALSE) / VLOOKUP("buildings|NOx|Work loss days", US_national_yearly!$D:$AM, 10, FALSE), 1)</f>
        <v>0.11580853017470104</v>
      </c>
      <c r="AA15" s="7">
        <f>$B15 * IFERROR(VLOOKUP("buildings|NOx|Work loss days", US_national_yearly!$D:$AM, 35, FALSE) / VLOOKUP("buildings|NOx|Work loss days", US_national_yearly!$D:$AM, 10, FALSE), 1)</f>
        <v>0.11648707343971948</v>
      </c>
      <c r="AB15" s="7">
        <f>$B15 * IFERROR(VLOOKUP("buildings|NOx|Work loss days", US_national_yearly!$D:$AM, 36, FALSE) / VLOOKUP("buildings|NOx|Work loss days", US_national_yearly!$D:$AM, 10, FALSE), 1)</f>
        <v>0.11716561670473792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2.320248157892467E-4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2.3884636599099147E-4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2.4566791619273629E-4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2.5248946639448109E-4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2.5931101659622588E-4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2.6579136522026032E-4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2.722717138442948E-4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2.7772428740543921E-4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2.8317686096658356E-4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2.8862943452772786E-4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2.9408200808887222E-4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2.9953458165001652E-4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3.0294535266833696E-4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3.063561236866573E-4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3.097668947049777E-4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3.1317766572329814E-4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3.1658843674161848E-4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3.1814691506640785E-4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3.1970539339119721E-4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3.2126387171598658E-4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3.2282235004077589E-4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3.243808283655653E-4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3.2524950844810979E-4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3.2611818853065438E-4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3.2698686861319892E-4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3.2785554869574346E-4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3.28724228778288E-4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6.728547864114409E-3</v>
      </c>
      <c r="C2" s="7">
        <f>$B2 * IFERROR(VLOOKUP("buildings|SO2|Premature mortality", US_national_yearly!$D:$AM, 11, FALSE) / VLOOKUP("buildings|SO2|Premature mortality", US_national_yearly!$D:$AM, 10, FALSE), 1)</f>
        <v>6.8137878795055586E-3</v>
      </c>
      <c r="D2" s="7">
        <f>$B2 * IFERROR(VLOOKUP("buildings|SO2|Premature mortality", US_national_yearly!$D:$AM, 12, FALSE) / VLOOKUP("buildings|SO2|Premature mortality", US_national_yearly!$D:$AM, 10, FALSE), 1)</f>
        <v>6.8990278948967074E-3</v>
      </c>
      <c r="E2" s="7">
        <f>$B2 * IFERROR(VLOOKUP("buildings|SO2|Premature mortality", US_national_yearly!$D:$AM, 13, FALSE) / VLOOKUP("buildings|SO2|Premature mortality", US_national_yearly!$D:$AM, 10, FALSE), 1)</f>
        <v>6.984267910287857E-3</v>
      </c>
      <c r="F2" s="7">
        <f>$B2 * IFERROR(VLOOKUP("buildings|SO2|Premature mortality", US_national_yearly!$D:$AM, 14, FALSE) / VLOOKUP("buildings|SO2|Premature mortality", US_national_yearly!$D:$AM, 10, FALSE), 1)</f>
        <v>7.0695079256790066E-3</v>
      </c>
      <c r="G2" s="7">
        <f>$B2 * IFERROR(VLOOKUP("buildings|SO2|Premature mortality", US_national_yearly!$D:$AM, 15, FALSE) / VLOOKUP("buildings|SO2|Premature mortality", US_national_yearly!$D:$AM, 10, FALSE), 1)</f>
        <v>7.2337481395290228E-3</v>
      </c>
      <c r="H2" s="7">
        <f>$B2 * IFERROR(VLOOKUP("buildings|SO2|Premature mortality", US_national_yearly!$D:$AM, 16, FALSE) / VLOOKUP("buildings|SO2|Premature mortality", US_national_yearly!$D:$AM, 10, FALSE), 1)</f>
        <v>7.3979883533790416E-3</v>
      </c>
      <c r="I2" s="7">
        <f>$B2 * IFERROR(VLOOKUP("buildings|SO2|Premature mortality", US_national_yearly!$D:$AM, 17, FALSE) / VLOOKUP("buildings|SO2|Premature mortality", US_national_yearly!$D:$AM, 10, FALSE), 1)</f>
        <v>7.5065830394083185E-3</v>
      </c>
      <c r="J2" s="7">
        <f>$B2 * IFERROR(VLOOKUP("buildings|SO2|Premature mortality", US_national_yearly!$D:$AM, 18, FALSE) / VLOOKUP("buildings|SO2|Premature mortality", US_national_yearly!$D:$AM, 10, FALSE), 1)</f>
        <v>7.6151777254375936E-3</v>
      </c>
      <c r="K2" s="7">
        <f>$B2 * IFERROR(VLOOKUP("buildings|SO2|Premature mortality", US_national_yearly!$D:$AM, 19, FALSE) / VLOOKUP("buildings|SO2|Premature mortality", US_national_yearly!$D:$AM, 10, FALSE), 1)</f>
        <v>7.7237724114668704E-3</v>
      </c>
      <c r="L2" s="7">
        <f>$B2 * IFERROR(VLOOKUP("buildings|SO2|Premature mortality", US_national_yearly!$D:$AM, 20, FALSE) / VLOOKUP("buildings|SO2|Premature mortality", US_national_yearly!$D:$AM, 10, FALSE), 1)</f>
        <v>7.8323670974961464E-3</v>
      </c>
      <c r="M2" s="7">
        <f>$B2 * IFERROR(VLOOKUP("buildings|SO2|Premature mortality", US_national_yearly!$D:$AM, 21, FALSE) / VLOOKUP("buildings|SO2|Premature mortality", US_national_yearly!$D:$AM, 10, FALSE), 1)</f>
        <v>7.9409617835254232E-3</v>
      </c>
      <c r="N2" s="7">
        <f>$B2 * IFERROR(VLOOKUP("buildings|SO2|Premature mortality", US_national_yearly!$D:$AM, 22, FALSE) / VLOOKUP("buildings|SO2|Premature mortality", US_national_yearly!$D:$AM, 10, FALSE), 1)</f>
        <v>8.0257921377846139E-3</v>
      </c>
      <c r="O2" s="7">
        <f>$B2 * IFERROR(VLOOKUP("buildings|SO2|Premature mortality", US_national_yearly!$D:$AM, 23, FALSE) / VLOOKUP("buildings|SO2|Premature mortality", US_national_yearly!$D:$AM, 10, FALSE), 1)</f>
        <v>8.1106224920438012E-3</v>
      </c>
      <c r="P2" s="7">
        <f>$B2 * IFERROR(VLOOKUP("buildings|SO2|Premature mortality", US_national_yearly!$D:$AM, 24, FALSE) / VLOOKUP("buildings|SO2|Premature mortality", US_national_yearly!$D:$AM, 10, FALSE), 1)</f>
        <v>8.1954528463029901E-3</v>
      </c>
      <c r="Q2" s="7">
        <f>$B2 * IFERROR(VLOOKUP("buildings|SO2|Premature mortality", US_national_yearly!$D:$AM, 25, FALSE) / VLOOKUP("buildings|SO2|Premature mortality", US_national_yearly!$D:$AM, 10, FALSE), 1)</f>
        <v>8.2802832005621791E-3</v>
      </c>
      <c r="R2" s="7">
        <f>$B2 * IFERROR(VLOOKUP("buildings|SO2|Premature mortality", US_national_yearly!$D:$AM, 26, FALSE) / VLOOKUP("buildings|SO2|Premature mortality", US_national_yearly!$D:$AM, 10, FALSE), 1)</f>
        <v>8.3651135548213698E-3</v>
      </c>
      <c r="S2" s="7">
        <f>$B2 * IFERROR(VLOOKUP("buildings|SO2|Premature mortality", US_national_yearly!$D:$AM, 27, FALSE) / VLOOKUP("buildings|SO2|Premature mortality", US_national_yearly!$D:$AM, 10, FALSE), 1)</f>
        <v>8.4105157287374197E-3</v>
      </c>
      <c r="T2" s="7">
        <f>$B2 * IFERROR(VLOOKUP("buildings|SO2|Premature mortality", US_national_yearly!$D:$AM, 28, FALSE) / VLOOKUP("buildings|SO2|Premature mortality", US_national_yearly!$D:$AM, 10, FALSE), 1)</f>
        <v>8.4559179026534696E-3</v>
      </c>
      <c r="U2" s="7">
        <f>$B2 * IFERROR(VLOOKUP("buildings|SO2|Premature mortality", US_national_yearly!$D:$AM, 29, FALSE) / VLOOKUP("buildings|SO2|Premature mortality", US_national_yearly!$D:$AM, 10, FALSE), 1)</f>
        <v>8.5013200765695195E-3</v>
      </c>
      <c r="V2" s="7">
        <f>$B2 * IFERROR(VLOOKUP("buildings|SO2|Premature mortality", US_national_yearly!$D:$AM, 30, FALSE) / VLOOKUP("buildings|SO2|Premature mortality", US_national_yearly!$D:$AM, 10, FALSE), 1)</f>
        <v>8.5467222504855712E-3</v>
      </c>
      <c r="W2" s="7">
        <f>$B2 * IFERROR(VLOOKUP("buildings|SO2|Premature mortality", US_national_yearly!$D:$AM, 31, FALSE) / VLOOKUP("buildings|SO2|Premature mortality", US_national_yearly!$D:$AM, 10, FALSE), 1)</f>
        <v>8.5921244244016211E-3</v>
      </c>
      <c r="X2" s="7">
        <f>$B2 * IFERROR(VLOOKUP("buildings|SO2|Premature mortality", US_national_yearly!$D:$AM, 32, FALSE) / VLOOKUP("buildings|SO2|Premature mortality", US_national_yearly!$D:$AM, 10, FALSE), 1)</f>
        <v>8.6012986126790571E-3</v>
      </c>
      <c r="Y2" s="7">
        <f>$B2 * IFERROR(VLOOKUP("buildings|SO2|Premature mortality", US_national_yearly!$D:$AM, 33, FALSE) / VLOOKUP("buildings|SO2|Premature mortality", US_national_yearly!$D:$AM, 10, FALSE), 1)</f>
        <v>8.6104728009564948E-3</v>
      </c>
      <c r="Z2" s="7">
        <f>$B2 * IFERROR(VLOOKUP("buildings|SO2|Premature mortality", US_national_yearly!$D:$AM, 34, FALSE) / VLOOKUP("buildings|SO2|Premature mortality", US_national_yearly!$D:$AM, 10, FALSE), 1)</f>
        <v>8.6196469892339308E-3</v>
      </c>
      <c r="AA2" s="7">
        <f>$B2 * IFERROR(VLOOKUP("buildings|SO2|Premature mortality", US_national_yearly!$D:$AM, 35, FALSE) / VLOOKUP("buildings|SO2|Premature mortality", US_national_yearly!$D:$AM, 10, FALSE), 1)</f>
        <v>8.6288211775113685E-3</v>
      </c>
      <c r="AB2" s="7">
        <f>$B2 * IFERROR(VLOOKUP("buildings|SO2|Premature mortality", US_national_yearly!$D:$AM, 36, FALSE) / VLOOKUP("buildings|SO2|Premature mortality", US_national_yearly!$D:$AM, 10, FALSE), 1)</f>
        <v>8.6379953657888062E-3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1.3335868048609015E-5</v>
      </c>
      <c r="C3" s="7">
        <f>$B3 * IFERROR(VLOOKUP("buildings|SO2|Infant mortality", US_national_yearly!$D:$AM, 11, FALSE) / VLOOKUP("buildings|SO2|Infant mortality", US_national_yearly!$D:$AM, 10, FALSE), 1)</f>
        <v>1.3221560893150553E-5</v>
      </c>
      <c r="D3" s="7">
        <f>$B3 * IFERROR(VLOOKUP("buildings|SO2|Infant mortality", US_national_yearly!$D:$AM, 12, FALSE) / VLOOKUP("buildings|SO2|Infant mortality", US_national_yearly!$D:$AM, 10, FALSE), 1)</f>
        <v>1.3107253737692092E-5</v>
      </c>
      <c r="E3" s="7">
        <f>$B3 * IFERROR(VLOOKUP("buildings|SO2|Infant mortality", US_national_yearly!$D:$AM, 13, FALSE) / VLOOKUP("buildings|SO2|Infant mortality", US_national_yearly!$D:$AM, 10, FALSE), 1)</f>
        <v>1.2992946582233634E-5</v>
      </c>
      <c r="F3" s="7">
        <f>$B3 * IFERROR(VLOOKUP("buildings|SO2|Infant mortality", US_national_yearly!$D:$AM, 14, FALSE) / VLOOKUP("buildings|SO2|Infant mortality", US_national_yearly!$D:$AM, 10, FALSE), 1)</f>
        <v>1.2878639426775174E-5</v>
      </c>
      <c r="G3" s="7">
        <f>$B3 * IFERROR(VLOOKUP("buildings|SO2|Infant mortality", US_national_yearly!$D:$AM, 15, FALSE) / VLOOKUP("buildings|SO2|Infant mortality", US_national_yearly!$D:$AM, 10, FALSE), 1)</f>
        <v>8.5766636484789334E-6</v>
      </c>
      <c r="H3" s="7">
        <f>$B3 * IFERROR(VLOOKUP("buildings|SO2|Infant mortality", US_national_yearly!$D:$AM, 16, FALSE) / VLOOKUP("buildings|SO2|Infant mortality", US_national_yearly!$D:$AM, 10, FALSE), 1)</f>
        <v>4.2746878701826925E-6</v>
      </c>
      <c r="I3" s="7">
        <f>$B3 * IFERROR(VLOOKUP("buildings|SO2|Infant mortality", US_national_yearly!$D:$AM, 17, FALSE) / VLOOKUP("buildings|SO2|Infant mortality", US_national_yearly!$D:$AM, 10, FALSE), 1)</f>
        <v>4.2478680064315351E-6</v>
      </c>
      <c r="J3" s="7">
        <f>$B3 * IFERROR(VLOOKUP("buildings|SO2|Infant mortality", US_national_yearly!$D:$AM, 18, FALSE) / VLOOKUP("buildings|SO2|Infant mortality", US_national_yearly!$D:$AM, 10, FALSE), 1)</f>
        <v>4.2210481426803778E-6</v>
      </c>
      <c r="K3" s="7">
        <f>$B3 * IFERROR(VLOOKUP("buildings|SO2|Infant mortality", US_national_yearly!$D:$AM, 19, FALSE) / VLOOKUP("buildings|SO2|Infant mortality", US_national_yearly!$D:$AM, 10, FALSE), 1)</f>
        <v>4.1942282789292213E-6</v>
      </c>
      <c r="L3" s="7">
        <f>$B3 * IFERROR(VLOOKUP("buildings|SO2|Infant mortality", US_national_yearly!$D:$AM, 20, FALSE) / VLOOKUP("buildings|SO2|Infant mortality", US_national_yearly!$D:$AM, 10, FALSE), 1)</f>
        <v>4.1674084151780639E-6</v>
      </c>
      <c r="M3" s="7">
        <f>$B3 * IFERROR(VLOOKUP("buildings|SO2|Infant mortality", US_national_yearly!$D:$AM, 21, FALSE) / VLOOKUP("buildings|SO2|Infant mortality", US_national_yearly!$D:$AM, 10, FALSE), 1)</f>
        <v>4.1405885514269074E-6</v>
      </c>
      <c r="N3" s="7">
        <f>$B3 * IFERROR(VLOOKUP("buildings|SO2|Infant mortality", US_national_yearly!$D:$AM, 22, FALSE) / VLOOKUP("buildings|SO2|Infant mortality", US_national_yearly!$D:$AM, 10, FALSE), 1)</f>
        <v>4.1237753459833358E-6</v>
      </c>
      <c r="O3" s="7">
        <f>$B3 * IFERROR(VLOOKUP("buildings|SO2|Infant mortality", US_national_yearly!$D:$AM, 23, FALSE) / VLOOKUP("buildings|SO2|Infant mortality", US_national_yearly!$D:$AM, 10, FALSE), 1)</f>
        <v>4.1069621405397642E-6</v>
      </c>
      <c r="P3" s="7">
        <f>$B3 * IFERROR(VLOOKUP("buildings|SO2|Infant mortality", US_national_yearly!$D:$AM, 24, FALSE) / VLOOKUP("buildings|SO2|Infant mortality", US_national_yearly!$D:$AM, 10, FALSE), 1)</f>
        <v>4.0901489350961926E-6</v>
      </c>
      <c r="Q3" s="7">
        <f>$B3 * IFERROR(VLOOKUP("buildings|SO2|Infant mortality", US_national_yearly!$D:$AM, 25, FALSE) / VLOOKUP("buildings|SO2|Infant mortality", US_national_yearly!$D:$AM, 10, FALSE), 1)</f>
        <v>4.0733357296526219E-6</v>
      </c>
      <c r="R3" s="7">
        <f>$B3 * IFERROR(VLOOKUP("buildings|SO2|Infant mortality", US_national_yearly!$D:$AM, 26, FALSE) / VLOOKUP("buildings|SO2|Infant mortality", US_national_yearly!$D:$AM, 10, FALSE), 1)</f>
        <v>4.0565225242090503E-6</v>
      </c>
      <c r="S3" s="7">
        <f>$B3 * IFERROR(VLOOKUP("buildings|SO2|Infant mortality", US_national_yearly!$D:$AM, 27, FALSE) / VLOOKUP("buildings|SO2|Infant mortality", US_national_yearly!$D:$AM, 10, FALSE), 1)</f>
        <v>4.0354104684792222E-6</v>
      </c>
      <c r="T3" s="7">
        <f>$B3 * IFERROR(VLOOKUP("buildings|SO2|Infant mortality", US_national_yearly!$D:$AM, 28, FALSE) / VLOOKUP("buildings|SO2|Infant mortality", US_national_yearly!$D:$AM, 10, FALSE), 1)</f>
        <v>4.014298412749395E-6</v>
      </c>
      <c r="U3" s="7">
        <f>$B3 * IFERROR(VLOOKUP("buildings|SO2|Infant mortality", US_national_yearly!$D:$AM, 29, FALSE) / VLOOKUP("buildings|SO2|Infant mortality", US_national_yearly!$D:$AM, 10, FALSE), 1)</f>
        <v>3.993186357019567E-6</v>
      </c>
      <c r="V3" s="7">
        <f>$B3 * IFERROR(VLOOKUP("buildings|SO2|Infant mortality", US_national_yearly!$D:$AM, 30, FALSE) / VLOOKUP("buildings|SO2|Infant mortality", US_national_yearly!$D:$AM, 10, FALSE), 1)</f>
        <v>3.972074301289739E-6</v>
      </c>
      <c r="W3" s="7">
        <f>$B3 * IFERROR(VLOOKUP("buildings|SO2|Infant mortality", US_national_yearly!$D:$AM, 31, FALSE) / VLOOKUP("buildings|SO2|Infant mortality", US_national_yearly!$D:$AM, 10, FALSE), 1)</f>
        <v>3.9509622455599118E-6</v>
      </c>
      <c r="X3" s="7">
        <f>$B3 * IFERROR(VLOOKUP("buildings|SO2|Infant mortality", US_national_yearly!$D:$AM, 32, FALSE) / VLOOKUP("buildings|SO2|Infant mortality", US_national_yearly!$D:$AM, 10, FALSE), 1)</f>
        <v>3.9279045354643834E-6</v>
      </c>
      <c r="Y3" s="7">
        <f>$B3 * IFERROR(VLOOKUP("buildings|SO2|Infant mortality", US_national_yearly!$D:$AM, 33, FALSE) / VLOOKUP("buildings|SO2|Infant mortality", US_national_yearly!$D:$AM, 10, FALSE), 1)</f>
        <v>3.904846825368856E-6</v>
      </c>
      <c r="Z3" s="7">
        <f>$B3 * IFERROR(VLOOKUP("buildings|SO2|Infant mortality", US_national_yearly!$D:$AM, 34, FALSE) / VLOOKUP("buildings|SO2|Infant mortality", US_national_yearly!$D:$AM, 10, FALSE), 1)</f>
        <v>3.8817891152733285E-6</v>
      </c>
      <c r="AA3" s="7">
        <f>$B3 * IFERROR(VLOOKUP("buildings|SO2|Infant mortality", US_national_yearly!$D:$AM, 35, FALSE) / VLOOKUP("buildings|SO2|Infant mortality", US_national_yearly!$D:$AM, 10, FALSE), 1)</f>
        <v>3.8587314051777993E-6</v>
      </c>
      <c r="AB3" s="7">
        <f>$B3 * IFERROR(VLOOKUP("buildings|SO2|Infant mortality", US_national_yearly!$D:$AM, 36, FALSE) / VLOOKUP("buildings|SO2|Infant mortality", US_national_yearly!$D:$AM, 10, FALSE), 1)</f>
        <v>3.8356736950822727E-6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1.3870069455928028E-2</v>
      </c>
      <c r="C6" s="7">
        <f>$B6 * IFERROR(VLOOKUP("buildings|SO2|Asthma symptoms cough", US_national_yearly!$D:$AM, 11, FALSE) / VLOOKUP("buildings|SO2|Asthma symptoms cough", US_national_yearly!$D:$AM, 10, FALSE), 1)</f>
        <v>1.3870069455928028E-2</v>
      </c>
      <c r="D6" s="7">
        <f>$B6 * IFERROR(VLOOKUP("buildings|SO2|Asthma symptoms cough", US_national_yearly!$D:$AM, 12, FALSE) / VLOOKUP("buildings|SO2|Asthma symptoms cough", US_national_yearly!$D:$AM, 10, FALSE), 1)</f>
        <v>1.3870069455928028E-2</v>
      </c>
      <c r="E6" s="7">
        <f>$B6 * IFERROR(VLOOKUP("buildings|SO2|Asthma symptoms cough", US_national_yearly!$D:$AM, 13, FALSE) / VLOOKUP("buildings|SO2|Asthma symptoms cough", US_national_yearly!$D:$AM, 10, FALSE), 1)</f>
        <v>1.3870069455928028E-2</v>
      </c>
      <c r="F6" s="7">
        <f>$B6 * IFERROR(VLOOKUP("buildings|SO2|Asthma symptoms cough", US_national_yearly!$D:$AM, 14, FALSE) / VLOOKUP("buildings|SO2|Asthma symptoms cough", US_national_yearly!$D:$AM, 10, FALSE), 1)</f>
        <v>1.3870069455928028E-2</v>
      </c>
      <c r="G6" s="7">
        <f>$B6 * IFERROR(VLOOKUP("buildings|SO2|Asthma symptoms cough", US_national_yearly!$D:$AM, 15, FALSE) / VLOOKUP("buildings|SO2|Asthma symptoms cough", US_national_yearly!$D:$AM, 10, FALSE), 1)</f>
        <v>1.3870069455928028E-2</v>
      </c>
      <c r="H6" s="7">
        <f>$B6 * IFERROR(VLOOKUP("buildings|SO2|Asthma symptoms cough", US_national_yearly!$D:$AM, 16, FALSE) / VLOOKUP("buildings|SO2|Asthma symptoms cough", US_national_yearly!$D:$AM, 10, FALSE), 1)</f>
        <v>1.3870069455928028E-2</v>
      </c>
      <c r="I6" s="7">
        <f>$B6 * IFERROR(VLOOKUP("buildings|SO2|Asthma symptoms cough", US_national_yearly!$D:$AM, 17, FALSE) / VLOOKUP("buildings|SO2|Asthma symptoms cough", US_national_yearly!$D:$AM, 10, FALSE), 1)</f>
        <v>1.3870069455928028E-2</v>
      </c>
      <c r="J6" s="7">
        <f>$B6 * IFERROR(VLOOKUP("buildings|SO2|Asthma symptoms cough", US_national_yearly!$D:$AM, 18, FALSE) / VLOOKUP("buildings|SO2|Asthma symptoms cough", US_national_yearly!$D:$AM, 10, FALSE), 1)</f>
        <v>1.3870069455928028E-2</v>
      </c>
      <c r="K6" s="7">
        <f>$B6 * IFERROR(VLOOKUP("buildings|SO2|Asthma symptoms cough", US_national_yearly!$D:$AM, 19, FALSE) / VLOOKUP("buildings|SO2|Asthma symptoms cough", US_national_yearly!$D:$AM, 10, FALSE), 1)</f>
        <v>1.3870069455928028E-2</v>
      </c>
      <c r="L6" s="7">
        <f>$B6 * IFERROR(VLOOKUP("buildings|SO2|Asthma symptoms cough", US_national_yearly!$D:$AM, 20, FALSE) / VLOOKUP("buildings|SO2|Asthma symptoms cough", US_national_yearly!$D:$AM, 10, FALSE), 1)</f>
        <v>1.3870069455928028E-2</v>
      </c>
      <c r="M6" s="7">
        <f>$B6 * IFERROR(VLOOKUP("buildings|SO2|Asthma symptoms cough", US_national_yearly!$D:$AM, 21, FALSE) / VLOOKUP("buildings|SO2|Asthma symptoms cough", US_national_yearly!$D:$AM, 10, FALSE), 1)</f>
        <v>1.3870069455928028E-2</v>
      </c>
      <c r="N6" s="7">
        <f>$B6 * IFERROR(VLOOKUP("buildings|SO2|Asthma symptoms cough", US_national_yearly!$D:$AM, 22, FALSE) / VLOOKUP("buildings|SO2|Asthma symptoms cough", US_national_yearly!$D:$AM, 10, FALSE), 1)</f>
        <v>1.3870069455928028E-2</v>
      </c>
      <c r="O6" s="7">
        <f>$B6 * IFERROR(VLOOKUP("buildings|SO2|Asthma symptoms cough", US_national_yearly!$D:$AM, 23, FALSE) / VLOOKUP("buildings|SO2|Asthma symptoms cough", US_national_yearly!$D:$AM, 10, FALSE), 1)</f>
        <v>1.3870069455928028E-2</v>
      </c>
      <c r="P6" s="7">
        <f>$B6 * IFERROR(VLOOKUP("buildings|SO2|Asthma symptoms cough", US_national_yearly!$D:$AM, 24, FALSE) / VLOOKUP("buildings|SO2|Asthma symptoms cough", US_national_yearly!$D:$AM, 10, FALSE), 1)</f>
        <v>1.3870069455928028E-2</v>
      </c>
      <c r="Q6" s="7">
        <f>$B6 * IFERROR(VLOOKUP("buildings|SO2|Asthma symptoms cough", US_national_yearly!$D:$AM, 25, FALSE) / VLOOKUP("buildings|SO2|Asthma symptoms cough", US_national_yearly!$D:$AM, 10, FALSE), 1)</f>
        <v>1.3870069455928028E-2</v>
      </c>
      <c r="R6" s="7">
        <f>$B6 * IFERROR(VLOOKUP("buildings|SO2|Asthma symptoms cough", US_national_yearly!$D:$AM, 26, FALSE) / VLOOKUP("buildings|SO2|Asthma symptoms cough", US_national_yearly!$D:$AM, 10, FALSE), 1)</f>
        <v>1.3870069455928028E-2</v>
      </c>
      <c r="S6" s="7">
        <f>$B6 * IFERROR(VLOOKUP("buildings|SO2|Asthma symptoms cough", US_national_yearly!$D:$AM, 27, FALSE) / VLOOKUP("buildings|SO2|Asthma symptoms cough", US_national_yearly!$D:$AM, 10, FALSE), 1)</f>
        <v>1.3870069455928028E-2</v>
      </c>
      <c r="T6" s="7">
        <f>$B6 * IFERROR(VLOOKUP("buildings|SO2|Asthma symptoms cough", US_national_yearly!$D:$AM, 28, FALSE) / VLOOKUP("buildings|SO2|Asthma symptoms cough", US_national_yearly!$D:$AM, 10, FALSE), 1)</f>
        <v>1.3870069455928028E-2</v>
      </c>
      <c r="U6" s="7">
        <f>$B6 * IFERROR(VLOOKUP("buildings|SO2|Asthma symptoms cough", US_national_yearly!$D:$AM, 29, FALSE) / VLOOKUP("buildings|SO2|Asthma symptoms cough", US_national_yearly!$D:$AM, 10, FALSE), 1)</f>
        <v>1.3870069455928028E-2</v>
      </c>
      <c r="V6" s="7">
        <f>$B6 * IFERROR(VLOOKUP("buildings|SO2|Asthma symptoms cough", US_national_yearly!$D:$AM, 30, FALSE) / VLOOKUP("buildings|SO2|Asthma symptoms cough", US_national_yearly!$D:$AM, 10, FALSE), 1)</f>
        <v>1.3870069455928028E-2</v>
      </c>
      <c r="W6" s="7">
        <f>$B6 * IFERROR(VLOOKUP("buildings|SO2|Asthma symptoms cough", US_national_yearly!$D:$AM, 31, FALSE) / VLOOKUP("buildings|SO2|Asthma symptoms cough", US_national_yearly!$D:$AM, 10, FALSE), 1)</f>
        <v>1.3870069455928028E-2</v>
      </c>
      <c r="X6" s="7">
        <f>$B6 * IFERROR(VLOOKUP("buildings|SO2|Asthma symptoms cough", US_national_yearly!$D:$AM, 32, FALSE) / VLOOKUP("buildings|SO2|Asthma symptoms cough", US_national_yearly!$D:$AM, 10, FALSE), 1)</f>
        <v>1.3870069455928028E-2</v>
      </c>
      <c r="Y6" s="7">
        <f>$B6 * IFERROR(VLOOKUP("buildings|SO2|Asthma symptoms cough", US_national_yearly!$D:$AM, 33, FALSE) / VLOOKUP("buildings|SO2|Asthma symptoms cough", US_national_yearly!$D:$AM, 10, FALSE), 1)</f>
        <v>1.3870069455928028E-2</v>
      </c>
      <c r="Z6" s="7">
        <f>$B6 * IFERROR(VLOOKUP("buildings|SO2|Asthma symptoms cough", US_national_yearly!$D:$AM, 34, FALSE) / VLOOKUP("buildings|SO2|Asthma symptoms cough", US_national_yearly!$D:$AM, 10, FALSE), 1)</f>
        <v>1.3870069455928028E-2</v>
      </c>
      <c r="AA6" s="7">
        <f>$B6 * IFERROR(VLOOKUP("buildings|SO2|Asthma symptoms cough", US_national_yearly!$D:$AM, 35, FALSE) / VLOOKUP("buildings|SO2|Asthma symptoms cough", US_national_yearly!$D:$AM, 10, FALSE), 1)</f>
        <v>1.3870069455928028E-2</v>
      </c>
      <c r="AB6" s="7">
        <f>$B6 * IFERROR(VLOOKUP("buildings|SO2|Asthma symptoms cough", US_national_yearly!$D:$AM, 36, FALSE) / VLOOKUP("buildings|SO2|Asthma symptoms cough", US_national_yearly!$D:$AM, 10, FALSE), 1)</f>
        <v>1.3870069455928028E-2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1.8678055428091551E-2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1.8678055428091551E-2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1.8678055428091551E-2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1.8678055428091551E-2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1.8678055428091551E-2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1.8678055428091551E-2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1.8678055428091551E-2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1.8678055428091551E-2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1.8678055428091551E-2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1.8678055428091551E-2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1.8678055428091551E-2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1.8678055428091551E-2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1.8678055428091551E-2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1.8678055428091551E-2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1.8678055428091551E-2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1.8678055428091551E-2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1.8678055428091551E-2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1.8678055428091551E-2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1.8678055428091551E-2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1.8678055428091551E-2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1.8678055428091551E-2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1.8678055428091551E-2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1.8678055428091551E-2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1.8678055428091551E-2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1.8678055428091551E-2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1.8678055428091551E-2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1.8678055428091551E-2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2.8536923572900448E-2</v>
      </c>
      <c r="C8" s="7">
        <f>$B8 * IFERROR(VLOOKUP("buildings|SO2|Asthma symptoms wheeze", US_national_yearly!$D:$AM, 11, FALSE) / VLOOKUP("buildings|SO2|Asthma symptoms wheeze", US_national_yearly!$D:$AM, 10, FALSE), 1)</f>
        <v>2.8536923572900448E-2</v>
      </c>
      <c r="D8" s="7">
        <f>$B8 * IFERROR(VLOOKUP("buildings|SO2|Asthma symptoms wheeze", US_national_yearly!$D:$AM, 12, FALSE) / VLOOKUP("buildings|SO2|Asthma symptoms wheeze", US_national_yearly!$D:$AM, 10, FALSE), 1)</f>
        <v>2.8536923572900448E-2</v>
      </c>
      <c r="E8" s="7">
        <f>$B8 * IFERROR(VLOOKUP("buildings|SO2|Asthma symptoms wheeze", US_national_yearly!$D:$AM, 13, FALSE) / VLOOKUP("buildings|SO2|Asthma symptoms wheeze", US_national_yearly!$D:$AM, 10, FALSE), 1)</f>
        <v>2.8536923572900448E-2</v>
      </c>
      <c r="F8" s="7">
        <f>$B8 * IFERROR(VLOOKUP("buildings|SO2|Asthma symptoms wheeze", US_national_yearly!$D:$AM, 14, FALSE) / VLOOKUP("buildings|SO2|Asthma symptoms wheeze", US_national_yearly!$D:$AM, 10, FALSE), 1)</f>
        <v>2.8536923572900448E-2</v>
      </c>
      <c r="G8" s="7">
        <f>$B8 * IFERROR(VLOOKUP("buildings|SO2|Asthma symptoms wheeze", US_national_yearly!$D:$AM, 15, FALSE) / VLOOKUP("buildings|SO2|Asthma symptoms wheeze", US_national_yearly!$D:$AM, 10, FALSE), 1)</f>
        <v>2.8536923572900448E-2</v>
      </c>
      <c r="H8" s="7">
        <f>$B8 * IFERROR(VLOOKUP("buildings|SO2|Asthma symptoms wheeze", US_national_yearly!$D:$AM, 16, FALSE) / VLOOKUP("buildings|SO2|Asthma symptoms wheeze", US_national_yearly!$D:$AM, 10, FALSE), 1)</f>
        <v>2.8536923572900448E-2</v>
      </c>
      <c r="I8" s="7">
        <f>$B8 * IFERROR(VLOOKUP("buildings|SO2|Asthma symptoms wheeze", US_national_yearly!$D:$AM, 17, FALSE) / VLOOKUP("buildings|SO2|Asthma symptoms wheeze", US_national_yearly!$D:$AM, 10, FALSE), 1)</f>
        <v>2.8536923572900448E-2</v>
      </c>
      <c r="J8" s="7">
        <f>$B8 * IFERROR(VLOOKUP("buildings|SO2|Asthma symptoms wheeze", US_national_yearly!$D:$AM, 18, FALSE) / VLOOKUP("buildings|SO2|Asthma symptoms wheeze", US_national_yearly!$D:$AM, 10, FALSE), 1)</f>
        <v>2.8536923572900448E-2</v>
      </c>
      <c r="K8" s="7">
        <f>$B8 * IFERROR(VLOOKUP("buildings|SO2|Asthma symptoms wheeze", US_national_yearly!$D:$AM, 19, FALSE) / VLOOKUP("buildings|SO2|Asthma symptoms wheeze", US_national_yearly!$D:$AM, 10, FALSE), 1)</f>
        <v>2.8536923572900448E-2</v>
      </c>
      <c r="L8" s="7">
        <f>$B8 * IFERROR(VLOOKUP("buildings|SO2|Asthma symptoms wheeze", US_national_yearly!$D:$AM, 20, FALSE) / VLOOKUP("buildings|SO2|Asthma symptoms wheeze", US_national_yearly!$D:$AM, 10, FALSE), 1)</f>
        <v>2.8536923572900448E-2</v>
      </c>
      <c r="M8" s="7">
        <f>$B8 * IFERROR(VLOOKUP("buildings|SO2|Asthma symptoms wheeze", US_national_yearly!$D:$AM, 21, FALSE) / VLOOKUP("buildings|SO2|Asthma symptoms wheeze", US_national_yearly!$D:$AM, 10, FALSE), 1)</f>
        <v>2.8536923572900448E-2</v>
      </c>
      <c r="N8" s="7">
        <f>$B8 * IFERROR(VLOOKUP("buildings|SO2|Asthma symptoms wheeze", US_national_yearly!$D:$AM, 22, FALSE) / VLOOKUP("buildings|SO2|Asthma symptoms wheeze", US_national_yearly!$D:$AM, 10, FALSE), 1)</f>
        <v>2.8536923572900448E-2</v>
      </c>
      <c r="O8" s="7">
        <f>$B8 * IFERROR(VLOOKUP("buildings|SO2|Asthma symptoms wheeze", US_national_yearly!$D:$AM, 23, FALSE) / VLOOKUP("buildings|SO2|Asthma symptoms wheeze", US_national_yearly!$D:$AM, 10, FALSE), 1)</f>
        <v>2.8536923572900448E-2</v>
      </c>
      <c r="P8" s="7">
        <f>$B8 * IFERROR(VLOOKUP("buildings|SO2|Asthma symptoms wheeze", US_national_yearly!$D:$AM, 24, FALSE) / VLOOKUP("buildings|SO2|Asthma symptoms wheeze", US_national_yearly!$D:$AM, 10, FALSE), 1)</f>
        <v>2.8536923572900448E-2</v>
      </c>
      <c r="Q8" s="7">
        <f>$B8 * IFERROR(VLOOKUP("buildings|SO2|Asthma symptoms wheeze", US_national_yearly!$D:$AM, 25, FALSE) / VLOOKUP("buildings|SO2|Asthma symptoms wheeze", US_national_yearly!$D:$AM, 10, FALSE), 1)</f>
        <v>2.8536923572900448E-2</v>
      </c>
      <c r="R8" s="7">
        <f>$B8 * IFERROR(VLOOKUP("buildings|SO2|Asthma symptoms wheeze", US_national_yearly!$D:$AM, 26, FALSE) / VLOOKUP("buildings|SO2|Asthma symptoms wheeze", US_national_yearly!$D:$AM, 10, FALSE), 1)</f>
        <v>2.8536923572900448E-2</v>
      </c>
      <c r="S8" s="7">
        <f>$B8 * IFERROR(VLOOKUP("buildings|SO2|Asthma symptoms wheeze", US_national_yearly!$D:$AM, 27, FALSE) / VLOOKUP("buildings|SO2|Asthma symptoms wheeze", US_national_yearly!$D:$AM, 10, FALSE), 1)</f>
        <v>2.8536923572900448E-2</v>
      </c>
      <c r="T8" s="7">
        <f>$B8 * IFERROR(VLOOKUP("buildings|SO2|Asthma symptoms wheeze", US_national_yearly!$D:$AM, 28, FALSE) / VLOOKUP("buildings|SO2|Asthma symptoms wheeze", US_national_yearly!$D:$AM, 10, FALSE), 1)</f>
        <v>2.8536923572900448E-2</v>
      </c>
      <c r="U8" s="7">
        <f>$B8 * IFERROR(VLOOKUP("buildings|SO2|Asthma symptoms wheeze", US_national_yearly!$D:$AM, 29, FALSE) / VLOOKUP("buildings|SO2|Asthma symptoms wheeze", US_national_yearly!$D:$AM, 10, FALSE), 1)</f>
        <v>2.8536923572900448E-2</v>
      </c>
      <c r="V8" s="7">
        <f>$B8 * IFERROR(VLOOKUP("buildings|SO2|Asthma symptoms wheeze", US_national_yearly!$D:$AM, 30, FALSE) / VLOOKUP("buildings|SO2|Asthma symptoms wheeze", US_national_yearly!$D:$AM, 10, FALSE), 1)</f>
        <v>2.8536923572900448E-2</v>
      </c>
      <c r="W8" s="7">
        <f>$B8 * IFERROR(VLOOKUP("buildings|SO2|Asthma symptoms wheeze", US_national_yearly!$D:$AM, 31, FALSE) / VLOOKUP("buildings|SO2|Asthma symptoms wheeze", US_national_yearly!$D:$AM, 10, FALSE), 1)</f>
        <v>2.8536923572900448E-2</v>
      </c>
      <c r="X8" s="7">
        <f>$B8 * IFERROR(VLOOKUP("buildings|SO2|Asthma symptoms wheeze", US_national_yearly!$D:$AM, 32, FALSE) / VLOOKUP("buildings|SO2|Asthma symptoms wheeze", US_national_yearly!$D:$AM, 10, FALSE), 1)</f>
        <v>2.8536923572900448E-2</v>
      </c>
      <c r="Y8" s="7">
        <f>$B8 * IFERROR(VLOOKUP("buildings|SO2|Asthma symptoms wheeze", US_national_yearly!$D:$AM, 33, FALSE) / VLOOKUP("buildings|SO2|Asthma symptoms wheeze", US_national_yearly!$D:$AM, 10, FALSE), 1)</f>
        <v>2.8536923572900448E-2</v>
      </c>
      <c r="Z8" s="7">
        <f>$B8 * IFERROR(VLOOKUP("buildings|SO2|Asthma symptoms wheeze", US_national_yearly!$D:$AM, 34, FALSE) / VLOOKUP("buildings|SO2|Asthma symptoms wheeze", US_national_yearly!$D:$AM, 10, FALSE), 1)</f>
        <v>2.8536923572900448E-2</v>
      </c>
      <c r="AA8" s="7">
        <f>$B8 * IFERROR(VLOOKUP("buildings|SO2|Asthma symptoms wheeze", US_national_yearly!$D:$AM, 35, FALSE) / VLOOKUP("buildings|SO2|Asthma symptoms wheeze", US_national_yearly!$D:$AM, 10, FALSE), 1)</f>
        <v>2.8536923572900448E-2</v>
      </c>
      <c r="AB8" s="7">
        <f>$B8 * IFERROR(VLOOKUP("buildings|SO2|Asthma symptoms wheeze", US_national_yearly!$D:$AM, 36, FALSE) / VLOOKUP("buildings|SO2|Asthma symptoms wheeze", US_national_yearly!$D:$AM, 10, FALSE), 1)</f>
        <v>2.8536923572900448E-2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4.3912502542291085E-4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4.4171866601686169E-4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4.4431230661081252E-4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4.4690594720476335E-4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4.4949958779871407E-4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4.5232632928371723E-4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4.5515307076872034E-4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4.5793489623666985E-4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4.6071672170461942E-4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4.6349854717256893E-4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4.6628037264051845E-4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4.6906219810846801E-4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4.7109339120554654E-4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4.7312458430262512E-4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4.7515577739970364E-4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4.7718697049678222E-4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4.7921816359386074E-4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4.8115493005465267E-4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4.8309169651544466E-4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4.8502846297623654E-4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4.8696522943702847E-4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4.889019958978204E-4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4.9074242936455667E-4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4.9258286283129294E-4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4.9442329629802921E-4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4.9626372976476537E-4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4.9810416323150175E-4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2.6986717585177084E-3</v>
      </c>
      <c r="C13" s="7">
        <f>$B13 * IFERROR(VLOOKUP("buildings|SO2|Non-fatal heart attacks", US_national_yearly!$D:$AM, 11, FALSE) / VLOOKUP("buildings|SO2|Non-fatal heart attacks", US_national_yearly!$D:$AM, 10, FALSE), 1)</f>
        <v>2.777920572675301E-3</v>
      </c>
      <c r="D13" s="7">
        <f>$B13 * IFERROR(VLOOKUP("buildings|SO2|Non-fatal heart attacks", US_national_yearly!$D:$AM, 12, FALSE) / VLOOKUP("buildings|SO2|Non-fatal heart attacks", US_national_yearly!$D:$AM, 10, FALSE), 1)</f>
        <v>2.8571693868328935E-3</v>
      </c>
      <c r="E13" s="7">
        <f>$B13 * IFERROR(VLOOKUP("buildings|SO2|Non-fatal heart attacks", US_national_yearly!$D:$AM, 13, FALSE) / VLOOKUP("buildings|SO2|Non-fatal heart attacks", US_national_yearly!$D:$AM, 10, FALSE), 1)</f>
        <v>2.9364182009904856E-3</v>
      </c>
      <c r="F13" s="7">
        <f>$B13 * IFERROR(VLOOKUP("buildings|SO2|Non-fatal heart attacks", US_national_yearly!$D:$AM, 14, FALSE) / VLOOKUP("buildings|SO2|Non-fatal heart attacks", US_national_yearly!$D:$AM, 10, FALSE), 1)</f>
        <v>3.0156670151480782E-3</v>
      </c>
      <c r="G13" s="7">
        <f>$B13 * IFERROR(VLOOKUP("buildings|SO2|Non-fatal heart attacks", US_national_yearly!$D:$AM, 15, FALSE) / VLOOKUP("buildings|SO2|Non-fatal heart attacks", US_national_yearly!$D:$AM, 10, FALSE), 1)</f>
        <v>3.0904114281705853E-3</v>
      </c>
      <c r="H13" s="7">
        <f>$B13 * IFERROR(VLOOKUP("buildings|SO2|Non-fatal heart attacks", US_national_yearly!$D:$AM, 16, FALSE) / VLOOKUP("buildings|SO2|Non-fatal heart attacks", US_national_yearly!$D:$AM, 10, FALSE), 1)</f>
        <v>3.1651558411930933E-3</v>
      </c>
      <c r="I13" s="7">
        <f>$B13 * IFERROR(VLOOKUP("buildings|SO2|Non-fatal heart attacks", US_national_yearly!$D:$AM, 17, FALSE) / VLOOKUP("buildings|SO2|Non-fatal heart attacks", US_national_yearly!$D:$AM, 10, FALSE), 1)</f>
        <v>3.2253201393347567E-3</v>
      </c>
      <c r="J13" s="7">
        <f>$B13 * IFERROR(VLOOKUP("buildings|SO2|Non-fatal heart attacks", US_national_yearly!$D:$AM, 18, FALSE) / VLOOKUP("buildings|SO2|Non-fatal heart attacks", US_national_yearly!$D:$AM, 10, FALSE), 1)</f>
        <v>3.2854844374764205E-3</v>
      </c>
      <c r="K13" s="7">
        <f>$B13 * IFERROR(VLOOKUP("buildings|SO2|Non-fatal heart attacks", US_national_yearly!$D:$AM, 19, FALSE) / VLOOKUP("buildings|SO2|Non-fatal heart attacks", US_national_yearly!$D:$AM, 10, FALSE), 1)</f>
        <v>3.3456487356180848E-3</v>
      </c>
      <c r="L13" s="7">
        <f>$B13 * IFERROR(VLOOKUP("buildings|SO2|Non-fatal heart attacks", US_national_yearly!$D:$AM, 20, FALSE) / VLOOKUP("buildings|SO2|Non-fatal heart attacks", US_national_yearly!$D:$AM, 10, FALSE), 1)</f>
        <v>3.4058130337597491E-3</v>
      </c>
      <c r="M13" s="7">
        <f>$B13 * IFERROR(VLOOKUP("buildings|SO2|Non-fatal heart attacks", US_national_yearly!$D:$AM, 21, FALSE) / VLOOKUP("buildings|SO2|Non-fatal heart attacks", US_national_yearly!$D:$AM, 10, FALSE), 1)</f>
        <v>3.4659773319014129E-3</v>
      </c>
      <c r="N13" s="7">
        <f>$B13 * IFERROR(VLOOKUP("buildings|SO2|Non-fatal heart attacks", US_national_yearly!$D:$AM, 22, FALSE) / VLOOKUP("buildings|SO2|Non-fatal heart attacks", US_national_yearly!$D:$AM, 10, FALSE), 1)</f>
        <v>3.5050267581830338E-3</v>
      </c>
      <c r="O13" s="7">
        <f>$B13 * IFERROR(VLOOKUP("buildings|SO2|Non-fatal heart attacks", US_national_yearly!$D:$AM, 23, FALSE) / VLOOKUP("buildings|SO2|Non-fatal heart attacks", US_national_yearly!$D:$AM, 10, FALSE), 1)</f>
        <v>3.5440761844646551E-3</v>
      </c>
      <c r="P13" s="7">
        <f>$B13 * IFERROR(VLOOKUP("buildings|SO2|Non-fatal heart attacks", US_national_yearly!$D:$AM, 24, FALSE) / VLOOKUP("buildings|SO2|Non-fatal heart attacks", US_national_yearly!$D:$AM, 10, FALSE), 1)</f>
        <v>3.5831256107462755E-3</v>
      </c>
      <c r="Q13" s="7">
        <f>$B13 * IFERROR(VLOOKUP("buildings|SO2|Non-fatal heart attacks", US_national_yearly!$D:$AM, 25, FALSE) / VLOOKUP("buildings|SO2|Non-fatal heart attacks", US_national_yearly!$D:$AM, 10, FALSE), 1)</f>
        <v>3.6221750370278964E-3</v>
      </c>
      <c r="R13" s="7">
        <f>$B13 * IFERROR(VLOOKUP("buildings|SO2|Non-fatal heart attacks", US_national_yearly!$D:$AM, 26, FALSE) / VLOOKUP("buildings|SO2|Non-fatal heart attacks", US_national_yearly!$D:$AM, 10, FALSE), 1)</f>
        <v>3.6612244633095177E-3</v>
      </c>
      <c r="S13" s="7">
        <f>$B13 * IFERROR(VLOOKUP("buildings|SO2|Non-fatal heart attacks", US_national_yearly!$D:$AM, 27, FALSE) / VLOOKUP("buildings|SO2|Non-fatal heart attacks", US_national_yearly!$D:$AM, 10, FALSE), 1)</f>
        <v>3.6816160097751555E-3</v>
      </c>
      <c r="T13" s="7">
        <f>$B13 * IFERROR(VLOOKUP("buildings|SO2|Non-fatal heart attacks", US_national_yearly!$D:$AM, 28, FALSE) / VLOOKUP("buildings|SO2|Non-fatal heart attacks", US_national_yearly!$D:$AM, 10, FALSE), 1)</f>
        <v>3.7020075562407928E-3</v>
      </c>
      <c r="U13" s="7">
        <f>$B13 * IFERROR(VLOOKUP("buildings|SO2|Non-fatal heart attacks", US_national_yearly!$D:$AM, 29, FALSE) / VLOOKUP("buildings|SO2|Non-fatal heart attacks", US_national_yearly!$D:$AM, 10, FALSE), 1)</f>
        <v>3.7223991027064297E-3</v>
      </c>
      <c r="V13" s="7">
        <f>$B13 * IFERROR(VLOOKUP("buildings|SO2|Non-fatal heart attacks", US_national_yearly!$D:$AM, 30, FALSE) / VLOOKUP("buildings|SO2|Non-fatal heart attacks", US_national_yearly!$D:$AM, 10, FALSE), 1)</f>
        <v>3.742790649172067E-3</v>
      </c>
      <c r="W13" s="7">
        <f>$B13 * IFERROR(VLOOKUP("buildings|SO2|Non-fatal heart attacks", US_national_yearly!$D:$AM, 31, FALSE) / VLOOKUP("buildings|SO2|Non-fatal heart attacks", US_national_yearly!$D:$AM, 10, FALSE), 1)</f>
        <v>3.7631821956377043E-3</v>
      </c>
      <c r="X13" s="7">
        <f>$B13 * IFERROR(VLOOKUP("buildings|SO2|Non-fatal heart attacks", US_national_yearly!$D:$AM, 32, FALSE) / VLOOKUP("buildings|SO2|Non-fatal heart attacks", US_national_yearly!$D:$AM, 10, FALSE), 1)</f>
        <v>3.7785833889717908E-3</v>
      </c>
      <c r="Y13" s="7">
        <f>$B13 * IFERROR(VLOOKUP("buildings|SO2|Non-fatal heart attacks", US_national_yearly!$D:$AM, 33, FALSE) / VLOOKUP("buildings|SO2|Non-fatal heart attacks", US_national_yearly!$D:$AM, 10, FALSE), 1)</f>
        <v>3.7939845823058774E-3</v>
      </c>
      <c r="Z13" s="7">
        <f>$B13 * IFERROR(VLOOKUP("buildings|SO2|Non-fatal heart attacks", US_national_yearly!$D:$AM, 34, FALSE) / VLOOKUP("buildings|SO2|Non-fatal heart attacks", US_national_yearly!$D:$AM, 10, FALSE), 1)</f>
        <v>3.8093857756399626E-3</v>
      </c>
      <c r="AA13" s="7">
        <f>$B13 * IFERROR(VLOOKUP("buildings|SO2|Non-fatal heart attacks", US_national_yearly!$D:$AM, 35, FALSE) / VLOOKUP("buildings|SO2|Non-fatal heart attacks", US_national_yearly!$D:$AM, 10, FALSE), 1)</f>
        <v>3.8247869689740492E-3</v>
      </c>
      <c r="AB13" s="7">
        <f>$B13 * IFERROR(VLOOKUP("buildings|SO2|Non-fatal heart attacks", US_national_yearly!$D:$AM, 36, FALSE) / VLOOKUP("buildings|SO2|Non-fatal heart attacks", US_national_yearly!$D:$AM, 10, FALSE), 1)</f>
        <v>3.8401881623081353E-3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1.7916601880627534</v>
      </c>
      <c r="C14" s="7">
        <f>$B14 * IFERROR(VLOOKUP("buildings|SO2|Minor restricted activity days", US_national_yearly!$D:$AM, 11, FALSE) / VLOOKUP("buildings|SO2|Minor restricted activity days", US_national_yearly!$D:$AM, 10, FALSE), 1)</f>
        <v>1.7961956814472519</v>
      </c>
      <c r="D14" s="7">
        <f>$B14 * IFERROR(VLOOKUP("buildings|SO2|Minor restricted activity days", US_national_yearly!$D:$AM, 12, FALSE) / VLOOKUP("buildings|SO2|Minor restricted activity days", US_national_yearly!$D:$AM, 10, FALSE), 1)</f>
        <v>1.8007311748317509</v>
      </c>
      <c r="E14" s="7">
        <f>$B14 * IFERROR(VLOOKUP("buildings|SO2|Minor restricted activity days", US_national_yearly!$D:$AM, 13, FALSE) / VLOOKUP("buildings|SO2|Minor restricted activity days", US_national_yearly!$D:$AM, 10, FALSE), 1)</f>
        <v>1.8052666682162499</v>
      </c>
      <c r="F14" s="7">
        <f>$B14 * IFERROR(VLOOKUP("buildings|SO2|Minor restricted activity days", US_national_yearly!$D:$AM, 14, FALSE) / VLOOKUP("buildings|SO2|Minor restricted activity days", US_national_yearly!$D:$AM, 10, FALSE), 1)</f>
        <v>1.8098021616007485</v>
      </c>
      <c r="G14" s="7">
        <f>$B14 * IFERROR(VLOOKUP("buildings|SO2|Minor restricted activity days", US_national_yearly!$D:$AM, 15, FALSE) / VLOOKUP("buildings|SO2|Minor restricted activity days", US_national_yearly!$D:$AM, 10, FALSE), 1)</f>
        <v>1.816471133946657</v>
      </c>
      <c r="H14" s="7">
        <f>$B14 * IFERROR(VLOOKUP("buildings|SO2|Minor restricted activity days", US_national_yearly!$D:$AM, 16, FALSE) / VLOOKUP("buildings|SO2|Minor restricted activity days", US_national_yearly!$D:$AM, 10, FALSE), 1)</f>
        <v>1.8231401062925658</v>
      </c>
      <c r="I14" s="7">
        <f>$B14 * IFERROR(VLOOKUP("buildings|SO2|Minor restricted activity days", US_national_yearly!$D:$AM, 17, FALSE) / VLOOKUP("buildings|SO2|Minor restricted activity days", US_national_yearly!$D:$AM, 10, FALSE), 1)</f>
        <v>1.8344980373334971</v>
      </c>
      <c r="J14" s="7">
        <f>$B14 * IFERROR(VLOOKUP("buildings|SO2|Minor restricted activity days", US_national_yearly!$D:$AM, 18, FALSE) / VLOOKUP("buildings|SO2|Minor restricted activity days", US_national_yearly!$D:$AM, 10, FALSE), 1)</f>
        <v>1.8458559683744289</v>
      </c>
      <c r="K14" s="7">
        <f>$B14 * IFERROR(VLOOKUP("buildings|SO2|Minor restricted activity days", US_national_yearly!$D:$AM, 19, FALSE) / VLOOKUP("buildings|SO2|Minor restricted activity days", US_national_yearly!$D:$AM, 10, FALSE), 1)</f>
        <v>1.85721389941536</v>
      </c>
      <c r="L14" s="7">
        <f>$B14 * IFERROR(VLOOKUP("buildings|SO2|Minor restricted activity days", US_national_yearly!$D:$AM, 20, FALSE) / VLOOKUP("buildings|SO2|Minor restricted activity days", US_national_yearly!$D:$AM, 10, FALSE), 1)</f>
        <v>1.8685718304562913</v>
      </c>
      <c r="M14" s="7">
        <f>$B14 * IFERROR(VLOOKUP("buildings|SO2|Minor restricted activity days", US_national_yearly!$D:$AM, 21, FALSE) / VLOOKUP("buildings|SO2|Minor restricted activity days", US_national_yearly!$D:$AM, 10, FALSE), 1)</f>
        <v>1.8799297614972226</v>
      </c>
      <c r="N14" s="7">
        <f>$B14 * IFERROR(VLOOKUP("buildings|SO2|Minor restricted activity days", US_national_yearly!$D:$AM, 22, FALSE) / VLOOKUP("buildings|SO2|Minor restricted activity days", US_national_yearly!$D:$AM, 10, FALSE), 1)</f>
        <v>1.8954611353456432</v>
      </c>
      <c r="O14" s="7">
        <f>$B14 * IFERROR(VLOOKUP("buildings|SO2|Minor restricted activity days", US_national_yearly!$D:$AM, 23, FALSE) / VLOOKUP("buildings|SO2|Minor restricted activity days", US_national_yearly!$D:$AM, 10, FALSE), 1)</f>
        <v>1.9109925091940638</v>
      </c>
      <c r="P14" s="7">
        <f>$B14 * IFERROR(VLOOKUP("buildings|SO2|Minor restricted activity days", US_national_yearly!$D:$AM, 24, FALSE) / VLOOKUP("buildings|SO2|Minor restricted activity days", US_national_yearly!$D:$AM, 10, FALSE), 1)</f>
        <v>1.9265238830424842</v>
      </c>
      <c r="Q14" s="7">
        <f>$B14 * IFERROR(VLOOKUP("buildings|SO2|Minor restricted activity days", US_national_yearly!$D:$AM, 25, FALSE) / VLOOKUP("buildings|SO2|Minor restricted activity days", US_national_yearly!$D:$AM, 10, FALSE), 1)</f>
        <v>1.9420552568909049</v>
      </c>
      <c r="R14" s="7">
        <f>$B14 * IFERROR(VLOOKUP("buildings|SO2|Minor restricted activity days", US_national_yearly!$D:$AM, 26, FALSE) / VLOOKUP("buildings|SO2|Minor restricted activity days", US_national_yearly!$D:$AM, 10, FALSE), 1)</f>
        <v>1.9575866307393255</v>
      </c>
      <c r="S14" s="7">
        <f>$B14 * IFERROR(VLOOKUP("buildings|SO2|Minor restricted activity days", US_national_yearly!$D:$AM, 27, FALSE) / VLOOKUP("buildings|SO2|Minor restricted activity days", US_national_yearly!$D:$AM, 10, FALSE), 1)</f>
        <v>1.9734198580540565</v>
      </c>
      <c r="T14" s="7">
        <f>$B14 * IFERROR(VLOOKUP("buildings|SO2|Minor restricted activity days", US_national_yearly!$D:$AM, 28, FALSE) / VLOOKUP("buildings|SO2|Minor restricted activity days", US_national_yearly!$D:$AM, 10, FALSE), 1)</f>
        <v>1.9892530853687875</v>
      </c>
      <c r="U14" s="7">
        <f>$B14 * IFERROR(VLOOKUP("buildings|SO2|Minor restricted activity days", US_national_yearly!$D:$AM, 29, FALSE) / VLOOKUP("buildings|SO2|Minor restricted activity days", US_national_yearly!$D:$AM, 10, FALSE), 1)</f>
        <v>2.0050863126835186</v>
      </c>
      <c r="V14" s="7">
        <f>$B14 * IFERROR(VLOOKUP("buildings|SO2|Minor restricted activity days", US_national_yearly!$D:$AM, 30, FALSE) / VLOOKUP("buildings|SO2|Minor restricted activity days", US_national_yearly!$D:$AM, 10, FALSE), 1)</f>
        <v>2.0209195399982498</v>
      </c>
      <c r="W14" s="7">
        <f>$B14 * IFERROR(VLOOKUP("buildings|SO2|Minor restricted activity days", US_national_yearly!$D:$AM, 31, FALSE) / VLOOKUP("buildings|SO2|Minor restricted activity days", US_national_yearly!$D:$AM, 10, FALSE), 1)</f>
        <v>2.036752767312981</v>
      </c>
      <c r="X14" s="7">
        <f>$B14 * IFERROR(VLOOKUP("buildings|SO2|Minor restricted activity days", US_national_yearly!$D:$AM, 32, FALSE) / VLOOKUP("buildings|SO2|Minor restricted activity days", US_national_yearly!$D:$AM, 10, FALSE), 1)</f>
        <v>2.0506771744519967</v>
      </c>
      <c r="Y14" s="7">
        <f>$B14 * IFERROR(VLOOKUP("buildings|SO2|Minor restricted activity days", US_national_yearly!$D:$AM, 33, FALSE) / VLOOKUP("buildings|SO2|Minor restricted activity days", US_national_yearly!$D:$AM, 10, FALSE), 1)</f>
        <v>2.0646015815910128</v>
      </c>
      <c r="Z14" s="7">
        <f>$B14 * IFERROR(VLOOKUP("buildings|SO2|Minor restricted activity days", US_national_yearly!$D:$AM, 34, FALSE) / VLOOKUP("buildings|SO2|Minor restricted activity days", US_national_yearly!$D:$AM, 10, FALSE), 1)</f>
        <v>2.0785259887300285</v>
      </c>
      <c r="AA14" s="7">
        <f>$B14 * IFERROR(VLOOKUP("buildings|SO2|Minor restricted activity days", US_national_yearly!$D:$AM, 35, FALSE) / VLOOKUP("buildings|SO2|Minor restricted activity days", US_national_yearly!$D:$AM, 10, FALSE), 1)</f>
        <v>2.0924503958690446</v>
      </c>
      <c r="AB14" s="7">
        <f>$B14 * IFERROR(VLOOKUP("buildings|SO2|Minor restricted activity days", US_national_yearly!$D:$AM, 36, FALSE) / VLOOKUP("buildings|SO2|Minor restricted activity days", US_national_yearly!$D:$AM, 10, FALSE), 1)</f>
        <v>2.1063748030080602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0.30213931587059806</v>
      </c>
      <c r="C15" s="7">
        <f>$B15 * IFERROR(VLOOKUP("buildings|SO2|Work loss days", US_national_yearly!$D:$AM, 11, FALSE) / VLOOKUP("buildings|SO2|Work loss days", US_national_yearly!$D:$AM, 10, FALSE), 1)</f>
        <v>0.3031209615874248</v>
      </c>
      <c r="D15" s="7">
        <f>$B15 * IFERROR(VLOOKUP("buildings|SO2|Work loss days", US_national_yearly!$D:$AM, 12, FALSE) / VLOOKUP("buildings|SO2|Work loss days", US_national_yearly!$D:$AM, 10, FALSE), 1)</f>
        <v>0.30410260730425154</v>
      </c>
      <c r="E15" s="7">
        <f>$B15 * IFERROR(VLOOKUP("buildings|SO2|Work loss days", US_national_yearly!$D:$AM, 13, FALSE) / VLOOKUP("buildings|SO2|Work loss days", US_national_yearly!$D:$AM, 10, FALSE), 1)</f>
        <v>0.30508425302107828</v>
      </c>
      <c r="F15" s="7">
        <f>$B15 * IFERROR(VLOOKUP("buildings|SO2|Work loss days", US_national_yearly!$D:$AM, 14, FALSE) / VLOOKUP("buildings|SO2|Work loss days", US_national_yearly!$D:$AM, 10, FALSE), 1)</f>
        <v>0.30606589873790496</v>
      </c>
      <c r="G15" s="7">
        <f>$B15 * IFERROR(VLOOKUP("buildings|SO2|Work loss days", US_national_yearly!$D:$AM, 15, FALSE) / VLOOKUP("buildings|SO2|Work loss days", US_national_yearly!$D:$AM, 10, FALSE), 1)</f>
        <v>0.30734798236700095</v>
      </c>
      <c r="H15" s="7">
        <f>$B15 * IFERROR(VLOOKUP("buildings|SO2|Work loss days", US_national_yearly!$D:$AM, 16, FALSE) / VLOOKUP("buildings|SO2|Work loss days", US_national_yearly!$D:$AM, 10, FALSE), 1)</f>
        <v>0.30863006599609699</v>
      </c>
      <c r="I15" s="7">
        <f>$B15 * IFERROR(VLOOKUP("buildings|SO2|Work loss days", US_national_yearly!$D:$AM, 17, FALSE) / VLOOKUP("buildings|SO2|Work loss days", US_national_yearly!$D:$AM, 10, FALSE), 1)</f>
        <v>0.3105045440228334</v>
      </c>
      <c r="J15" s="7">
        <f>$B15 * IFERROR(VLOOKUP("buildings|SO2|Work loss days", US_national_yearly!$D:$AM, 18, FALSE) / VLOOKUP("buildings|SO2|Work loss days", US_national_yearly!$D:$AM, 10, FALSE), 1)</f>
        <v>0.31237902204956974</v>
      </c>
      <c r="K15" s="7">
        <f>$B15 * IFERROR(VLOOKUP("buildings|SO2|Work loss days", US_national_yearly!$D:$AM, 19, FALSE) / VLOOKUP("buildings|SO2|Work loss days", US_national_yearly!$D:$AM, 10, FALSE), 1)</f>
        <v>0.31425350007630615</v>
      </c>
      <c r="L15" s="7">
        <f>$B15 * IFERROR(VLOOKUP("buildings|SO2|Work loss days", US_national_yearly!$D:$AM, 20, FALSE) / VLOOKUP("buildings|SO2|Work loss days", US_national_yearly!$D:$AM, 10, FALSE), 1)</f>
        <v>0.31612797810304244</v>
      </c>
      <c r="M15" s="7">
        <f>$B15 * IFERROR(VLOOKUP("buildings|SO2|Work loss days", US_national_yearly!$D:$AM, 21, FALSE) / VLOOKUP("buildings|SO2|Work loss days", US_national_yearly!$D:$AM, 10, FALSE), 1)</f>
        <v>0.31800245612977879</v>
      </c>
      <c r="N15" s="7">
        <f>$B15 * IFERROR(VLOOKUP("buildings|SO2|Work loss days", US_national_yearly!$D:$AM, 22, FALSE) / VLOOKUP("buildings|SO2|Work loss days", US_national_yearly!$D:$AM, 10, FALSE), 1)</f>
        <v>0.32035302086894707</v>
      </c>
      <c r="O15" s="7">
        <f>$B15 * IFERROR(VLOOKUP("buildings|SO2|Work loss days", US_national_yearly!$D:$AM, 23, FALSE) / VLOOKUP("buildings|SO2|Work loss days", US_national_yearly!$D:$AM, 10, FALSE), 1)</f>
        <v>0.3227035856081153</v>
      </c>
      <c r="P15" s="7">
        <f>$B15 * IFERROR(VLOOKUP("buildings|SO2|Work loss days", US_national_yearly!$D:$AM, 24, FALSE) / VLOOKUP("buildings|SO2|Work loss days", US_national_yearly!$D:$AM, 10, FALSE), 1)</f>
        <v>0.32505415034728352</v>
      </c>
      <c r="Q15" s="7">
        <f>$B15 * IFERROR(VLOOKUP("buildings|SO2|Work loss days", US_national_yearly!$D:$AM, 25, FALSE) / VLOOKUP("buildings|SO2|Work loss days", US_national_yearly!$D:$AM, 10, FALSE), 1)</f>
        <v>0.3274047150864518</v>
      </c>
      <c r="R15" s="7">
        <f>$B15 * IFERROR(VLOOKUP("buildings|SO2|Work loss days", US_national_yearly!$D:$AM, 26, FALSE) / VLOOKUP("buildings|SO2|Work loss days", US_national_yearly!$D:$AM, 10, FALSE), 1)</f>
        <v>0.32975527982561992</v>
      </c>
      <c r="S15" s="7">
        <f>$B15 * IFERROR(VLOOKUP("buildings|SO2|Work loss days", US_national_yearly!$D:$AM, 27, FALSE) / VLOOKUP("buildings|SO2|Work loss days", US_national_yearly!$D:$AM, 10, FALSE), 1)</f>
        <v>0.33238106653587296</v>
      </c>
      <c r="T15" s="7">
        <f>$B15 * IFERROR(VLOOKUP("buildings|SO2|Work loss days", US_national_yearly!$D:$AM, 28, FALSE) / VLOOKUP("buildings|SO2|Work loss days", US_national_yearly!$D:$AM, 10, FALSE), 1)</f>
        <v>0.335006853246126</v>
      </c>
      <c r="U15" s="7">
        <f>$B15 * IFERROR(VLOOKUP("buildings|SO2|Work loss days", US_national_yearly!$D:$AM, 29, FALSE) / VLOOKUP("buildings|SO2|Work loss days", US_national_yearly!$D:$AM, 10, FALSE), 1)</f>
        <v>0.33763263995637904</v>
      </c>
      <c r="V15" s="7">
        <f>$B15 * IFERROR(VLOOKUP("buildings|SO2|Work loss days", US_national_yearly!$D:$AM, 30, FALSE) / VLOOKUP("buildings|SO2|Work loss days", US_national_yearly!$D:$AM, 10, FALSE), 1)</f>
        <v>0.34025842666663203</v>
      </c>
      <c r="W15" s="7">
        <f>$B15 * IFERROR(VLOOKUP("buildings|SO2|Work loss days", US_national_yearly!$D:$AM, 31, FALSE) / VLOOKUP("buildings|SO2|Work loss days", US_national_yearly!$D:$AM, 10, FALSE), 1)</f>
        <v>0.34288421337688507</v>
      </c>
      <c r="X15" s="7">
        <f>$B15 * IFERROR(VLOOKUP("buildings|SO2|Work loss days", US_national_yearly!$D:$AM, 32, FALSE) / VLOOKUP("buildings|SO2|Work loss days", US_national_yearly!$D:$AM, 10, FALSE), 1)</f>
        <v>0.34524186033084181</v>
      </c>
      <c r="Y15" s="7">
        <f>$B15 * IFERROR(VLOOKUP("buildings|SO2|Work loss days", US_national_yearly!$D:$AM, 33, FALSE) / VLOOKUP("buildings|SO2|Work loss days", US_national_yearly!$D:$AM, 10, FALSE), 1)</f>
        <v>0.34759950728479855</v>
      </c>
      <c r="Z15" s="7">
        <f>$B15 * IFERROR(VLOOKUP("buildings|SO2|Work loss days", US_national_yearly!$D:$AM, 34, FALSE) / VLOOKUP("buildings|SO2|Work loss days", US_national_yearly!$D:$AM, 10, FALSE), 1)</f>
        <v>0.34995715423875529</v>
      </c>
      <c r="AA15" s="7">
        <f>$B15 * IFERROR(VLOOKUP("buildings|SO2|Work loss days", US_national_yearly!$D:$AM, 35, FALSE) / VLOOKUP("buildings|SO2|Work loss days", US_national_yearly!$D:$AM, 10, FALSE), 1)</f>
        <v>0.35231480119271202</v>
      </c>
      <c r="AB15" s="7">
        <f>$B15 * IFERROR(VLOOKUP("buildings|SO2|Work loss days", US_national_yearly!$D:$AM, 36, FALSE) / VLOOKUP("buildings|SO2|Work loss days", US_national_yearly!$D:$AM, 10, FALSE), 1)</f>
        <v>0.35467244814666871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7.3843356780236593E-4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7.607707095199117E-4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7.8310785123745748E-4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8.0544499295500348E-4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8.2778213467254926E-4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8.4917977847205357E-4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8.7057742227155776E-4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8.8891515990273645E-4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9.0725289753391491E-4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9.255906351650936E-4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9.4392837279627217E-4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9.6226611042745064E-4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9.7457953373812948E-4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9.8689295704880832E-4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9.9920638035948727E-4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1.011519803670166E-3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1.023833226980845E-3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1.0303085961823073E-3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1.0367839653837698E-3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1.0432593345852321E-3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1.0497347037866946E-3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1.0562100729881569E-3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1.0605582979638459E-3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1.064906522939535E-3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1.0692547479152241E-3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1.0736029728909133E-3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1.0779511978666024E-3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4.6396808210625869E-2</v>
      </c>
      <c r="C2" s="7">
        <f>$B2 * IFERROR(VLOOKUP("industry|PM25|Premature mortality", US_national_yearly!$D:$AM, 11, FALSE) / VLOOKUP("industry|PM25|Premature mortality", US_national_yearly!$D:$AM, 10, FALSE), 1)</f>
        <v>4.6974600092720517E-2</v>
      </c>
      <c r="D2" s="7">
        <f>$B2 * IFERROR(VLOOKUP("industry|PM25|Premature mortality", US_national_yearly!$D:$AM, 12, FALSE) / VLOOKUP("industry|PM25|Premature mortality", US_national_yearly!$D:$AM, 10, FALSE), 1)</f>
        <v>4.7552391974815159E-2</v>
      </c>
      <c r="E2" s="7">
        <f>$B2 * IFERROR(VLOOKUP("industry|PM25|Premature mortality", US_national_yearly!$D:$AM, 13, FALSE) / VLOOKUP("industry|PM25|Premature mortality", US_national_yearly!$D:$AM, 10, FALSE), 1)</f>
        <v>4.8130183856909807E-2</v>
      </c>
      <c r="F2" s="7">
        <f>$B2 * IFERROR(VLOOKUP("industry|PM25|Premature mortality", US_national_yearly!$D:$AM, 14, FALSE) / VLOOKUP("industry|PM25|Premature mortality", US_national_yearly!$D:$AM, 10, FALSE), 1)</f>
        <v>4.8707975739004448E-2</v>
      </c>
      <c r="G2" s="7">
        <f>$B2 * IFERROR(VLOOKUP("industry|PM25|Premature mortality", US_national_yearly!$D:$AM, 15, FALSE) / VLOOKUP("industry|PM25|Premature mortality", US_national_yearly!$D:$AM, 10, FALSE), 1)</f>
        <v>4.9832060871097789E-2</v>
      </c>
      <c r="H2" s="7">
        <f>$B2 * IFERROR(VLOOKUP("industry|PM25|Premature mortality", US_national_yearly!$D:$AM, 16, FALSE) / VLOOKUP("industry|PM25|Premature mortality", US_national_yearly!$D:$AM, 10, FALSE), 1)</f>
        <v>5.0956146003191136E-2</v>
      </c>
      <c r="I2" s="7">
        <f>$B2 * IFERROR(VLOOKUP("industry|PM25|Premature mortality", US_national_yearly!$D:$AM, 17, FALSE) / VLOOKUP("industry|PM25|Premature mortality", US_national_yearly!$D:$AM, 10, FALSE), 1)</f>
        <v>5.1698375679089303E-2</v>
      </c>
      <c r="J2" s="7">
        <f>$B2 * IFERROR(VLOOKUP("industry|PM25|Premature mortality", US_national_yearly!$D:$AM, 18, FALSE) / VLOOKUP("industry|PM25|Premature mortality", US_national_yearly!$D:$AM, 10, FALSE), 1)</f>
        <v>5.2440605354987457E-2</v>
      </c>
      <c r="K2" s="7">
        <f>$B2 * IFERROR(VLOOKUP("industry|PM25|Premature mortality", US_national_yearly!$D:$AM, 19, FALSE) / VLOOKUP("industry|PM25|Premature mortality", US_national_yearly!$D:$AM, 10, FALSE), 1)</f>
        <v>5.3182835030885618E-2</v>
      </c>
      <c r="L2" s="7">
        <f>$B2 * IFERROR(VLOOKUP("industry|PM25|Premature mortality", US_national_yearly!$D:$AM, 20, FALSE) / VLOOKUP("industry|PM25|Premature mortality", US_national_yearly!$D:$AM, 10, FALSE), 1)</f>
        <v>5.3925064706783779E-2</v>
      </c>
      <c r="M2" s="7">
        <f>$B2 * IFERROR(VLOOKUP("industry|PM25|Premature mortality", US_national_yearly!$D:$AM, 21, FALSE) / VLOOKUP("industry|PM25|Premature mortality", US_national_yearly!$D:$AM, 10, FALSE), 1)</f>
        <v>5.4667294382681947E-2</v>
      </c>
      <c r="N2" s="7">
        <f>$B2 * IFERROR(VLOOKUP("industry|PM25|Premature mortality", US_national_yearly!$D:$AM, 22, FALSE) / VLOOKUP("industry|PM25|Premature mortality", US_national_yearly!$D:$AM, 10, FALSE), 1)</f>
        <v>5.5245554758517376E-2</v>
      </c>
      <c r="O2" s="7">
        <f>$B2 * IFERROR(VLOOKUP("industry|PM25|Premature mortality", US_national_yearly!$D:$AM, 23, FALSE) / VLOOKUP("industry|PM25|Premature mortality", US_national_yearly!$D:$AM, 10, FALSE), 1)</f>
        <v>5.5823815134352792E-2</v>
      </c>
      <c r="P2" s="7">
        <f>$B2 * IFERROR(VLOOKUP("industry|PM25|Premature mortality", US_national_yearly!$D:$AM, 24, FALSE) / VLOOKUP("industry|PM25|Premature mortality", US_national_yearly!$D:$AM, 10, FALSE), 1)</f>
        <v>5.6402075510188221E-2</v>
      </c>
      <c r="Q2" s="7">
        <f>$B2 * IFERROR(VLOOKUP("industry|PM25|Premature mortality", US_national_yearly!$D:$AM, 25, FALSE) / VLOOKUP("industry|PM25|Premature mortality", US_national_yearly!$D:$AM, 10, FALSE), 1)</f>
        <v>5.698033588602365E-2</v>
      </c>
      <c r="R2" s="7">
        <f>$B2 * IFERROR(VLOOKUP("industry|PM25|Premature mortality", US_national_yearly!$D:$AM, 26, FALSE) / VLOOKUP("industry|PM25|Premature mortality", US_national_yearly!$D:$AM, 10, FALSE), 1)</f>
        <v>5.7558596261859073E-2</v>
      </c>
      <c r="S2" s="7">
        <f>$B2 * IFERROR(VLOOKUP("industry|PM25|Premature mortality", US_national_yearly!$D:$AM, 27, FALSE) / VLOOKUP("industry|PM25|Premature mortality", US_national_yearly!$D:$AM, 10, FALSE), 1)</f>
        <v>5.7870835417292821E-2</v>
      </c>
      <c r="T2" s="7">
        <f>$B2 * IFERROR(VLOOKUP("industry|PM25|Premature mortality", US_national_yearly!$D:$AM, 28, FALSE) / VLOOKUP("industry|PM25|Premature mortality", US_national_yearly!$D:$AM, 10, FALSE), 1)</f>
        <v>5.8183074572726562E-2</v>
      </c>
      <c r="U2" s="7">
        <f>$B2 * IFERROR(VLOOKUP("industry|PM25|Premature mortality", US_national_yearly!$D:$AM, 29, FALSE) / VLOOKUP("industry|PM25|Premature mortality", US_national_yearly!$D:$AM, 10, FALSE), 1)</f>
        <v>5.8495313728160331E-2</v>
      </c>
      <c r="V2" s="7">
        <f>$B2 * IFERROR(VLOOKUP("industry|PM25|Premature mortality", US_national_yearly!$D:$AM, 30, FALSE) / VLOOKUP("industry|PM25|Premature mortality", US_national_yearly!$D:$AM, 10, FALSE), 1)</f>
        <v>5.8807552883594079E-2</v>
      </c>
      <c r="W2" s="7">
        <f>$B2 * IFERROR(VLOOKUP("industry|PM25|Premature mortality", US_national_yearly!$D:$AM, 31, FALSE) / VLOOKUP("industry|PM25|Premature mortality", US_national_yearly!$D:$AM, 10, FALSE), 1)</f>
        <v>5.911979203902782E-2</v>
      </c>
      <c r="X2" s="7">
        <f>$B2 * IFERROR(VLOOKUP("industry|PM25|Premature mortality", US_national_yearly!$D:$AM, 32, FALSE) / VLOOKUP("industry|PM25|Premature mortality", US_national_yearly!$D:$AM, 10, FALSE), 1)</f>
        <v>5.9184258480441787E-2</v>
      </c>
      <c r="Y2" s="7">
        <f>$B2 * IFERROR(VLOOKUP("industry|PM25|Premature mortality", US_national_yearly!$D:$AM, 33, FALSE) / VLOOKUP("industry|PM25|Premature mortality", US_national_yearly!$D:$AM, 10, FALSE), 1)</f>
        <v>5.9248724921855789E-2</v>
      </c>
      <c r="Z2" s="7">
        <f>$B2 * IFERROR(VLOOKUP("industry|PM25|Premature mortality", US_national_yearly!$D:$AM, 34, FALSE) / VLOOKUP("industry|PM25|Premature mortality", US_national_yearly!$D:$AM, 10, FALSE), 1)</f>
        <v>5.9313191363269756E-2</v>
      </c>
      <c r="AA2" s="7">
        <f>$B2 * IFERROR(VLOOKUP("industry|PM25|Premature mortality", US_national_yearly!$D:$AM, 35, FALSE) / VLOOKUP("industry|PM25|Premature mortality", US_national_yearly!$D:$AM, 10, FALSE), 1)</f>
        <v>5.9377657804683737E-2</v>
      </c>
      <c r="AB2" s="7">
        <f>$B2 * IFERROR(VLOOKUP("industry|PM25|Premature mortality", US_national_yearly!$D:$AM, 36, FALSE) / VLOOKUP("industry|PM25|Premature mortality", US_national_yearly!$D:$AM, 10, FALSE), 1)</f>
        <v>5.9442124246097718E-2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9.8170012937815021E-5</v>
      </c>
      <c r="C3" s="7">
        <f>$B3 * IFERROR(VLOOKUP("industry|PM25|Infant mortality", US_national_yearly!$D:$AM, 11, FALSE) / VLOOKUP("industry|PM25|Infant mortality", US_national_yearly!$D:$AM, 10, FALSE), 1)</f>
        <v>9.7315261473650321E-5</v>
      </c>
      <c r="D3" s="7">
        <f>$B3 * IFERROR(VLOOKUP("industry|PM25|Infant mortality", US_national_yearly!$D:$AM, 12, FALSE) / VLOOKUP("industry|PM25|Infant mortality", US_national_yearly!$D:$AM, 10, FALSE), 1)</f>
        <v>9.6460510009485593E-5</v>
      </c>
      <c r="E3" s="7">
        <f>$B3 * IFERROR(VLOOKUP("industry|PM25|Infant mortality", US_national_yearly!$D:$AM, 13, FALSE) / VLOOKUP("industry|PM25|Infant mortality", US_national_yearly!$D:$AM, 10, FALSE), 1)</f>
        <v>9.5605758545320866E-5</v>
      </c>
      <c r="F3" s="7">
        <f>$B3 * IFERROR(VLOOKUP("industry|PM25|Infant mortality", US_national_yearly!$D:$AM, 14, FALSE) / VLOOKUP("industry|PM25|Infant mortality", US_national_yearly!$D:$AM, 10, FALSE), 1)</f>
        <v>9.4751007081156165E-5</v>
      </c>
      <c r="G3" s="7">
        <f>$B3 * IFERROR(VLOOKUP("industry|PM25|Infant mortality", US_national_yearly!$D:$AM, 15, FALSE) / VLOOKUP("industry|PM25|Infant mortality", US_national_yearly!$D:$AM, 10, FALSE), 1)</f>
        <v>6.2955885672491262E-5</v>
      </c>
      <c r="H3" s="7">
        <f>$B3 * IFERROR(VLOOKUP("industry|PM25|Infant mortality", US_national_yearly!$D:$AM, 16, FALSE) / VLOOKUP("industry|PM25|Infant mortality", US_national_yearly!$D:$AM, 10, FALSE), 1)</f>
        <v>3.1160764263826365E-5</v>
      </c>
      <c r="I3" s="7">
        <f>$B3 * IFERROR(VLOOKUP("industry|PM25|Infant mortality", US_national_yearly!$D:$AM, 17, FALSE) / VLOOKUP("industry|PM25|Infant mortality", US_national_yearly!$D:$AM, 10, FALSE), 1)</f>
        <v>3.0953358643371979E-5</v>
      </c>
      <c r="J3" s="7">
        <f>$B3 * IFERROR(VLOOKUP("industry|PM25|Infant mortality", US_national_yearly!$D:$AM, 18, FALSE) / VLOOKUP("industry|PM25|Infant mortality", US_national_yearly!$D:$AM, 10, FALSE), 1)</f>
        <v>3.0745953022917586E-5</v>
      </c>
      <c r="K3" s="7">
        <f>$B3 * IFERROR(VLOOKUP("industry|PM25|Infant mortality", US_national_yearly!$D:$AM, 19, FALSE) / VLOOKUP("industry|PM25|Infant mortality", US_national_yearly!$D:$AM, 10, FALSE), 1)</f>
        <v>3.05385474024632E-5</v>
      </c>
      <c r="L3" s="7">
        <f>$B3 * IFERROR(VLOOKUP("industry|PM25|Infant mortality", US_national_yearly!$D:$AM, 20, FALSE) / VLOOKUP("industry|PM25|Infant mortality", US_national_yearly!$D:$AM, 10, FALSE), 1)</f>
        <v>3.0331141782008803E-5</v>
      </c>
      <c r="M3" s="7">
        <f>$B3 * IFERROR(VLOOKUP("industry|PM25|Infant mortality", US_national_yearly!$D:$AM, 21, FALSE) / VLOOKUP("industry|PM25|Infant mortality", US_national_yearly!$D:$AM, 10, FALSE), 1)</f>
        <v>3.0123736161554421E-5</v>
      </c>
      <c r="N3" s="7">
        <f>$B3 * IFERROR(VLOOKUP("industry|PM25|Infant mortality", US_national_yearly!$D:$AM, 22, FALSE) / VLOOKUP("industry|PM25|Infant mortality", US_national_yearly!$D:$AM, 10, FALSE), 1)</f>
        <v>2.9991391178724674E-5</v>
      </c>
      <c r="O3" s="7">
        <f>$B3 * IFERROR(VLOOKUP("industry|PM25|Infant mortality", US_national_yearly!$D:$AM, 23, FALSE) / VLOOKUP("industry|PM25|Infant mortality", US_national_yearly!$D:$AM, 10, FALSE), 1)</f>
        <v>2.9859046195894938E-5</v>
      </c>
      <c r="P3" s="7">
        <f>$B3 * IFERROR(VLOOKUP("industry|PM25|Infant mortality", US_national_yearly!$D:$AM, 24, FALSE) / VLOOKUP("industry|PM25|Infant mortality", US_national_yearly!$D:$AM, 10, FALSE), 1)</f>
        <v>2.9726701213065206E-5</v>
      </c>
      <c r="Q3" s="7">
        <f>$B3 * IFERROR(VLOOKUP("industry|PM25|Infant mortality", US_national_yearly!$D:$AM, 25, FALSE) / VLOOKUP("industry|PM25|Infant mortality", US_national_yearly!$D:$AM, 10, FALSE), 1)</f>
        <v>2.9594356230235466E-5</v>
      </c>
      <c r="R3" s="7">
        <f>$B3 * IFERROR(VLOOKUP("industry|PM25|Infant mortality", US_national_yearly!$D:$AM, 26, FALSE) / VLOOKUP("industry|PM25|Infant mortality", US_national_yearly!$D:$AM, 10, FALSE), 1)</f>
        <v>2.946201124740573E-5</v>
      </c>
      <c r="S3" s="7">
        <f>$B3 * IFERROR(VLOOKUP("industry|PM25|Infant mortality", US_national_yearly!$D:$AM, 27, FALSE) / VLOOKUP("industry|PM25|Infant mortality", US_national_yearly!$D:$AM, 10, FALSE), 1)</f>
        <v>2.9299238868002569E-5</v>
      </c>
      <c r="T3" s="7">
        <f>$B3 * IFERROR(VLOOKUP("industry|PM25|Infant mortality", US_national_yearly!$D:$AM, 28, FALSE) / VLOOKUP("industry|PM25|Infant mortality", US_national_yearly!$D:$AM, 10, FALSE), 1)</f>
        <v>2.9136466488599411E-5</v>
      </c>
      <c r="U3" s="7">
        <f>$B3 * IFERROR(VLOOKUP("industry|PM25|Infant mortality", US_national_yearly!$D:$AM, 29, FALSE) / VLOOKUP("industry|PM25|Infant mortality", US_national_yearly!$D:$AM, 10, FALSE), 1)</f>
        <v>2.8973694109196249E-5</v>
      </c>
      <c r="V3" s="7">
        <f>$B3 * IFERROR(VLOOKUP("industry|PM25|Infant mortality", US_national_yearly!$D:$AM, 30, FALSE) / VLOOKUP("industry|PM25|Infant mortality", US_national_yearly!$D:$AM, 10, FALSE), 1)</f>
        <v>2.8810921729793094E-5</v>
      </c>
      <c r="W3" s="7">
        <f>$B3 * IFERROR(VLOOKUP("industry|PM25|Infant mortality", US_national_yearly!$D:$AM, 31, FALSE) / VLOOKUP("industry|PM25|Infant mortality", US_national_yearly!$D:$AM, 10, FALSE), 1)</f>
        <v>2.8648149350389936E-5</v>
      </c>
      <c r="X3" s="7">
        <f>$B3 * IFERROR(VLOOKUP("industry|PM25|Infant mortality", US_national_yearly!$D:$AM, 32, FALSE) / VLOOKUP("industry|PM25|Infant mortality", US_national_yearly!$D:$AM, 10, FALSE), 1)</f>
        <v>2.8474206667053502E-5</v>
      </c>
      <c r="Y3" s="7">
        <f>$B3 * IFERROR(VLOOKUP("industry|PM25|Infant mortality", US_national_yearly!$D:$AM, 33, FALSE) / VLOOKUP("industry|PM25|Infant mortality", US_national_yearly!$D:$AM, 10, FALSE), 1)</f>
        <v>2.8300263983717064E-5</v>
      </c>
      <c r="Z3" s="7">
        <f>$B3 * IFERROR(VLOOKUP("industry|PM25|Infant mortality", US_national_yearly!$D:$AM, 34, FALSE) / VLOOKUP("industry|PM25|Infant mortality", US_national_yearly!$D:$AM, 10, FALSE), 1)</f>
        <v>2.8126321300380627E-5</v>
      </c>
      <c r="AA3" s="7">
        <f>$B3 * IFERROR(VLOOKUP("industry|PM25|Infant mortality", US_national_yearly!$D:$AM, 35, FALSE) / VLOOKUP("industry|PM25|Infant mortality", US_national_yearly!$D:$AM, 10, FALSE), 1)</f>
        <v>2.795237861704419E-5</v>
      </c>
      <c r="AB3" s="7">
        <f>$B3 * IFERROR(VLOOKUP("industry|PM25|Infant mortality", US_national_yearly!$D:$AM, 36, FALSE) / VLOOKUP("industry|PM25|Infant mortality", US_national_yearly!$D:$AM, 10, FALSE), 1)</f>
        <v>2.7778435933707756E-5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9.57159827543861E-2</v>
      </c>
      <c r="C6" s="7">
        <f>$B6 * IFERROR(VLOOKUP("industry|PM25|Asthma symptoms cough", US_national_yearly!$D:$AM, 11, FALSE) / VLOOKUP("industry|PM25|Asthma symptoms cough", US_national_yearly!$D:$AM, 10, FALSE), 1)</f>
        <v>9.57159827543861E-2</v>
      </c>
      <c r="D6" s="7">
        <f>$B6 * IFERROR(VLOOKUP("industry|PM25|Asthma symptoms cough", US_national_yearly!$D:$AM, 12, FALSE) / VLOOKUP("industry|PM25|Asthma symptoms cough", US_national_yearly!$D:$AM, 10, FALSE), 1)</f>
        <v>9.57159827543861E-2</v>
      </c>
      <c r="E6" s="7">
        <f>$B6 * IFERROR(VLOOKUP("industry|PM25|Asthma symptoms cough", US_national_yearly!$D:$AM, 13, FALSE) / VLOOKUP("industry|PM25|Asthma symptoms cough", US_national_yearly!$D:$AM, 10, FALSE), 1)</f>
        <v>9.57159827543861E-2</v>
      </c>
      <c r="F6" s="7">
        <f>$B6 * IFERROR(VLOOKUP("industry|PM25|Asthma symptoms cough", US_national_yearly!$D:$AM, 14, FALSE) / VLOOKUP("industry|PM25|Asthma symptoms cough", US_national_yearly!$D:$AM, 10, FALSE), 1)</f>
        <v>9.57159827543861E-2</v>
      </c>
      <c r="G6" s="7">
        <f>$B6 * IFERROR(VLOOKUP("industry|PM25|Asthma symptoms cough", US_national_yearly!$D:$AM, 15, FALSE) / VLOOKUP("industry|PM25|Asthma symptoms cough", US_national_yearly!$D:$AM, 10, FALSE), 1)</f>
        <v>9.57159827543861E-2</v>
      </c>
      <c r="H6" s="7">
        <f>$B6 * IFERROR(VLOOKUP("industry|PM25|Asthma symptoms cough", US_national_yearly!$D:$AM, 16, FALSE) / VLOOKUP("industry|PM25|Asthma symptoms cough", US_national_yearly!$D:$AM, 10, FALSE), 1)</f>
        <v>9.57159827543861E-2</v>
      </c>
      <c r="I6" s="7">
        <f>$B6 * IFERROR(VLOOKUP("industry|PM25|Asthma symptoms cough", US_national_yearly!$D:$AM, 17, FALSE) / VLOOKUP("industry|PM25|Asthma symptoms cough", US_national_yearly!$D:$AM, 10, FALSE), 1)</f>
        <v>9.57159827543861E-2</v>
      </c>
      <c r="J6" s="7">
        <f>$B6 * IFERROR(VLOOKUP("industry|PM25|Asthma symptoms cough", US_national_yearly!$D:$AM, 18, FALSE) / VLOOKUP("industry|PM25|Asthma symptoms cough", US_national_yearly!$D:$AM, 10, FALSE), 1)</f>
        <v>9.57159827543861E-2</v>
      </c>
      <c r="K6" s="7">
        <f>$B6 * IFERROR(VLOOKUP("industry|PM25|Asthma symptoms cough", US_national_yearly!$D:$AM, 19, FALSE) / VLOOKUP("industry|PM25|Asthma symptoms cough", US_national_yearly!$D:$AM, 10, FALSE), 1)</f>
        <v>9.57159827543861E-2</v>
      </c>
      <c r="L6" s="7">
        <f>$B6 * IFERROR(VLOOKUP("industry|PM25|Asthma symptoms cough", US_national_yearly!$D:$AM, 20, FALSE) / VLOOKUP("industry|PM25|Asthma symptoms cough", US_national_yearly!$D:$AM, 10, FALSE), 1)</f>
        <v>9.57159827543861E-2</v>
      </c>
      <c r="M6" s="7">
        <f>$B6 * IFERROR(VLOOKUP("industry|PM25|Asthma symptoms cough", US_national_yearly!$D:$AM, 21, FALSE) / VLOOKUP("industry|PM25|Asthma symptoms cough", US_national_yearly!$D:$AM, 10, FALSE), 1)</f>
        <v>9.57159827543861E-2</v>
      </c>
      <c r="N6" s="7">
        <f>$B6 * IFERROR(VLOOKUP("industry|PM25|Asthma symptoms cough", US_national_yearly!$D:$AM, 22, FALSE) / VLOOKUP("industry|PM25|Asthma symptoms cough", US_national_yearly!$D:$AM, 10, FALSE), 1)</f>
        <v>9.57159827543861E-2</v>
      </c>
      <c r="O6" s="7">
        <f>$B6 * IFERROR(VLOOKUP("industry|PM25|Asthma symptoms cough", US_national_yearly!$D:$AM, 23, FALSE) / VLOOKUP("industry|PM25|Asthma symptoms cough", US_national_yearly!$D:$AM, 10, FALSE), 1)</f>
        <v>9.57159827543861E-2</v>
      </c>
      <c r="P6" s="7">
        <f>$B6 * IFERROR(VLOOKUP("industry|PM25|Asthma symptoms cough", US_national_yearly!$D:$AM, 24, FALSE) / VLOOKUP("industry|PM25|Asthma symptoms cough", US_national_yearly!$D:$AM, 10, FALSE), 1)</f>
        <v>9.57159827543861E-2</v>
      </c>
      <c r="Q6" s="7">
        <f>$B6 * IFERROR(VLOOKUP("industry|PM25|Asthma symptoms cough", US_national_yearly!$D:$AM, 25, FALSE) / VLOOKUP("industry|PM25|Asthma symptoms cough", US_national_yearly!$D:$AM, 10, FALSE), 1)</f>
        <v>9.57159827543861E-2</v>
      </c>
      <c r="R6" s="7">
        <f>$B6 * IFERROR(VLOOKUP("industry|PM25|Asthma symptoms cough", US_national_yearly!$D:$AM, 26, FALSE) / VLOOKUP("industry|PM25|Asthma symptoms cough", US_national_yearly!$D:$AM, 10, FALSE), 1)</f>
        <v>9.57159827543861E-2</v>
      </c>
      <c r="S6" s="7">
        <f>$B6 * IFERROR(VLOOKUP("industry|PM25|Asthma symptoms cough", US_national_yearly!$D:$AM, 27, FALSE) / VLOOKUP("industry|PM25|Asthma symptoms cough", US_national_yearly!$D:$AM, 10, FALSE), 1)</f>
        <v>9.57159827543861E-2</v>
      </c>
      <c r="T6" s="7">
        <f>$B6 * IFERROR(VLOOKUP("industry|PM25|Asthma symptoms cough", US_national_yearly!$D:$AM, 28, FALSE) / VLOOKUP("industry|PM25|Asthma symptoms cough", US_national_yearly!$D:$AM, 10, FALSE), 1)</f>
        <v>9.57159827543861E-2</v>
      </c>
      <c r="U6" s="7">
        <f>$B6 * IFERROR(VLOOKUP("industry|PM25|Asthma symptoms cough", US_national_yearly!$D:$AM, 29, FALSE) / VLOOKUP("industry|PM25|Asthma symptoms cough", US_national_yearly!$D:$AM, 10, FALSE), 1)</f>
        <v>9.57159827543861E-2</v>
      </c>
      <c r="V6" s="7">
        <f>$B6 * IFERROR(VLOOKUP("industry|PM25|Asthma symptoms cough", US_national_yearly!$D:$AM, 30, FALSE) / VLOOKUP("industry|PM25|Asthma symptoms cough", US_national_yearly!$D:$AM, 10, FALSE), 1)</f>
        <v>9.57159827543861E-2</v>
      </c>
      <c r="W6" s="7">
        <f>$B6 * IFERROR(VLOOKUP("industry|PM25|Asthma symptoms cough", US_national_yearly!$D:$AM, 31, FALSE) / VLOOKUP("industry|PM25|Asthma symptoms cough", US_national_yearly!$D:$AM, 10, FALSE), 1)</f>
        <v>9.57159827543861E-2</v>
      </c>
      <c r="X6" s="7">
        <f>$B6 * IFERROR(VLOOKUP("industry|PM25|Asthma symptoms cough", US_national_yearly!$D:$AM, 32, FALSE) / VLOOKUP("industry|PM25|Asthma symptoms cough", US_national_yearly!$D:$AM, 10, FALSE), 1)</f>
        <v>9.57159827543861E-2</v>
      </c>
      <c r="Y6" s="7">
        <f>$B6 * IFERROR(VLOOKUP("industry|PM25|Asthma symptoms cough", US_national_yearly!$D:$AM, 33, FALSE) / VLOOKUP("industry|PM25|Asthma symptoms cough", US_national_yearly!$D:$AM, 10, FALSE), 1)</f>
        <v>9.57159827543861E-2</v>
      </c>
      <c r="Z6" s="7">
        <f>$B6 * IFERROR(VLOOKUP("industry|PM25|Asthma symptoms cough", US_national_yearly!$D:$AM, 34, FALSE) / VLOOKUP("industry|PM25|Asthma symptoms cough", US_national_yearly!$D:$AM, 10, FALSE), 1)</f>
        <v>9.57159827543861E-2</v>
      </c>
      <c r="AA6" s="7">
        <f>$B6 * IFERROR(VLOOKUP("industry|PM25|Asthma symptoms cough", US_national_yearly!$D:$AM, 35, FALSE) / VLOOKUP("industry|PM25|Asthma symptoms cough", US_national_yearly!$D:$AM, 10, FALSE), 1)</f>
        <v>9.57159827543861E-2</v>
      </c>
      <c r="AB6" s="7">
        <f>$B6 * IFERROR(VLOOKUP("industry|PM25|Asthma symptoms cough", US_national_yearly!$D:$AM, 36, FALSE) / VLOOKUP("industry|PM25|Asthma symptoms cough", US_national_yearly!$D:$AM, 10, FALSE), 1)</f>
        <v>9.57159827543861E-2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0.12887368350868503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0.12887368350868503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0.12887368350868503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0.12887368350868503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0.12887368350868503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0.12887368350868503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0.12887368350868503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0.12887368350868503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0.12887368350868503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0.12887368350868503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0.12887368350868503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0.12887368350868503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0.12887368350868503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0.12887368350868503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0.12887368350868503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0.12887368350868503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0.12887368350868503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0.12887368350868503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0.12887368350868503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0.12887368350868503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0.12887368350868503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0.12887368350868503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0.12887368350868503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0.12887368350868503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0.12887368350868503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0.12887368350868503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0.12887368350868503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0.19697464601176762</v>
      </c>
      <c r="C8" s="7">
        <f>$B8 * IFERROR(VLOOKUP("industry|PM25|Asthma symptoms wheeze", US_national_yearly!$D:$AM, 11, FALSE) / VLOOKUP("industry|PM25|Asthma symptoms wheeze", US_national_yearly!$D:$AM, 10, FALSE), 1)</f>
        <v>0.19697464601176762</v>
      </c>
      <c r="D8" s="7">
        <f>$B8 * IFERROR(VLOOKUP("industry|PM25|Asthma symptoms wheeze", US_national_yearly!$D:$AM, 12, FALSE) / VLOOKUP("industry|PM25|Asthma symptoms wheeze", US_national_yearly!$D:$AM, 10, FALSE), 1)</f>
        <v>0.19697464601176762</v>
      </c>
      <c r="E8" s="7">
        <f>$B8 * IFERROR(VLOOKUP("industry|PM25|Asthma symptoms wheeze", US_national_yearly!$D:$AM, 13, FALSE) / VLOOKUP("industry|PM25|Asthma symptoms wheeze", US_national_yearly!$D:$AM, 10, FALSE), 1)</f>
        <v>0.19697464601176762</v>
      </c>
      <c r="F8" s="7">
        <f>$B8 * IFERROR(VLOOKUP("industry|PM25|Asthma symptoms wheeze", US_national_yearly!$D:$AM, 14, FALSE) / VLOOKUP("industry|PM25|Asthma symptoms wheeze", US_national_yearly!$D:$AM, 10, FALSE), 1)</f>
        <v>0.19697464601176762</v>
      </c>
      <c r="G8" s="7">
        <f>$B8 * IFERROR(VLOOKUP("industry|PM25|Asthma symptoms wheeze", US_national_yearly!$D:$AM, 15, FALSE) / VLOOKUP("industry|PM25|Asthma symptoms wheeze", US_national_yearly!$D:$AM, 10, FALSE), 1)</f>
        <v>0.19697464601176762</v>
      </c>
      <c r="H8" s="7">
        <f>$B8 * IFERROR(VLOOKUP("industry|PM25|Asthma symptoms wheeze", US_national_yearly!$D:$AM, 16, FALSE) / VLOOKUP("industry|PM25|Asthma symptoms wheeze", US_national_yearly!$D:$AM, 10, FALSE), 1)</f>
        <v>0.19697464601176762</v>
      </c>
      <c r="I8" s="7">
        <f>$B8 * IFERROR(VLOOKUP("industry|PM25|Asthma symptoms wheeze", US_national_yearly!$D:$AM, 17, FALSE) / VLOOKUP("industry|PM25|Asthma symptoms wheeze", US_national_yearly!$D:$AM, 10, FALSE), 1)</f>
        <v>0.19697464601176762</v>
      </c>
      <c r="J8" s="7">
        <f>$B8 * IFERROR(VLOOKUP("industry|PM25|Asthma symptoms wheeze", US_national_yearly!$D:$AM, 18, FALSE) / VLOOKUP("industry|PM25|Asthma symptoms wheeze", US_national_yearly!$D:$AM, 10, FALSE), 1)</f>
        <v>0.19697464601176762</v>
      </c>
      <c r="K8" s="7">
        <f>$B8 * IFERROR(VLOOKUP("industry|PM25|Asthma symptoms wheeze", US_national_yearly!$D:$AM, 19, FALSE) / VLOOKUP("industry|PM25|Asthma symptoms wheeze", US_national_yearly!$D:$AM, 10, FALSE), 1)</f>
        <v>0.19697464601176762</v>
      </c>
      <c r="L8" s="7">
        <f>$B8 * IFERROR(VLOOKUP("industry|PM25|Asthma symptoms wheeze", US_national_yearly!$D:$AM, 20, FALSE) / VLOOKUP("industry|PM25|Asthma symptoms wheeze", US_national_yearly!$D:$AM, 10, FALSE), 1)</f>
        <v>0.19697464601176762</v>
      </c>
      <c r="M8" s="7">
        <f>$B8 * IFERROR(VLOOKUP("industry|PM25|Asthma symptoms wheeze", US_national_yearly!$D:$AM, 21, FALSE) / VLOOKUP("industry|PM25|Asthma symptoms wheeze", US_national_yearly!$D:$AM, 10, FALSE), 1)</f>
        <v>0.19697464601176762</v>
      </c>
      <c r="N8" s="7">
        <f>$B8 * IFERROR(VLOOKUP("industry|PM25|Asthma symptoms wheeze", US_national_yearly!$D:$AM, 22, FALSE) / VLOOKUP("industry|PM25|Asthma symptoms wheeze", US_national_yearly!$D:$AM, 10, FALSE), 1)</f>
        <v>0.19697464601176762</v>
      </c>
      <c r="O8" s="7">
        <f>$B8 * IFERROR(VLOOKUP("industry|PM25|Asthma symptoms wheeze", US_national_yearly!$D:$AM, 23, FALSE) / VLOOKUP("industry|PM25|Asthma symptoms wheeze", US_national_yearly!$D:$AM, 10, FALSE), 1)</f>
        <v>0.19697464601176762</v>
      </c>
      <c r="P8" s="7">
        <f>$B8 * IFERROR(VLOOKUP("industry|PM25|Asthma symptoms wheeze", US_national_yearly!$D:$AM, 24, FALSE) / VLOOKUP("industry|PM25|Asthma symptoms wheeze", US_national_yearly!$D:$AM, 10, FALSE), 1)</f>
        <v>0.19697464601176762</v>
      </c>
      <c r="Q8" s="7">
        <f>$B8 * IFERROR(VLOOKUP("industry|PM25|Asthma symptoms wheeze", US_national_yearly!$D:$AM, 25, FALSE) / VLOOKUP("industry|PM25|Asthma symptoms wheeze", US_national_yearly!$D:$AM, 10, FALSE), 1)</f>
        <v>0.19697464601176762</v>
      </c>
      <c r="R8" s="7">
        <f>$B8 * IFERROR(VLOOKUP("industry|PM25|Asthma symptoms wheeze", US_national_yearly!$D:$AM, 26, FALSE) / VLOOKUP("industry|PM25|Asthma symptoms wheeze", US_national_yearly!$D:$AM, 10, FALSE), 1)</f>
        <v>0.19697464601176762</v>
      </c>
      <c r="S8" s="7">
        <f>$B8 * IFERROR(VLOOKUP("industry|PM25|Asthma symptoms wheeze", US_national_yearly!$D:$AM, 27, FALSE) / VLOOKUP("industry|PM25|Asthma symptoms wheeze", US_national_yearly!$D:$AM, 10, FALSE), 1)</f>
        <v>0.19697464601176762</v>
      </c>
      <c r="T8" s="7">
        <f>$B8 * IFERROR(VLOOKUP("industry|PM25|Asthma symptoms wheeze", US_national_yearly!$D:$AM, 28, FALSE) / VLOOKUP("industry|PM25|Asthma symptoms wheeze", US_national_yearly!$D:$AM, 10, FALSE), 1)</f>
        <v>0.19697464601176762</v>
      </c>
      <c r="U8" s="7">
        <f>$B8 * IFERROR(VLOOKUP("industry|PM25|Asthma symptoms wheeze", US_national_yearly!$D:$AM, 29, FALSE) / VLOOKUP("industry|PM25|Asthma symptoms wheeze", US_national_yearly!$D:$AM, 10, FALSE), 1)</f>
        <v>0.19697464601176762</v>
      </c>
      <c r="V8" s="7">
        <f>$B8 * IFERROR(VLOOKUP("industry|PM25|Asthma symptoms wheeze", US_national_yearly!$D:$AM, 30, FALSE) / VLOOKUP("industry|PM25|Asthma symptoms wheeze", US_national_yearly!$D:$AM, 10, FALSE), 1)</f>
        <v>0.19697464601176762</v>
      </c>
      <c r="W8" s="7">
        <f>$B8 * IFERROR(VLOOKUP("industry|PM25|Asthma symptoms wheeze", US_national_yearly!$D:$AM, 31, FALSE) / VLOOKUP("industry|PM25|Asthma symptoms wheeze", US_national_yearly!$D:$AM, 10, FALSE), 1)</f>
        <v>0.19697464601176762</v>
      </c>
      <c r="X8" s="7">
        <f>$B8 * IFERROR(VLOOKUP("industry|PM25|Asthma symptoms wheeze", US_national_yearly!$D:$AM, 32, FALSE) / VLOOKUP("industry|PM25|Asthma symptoms wheeze", US_national_yearly!$D:$AM, 10, FALSE), 1)</f>
        <v>0.19697464601176762</v>
      </c>
      <c r="Y8" s="7">
        <f>$B8 * IFERROR(VLOOKUP("industry|PM25|Asthma symptoms wheeze", US_national_yearly!$D:$AM, 33, FALSE) / VLOOKUP("industry|PM25|Asthma symptoms wheeze", US_national_yearly!$D:$AM, 10, FALSE), 1)</f>
        <v>0.19697464601176762</v>
      </c>
      <c r="Z8" s="7">
        <f>$B8 * IFERROR(VLOOKUP("industry|PM25|Asthma symptoms wheeze", US_national_yearly!$D:$AM, 34, FALSE) / VLOOKUP("industry|PM25|Asthma symptoms wheeze", US_national_yearly!$D:$AM, 10, FALSE), 1)</f>
        <v>0.19697464601176762</v>
      </c>
      <c r="AA8" s="7">
        <f>$B8 * IFERROR(VLOOKUP("industry|PM25|Asthma symptoms wheeze", US_national_yearly!$D:$AM, 35, FALSE) / VLOOKUP("industry|PM25|Asthma symptoms wheeze", US_national_yearly!$D:$AM, 10, FALSE), 1)</f>
        <v>0.19697464601176762</v>
      </c>
      <c r="AB8" s="7">
        <f>$B8 * IFERROR(VLOOKUP("industry|PM25|Asthma symptoms wheeze", US_national_yearly!$D:$AM, 36, FALSE) / VLOOKUP("industry|PM25|Asthma symptoms wheeze", US_national_yearly!$D:$AM, 10, FALSE), 1)</f>
        <v>0.19697464601176762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2.8313557412993611E-3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2.8474309437606696E-3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2.8635061462219781E-3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2.8795813486832871E-3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2.895656551144596E-3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2.9130368771383185E-3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2.9304172031320414E-3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2.9469046288942004E-3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2.9633920546563593E-3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2.9798794804185178E-3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2.9963669061806772E-3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3.0128543319428362E-3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3.0245154263323689E-3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3.0361765207219012E-3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3.0478376151114339E-3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3.0594987095009661E-3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3.0711598038904988E-3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3.0821582775512652E-3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3.0931567512120319E-3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3.1041552248727987E-3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3.115153698533565E-3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3.1261521721943322E-3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3.1367421033028807E-3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3.1473320344114295E-3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3.1579219655199788E-3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3.1685118966285281E-3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3.1791018277370769E-3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1.7804401804389917E-2</v>
      </c>
      <c r="C13" s="7">
        <f>$B13 * IFERROR(VLOOKUP("industry|PM25|Non-fatal heart attacks", US_national_yearly!$D:$AM, 11, FALSE) / VLOOKUP("industry|PM25|Non-fatal heart attacks", US_national_yearly!$D:$AM, 10, FALSE), 1)</f>
        <v>1.8322692609335126E-2</v>
      </c>
      <c r="D13" s="7">
        <f>$B13 * IFERROR(VLOOKUP("industry|PM25|Non-fatal heart attacks", US_national_yearly!$D:$AM, 12, FALSE) / VLOOKUP("industry|PM25|Non-fatal heart attacks", US_national_yearly!$D:$AM, 10, FALSE), 1)</f>
        <v>1.8840983414280331E-2</v>
      </c>
      <c r="E13" s="7">
        <f>$B13 * IFERROR(VLOOKUP("industry|PM25|Non-fatal heart attacks", US_national_yearly!$D:$AM, 13, FALSE) / VLOOKUP("industry|PM25|Non-fatal heart attacks", US_national_yearly!$D:$AM, 10, FALSE), 1)</f>
        <v>1.9359274219225536E-2</v>
      </c>
      <c r="F13" s="7">
        <f>$B13 * IFERROR(VLOOKUP("industry|PM25|Non-fatal heart attacks", US_national_yearly!$D:$AM, 14, FALSE) / VLOOKUP("industry|PM25|Non-fatal heart attacks", US_national_yearly!$D:$AM, 10, FALSE), 1)</f>
        <v>1.9877565024170745E-2</v>
      </c>
      <c r="G13" s="7">
        <f>$B13 * IFERROR(VLOOKUP("industry|PM25|Non-fatal heart attacks", US_national_yearly!$D:$AM, 15, FALSE) / VLOOKUP("industry|PM25|Non-fatal heart attacks", US_national_yearly!$D:$AM, 10, FALSE), 1)</f>
        <v>2.0366867986738712E-2</v>
      </c>
      <c r="H13" s="7">
        <f>$B13 * IFERROR(VLOOKUP("industry|PM25|Non-fatal heart attacks", US_national_yearly!$D:$AM, 16, FALSE) / VLOOKUP("industry|PM25|Non-fatal heart attacks", US_national_yearly!$D:$AM, 10, FALSE), 1)</f>
        <v>2.0856170949306682E-2</v>
      </c>
      <c r="I13" s="7">
        <f>$B13 * IFERROR(VLOOKUP("industry|PM25|Non-fatal heart attacks", US_national_yearly!$D:$AM, 17, FALSE) / VLOOKUP("industry|PM25|Non-fatal heart attacks", US_national_yearly!$D:$AM, 10, FALSE), 1)</f>
        <v>2.1251287610406872E-2</v>
      </c>
      <c r="J13" s="7">
        <f>$B13 * IFERROR(VLOOKUP("industry|PM25|Non-fatal heart attacks", US_national_yearly!$D:$AM, 18, FALSE) / VLOOKUP("industry|PM25|Non-fatal heart attacks", US_national_yearly!$D:$AM, 10, FALSE), 1)</f>
        <v>2.1646404271507054E-2</v>
      </c>
      <c r="K13" s="7">
        <f>$B13 * IFERROR(VLOOKUP("industry|PM25|Non-fatal heart attacks", US_national_yearly!$D:$AM, 19, FALSE) / VLOOKUP("industry|PM25|Non-fatal heart attacks", US_national_yearly!$D:$AM, 10, FALSE), 1)</f>
        <v>2.204152093260724E-2</v>
      </c>
      <c r="L13" s="7">
        <f>$B13 * IFERROR(VLOOKUP("industry|PM25|Non-fatal heart attacks", US_national_yearly!$D:$AM, 20, FALSE) / VLOOKUP("industry|PM25|Non-fatal heart attacks", US_national_yearly!$D:$AM, 10, FALSE), 1)</f>
        <v>2.2436637593707422E-2</v>
      </c>
      <c r="M13" s="7">
        <f>$B13 * IFERROR(VLOOKUP("industry|PM25|Non-fatal heart attacks", US_national_yearly!$D:$AM, 21, FALSE) / VLOOKUP("industry|PM25|Non-fatal heart attacks", US_national_yearly!$D:$AM, 10, FALSE), 1)</f>
        <v>2.2831754254807608E-2</v>
      </c>
      <c r="N13" s="7">
        <f>$B13 * IFERROR(VLOOKUP("industry|PM25|Non-fatal heart attacks", US_national_yearly!$D:$AM, 22, FALSE) / VLOOKUP("industry|PM25|Non-fatal heart attacks", US_national_yearly!$D:$AM, 10, FALSE), 1)</f>
        <v>2.3087219180621628E-2</v>
      </c>
      <c r="O13" s="7">
        <f>$B13 * IFERROR(VLOOKUP("industry|PM25|Non-fatal heart attacks", US_national_yearly!$D:$AM, 23, FALSE) / VLOOKUP("industry|PM25|Non-fatal heart attacks", US_national_yearly!$D:$AM, 10, FALSE), 1)</f>
        <v>2.3342684106435647E-2</v>
      </c>
      <c r="P13" s="7">
        <f>$B13 * IFERROR(VLOOKUP("industry|PM25|Non-fatal heart attacks", US_national_yearly!$D:$AM, 24, FALSE) / VLOOKUP("industry|PM25|Non-fatal heart attacks", US_national_yearly!$D:$AM, 10, FALSE), 1)</f>
        <v>2.3598149032249667E-2</v>
      </c>
      <c r="Q13" s="7">
        <f>$B13 * IFERROR(VLOOKUP("industry|PM25|Non-fatal heart attacks", US_national_yearly!$D:$AM, 25, FALSE) / VLOOKUP("industry|PM25|Non-fatal heart attacks", US_national_yearly!$D:$AM, 10, FALSE), 1)</f>
        <v>2.3853613958063683E-2</v>
      </c>
      <c r="R13" s="7">
        <f>$B13 * IFERROR(VLOOKUP("industry|PM25|Non-fatal heart attacks", US_national_yearly!$D:$AM, 26, FALSE) / VLOOKUP("industry|PM25|Non-fatal heart attacks", US_national_yearly!$D:$AM, 10, FALSE), 1)</f>
        <v>2.4109078883877703E-2</v>
      </c>
      <c r="S13" s="7">
        <f>$B13 * IFERROR(VLOOKUP("industry|PM25|Non-fatal heart attacks", US_national_yearly!$D:$AM, 27, FALSE) / VLOOKUP("industry|PM25|Non-fatal heart attacks", US_national_yearly!$D:$AM, 10, FALSE), 1)</f>
        <v>2.4245523668877441E-2</v>
      </c>
      <c r="T13" s="7">
        <f>$B13 * IFERROR(VLOOKUP("industry|PM25|Non-fatal heart attacks", US_national_yearly!$D:$AM, 28, FALSE) / VLOOKUP("industry|PM25|Non-fatal heart attacks", US_national_yearly!$D:$AM, 10, FALSE), 1)</f>
        <v>2.4381968453877186E-2</v>
      </c>
      <c r="U13" s="7">
        <f>$B13 * IFERROR(VLOOKUP("industry|PM25|Non-fatal heart attacks", US_national_yearly!$D:$AM, 29, FALSE) / VLOOKUP("industry|PM25|Non-fatal heart attacks", US_national_yearly!$D:$AM, 10, FALSE), 1)</f>
        <v>2.4518413238876925E-2</v>
      </c>
      <c r="V13" s="7">
        <f>$B13 * IFERROR(VLOOKUP("industry|PM25|Non-fatal heart attacks", US_national_yearly!$D:$AM, 30, FALSE) / VLOOKUP("industry|PM25|Non-fatal heart attacks", US_national_yearly!$D:$AM, 10, FALSE), 1)</f>
        <v>2.4654858023876663E-2</v>
      </c>
      <c r="W13" s="7">
        <f>$B13 * IFERROR(VLOOKUP("industry|PM25|Non-fatal heart attacks", US_national_yearly!$D:$AM, 31, FALSE) / VLOOKUP("industry|PM25|Non-fatal heart attacks", US_national_yearly!$D:$AM, 10, FALSE), 1)</f>
        <v>2.4791302808876408E-2</v>
      </c>
      <c r="X13" s="7">
        <f>$B13 * IFERROR(VLOOKUP("industry|PM25|Non-fatal heart attacks", US_national_yearly!$D:$AM, 32, FALSE) / VLOOKUP("industry|PM25|Non-fatal heart attacks", US_national_yearly!$D:$AM, 10, FALSE), 1)</f>
        <v>2.4896610013435256E-2</v>
      </c>
      <c r="Y13" s="7">
        <f>$B13 * IFERROR(VLOOKUP("industry|PM25|Non-fatal heart attacks", US_national_yearly!$D:$AM, 33, FALSE) / VLOOKUP("industry|PM25|Non-fatal heart attacks", US_national_yearly!$D:$AM, 10, FALSE), 1)</f>
        <v>2.5001917217994097E-2</v>
      </c>
      <c r="Z13" s="7">
        <f>$B13 * IFERROR(VLOOKUP("industry|PM25|Non-fatal heart attacks", US_national_yearly!$D:$AM, 34, FALSE) / VLOOKUP("industry|PM25|Non-fatal heart attacks", US_national_yearly!$D:$AM, 10, FALSE), 1)</f>
        <v>2.5107224422552945E-2</v>
      </c>
      <c r="AA13" s="7">
        <f>$B13 * IFERROR(VLOOKUP("industry|PM25|Non-fatal heart attacks", US_national_yearly!$D:$AM, 35, FALSE) / VLOOKUP("industry|PM25|Non-fatal heart attacks", US_national_yearly!$D:$AM, 10, FALSE), 1)</f>
        <v>2.5212531627111793E-2</v>
      </c>
      <c r="AB13" s="7">
        <f>$B13 * IFERROR(VLOOKUP("industry|PM25|Non-fatal heart attacks", US_national_yearly!$D:$AM, 36, FALSE) / VLOOKUP("industry|PM25|Non-fatal heart attacks", US_national_yearly!$D:$AM, 10, FALSE), 1)</f>
        <v>2.5317838831670637E-2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12.377339788044472</v>
      </c>
      <c r="C14" s="7">
        <f>$B14 * IFERROR(VLOOKUP("industry|PM25|Minor restricted activity days", US_national_yearly!$D:$AM, 11, FALSE) / VLOOKUP("industry|PM25|Minor restricted activity days", US_national_yearly!$D:$AM, 10, FALSE), 1)</f>
        <v>12.407653944801037</v>
      </c>
      <c r="D14" s="7">
        <f>$B14 * IFERROR(VLOOKUP("industry|PM25|Minor restricted activity days", US_national_yearly!$D:$AM, 12, FALSE) / VLOOKUP("industry|PM25|Minor restricted activity days", US_national_yearly!$D:$AM, 10, FALSE), 1)</f>
        <v>12.437968101557606</v>
      </c>
      <c r="E14" s="7">
        <f>$B14 * IFERROR(VLOOKUP("industry|PM25|Minor restricted activity days", US_national_yearly!$D:$AM, 13, FALSE) / VLOOKUP("industry|PM25|Minor restricted activity days", US_national_yearly!$D:$AM, 10, FALSE), 1)</f>
        <v>12.468282258314174</v>
      </c>
      <c r="F14" s="7">
        <f>$B14 * IFERROR(VLOOKUP("industry|PM25|Minor restricted activity days", US_national_yearly!$D:$AM, 14, FALSE) / VLOOKUP("industry|PM25|Minor restricted activity days", US_national_yearly!$D:$AM, 10, FALSE), 1)</f>
        <v>12.49859641507074</v>
      </c>
      <c r="G14" s="7">
        <f>$B14 * IFERROR(VLOOKUP("industry|PM25|Minor restricted activity days", US_national_yearly!$D:$AM, 15, FALSE) / VLOOKUP("industry|PM25|Minor restricted activity days", US_national_yearly!$D:$AM, 10, FALSE), 1)</f>
        <v>12.543092670269836</v>
      </c>
      <c r="H14" s="7">
        <f>$B14 * IFERROR(VLOOKUP("industry|PM25|Minor restricted activity days", US_national_yearly!$D:$AM, 16, FALSE) / VLOOKUP("industry|PM25|Minor restricted activity days", US_national_yearly!$D:$AM, 10, FALSE), 1)</f>
        <v>12.587588925468928</v>
      </c>
      <c r="I14" s="7">
        <f>$B14 * IFERROR(VLOOKUP("industry|PM25|Minor restricted activity days", US_national_yearly!$D:$AM, 17, FALSE) / VLOOKUP("industry|PM25|Minor restricted activity days", US_national_yearly!$D:$AM, 10, FALSE), 1)</f>
        <v>12.663176621845242</v>
      </c>
      <c r="J14" s="7">
        <f>$B14 * IFERROR(VLOOKUP("industry|PM25|Minor restricted activity days", US_national_yearly!$D:$AM, 18, FALSE) / VLOOKUP("industry|PM25|Minor restricted activity days", US_national_yearly!$D:$AM, 10, FALSE), 1)</f>
        <v>12.738764318221557</v>
      </c>
      <c r="K14" s="7">
        <f>$B14 * IFERROR(VLOOKUP("industry|PM25|Minor restricted activity days", US_national_yearly!$D:$AM, 19, FALSE) / VLOOKUP("industry|PM25|Minor restricted activity days", US_national_yearly!$D:$AM, 10, FALSE), 1)</f>
        <v>12.814352014597869</v>
      </c>
      <c r="L14" s="7">
        <f>$B14 * IFERROR(VLOOKUP("industry|PM25|Minor restricted activity days", US_national_yearly!$D:$AM, 20, FALSE) / VLOOKUP("industry|PM25|Minor restricted activity days", US_national_yearly!$D:$AM, 10, FALSE), 1)</f>
        <v>12.889939710974181</v>
      </c>
      <c r="M14" s="7">
        <f>$B14 * IFERROR(VLOOKUP("industry|PM25|Minor restricted activity days", US_national_yearly!$D:$AM, 21, FALSE) / VLOOKUP("industry|PM25|Minor restricted activity days", US_national_yearly!$D:$AM, 10, FALSE), 1)</f>
        <v>12.965527407350494</v>
      </c>
      <c r="N14" s="7">
        <f>$B14 * IFERROR(VLOOKUP("industry|PM25|Minor restricted activity days", US_national_yearly!$D:$AM, 22, FALSE) / VLOOKUP("industry|PM25|Minor restricted activity days", US_national_yearly!$D:$AM, 10, FALSE), 1)</f>
        <v>13.068787664199988</v>
      </c>
      <c r="O14" s="7">
        <f>$B14 * IFERROR(VLOOKUP("industry|PM25|Minor restricted activity days", US_national_yearly!$D:$AM, 23, FALSE) / VLOOKUP("industry|PM25|Minor restricted activity days", US_national_yearly!$D:$AM, 10, FALSE), 1)</f>
        <v>13.172047921049492</v>
      </c>
      <c r="P14" s="7">
        <f>$B14 * IFERROR(VLOOKUP("industry|PM25|Minor restricted activity days", US_national_yearly!$D:$AM, 24, FALSE) / VLOOKUP("industry|PM25|Minor restricted activity days", US_national_yearly!$D:$AM, 10, FALSE), 1)</f>
        <v>13.275308177898985</v>
      </c>
      <c r="Q14" s="7">
        <f>$B14 * IFERROR(VLOOKUP("industry|PM25|Minor restricted activity days", US_national_yearly!$D:$AM, 25, FALSE) / VLOOKUP("industry|PM25|Minor restricted activity days", US_national_yearly!$D:$AM, 10, FALSE), 1)</f>
        <v>13.378568434748493</v>
      </c>
      <c r="R14" s="7">
        <f>$B14 * IFERROR(VLOOKUP("industry|PM25|Minor restricted activity days", US_national_yearly!$D:$AM, 26, FALSE) / VLOOKUP("industry|PM25|Minor restricted activity days", US_national_yearly!$D:$AM, 10, FALSE), 1)</f>
        <v>13.481828691597986</v>
      </c>
      <c r="S14" s="7">
        <f>$B14 * IFERROR(VLOOKUP("industry|PM25|Minor restricted activity days", US_national_yearly!$D:$AM, 27, FALSE) / VLOOKUP("industry|PM25|Minor restricted activity days", US_national_yearly!$D:$AM, 10, FALSE), 1)</f>
        <v>13.586080287298016</v>
      </c>
      <c r="T14" s="7">
        <f>$B14 * IFERROR(VLOOKUP("industry|PM25|Minor restricted activity days", US_national_yearly!$D:$AM, 28, FALSE) / VLOOKUP("industry|PM25|Minor restricted activity days", US_national_yearly!$D:$AM, 10, FALSE), 1)</f>
        <v>13.690331882998047</v>
      </c>
      <c r="U14" s="7">
        <f>$B14 * IFERROR(VLOOKUP("industry|PM25|Minor restricted activity days", US_national_yearly!$D:$AM, 29, FALSE) / VLOOKUP("industry|PM25|Minor restricted activity days", US_national_yearly!$D:$AM, 10, FALSE), 1)</f>
        <v>13.794583478698074</v>
      </c>
      <c r="V14" s="7">
        <f>$B14 * IFERROR(VLOOKUP("industry|PM25|Minor restricted activity days", US_national_yearly!$D:$AM, 30, FALSE) / VLOOKUP("industry|PM25|Minor restricted activity days", US_national_yearly!$D:$AM, 10, FALSE), 1)</f>
        <v>13.898835074398104</v>
      </c>
      <c r="W14" s="7">
        <f>$B14 * IFERROR(VLOOKUP("industry|PM25|Minor restricted activity days", US_national_yearly!$D:$AM, 31, FALSE) / VLOOKUP("industry|PM25|Minor restricted activity days", US_national_yearly!$D:$AM, 10, FALSE), 1)</f>
        <v>14.003086670098135</v>
      </c>
      <c r="X14" s="7">
        <f>$B14 * IFERROR(VLOOKUP("industry|PM25|Minor restricted activity days", US_national_yearly!$D:$AM, 32, FALSE) / VLOOKUP("industry|PM25|Minor restricted activity days", US_national_yearly!$D:$AM, 10, FALSE), 1)</f>
        <v>14.093677488757436</v>
      </c>
      <c r="Y14" s="7">
        <f>$B14 * IFERROR(VLOOKUP("industry|PM25|Minor restricted activity days", US_national_yearly!$D:$AM, 33, FALSE) / VLOOKUP("industry|PM25|Minor restricted activity days", US_national_yearly!$D:$AM, 10, FALSE), 1)</f>
        <v>14.184268307416739</v>
      </c>
      <c r="Z14" s="7">
        <f>$B14 * IFERROR(VLOOKUP("industry|PM25|Minor restricted activity days", US_national_yearly!$D:$AM, 34, FALSE) / VLOOKUP("industry|PM25|Minor restricted activity days", US_national_yearly!$D:$AM, 10, FALSE), 1)</f>
        <v>14.274859126076043</v>
      </c>
      <c r="AA14" s="7">
        <f>$B14 * IFERROR(VLOOKUP("industry|PM25|Minor restricted activity days", US_national_yearly!$D:$AM, 35, FALSE) / VLOOKUP("industry|PM25|Minor restricted activity days", US_national_yearly!$D:$AM, 10, FALSE), 1)</f>
        <v>14.365449944735348</v>
      </c>
      <c r="AB14" s="7">
        <f>$B14 * IFERROR(VLOOKUP("industry|PM25|Minor restricted activity days", US_national_yearly!$D:$AM, 36, FALSE) / VLOOKUP("industry|PM25|Minor restricted activity days", US_national_yearly!$D:$AM, 10, FALSE), 1)</f>
        <v>14.45604076339465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2.0968116660368401</v>
      </c>
      <c r="C15" s="7">
        <f>$B15 * IFERROR(VLOOKUP("industry|PM25|Work loss days", US_national_yearly!$D:$AM, 11, FALSE) / VLOOKUP("industry|PM25|Work loss days", US_national_yearly!$D:$AM, 10, FALSE), 1)</f>
        <v>2.1033126240704227</v>
      </c>
      <c r="D15" s="7">
        <f>$B15 * IFERROR(VLOOKUP("industry|PM25|Work loss days", US_national_yearly!$D:$AM, 12, FALSE) / VLOOKUP("industry|PM25|Work loss days", US_national_yearly!$D:$AM, 10, FALSE), 1)</f>
        <v>2.1098135821040054</v>
      </c>
      <c r="E15" s="7">
        <f>$B15 * IFERROR(VLOOKUP("industry|PM25|Work loss days", US_national_yearly!$D:$AM, 13, FALSE) / VLOOKUP("industry|PM25|Work loss days", US_national_yearly!$D:$AM, 10, FALSE), 1)</f>
        <v>2.1163145401375876</v>
      </c>
      <c r="F15" s="7">
        <f>$B15 * IFERROR(VLOOKUP("industry|PM25|Work loss days", US_national_yearly!$D:$AM, 14, FALSE) / VLOOKUP("industry|PM25|Work loss days", US_national_yearly!$D:$AM, 10, FALSE), 1)</f>
        <v>2.1228154981711707</v>
      </c>
      <c r="G15" s="7">
        <f>$B15 * IFERROR(VLOOKUP("industry|PM25|Work loss days", US_national_yearly!$D:$AM, 15, FALSE) / VLOOKUP("industry|PM25|Work loss days", US_national_yearly!$D:$AM, 10, FALSE), 1)</f>
        <v>2.1313027835274321</v>
      </c>
      <c r="H15" s="7">
        <f>$B15 * IFERROR(VLOOKUP("industry|PM25|Work loss days", US_national_yearly!$D:$AM, 16, FALSE) / VLOOKUP("industry|PM25|Work loss days", US_national_yearly!$D:$AM, 10, FALSE), 1)</f>
        <v>2.1397900688836931</v>
      </c>
      <c r="I15" s="7">
        <f>$B15 * IFERROR(VLOOKUP("industry|PM25|Work loss days", US_national_yearly!$D:$AM, 17, FALSE) / VLOOKUP("industry|PM25|Work loss days", US_national_yearly!$D:$AM, 10, FALSE), 1)</f>
        <v>2.1522181558410955</v>
      </c>
      <c r="J15" s="7">
        <f>$B15 * IFERROR(VLOOKUP("industry|PM25|Work loss days", US_national_yearly!$D:$AM, 18, FALSE) / VLOOKUP("industry|PM25|Work loss days", US_national_yearly!$D:$AM, 10, FALSE), 1)</f>
        <v>2.1646462427984976</v>
      </c>
      <c r="K15" s="7">
        <f>$B15 * IFERROR(VLOOKUP("industry|PM25|Work loss days", US_national_yearly!$D:$AM, 19, FALSE) / VLOOKUP("industry|PM25|Work loss days", US_national_yearly!$D:$AM, 10, FALSE), 1)</f>
        <v>2.1770743297558992</v>
      </c>
      <c r="L15" s="7">
        <f>$B15 * IFERROR(VLOOKUP("industry|PM25|Work loss days", US_national_yearly!$D:$AM, 20, FALSE) / VLOOKUP("industry|PM25|Work loss days", US_national_yearly!$D:$AM, 10, FALSE), 1)</f>
        <v>2.1895024167133013</v>
      </c>
      <c r="M15" s="7">
        <f>$B15 * IFERROR(VLOOKUP("industry|PM25|Work loss days", US_national_yearly!$D:$AM, 21, FALSE) / VLOOKUP("industry|PM25|Work loss days", US_national_yearly!$D:$AM, 10, FALSE), 1)</f>
        <v>2.2019305036707033</v>
      </c>
      <c r="N15" s="7">
        <f>$B15 * IFERROR(VLOOKUP("industry|PM25|Work loss days", US_national_yearly!$D:$AM, 22, FALSE) / VLOOKUP("industry|PM25|Work loss days", US_national_yearly!$D:$AM, 10, FALSE), 1)</f>
        <v>2.2176131181265224</v>
      </c>
      <c r="O15" s="7">
        <f>$B15 * IFERROR(VLOOKUP("industry|PM25|Work loss days", US_national_yearly!$D:$AM, 23, FALSE) / VLOOKUP("industry|PM25|Work loss days", US_national_yearly!$D:$AM, 10, FALSE), 1)</f>
        <v>2.233295732582341</v>
      </c>
      <c r="P15" s="7">
        <f>$B15 * IFERROR(VLOOKUP("industry|PM25|Work loss days", US_national_yearly!$D:$AM, 24, FALSE) / VLOOKUP("industry|PM25|Work loss days", US_national_yearly!$D:$AM, 10, FALSE), 1)</f>
        <v>2.2489783470381597</v>
      </c>
      <c r="Q15" s="7">
        <f>$B15 * IFERROR(VLOOKUP("industry|PM25|Work loss days", US_national_yearly!$D:$AM, 25, FALSE) / VLOOKUP("industry|PM25|Work loss days", US_national_yearly!$D:$AM, 10, FALSE), 1)</f>
        <v>2.2646609614939788</v>
      </c>
      <c r="R15" s="7">
        <f>$B15 * IFERROR(VLOOKUP("industry|PM25|Work loss days", US_national_yearly!$D:$AM, 26, FALSE) / VLOOKUP("industry|PM25|Work loss days", US_national_yearly!$D:$AM, 10, FALSE), 1)</f>
        <v>2.2803435759497974</v>
      </c>
      <c r="S15" s="7">
        <f>$B15 * IFERROR(VLOOKUP("industry|PM25|Work loss days", US_national_yearly!$D:$AM, 27, FALSE) / VLOOKUP("industry|PM25|Work loss days", US_national_yearly!$D:$AM, 10, FALSE), 1)</f>
        <v>2.2977333720809581</v>
      </c>
      <c r="T15" s="7">
        <f>$B15 * IFERROR(VLOOKUP("industry|PM25|Work loss days", US_national_yearly!$D:$AM, 28, FALSE) / VLOOKUP("industry|PM25|Work loss days", US_national_yearly!$D:$AM, 10, FALSE), 1)</f>
        <v>2.3151231682121183</v>
      </c>
      <c r="U15" s="7">
        <f>$B15 * IFERROR(VLOOKUP("industry|PM25|Work loss days", US_national_yearly!$D:$AM, 29, FALSE) / VLOOKUP("industry|PM25|Work loss days", US_national_yearly!$D:$AM, 10, FALSE), 1)</f>
        <v>2.3325129643432785</v>
      </c>
      <c r="V15" s="7">
        <f>$B15 * IFERROR(VLOOKUP("industry|PM25|Work loss days", US_national_yearly!$D:$AM, 30, FALSE) / VLOOKUP("industry|PM25|Work loss days", US_national_yearly!$D:$AM, 10, FALSE), 1)</f>
        <v>2.3499027604744382</v>
      </c>
      <c r="W15" s="7">
        <f>$B15 * IFERROR(VLOOKUP("industry|PM25|Work loss days", US_national_yearly!$D:$AM, 31, FALSE) / VLOOKUP("industry|PM25|Work loss days", US_national_yearly!$D:$AM, 10, FALSE), 1)</f>
        <v>2.3672925566055989</v>
      </c>
      <c r="X15" s="7">
        <f>$B15 * IFERROR(VLOOKUP("industry|PM25|Work loss days", US_national_yearly!$D:$AM, 32, FALSE) / VLOOKUP("industry|PM25|Work loss days", US_national_yearly!$D:$AM, 10, FALSE), 1)</f>
        <v>2.3827456770530997</v>
      </c>
      <c r="Y15" s="7">
        <f>$B15 * IFERROR(VLOOKUP("industry|PM25|Work loss days", US_national_yearly!$D:$AM, 33, FALSE) / VLOOKUP("industry|PM25|Work loss days", US_national_yearly!$D:$AM, 10, FALSE), 1)</f>
        <v>2.3981987975006009</v>
      </c>
      <c r="Z15" s="7">
        <f>$B15 * IFERROR(VLOOKUP("industry|PM25|Work loss days", US_national_yearly!$D:$AM, 34, FALSE) / VLOOKUP("industry|PM25|Work loss days", US_national_yearly!$D:$AM, 10, FALSE), 1)</f>
        <v>2.4136519179481017</v>
      </c>
      <c r="AA15" s="7">
        <f>$B15 * IFERROR(VLOOKUP("industry|PM25|Work loss days", US_national_yearly!$D:$AM, 35, FALSE) / VLOOKUP("industry|PM25|Work loss days", US_national_yearly!$D:$AM, 10, FALSE), 1)</f>
        <v>2.4291050383956025</v>
      </c>
      <c r="AB15" s="7">
        <f>$B15 * IFERROR(VLOOKUP("industry|PM25|Work loss days", US_national_yearly!$D:$AM, 36, FALSE) / VLOOKUP("industry|PM25|Work loss days", US_national_yearly!$D:$AM, 10, FALSE), 1)</f>
        <v>2.4445581588431038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4.8778502010034374E-3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5.0237498278052559E-3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5.1696494546070752E-3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5.3155490814088937E-3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5.4614487082107113E-3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5.6012829842427957E-3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5.7411172602748793E-3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5.8611772405389373E-3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5.9812372208029943E-3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6.1012972010670531E-3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6.221357181331111E-3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6.3414171615951689E-3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6.4216176810554318E-3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6.5018182005156921E-3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6.5820187199759532E-3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6.6622192394362144E-3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6.7424197588964755E-3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6.7853892523173365E-3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6.8283587457381983E-3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6.8713282391590609E-3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6.914297732579921E-3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6.9572672260007828E-3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6.9867741431998611E-3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7.0162810603989368E-3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7.0457879775980142E-3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7.0752948947970899E-3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7.1048018119961674E-3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4.3620409516338714E-4</v>
      </c>
      <c r="C2" s="7">
        <f>$B2 * IFERROR(VLOOKUP("industry|NOx|Premature mortality", US_national_yearly!$D:$AM, 11, FALSE) / VLOOKUP("industry|NOx|Premature mortality", US_national_yearly!$D:$AM, 10, FALSE), 1)</f>
        <v>4.4265413062438176E-4</v>
      </c>
      <c r="D2" s="7">
        <f>$B2 * IFERROR(VLOOKUP("industry|NOx|Premature mortality", US_national_yearly!$D:$AM, 12, FALSE) / VLOOKUP("industry|NOx|Premature mortality", US_national_yearly!$D:$AM, 10, FALSE), 1)</f>
        <v>4.4910416608537644E-4</v>
      </c>
      <c r="E2" s="7">
        <f>$B2 * IFERROR(VLOOKUP("industry|NOx|Premature mortality", US_national_yearly!$D:$AM, 13, FALSE) / VLOOKUP("industry|NOx|Premature mortality", US_national_yearly!$D:$AM, 10, FALSE), 1)</f>
        <v>4.5555420154637106E-4</v>
      </c>
      <c r="F2" s="7">
        <f>$B2 * IFERROR(VLOOKUP("industry|NOx|Premature mortality", US_national_yearly!$D:$AM, 14, FALSE) / VLOOKUP("industry|NOx|Premature mortality", US_national_yearly!$D:$AM, 10, FALSE), 1)</f>
        <v>4.6200423700736579E-4</v>
      </c>
      <c r="G2" s="7">
        <f>$B2 * IFERROR(VLOOKUP("industry|NOx|Premature mortality", US_national_yearly!$D:$AM, 15, FALSE) / VLOOKUP("industry|NOx|Premature mortality", US_national_yearly!$D:$AM, 10, FALSE), 1)</f>
        <v>4.7357156601427521E-4</v>
      </c>
      <c r="H2" s="7">
        <f>$B2 * IFERROR(VLOOKUP("industry|NOx|Premature mortality", US_national_yearly!$D:$AM, 16, FALSE) / VLOOKUP("industry|NOx|Premature mortality", US_national_yearly!$D:$AM, 10, FALSE), 1)</f>
        <v>4.8513889502118469E-4</v>
      </c>
      <c r="I2" s="7">
        <f>$B2 * IFERROR(VLOOKUP("industry|NOx|Premature mortality", US_national_yearly!$D:$AM, 17, FALSE) / VLOOKUP("industry|NOx|Premature mortality", US_national_yearly!$D:$AM, 10, FALSE), 1)</f>
        <v>4.9264301057098025E-4</v>
      </c>
      <c r="J2" s="7">
        <f>$B2 * IFERROR(VLOOKUP("industry|NOx|Premature mortality", US_national_yearly!$D:$AM, 18, FALSE) / VLOOKUP("industry|NOx|Premature mortality", US_national_yearly!$D:$AM, 10, FALSE), 1)</f>
        <v>5.0014712612077587E-4</v>
      </c>
      <c r="K2" s="7">
        <f>$B2 * IFERROR(VLOOKUP("industry|NOx|Premature mortality", US_national_yearly!$D:$AM, 19, FALSE) / VLOOKUP("industry|NOx|Premature mortality", US_national_yearly!$D:$AM, 10, FALSE), 1)</f>
        <v>5.0765124167057149E-4</v>
      </c>
      <c r="L2" s="7">
        <f>$B2 * IFERROR(VLOOKUP("industry|NOx|Premature mortality", US_national_yearly!$D:$AM, 20, FALSE) / VLOOKUP("industry|NOx|Premature mortality", US_national_yearly!$D:$AM, 10, FALSE), 1)</f>
        <v>5.15155357220367E-4</v>
      </c>
      <c r="M2" s="7">
        <f>$B2 * IFERROR(VLOOKUP("industry|NOx|Premature mortality", US_national_yearly!$D:$AM, 21, FALSE) / VLOOKUP("industry|NOx|Premature mortality", US_national_yearly!$D:$AM, 10, FALSE), 1)</f>
        <v>5.2265947277016262E-4</v>
      </c>
      <c r="N2" s="7">
        <f>$B2 * IFERROR(VLOOKUP("industry|NOx|Premature mortality", US_national_yearly!$D:$AM, 22, FALSE) / VLOOKUP("industry|NOx|Premature mortality", US_national_yearly!$D:$AM, 10, FALSE), 1)</f>
        <v>5.282435139546028E-4</v>
      </c>
      <c r="O2" s="7">
        <f>$B2 * IFERROR(VLOOKUP("industry|NOx|Premature mortality", US_national_yearly!$D:$AM, 23, FALSE) / VLOOKUP("industry|NOx|Premature mortality", US_national_yearly!$D:$AM, 10, FALSE), 1)</f>
        <v>5.3382755513904276E-4</v>
      </c>
      <c r="P2" s="7">
        <f>$B2 * IFERROR(VLOOKUP("industry|NOx|Premature mortality", US_national_yearly!$D:$AM, 24, FALSE) / VLOOKUP("industry|NOx|Premature mortality", US_national_yearly!$D:$AM, 10, FALSE), 1)</f>
        <v>5.3941159632348273E-4</v>
      </c>
      <c r="Q2" s="7">
        <f>$B2 * IFERROR(VLOOKUP("industry|NOx|Premature mortality", US_national_yearly!$D:$AM, 25, FALSE) / VLOOKUP("industry|NOx|Premature mortality", US_national_yearly!$D:$AM, 10, FALSE), 1)</f>
        <v>5.449956375079228E-4</v>
      </c>
      <c r="R2" s="7">
        <f>$B2 * IFERROR(VLOOKUP("industry|NOx|Premature mortality", US_national_yearly!$D:$AM, 26, FALSE) / VLOOKUP("industry|NOx|Premature mortality", US_national_yearly!$D:$AM, 10, FALSE), 1)</f>
        <v>5.5057967869236288E-4</v>
      </c>
      <c r="S2" s="7">
        <f>$B2 * IFERROR(VLOOKUP("industry|NOx|Premature mortality", US_national_yearly!$D:$AM, 27, FALSE) / VLOOKUP("industry|NOx|Premature mortality", US_national_yearly!$D:$AM, 10, FALSE), 1)</f>
        <v>5.5317994540132536E-4</v>
      </c>
      <c r="T2" s="7">
        <f>$B2 * IFERROR(VLOOKUP("industry|NOx|Premature mortality", US_national_yearly!$D:$AM, 28, FALSE) / VLOOKUP("industry|NOx|Premature mortality", US_national_yearly!$D:$AM, 10, FALSE), 1)</f>
        <v>5.5578021211028796E-4</v>
      </c>
      <c r="U2" s="7">
        <f>$B2 * IFERROR(VLOOKUP("industry|NOx|Premature mortality", US_national_yearly!$D:$AM, 29, FALSE) / VLOOKUP("industry|NOx|Premature mortality", US_national_yearly!$D:$AM, 10, FALSE), 1)</f>
        <v>5.5838047881925056E-4</v>
      </c>
      <c r="V2" s="7">
        <f>$B2 * IFERROR(VLOOKUP("industry|NOx|Premature mortality", US_national_yearly!$D:$AM, 30, FALSE) / VLOOKUP("industry|NOx|Premature mortality", US_national_yearly!$D:$AM, 10, FALSE), 1)</f>
        <v>5.6098074552821315E-4</v>
      </c>
      <c r="W2" s="7">
        <f>$B2 * IFERROR(VLOOKUP("industry|NOx|Premature mortality", US_national_yearly!$D:$AM, 31, FALSE) / VLOOKUP("industry|NOx|Premature mortality", US_national_yearly!$D:$AM, 10, FALSE), 1)</f>
        <v>5.6358101223717564E-4</v>
      </c>
      <c r="X2" s="7">
        <f>$B2 * IFERROR(VLOOKUP("industry|NOx|Premature mortality", US_national_yearly!$D:$AM, 32, FALSE) / VLOOKUP("industry|NOx|Premature mortality", US_national_yearly!$D:$AM, 10, FALSE), 1)</f>
        <v>5.6377973293518578E-4</v>
      </c>
      <c r="Y2" s="7">
        <f>$B2 * IFERROR(VLOOKUP("industry|NOx|Premature mortality", US_national_yearly!$D:$AM, 33, FALSE) / VLOOKUP("industry|NOx|Premature mortality", US_national_yearly!$D:$AM, 10, FALSE), 1)</f>
        <v>5.6397845363319592E-4</v>
      </c>
      <c r="Z2" s="7">
        <f>$B2 * IFERROR(VLOOKUP("industry|NOx|Premature mortality", US_national_yearly!$D:$AM, 34, FALSE) / VLOOKUP("industry|NOx|Premature mortality", US_national_yearly!$D:$AM, 10, FALSE), 1)</f>
        <v>5.6417717433120617E-4</v>
      </c>
      <c r="AA2" s="7">
        <f>$B2 * IFERROR(VLOOKUP("industry|NOx|Premature mortality", US_national_yearly!$D:$AM, 35, FALSE) / VLOOKUP("industry|NOx|Premature mortality", US_national_yearly!$D:$AM, 10, FALSE), 1)</f>
        <v>5.6437589502921631E-4</v>
      </c>
      <c r="AB2" s="7">
        <f>$B2 * IFERROR(VLOOKUP("industry|NOx|Premature mortality", US_national_yearly!$D:$AM, 36, FALSE) / VLOOKUP("industry|NOx|Premature mortality", US_national_yearly!$D:$AM, 10, FALSE), 1)</f>
        <v>5.6457461572722645E-4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7.6724853413517854E-7</v>
      </c>
      <c r="C3" s="7">
        <f>$B3 * IFERROR(VLOOKUP("industry|NOx|Infant mortality", US_national_yearly!$D:$AM, 11, FALSE) / VLOOKUP("industry|NOx|Infant mortality", US_national_yearly!$D:$AM, 10, FALSE), 1)</f>
        <v>7.5990072350092755E-7</v>
      </c>
      <c r="D3" s="7">
        <f>$B3 * IFERROR(VLOOKUP("industry|NOx|Infant mortality", US_national_yearly!$D:$AM, 12, FALSE) / VLOOKUP("industry|NOx|Infant mortality", US_national_yearly!$D:$AM, 10, FALSE), 1)</f>
        <v>7.5255291286667657E-7</v>
      </c>
      <c r="E3" s="7">
        <f>$B3 * IFERROR(VLOOKUP("industry|NOx|Infant mortality", US_national_yearly!$D:$AM, 13, FALSE) / VLOOKUP("industry|NOx|Infant mortality", US_national_yearly!$D:$AM, 10, FALSE), 1)</f>
        <v>7.4520510223242558E-7</v>
      </c>
      <c r="F3" s="7">
        <f>$B3 * IFERROR(VLOOKUP("industry|NOx|Infant mortality", US_national_yearly!$D:$AM, 14, FALSE) / VLOOKUP("industry|NOx|Infant mortality", US_national_yearly!$D:$AM, 10, FALSE), 1)</f>
        <v>7.378572915981746E-7</v>
      </c>
      <c r="G3" s="7">
        <f>$B3 * IFERROR(VLOOKUP("industry|NOx|Infant mortality", US_national_yearly!$D:$AM, 15, FALSE) / VLOOKUP("industry|NOx|Infant mortality", US_national_yearly!$D:$AM, 10, FALSE), 1)</f>
        <v>4.8941206106624226E-7</v>
      </c>
      <c r="H3" s="7">
        <f>$B3 * IFERROR(VLOOKUP("industry|NOx|Infant mortality", US_national_yearly!$D:$AM, 16, FALSE) / VLOOKUP("industry|NOx|Infant mortality", US_national_yearly!$D:$AM, 10, FALSE), 1)</f>
        <v>2.4096683053431003E-7</v>
      </c>
      <c r="I3" s="7">
        <f>$B3 * IFERROR(VLOOKUP("industry|NOx|Infant mortality", US_national_yearly!$D:$AM, 17, FALSE) / VLOOKUP("industry|NOx|Infant mortality", US_national_yearly!$D:$AM, 10, FALSE), 1)</f>
        <v>2.3922956372672929E-7</v>
      </c>
      <c r="J3" s="7">
        <f>$B3 * IFERROR(VLOOKUP("industry|NOx|Infant mortality", US_national_yearly!$D:$AM, 18, FALSE) / VLOOKUP("industry|NOx|Infant mortality", US_national_yearly!$D:$AM, 10, FALSE), 1)</f>
        <v>2.3749229691914863E-7</v>
      </c>
      <c r="K3" s="7">
        <f>$B3 * IFERROR(VLOOKUP("industry|NOx|Infant mortality", US_national_yearly!$D:$AM, 19, FALSE) / VLOOKUP("industry|NOx|Infant mortality", US_national_yearly!$D:$AM, 10, FALSE), 1)</f>
        <v>2.3575503011156791E-7</v>
      </c>
      <c r="L3" s="7">
        <f>$B3 * IFERROR(VLOOKUP("industry|NOx|Infant mortality", US_national_yearly!$D:$AM, 20, FALSE) / VLOOKUP("industry|NOx|Infant mortality", US_national_yearly!$D:$AM, 10, FALSE), 1)</f>
        <v>2.3401776330398714E-7</v>
      </c>
      <c r="M3" s="7">
        <f>$B3 * IFERROR(VLOOKUP("industry|NOx|Infant mortality", US_national_yearly!$D:$AM, 21, FALSE) / VLOOKUP("industry|NOx|Infant mortality", US_national_yearly!$D:$AM, 10, FALSE), 1)</f>
        <v>2.322804964964064E-7</v>
      </c>
      <c r="N3" s="7">
        <f>$B3 * IFERROR(VLOOKUP("industry|NOx|Infant mortality", US_national_yearly!$D:$AM, 22, FALSE) / VLOOKUP("industry|NOx|Infant mortality", US_national_yearly!$D:$AM, 10, FALSE), 1)</f>
        <v>2.3111000448428574E-7</v>
      </c>
      <c r="O3" s="7">
        <f>$B3 * IFERROR(VLOOKUP("industry|NOx|Infant mortality", US_national_yearly!$D:$AM, 23, FALSE) / VLOOKUP("industry|NOx|Infant mortality", US_national_yearly!$D:$AM, 10, FALSE), 1)</f>
        <v>2.29939512472165E-7</v>
      </c>
      <c r="P3" s="7">
        <f>$B3 * IFERROR(VLOOKUP("industry|NOx|Infant mortality", US_national_yearly!$D:$AM, 24, FALSE) / VLOOKUP("industry|NOx|Infant mortality", US_national_yearly!$D:$AM, 10, FALSE), 1)</f>
        <v>2.2876902046004431E-7</v>
      </c>
      <c r="Q3" s="7">
        <f>$B3 * IFERROR(VLOOKUP("industry|NOx|Infant mortality", US_national_yearly!$D:$AM, 25, FALSE) / VLOOKUP("industry|NOx|Infant mortality", US_national_yearly!$D:$AM, 10, FALSE), 1)</f>
        <v>2.2759852844792366E-7</v>
      </c>
      <c r="R3" s="7">
        <f>$B3 * IFERROR(VLOOKUP("industry|NOx|Infant mortality", US_national_yearly!$D:$AM, 26, FALSE) / VLOOKUP("industry|NOx|Infant mortality", US_national_yearly!$D:$AM, 10, FALSE), 1)</f>
        <v>2.2642803643580297E-7</v>
      </c>
      <c r="S3" s="7">
        <f>$B3 * IFERROR(VLOOKUP("industry|NOx|Infant mortality", US_national_yearly!$D:$AM, 27, FALSE) / VLOOKUP("industry|NOx|Infant mortality", US_national_yearly!$D:$AM, 10, FALSE), 1)</f>
        <v>2.2503809809755434E-7</v>
      </c>
      <c r="T3" s="7">
        <f>$B3 * IFERROR(VLOOKUP("industry|NOx|Infant mortality", US_national_yearly!$D:$AM, 28, FALSE) / VLOOKUP("industry|NOx|Infant mortality", US_national_yearly!$D:$AM, 10, FALSE), 1)</f>
        <v>2.2364815975930573E-7</v>
      </c>
      <c r="U3" s="7">
        <f>$B3 * IFERROR(VLOOKUP("industry|NOx|Infant mortality", US_national_yearly!$D:$AM, 29, FALSE) / VLOOKUP("industry|NOx|Infant mortality", US_national_yearly!$D:$AM, 10, FALSE), 1)</f>
        <v>2.2225822142105713E-7</v>
      </c>
      <c r="V3" s="7">
        <f>$B3 * IFERROR(VLOOKUP("industry|NOx|Infant mortality", US_national_yearly!$D:$AM, 30, FALSE) / VLOOKUP("industry|NOx|Infant mortality", US_national_yearly!$D:$AM, 10, FALSE), 1)</f>
        <v>2.2086828308280849E-7</v>
      </c>
      <c r="W3" s="7">
        <f>$B3 * IFERROR(VLOOKUP("industry|NOx|Infant mortality", US_national_yearly!$D:$AM, 31, FALSE) / VLOOKUP("industry|NOx|Infant mortality", US_national_yearly!$D:$AM, 10, FALSE), 1)</f>
        <v>2.1947834474455991E-7</v>
      </c>
      <c r="X3" s="7">
        <f>$B3 * IFERROR(VLOOKUP("industry|NOx|Infant mortality", US_national_yearly!$D:$AM, 32, FALSE) / VLOOKUP("industry|NOx|Infant mortality", US_national_yearly!$D:$AM, 10, FALSE), 1)</f>
        <v>2.1801875558420736E-7</v>
      </c>
      <c r="Y3" s="7">
        <f>$B3 * IFERROR(VLOOKUP("industry|NOx|Infant mortality", US_national_yearly!$D:$AM, 33, FALSE) / VLOOKUP("industry|NOx|Infant mortality", US_national_yearly!$D:$AM, 10, FALSE), 1)</f>
        <v>2.1655916642385486E-7</v>
      </c>
      <c r="Z3" s="7">
        <f>$B3 * IFERROR(VLOOKUP("industry|NOx|Infant mortality", US_national_yearly!$D:$AM, 34, FALSE) / VLOOKUP("industry|NOx|Infant mortality", US_national_yearly!$D:$AM, 10, FALSE), 1)</f>
        <v>2.1509957726350236E-7</v>
      </c>
      <c r="AA3" s="7">
        <f>$B3 * IFERROR(VLOOKUP("industry|NOx|Infant mortality", US_national_yearly!$D:$AM, 35, FALSE) / VLOOKUP("industry|NOx|Infant mortality", US_national_yearly!$D:$AM, 10, FALSE), 1)</f>
        <v>2.1363998810314985E-7</v>
      </c>
      <c r="AB3" s="7">
        <f>$B3 * IFERROR(VLOOKUP("industry|NOx|Infant mortality", US_national_yearly!$D:$AM, 36, FALSE) / VLOOKUP("industry|NOx|Infant mortality", US_national_yearly!$D:$AM, 10, FALSE), 1)</f>
        <v>2.1218039894279733E-7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8.1885791756636293E-4</v>
      </c>
      <c r="C6" s="7">
        <f>$B6 * IFERROR(VLOOKUP("industry|NOx|Asthma symptoms cough", US_national_yearly!$D:$AM, 11, FALSE) / VLOOKUP("industry|NOx|Asthma symptoms cough", US_national_yearly!$D:$AM, 10, FALSE), 1)</f>
        <v>8.3006017173193019E-4</v>
      </c>
      <c r="D6" s="7">
        <f>$B6 * IFERROR(VLOOKUP("industry|NOx|Asthma symptoms cough", US_national_yearly!$D:$AM, 12, FALSE) / VLOOKUP("industry|NOx|Asthma symptoms cough", US_national_yearly!$D:$AM, 10, FALSE), 1)</f>
        <v>8.4126242589749756E-4</v>
      </c>
      <c r="E6" s="7">
        <f>$B6 * IFERROR(VLOOKUP("industry|NOx|Asthma symptoms cough", US_national_yearly!$D:$AM, 13, FALSE) / VLOOKUP("industry|NOx|Asthma symptoms cough", US_national_yearly!$D:$AM, 10, FALSE), 1)</f>
        <v>8.5246468006306482E-4</v>
      </c>
      <c r="F6" s="7">
        <f>$B6 * IFERROR(VLOOKUP("industry|NOx|Asthma symptoms cough", US_national_yearly!$D:$AM, 14, FALSE) / VLOOKUP("industry|NOx|Asthma symptoms cough", US_national_yearly!$D:$AM, 10, FALSE), 1)</f>
        <v>8.6366693422863219E-4</v>
      </c>
      <c r="G6" s="7">
        <f>$B6 * IFERROR(VLOOKUP("industry|NOx|Asthma symptoms cough", US_national_yearly!$D:$AM, 15, FALSE) / VLOOKUP("industry|NOx|Asthma symptoms cough", US_national_yearly!$D:$AM, 10, FALSE), 1)</f>
        <v>8.726494041802873E-4</v>
      </c>
      <c r="H6" s="7">
        <f>$B6 * IFERROR(VLOOKUP("industry|NOx|Asthma symptoms cough", US_national_yearly!$D:$AM, 16, FALSE) / VLOOKUP("industry|NOx|Asthma symptoms cough", US_national_yearly!$D:$AM, 10, FALSE), 1)</f>
        <v>8.8163187413194252E-4</v>
      </c>
      <c r="I6" s="7">
        <f>$B6 * IFERROR(VLOOKUP("industry|NOx|Asthma symptoms cough", US_national_yearly!$D:$AM, 17, FALSE) / VLOOKUP("industry|NOx|Asthma symptoms cough", US_national_yearly!$D:$AM, 10, FALSE), 1)</f>
        <v>8.8475785330531542E-4</v>
      </c>
      <c r="J6" s="7">
        <f>$B6 * IFERROR(VLOOKUP("industry|NOx|Asthma symptoms cough", US_national_yearly!$D:$AM, 18, FALSE) / VLOOKUP("industry|NOx|Asthma symptoms cough", US_national_yearly!$D:$AM, 10, FALSE), 1)</f>
        <v>8.8788383247868853E-4</v>
      </c>
      <c r="K6" s="7">
        <f>$B6 * IFERROR(VLOOKUP("industry|NOx|Asthma symptoms cough", US_national_yearly!$D:$AM, 19, FALSE) / VLOOKUP("industry|NOx|Asthma symptoms cough", US_national_yearly!$D:$AM, 10, FALSE), 1)</f>
        <v>8.9100981165206143E-4</v>
      </c>
      <c r="L6" s="7">
        <f>$B6 * IFERROR(VLOOKUP("industry|NOx|Asthma symptoms cough", US_national_yearly!$D:$AM, 20, FALSE) / VLOOKUP("industry|NOx|Asthma symptoms cough", US_national_yearly!$D:$AM, 10, FALSE), 1)</f>
        <v>8.9413579082543455E-4</v>
      </c>
      <c r="M6" s="7">
        <f>$B6 * IFERROR(VLOOKUP("industry|NOx|Asthma symptoms cough", US_national_yearly!$D:$AM, 21, FALSE) / VLOOKUP("industry|NOx|Asthma symptoms cough", US_national_yearly!$D:$AM, 10, FALSE), 1)</f>
        <v>8.9726176999880766E-4</v>
      </c>
      <c r="N6" s="7">
        <f>$B6 * IFERROR(VLOOKUP("industry|NOx|Asthma symptoms cough", US_national_yearly!$D:$AM, 22, FALSE) / VLOOKUP("industry|NOx|Asthma symptoms cough", US_national_yearly!$D:$AM, 10, FALSE), 1)</f>
        <v>9.0083016056029556E-4</v>
      </c>
      <c r="O6" s="7">
        <f>$B6 * IFERROR(VLOOKUP("industry|NOx|Asthma symptoms cough", US_national_yearly!$D:$AM, 23, FALSE) / VLOOKUP("industry|NOx|Asthma symptoms cough", US_national_yearly!$D:$AM, 10, FALSE), 1)</f>
        <v>9.0439855112178335E-4</v>
      </c>
      <c r="P6" s="7">
        <f>$B6 * IFERROR(VLOOKUP("industry|NOx|Asthma symptoms cough", US_national_yearly!$D:$AM, 24, FALSE) / VLOOKUP("industry|NOx|Asthma symptoms cough", US_national_yearly!$D:$AM, 10, FALSE), 1)</f>
        <v>9.0796694168327136E-4</v>
      </c>
      <c r="Q6" s="7">
        <f>$B6 * IFERROR(VLOOKUP("industry|NOx|Asthma symptoms cough", US_national_yearly!$D:$AM, 25, FALSE) / VLOOKUP("industry|NOx|Asthma symptoms cough", US_national_yearly!$D:$AM, 10, FALSE), 1)</f>
        <v>9.1153533224475937E-4</v>
      </c>
      <c r="R6" s="7">
        <f>$B6 * IFERROR(VLOOKUP("industry|NOx|Asthma symptoms cough", US_national_yearly!$D:$AM, 26, FALSE) / VLOOKUP("industry|NOx|Asthma symptoms cough", US_national_yearly!$D:$AM, 10, FALSE), 1)</f>
        <v>9.1510372280624727E-4</v>
      </c>
      <c r="S6" s="7">
        <f>$B6 * IFERROR(VLOOKUP("industry|NOx|Asthma symptoms cough", US_national_yearly!$D:$AM, 27, FALSE) / VLOOKUP("industry|NOx|Asthma symptoms cough", US_national_yearly!$D:$AM, 10, FALSE), 1)</f>
        <v>9.1970678874352401E-4</v>
      </c>
      <c r="T6" s="7">
        <f>$B6 * IFERROR(VLOOKUP("industry|NOx|Asthma symptoms cough", US_national_yearly!$D:$AM, 28, FALSE) / VLOOKUP("industry|NOx|Asthma symptoms cough", US_national_yearly!$D:$AM, 10, FALSE), 1)</f>
        <v>9.2430985468080064E-4</v>
      </c>
      <c r="U6" s="7">
        <f>$B6 * IFERROR(VLOOKUP("industry|NOx|Asthma symptoms cough", US_national_yearly!$D:$AM, 29, FALSE) / VLOOKUP("industry|NOx|Asthma symptoms cough", US_national_yearly!$D:$AM, 10, FALSE), 1)</f>
        <v>9.2891292061807738E-4</v>
      </c>
      <c r="V6" s="7">
        <f>$B6 * IFERROR(VLOOKUP("industry|NOx|Asthma symptoms cough", US_national_yearly!$D:$AM, 30, FALSE) / VLOOKUP("industry|NOx|Asthma symptoms cough", US_national_yearly!$D:$AM, 10, FALSE), 1)</f>
        <v>9.335159865553539E-4</v>
      </c>
      <c r="W6" s="7">
        <f>$B6 * IFERROR(VLOOKUP("industry|NOx|Asthma symptoms cough", US_national_yearly!$D:$AM, 31, FALSE) / VLOOKUP("industry|NOx|Asthma symptoms cough", US_national_yearly!$D:$AM, 10, FALSE), 1)</f>
        <v>9.3811905249263075E-4</v>
      </c>
      <c r="X6" s="7">
        <f>$B6 * IFERROR(VLOOKUP("industry|NOx|Asthma symptoms cough", US_national_yearly!$D:$AM, 32, FALSE) / VLOOKUP("industry|NOx|Asthma symptoms cough", US_national_yearly!$D:$AM, 10, FALSE), 1)</f>
        <v>9.4238644858589296E-4</v>
      </c>
      <c r="Y6" s="7">
        <f>$B6 * IFERROR(VLOOKUP("industry|NOx|Asthma symptoms cough", US_national_yearly!$D:$AM, 33, FALSE) / VLOOKUP("industry|NOx|Asthma symptoms cough", US_national_yearly!$D:$AM, 10, FALSE), 1)</f>
        <v>9.4665384467915506E-4</v>
      </c>
      <c r="Z6" s="7">
        <f>$B6 * IFERROR(VLOOKUP("industry|NOx|Asthma symptoms cough", US_national_yearly!$D:$AM, 34, FALSE) / VLOOKUP("industry|NOx|Asthma symptoms cough", US_national_yearly!$D:$AM, 10, FALSE), 1)</f>
        <v>9.5092124077241727E-4</v>
      </c>
      <c r="AA6" s="7">
        <f>$B6 * IFERROR(VLOOKUP("industry|NOx|Asthma symptoms cough", US_national_yearly!$D:$AM, 35, FALSE) / VLOOKUP("industry|NOx|Asthma symptoms cough", US_national_yearly!$D:$AM, 10, FALSE), 1)</f>
        <v>9.5518863686567938E-4</v>
      </c>
      <c r="AB6" s="7">
        <f>$B6 * IFERROR(VLOOKUP("industry|NOx|Asthma symptoms cough", US_national_yearly!$D:$AM, 36, FALSE) / VLOOKUP("industry|NOx|Asthma symptoms cough", US_national_yearly!$D:$AM, 10, FALSE), 1)</f>
        <v>9.5945603295894159E-4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1.1027016515630303E-3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1.1177869842909913E-3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1.1328723170189524E-3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1.1479576497469134E-3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1.1630429824748747E-3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1.1751390790035634E-3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1.1872351755322524E-3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1.1914447243170599E-3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1.1956542731018675E-3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1.1998638218866751E-3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1.204073370671483E-3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1.2082829194562906E-3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1.2130882343225884E-3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1.2178935491888865E-3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1.2226988640551845E-3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1.2275041789214828E-3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1.2323094937877806E-3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1.2385081373748903E-3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1.2447067809619999E-3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1.2509054245491093E-3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1.2571040681362191E-3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1.2633027117233283E-3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1.2690493309888275E-3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1.2747959502543262E-3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1.2805425695198251E-3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1.2862891887853239E-3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1.2920358080508228E-3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1.6847746043236005E-3</v>
      </c>
      <c r="C8" s="7">
        <f>$B8 * IFERROR(VLOOKUP("industry|NOx|Asthma symptoms wheeze", US_national_yearly!$D:$AM, 11, FALSE) / VLOOKUP("industry|NOx|Asthma symptoms wheeze", US_national_yearly!$D:$AM, 10, FALSE), 1)</f>
        <v>1.7078228926007087E-3</v>
      </c>
      <c r="D8" s="7">
        <f>$B8 * IFERROR(VLOOKUP("industry|NOx|Asthma symptoms wheeze", US_national_yearly!$D:$AM, 12, FALSE) / VLOOKUP("industry|NOx|Asthma symptoms wheeze", US_national_yearly!$D:$AM, 10, FALSE), 1)</f>
        <v>1.730871180877817E-3</v>
      </c>
      <c r="E8" s="7">
        <f>$B8 * IFERROR(VLOOKUP("industry|NOx|Asthma symptoms wheeze", US_national_yearly!$D:$AM, 13, FALSE) / VLOOKUP("industry|NOx|Asthma symptoms wheeze", US_national_yearly!$D:$AM, 10, FALSE), 1)</f>
        <v>1.7539194691549252E-3</v>
      </c>
      <c r="F8" s="7">
        <f>$B8 * IFERROR(VLOOKUP("industry|NOx|Asthma symptoms wheeze", US_national_yearly!$D:$AM, 14, FALSE) / VLOOKUP("industry|NOx|Asthma symptoms wheeze", US_national_yearly!$D:$AM, 10, FALSE), 1)</f>
        <v>1.7769677574320331E-3</v>
      </c>
      <c r="G8" s="7">
        <f>$B8 * IFERROR(VLOOKUP("industry|NOx|Asthma symptoms wheeze", US_national_yearly!$D:$AM, 15, FALSE) / VLOOKUP("industry|NOx|Asthma symptoms wheeze", US_national_yearly!$D:$AM, 10, FALSE), 1)</f>
        <v>1.7954489089823159E-3</v>
      </c>
      <c r="H8" s="7">
        <f>$B8 * IFERROR(VLOOKUP("industry|NOx|Asthma symptoms wheeze", US_national_yearly!$D:$AM, 16, FALSE) / VLOOKUP("industry|NOx|Asthma symptoms wheeze", US_national_yearly!$D:$AM, 10, FALSE), 1)</f>
        <v>1.8139300605325981E-3</v>
      </c>
      <c r="I8" s="7">
        <f>$B8 * IFERROR(VLOOKUP("industry|NOx|Asthma symptoms wheeze", US_national_yearly!$D:$AM, 17, FALSE) / VLOOKUP("industry|NOx|Asthma symptoms wheeze", US_national_yearly!$D:$AM, 10, FALSE), 1)</f>
        <v>1.8203616651141486E-3</v>
      </c>
      <c r="J8" s="7">
        <f>$B8 * IFERROR(VLOOKUP("industry|NOx|Asthma symptoms wheeze", US_national_yearly!$D:$AM, 18, FALSE) / VLOOKUP("industry|NOx|Asthma symptoms wheeze", US_national_yearly!$D:$AM, 10, FALSE), 1)</f>
        <v>1.8267932696956987E-3</v>
      </c>
      <c r="K8" s="7">
        <f>$B8 * IFERROR(VLOOKUP("industry|NOx|Asthma symptoms wheeze", US_national_yearly!$D:$AM, 19, FALSE) / VLOOKUP("industry|NOx|Asthma symptoms wheeze", US_national_yearly!$D:$AM, 10, FALSE), 1)</f>
        <v>1.833224874277249E-3</v>
      </c>
      <c r="L8" s="7">
        <f>$B8 * IFERROR(VLOOKUP("industry|NOx|Asthma symptoms wheeze", US_national_yearly!$D:$AM, 20, FALSE) / VLOOKUP("industry|NOx|Asthma symptoms wheeze", US_national_yearly!$D:$AM, 10, FALSE), 1)</f>
        <v>1.8396564788587988E-3</v>
      </c>
      <c r="M8" s="7">
        <f>$B8 * IFERROR(VLOOKUP("industry|NOx|Asthma symptoms wheeze", US_national_yearly!$D:$AM, 21, FALSE) / VLOOKUP("industry|NOx|Asthma symptoms wheeze", US_national_yearly!$D:$AM, 10, FALSE), 1)</f>
        <v>1.8460880834403491E-3</v>
      </c>
      <c r="N8" s="7">
        <f>$B8 * IFERROR(VLOOKUP("industry|NOx|Asthma symptoms wheeze", US_national_yearly!$D:$AM, 22, FALSE) / VLOOKUP("industry|NOx|Asthma symptoms wheeze", US_national_yearly!$D:$AM, 10, FALSE), 1)</f>
        <v>1.8534299356429251E-3</v>
      </c>
      <c r="O8" s="7">
        <f>$B8 * IFERROR(VLOOKUP("industry|NOx|Asthma symptoms wheeze", US_national_yearly!$D:$AM, 23, FALSE) / VLOOKUP("industry|NOx|Asthma symptoms wheeze", US_national_yearly!$D:$AM, 10, FALSE), 1)</f>
        <v>1.8607717878455009E-3</v>
      </c>
      <c r="P8" s="7">
        <f>$B8 * IFERROR(VLOOKUP("industry|NOx|Asthma symptoms wheeze", US_national_yearly!$D:$AM, 24, FALSE) / VLOOKUP("industry|NOx|Asthma symptoms wheeze", US_national_yearly!$D:$AM, 10, FALSE), 1)</f>
        <v>1.8681136400480764E-3</v>
      </c>
      <c r="Q8" s="7">
        <f>$B8 * IFERROR(VLOOKUP("industry|NOx|Asthma symptoms wheeze", US_national_yearly!$D:$AM, 25, FALSE) / VLOOKUP("industry|NOx|Asthma symptoms wheeze", US_national_yearly!$D:$AM, 10, FALSE), 1)</f>
        <v>1.8754554922506522E-3</v>
      </c>
      <c r="R8" s="7">
        <f>$B8 * IFERROR(VLOOKUP("industry|NOx|Asthma symptoms wheeze", US_national_yearly!$D:$AM, 26, FALSE) / VLOOKUP("industry|NOx|Asthma symptoms wheeze", US_national_yearly!$D:$AM, 10, FALSE), 1)</f>
        <v>1.8827973444532282E-3</v>
      </c>
      <c r="S8" s="7">
        <f>$B8 * IFERROR(VLOOKUP("industry|NOx|Asthma symptoms wheeze", US_national_yearly!$D:$AM, 27, FALSE) / VLOOKUP("industry|NOx|Asthma symptoms wheeze", US_national_yearly!$D:$AM, 10, FALSE), 1)</f>
        <v>1.8922680089437259E-3</v>
      </c>
      <c r="T8" s="7">
        <f>$B8 * IFERROR(VLOOKUP("industry|NOx|Asthma symptoms wheeze", US_national_yearly!$D:$AM, 28, FALSE) / VLOOKUP("industry|NOx|Asthma symptoms wheeze", US_national_yearly!$D:$AM, 10, FALSE), 1)</f>
        <v>1.9017386734342231E-3</v>
      </c>
      <c r="U8" s="7">
        <f>$B8 * IFERROR(VLOOKUP("industry|NOx|Asthma symptoms wheeze", US_national_yearly!$D:$AM, 29, FALSE) / VLOOKUP("industry|NOx|Asthma symptoms wheeze", US_national_yearly!$D:$AM, 10, FALSE), 1)</f>
        <v>1.9112093379247206E-3</v>
      </c>
      <c r="V8" s="7">
        <f>$B8 * IFERROR(VLOOKUP("industry|NOx|Asthma symptoms wheeze", US_national_yearly!$D:$AM, 30, FALSE) / VLOOKUP("industry|NOx|Asthma symptoms wheeze", US_national_yearly!$D:$AM, 10, FALSE), 1)</f>
        <v>1.9206800024152179E-3</v>
      </c>
      <c r="W8" s="7">
        <f>$B8 * IFERROR(VLOOKUP("industry|NOx|Asthma symptoms wheeze", US_national_yearly!$D:$AM, 31, FALSE) / VLOOKUP("industry|NOx|Asthma symptoms wheeze", US_national_yearly!$D:$AM, 10, FALSE), 1)</f>
        <v>1.9301506669057152E-3</v>
      </c>
      <c r="X8" s="7">
        <f>$B8 * IFERROR(VLOOKUP("industry|NOx|Asthma symptoms wheeze", US_national_yearly!$D:$AM, 32, FALSE) / VLOOKUP("industry|NOx|Asthma symptoms wheeze", US_national_yearly!$D:$AM, 10, FALSE), 1)</f>
        <v>1.9389307011692773E-3</v>
      </c>
      <c r="Y8" s="7">
        <f>$B8 * IFERROR(VLOOKUP("industry|NOx|Asthma symptoms wheeze", US_national_yearly!$D:$AM, 33, FALSE) / VLOOKUP("industry|NOx|Asthma symptoms wheeze", US_national_yearly!$D:$AM, 10, FALSE), 1)</f>
        <v>1.947710735432839E-3</v>
      </c>
      <c r="Z8" s="7">
        <f>$B8 * IFERROR(VLOOKUP("industry|NOx|Asthma symptoms wheeze", US_national_yearly!$D:$AM, 34, FALSE) / VLOOKUP("industry|NOx|Asthma symptoms wheeze", US_national_yearly!$D:$AM, 10, FALSE), 1)</f>
        <v>1.9564907696964008E-3</v>
      </c>
      <c r="AA8" s="7">
        <f>$B8 * IFERROR(VLOOKUP("industry|NOx|Asthma symptoms wheeze", US_national_yearly!$D:$AM, 35, FALSE) / VLOOKUP("industry|NOx|Asthma symptoms wheeze", US_national_yearly!$D:$AM, 10, FALSE), 1)</f>
        <v>1.9652708039599618E-3</v>
      </c>
      <c r="AB8" s="7">
        <f>$B8 * IFERROR(VLOOKUP("industry|NOx|Asthma symptoms wheeze", US_national_yearly!$D:$AM, 36, FALSE) / VLOOKUP("industry|NOx|Asthma symptoms wheeze", US_national_yearly!$D:$AM, 10, FALSE), 1)</f>
        <v>1.9740508382235251E-3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2.6330515938844077E-5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2.6992025732591807E-5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2.7653535526339532E-5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2.8315045320087265E-5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2.8976555113834987E-5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2.9609318647073402E-5</v>
      </c>
      <c r="H12" s="7">
        <f>$B12 * IFERROR(VLOOKUP("industry|NOx|Respiratory hospital admissions", US_national_yearly!$D:$AM, 16, FALSE) / VLOOKUP("industry|NOx|Respiratory hospital admissions", US_national_yearly!$D:$AM, 10, FALSE), 1)</f>
        <v>3.0242082180311814E-5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3.0780966253165587E-5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3.1319850326019357E-5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3.1858734398873134E-5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3.2397618471726911E-5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3.2936502544580681E-5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3.3297671805211426E-5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3.3658841065842164E-5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3.4020010326472909E-5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3.4381179587103653E-5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3.4742348847734398E-5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3.4938432375301473E-5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3.5134515902868554E-5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3.5330599430435636E-5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3.5526682958002711E-5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3.5722766485569792E-5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3.5859487999966124E-5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3.5996209514362455E-5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3.6132931028758794E-5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3.6269652543155125E-5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3.6406374057551457E-5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1.6612388184738175E-4</v>
      </c>
      <c r="C13" s="7">
        <f>$B13 * IFERROR(VLOOKUP("industry|NOx|Non-fatal heart attacks", US_national_yearly!$D:$AM, 11, FALSE) / VLOOKUP("industry|NOx|Non-fatal heart attacks", US_national_yearly!$D:$AM, 10, FALSE), 1)</f>
        <v>1.7087020034496349E-4</v>
      </c>
      <c r="D13" s="7">
        <f>$B13 * IFERROR(VLOOKUP("industry|NOx|Non-fatal heart attacks", US_national_yearly!$D:$AM, 12, FALSE) / VLOOKUP("industry|NOx|Non-fatal heart attacks", US_national_yearly!$D:$AM, 10, FALSE), 1)</f>
        <v>1.7561651884254526E-4</v>
      </c>
      <c r="E13" s="7">
        <f>$B13 * IFERROR(VLOOKUP("industry|NOx|Non-fatal heart attacks", US_national_yearly!$D:$AM, 13, FALSE) / VLOOKUP("industry|NOx|Non-fatal heart attacks", US_national_yearly!$D:$AM, 10, FALSE), 1)</f>
        <v>1.80362837340127E-4</v>
      </c>
      <c r="F13" s="7">
        <f>$B13 * IFERROR(VLOOKUP("industry|NOx|Non-fatal heart attacks", US_national_yearly!$D:$AM, 14, FALSE) / VLOOKUP("industry|NOx|Non-fatal heart attacks", US_national_yearly!$D:$AM, 10, FALSE), 1)</f>
        <v>1.8510915583770876E-4</v>
      </c>
      <c r="G13" s="7">
        <f>$B13 * IFERROR(VLOOKUP("industry|NOx|Non-fatal heart attacks", US_national_yearly!$D:$AM, 15, FALSE) / VLOOKUP("industry|NOx|Non-fatal heart attacks", US_national_yearly!$D:$AM, 10, FALSE), 1)</f>
        <v>1.8954834626032523E-4</v>
      </c>
      <c r="H13" s="7">
        <f>$B13 * IFERROR(VLOOKUP("industry|NOx|Non-fatal heart attacks", US_national_yearly!$D:$AM, 16, FALSE) / VLOOKUP("industry|NOx|Non-fatal heart attacks", US_national_yearly!$D:$AM, 10, FALSE), 1)</f>
        <v>1.9398753668294164E-4</v>
      </c>
      <c r="I13" s="7">
        <f>$B13 * IFERROR(VLOOKUP("industry|NOx|Non-fatal heart attacks", US_national_yearly!$D:$AM, 17, FALSE) / VLOOKUP("industry|NOx|Non-fatal heart attacks", US_national_yearly!$D:$AM, 10, FALSE), 1)</f>
        <v>1.9749846966323604E-4</v>
      </c>
      <c r="J13" s="7">
        <f>$B13 * IFERROR(VLOOKUP("industry|NOx|Non-fatal heart attacks", US_national_yearly!$D:$AM, 18, FALSE) / VLOOKUP("industry|NOx|Non-fatal heart attacks", US_national_yearly!$D:$AM, 10, FALSE), 1)</f>
        <v>2.010094026435304E-4</v>
      </c>
      <c r="K13" s="7">
        <f>$B13 * IFERROR(VLOOKUP("industry|NOx|Non-fatal heart attacks", US_national_yearly!$D:$AM, 19, FALSE) / VLOOKUP("industry|NOx|Non-fatal heart attacks", US_national_yearly!$D:$AM, 10, FALSE), 1)</f>
        <v>2.0452033562382468E-4</v>
      </c>
      <c r="L13" s="7">
        <f>$B13 * IFERROR(VLOOKUP("industry|NOx|Non-fatal heart attacks", US_national_yearly!$D:$AM, 20, FALSE) / VLOOKUP("industry|NOx|Non-fatal heart attacks", US_national_yearly!$D:$AM, 10, FALSE), 1)</f>
        <v>2.0803126860411913E-4</v>
      </c>
      <c r="M13" s="7">
        <f>$B13 * IFERROR(VLOOKUP("industry|NOx|Non-fatal heart attacks", US_national_yearly!$D:$AM, 21, FALSE) / VLOOKUP("industry|NOx|Non-fatal heart attacks", US_national_yearly!$D:$AM, 10, FALSE), 1)</f>
        <v>2.1154220158441355E-4</v>
      </c>
      <c r="N13" s="7">
        <f>$B13 * IFERROR(VLOOKUP("industry|NOx|Non-fatal heart attacks", US_national_yearly!$D:$AM, 22, FALSE) / VLOOKUP("industry|NOx|Non-fatal heart attacks", US_national_yearly!$D:$AM, 10, FALSE), 1)</f>
        <v>2.1365737019634625E-4</v>
      </c>
      <c r="O13" s="7">
        <f>$B13 * IFERROR(VLOOKUP("industry|NOx|Non-fatal heart attacks", US_national_yearly!$D:$AM, 23, FALSE) / VLOOKUP("industry|NOx|Non-fatal heart attacks", US_national_yearly!$D:$AM, 10, FALSE), 1)</f>
        <v>2.157725388082789E-4</v>
      </c>
      <c r="P13" s="7">
        <f>$B13 * IFERROR(VLOOKUP("industry|NOx|Non-fatal heart attacks", US_national_yearly!$D:$AM, 24, FALSE) / VLOOKUP("industry|NOx|Non-fatal heart attacks", US_national_yearly!$D:$AM, 10, FALSE), 1)</f>
        <v>2.1788770742021157E-4</v>
      </c>
      <c r="Q13" s="7">
        <f>$B13 * IFERROR(VLOOKUP("industry|NOx|Non-fatal heart attacks", US_national_yearly!$D:$AM, 25, FALSE) / VLOOKUP("industry|NOx|Non-fatal heart attacks", US_national_yearly!$D:$AM, 10, FALSE), 1)</f>
        <v>2.2000287603214422E-4</v>
      </c>
      <c r="R13" s="7">
        <f>$B13 * IFERROR(VLOOKUP("industry|NOx|Non-fatal heart attacks", US_national_yearly!$D:$AM, 26, FALSE) / VLOOKUP("industry|NOx|Non-fatal heart attacks", US_national_yearly!$D:$AM, 10, FALSE), 1)</f>
        <v>2.2211804464407686E-4</v>
      </c>
      <c r="S13" s="7">
        <f>$B13 * IFERROR(VLOOKUP("industry|NOx|Non-fatal heart attacks", US_national_yearly!$D:$AM, 27, FALSE) / VLOOKUP("industry|NOx|Non-fatal heart attacks", US_national_yearly!$D:$AM, 10, FALSE), 1)</f>
        <v>2.2308852619326659E-4</v>
      </c>
      <c r="T13" s="7">
        <f>$B13 * IFERROR(VLOOKUP("industry|NOx|Non-fatal heart attacks", US_national_yearly!$D:$AM, 28, FALSE) / VLOOKUP("industry|NOx|Non-fatal heart attacks", US_national_yearly!$D:$AM, 10, FALSE), 1)</f>
        <v>2.2405900774245626E-4</v>
      </c>
      <c r="U13" s="7">
        <f>$B13 * IFERROR(VLOOKUP("industry|NOx|Non-fatal heart attacks", US_national_yearly!$D:$AM, 29, FALSE) / VLOOKUP("industry|NOx|Non-fatal heart attacks", US_national_yearly!$D:$AM, 10, FALSE), 1)</f>
        <v>2.2502948929164593E-4</v>
      </c>
      <c r="V13" s="7">
        <f>$B13 * IFERROR(VLOOKUP("industry|NOx|Non-fatal heart attacks", US_national_yearly!$D:$AM, 30, FALSE) / VLOOKUP("industry|NOx|Non-fatal heart attacks", US_national_yearly!$D:$AM, 10, FALSE), 1)</f>
        <v>2.2599997084083565E-4</v>
      </c>
      <c r="W13" s="7">
        <f>$B13 * IFERROR(VLOOKUP("industry|NOx|Non-fatal heart attacks", US_national_yearly!$D:$AM, 31, FALSE) / VLOOKUP("industry|NOx|Non-fatal heart attacks", US_national_yearly!$D:$AM, 10, FALSE), 1)</f>
        <v>2.2697045239002532E-4</v>
      </c>
      <c r="X13" s="7">
        <f>$B13 * IFERROR(VLOOKUP("industry|NOx|Non-fatal heart attacks", US_national_yearly!$D:$AM, 32, FALSE) / VLOOKUP("industry|NOx|Non-fatal heart attacks", US_national_yearly!$D:$AM, 10, FALSE), 1)</f>
        <v>2.2762542111500096E-4</v>
      </c>
      <c r="Y13" s="7">
        <f>$B13 * IFERROR(VLOOKUP("industry|NOx|Non-fatal heart attacks", US_national_yearly!$D:$AM, 33, FALSE) / VLOOKUP("industry|NOx|Non-fatal heart attacks", US_national_yearly!$D:$AM, 10, FALSE), 1)</f>
        <v>2.2828038983997663E-4</v>
      </c>
      <c r="Z13" s="7">
        <f>$B13 * IFERROR(VLOOKUP("industry|NOx|Non-fatal heart attacks", US_national_yearly!$D:$AM, 34, FALSE) / VLOOKUP("industry|NOx|Non-fatal heart attacks", US_national_yearly!$D:$AM, 10, FALSE), 1)</f>
        <v>2.289353585649523E-4</v>
      </c>
      <c r="AA13" s="7">
        <f>$B13 * IFERROR(VLOOKUP("industry|NOx|Non-fatal heart attacks", US_national_yearly!$D:$AM, 35, FALSE) / VLOOKUP("industry|NOx|Non-fatal heart attacks", US_national_yearly!$D:$AM, 10, FALSE), 1)</f>
        <v>2.2959032728992794E-4</v>
      </c>
      <c r="AB13" s="7">
        <f>$B13 * IFERROR(VLOOKUP("industry|NOx|Non-fatal heart attacks", US_national_yearly!$D:$AM, 36, FALSE) / VLOOKUP("industry|NOx|Non-fatal heart attacks", US_national_yearly!$D:$AM, 10, FALSE), 1)</f>
        <v>2.302452960149036E-4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0.10819775385560952</v>
      </c>
      <c r="C14" s="7">
        <f>$B14 * IFERROR(VLOOKUP("industry|NOx|Minor restricted activity days", US_national_yearly!$D:$AM, 11, FALSE) / VLOOKUP("industry|NOx|Minor restricted activity days", US_national_yearly!$D:$AM, 10, FALSE), 1)</f>
        <v>0.10835805717697394</v>
      </c>
      <c r="D14" s="7">
        <f>$B14 * IFERROR(VLOOKUP("industry|NOx|Minor restricted activity days", US_national_yearly!$D:$AM, 12, FALSE) / VLOOKUP("industry|NOx|Minor restricted activity days", US_national_yearly!$D:$AM, 10, FALSE), 1)</f>
        <v>0.10851836049833834</v>
      </c>
      <c r="E14" s="7">
        <f>$B14 * IFERROR(VLOOKUP("industry|NOx|Minor restricted activity days", US_national_yearly!$D:$AM, 13, FALSE) / VLOOKUP("industry|NOx|Minor restricted activity days", US_national_yearly!$D:$AM, 10, FALSE), 1)</f>
        <v>0.10867866381970276</v>
      </c>
      <c r="F14" s="7">
        <f>$B14 * IFERROR(VLOOKUP("industry|NOx|Minor restricted activity days", US_national_yearly!$D:$AM, 14, FALSE) / VLOOKUP("industry|NOx|Minor restricted activity days", US_national_yearly!$D:$AM, 10, FALSE), 1)</f>
        <v>0.10883896714106715</v>
      </c>
      <c r="G14" s="7">
        <f>$B14 * IFERROR(VLOOKUP("industry|NOx|Minor restricted activity days", US_national_yearly!$D:$AM, 15, FALSE) / VLOOKUP("industry|NOx|Minor restricted activity days", US_national_yearly!$D:$AM, 10, FALSE), 1)</f>
        <v>0.10913078434632492</v>
      </c>
      <c r="H14" s="7">
        <f>$B14 * IFERROR(VLOOKUP("industry|NOx|Minor restricted activity days", US_national_yearly!$D:$AM, 16, FALSE) / VLOOKUP("industry|NOx|Minor restricted activity days", US_national_yearly!$D:$AM, 10, FALSE), 1)</f>
        <v>0.10942260155158268</v>
      </c>
      <c r="I14" s="7">
        <f>$B14 * IFERROR(VLOOKUP("industry|NOx|Minor restricted activity days", US_national_yearly!$D:$AM, 17, FALSE) / VLOOKUP("industry|NOx|Minor restricted activity days", US_national_yearly!$D:$AM, 10, FALSE), 1)</f>
        <v>0.10999708525959344</v>
      </c>
      <c r="J14" s="7">
        <f>$B14 * IFERROR(VLOOKUP("industry|NOx|Minor restricted activity days", US_national_yearly!$D:$AM, 18, FALSE) / VLOOKUP("industry|NOx|Minor restricted activity days", US_national_yearly!$D:$AM, 10, FALSE), 1)</f>
        <v>0.11057156896760417</v>
      </c>
      <c r="K14" s="7">
        <f>$B14 * IFERROR(VLOOKUP("industry|NOx|Minor restricted activity days", US_national_yearly!$D:$AM, 19, FALSE) / VLOOKUP("industry|NOx|Minor restricted activity days", US_national_yearly!$D:$AM, 10, FALSE), 1)</f>
        <v>0.11114605267561488</v>
      </c>
      <c r="L14" s="7">
        <f>$B14 * IFERROR(VLOOKUP("industry|NOx|Minor restricted activity days", US_national_yearly!$D:$AM, 20, FALSE) / VLOOKUP("industry|NOx|Minor restricted activity days", US_national_yearly!$D:$AM, 10, FALSE), 1)</f>
        <v>0.11172053638362564</v>
      </c>
      <c r="M14" s="7">
        <f>$B14 * IFERROR(VLOOKUP("industry|NOx|Minor restricted activity days", US_national_yearly!$D:$AM, 21, FALSE) / VLOOKUP("industry|NOx|Minor restricted activity days", US_national_yearly!$D:$AM, 10, FALSE), 1)</f>
        <v>0.11229502009163637</v>
      </c>
      <c r="N14" s="7">
        <f>$B14 * IFERROR(VLOOKUP("industry|NOx|Minor restricted activity days", US_national_yearly!$D:$AM, 22, FALSE) / VLOOKUP("industry|NOx|Minor restricted activity days", US_national_yearly!$D:$AM, 10, FALSE), 1)</f>
        <v>0.11312231503659452</v>
      </c>
      <c r="O14" s="7">
        <f>$B14 * IFERROR(VLOOKUP("industry|NOx|Minor restricted activity days", US_national_yearly!$D:$AM, 23, FALSE) / VLOOKUP("industry|NOx|Minor restricted activity days", US_national_yearly!$D:$AM, 10, FALSE), 1)</f>
        <v>0.11394960998155271</v>
      </c>
      <c r="P14" s="7">
        <f>$B14 * IFERROR(VLOOKUP("industry|NOx|Minor restricted activity days", US_national_yearly!$D:$AM, 24, FALSE) / VLOOKUP("industry|NOx|Minor restricted activity days", US_national_yearly!$D:$AM, 10, FALSE), 1)</f>
        <v>0.11477690492651089</v>
      </c>
      <c r="Q14" s="7">
        <f>$B14 * IFERROR(VLOOKUP("industry|NOx|Minor restricted activity days", US_national_yearly!$D:$AM, 25, FALSE) / VLOOKUP("industry|NOx|Minor restricted activity days", US_national_yearly!$D:$AM, 10, FALSE), 1)</f>
        <v>0.11560419987146904</v>
      </c>
      <c r="R14" s="7">
        <f>$B14 * IFERROR(VLOOKUP("industry|NOx|Minor restricted activity days", US_national_yearly!$D:$AM, 26, FALSE) / VLOOKUP("industry|NOx|Minor restricted activity days", US_national_yearly!$D:$AM, 10, FALSE), 1)</f>
        <v>0.11643149481642723</v>
      </c>
      <c r="S14" s="7">
        <f>$B14 * IFERROR(VLOOKUP("industry|NOx|Minor restricted activity days", US_national_yearly!$D:$AM, 27, FALSE) / VLOOKUP("industry|NOx|Minor restricted activity days", US_national_yearly!$D:$AM, 10, FALSE), 1)</f>
        <v>0.11725967549133624</v>
      </c>
      <c r="T14" s="7">
        <f>$B14 * IFERROR(VLOOKUP("industry|NOx|Minor restricted activity days", US_national_yearly!$D:$AM, 28, FALSE) / VLOOKUP("industry|NOx|Minor restricted activity days", US_national_yearly!$D:$AM, 10, FALSE), 1)</f>
        <v>0.11808785616624527</v>
      </c>
      <c r="U14" s="7">
        <f>$B14 * IFERROR(VLOOKUP("industry|NOx|Minor restricted activity days", US_national_yearly!$D:$AM, 29, FALSE) / VLOOKUP("industry|NOx|Minor restricted activity days", US_national_yearly!$D:$AM, 10, FALSE), 1)</f>
        <v>0.1189160368411543</v>
      </c>
      <c r="V14" s="7">
        <f>$B14 * IFERROR(VLOOKUP("industry|NOx|Minor restricted activity days", US_national_yearly!$D:$AM, 30, FALSE) / VLOOKUP("industry|NOx|Minor restricted activity days", US_national_yearly!$D:$AM, 10, FALSE), 1)</f>
        <v>0.11974421751606334</v>
      </c>
      <c r="W14" s="7">
        <f>$B14 * IFERROR(VLOOKUP("industry|NOx|Minor restricted activity days", US_national_yearly!$D:$AM, 31, FALSE) / VLOOKUP("industry|NOx|Minor restricted activity days", US_national_yearly!$D:$AM, 10, FALSE), 1)</f>
        <v>0.12057239819097237</v>
      </c>
      <c r="X14" s="7">
        <f>$B14 * IFERROR(VLOOKUP("industry|NOx|Minor restricted activity days", US_national_yearly!$D:$AM, 32, FALSE) / VLOOKUP("industry|NOx|Minor restricted activity days", US_national_yearly!$D:$AM, 10, FALSE), 1)</f>
        <v>0.12127161904791203</v>
      </c>
      <c r="Y14" s="7">
        <f>$B14 * IFERROR(VLOOKUP("industry|NOx|Minor restricted activity days", US_national_yearly!$D:$AM, 33, FALSE) / VLOOKUP("industry|NOx|Minor restricted activity days", US_national_yearly!$D:$AM, 10, FALSE), 1)</f>
        <v>0.12197083990485166</v>
      </c>
      <c r="Z14" s="7">
        <f>$B14 * IFERROR(VLOOKUP("industry|NOx|Minor restricted activity days", US_national_yearly!$D:$AM, 34, FALSE) / VLOOKUP("industry|NOx|Minor restricted activity days", US_national_yearly!$D:$AM, 10, FALSE), 1)</f>
        <v>0.12267006076179131</v>
      </c>
      <c r="AA14" s="7">
        <f>$B14 * IFERROR(VLOOKUP("industry|NOx|Minor restricted activity days", US_national_yearly!$D:$AM, 35, FALSE) / VLOOKUP("industry|NOx|Minor restricted activity days", US_national_yearly!$D:$AM, 10, FALSE), 1)</f>
        <v>0.12336928161873097</v>
      </c>
      <c r="AB14" s="7">
        <f>$B14 * IFERROR(VLOOKUP("industry|NOx|Minor restricted activity days", US_national_yearly!$D:$AM, 36, FALSE) / VLOOKUP("industry|NOx|Minor restricted activity days", US_national_yearly!$D:$AM, 10, FALSE), 1)</f>
        <v>0.12406850247567063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1.8243692661772129E-2</v>
      </c>
      <c r="C15" s="7">
        <f>$B15 * IFERROR(VLOOKUP("industry|NOx|Work loss days", US_national_yearly!$D:$AM, 11, FALSE) / VLOOKUP("industry|NOx|Work loss days", US_national_yearly!$D:$AM, 10, FALSE), 1)</f>
        <v>1.8283220848875553E-2</v>
      </c>
      <c r="D15" s="7">
        <f>$B15 * IFERROR(VLOOKUP("industry|NOx|Work loss days", US_national_yearly!$D:$AM, 12, FALSE) / VLOOKUP("industry|NOx|Work loss days", US_national_yearly!$D:$AM, 10, FALSE), 1)</f>
        <v>1.8322749035978966E-2</v>
      </c>
      <c r="E15" s="7">
        <f>$B15 * IFERROR(VLOOKUP("industry|NOx|Work loss days", US_national_yearly!$D:$AM, 13, FALSE) / VLOOKUP("industry|NOx|Work loss days", US_national_yearly!$D:$AM, 10, FALSE), 1)</f>
        <v>1.8362277223082389E-2</v>
      </c>
      <c r="F15" s="7">
        <f>$B15 * IFERROR(VLOOKUP("industry|NOx|Work loss days", US_national_yearly!$D:$AM, 14, FALSE) / VLOOKUP("industry|NOx|Work loss days", US_national_yearly!$D:$AM, 10, FALSE), 1)</f>
        <v>1.8401805410185806E-2</v>
      </c>
      <c r="G15" s="7">
        <f>$B15 * IFERROR(VLOOKUP("industry|NOx|Work loss days", US_national_yearly!$D:$AM, 15, FALSE) / VLOOKUP("industry|NOx|Work loss days", US_national_yearly!$D:$AM, 10, FALSE), 1)</f>
        <v>1.8459625233960421E-2</v>
      </c>
      <c r="H15" s="7">
        <f>$B15 * IFERROR(VLOOKUP("industry|NOx|Work loss days", US_national_yearly!$D:$AM, 16, FALSE) / VLOOKUP("industry|NOx|Work loss days", US_national_yearly!$D:$AM, 10, FALSE), 1)</f>
        <v>1.8517445057735036E-2</v>
      </c>
      <c r="I15" s="7">
        <f>$B15 * IFERROR(VLOOKUP("industry|NOx|Work loss days", US_national_yearly!$D:$AM, 17, FALSE) / VLOOKUP("industry|NOx|Work loss days", US_national_yearly!$D:$AM, 10, FALSE), 1)</f>
        <v>1.8611387610886296E-2</v>
      </c>
      <c r="J15" s="7">
        <f>$B15 * IFERROR(VLOOKUP("industry|NOx|Work loss days", US_national_yearly!$D:$AM, 18, FALSE) / VLOOKUP("industry|NOx|Work loss days", US_national_yearly!$D:$AM, 10, FALSE), 1)</f>
        <v>1.870533016403755E-2</v>
      </c>
      <c r="K15" s="7">
        <f>$B15 * IFERROR(VLOOKUP("industry|NOx|Work loss days", US_national_yearly!$D:$AM, 19, FALSE) / VLOOKUP("industry|NOx|Work loss days", US_national_yearly!$D:$AM, 10, FALSE), 1)</f>
        <v>1.8799272717188811E-2</v>
      </c>
      <c r="L15" s="7">
        <f>$B15 * IFERROR(VLOOKUP("industry|NOx|Work loss days", US_national_yearly!$D:$AM, 20, FALSE) / VLOOKUP("industry|NOx|Work loss days", US_national_yearly!$D:$AM, 10, FALSE), 1)</f>
        <v>1.8893215270340068E-2</v>
      </c>
      <c r="M15" s="7">
        <f>$B15 * IFERROR(VLOOKUP("industry|NOx|Work loss days", US_national_yearly!$D:$AM, 21, FALSE) / VLOOKUP("industry|NOx|Work loss days", US_national_yearly!$D:$AM, 10, FALSE), 1)</f>
        <v>1.8987157823491328E-2</v>
      </c>
      <c r="N15" s="7">
        <f>$B15 * IFERROR(VLOOKUP("industry|NOx|Work loss days", US_national_yearly!$D:$AM, 22, FALSE) / VLOOKUP("industry|NOx|Work loss days", US_national_yearly!$D:$AM, 10, FALSE), 1)</f>
        <v>1.9110013379025619E-2</v>
      </c>
      <c r="O15" s="7">
        <f>$B15 * IFERROR(VLOOKUP("industry|NOx|Work loss days", US_national_yearly!$D:$AM, 23, FALSE) / VLOOKUP("industry|NOx|Work loss days", US_national_yearly!$D:$AM, 10, FALSE), 1)</f>
        <v>1.9232868934559916E-2</v>
      </c>
      <c r="P15" s="7">
        <f>$B15 * IFERROR(VLOOKUP("industry|NOx|Work loss days", US_national_yearly!$D:$AM, 24, FALSE) / VLOOKUP("industry|NOx|Work loss days", US_national_yearly!$D:$AM, 10, FALSE), 1)</f>
        <v>1.9355724490094206E-2</v>
      </c>
      <c r="Q15" s="7">
        <f>$B15 * IFERROR(VLOOKUP("industry|NOx|Work loss days", US_national_yearly!$D:$AM, 25, FALSE) / VLOOKUP("industry|NOx|Work loss days", US_national_yearly!$D:$AM, 10, FALSE), 1)</f>
        <v>1.9478580045628496E-2</v>
      </c>
      <c r="R15" s="7">
        <f>$B15 * IFERROR(VLOOKUP("industry|NOx|Work loss days", US_national_yearly!$D:$AM, 26, FALSE) / VLOOKUP("industry|NOx|Work loss days", US_national_yearly!$D:$AM, 10, FALSE), 1)</f>
        <v>1.960143560116279E-2</v>
      </c>
      <c r="S15" s="7">
        <f>$B15 * IFERROR(VLOOKUP("industry|NOx|Work loss days", US_national_yearly!$D:$AM, 27, FALSE) / VLOOKUP("industry|NOx|Work loss days", US_national_yearly!$D:$AM, 10, FALSE), 1)</f>
        <v>1.9738780670654744E-2</v>
      </c>
      <c r="T15" s="7">
        <f>$B15 * IFERROR(VLOOKUP("industry|NOx|Work loss days", US_national_yearly!$D:$AM, 28, FALSE) / VLOOKUP("industry|NOx|Work loss days", US_national_yearly!$D:$AM, 10, FALSE), 1)</f>
        <v>1.9876125740146699E-2</v>
      </c>
      <c r="U15" s="7">
        <f>$B15 * IFERROR(VLOOKUP("industry|NOx|Work loss days", US_national_yearly!$D:$AM, 29, FALSE) / VLOOKUP("industry|NOx|Work loss days", US_national_yearly!$D:$AM, 10, FALSE), 1)</f>
        <v>2.0013470809638653E-2</v>
      </c>
      <c r="V15" s="7">
        <f>$B15 * IFERROR(VLOOKUP("industry|NOx|Work loss days", US_national_yearly!$D:$AM, 30, FALSE) / VLOOKUP("industry|NOx|Work loss days", US_national_yearly!$D:$AM, 10, FALSE), 1)</f>
        <v>2.0150815879130604E-2</v>
      </c>
      <c r="W15" s="7">
        <f>$B15 * IFERROR(VLOOKUP("industry|NOx|Work loss days", US_national_yearly!$D:$AM, 31, FALSE) / VLOOKUP("industry|NOx|Work loss days", US_national_yearly!$D:$AM, 10, FALSE), 1)</f>
        <v>2.0288160948622562E-2</v>
      </c>
      <c r="X15" s="7">
        <f>$B15 * IFERROR(VLOOKUP("industry|NOx|Work loss days", US_national_yearly!$D:$AM, 32, FALSE) / VLOOKUP("industry|NOx|Work loss days", US_national_yearly!$D:$AM, 10, FALSE), 1)</f>
        <v>2.0407312586315642E-2</v>
      </c>
      <c r="Y15" s="7">
        <f>$B15 * IFERROR(VLOOKUP("industry|NOx|Work loss days", US_national_yearly!$D:$AM, 33, FALSE) / VLOOKUP("industry|NOx|Work loss days", US_national_yearly!$D:$AM, 10, FALSE), 1)</f>
        <v>2.0526464224008723E-2</v>
      </c>
      <c r="Z15" s="7">
        <f>$B15 * IFERROR(VLOOKUP("industry|NOx|Work loss days", US_national_yearly!$D:$AM, 34, FALSE) / VLOOKUP("industry|NOx|Work loss days", US_national_yearly!$D:$AM, 10, FALSE), 1)</f>
        <v>2.0645615861701803E-2</v>
      </c>
      <c r="AA15" s="7">
        <f>$B15 * IFERROR(VLOOKUP("industry|NOx|Work loss days", US_national_yearly!$D:$AM, 35, FALSE) / VLOOKUP("industry|NOx|Work loss days", US_national_yearly!$D:$AM, 10, FALSE), 1)</f>
        <v>2.0764767499394883E-2</v>
      </c>
      <c r="AB15" s="7">
        <f>$B15 * IFERROR(VLOOKUP("industry|NOx|Work loss days", US_national_yearly!$D:$AM, 36, FALSE) / VLOOKUP("industry|NOx|Work loss days", US_national_yearly!$D:$AM, 10, FALSE), 1)</f>
        <v>2.0883919137087963E-2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4.5004571974115699E-5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4.632602642139812E-5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4.7647480868680541E-5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4.8968935315962961E-5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5.0290389763245389E-5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5.1546331982054393E-5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5.2802274200863404E-5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5.3861124367657684E-5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5.491997453445197E-5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5.5978824701246243E-5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5.7037674868040523E-5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5.8096525034834796E-5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5.8759408811682062E-5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5.94222925885293E-5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6.0085176365376552E-5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6.0748060142223804E-5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6.1410943919071049E-5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6.1716745242649523E-5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6.2022546566227997E-5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6.2328347889806471E-5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6.2634149213384945E-5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6.2939950536963418E-5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6.3112726147618762E-5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6.3285501758274091E-5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6.3458277368929434E-5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6.3631052979584764E-5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6.3803828590240107E-5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1.662973492776975E-2</v>
      </c>
      <c r="C2" s="7">
        <f>$B2 * IFERROR(VLOOKUP("industry|SO2|Premature mortality", US_national_yearly!$D:$AM, 11, FALSE) / VLOOKUP("industry|SO2|Premature mortality", US_national_yearly!$D:$AM, 10, FALSE), 1)</f>
        <v>1.684054845930965E-2</v>
      </c>
      <c r="D2" s="7">
        <f>$B2 * IFERROR(VLOOKUP("industry|SO2|Premature mortality", US_national_yearly!$D:$AM, 12, FALSE) / VLOOKUP("industry|SO2|Premature mortality", US_national_yearly!$D:$AM, 10, FALSE), 1)</f>
        <v>1.7051361990849546E-2</v>
      </c>
      <c r="E2" s="7">
        <f>$B2 * IFERROR(VLOOKUP("industry|SO2|Premature mortality", US_national_yearly!$D:$AM, 13, FALSE) / VLOOKUP("industry|SO2|Premature mortality", US_national_yearly!$D:$AM, 10, FALSE), 1)</f>
        <v>1.7262175522389438E-2</v>
      </c>
      <c r="F2" s="7">
        <f>$B2 * IFERROR(VLOOKUP("industry|SO2|Premature mortality", US_national_yearly!$D:$AM, 14, FALSE) / VLOOKUP("industry|SO2|Premature mortality", US_national_yearly!$D:$AM, 10, FALSE), 1)</f>
        <v>1.7472989053929338E-2</v>
      </c>
      <c r="G2" s="7">
        <f>$B2 * IFERROR(VLOOKUP("industry|SO2|Premature mortality", US_national_yearly!$D:$AM, 15, FALSE) / VLOOKUP("industry|SO2|Premature mortality", US_national_yearly!$D:$AM, 10, FALSE), 1)</f>
        <v>1.7879324465640355E-2</v>
      </c>
      <c r="H2" s="7">
        <f>$B2 * IFERROR(VLOOKUP("industry|SO2|Premature mortality", US_national_yearly!$D:$AM, 16, FALSE) / VLOOKUP("industry|SO2|Premature mortality", US_national_yearly!$D:$AM, 10, FALSE), 1)</f>
        <v>1.8285659877351375E-2</v>
      </c>
      <c r="I2" s="7">
        <f>$B2 * IFERROR(VLOOKUP("industry|SO2|Premature mortality", US_national_yearly!$D:$AM, 17, FALSE) / VLOOKUP("industry|SO2|Premature mortality", US_national_yearly!$D:$AM, 10, FALSE), 1)</f>
        <v>1.8554723293973865E-2</v>
      </c>
      <c r="J2" s="7">
        <f>$B2 * IFERROR(VLOOKUP("industry|SO2|Premature mortality", US_national_yearly!$D:$AM, 18, FALSE) / VLOOKUP("industry|SO2|Premature mortality", US_national_yearly!$D:$AM, 10, FALSE), 1)</f>
        <v>1.8823786710596355E-2</v>
      </c>
      <c r="K2" s="7">
        <f>$B2 * IFERROR(VLOOKUP("industry|SO2|Premature mortality", US_national_yearly!$D:$AM, 19, FALSE) / VLOOKUP("industry|SO2|Premature mortality", US_national_yearly!$D:$AM, 10, FALSE), 1)</f>
        <v>1.9092850127218845E-2</v>
      </c>
      <c r="L2" s="7">
        <f>$B2 * IFERROR(VLOOKUP("industry|SO2|Premature mortality", US_national_yearly!$D:$AM, 20, FALSE) / VLOOKUP("industry|SO2|Premature mortality", US_national_yearly!$D:$AM, 10, FALSE), 1)</f>
        <v>1.9361913543841338E-2</v>
      </c>
      <c r="M2" s="7">
        <f>$B2 * IFERROR(VLOOKUP("industry|SO2|Premature mortality", US_national_yearly!$D:$AM, 21, FALSE) / VLOOKUP("industry|SO2|Premature mortality", US_national_yearly!$D:$AM, 10, FALSE), 1)</f>
        <v>1.9630976960463824E-2</v>
      </c>
      <c r="N2" s="7">
        <f>$B2 * IFERROR(VLOOKUP("industry|SO2|Premature mortality", US_national_yearly!$D:$AM, 22, FALSE) / VLOOKUP("industry|SO2|Premature mortality", US_national_yearly!$D:$AM, 10, FALSE), 1)</f>
        <v>1.9841448525146847E-2</v>
      </c>
      <c r="O2" s="7">
        <f>$B2 * IFERROR(VLOOKUP("industry|SO2|Premature mortality", US_national_yearly!$D:$AM, 23, FALSE) / VLOOKUP("industry|SO2|Premature mortality", US_national_yearly!$D:$AM, 10, FALSE), 1)</f>
        <v>2.0051920089829867E-2</v>
      </c>
      <c r="P2" s="7">
        <f>$B2 * IFERROR(VLOOKUP("industry|SO2|Premature mortality", US_national_yearly!$D:$AM, 24, FALSE) / VLOOKUP("industry|SO2|Premature mortality", US_national_yearly!$D:$AM, 10, FALSE), 1)</f>
        <v>2.0262391654512889E-2</v>
      </c>
      <c r="Q2" s="7">
        <f>$B2 * IFERROR(VLOOKUP("industry|SO2|Premature mortality", US_national_yearly!$D:$AM, 25, FALSE) / VLOOKUP("industry|SO2|Premature mortality", US_national_yearly!$D:$AM, 10, FALSE), 1)</f>
        <v>2.0472863219195912E-2</v>
      </c>
      <c r="R2" s="7">
        <f>$B2 * IFERROR(VLOOKUP("industry|SO2|Premature mortality", US_national_yearly!$D:$AM, 26, FALSE) / VLOOKUP("industry|SO2|Premature mortality", US_national_yearly!$D:$AM, 10, FALSE), 1)</f>
        <v>2.0683334783878932E-2</v>
      </c>
      <c r="S2" s="7">
        <f>$B2 * IFERROR(VLOOKUP("industry|SO2|Premature mortality", US_national_yearly!$D:$AM, 27, FALSE) / VLOOKUP("industry|SO2|Premature mortality", US_national_yearly!$D:$AM, 10, FALSE), 1)</f>
        <v>2.0796977833785361E-2</v>
      </c>
      <c r="T2" s="7">
        <f>$B2 * IFERROR(VLOOKUP("industry|SO2|Premature mortality", US_national_yearly!$D:$AM, 28, FALSE) / VLOOKUP("industry|SO2|Premature mortality", US_national_yearly!$D:$AM, 10, FALSE), 1)</f>
        <v>2.0910620883691795E-2</v>
      </c>
      <c r="U2" s="7">
        <f>$B2 * IFERROR(VLOOKUP("industry|SO2|Premature mortality", US_national_yearly!$D:$AM, 29, FALSE) / VLOOKUP("industry|SO2|Premature mortality", US_national_yearly!$D:$AM, 10, FALSE), 1)</f>
        <v>2.1024263933598231E-2</v>
      </c>
      <c r="V2" s="7">
        <f>$B2 * IFERROR(VLOOKUP("industry|SO2|Premature mortality", US_national_yearly!$D:$AM, 30, FALSE) / VLOOKUP("industry|SO2|Premature mortality", US_national_yearly!$D:$AM, 10, FALSE), 1)</f>
        <v>2.1137906983504665E-2</v>
      </c>
      <c r="W2" s="7">
        <f>$B2 * IFERROR(VLOOKUP("industry|SO2|Premature mortality", US_national_yearly!$D:$AM, 31, FALSE) / VLOOKUP("industry|SO2|Premature mortality", US_national_yearly!$D:$AM, 10, FALSE), 1)</f>
        <v>2.1251550033411101E-2</v>
      </c>
      <c r="X2" s="7">
        <f>$B2 * IFERROR(VLOOKUP("industry|SO2|Premature mortality", US_national_yearly!$D:$AM, 32, FALSE) / VLOOKUP("industry|SO2|Premature mortality", US_national_yearly!$D:$AM, 10, FALSE), 1)</f>
        <v>2.1276009485444426E-2</v>
      </c>
      <c r="Y2" s="7">
        <f>$B2 * IFERROR(VLOOKUP("industry|SO2|Premature mortality", US_national_yearly!$D:$AM, 33, FALSE) / VLOOKUP("industry|SO2|Premature mortality", US_national_yearly!$D:$AM, 10, FALSE), 1)</f>
        <v>2.1300468937477751E-2</v>
      </c>
      <c r="Z2" s="7">
        <f>$B2 * IFERROR(VLOOKUP("industry|SO2|Premature mortality", US_national_yearly!$D:$AM, 34, FALSE) / VLOOKUP("industry|SO2|Premature mortality", US_national_yearly!$D:$AM, 10, FALSE), 1)</f>
        <v>2.132492838951108E-2</v>
      </c>
      <c r="AA2" s="7">
        <f>$B2 * IFERROR(VLOOKUP("industry|SO2|Premature mortality", US_national_yearly!$D:$AM, 35, FALSE) / VLOOKUP("industry|SO2|Premature mortality", US_national_yearly!$D:$AM, 10, FALSE), 1)</f>
        <v>2.1349387841544405E-2</v>
      </c>
      <c r="AB2" s="7">
        <f>$B2 * IFERROR(VLOOKUP("industry|SO2|Premature mortality", US_national_yearly!$D:$AM, 36, FALSE) / VLOOKUP("industry|SO2|Premature mortality", US_national_yearly!$D:$AM, 10, FALSE), 1)</f>
        <v>2.1373847293577733E-2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3.0625681058725169E-5</v>
      </c>
      <c r="C3" s="7">
        <f>$B3 * IFERROR(VLOOKUP("industry|SO2|Infant mortality", US_national_yearly!$D:$AM, 11, FALSE) / VLOOKUP("industry|SO2|Infant mortality", US_national_yearly!$D:$AM, 10, FALSE), 1)</f>
        <v>3.0362205962823672E-5</v>
      </c>
      <c r="D3" s="7">
        <f>$B3 * IFERROR(VLOOKUP("industry|SO2|Infant mortality", US_national_yearly!$D:$AM, 12, FALSE) / VLOOKUP("industry|SO2|Infant mortality", US_national_yearly!$D:$AM, 10, FALSE), 1)</f>
        <v>3.0098730866922174E-5</v>
      </c>
      <c r="E3" s="7">
        <f>$B3 * IFERROR(VLOOKUP("industry|SO2|Infant mortality", US_national_yearly!$D:$AM, 13, FALSE) / VLOOKUP("industry|SO2|Infant mortality", US_national_yearly!$D:$AM, 10, FALSE), 1)</f>
        <v>2.9835255771020677E-5</v>
      </c>
      <c r="F3" s="7">
        <f>$B3 * IFERROR(VLOOKUP("industry|SO2|Infant mortality", US_national_yearly!$D:$AM, 14, FALSE) / VLOOKUP("industry|SO2|Infant mortality", US_national_yearly!$D:$AM, 10, FALSE), 1)</f>
        <v>2.957178067511918E-5</v>
      </c>
      <c r="G3" s="7">
        <f>$B3 * IFERROR(VLOOKUP("industry|SO2|Infant mortality", US_national_yearly!$D:$AM, 15, FALSE) / VLOOKUP("industry|SO2|Infant mortality", US_national_yearly!$D:$AM, 10, FALSE), 1)</f>
        <v>1.9685885491605305E-5</v>
      </c>
      <c r="H3" s="7">
        <f>$B3 * IFERROR(VLOOKUP("industry|SO2|Infant mortality", US_national_yearly!$D:$AM, 16, FALSE) / VLOOKUP("industry|SO2|Infant mortality", US_national_yearly!$D:$AM, 10, FALSE), 1)</f>
        <v>9.7999903080914315E-6</v>
      </c>
      <c r="I3" s="7">
        <f>$B3 * IFERROR(VLOOKUP("industry|SO2|Infant mortality", US_national_yearly!$D:$AM, 17, FALSE) / VLOOKUP("industry|SO2|Infant mortality", US_national_yearly!$D:$AM, 10, FALSE), 1)</f>
        <v>9.7377612054834017E-6</v>
      </c>
      <c r="J3" s="7">
        <f>$B3 * IFERROR(VLOOKUP("industry|SO2|Infant mortality", US_national_yearly!$D:$AM, 18, FALSE) / VLOOKUP("industry|SO2|Infant mortality", US_national_yearly!$D:$AM, 10, FALSE), 1)</f>
        <v>9.6755321028753701E-6</v>
      </c>
      <c r="K3" s="7">
        <f>$B3 * IFERROR(VLOOKUP("industry|SO2|Infant mortality", US_national_yearly!$D:$AM, 19, FALSE) / VLOOKUP("industry|SO2|Infant mortality", US_national_yearly!$D:$AM, 10, FALSE), 1)</f>
        <v>9.6133030002673386E-6</v>
      </c>
      <c r="L3" s="7">
        <f>$B3 * IFERROR(VLOOKUP("industry|SO2|Infant mortality", US_national_yearly!$D:$AM, 20, FALSE) / VLOOKUP("industry|SO2|Infant mortality", US_national_yearly!$D:$AM, 10, FALSE), 1)</f>
        <v>9.5510738976593088E-6</v>
      </c>
      <c r="M3" s="7">
        <f>$B3 * IFERROR(VLOOKUP("industry|SO2|Infant mortality", US_national_yearly!$D:$AM, 21, FALSE) / VLOOKUP("industry|SO2|Infant mortality", US_national_yearly!$D:$AM, 10, FALSE), 1)</f>
        <v>9.4888447950512773E-6</v>
      </c>
      <c r="N3" s="7">
        <f>$B3 * IFERROR(VLOOKUP("industry|SO2|Infant mortality", US_national_yearly!$D:$AM, 22, FALSE) / VLOOKUP("industry|SO2|Infant mortality", US_national_yearly!$D:$AM, 10, FALSE), 1)</f>
        <v>9.4494036974692392E-6</v>
      </c>
      <c r="O3" s="7">
        <f>$B3 * IFERROR(VLOOKUP("industry|SO2|Infant mortality", US_national_yearly!$D:$AM, 23, FALSE) / VLOOKUP("industry|SO2|Infant mortality", US_national_yearly!$D:$AM, 10, FALSE), 1)</f>
        <v>9.4099625998872027E-6</v>
      </c>
      <c r="P3" s="7">
        <f>$B3 * IFERROR(VLOOKUP("industry|SO2|Infant mortality", US_national_yearly!$D:$AM, 24, FALSE) / VLOOKUP("industry|SO2|Infant mortality", US_national_yearly!$D:$AM, 10, FALSE), 1)</f>
        <v>9.3705215023051646E-6</v>
      </c>
      <c r="Q3" s="7">
        <f>$B3 * IFERROR(VLOOKUP("industry|SO2|Infant mortality", US_national_yearly!$D:$AM, 25, FALSE) / VLOOKUP("industry|SO2|Infant mortality", US_national_yearly!$D:$AM, 10, FALSE), 1)</f>
        <v>9.3310804047231264E-6</v>
      </c>
      <c r="R3" s="7">
        <f>$B3 * IFERROR(VLOOKUP("industry|SO2|Infant mortality", US_national_yearly!$D:$AM, 26, FALSE) / VLOOKUP("industry|SO2|Infant mortality", US_national_yearly!$D:$AM, 10, FALSE), 1)</f>
        <v>9.2916393071410882E-6</v>
      </c>
      <c r="S3" s="7">
        <f>$B3 * IFERROR(VLOOKUP("industry|SO2|Infant mortality", US_national_yearly!$D:$AM, 27, FALSE) / VLOOKUP("industry|SO2|Infant mortality", US_national_yearly!$D:$AM, 10, FALSE), 1)</f>
        <v>9.2425553111318259E-6</v>
      </c>
      <c r="T3" s="7">
        <f>$B3 * IFERROR(VLOOKUP("industry|SO2|Infant mortality", US_national_yearly!$D:$AM, 28, FALSE) / VLOOKUP("industry|SO2|Infant mortality", US_national_yearly!$D:$AM, 10, FALSE), 1)</f>
        <v>9.1934713151225635E-6</v>
      </c>
      <c r="U3" s="7">
        <f>$B3 * IFERROR(VLOOKUP("industry|SO2|Infant mortality", US_national_yearly!$D:$AM, 29, FALSE) / VLOOKUP("industry|SO2|Infant mortality", US_national_yearly!$D:$AM, 10, FALSE), 1)</f>
        <v>9.1443873191133012E-6</v>
      </c>
      <c r="V3" s="7">
        <f>$B3 * IFERROR(VLOOKUP("industry|SO2|Infant mortality", US_national_yearly!$D:$AM, 30, FALSE) / VLOOKUP("industry|SO2|Infant mortality", US_national_yearly!$D:$AM, 10, FALSE), 1)</f>
        <v>9.0953033231040371E-6</v>
      </c>
      <c r="W3" s="7">
        <f>$B3 * IFERROR(VLOOKUP("industry|SO2|Infant mortality", US_national_yearly!$D:$AM, 31, FALSE) / VLOOKUP("industry|SO2|Infant mortality", US_national_yearly!$D:$AM, 10, FALSE), 1)</f>
        <v>9.0462193270947747E-6</v>
      </c>
      <c r="X3" s="7">
        <f>$B3 * IFERROR(VLOOKUP("industry|SO2|Infant mortality", US_national_yearly!$D:$AM, 32, FALSE) / VLOOKUP("industry|SO2|Infant mortality", US_national_yearly!$D:$AM, 10, FALSE), 1)</f>
        <v>8.9928796711324026E-6</v>
      </c>
      <c r="Y3" s="7">
        <f>$B3 * IFERROR(VLOOKUP("industry|SO2|Infant mortality", US_national_yearly!$D:$AM, 33, FALSE) / VLOOKUP("industry|SO2|Infant mortality", US_national_yearly!$D:$AM, 10, FALSE), 1)</f>
        <v>8.9395400151700289E-6</v>
      </c>
      <c r="Z3" s="7">
        <f>$B3 * IFERROR(VLOOKUP("industry|SO2|Infant mortality", US_national_yearly!$D:$AM, 34, FALSE) / VLOOKUP("industry|SO2|Infant mortality", US_national_yearly!$D:$AM, 10, FALSE), 1)</f>
        <v>8.8862003592076551E-6</v>
      </c>
      <c r="AA3" s="7">
        <f>$B3 * IFERROR(VLOOKUP("industry|SO2|Infant mortality", US_national_yearly!$D:$AM, 35, FALSE) / VLOOKUP("industry|SO2|Infant mortality", US_national_yearly!$D:$AM, 10, FALSE), 1)</f>
        <v>8.8328607032452813E-6</v>
      </c>
      <c r="AB3" s="7">
        <f>$B3 * IFERROR(VLOOKUP("industry|SO2|Infant mortality", US_national_yearly!$D:$AM, 36, FALSE) / VLOOKUP("industry|SO2|Infant mortality", US_national_yearly!$D:$AM, 10, FALSE), 1)</f>
        <v>8.7795210472829075E-6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3.1782300851264628E-2</v>
      </c>
      <c r="C6" s="7">
        <f>$B6 * IFERROR(VLOOKUP("industry|SO2|Asthma symptoms cough", US_national_yearly!$D:$AM, 11, FALSE) / VLOOKUP("industry|SO2|Asthma symptoms cough", US_national_yearly!$D:$AM, 10, FALSE), 1)</f>
        <v>3.1782300851264628E-2</v>
      </c>
      <c r="D6" s="7">
        <f>$B6 * IFERROR(VLOOKUP("industry|SO2|Asthma symptoms cough", US_national_yearly!$D:$AM, 12, FALSE) / VLOOKUP("industry|SO2|Asthma symptoms cough", US_national_yearly!$D:$AM, 10, FALSE), 1)</f>
        <v>3.1782300851264628E-2</v>
      </c>
      <c r="E6" s="7">
        <f>$B6 * IFERROR(VLOOKUP("industry|SO2|Asthma symptoms cough", US_national_yearly!$D:$AM, 13, FALSE) / VLOOKUP("industry|SO2|Asthma symptoms cough", US_national_yearly!$D:$AM, 10, FALSE), 1)</f>
        <v>3.1782300851264628E-2</v>
      </c>
      <c r="F6" s="7">
        <f>$B6 * IFERROR(VLOOKUP("industry|SO2|Asthma symptoms cough", US_national_yearly!$D:$AM, 14, FALSE) / VLOOKUP("industry|SO2|Asthma symptoms cough", US_national_yearly!$D:$AM, 10, FALSE), 1)</f>
        <v>3.1782300851264628E-2</v>
      </c>
      <c r="G6" s="7">
        <f>$B6 * IFERROR(VLOOKUP("industry|SO2|Asthma symptoms cough", US_national_yearly!$D:$AM, 15, FALSE) / VLOOKUP("industry|SO2|Asthma symptoms cough", US_national_yearly!$D:$AM, 10, FALSE), 1)</f>
        <v>3.1782300851264628E-2</v>
      </c>
      <c r="H6" s="7">
        <f>$B6 * IFERROR(VLOOKUP("industry|SO2|Asthma symptoms cough", US_national_yearly!$D:$AM, 16, FALSE) / VLOOKUP("industry|SO2|Asthma symptoms cough", US_national_yearly!$D:$AM, 10, FALSE), 1)</f>
        <v>3.1782300851264628E-2</v>
      </c>
      <c r="I6" s="7">
        <f>$B6 * IFERROR(VLOOKUP("industry|SO2|Asthma symptoms cough", US_national_yearly!$D:$AM, 17, FALSE) / VLOOKUP("industry|SO2|Asthma symptoms cough", US_national_yearly!$D:$AM, 10, FALSE), 1)</f>
        <v>3.1782300851264628E-2</v>
      </c>
      <c r="J6" s="7">
        <f>$B6 * IFERROR(VLOOKUP("industry|SO2|Asthma symptoms cough", US_national_yearly!$D:$AM, 18, FALSE) / VLOOKUP("industry|SO2|Asthma symptoms cough", US_national_yearly!$D:$AM, 10, FALSE), 1)</f>
        <v>3.1782300851264628E-2</v>
      </c>
      <c r="K6" s="7">
        <f>$B6 * IFERROR(VLOOKUP("industry|SO2|Asthma symptoms cough", US_national_yearly!$D:$AM, 19, FALSE) / VLOOKUP("industry|SO2|Asthma symptoms cough", US_national_yearly!$D:$AM, 10, FALSE), 1)</f>
        <v>3.1782300851264628E-2</v>
      </c>
      <c r="L6" s="7">
        <f>$B6 * IFERROR(VLOOKUP("industry|SO2|Asthma symptoms cough", US_national_yearly!$D:$AM, 20, FALSE) / VLOOKUP("industry|SO2|Asthma symptoms cough", US_national_yearly!$D:$AM, 10, FALSE), 1)</f>
        <v>3.1782300851264628E-2</v>
      </c>
      <c r="M6" s="7">
        <f>$B6 * IFERROR(VLOOKUP("industry|SO2|Asthma symptoms cough", US_national_yearly!$D:$AM, 21, FALSE) / VLOOKUP("industry|SO2|Asthma symptoms cough", US_national_yearly!$D:$AM, 10, FALSE), 1)</f>
        <v>3.1782300851264628E-2</v>
      </c>
      <c r="N6" s="7">
        <f>$B6 * IFERROR(VLOOKUP("industry|SO2|Asthma symptoms cough", US_national_yearly!$D:$AM, 22, FALSE) / VLOOKUP("industry|SO2|Asthma symptoms cough", US_national_yearly!$D:$AM, 10, FALSE), 1)</f>
        <v>3.1782300851264628E-2</v>
      </c>
      <c r="O6" s="7">
        <f>$B6 * IFERROR(VLOOKUP("industry|SO2|Asthma symptoms cough", US_national_yearly!$D:$AM, 23, FALSE) / VLOOKUP("industry|SO2|Asthma symptoms cough", US_national_yearly!$D:$AM, 10, FALSE), 1)</f>
        <v>3.1782300851264628E-2</v>
      </c>
      <c r="P6" s="7">
        <f>$B6 * IFERROR(VLOOKUP("industry|SO2|Asthma symptoms cough", US_national_yearly!$D:$AM, 24, FALSE) / VLOOKUP("industry|SO2|Asthma symptoms cough", US_national_yearly!$D:$AM, 10, FALSE), 1)</f>
        <v>3.1782300851264628E-2</v>
      </c>
      <c r="Q6" s="7">
        <f>$B6 * IFERROR(VLOOKUP("industry|SO2|Asthma symptoms cough", US_national_yearly!$D:$AM, 25, FALSE) / VLOOKUP("industry|SO2|Asthma symptoms cough", US_national_yearly!$D:$AM, 10, FALSE), 1)</f>
        <v>3.1782300851264628E-2</v>
      </c>
      <c r="R6" s="7">
        <f>$B6 * IFERROR(VLOOKUP("industry|SO2|Asthma symptoms cough", US_national_yearly!$D:$AM, 26, FALSE) / VLOOKUP("industry|SO2|Asthma symptoms cough", US_national_yearly!$D:$AM, 10, FALSE), 1)</f>
        <v>3.1782300851264628E-2</v>
      </c>
      <c r="S6" s="7">
        <f>$B6 * IFERROR(VLOOKUP("industry|SO2|Asthma symptoms cough", US_national_yearly!$D:$AM, 27, FALSE) / VLOOKUP("industry|SO2|Asthma symptoms cough", US_national_yearly!$D:$AM, 10, FALSE), 1)</f>
        <v>3.1782300851264628E-2</v>
      </c>
      <c r="T6" s="7">
        <f>$B6 * IFERROR(VLOOKUP("industry|SO2|Asthma symptoms cough", US_national_yearly!$D:$AM, 28, FALSE) / VLOOKUP("industry|SO2|Asthma symptoms cough", US_national_yearly!$D:$AM, 10, FALSE), 1)</f>
        <v>3.1782300851264628E-2</v>
      </c>
      <c r="U6" s="7">
        <f>$B6 * IFERROR(VLOOKUP("industry|SO2|Asthma symptoms cough", US_national_yearly!$D:$AM, 29, FALSE) / VLOOKUP("industry|SO2|Asthma symptoms cough", US_national_yearly!$D:$AM, 10, FALSE), 1)</f>
        <v>3.1782300851264628E-2</v>
      </c>
      <c r="V6" s="7">
        <f>$B6 * IFERROR(VLOOKUP("industry|SO2|Asthma symptoms cough", US_national_yearly!$D:$AM, 30, FALSE) / VLOOKUP("industry|SO2|Asthma symptoms cough", US_national_yearly!$D:$AM, 10, FALSE), 1)</f>
        <v>3.1782300851264628E-2</v>
      </c>
      <c r="W6" s="7">
        <f>$B6 * IFERROR(VLOOKUP("industry|SO2|Asthma symptoms cough", US_national_yearly!$D:$AM, 31, FALSE) / VLOOKUP("industry|SO2|Asthma symptoms cough", US_national_yearly!$D:$AM, 10, FALSE), 1)</f>
        <v>3.1782300851264628E-2</v>
      </c>
      <c r="X6" s="7">
        <f>$B6 * IFERROR(VLOOKUP("industry|SO2|Asthma symptoms cough", US_national_yearly!$D:$AM, 32, FALSE) / VLOOKUP("industry|SO2|Asthma symptoms cough", US_national_yearly!$D:$AM, 10, FALSE), 1)</f>
        <v>3.1782300851264628E-2</v>
      </c>
      <c r="Y6" s="7">
        <f>$B6 * IFERROR(VLOOKUP("industry|SO2|Asthma symptoms cough", US_national_yearly!$D:$AM, 33, FALSE) / VLOOKUP("industry|SO2|Asthma symptoms cough", US_national_yearly!$D:$AM, 10, FALSE), 1)</f>
        <v>3.1782300851264628E-2</v>
      </c>
      <c r="Z6" s="7">
        <f>$B6 * IFERROR(VLOOKUP("industry|SO2|Asthma symptoms cough", US_national_yearly!$D:$AM, 34, FALSE) / VLOOKUP("industry|SO2|Asthma symptoms cough", US_national_yearly!$D:$AM, 10, FALSE), 1)</f>
        <v>3.1782300851264628E-2</v>
      </c>
      <c r="AA6" s="7">
        <f>$B6 * IFERROR(VLOOKUP("industry|SO2|Asthma symptoms cough", US_national_yearly!$D:$AM, 35, FALSE) / VLOOKUP("industry|SO2|Asthma symptoms cough", US_national_yearly!$D:$AM, 10, FALSE), 1)</f>
        <v>3.1782300851264628E-2</v>
      </c>
      <c r="AB6" s="7">
        <f>$B6 * IFERROR(VLOOKUP("industry|SO2|Asthma symptoms cough", US_national_yearly!$D:$AM, 36, FALSE) / VLOOKUP("industry|SO2|Asthma symptoms cough", US_national_yearly!$D:$AM, 10, FALSE), 1)</f>
        <v>3.1782300851264628E-2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4.2798363655610704E-2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4.2798363655610704E-2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4.2798363655610704E-2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4.2798363655610704E-2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4.2798363655610704E-2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4.2798363655610704E-2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4.2798363655610704E-2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4.2798363655610704E-2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4.2798363655610704E-2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4.2798363655610704E-2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4.2798363655610704E-2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4.2798363655610704E-2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4.2798363655610704E-2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4.2798363655610704E-2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4.2798363655610704E-2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4.2798363655610704E-2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4.2798363655610704E-2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4.2798363655610704E-2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4.2798363655610704E-2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4.2798363655610704E-2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4.2798363655610704E-2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4.2798363655610704E-2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4.2798363655610704E-2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4.2798363655610704E-2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4.2798363655610704E-2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4.2798363655610704E-2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4.2798363655610704E-2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6.539262643528003E-2</v>
      </c>
      <c r="C8" s="7">
        <f>$B8 * IFERROR(VLOOKUP("industry|SO2|Asthma symptoms wheeze", US_national_yearly!$D:$AM, 11, FALSE) / VLOOKUP("industry|SO2|Asthma symptoms wheeze", US_national_yearly!$D:$AM, 10, FALSE), 1)</f>
        <v>6.539262643528003E-2</v>
      </c>
      <c r="D8" s="7">
        <f>$B8 * IFERROR(VLOOKUP("industry|SO2|Asthma symptoms wheeze", US_national_yearly!$D:$AM, 12, FALSE) / VLOOKUP("industry|SO2|Asthma symptoms wheeze", US_national_yearly!$D:$AM, 10, FALSE), 1)</f>
        <v>6.539262643528003E-2</v>
      </c>
      <c r="E8" s="7">
        <f>$B8 * IFERROR(VLOOKUP("industry|SO2|Asthma symptoms wheeze", US_national_yearly!$D:$AM, 13, FALSE) / VLOOKUP("industry|SO2|Asthma symptoms wheeze", US_national_yearly!$D:$AM, 10, FALSE), 1)</f>
        <v>6.539262643528003E-2</v>
      </c>
      <c r="F8" s="7">
        <f>$B8 * IFERROR(VLOOKUP("industry|SO2|Asthma symptoms wheeze", US_national_yearly!$D:$AM, 14, FALSE) / VLOOKUP("industry|SO2|Asthma symptoms wheeze", US_national_yearly!$D:$AM, 10, FALSE), 1)</f>
        <v>6.539262643528003E-2</v>
      </c>
      <c r="G8" s="7">
        <f>$B8 * IFERROR(VLOOKUP("industry|SO2|Asthma symptoms wheeze", US_national_yearly!$D:$AM, 15, FALSE) / VLOOKUP("industry|SO2|Asthma symptoms wheeze", US_national_yearly!$D:$AM, 10, FALSE), 1)</f>
        <v>6.539262643528003E-2</v>
      </c>
      <c r="H8" s="7">
        <f>$B8 * IFERROR(VLOOKUP("industry|SO2|Asthma symptoms wheeze", US_national_yearly!$D:$AM, 16, FALSE) / VLOOKUP("industry|SO2|Asthma symptoms wheeze", US_national_yearly!$D:$AM, 10, FALSE), 1)</f>
        <v>6.539262643528003E-2</v>
      </c>
      <c r="I8" s="7">
        <f>$B8 * IFERROR(VLOOKUP("industry|SO2|Asthma symptoms wheeze", US_national_yearly!$D:$AM, 17, FALSE) / VLOOKUP("industry|SO2|Asthma symptoms wheeze", US_national_yearly!$D:$AM, 10, FALSE), 1)</f>
        <v>6.539262643528003E-2</v>
      </c>
      <c r="J8" s="7">
        <f>$B8 * IFERROR(VLOOKUP("industry|SO2|Asthma symptoms wheeze", US_national_yearly!$D:$AM, 18, FALSE) / VLOOKUP("industry|SO2|Asthma symptoms wheeze", US_national_yearly!$D:$AM, 10, FALSE), 1)</f>
        <v>6.539262643528003E-2</v>
      </c>
      <c r="K8" s="7">
        <f>$B8 * IFERROR(VLOOKUP("industry|SO2|Asthma symptoms wheeze", US_national_yearly!$D:$AM, 19, FALSE) / VLOOKUP("industry|SO2|Asthma symptoms wheeze", US_national_yearly!$D:$AM, 10, FALSE), 1)</f>
        <v>6.539262643528003E-2</v>
      </c>
      <c r="L8" s="7">
        <f>$B8 * IFERROR(VLOOKUP("industry|SO2|Asthma symptoms wheeze", US_national_yearly!$D:$AM, 20, FALSE) / VLOOKUP("industry|SO2|Asthma symptoms wheeze", US_national_yearly!$D:$AM, 10, FALSE), 1)</f>
        <v>6.539262643528003E-2</v>
      </c>
      <c r="M8" s="7">
        <f>$B8 * IFERROR(VLOOKUP("industry|SO2|Asthma symptoms wheeze", US_national_yearly!$D:$AM, 21, FALSE) / VLOOKUP("industry|SO2|Asthma symptoms wheeze", US_national_yearly!$D:$AM, 10, FALSE), 1)</f>
        <v>6.539262643528003E-2</v>
      </c>
      <c r="N8" s="7">
        <f>$B8 * IFERROR(VLOOKUP("industry|SO2|Asthma symptoms wheeze", US_national_yearly!$D:$AM, 22, FALSE) / VLOOKUP("industry|SO2|Asthma symptoms wheeze", US_national_yearly!$D:$AM, 10, FALSE), 1)</f>
        <v>6.539262643528003E-2</v>
      </c>
      <c r="O8" s="7">
        <f>$B8 * IFERROR(VLOOKUP("industry|SO2|Asthma symptoms wheeze", US_national_yearly!$D:$AM, 23, FALSE) / VLOOKUP("industry|SO2|Asthma symptoms wheeze", US_national_yearly!$D:$AM, 10, FALSE), 1)</f>
        <v>6.539262643528003E-2</v>
      </c>
      <c r="P8" s="7">
        <f>$B8 * IFERROR(VLOOKUP("industry|SO2|Asthma symptoms wheeze", US_national_yearly!$D:$AM, 24, FALSE) / VLOOKUP("industry|SO2|Asthma symptoms wheeze", US_national_yearly!$D:$AM, 10, FALSE), 1)</f>
        <v>6.539262643528003E-2</v>
      </c>
      <c r="Q8" s="7">
        <f>$B8 * IFERROR(VLOOKUP("industry|SO2|Asthma symptoms wheeze", US_national_yearly!$D:$AM, 25, FALSE) / VLOOKUP("industry|SO2|Asthma symptoms wheeze", US_national_yearly!$D:$AM, 10, FALSE), 1)</f>
        <v>6.539262643528003E-2</v>
      </c>
      <c r="R8" s="7">
        <f>$B8 * IFERROR(VLOOKUP("industry|SO2|Asthma symptoms wheeze", US_national_yearly!$D:$AM, 26, FALSE) / VLOOKUP("industry|SO2|Asthma symptoms wheeze", US_national_yearly!$D:$AM, 10, FALSE), 1)</f>
        <v>6.539262643528003E-2</v>
      </c>
      <c r="S8" s="7">
        <f>$B8 * IFERROR(VLOOKUP("industry|SO2|Asthma symptoms wheeze", US_national_yearly!$D:$AM, 27, FALSE) / VLOOKUP("industry|SO2|Asthma symptoms wheeze", US_national_yearly!$D:$AM, 10, FALSE), 1)</f>
        <v>6.539262643528003E-2</v>
      </c>
      <c r="T8" s="7">
        <f>$B8 * IFERROR(VLOOKUP("industry|SO2|Asthma symptoms wheeze", US_national_yearly!$D:$AM, 28, FALSE) / VLOOKUP("industry|SO2|Asthma symptoms wheeze", US_national_yearly!$D:$AM, 10, FALSE), 1)</f>
        <v>6.539262643528003E-2</v>
      </c>
      <c r="U8" s="7">
        <f>$B8 * IFERROR(VLOOKUP("industry|SO2|Asthma symptoms wheeze", US_national_yearly!$D:$AM, 29, FALSE) / VLOOKUP("industry|SO2|Asthma symptoms wheeze", US_national_yearly!$D:$AM, 10, FALSE), 1)</f>
        <v>6.539262643528003E-2</v>
      </c>
      <c r="V8" s="7">
        <f>$B8 * IFERROR(VLOOKUP("industry|SO2|Asthma symptoms wheeze", US_national_yearly!$D:$AM, 30, FALSE) / VLOOKUP("industry|SO2|Asthma symptoms wheeze", US_national_yearly!$D:$AM, 10, FALSE), 1)</f>
        <v>6.539262643528003E-2</v>
      </c>
      <c r="W8" s="7">
        <f>$B8 * IFERROR(VLOOKUP("industry|SO2|Asthma symptoms wheeze", US_national_yearly!$D:$AM, 31, FALSE) / VLOOKUP("industry|SO2|Asthma symptoms wheeze", US_national_yearly!$D:$AM, 10, FALSE), 1)</f>
        <v>6.539262643528003E-2</v>
      </c>
      <c r="X8" s="7">
        <f>$B8 * IFERROR(VLOOKUP("industry|SO2|Asthma symptoms wheeze", US_national_yearly!$D:$AM, 32, FALSE) / VLOOKUP("industry|SO2|Asthma symptoms wheeze", US_national_yearly!$D:$AM, 10, FALSE), 1)</f>
        <v>6.539262643528003E-2</v>
      </c>
      <c r="Y8" s="7">
        <f>$B8 * IFERROR(VLOOKUP("industry|SO2|Asthma symptoms wheeze", US_national_yearly!$D:$AM, 33, FALSE) / VLOOKUP("industry|SO2|Asthma symptoms wheeze", US_national_yearly!$D:$AM, 10, FALSE), 1)</f>
        <v>6.539262643528003E-2</v>
      </c>
      <c r="Z8" s="7">
        <f>$B8 * IFERROR(VLOOKUP("industry|SO2|Asthma symptoms wheeze", US_national_yearly!$D:$AM, 34, FALSE) / VLOOKUP("industry|SO2|Asthma symptoms wheeze", US_national_yearly!$D:$AM, 10, FALSE), 1)</f>
        <v>6.539262643528003E-2</v>
      </c>
      <c r="AA8" s="7">
        <f>$B8 * IFERROR(VLOOKUP("industry|SO2|Asthma symptoms wheeze", US_national_yearly!$D:$AM, 35, FALSE) / VLOOKUP("industry|SO2|Asthma symptoms wheeze", US_national_yearly!$D:$AM, 10, FALSE), 1)</f>
        <v>6.539262643528003E-2</v>
      </c>
      <c r="AB8" s="7">
        <f>$B8 * IFERROR(VLOOKUP("industry|SO2|Asthma symptoms wheeze", US_national_yearly!$D:$AM, 36, FALSE) / VLOOKUP("industry|SO2|Asthma symptoms wheeze", US_national_yearly!$D:$AM, 10, FALSE), 1)</f>
        <v>6.539262643528003E-2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1.0211675416154349E-3</v>
      </c>
      <c r="C12" s="7">
        <f>$B12 * IFERROR(VLOOKUP("industry|SO2|Respiratory hospital admissions", US_national_yearly!$D:$AM, 11, FALSE) / VLOOKUP("industry|SO2|Respiratory hospital admissions", US_national_yearly!$D:$AM, 10, FALSE), 1)</f>
        <v>1.0271496339477896E-3</v>
      </c>
      <c r="D12" s="7">
        <f>$B12 * IFERROR(VLOOKUP("industry|SO2|Respiratory hospital admissions", US_national_yearly!$D:$AM, 12, FALSE) / VLOOKUP("industry|SO2|Respiratory hospital admissions", US_national_yearly!$D:$AM, 10, FALSE), 1)</f>
        <v>1.0331317262801444E-3</v>
      </c>
      <c r="E12" s="7">
        <f>$B12 * IFERROR(VLOOKUP("industry|SO2|Respiratory hospital admissions", US_national_yearly!$D:$AM, 13, FALSE) / VLOOKUP("industry|SO2|Respiratory hospital admissions", US_national_yearly!$D:$AM, 10, FALSE), 1)</f>
        <v>1.0391138186124993E-3</v>
      </c>
      <c r="F12" s="7">
        <f>$B12 * IFERROR(VLOOKUP("industry|SO2|Respiratory hospital admissions", US_national_yearly!$D:$AM, 14, FALSE) / VLOOKUP("industry|SO2|Respiratory hospital admissions", US_national_yearly!$D:$AM, 10, FALSE), 1)</f>
        <v>1.0450959109448543E-3</v>
      </c>
      <c r="G12" s="7">
        <f>$B12 * IFERROR(VLOOKUP("industry|SO2|Respiratory hospital admissions", US_national_yearly!$D:$AM, 15, FALSE) / VLOOKUP("industry|SO2|Respiratory hospital admissions", US_national_yearly!$D:$AM, 10, FALSE), 1)</f>
        <v>1.0516175487761087E-3</v>
      </c>
      <c r="H12" s="7">
        <f>$B12 * IFERROR(VLOOKUP("industry|SO2|Respiratory hospital admissions", US_national_yearly!$D:$AM, 16, FALSE) / VLOOKUP("industry|SO2|Respiratory hospital admissions", US_national_yearly!$D:$AM, 10, FALSE), 1)</f>
        <v>1.0581391866073631E-3</v>
      </c>
      <c r="I12" s="7">
        <f>$B12 * IFERROR(VLOOKUP("industry|SO2|Respiratory hospital admissions", US_national_yearly!$D:$AM, 17, FALSE) / VLOOKUP("industry|SO2|Respiratory hospital admissions", US_national_yearly!$D:$AM, 10, FALSE), 1)</f>
        <v>1.0645445043179246E-3</v>
      </c>
      <c r="J12" s="7">
        <f>$B12 * IFERROR(VLOOKUP("industry|SO2|Respiratory hospital admissions", US_national_yearly!$D:$AM, 18, FALSE) / VLOOKUP("industry|SO2|Respiratory hospital admissions", US_national_yearly!$D:$AM, 10, FALSE), 1)</f>
        <v>1.0709498220284864E-3</v>
      </c>
      <c r="K12" s="7">
        <f>$B12 * IFERROR(VLOOKUP("industry|SO2|Respiratory hospital admissions", US_national_yearly!$D:$AM, 19, FALSE) / VLOOKUP("industry|SO2|Respiratory hospital admissions", US_national_yearly!$D:$AM, 10, FALSE), 1)</f>
        <v>1.0773551397390477E-3</v>
      </c>
      <c r="L12" s="7">
        <f>$B12 * IFERROR(VLOOKUP("industry|SO2|Respiratory hospital admissions", US_national_yearly!$D:$AM, 20, FALSE) / VLOOKUP("industry|SO2|Respiratory hospital admissions", US_national_yearly!$D:$AM, 10, FALSE), 1)</f>
        <v>1.0837604574496092E-3</v>
      </c>
      <c r="M12" s="7">
        <f>$B12 * IFERROR(VLOOKUP("industry|SO2|Respiratory hospital admissions", US_national_yearly!$D:$AM, 21, FALSE) / VLOOKUP("industry|SO2|Respiratory hospital admissions", US_national_yearly!$D:$AM, 10, FALSE), 1)</f>
        <v>1.0901657751601708E-3</v>
      </c>
      <c r="N12" s="7">
        <f>$B12 * IFERROR(VLOOKUP("industry|SO2|Respiratory hospital admissions", US_national_yearly!$D:$AM, 22, FALSE) / VLOOKUP("industry|SO2|Respiratory hospital admissions", US_national_yearly!$D:$AM, 10, FALSE), 1)</f>
        <v>1.0948007532112156E-3</v>
      </c>
      <c r="O12" s="7">
        <f>$B12 * IFERROR(VLOOKUP("industry|SO2|Respiratory hospital admissions", US_national_yearly!$D:$AM, 23, FALSE) / VLOOKUP("industry|SO2|Respiratory hospital admissions", US_national_yearly!$D:$AM, 10, FALSE), 1)</f>
        <v>1.0994357312622601E-3</v>
      </c>
      <c r="P12" s="7">
        <f>$B12 * IFERROR(VLOOKUP("industry|SO2|Respiratory hospital admissions", US_national_yearly!$D:$AM, 24, FALSE) / VLOOKUP("industry|SO2|Respiratory hospital admissions", US_national_yearly!$D:$AM, 10, FALSE), 1)</f>
        <v>1.1040707093133045E-3</v>
      </c>
      <c r="Q12" s="7">
        <f>$B12 * IFERROR(VLOOKUP("industry|SO2|Respiratory hospital admissions", US_national_yearly!$D:$AM, 25, FALSE) / VLOOKUP("industry|SO2|Respiratory hospital admissions", US_national_yearly!$D:$AM, 10, FALSE), 1)</f>
        <v>1.1087056873643492E-3</v>
      </c>
      <c r="R12" s="7">
        <f>$B12 * IFERROR(VLOOKUP("industry|SO2|Respiratory hospital admissions", US_national_yearly!$D:$AM, 26, FALSE) / VLOOKUP("industry|SO2|Respiratory hospital admissions", US_national_yearly!$D:$AM, 10, FALSE), 1)</f>
        <v>1.1133406654153936E-3</v>
      </c>
      <c r="S12" s="7">
        <f>$B12 * IFERROR(VLOOKUP("industry|SO2|Respiratory hospital admissions", US_national_yearly!$D:$AM, 27, FALSE) / VLOOKUP("industry|SO2|Respiratory hospital admissions", US_national_yearly!$D:$AM, 10, FALSE), 1)</f>
        <v>1.1177455035616384E-3</v>
      </c>
      <c r="T12" s="7">
        <f>$B12 * IFERROR(VLOOKUP("industry|SO2|Respiratory hospital admissions", US_national_yearly!$D:$AM, 28, FALSE) / VLOOKUP("industry|SO2|Respiratory hospital admissions", US_national_yearly!$D:$AM, 10, FALSE), 1)</f>
        <v>1.1221503417078831E-3</v>
      </c>
      <c r="U12" s="7">
        <f>$B12 * IFERROR(VLOOKUP("industry|SO2|Respiratory hospital admissions", US_national_yearly!$D:$AM, 29, FALSE) / VLOOKUP("industry|SO2|Respiratory hospital admissions", US_national_yearly!$D:$AM, 10, FALSE), 1)</f>
        <v>1.1265551798541277E-3</v>
      </c>
      <c r="V12" s="7">
        <f>$B12 * IFERROR(VLOOKUP("industry|SO2|Respiratory hospital admissions", US_national_yearly!$D:$AM, 30, FALSE) / VLOOKUP("industry|SO2|Respiratory hospital admissions", US_national_yearly!$D:$AM, 10, FALSE), 1)</f>
        <v>1.1309600180003723E-3</v>
      </c>
      <c r="W12" s="7">
        <f>$B12 * IFERROR(VLOOKUP("industry|SO2|Respiratory hospital admissions", US_national_yearly!$D:$AM, 31, FALSE) / VLOOKUP("industry|SO2|Respiratory hospital admissions", US_national_yearly!$D:$AM, 10, FALSE), 1)</f>
        <v>1.135364856146617E-3</v>
      </c>
      <c r="X12" s="7">
        <f>$B12 * IFERROR(VLOOKUP("industry|SO2|Respiratory hospital admissions", US_national_yearly!$D:$AM, 32, FALSE) / VLOOKUP("industry|SO2|Respiratory hospital admissions", US_national_yearly!$D:$AM, 10, FALSE), 1)</f>
        <v>1.1395477566192734E-3</v>
      </c>
      <c r="Y12" s="7">
        <f>$B12 * IFERROR(VLOOKUP("industry|SO2|Respiratory hospital admissions", US_national_yearly!$D:$AM, 33, FALSE) / VLOOKUP("industry|SO2|Respiratory hospital admissions", US_national_yearly!$D:$AM, 10, FALSE), 1)</f>
        <v>1.1437306570919298E-3</v>
      </c>
      <c r="Z12" s="7">
        <f>$B12 * IFERROR(VLOOKUP("industry|SO2|Respiratory hospital admissions", US_national_yearly!$D:$AM, 34, FALSE) / VLOOKUP("industry|SO2|Respiratory hospital admissions", US_national_yearly!$D:$AM, 10, FALSE), 1)</f>
        <v>1.1479135575645863E-3</v>
      </c>
      <c r="AA12" s="7">
        <f>$B12 * IFERROR(VLOOKUP("industry|SO2|Respiratory hospital admissions", US_national_yearly!$D:$AM, 35, FALSE) / VLOOKUP("industry|SO2|Respiratory hospital admissions", US_national_yearly!$D:$AM, 10, FALSE), 1)</f>
        <v>1.1520964580372425E-3</v>
      </c>
      <c r="AB12" s="7">
        <f>$B12 * IFERROR(VLOOKUP("industry|SO2|Respiratory hospital admissions", US_national_yearly!$D:$AM, 36, FALSE) / VLOOKUP("industry|SO2|Respiratory hospital admissions", US_national_yearly!$D:$AM, 10, FALSE), 1)</f>
        <v>1.1562793585098991E-3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6.3451360304515106E-3</v>
      </c>
      <c r="C13" s="7">
        <f>$B13 * IFERROR(VLOOKUP("industry|SO2|Non-fatal heart attacks", US_national_yearly!$D:$AM, 11, FALSE) / VLOOKUP("industry|SO2|Non-fatal heart attacks", US_national_yearly!$D:$AM, 10, FALSE), 1)</f>
        <v>6.5314054304544417E-3</v>
      </c>
      <c r="D13" s="7">
        <f>$B13 * IFERROR(VLOOKUP("industry|SO2|Non-fatal heart attacks", US_national_yearly!$D:$AM, 12, FALSE) / VLOOKUP("industry|SO2|Non-fatal heart attacks", US_national_yearly!$D:$AM, 10, FALSE), 1)</f>
        <v>6.7176748304573729E-3</v>
      </c>
      <c r="E13" s="7">
        <f>$B13 * IFERROR(VLOOKUP("industry|SO2|Non-fatal heart attacks", US_national_yearly!$D:$AM, 13, FALSE) / VLOOKUP("industry|SO2|Non-fatal heart attacks", US_national_yearly!$D:$AM, 10, FALSE), 1)</f>
        <v>6.9039442304603023E-3</v>
      </c>
      <c r="F13" s="7">
        <f>$B13 * IFERROR(VLOOKUP("industry|SO2|Non-fatal heart attacks", US_national_yearly!$D:$AM, 14, FALSE) / VLOOKUP("industry|SO2|Non-fatal heart attacks", US_national_yearly!$D:$AM, 10, FALSE), 1)</f>
        <v>7.0902136304632352E-3</v>
      </c>
      <c r="G13" s="7">
        <f>$B13 * IFERROR(VLOOKUP("industry|SO2|Non-fatal heart attacks", US_national_yearly!$D:$AM, 15, FALSE) / VLOOKUP("industry|SO2|Non-fatal heart attacks", US_national_yearly!$D:$AM, 10, FALSE), 1)</f>
        <v>7.2659997629097913E-3</v>
      </c>
      <c r="H13" s="7">
        <f>$B13 * IFERROR(VLOOKUP("industry|SO2|Non-fatal heart attacks", US_national_yearly!$D:$AM, 16, FALSE) / VLOOKUP("industry|SO2|Non-fatal heart attacks", US_national_yearly!$D:$AM, 10, FALSE), 1)</f>
        <v>7.4417858953563492E-3</v>
      </c>
      <c r="I13" s="7">
        <f>$B13 * IFERROR(VLOOKUP("industry|SO2|Non-fatal heart attacks", US_national_yearly!$D:$AM, 17, FALSE) / VLOOKUP("industry|SO2|Non-fatal heart attacks", US_national_yearly!$D:$AM, 10, FALSE), 1)</f>
        <v>7.5834999456413608E-3</v>
      </c>
      <c r="J13" s="7">
        <f>$B13 * IFERROR(VLOOKUP("industry|SO2|Non-fatal heart attacks", US_national_yearly!$D:$AM, 18, FALSE) / VLOOKUP("industry|SO2|Non-fatal heart attacks", US_national_yearly!$D:$AM, 10, FALSE), 1)</f>
        <v>7.725213995926376E-3</v>
      </c>
      <c r="K13" s="7">
        <f>$B13 * IFERROR(VLOOKUP("industry|SO2|Non-fatal heart attacks", US_national_yearly!$D:$AM, 19, FALSE) / VLOOKUP("industry|SO2|Non-fatal heart attacks", US_national_yearly!$D:$AM, 10, FALSE), 1)</f>
        <v>7.8669280462113893E-3</v>
      </c>
      <c r="L13" s="7">
        <f>$B13 * IFERROR(VLOOKUP("industry|SO2|Non-fatal heart attacks", US_national_yearly!$D:$AM, 20, FALSE) / VLOOKUP("industry|SO2|Non-fatal heart attacks", US_national_yearly!$D:$AM, 10, FALSE), 1)</f>
        <v>8.0086420964964027E-3</v>
      </c>
      <c r="M13" s="7">
        <f>$B13 * IFERROR(VLOOKUP("industry|SO2|Non-fatal heart attacks", US_national_yearly!$D:$AM, 21, FALSE) / VLOOKUP("industry|SO2|Non-fatal heart attacks", US_national_yearly!$D:$AM, 10, FALSE), 1)</f>
        <v>8.1503561467814161E-3</v>
      </c>
      <c r="N13" s="7">
        <f>$B13 * IFERROR(VLOOKUP("industry|SO2|Non-fatal heart attacks", US_national_yearly!$D:$AM, 22, FALSE) / VLOOKUP("industry|SO2|Non-fatal heart attacks", US_national_yearly!$D:$AM, 10, FALSE), 1)</f>
        <v>8.2424211437928975E-3</v>
      </c>
      <c r="O13" s="7">
        <f>$B13 * IFERROR(VLOOKUP("industry|SO2|Non-fatal heart attacks", US_national_yearly!$D:$AM, 23, FALSE) / VLOOKUP("industry|SO2|Non-fatal heart attacks", US_national_yearly!$D:$AM, 10, FALSE), 1)</f>
        <v>8.3344861408043806E-3</v>
      </c>
      <c r="P13" s="7">
        <f>$B13 * IFERROR(VLOOKUP("industry|SO2|Non-fatal heart attacks", US_national_yearly!$D:$AM, 24, FALSE) / VLOOKUP("industry|SO2|Non-fatal heart attacks", US_national_yearly!$D:$AM, 10, FALSE), 1)</f>
        <v>8.4265511378158638E-3</v>
      </c>
      <c r="Q13" s="7">
        <f>$B13 * IFERROR(VLOOKUP("industry|SO2|Non-fatal heart attacks", US_national_yearly!$D:$AM, 25, FALSE) / VLOOKUP("industry|SO2|Non-fatal heart attacks", US_national_yearly!$D:$AM, 10, FALSE), 1)</f>
        <v>8.5186161348273452E-3</v>
      </c>
      <c r="R13" s="7">
        <f>$B13 * IFERROR(VLOOKUP("industry|SO2|Non-fatal heart attacks", US_national_yearly!$D:$AM, 26, FALSE) / VLOOKUP("industry|SO2|Non-fatal heart attacks", US_national_yearly!$D:$AM, 10, FALSE), 1)</f>
        <v>8.6106811318388283E-3</v>
      </c>
      <c r="S13" s="7">
        <f>$B13 * IFERROR(VLOOKUP("industry|SO2|Non-fatal heart attacks", US_national_yearly!$D:$AM, 27, FALSE) / VLOOKUP("industry|SO2|Non-fatal heart attacks", US_national_yearly!$D:$AM, 10, FALSE), 1)</f>
        <v>8.659035021897913E-3</v>
      </c>
      <c r="T13" s="7">
        <f>$B13 * IFERROR(VLOOKUP("industry|SO2|Non-fatal heart attacks", US_national_yearly!$D:$AM, 28, FALSE) / VLOOKUP("industry|SO2|Non-fatal heart attacks", US_national_yearly!$D:$AM, 10, FALSE), 1)</f>
        <v>8.7073889119569977E-3</v>
      </c>
      <c r="U13" s="7">
        <f>$B13 * IFERROR(VLOOKUP("industry|SO2|Non-fatal heart attacks", US_national_yearly!$D:$AM, 29, FALSE) / VLOOKUP("industry|SO2|Non-fatal heart attacks", US_national_yearly!$D:$AM, 10, FALSE), 1)</f>
        <v>8.7557428020160824E-3</v>
      </c>
      <c r="V13" s="7">
        <f>$B13 * IFERROR(VLOOKUP("industry|SO2|Non-fatal heart attacks", US_national_yearly!$D:$AM, 30, FALSE) / VLOOKUP("industry|SO2|Non-fatal heart attacks", US_national_yearly!$D:$AM, 10, FALSE), 1)</f>
        <v>8.8040966920751671E-3</v>
      </c>
      <c r="W13" s="7">
        <f>$B13 * IFERROR(VLOOKUP("industry|SO2|Non-fatal heart attacks", US_national_yearly!$D:$AM, 31, FALSE) / VLOOKUP("industry|SO2|Non-fatal heart attacks", US_national_yearly!$D:$AM, 10, FALSE), 1)</f>
        <v>8.8524505821342518E-3</v>
      </c>
      <c r="X13" s="7">
        <f>$B13 * IFERROR(VLOOKUP("industry|SO2|Non-fatal heart attacks", US_national_yearly!$D:$AM, 32, FALSE) / VLOOKUP("industry|SO2|Non-fatal heart attacks", US_national_yearly!$D:$AM, 10, FALSE), 1)</f>
        <v>8.8891739662811803E-3</v>
      </c>
      <c r="Y13" s="7">
        <f>$B13 * IFERROR(VLOOKUP("industry|SO2|Non-fatal heart attacks", US_national_yearly!$D:$AM, 33, FALSE) / VLOOKUP("industry|SO2|Non-fatal heart attacks", US_national_yearly!$D:$AM, 10, FALSE), 1)</f>
        <v>8.9258973504281105E-3</v>
      </c>
      <c r="Z13" s="7">
        <f>$B13 * IFERROR(VLOOKUP("industry|SO2|Non-fatal heart attacks", US_national_yearly!$D:$AM, 34, FALSE) / VLOOKUP("industry|SO2|Non-fatal heart attacks", US_national_yearly!$D:$AM, 10, FALSE), 1)</f>
        <v>8.962620734575039E-3</v>
      </c>
      <c r="AA13" s="7">
        <f>$B13 * IFERROR(VLOOKUP("industry|SO2|Non-fatal heart attacks", US_national_yearly!$D:$AM, 35, FALSE) / VLOOKUP("industry|SO2|Non-fatal heart attacks", US_national_yearly!$D:$AM, 10, FALSE), 1)</f>
        <v>8.9993441187219692E-3</v>
      </c>
      <c r="AB13" s="7">
        <f>$B13 * IFERROR(VLOOKUP("industry|SO2|Non-fatal heart attacks", US_national_yearly!$D:$AM, 36, FALSE) / VLOOKUP("industry|SO2|Non-fatal heart attacks", US_national_yearly!$D:$AM, 10, FALSE), 1)</f>
        <v>9.0360675028688976E-3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4.1559633120983523</v>
      </c>
      <c r="C14" s="7">
        <f>$B14 * IFERROR(VLOOKUP("industry|SO2|Minor restricted activity days", US_national_yearly!$D:$AM, 11, FALSE) / VLOOKUP("industry|SO2|Minor restricted activity days", US_national_yearly!$D:$AM, 10, FALSE), 1)</f>
        <v>4.1663589932018716</v>
      </c>
      <c r="D14" s="7">
        <f>$B14 * IFERROR(VLOOKUP("industry|SO2|Minor restricted activity days", US_national_yearly!$D:$AM, 12, FALSE) / VLOOKUP("industry|SO2|Minor restricted activity days", US_national_yearly!$D:$AM, 10, FALSE), 1)</f>
        <v>4.17675467430539</v>
      </c>
      <c r="E14" s="7">
        <f>$B14 * IFERROR(VLOOKUP("industry|SO2|Minor restricted activity days", US_national_yearly!$D:$AM, 13, FALSE) / VLOOKUP("industry|SO2|Minor restricted activity days", US_national_yearly!$D:$AM, 10, FALSE), 1)</f>
        <v>4.1871503554089093</v>
      </c>
      <c r="F14" s="7">
        <f>$B14 * IFERROR(VLOOKUP("industry|SO2|Minor restricted activity days", US_national_yearly!$D:$AM, 14, FALSE) / VLOOKUP("industry|SO2|Minor restricted activity days", US_national_yearly!$D:$AM, 10, FALSE), 1)</f>
        <v>4.1975460365124286</v>
      </c>
      <c r="G14" s="7">
        <f>$B14 * IFERROR(VLOOKUP("industry|SO2|Minor restricted activity days", US_national_yearly!$D:$AM, 15, FALSE) / VLOOKUP("industry|SO2|Minor restricted activity days", US_national_yearly!$D:$AM, 10, FALSE), 1)</f>
        <v>4.2128390739919492</v>
      </c>
      <c r="H14" s="7">
        <f>$B14 * IFERROR(VLOOKUP("industry|SO2|Minor restricted activity days", US_national_yearly!$D:$AM, 16, FALSE) / VLOOKUP("industry|SO2|Minor restricted activity days", US_national_yearly!$D:$AM, 10, FALSE), 1)</f>
        <v>4.2281321114714698</v>
      </c>
      <c r="I14" s="7">
        <f>$B14 * IFERROR(VLOOKUP("industry|SO2|Minor restricted activity days", US_national_yearly!$D:$AM, 17, FALSE) / VLOOKUP("industry|SO2|Minor restricted activity days", US_national_yearly!$D:$AM, 10, FALSE), 1)</f>
        <v>4.254211366169117</v>
      </c>
      <c r="J14" s="7">
        <f>$B14 * IFERROR(VLOOKUP("industry|SO2|Minor restricted activity days", US_national_yearly!$D:$AM, 18, FALSE) / VLOOKUP("industry|SO2|Minor restricted activity days", US_national_yearly!$D:$AM, 10, FALSE), 1)</f>
        <v>4.2802906208667633</v>
      </c>
      <c r="K14" s="7">
        <f>$B14 * IFERROR(VLOOKUP("industry|SO2|Minor restricted activity days", US_national_yearly!$D:$AM, 19, FALSE) / VLOOKUP("industry|SO2|Minor restricted activity days", US_national_yearly!$D:$AM, 10, FALSE), 1)</f>
        <v>4.3063698755644095</v>
      </c>
      <c r="L14" s="7">
        <f>$B14 * IFERROR(VLOOKUP("industry|SO2|Minor restricted activity days", US_national_yearly!$D:$AM, 20, FALSE) / VLOOKUP("industry|SO2|Minor restricted activity days", US_national_yearly!$D:$AM, 10, FALSE), 1)</f>
        <v>4.3324491302620567</v>
      </c>
      <c r="M14" s="7">
        <f>$B14 * IFERROR(VLOOKUP("industry|SO2|Minor restricted activity days", US_national_yearly!$D:$AM, 21, FALSE) / VLOOKUP("industry|SO2|Minor restricted activity days", US_national_yearly!$D:$AM, 10, FALSE), 1)</f>
        <v>4.358528384959703</v>
      </c>
      <c r="N14" s="7">
        <f>$B14 * IFERROR(VLOOKUP("industry|SO2|Minor restricted activity days", US_national_yearly!$D:$AM, 22, FALSE) / VLOOKUP("industry|SO2|Minor restricted activity days", US_national_yearly!$D:$AM, 10, FALSE), 1)</f>
        <v>4.3942861796295949</v>
      </c>
      <c r="O14" s="7">
        <f>$B14 * IFERROR(VLOOKUP("industry|SO2|Minor restricted activity days", US_national_yearly!$D:$AM, 23, FALSE) / VLOOKUP("industry|SO2|Minor restricted activity days", US_national_yearly!$D:$AM, 10, FALSE), 1)</f>
        <v>4.4300439742994868</v>
      </c>
      <c r="P14" s="7">
        <f>$B14 * IFERROR(VLOOKUP("industry|SO2|Minor restricted activity days", US_national_yearly!$D:$AM, 24, FALSE) / VLOOKUP("industry|SO2|Minor restricted activity days", US_national_yearly!$D:$AM, 10, FALSE), 1)</f>
        <v>4.4658017689693787</v>
      </c>
      <c r="Q14" s="7">
        <f>$B14 * IFERROR(VLOOKUP("industry|SO2|Minor restricted activity days", US_national_yearly!$D:$AM, 25, FALSE) / VLOOKUP("industry|SO2|Minor restricted activity days", US_national_yearly!$D:$AM, 10, FALSE), 1)</f>
        <v>4.5015595636392716</v>
      </c>
      <c r="R14" s="7">
        <f>$B14 * IFERROR(VLOOKUP("industry|SO2|Minor restricted activity days", US_national_yearly!$D:$AM, 26, FALSE) / VLOOKUP("industry|SO2|Minor restricted activity days", US_national_yearly!$D:$AM, 10, FALSE), 1)</f>
        <v>4.5373173583091626</v>
      </c>
      <c r="S14" s="7">
        <f>$B14 * IFERROR(VLOOKUP("industry|SO2|Minor restricted activity days", US_national_yearly!$D:$AM, 27, FALSE) / VLOOKUP("industry|SO2|Minor restricted activity days", US_national_yearly!$D:$AM, 10, FALSE), 1)</f>
        <v>4.5738110756402302</v>
      </c>
      <c r="T14" s="7">
        <f>$B14 * IFERROR(VLOOKUP("industry|SO2|Minor restricted activity days", US_national_yearly!$D:$AM, 28, FALSE) / VLOOKUP("industry|SO2|Minor restricted activity days", US_national_yearly!$D:$AM, 10, FALSE), 1)</f>
        <v>4.6103047929712995</v>
      </c>
      <c r="U14" s="7">
        <f>$B14 * IFERROR(VLOOKUP("industry|SO2|Minor restricted activity days", US_national_yearly!$D:$AM, 29, FALSE) / VLOOKUP("industry|SO2|Minor restricted activity days", US_national_yearly!$D:$AM, 10, FALSE), 1)</f>
        <v>4.646798510302367</v>
      </c>
      <c r="V14" s="7">
        <f>$B14 * IFERROR(VLOOKUP("industry|SO2|Minor restricted activity days", US_national_yearly!$D:$AM, 30, FALSE) / VLOOKUP("industry|SO2|Minor restricted activity days", US_national_yearly!$D:$AM, 10, FALSE), 1)</f>
        <v>4.6832922276334354</v>
      </c>
      <c r="W14" s="7">
        <f>$B14 * IFERROR(VLOOKUP("industry|SO2|Minor restricted activity days", US_national_yearly!$D:$AM, 31, FALSE) / VLOOKUP("industry|SO2|Minor restricted activity days", US_national_yearly!$D:$AM, 10, FALSE), 1)</f>
        <v>4.719785944964503</v>
      </c>
      <c r="X14" s="7">
        <f>$B14 * IFERROR(VLOOKUP("industry|SO2|Minor restricted activity days", US_national_yearly!$D:$AM, 32, FALSE) / VLOOKUP("industry|SO2|Minor restricted activity days", US_national_yearly!$D:$AM, 10, FALSE), 1)</f>
        <v>4.7518745825843851</v>
      </c>
      <c r="Y14" s="7">
        <f>$B14 * IFERROR(VLOOKUP("industry|SO2|Minor restricted activity days", US_national_yearly!$D:$AM, 33, FALSE) / VLOOKUP("industry|SO2|Minor restricted activity days", US_national_yearly!$D:$AM, 10, FALSE), 1)</f>
        <v>4.7839632202042663</v>
      </c>
      <c r="Z14" s="7">
        <f>$B14 * IFERROR(VLOOKUP("industry|SO2|Minor restricted activity days", US_national_yearly!$D:$AM, 34, FALSE) / VLOOKUP("industry|SO2|Minor restricted activity days", US_national_yearly!$D:$AM, 10, FALSE), 1)</f>
        <v>4.8160518578241476</v>
      </c>
      <c r="AA14" s="7">
        <f>$B14 * IFERROR(VLOOKUP("industry|SO2|Minor restricted activity days", US_national_yearly!$D:$AM, 35, FALSE) / VLOOKUP("industry|SO2|Minor restricted activity days", US_national_yearly!$D:$AM, 10, FALSE), 1)</f>
        <v>4.8481404954440288</v>
      </c>
      <c r="AB14" s="7">
        <f>$B14 * IFERROR(VLOOKUP("industry|SO2|Minor restricted activity days", US_national_yearly!$D:$AM, 36, FALSE) / VLOOKUP("industry|SO2|Minor restricted activity days", US_national_yearly!$D:$AM, 10, FALSE), 1)</f>
        <v>4.8802291330639109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0.70091128788408952</v>
      </c>
      <c r="C15" s="7">
        <f>$B15 * IFERROR(VLOOKUP("industry|SO2|Work loss days", US_national_yearly!$D:$AM, 11, FALSE) / VLOOKUP("industry|SO2|Work loss days", US_national_yearly!$D:$AM, 10, FALSE), 1)</f>
        <v>0.70316533939916082</v>
      </c>
      <c r="D15" s="7">
        <f>$B15 * IFERROR(VLOOKUP("industry|SO2|Work loss days", US_national_yearly!$D:$AM, 12, FALSE) / VLOOKUP("industry|SO2|Work loss days", US_national_yearly!$D:$AM, 10, FALSE), 1)</f>
        <v>0.70541939091423245</v>
      </c>
      <c r="E15" s="7">
        <f>$B15 * IFERROR(VLOOKUP("industry|SO2|Work loss days", US_national_yearly!$D:$AM, 13, FALSE) / VLOOKUP("industry|SO2|Work loss days", US_national_yearly!$D:$AM, 10, FALSE), 1)</f>
        <v>0.70767344242930386</v>
      </c>
      <c r="F15" s="7">
        <f>$B15 * IFERROR(VLOOKUP("industry|SO2|Work loss days", US_national_yearly!$D:$AM, 14, FALSE) / VLOOKUP("industry|SO2|Work loss days", US_national_yearly!$D:$AM, 10, FALSE), 1)</f>
        <v>0.70992749394437549</v>
      </c>
      <c r="G15" s="7">
        <f>$B15 * IFERROR(VLOOKUP("industry|SO2|Work loss days", US_national_yearly!$D:$AM, 15, FALSE) / VLOOKUP("industry|SO2|Work loss days", US_national_yearly!$D:$AM, 10, FALSE), 1)</f>
        <v>0.71286964030238775</v>
      </c>
      <c r="H15" s="7">
        <f>$B15 * IFERROR(VLOOKUP("industry|SO2|Work loss days", US_national_yearly!$D:$AM, 16, FALSE) / VLOOKUP("industry|SO2|Work loss days", US_national_yearly!$D:$AM, 10, FALSE), 1)</f>
        <v>0.71581178666040024</v>
      </c>
      <c r="I15" s="7">
        <f>$B15 * IFERROR(VLOOKUP("industry|SO2|Work loss days", US_national_yearly!$D:$AM, 17, FALSE) / VLOOKUP("industry|SO2|Work loss days", US_national_yearly!$D:$AM, 10, FALSE), 1)</f>
        <v>0.72011237558054575</v>
      </c>
      <c r="J15" s="7">
        <f>$B15 * IFERROR(VLOOKUP("industry|SO2|Work loss days", US_national_yearly!$D:$AM, 18, FALSE) / VLOOKUP("industry|SO2|Work loss days", US_national_yearly!$D:$AM, 10, FALSE), 1)</f>
        <v>0.72441296450069115</v>
      </c>
      <c r="K15" s="7">
        <f>$B15 * IFERROR(VLOOKUP("industry|SO2|Work loss days", US_national_yearly!$D:$AM, 19, FALSE) / VLOOKUP("industry|SO2|Work loss days", US_national_yearly!$D:$AM, 10, FALSE), 1)</f>
        <v>0.72871355342083655</v>
      </c>
      <c r="L15" s="7">
        <f>$B15 * IFERROR(VLOOKUP("industry|SO2|Work loss days", US_national_yearly!$D:$AM, 20, FALSE) / VLOOKUP("industry|SO2|Work loss days", US_national_yearly!$D:$AM, 10, FALSE), 1)</f>
        <v>0.73301414234098206</v>
      </c>
      <c r="M15" s="7">
        <f>$B15 * IFERROR(VLOOKUP("industry|SO2|Work loss days", US_national_yearly!$D:$AM, 21, FALSE) / VLOOKUP("industry|SO2|Work loss days", US_national_yearly!$D:$AM, 10, FALSE), 1)</f>
        <v>0.73731473126112745</v>
      </c>
      <c r="N15" s="7">
        <f>$B15 * IFERROR(VLOOKUP("industry|SO2|Work loss days", US_national_yearly!$D:$AM, 22, FALSE) / VLOOKUP("industry|SO2|Work loss days", US_national_yearly!$D:$AM, 10, FALSE), 1)</f>
        <v>0.74271993840391948</v>
      </c>
      <c r="O15" s="7">
        <f>$B15 * IFERROR(VLOOKUP("industry|SO2|Work loss days", US_national_yearly!$D:$AM, 23, FALSE) / VLOOKUP("industry|SO2|Work loss days", US_national_yearly!$D:$AM, 10, FALSE), 1)</f>
        <v>0.74812514554671161</v>
      </c>
      <c r="P15" s="7">
        <f>$B15 * IFERROR(VLOOKUP("industry|SO2|Work loss days", US_national_yearly!$D:$AM, 24, FALSE) / VLOOKUP("industry|SO2|Work loss days", US_national_yearly!$D:$AM, 10, FALSE), 1)</f>
        <v>0.75353035268950364</v>
      </c>
      <c r="Q15" s="7">
        <f>$B15 * IFERROR(VLOOKUP("industry|SO2|Work loss days", US_national_yearly!$D:$AM, 25, FALSE) / VLOOKUP("industry|SO2|Work loss days", US_national_yearly!$D:$AM, 10, FALSE), 1)</f>
        <v>0.75893555983229566</v>
      </c>
      <c r="R15" s="7">
        <f>$B15 * IFERROR(VLOOKUP("industry|SO2|Work loss days", US_national_yearly!$D:$AM, 26, FALSE) / VLOOKUP("industry|SO2|Work loss days", US_national_yearly!$D:$AM, 10, FALSE), 1)</f>
        <v>0.76434076697508768</v>
      </c>
      <c r="S15" s="7">
        <f>$B15 * IFERROR(VLOOKUP("industry|SO2|Work loss days", US_national_yearly!$D:$AM, 27, FALSE) / VLOOKUP("industry|SO2|Work loss days", US_national_yearly!$D:$AM, 10, FALSE), 1)</f>
        <v>0.77038897100512649</v>
      </c>
      <c r="T15" s="7">
        <f>$B15 * IFERROR(VLOOKUP("industry|SO2|Work loss days", US_national_yearly!$D:$AM, 28, FALSE) / VLOOKUP("industry|SO2|Work loss days", US_national_yearly!$D:$AM, 10, FALSE), 1)</f>
        <v>0.77643717503516552</v>
      </c>
      <c r="U15" s="7">
        <f>$B15 * IFERROR(VLOOKUP("industry|SO2|Work loss days", US_national_yearly!$D:$AM, 29, FALSE) / VLOOKUP("industry|SO2|Work loss days", US_national_yearly!$D:$AM, 10, FALSE), 1)</f>
        <v>0.78248537906520466</v>
      </c>
      <c r="V15" s="7">
        <f>$B15 * IFERROR(VLOOKUP("industry|SO2|Work loss days", US_national_yearly!$D:$AM, 30, FALSE) / VLOOKUP("industry|SO2|Work loss days", US_national_yearly!$D:$AM, 10, FALSE), 1)</f>
        <v>0.78853358309524346</v>
      </c>
      <c r="W15" s="7">
        <f>$B15 * IFERROR(VLOOKUP("industry|SO2|Work loss days", US_national_yearly!$D:$AM, 31, FALSE) / VLOOKUP("industry|SO2|Work loss days", US_national_yearly!$D:$AM, 10, FALSE), 1)</f>
        <v>0.79458178712528238</v>
      </c>
      <c r="X15" s="7">
        <f>$B15 * IFERROR(VLOOKUP("industry|SO2|Work loss days", US_national_yearly!$D:$AM, 32, FALSE) / VLOOKUP("industry|SO2|Work loss days", US_national_yearly!$D:$AM, 10, FALSE), 1)</f>
        <v>0.80001412004035777</v>
      </c>
      <c r="Y15" s="7">
        <f>$B15 * IFERROR(VLOOKUP("industry|SO2|Work loss days", US_national_yearly!$D:$AM, 33, FALSE) / VLOOKUP("industry|SO2|Work loss days", US_national_yearly!$D:$AM, 10, FALSE), 1)</f>
        <v>0.80544645295543338</v>
      </c>
      <c r="Z15" s="7">
        <f>$B15 * IFERROR(VLOOKUP("industry|SO2|Work loss days", US_national_yearly!$D:$AM, 34, FALSE) / VLOOKUP("industry|SO2|Work loss days", US_national_yearly!$D:$AM, 10, FALSE), 1)</f>
        <v>0.81087878587050866</v>
      </c>
      <c r="AA15" s="7">
        <f>$B15 * IFERROR(VLOOKUP("industry|SO2|Work loss days", US_national_yearly!$D:$AM, 35, FALSE) / VLOOKUP("industry|SO2|Work loss days", US_national_yearly!$D:$AM, 10, FALSE), 1)</f>
        <v>0.81631111878558416</v>
      </c>
      <c r="AB15" s="7">
        <f>$B15 * IFERROR(VLOOKUP("industry|SO2|Work loss days", US_national_yearly!$D:$AM, 36, FALSE) / VLOOKUP("industry|SO2|Work loss days", US_national_yearly!$D:$AM, 10, FALSE), 1)</f>
        <v>0.82174345170065966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1.7270180613016232E-3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1.7792382458070922E-3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1.8314584303125614E-3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1.8836786148180306E-3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1.9358987993234999E-3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1.9859445714248704E-3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2.035990343526241E-3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2.0789313684184347E-3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2.1218723933106283E-3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2.164813418202822E-3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2.2077544430950157E-3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2.2506954679872094E-3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2.2795455762048581E-3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2.3083956844225074E-3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2.3372457926401557E-3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2.3660959008578049E-3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2.3949460090754537E-3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2.4102008278281562E-3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2.4254556465808596E-3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2.4407104653335621E-3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2.4559652840862654E-3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2.4712201028389683E-3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2.4815364049375014E-3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2.4918527070360344E-3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2.5021690091345679E-3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2.5124853112331014E-3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2.522801613331634E-3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4.3620409516338714E-4</v>
      </c>
      <c r="C2" s="7">
        <f>$B2 * IFERROR(VLOOKUP("LULUCF|PM25|Premature mortality", US_national_yearly!$D:$AM, 11, FALSE) / VLOOKUP("LULUCF|PM25|Premature mortality", US_national_yearly!$D:$AM, 10, FALSE), 1)</f>
        <v>4.4161207000818705E-4</v>
      </c>
      <c r="D2" s="7">
        <f>$B2 * IFERROR(VLOOKUP("LULUCF|PM25|Premature mortality", US_national_yearly!$D:$AM, 12, FALSE) / VLOOKUP("LULUCF|PM25|Premature mortality", US_national_yearly!$D:$AM, 10, FALSE), 1)</f>
        <v>4.4702004485298684E-4</v>
      </c>
      <c r="E2" s="7">
        <f>$B2 * IFERROR(VLOOKUP("LULUCF|PM25|Premature mortality", US_national_yearly!$D:$AM, 13, FALSE) / VLOOKUP("LULUCF|PM25|Premature mortality", US_national_yearly!$D:$AM, 10, FALSE), 1)</f>
        <v>4.5242801969778659E-4</v>
      </c>
      <c r="F2" s="7">
        <f>$B2 * IFERROR(VLOOKUP("LULUCF|PM25|Premature mortality", US_national_yearly!$D:$AM, 14, FALSE) / VLOOKUP("LULUCF|PM25|Premature mortality", US_national_yearly!$D:$AM, 10, FALSE), 1)</f>
        <v>4.5783599454258638E-4</v>
      </c>
      <c r="G2" s="7">
        <f>$B2 * IFERROR(VLOOKUP("LULUCF|PM25|Premature mortality", US_national_yearly!$D:$AM, 15, FALSE) / VLOOKUP("LULUCF|PM25|Premature mortality", US_national_yearly!$D:$AM, 10, FALSE), 1)</f>
        <v>4.6836798476685326E-4</v>
      </c>
      <c r="H2" s="7">
        <f>$B2 * IFERROR(VLOOKUP("LULUCF|PM25|Premature mortality", US_national_yearly!$D:$AM, 16, FALSE) / VLOOKUP("LULUCF|PM25|Premature mortality", US_national_yearly!$D:$AM, 10, FALSE), 1)</f>
        <v>4.7889997499112009E-4</v>
      </c>
      <c r="I2" s="7">
        <f>$B2 * IFERROR(VLOOKUP("LULUCF|PM25|Premature mortality", US_national_yearly!$D:$AM, 17, FALSE) / VLOOKUP("LULUCF|PM25|Premature mortality", US_national_yearly!$D:$AM, 10, FALSE), 1)</f>
        <v>4.8581782951597342E-4</v>
      </c>
      <c r="J2" s="7">
        <f>$B2 * IFERROR(VLOOKUP("LULUCF|PM25|Premature mortality", US_national_yearly!$D:$AM, 18, FALSE) / VLOOKUP("LULUCF|PM25|Premature mortality", US_national_yearly!$D:$AM, 10, FALSE), 1)</f>
        <v>4.9273568404082692E-4</v>
      </c>
      <c r="K2" s="7">
        <f>$B2 * IFERROR(VLOOKUP("LULUCF|PM25|Premature mortality", US_national_yearly!$D:$AM, 19, FALSE) / VLOOKUP("LULUCF|PM25|Premature mortality", US_national_yearly!$D:$AM, 10, FALSE), 1)</f>
        <v>4.996535385656803E-4</v>
      </c>
      <c r="L2" s="7">
        <f>$B2 * IFERROR(VLOOKUP("LULUCF|PM25|Premature mortality", US_national_yearly!$D:$AM, 20, FALSE) / VLOOKUP("LULUCF|PM25|Premature mortality", US_national_yearly!$D:$AM, 10, FALSE), 1)</f>
        <v>5.065713930905338E-4</v>
      </c>
      <c r="M2" s="7">
        <f>$B2 * IFERROR(VLOOKUP("LULUCF|PM25|Premature mortality", US_national_yearly!$D:$AM, 21, FALSE) / VLOOKUP("LULUCF|PM25|Premature mortality", US_national_yearly!$D:$AM, 10, FALSE), 1)</f>
        <v>5.1348924761538729E-4</v>
      </c>
      <c r="N2" s="7">
        <f>$B2 * IFERROR(VLOOKUP("LULUCF|PM25|Premature mortality", US_national_yearly!$D:$AM, 22, FALSE) / VLOOKUP("LULUCF|PM25|Premature mortality", US_national_yearly!$D:$AM, 10, FALSE), 1)</f>
        <v>5.1886052137372989E-4</v>
      </c>
      <c r="O2" s="7">
        <f>$B2 * IFERROR(VLOOKUP("LULUCF|PM25|Premature mortality", US_national_yearly!$D:$AM, 23, FALSE) / VLOOKUP("LULUCF|PM25|Premature mortality", US_national_yearly!$D:$AM, 10, FALSE), 1)</f>
        <v>5.242317951320726E-4</v>
      </c>
      <c r="P2" s="7">
        <f>$B2 * IFERROR(VLOOKUP("LULUCF|PM25|Premature mortality", US_national_yearly!$D:$AM, 24, FALSE) / VLOOKUP("LULUCF|PM25|Premature mortality", US_national_yearly!$D:$AM, 10, FALSE), 1)</f>
        <v>5.2960306889041531E-4</v>
      </c>
      <c r="Q2" s="7">
        <f>$B2 * IFERROR(VLOOKUP("LULUCF|PM25|Premature mortality", US_national_yearly!$D:$AM, 25, FALSE) / VLOOKUP("LULUCF|PM25|Premature mortality", US_national_yearly!$D:$AM, 10, FALSE), 1)</f>
        <v>5.3497434264875791E-4</v>
      </c>
      <c r="R2" s="7">
        <f>$B2 * IFERROR(VLOOKUP("LULUCF|PM25|Premature mortality", US_national_yearly!$D:$AM, 26, FALSE) / VLOOKUP("LULUCF|PM25|Premature mortality", US_national_yearly!$D:$AM, 10, FALSE), 1)</f>
        <v>5.4034561640710073E-4</v>
      </c>
      <c r="S2" s="7">
        <f>$B2 * IFERROR(VLOOKUP("LULUCF|PM25|Premature mortality", US_national_yearly!$D:$AM, 27, FALSE) / VLOOKUP("LULUCF|PM25|Premature mortality", US_national_yearly!$D:$AM, 10, FALSE), 1)</f>
        <v>5.4319115765840819E-4</v>
      </c>
      <c r="T2" s="7">
        <f>$B2 * IFERROR(VLOOKUP("LULUCF|PM25|Premature mortality", US_national_yearly!$D:$AM, 28, FALSE) / VLOOKUP("LULUCF|PM25|Premature mortality", US_national_yearly!$D:$AM, 10, FALSE), 1)</f>
        <v>5.4603669890971565E-4</v>
      </c>
      <c r="U2" s="7">
        <f>$B2 * IFERROR(VLOOKUP("LULUCF|PM25|Premature mortality", US_national_yearly!$D:$AM, 29, FALSE) / VLOOKUP("LULUCF|PM25|Premature mortality", US_national_yearly!$D:$AM, 10, FALSE), 1)</f>
        <v>5.4888224016102301E-4</v>
      </c>
      <c r="V2" s="7">
        <f>$B2 * IFERROR(VLOOKUP("LULUCF|PM25|Premature mortality", US_national_yearly!$D:$AM, 30, FALSE) / VLOOKUP("LULUCF|PM25|Premature mortality", US_national_yearly!$D:$AM, 10, FALSE), 1)</f>
        <v>5.5172778141233047E-4</v>
      </c>
      <c r="W2" s="7">
        <f>$B2 * IFERROR(VLOOKUP("LULUCF|PM25|Premature mortality", US_national_yearly!$D:$AM, 31, FALSE) / VLOOKUP("LULUCF|PM25|Premature mortality", US_national_yearly!$D:$AM, 10, FALSE), 1)</f>
        <v>5.5457332266363782E-4</v>
      </c>
      <c r="X2" s="7">
        <f>$B2 * IFERROR(VLOOKUP("LULUCF|PM25|Premature mortality", US_national_yearly!$D:$AM, 32, FALSE) / VLOOKUP("LULUCF|PM25|Premature mortality", US_national_yearly!$D:$AM, 10, FALSE), 1)</f>
        <v>5.5507088756321537E-4</v>
      </c>
      <c r="Y2" s="7">
        <f>$B2 * IFERROR(VLOOKUP("LULUCF|PM25|Premature mortality", US_national_yearly!$D:$AM, 33, FALSE) / VLOOKUP("LULUCF|PM25|Premature mortality", US_national_yearly!$D:$AM, 10, FALSE), 1)</f>
        <v>5.5556845246279303E-4</v>
      </c>
      <c r="Z2" s="7">
        <f>$B2 * IFERROR(VLOOKUP("LULUCF|PM25|Premature mortality", US_national_yearly!$D:$AM, 34, FALSE) / VLOOKUP("LULUCF|PM25|Premature mortality", US_national_yearly!$D:$AM, 10, FALSE), 1)</f>
        <v>5.5606601736237057E-4</v>
      </c>
      <c r="AA2" s="7">
        <f>$B2 * IFERROR(VLOOKUP("LULUCF|PM25|Premature mortality", US_national_yearly!$D:$AM, 35, FALSE) / VLOOKUP("LULUCF|PM25|Premature mortality", US_national_yearly!$D:$AM, 10, FALSE), 1)</f>
        <v>5.5656358226194812E-4</v>
      </c>
      <c r="AB2" s="7">
        <f>$B2 * IFERROR(VLOOKUP("LULUCF|PM25|Premature mortality", US_national_yearly!$D:$AM, 36, FALSE) / VLOOKUP("LULUCF|PM25|Premature mortality", US_national_yearly!$D:$AM, 10, FALSE), 1)</f>
        <v>5.5706114716152567E-4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7.6724853413517854E-7</v>
      </c>
      <c r="C3" s="7">
        <f>$B3 * IFERROR(VLOOKUP("LULUCF|PM25|Infant mortality", US_national_yearly!$D:$AM, 11, FALSE) / VLOOKUP("LULUCF|PM25|Infant mortality", US_national_yearly!$D:$AM, 10, FALSE), 1)</f>
        <v>7.6055882703679756E-7</v>
      </c>
      <c r="D3" s="7">
        <f>$B3 * IFERROR(VLOOKUP("LULUCF|PM25|Infant mortality", US_national_yearly!$D:$AM, 12, FALSE) / VLOOKUP("LULUCF|PM25|Infant mortality", US_national_yearly!$D:$AM, 10, FALSE), 1)</f>
        <v>7.5386911993841636E-7</v>
      </c>
      <c r="E3" s="7">
        <f>$B3 * IFERROR(VLOOKUP("LULUCF|PM25|Infant mortality", US_national_yearly!$D:$AM, 13, FALSE) / VLOOKUP("LULUCF|PM25|Infant mortality", US_national_yearly!$D:$AM, 10, FALSE), 1)</f>
        <v>7.4717941284003538E-7</v>
      </c>
      <c r="F3" s="7">
        <f>$B3 * IFERROR(VLOOKUP("LULUCF|PM25|Infant mortality", US_national_yearly!$D:$AM, 14, FALSE) / VLOOKUP("LULUCF|PM25|Infant mortality", US_national_yearly!$D:$AM, 10, FALSE), 1)</f>
        <v>7.4048970574165418E-7</v>
      </c>
      <c r="G3" s="7">
        <f>$B3 * IFERROR(VLOOKUP("LULUCF|PM25|Infant mortality", US_national_yearly!$D:$AM, 15, FALSE) / VLOOKUP("LULUCF|PM25|Infant mortality", US_national_yearly!$D:$AM, 10, FALSE), 1)</f>
        <v>4.9246526456102014E-7</v>
      </c>
      <c r="H3" s="7">
        <f>$B3 * IFERROR(VLOOKUP("LULUCF|PM25|Infant mortality", US_national_yearly!$D:$AM, 16, FALSE) / VLOOKUP("LULUCF|PM25|Infant mortality", US_national_yearly!$D:$AM, 10, FALSE), 1)</f>
        <v>2.4444082338038604E-7</v>
      </c>
      <c r="I3" s="7">
        <f>$B3 * IFERROR(VLOOKUP("LULUCF|PM25|Infant mortality", US_national_yearly!$D:$AM, 17, FALSE) / VLOOKUP("LULUCF|PM25|Infant mortality", US_national_yearly!$D:$AM, 10, FALSE), 1)</f>
        <v>2.4284299881936413E-7</v>
      </c>
      <c r="J3" s="7">
        <f>$B3 * IFERROR(VLOOKUP("LULUCF|PM25|Infant mortality", US_national_yearly!$D:$AM, 18, FALSE) / VLOOKUP("LULUCF|PM25|Infant mortality", US_national_yearly!$D:$AM, 10, FALSE), 1)</f>
        <v>2.4124517425834217E-7</v>
      </c>
      <c r="K3" s="7">
        <f>$B3 * IFERROR(VLOOKUP("LULUCF|PM25|Infant mortality", US_national_yearly!$D:$AM, 19, FALSE) / VLOOKUP("LULUCF|PM25|Infant mortality", US_national_yearly!$D:$AM, 10, FALSE), 1)</f>
        <v>2.3964734969732027E-7</v>
      </c>
      <c r="L3" s="7">
        <f>$B3 * IFERROR(VLOOKUP("LULUCF|PM25|Infant mortality", US_national_yearly!$D:$AM, 20, FALSE) / VLOOKUP("LULUCF|PM25|Infant mortality", US_national_yearly!$D:$AM, 10, FALSE), 1)</f>
        <v>2.3804952513629836E-7</v>
      </c>
      <c r="M3" s="7">
        <f>$B3 * IFERROR(VLOOKUP("LULUCF|PM25|Infant mortality", US_national_yearly!$D:$AM, 21, FALSE) / VLOOKUP("LULUCF|PM25|Infant mortality", US_national_yearly!$D:$AM, 10, FALSE), 1)</f>
        <v>2.3645170057527646E-7</v>
      </c>
      <c r="N3" s="7">
        <f>$B3 * IFERROR(VLOOKUP("LULUCF|PM25|Infant mortality", US_national_yearly!$D:$AM, 22, FALSE) / VLOOKUP("LULUCF|PM25|Infant mortality", US_national_yearly!$D:$AM, 10, FALSE), 1)</f>
        <v>2.3544808985449929E-7</v>
      </c>
      <c r="O3" s="7">
        <f>$B3 * IFERROR(VLOOKUP("LULUCF|PM25|Infant mortality", US_national_yearly!$D:$AM, 23, FALSE) / VLOOKUP("LULUCF|PM25|Infant mortality", US_national_yearly!$D:$AM, 10, FALSE), 1)</f>
        <v>2.3444447913372215E-7</v>
      </c>
      <c r="P3" s="7">
        <f>$B3 * IFERROR(VLOOKUP("LULUCF|PM25|Infant mortality", US_national_yearly!$D:$AM, 24, FALSE) / VLOOKUP("LULUCF|PM25|Infant mortality", US_national_yearly!$D:$AM, 10, FALSE), 1)</f>
        <v>2.3344086841294495E-7</v>
      </c>
      <c r="Q3" s="7">
        <f>$B3 * IFERROR(VLOOKUP("LULUCF|PM25|Infant mortality", US_national_yearly!$D:$AM, 25, FALSE) / VLOOKUP("LULUCF|PM25|Infant mortality", US_national_yearly!$D:$AM, 10, FALSE), 1)</f>
        <v>2.3243725769216781E-7</v>
      </c>
      <c r="R3" s="7">
        <f>$B3 * IFERROR(VLOOKUP("LULUCF|PM25|Infant mortality", US_national_yearly!$D:$AM, 26, FALSE) / VLOOKUP("LULUCF|PM25|Infant mortality", US_national_yearly!$D:$AM, 10, FALSE), 1)</f>
        <v>2.3143364697139064E-7</v>
      </c>
      <c r="S3" s="7">
        <f>$B3 * IFERROR(VLOOKUP("LULUCF|PM25|Infant mortality", US_national_yearly!$D:$AM, 27, FALSE) / VLOOKUP("LULUCF|PM25|Infant mortality", US_national_yearly!$D:$AM, 10, FALSE), 1)</f>
        <v>2.3018262568751629E-7</v>
      </c>
      <c r="T3" s="7">
        <f>$B3 * IFERROR(VLOOKUP("LULUCF|PM25|Infant mortality", US_national_yearly!$D:$AM, 28, FALSE) / VLOOKUP("LULUCF|PM25|Infant mortality", US_national_yearly!$D:$AM, 10, FALSE), 1)</f>
        <v>2.2893160440364193E-7</v>
      </c>
      <c r="U3" s="7">
        <f>$B3 * IFERROR(VLOOKUP("LULUCF|PM25|Infant mortality", US_national_yearly!$D:$AM, 29, FALSE) / VLOOKUP("LULUCF|PM25|Infant mortality", US_national_yearly!$D:$AM, 10, FALSE), 1)</f>
        <v>2.2768058311976761E-7</v>
      </c>
      <c r="V3" s="7">
        <f>$B3 * IFERROR(VLOOKUP("LULUCF|PM25|Infant mortality", US_national_yearly!$D:$AM, 30, FALSE) / VLOOKUP("LULUCF|PM25|Infant mortality", US_national_yearly!$D:$AM, 10, FALSE), 1)</f>
        <v>2.2642956183589329E-7</v>
      </c>
      <c r="W3" s="7">
        <f>$B3 * IFERROR(VLOOKUP("LULUCF|PM25|Infant mortality", US_national_yearly!$D:$AM, 31, FALSE) / VLOOKUP("LULUCF|PM25|Infant mortality", US_national_yearly!$D:$AM, 10, FALSE), 1)</f>
        <v>2.2517854055201892E-7</v>
      </c>
      <c r="X3" s="7">
        <f>$B3 * IFERROR(VLOOKUP("LULUCF|PM25|Infant mortality", US_national_yearly!$D:$AM, 32, FALSE) / VLOOKUP("LULUCF|PM25|Infant mortality", US_national_yearly!$D:$AM, 10, FALSE), 1)</f>
        <v>2.2382978237112306E-7</v>
      </c>
      <c r="Y3" s="7">
        <f>$B3 * IFERROR(VLOOKUP("LULUCF|PM25|Infant mortality", US_national_yearly!$D:$AM, 33, FALSE) / VLOOKUP("LULUCF|PM25|Infant mortality", US_national_yearly!$D:$AM, 10, FALSE), 1)</f>
        <v>2.2248102419022711E-7</v>
      </c>
      <c r="Z3" s="7">
        <f>$B3 * IFERROR(VLOOKUP("LULUCF|PM25|Infant mortality", US_national_yearly!$D:$AM, 34, FALSE) / VLOOKUP("LULUCF|PM25|Infant mortality", US_national_yearly!$D:$AM, 10, FALSE), 1)</f>
        <v>2.2113226600933124E-7</v>
      </c>
      <c r="AA3" s="7">
        <f>$B3 * IFERROR(VLOOKUP("LULUCF|PM25|Infant mortality", US_national_yearly!$D:$AM, 35, FALSE) / VLOOKUP("LULUCF|PM25|Infant mortality", US_national_yearly!$D:$AM, 10, FALSE), 1)</f>
        <v>2.1978350782843535E-7</v>
      </c>
      <c r="AB3" s="7">
        <f>$B3 * IFERROR(VLOOKUP("LULUCF|PM25|Infant mortality", US_national_yearly!$D:$AM, 36, FALSE) / VLOOKUP("LULUCF|PM25|Infant mortality", US_national_yearly!$D:$AM, 10, FALSE), 1)</f>
        <v>2.1843474964753948E-7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8.1885791756636293E-4</v>
      </c>
      <c r="C6" s="7">
        <f>$B6 * IFERROR(VLOOKUP("LULUCF|PM25|Asthma symptoms cough", US_national_yearly!$D:$AM, 11, FALSE) / VLOOKUP("LULUCF|PM25|Asthma symptoms cough", US_national_yearly!$D:$AM, 10, FALSE), 1)</f>
        <v>8.1885791756636293E-4</v>
      </c>
      <c r="D6" s="7">
        <f>$B6 * IFERROR(VLOOKUP("LULUCF|PM25|Asthma symptoms cough", US_national_yearly!$D:$AM, 12, FALSE) / VLOOKUP("LULUCF|PM25|Asthma symptoms cough", US_national_yearly!$D:$AM, 10, FALSE), 1)</f>
        <v>8.1885791756636293E-4</v>
      </c>
      <c r="E6" s="7">
        <f>$B6 * IFERROR(VLOOKUP("LULUCF|PM25|Asthma symptoms cough", US_national_yearly!$D:$AM, 13, FALSE) / VLOOKUP("LULUCF|PM25|Asthma symptoms cough", US_national_yearly!$D:$AM, 10, FALSE), 1)</f>
        <v>8.1885791756636293E-4</v>
      </c>
      <c r="F6" s="7">
        <f>$B6 * IFERROR(VLOOKUP("LULUCF|PM25|Asthma symptoms cough", US_national_yearly!$D:$AM, 14, FALSE) / VLOOKUP("LULUCF|PM25|Asthma symptoms cough", US_national_yearly!$D:$AM, 10, FALSE), 1)</f>
        <v>8.1885791756636293E-4</v>
      </c>
      <c r="G6" s="7">
        <f>$B6 * IFERROR(VLOOKUP("LULUCF|PM25|Asthma symptoms cough", US_national_yearly!$D:$AM, 15, FALSE) / VLOOKUP("LULUCF|PM25|Asthma symptoms cough", US_national_yearly!$D:$AM, 10, FALSE), 1)</f>
        <v>8.1885791756636293E-4</v>
      </c>
      <c r="H6" s="7">
        <f>$B6 * IFERROR(VLOOKUP("LULUCF|PM25|Asthma symptoms cough", US_national_yearly!$D:$AM, 16, FALSE) / VLOOKUP("LULUCF|PM25|Asthma symptoms cough", US_national_yearly!$D:$AM, 10, FALSE), 1)</f>
        <v>8.1885791756636293E-4</v>
      </c>
      <c r="I6" s="7">
        <f>$B6 * IFERROR(VLOOKUP("LULUCF|PM25|Asthma symptoms cough", US_national_yearly!$D:$AM, 17, FALSE) / VLOOKUP("LULUCF|PM25|Asthma symptoms cough", US_national_yearly!$D:$AM, 10, FALSE), 1)</f>
        <v>8.1885791756636293E-4</v>
      </c>
      <c r="J6" s="7">
        <f>$B6 * IFERROR(VLOOKUP("LULUCF|PM25|Asthma symptoms cough", US_national_yearly!$D:$AM, 18, FALSE) / VLOOKUP("LULUCF|PM25|Asthma symptoms cough", US_national_yearly!$D:$AM, 10, FALSE), 1)</f>
        <v>8.1885791756636293E-4</v>
      </c>
      <c r="K6" s="7">
        <f>$B6 * IFERROR(VLOOKUP("LULUCF|PM25|Asthma symptoms cough", US_national_yearly!$D:$AM, 19, FALSE) / VLOOKUP("LULUCF|PM25|Asthma symptoms cough", US_national_yearly!$D:$AM, 10, FALSE), 1)</f>
        <v>8.1885791756636293E-4</v>
      </c>
      <c r="L6" s="7">
        <f>$B6 * IFERROR(VLOOKUP("LULUCF|PM25|Asthma symptoms cough", US_national_yearly!$D:$AM, 20, FALSE) / VLOOKUP("LULUCF|PM25|Asthma symptoms cough", US_national_yearly!$D:$AM, 10, FALSE), 1)</f>
        <v>8.1885791756636293E-4</v>
      </c>
      <c r="M6" s="7">
        <f>$B6 * IFERROR(VLOOKUP("LULUCF|PM25|Asthma symptoms cough", US_national_yearly!$D:$AM, 21, FALSE) / VLOOKUP("LULUCF|PM25|Asthma symptoms cough", US_national_yearly!$D:$AM, 10, FALSE), 1)</f>
        <v>8.1885791756636293E-4</v>
      </c>
      <c r="N6" s="7">
        <f>$B6 * IFERROR(VLOOKUP("LULUCF|PM25|Asthma symptoms cough", US_national_yearly!$D:$AM, 22, FALSE) / VLOOKUP("LULUCF|PM25|Asthma symptoms cough", US_national_yearly!$D:$AM, 10, FALSE), 1)</f>
        <v>8.1885791756636293E-4</v>
      </c>
      <c r="O6" s="7">
        <f>$B6 * IFERROR(VLOOKUP("LULUCF|PM25|Asthma symptoms cough", US_national_yearly!$D:$AM, 23, FALSE) / VLOOKUP("LULUCF|PM25|Asthma symptoms cough", US_national_yearly!$D:$AM, 10, FALSE), 1)</f>
        <v>8.1885791756636293E-4</v>
      </c>
      <c r="P6" s="7">
        <f>$B6 * IFERROR(VLOOKUP("LULUCF|PM25|Asthma symptoms cough", US_national_yearly!$D:$AM, 24, FALSE) / VLOOKUP("LULUCF|PM25|Asthma symptoms cough", US_national_yearly!$D:$AM, 10, FALSE), 1)</f>
        <v>8.1885791756636293E-4</v>
      </c>
      <c r="Q6" s="7">
        <f>$B6 * IFERROR(VLOOKUP("LULUCF|PM25|Asthma symptoms cough", US_national_yearly!$D:$AM, 25, FALSE) / VLOOKUP("LULUCF|PM25|Asthma symptoms cough", US_national_yearly!$D:$AM, 10, FALSE), 1)</f>
        <v>8.1885791756636293E-4</v>
      </c>
      <c r="R6" s="7">
        <f>$B6 * IFERROR(VLOOKUP("LULUCF|PM25|Asthma symptoms cough", US_national_yearly!$D:$AM, 26, FALSE) / VLOOKUP("LULUCF|PM25|Asthma symptoms cough", US_national_yearly!$D:$AM, 10, FALSE), 1)</f>
        <v>8.1885791756636293E-4</v>
      </c>
      <c r="S6" s="7">
        <f>$B6 * IFERROR(VLOOKUP("LULUCF|PM25|Asthma symptoms cough", US_national_yearly!$D:$AM, 27, FALSE) / VLOOKUP("LULUCF|PM25|Asthma symptoms cough", US_national_yearly!$D:$AM, 10, FALSE), 1)</f>
        <v>8.1885791756636293E-4</v>
      </c>
      <c r="T6" s="7">
        <f>$B6 * IFERROR(VLOOKUP("LULUCF|PM25|Asthma symptoms cough", US_national_yearly!$D:$AM, 28, FALSE) / VLOOKUP("LULUCF|PM25|Asthma symptoms cough", US_national_yearly!$D:$AM, 10, FALSE), 1)</f>
        <v>8.1885791756636293E-4</v>
      </c>
      <c r="U6" s="7">
        <f>$B6 * IFERROR(VLOOKUP("LULUCF|PM25|Asthma symptoms cough", US_national_yearly!$D:$AM, 29, FALSE) / VLOOKUP("LULUCF|PM25|Asthma symptoms cough", US_national_yearly!$D:$AM, 10, FALSE), 1)</f>
        <v>8.1885791756636293E-4</v>
      </c>
      <c r="V6" s="7">
        <f>$B6 * IFERROR(VLOOKUP("LULUCF|PM25|Asthma symptoms cough", US_national_yearly!$D:$AM, 30, FALSE) / VLOOKUP("LULUCF|PM25|Asthma symptoms cough", US_national_yearly!$D:$AM, 10, FALSE), 1)</f>
        <v>8.1885791756636293E-4</v>
      </c>
      <c r="W6" s="7">
        <f>$B6 * IFERROR(VLOOKUP("LULUCF|PM25|Asthma symptoms cough", US_national_yearly!$D:$AM, 31, FALSE) / VLOOKUP("LULUCF|PM25|Asthma symptoms cough", US_national_yearly!$D:$AM, 10, FALSE), 1)</f>
        <v>8.1885791756636293E-4</v>
      </c>
      <c r="X6" s="7">
        <f>$B6 * IFERROR(VLOOKUP("LULUCF|PM25|Asthma symptoms cough", US_national_yearly!$D:$AM, 32, FALSE) / VLOOKUP("LULUCF|PM25|Asthma symptoms cough", US_national_yearly!$D:$AM, 10, FALSE), 1)</f>
        <v>8.1885791756636293E-4</v>
      </c>
      <c r="Y6" s="7">
        <f>$B6 * IFERROR(VLOOKUP("LULUCF|PM25|Asthma symptoms cough", US_national_yearly!$D:$AM, 33, FALSE) / VLOOKUP("LULUCF|PM25|Asthma symptoms cough", US_national_yearly!$D:$AM, 10, FALSE), 1)</f>
        <v>8.1885791756636293E-4</v>
      </c>
      <c r="Z6" s="7">
        <f>$B6 * IFERROR(VLOOKUP("LULUCF|PM25|Asthma symptoms cough", US_national_yearly!$D:$AM, 34, FALSE) / VLOOKUP("LULUCF|PM25|Asthma symptoms cough", US_national_yearly!$D:$AM, 10, FALSE), 1)</f>
        <v>8.1885791756636293E-4</v>
      </c>
      <c r="AA6" s="7">
        <f>$B6 * IFERROR(VLOOKUP("LULUCF|PM25|Asthma symptoms cough", US_national_yearly!$D:$AM, 35, FALSE) / VLOOKUP("LULUCF|PM25|Asthma symptoms cough", US_national_yearly!$D:$AM, 10, FALSE), 1)</f>
        <v>8.1885791756636293E-4</v>
      </c>
      <c r="AB6" s="7">
        <f>$B6 * IFERROR(VLOOKUP("LULUCF|PM25|Asthma symptoms cough", US_national_yearly!$D:$AM, 36, FALSE) / VLOOKUP("LULUCF|PM25|Asthma symptoms cough", US_national_yearly!$D:$AM, 10, FALSE), 1)</f>
        <v>8.1885791756636293E-4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1.1027016515630303E-3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1.1027016515630303E-3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1.1027016515630303E-3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1.1027016515630303E-3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1.1027016515630303E-3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1.1027016515630303E-3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1.1027016515630303E-3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1.1027016515630303E-3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1.1027016515630303E-3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1.1027016515630303E-3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1.1027016515630303E-3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1.1027016515630303E-3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1.1027016515630303E-3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1.1027016515630303E-3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1.1027016515630303E-3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1.1027016515630303E-3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1.1027016515630303E-3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1.1027016515630303E-3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1.1027016515630303E-3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1.1027016515630303E-3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1.1027016515630303E-3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1.1027016515630303E-3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1.1027016515630303E-3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1.1027016515630303E-3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1.1027016515630303E-3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1.1027016515630303E-3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1.1027016515630303E-3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1.6847746043236005E-3</v>
      </c>
      <c r="C8" s="7">
        <f>$B8 * IFERROR(VLOOKUP("LULUCF|PM25|Asthma symptoms wheeze", US_national_yearly!$D:$AM, 11, FALSE) / VLOOKUP("LULUCF|PM25|Asthma symptoms wheeze", US_national_yearly!$D:$AM, 10, FALSE), 1)</f>
        <v>1.6847746043236005E-3</v>
      </c>
      <c r="D8" s="7">
        <f>$B8 * IFERROR(VLOOKUP("LULUCF|PM25|Asthma symptoms wheeze", US_national_yearly!$D:$AM, 12, FALSE) / VLOOKUP("LULUCF|PM25|Asthma symptoms wheeze", US_national_yearly!$D:$AM, 10, FALSE), 1)</f>
        <v>1.6847746043236005E-3</v>
      </c>
      <c r="E8" s="7">
        <f>$B8 * IFERROR(VLOOKUP("LULUCF|PM25|Asthma symptoms wheeze", US_national_yearly!$D:$AM, 13, FALSE) / VLOOKUP("LULUCF|PM25|Asthma symptoms wheeze", US_national_yearly!$D:$AM, 10, FALSE), 1)</f>
        <v>1.6847746043236005E-3</v>
      </c>
      <c r="F8" s="7">
        <f>$B8 * IFERROR(VLOOKUP("LULUCF|PM25|Asthma symptoms wheeze", US_national_yearly!$D:$AM, 14, FALSE) / VLOOKUP("LULUCF|PM25|Asthma symptoms wheeze", US_national_yearly!$D:$AM, 10, FALSE), 1)</f>
        <v>1.6847746043236005E-3</v>
      </c>
      <c r="G8" s="7">
        <f>$B8 * IFERROR(VLOOKUP("LULUCF|PM25|Asthma symptoms wheeze", US_national_yearly!$D:$AM, 15, FALSE) / VLOOKUP("LULUCF|PM25|Asthma symptoms wheeze", US_national_yearly!$D:$AM, 10, FALSE), 1)</f>
        <v>1.6847746043236005E-3</v>
      </c>
      <c r="H8" s="7">
        <f>$B8 * IFERROR(VLOOKUP("LULUCF|PM25|Asthma symptoms wheeze", US_national_yearly!$D:$AM, 16, FALSE) / VLOOKUP("LULUCF|PM25|Asthma symptoms wheeze", US_national_yearly!$D:$AM, 10, FALSE), 1)</f>
        <v>1.6847746043236005E-3</v>
      </c>
      <c r="I8" s="7">
        <f>$B8 * IFERROR(VLOOKUP("LULUCF|PM25|Asthma symptoms wheeze", US_national_yearly!$D:$AM, 17, FALSE) / VLOOKUP("LULUCF|PM25|Asthma symptoms wheeze", US_national_yearly!$D:$AM, 10, FALSE), 1)</f>
        <v>1.6847746043236005E-3</v>
      </c>
      <c r="J8" s="7">
        <f>$B8 * IFERROR(VLOOKUP("LULUCF|PM25|Asthma symptoms wheeze", US_national_yearly!$D:$AM, 18, FALSE) / VLOOKUP("LULUCF|PM25|Asthma symptoms wheeze", US_national_yearly!$D:$AM, 10, FALSE), 1)</f>
        <v>1.6847746043236005E-3</v>
      </c>
      <c r="K8" s="7">
        <f>$B8 * IFERROR(VLOOKUP("LULUCF|PM25|Asthma symptoms wheeze", US_national_yearly!$D:$AM, 19, FALSE) / VLOOKUP("LULUCF|PM25|Asthma symptoms wheeze", US_national_yearly!$D:$AM, 10, FALSE), 1)</f>
        <v>1.6847746043236005E-3</v>
      </c>
      <c r="L8" s="7">
        <f>$B8 * IFERROR(VLOOKUP("LULUCF|PM25|Asthma symptoms wheeze", US_national_yearly!$D:$AM, 20, FALSE) / VLOOKUP("LULUCF|PM25|Asthma symptoms wheeze", US_national_yearly!$D:$AM, 10, FALSE), 1)</f>
        <v>1.6847746043236005E-3</v>
      </c>
      <c r="M8" s="7">
        <f>$B8 * IFERROR(VLOOKUP("LULUCF|PM25|Asthma symptoms wheeze", US_national_yearly!$D:$AM, 21, FALSE) / VLOOKUP("LULUCF|PM25|Asthma symptoms wheeze", US_national_yearly!$D:$AM, 10, FALSE), 1)</f>
        <v>1.6847746043236005E-3</v>
      </c>
      <c r="N8" s="7">
        <f>$B8 * IFERROR(VLOOKUP("LULUCF|PM25|Asthma symptoms wheeze", US_national_yearly!$D:$AM, 22, FALSE) / VLOOKUP("LULUCF|PM25|Asthma symptoms wheeze", US_national_yearly!$D:$AM, 10, FALSE), 1)</f>
        <v>1.6847746043236005E-3</v>
      </c>
      <c r="O8" s="7">
        <f>$B8 * IFERROR(VLOOKUP("LULUCF|PM25|Asthma symptoms wheeze", US_national_yearly!$D:$AM, 23, FALSE) / VLOOKUP("LULUCF|PM25|Asthma symptoms wheeze", US_national_yearly!$D:$AM, 10, FALSE), 1)</f>
        <v>1.6847746043236005E-3</v>
      </c>
      <c r="P8" s="7">
        <f>$B8 * IFERROR(VLOOKUP("LULUCF|PM25|Asthma symptoms wheeze", US_national_yearly!$D:$AM, 24, FALSE) / VLOOKUP("LULUCF|PM25|Asthma symptoms wheeze", US_national_yearly!$D:$AM, 10, FALSE), 1)</f>
        <v>1.6847746043236005E-3</v>
      </c>
      <c r="Q8" s="7">
        <f>$B8 * IFERROR(VLOOKUP("LULUCF|PM25|Asthma symptoms wheeze", US_national_yearly!$D:$AM, 25, FALSE) / VLOOKUP("LULUCF|PM25|Asthma symptoms wheeze", US_national_yearly!$D:$AM, 10, FALSE), 1)</f>
        <v>1.6847746043236005E-3</v>
      </c>
      <c r="R8" s="7">
        <f>$B8 * IFERROR(VLOOKUP("LULUCF|PM25|Asthma symptoms wheeze", US_national_yearly!$D:$AM, 26, FALSE) / VLOOKUP("LULUCF|PM25|Asthma symptoms wheeze", US_national_yearly!$D:$AM, 10, FALSE), 1)</f>
        <v>1.6847746043236005E-3</v>
      </c>
      <c r="S8" s="7">
        <f>$B8 * IFERROR(VLOOKUP("LULUCF|PM25|Asthma symptoms wheeze", US_national_yearly!$D:$AM, 27, FALSE) / VLOOKUP("LULUCF|PM25|Asthma symptoms wheeze", US_national_yearly!$D:$AM, 10, FALSE), 1)</f>
        <v>1.6847746043236005E-3</v>
      </c>
      <c r="T8" s="7">
        <f>$B8 * IFERROR(VLOOKUP("LULUCF|PM25|Asthma symptoms wheeze", US_national_yearly!$D:$AM, 28, FALSE) / VLOOKUP("LULUCF|PM25|Asthma symptoms wheeze", US_national_yearly!$D:$AM, 10, FALSE), 1)</f>
        <v>1.6847746043236005E-3</v>
      </c>
      <c r="U8" s="7">
        <f>$B8 * IFERROR(VLOOKUP("LULUCF|PM25|Asthma symptoms wheeze", US_national_yearly!$D:$AM, 29, FALSE) / VLOOKUP("LULUCF|PM25|Asthma symptoms wheeze", US_national_yearly!$D:$AM, 10, FALSE), 1)</f>
        <v>1.6847746043236005E-3</v>
      </c>
      <c r="V8" s="7">
        <f>$B8 * IFERROR(VLOOKUP("LULUCF|PM25|Asthma symptoms wheeze", US_national_yearly!$D:$AM, 30, FALSE) / VLOOKUP("LULUCF|PM25|Asthma symptoms wheeze", US_national_yearly!$D:$AM, 10, FALSE), 1)</f>
        <v>1.6847746043236005E-3</v>
      </c>
      <c r="W8" s="7">
        <f>$B8 * IFERROR(VLOOKUP("LULUCF|PM25|Asthma symptoms wheeze", US_national_yearly!$D:$AM, 31, FALSE) / VLOOKUP("LULUCF|PM25|Asthma symptoms wheeze", US_national_yearly!$D:$AM, 10, FALSE), 1)</f>
        <v>1.6847746043236005E-3</v>
      </c>
      <c r="X8" s="7">
        <f>$B8 * IFERROR(VLOOKUP("LULUCF|PM25|Asthma symptoms wheeze", US_national_yearly!$D:$AM, 32, FALSE) / VLOOKUP("LULUCF|PM25|Asthma symptoms wheeze", US_national_yearly!$D:$AM, 10, FALSE), 1)</f>
        <v>1.6847746043236005E-3</v>
      </c>
      <c r="Y8" s="7">
        <f>$B8 * IFERROR(VLOOKUP("LULUCF|PM25|Asthma symptoms wheeze", US_national_yearly!$D:$AM, 33, FALSE) / VLOOKUP("LULUCF|PM25|Asthma symptoms wheeze", US_national_yearly!$D:$AM, 10, FALSE), 1)</f>
        <v>1.6847746043236005E-3</v>
      </c>
      <c r="Z8" s="7">
        <f>$B8 * IFERROR(VLOOKUP("LULUCF|PM25|Asthma symptoms wheeze", US_national_yearly!$D:$AM, 34, FALSE) / VLOOKUP("LULUCF|PM25|Asthma symptoms wheeze", US_national_yearly!$D:$AM, 10, FALSE), 1)</f>
        <v>1.6847746043236005E-3</v>
      </c>
      <c r="AA8" s="7">
        <f>$B8 * IFERROR(VLOOKUP("LULUCF|PM25|Asthma symptoms wheeze", US_national_yearly!$D:$AM, 35, FALSE) / VLOOKUP("LULUCF|PM25|Asthma symptoms wheeze", US_national_yearly!$D:$AM, 10, FALSE), 1)</f>
        <v>1.6847746043236005E-3</v>
      </c>
      <c r="AB8" s="7">
        <f>$B8 * IFERROR(VLOOKUP("LULUCF|PM25|Asthma symptoms wheeze", US_national_yearly!$D:$AM, 36, FALSE) / VLOOKUP("LULUCF|PM25|Asthma symptoms wheeze", US_national_yearly!$D:$AM, 10, FALSE), 1)</f>
        <v>1.6847746043236005E-3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2.6330515938844077E-5</v>
      </c>
      <c r="C12" s="7">
        <f>$B12 * IFERROR(VLOOKUP("LULUCF|PM25|Respiratory hospital admissions", US_national_yearly!$D:$AM, 11, FALSE) / VLOOKUP("LULUCF|PM25|Respiratory hospital admissions", US_national_yearly!$D:$AM, 10, FALSE), 1)</f>
        <v>2.6481431843508021E-5</v>
      </c>
      <c r="D12" s="7">
        <f>$B12 * IFERROR(VLOOKUP("LULUCF|PM25|Respiratory hospital admissions", US_national_yearly!$D:$AM, 12, FALSE) / VLOOKUP("LULUCF|PM25|Respiratory hospital admissions", US_national_yearly!$D:$AM, 10, FALSE), 1)</f>
        <v>2.6632347748171962E-5</v>
      </c>
      <c r="E12" s="7">
        <f>$B12 * IFERROR(VLOOKUP("LULUCF|PM25|Respiratory hospital admissions", US_national_yearly!$D:$AM, 13, FALSE) / VLOOKUP("LULUCF|PM25|Respiratory hospital admissions", US_national_yearly!$D:$AM, 10, FALSE), 1)</f>
        <v>2.6783263652835906E-5</v>
      </c>
      <c r="F12" s="7">
        <f>$B12 * IFERROR(VLOOKUP("LULUCF|PM25|Respiratory hospital admissions", US_national_yearly!$D:$AM, 14, FALSE) / VLOOKUP("LULUCF|PM25|Respiratory hospital admissions", US_national_yearly!$D:$AM, 10, FALSE), 1)</f>
        <v>2.6934179557499843E-5</v>
      </c>
      <c r="G12" s="7">
        <f>$B12 * IFERROR(VLOOKUP("LULUCF|PM25|Respiratory hospital admissions", US_national_yearly!$D:$AM, 15, FALSE) / VLOOKUP("LULUCF|PM25|Respiratory hospital admissions", US_national_yearly!$D:$AM, 10, FALSE), 1)</f>
        <v>2.7097175171896419E-5</v>
      </c>
      <c r="H12" s="7">
        <f>$B12 * IFERROR(VLOOKUP("LULUCF|PM25|Respiratory hospital admissions", US_national_yearly!$D:$AM, 16, FALSE) / VLOOKUP("LULUCF|PM25|Respiratory hospital admissions", US_national_yearly!$D:$AM, 10, FALSE), 1)</f>
        <v>2.7260170786292995E-5</v>
      </c>
      <c r="I12" s="7">
        <f>$B12 * IFERROR(VLOOKUP("LULUCF|PM25|Respiratory hospital admissions", US_national_yearly!$D:$AM, 17, FALSE) / VLOOKUP("LULUCF|PM25|Respiratory hospital admissions", US_national_yearly!$D:$AM, 10, FALSE), 1)</f>
        <v>2.7415906903073094E-5</v>
      </c>
      <c r="J12" s="7">
        <f>$B12 * IFERROR(VLOOKUP("LULUCF|PM25|Respiratory hospital admissions", US_national_yearly!$D:$AM, 18, FALSE) / VLOOKUP("LULUCF|PM25|Respiratory hospital admissions", US_national_yearly!$D:$AM, 10, FALSE), 1)</f>
        <v>2.7571643019853202E-5</v>
      </c>
      <c r="K12" s="7">
        <f>$B12 * IFERROR(VLOOKUP("LULUCF|PM25|Respiratory hospital admissions", US_national_yearly!$D:$AM, 19, FALSE) / VLOOKUP("LULUCF|PM25|Respiratory hospital admissions", US_national_yearly!$D:$AM, 10, FALSE), 1)</f>
        <v>2.7727379136633307E-5</v>
      </c>
      <c r="L12" s="7">
        <f>$B12 * IFERROR(VLOOKUP("LULUCF|PM25|Respiratory hospital admissions", US_national_yearly!$D:$AM, 20, FALSE) / VLOOKUP("LULUCF|PM25|Respiratory hospital admissions", US_national_yearly!$D:$AM, 10, FALSE), 1)</f>
        <v>2.7883115253413418E-5</v>
      </c>
      <c r="M12" s="7">
        <f>$B12 * IFERROR(VLOOKUP("LULUCF|PM25|Respiratory hospital admissions", US_national_yearly!$D:$AM, 21, FALSE) / VLOOKUP("LULUCF|PM25|Respiratory hospital admissions", US_national_yearly!$D:$AM, 10, FALSE), 1)</f>
        <v>2.8038851370193516E-5</v>
      </c>
      <c r="N12" s="7">
        <f>$B12 * IFERROR(VLOOKUP("LULUCF|PM25|Respiratory hospital admissions", US_national_yearly!$D:$AM, 22, FALSE) / VLOOKUP("LULUCF|PM25|Respiratory hospital admissions", US_national_yearly!$D:$AM, 10, FALSE), 1)</f>
        <v>2.815062772587133E-5</v>
      </c>
      <c r="O12" s="7">
        <f>$B12 * IFERROR(VLOOKUP("LULUCF|PM25|Respiratory hospital admissions", US_national_yearly!$D:$AM, 23, FALSE) / VLOOKUP("LULUCF|PM25|Respiratory hospital admissions", US_national_yearly!$D:$AM, 10, FALSE), 1)</f>
        <v>2.8262404081549137E-5</v>
      </c>
      <c r="P12" s="7">
        <f>$B12 * IFERROR(VLOOKUP("LULUCF|PM25|Respiratory hospital admissions", US_national_yearly!$D:$AM, 24, FALSE) / VLOOKUP("LULUCF|PM25|Respiratory hospital admissions", US_national_yearly!$D:$AM, 10, FALSE), 1)</f>
        <v>2.8374180437226941E-5</v>
      </c>
      <c r="Q12" s="7">
        <f>$B12 * IFERROR(VLOOKUP("LULUCF|PM25|Respiratory hospital admissions", US_national_yearly!$D:$AM, 25, FALSE) / VLOOKUP("LULUCF|PM25|Respiratory hospital admissions", US_national_yearly!$D:$AM, 10, FALSE), 1)</f>
        <v>2.8485956792904748E-5</v>
      </c>
      <c r="R12" s="7">
        <f>$B12 * IFERROR(VLOOKUP("LULUCF|PM25|Respiratory hospital admissions", US_national_yearly!$D:$AM, 26, FALSE) / VLOOKUP("LULUCF|PM25|Respiratory hospital admissions", US_national_yearly!$D:$AM, 10, FALSE), 1)</f>
        <v>2.8597733148582565E-5</v>
      </c>
      <c r="S12" s="7">
        <f>$B12 * IFERROR(VLOOKUP("LULUCF|PM25|Respiratory hospital admissions", US_national_yearly!$D:$AM, 27, FALSE) / VLOOKUP("LULUCF|PM25|Respiratory hospital admissions", US_national_yearly!$D:$AM, 10, FALSE), 1)</f>
        <v>2.8704158967720154E-5</v>
      </c>
      <c r="T12" s="7">
        <f>$B12 * IFERROR(VLOOKUP("LULUCF|PM25|Respiratory hospital admissions", US_national_yearly!$D:$AM, 28, FALSE) / VLOOKUP("LULUCF|PM25|Respiratory hospital admissions", US_national_yearly!$D:$AM, 10, FALSE), 1)</f>
        <v>2.8810584786857749E-5</v>
      </c>
      <c r="U12" s="7">
        <f>$B12 * IFERROR(VLOOKUP("LULUCF|PM25|Respiratory hospital admissions", US_national_yearly!$D:$AM, 29, FALSE) / VLOOKUP("LULUCF|PM25|Respiratory hospital admissions", US_national_yearly!$D:$AM, 10, FALSE), 1)</f>
        <v>2.8917010605995338E-5</v>
      </c>
      <c r="V12" s="7">
        <f>$B12 * IFERROR(VLOOKUP("LULUCF|PM25|Respiratory hospital admissions", US_national_yearly!$D:$AM, 30, FALSE) / VLOOKUP("LULUCF|PM25|Respiratory hospital admissions", US_national_yearly!$D:$AM, 10, FALSE), 1)</f>
        <v>2.9023436425132927E-5</v>
      </c>
      <c r="W12" s="7">
        <f>$B12 * IFERROR(VLOOKUP("LULUCF|PM25|Respiratory hospital admissions", US_national_yearly!$D:$AM, 31, FALSE) / VLOOKUP("LULUCF|PM25|Respiratory hospital admissions", US_national_yearly!$D:$AM, 10, FALSE), 1)</f>
        <v>2.9129862244270515E-5</v>
      </c>
      <c r="X12" s="7">
        <f>$B12 * IFERROR(VLOOKUP("LULUCF|PM25|Respiratory hospital admissions", US_national_yearly!$D:$AM, 32, FALSE) / VLOOKUP("LULUCF|PM25|Respiratory hospital admissions", US_national_yearly!$D:$AM, 10, FALSE), 1)</f>
        <v>2.9232245239866741E-5</v>
      </c>
      <c r="Y12" s="7">
        <f>$B12 * IFERROR(VLOOKUP("LULUCF|PM25|Respiratory hospital admissions", US_national_yearly!$D:$AM, 33, FALSE) / VLOOKUP("LULUCF|PM25|Respiratory hospital admissions", US_national_yearly!$D:$AM, 10, FALSE), 1)</f>
        <v>2.933462823546295E-5</v>
      </c>
      <c r="Z12" s="7">
        <f>$B12 * IFERROR(VLOOKUP("LULUCF|PM25|Respiratory hospital admissions", US_national_yearly!$D:$AM, 34, FALSE) / VLOOKUP("LULUCF|PM25|Respiratory hospital admissions", US_national_yearly!$D:$AM, 10, FALSE), 1)</f>
        <v>2.943701123105917E-5</v>
      </c>
      <c r="AA12" s="7">
        <f>$B12 * IFERROR(VLOOKUP("LULUCF|PM25|Respiratory hospital admissions", US_national_yearly!$D:$AM, 35, FALSE) / VLOOKUP("LULUCF|PM25|Respiratory hospital admissions", US_national_yearly!$D:$AM, 10, FALSE), 1)</f>
        <v>2.9539394226655379E-5</v>
      </c>
      <c r="AB12" s="7">
        <f>$B12 * IFERROR(VLOOKUP("LULUCF|PM25|Respiratory hospital admissions", US_national_yearly!$D:$AM, 36, FALSE) / VLOOKUP("LULUCF|PM25|Respiratory hospital admissions", US_national_yearly!$D:$AM, 10, FALSE), 1)</f>
        <v>2.9641777222251598E-5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1.6612388184738175E-4</v>
      </c>
      <c r="C13" s="7">
        <f>$B13 * IFERROR(VLOOKUP("LULUCF|PM25|Non-fatal heart attacks", US_national_yearly!$D:$AM, 11, FALSE) / VLOOKUP("LULUCF|PM25|Non-fatal heart attacks", US_national_yearly!$D:$AM, 10, FALSE), 1)</f>
        <v>1.7095354393501319E-4</v>
      </c>
      <c r="D13" s="7">
        <f>$B13 * IFERROR(VLOOKUP("LULUCF|PM25|Non-fatal heart attacks", US_national_yearly!$D:$AM, 12, FALSE) / VLOOKUP("LULUCF|PM25|Non-fatal heart attacks", US_national_yearly!$D:$AM, 10, FALSE), 1)</f>
        <v>1.7578320602264463E-4</v>
      </c>
      <c r="E13" s="7">
        <f>$B13 * IFERROR(VLOOKUP("LULUCF|PM25|Non-fatal heart attacks", US_national_yearly!$D:$AM, 13, FALSE) / VLOOKUP("LULUCF|PM25|Non-fatal heart attacks", US_national_yearly!$D:$AM, 10, FALSE), 1)</f>
        <v>1.8061286811027602E-4</v>
      </c>
      <c r="F13" s="7">
        <f>$B13 * IFERROR(VLOOKUP("LULUCF|PM25|Non-fatal heart attacks", US_national_yearly!$D:$AM, 14, FALSE) / VLOOKUP("LULUCF|PM25|Non-fatal heart attacks", US_national_yearly!$D:$AM, 10, FALSE), 1)</f>
        <v>1.8544253019790749E-4</v>
      </c>
      <c r="G13" s="7">
        <f>$B13 * IFERROR(VLOOKUP("LULUCF|PM25|Non-fatal heart attacks", US_national_yearly!$D:$AM, 15, FALSE) / VLOOKUP("LULUCF|PM25|Non-fatal heart attacks", US_national_yearly!$D:$AM, 10, FALSE), 1)</f>
        <v>1.8999720687186173E-4</v>
      </c>
      <c r="H13" s="7">
        <f>$B13 * IFERROR(VLOOKUP("LULUCF|PM25|Non-fatal heart attacks", US_national_yearly!$D:$AM, 16, FALSE) / VLOOKUP("LULUCF|PM25|Non-fatal heart attacks", US_national_yearly!$D:$AM, 10, FALSE), 1)</f>
        <v>1.9455188354581594E-4</v>
      </c>
      <c r="I13" s="7">
        <f>$B13 * IFERROR(VLOOKUP("LULUCF|PM25|Non-fatal heart attacks", US_national_yearly!$D:$AM, 17, FALSE) / VLOOKUP("LULUCF|PM25|Non-fatal heart attacks", US_national_yearly!$D:$AM, 10, FALSE), 1)</f>
        <v>1.9821232800021303E-4</v>
      </c>
      <c r="J13" s="7">
        <f>$B13 * IFERROR(VLOOKUP("LULUCF|PM25|Non-fatal heart attacks", US_national_yearly!$D:$AM, 18, FALSE) / VLOOKUP("LULUCF|PM25|Non-fatal heart attacks", US_national_yearly!$D:$AM, 10, FALSE), 1)</f>
        <v>2.0187277245461012E-4</v>
      </c>
      <c r="K13" s="7">
        <f>$B13 * IFERROR(VLOOKUP("LULUCF|PM25|Non-fatal heart attacks", US_national_yearly!$D:$AM, 19, FALSE) / VLOOKUP("LULUCF|PM25|Non-fatal heart attacks", US_national_yearly!$D:$AM, 10, FALSE), 1)</f>
        <v>2.0553321690900723E-4</v>
      </c>
      <c r="L13" s="7">
        <f>$B13 * IFERROR(VLOOKUP("LULUCF|PM25|Non-fatal heart attacks", US_national_yearly!$D:$AM, 20, FALSE) / VLOOKUP("LULUCF|PM25|Non-fatal heart attacks", US_national_yearly!$D:$AM, 10, FALSE), 1)</f>
        <v>2.0919366136340432E-4</v>
      </c>
      <c r="M13" s="7">
        <f>$B13 * IFERROR(VLOOKUP("LULUCF|PM25|Non-fatal heart attacks", US_national_yearly!$D:$AM, 21, FALSE) / VLOOKUP("LULUCF|PM25|Non-fatal heart attacks", US_national_yearly!$D:$AM, 10, FALSE), 1)</f>
        <v>2.1285410581780144E-4</v>
      </c>
      <c r="N13" s="7">
        <f>$B13 * IFERROR(VLOOKUP("LULUCF|PM25|Non-fatal heart attacks", US_national_yearly!$D:$AM, 22, FALSE) / VLOOKUP("LULUCF|PM25|Non-fatal heart attacks", US_national_yearly!$D:$AM, 10, FALSE), 1)</f>
        <v>2.152147310385441E-4</v>
      </c>
      <c r="O13" s="7">
        <f>$B13 * IFERROR(VLOOKUP("LULUCF|PM25|Non-fatal heart attacks", US_national_yearly!$D:$AM, 23, FALSE) / VLOOKUP("LULUCF|PM25|Non-fatal heart attacks", US_national_yearly!$D:$AM, 10, FALSE), 1)</f>
        <v>2.1757535625928676E-4</v>
      </c>
      <c r="P13" s="7">
        <f>$B13 * IFERROR(VLOOKUP("LULUCF|PM25|Non-fatal heart attacks", US_national_yearly!$D:$AM, 24, FALSE) / VLOOKUP("LULUCF|PM25|Non-fatal heart attacks", US_national_yearly!$D:$AM, 10, FALSE), 1)</f>
        <v>2.1993598148002945E-4</v>
      </c>
      <c r="Q13" s="7">
        <f>$B13 * IFERROR(VLOOKUP("LULUCF|PM25|Non-fatal heart attacks", US_national_yearly!$D:$AM, 25, FALSE) / VLOOKUP("LULUCF|PM25|Non-fatal heart attacks", US_national_yearly!$D:$AM, 10, FALSE), 1)</f>
        <v>2.2229660670077211E-4</v>
      </c>
      <c r="R13" s="7">
        <f>$B13 * IFERROR(VLOOKUP("LULUCF|PM25|Non-fatal heart attacks", US_national_yearly!$D:$AM, 26, FALSE) / VLOOKUP("LULUCF|PM25|Non-fatal heart attacks", US_national_yearly!$D:$AM, 10, FALSE), 1)</f>
        <v>2.2465723192151478E-4</v>
      </c>
      <c r="S13" s="7">
        <f>$B13 * IFERROR(VLOOKUP("LULUCF|PM25|Non-fatal heart attacks", US_national_yearly!$D:$AM, 27, FALSE) / VLOOKUP("LULUCF|PM25|Non-fatal heart attacks", US_national_yearly!$D:$AM, 10, FALSE), 1)</f>
        <v>2.2590040460530571E-4</v>
      </c>
      <c r="T13" s="7">
        <f>$B13 * IFERROR(VLOOKUP("LULUCF|PM25|Non-fatal heart attacks", US_national_yearly!$D:$AM, 28, FALSE) / VLOOKUP("LULUCF|PM25|Non-fatal heart attacks", US_national_yearly!$D:$AM, 10, FALSE), 1)</f>
        <v>2.2714357728909672E-4</v>
      </c>
      <c r="U13" s="7">
        <f>$B13 * IFERROR(VLOOKUP("LULUCF|PM25|Non-fatal heart attacks", US_national_yearly!$D:$AM, 29, FALSE) / VLOOKUP("LULUCF|PM25|Non-fatal heart attacks", US_national_yearly!$D:$AM, 10, FALSE), 1)</f>
        <v>2.2838674997288771E-4</v>
      </c>
      <c r="V13" s="7">
        <f>$B13 * IFERROR(VLOOKUP("LULUCF|PM25|Non-fatal heart attacks", US_national_yearly!$D:$AM, 30, FALSE) / VLOOKUP("LULUCF|PM25|Non-fatal heart attacks", US_national_yearly!$D:$AM, 10, FALSE), 1)</f>
        <v>2.296299226566787E-4</v>
      </c>
      <c r="W13" s="7">
        <f>$B13 * IFERROR(VLOOKUP("LULUCF|PM25|Non-fatal heart attacks", US_national_yearly!$D:$AM, 31, FALSE) / VLOOKUP("LULUCF|PM25|Non-fatal heart attacks", US_national_yearly!$D:$AM, 10, FALSE), 1)</f>
        <v>2.3087309534046966E-4</v>
      </c>
      <c r="X13" s="7">
        <f>$B13 * IFERROR(VLOOKUP("LULUCF|PM25|Non-fatal heart attacks", US_national_yearly!$D:$AM, 32, FALSE) / VLOOKUP("LULUCF|PM25|Non-fatal heart attacks", US_national_yearly!$D:$AM, 10, FALSE), 1)</f>
        <v>2.3181684316654267E-4</v>
      </c>
      <c r="Y13" s="7">
        <f>$B13 * IFERROR(VLOOKUP("LULUCF|PM25|Non-fatal heart attacks", US_national_yearly!$D:$AM, 33, FALSE) / VLOOKUP("LULUCF|PM25|Non-fatal heart attacks", US_national_yearly!$D:$AM, 10, FALSE), 1)</f>
        <v>2.3276059099261573E-4</v>
      </c>
      <c r="Z13" s="7">
        <f>$B13 * IFERROR(VLOOKUP("LULUCF|PM25|Non-fatal heart attacks", US_national_yearly!$D:$AM, 34, FALSE) / VLOOKUP("LULUCF|PM25|Non-fatal heart attacks", US_national_yearly!$D:$AM, 10, FALSE), 1)</f>
        <v>2.3370433881868873E-4</v>
      </c>
      <c r="AA13" s="7">
        <f>$B13 * IFERROR(VLOOKUP("LULUCF|PM25|Non-fatal heart attacks", US_national_yearly!$D:$AM, 35, FALSE) / VLOOKUP("LULUCF|PM25|Non-fatal heart attacks", US_national_yearly!$D:$AM, 10, FALSE), 1)</f>
        <v>2.3464808664476179E-4</v>
      </c>
      <c r="AB13" s="7">
        <f>$B13 * IFERROR(VLOOKUP("LULUCF|PM25|Non-fatal heart attacks", US_national_yearly!$D:$AM, 36, FALSE) / VLOOKUP("LULUCF|PM25|Non-fatal heart attacks", US_national_yearly!$D:$AM, 10, FALSE), 1)</f>
        <v>2.355918344708348E-4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0.10819775385560952</v>
      </c>
      <c r="C14" s="7">
        <f>$B14 * IFERROR(VLOOKUP("LULUCF|PM25|Minor restricted activity days", US_national_yearly!$D:$AM, 11, FALSE) / VLOOKUP("LULUCF|PM25|Minor restricted activity days", US_national_yearly!$D:$AM, 10, FALSE), 1)</f>
        <v>0.10846198560179218</v>
      </c>
      <c r="D14" s="7">
        <f>$B14 * IFERROR(VLOOKUP("LULUCF|PM25|Minor restricted activity days", US_national_yearly!$D:$AM, 12, FALSE) / VLOOKUP("LULUCF|PM25|Minor restricted activity days", US_national_yearly!$D:$AM, 10, FALSE), 1)</f>
        <v>0.10872621734797483</v>
      </c>
      <c r="E14" s="7">
        <f>$B14 * IFERROR(VLOOKUP("LULUCF|PM25|Minor restricted activity days", US_national_yearly!$D:$AM, 13, FALSE) / VLOOKUP("LULUCF|PM25|Minor restricted activity days", US_national_yearly!$D:$AM, 10, FALSE), 1)</f>
        <v>0.10899044909415752</v>
      </c>
      <c r="F14" s="7">
        <f>$B14 * IFERROR(VLOOKUP("LULUCF|PM25|Minor restricted activity days", US_national_yearly!$D:$AM, 14, FALSE) / VLOOKUP("LULUCF|PM25|Minor restricted activity days", US_national_yearly!$D:$AM, 10, FALSE), 1)</f>
        <v>0.10925468084034015</v>
      </c>
      <c r="G14" s="7">
        <f>$B14 * IFERROR(VLOOKUP("LULUCF|PM25|Minor restricted activity days", US_national_yearly!$D:$AM, 15, FALSE) / VLOOKUP("LULUCF|PM25|Minor restricted activity days", US_national_yearly!$D:$AM, 10, FALSE), 1)</f>
        <v>0.10964454687406176</v>
      </c>
      <c r="H14" s="7">
        <f>$B14 * IFERROR(VLOOKUP("LULUCF|PM25|Minor restricted activity days", US_national_yearly!$D:$AM, 16, FALSE) / VLOOKUP("LULUCF|PM25|Minor restricted activity days", US_national_yearly!$D:$AM, 10, FALSE), 1)</f>
        <v>0.11003441290778339</v>
      </c>
      <c r="I14" s="7">
        <f>$B14 * IFERROR(VLOOKUP("LULUCF|PM25|Minor restricted activity days", US_national_yearly!$D:$AM, 17, FALSE) / VLOOKUP("LULUCF|PM25|Minor restricted activity days", US_national_yearly!$D:$AM, 10, FALSE), 1)</f>
        <v>0.11070090529441842</v>
      </c>
      <c r="J14" s="7">
        <f>$B14 * IFERROR(VLOOKUP("LULUCF|PM25|Minor restricted activity days", US_national_yearly!$D:$AM, 18, FALSE) / VLOOKUP("LULUCF|PM25|Minor restricted activity days", US_national_yearly!$D:$AM, 10, FALSE), 1)</f>
        <v>0.1113673976810534</v>
      </c>
      <c r="K14" s="7">
        <f>$B14 * IFERROR(VLOOKUP("LULUCF|PM25|Minor restricted activity days", US_national_yearly!$D:$AM, 19, FALSE) / VLOOKUP("LULUCF|PM25|Minor restricted activity days", US_national_yearly!$D:$AM, 10, FALSE), 1)</f>
        <v>0.11203389006768844</v>
      </c>
      <c r="L14" s="7">
        <f>$B14 * IFERROR(VLOOKUP("LULUCF|PM25|Minor restricted activity days", US_national_yearly!$D:$AM, 20, FALSE) / VLOOKUP("LULUCF|PM25|Minor restricted activity days", US_national_yearly!$D:$AM, 10, FALSE), 1)</f>
        <v>0.11270038245432344</v>
      </c>
      <c r="M14" s="7">
        <f>$B14 * IFERROR(VLOOKUP("LULUCF|PM25|Minor restricted activity days", US_national_yearly!$D:$AM, 21, FALSE) / VLOOKUP("LULUCF|PM25|Minor restricted activity days", US_national_yearly!$D:$AM, 10, FALSE), 1)</f>
        <v>0.11336687484095845</v>
      </c>
      <c r="N14" s="7">
        <f>$B14 * IFERROR(VLOOKUP("LULUCF|PM25|Minor restricted activity days", US_national_yearly!$D:$AM, 22, FALSE) / VLOOKUP("LULUCF|PM25|Minor restricted activity days", US_national_yearly!$D:$AM, 10, FALSE), 1)</f>
        <v>0.11427477016995352</v>
      </c>
      <c r="O14" s="7">
        <f>$B14 * IFERROR(VLOOKUP("LULUCF|PM25|Minor restricted activity days", US_national_yearly!$D:$AM, 23, FALSE) / VLOOKUP("LULUCF|PM25|Minor restricted activity days", US_national_yearly!$D:$AM, 10, FALSE), 1)</f>
        <v>0.11518266549894857</v>
      </c>
      <c r="P14" s="7">
        <f>$B14 * IFERROR(VLOOKUP("LULUCF|PM25|Minor restricted activity days", US_national_yearly!$D:$AM, 24, FALSE) / VLOOKUP("LULUCF|PM25|Minor restricted activity days", US_national_yearly!$D:$AM, 10, FALSE), 1)</f>
        <v>0.11609056082794364</v>
      </c>
      <c r="Q14" s="7">
        <f>$B14 * IFERROR(VLOOKUP("LULUCF|PM25|Minor restricted activity days", US_national_yearly!$D:$AM, 25, FALSE) / VLOOKUP("LULUCF|PM25|Minor restricted activity days", US_national_yearly!$D:$AM, 10, FALSE), 1)</f>
        <v>0.11699845615693868</v>
      </c>
      <c r="R14" s="7">
        <f>$B14 * IFERROR(VLOOKUP("LULUCF|PM25|Minor restricted activity days", US_national_yearly!$D:$AM, 26, FALSE) / VLOOKUP("LULUCF|PM25|Minor restricted activity days", US_national_yearly!$D:$AM, 10, FALSE), 1)</f>
        <v>0.11790635148593373</v>
      </c>
      <c r="S14" s="7">
        <f>$B14 * IFERROR(VLOOKUP("LULUCF|PM25|Minor restricted activity days", US_national_yearly!$D:$AM, 27, FALSE) / VLOOKUP("LULUCF|PM25|Minor restricted activity days", US_national_yearly!$D:$AM, 10, FALSE), 1)</f>
        <v>0.11882049919256099</v>
      </c>
      <c r="T14" s="7">
        <f>$B14 * IFERROR(VLOOKUP("LULUCF|PM25|Minor restricted activity days", US_national_yearly!$D:$AM, 28, FALSE) / VLOOKUP("LULUCF|PM25|Minor restricted activity days", US_national_yearly!$D:$AM, 10, FALSE), 1)</f>
        <v>0.11973464689918825</v>
      </c>
      <c r="U14" s="7">
        <f>$B14 * IFERROR(VLOOKUP("LULUCF|PM25|Minor restricted activity days", US_national_yearly!$D:$AM, 29, FALSE) / VLOOKUP("LULUCF|PM25|Minor restricted activity days", US_national_yearly!$D:$AM, 10, FALSE), 1)</f>
        <v>0.1206487946058155</v>
      </c>
      <c r="V14" s="7">
        <f>$B14 * IFERROR(VLOOKUP("LULUCF|PM25|Minor restricted activity days", US_national_yearly!$D:$AM, 30, FALSE) / VLOOKUP("LULUCF|PM25|Minor restricted activity days", US_national_yearly!$D:$AM, 10, FALSE), 1)</f>
        <v>0.12156294231244276</v>
      </c>
      <c r="W14" s="7">
        <f>$B14 * IFERROR(VLOOKUP("LULUCF|PM25|Minor restricted activity days", US_national_yearly!$D:$AM, 31, FALSE) / VLOOKUP("LULUCF|PM25|Minor restricted activity days", US_national_yearly!$D:$AM, 10, FALSE), 1)</f>
        <v>0.12247709001907002</v>
      </c>
      <c r="X14" s="7">
        <f>$B14 * IFERROR(VLOOKUP("LULUCF|PM25|Minor restricted activity days", US_national_yearly!$D:$AM, 32, FALSE) / VLOOKUP("LULUCF|PM25|Minor restricted activity days", US_national_yearly!$D:$AM, 10, FALSE), 1)</f>
        <v>0.1232706621934315</v>
      </c>
      <c r="Y14" s="7">
        <f>$B14 * IFERROR(VLOOKUP("LULUCF|PM25|Minor restricted activity days", US_national_yearly!$D:$AM, 33, FALSE) / VLOOKUP("LULUCF|PM25|Minor restricted activity days", US_national_yearly!$D:$AM, 10, FALSE), 1)</f>
        <v>0.12406423436779299</v>
      </c>
      <c r="Z14" s="7">
        <f>$B14 * IFERROR(VLOOKUP("LULUCF|PM25|Minor restricted activity days", US_national_yearly!$D:$AM, 34, FALSE) / VLOOKUP("LULUCF|PM25|Minor restricted activity days", US_national_yearly!$D:$AM, 10, FALSE), 1)</f>
        <v>0.12485780654215448</v>
      </c>
      <c r="AA14" s="7">
        <f>$B14 * IFERROR(VLOOKUP("LULUCF|PM25|Minor restricted activity days", US_national_yearly!$D:$AM, 35, FALSE) / VLOOKUP("LULUCF|PM25|Minor restricted activity days", US_national_yearly!$D:$AM, 10, FALSE), 1)</f>
        <v>0.12565137871651594</v>
      </c>
      <c r="AB14" s="7">
        <f>$B14 * IFERROR(VLOOKUP("LULUCF|PM25|Minor restricted activity days", US_national_yearly!$D:$AM, 36, FALSE) / VLOOKUP("LULUCF|PM25|Minor restricted activity days", US_national_yearly!$D:$AM, 10, FALSE), 1)</f>
        <v>0.12644495089087743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1.8243692661772129E-2</v>
      </c>
      <c r="C15" s="7">
        <f>$B15 * IFERROR(VLOOKUP("LULUCF|PM25|Work loss days", US_national_yearly!$D:$AM, 11, FALSE) / VLOOKUP("LULUCF|PM25|Work loss days", US_national_yearly!$D:$AM, 10, FALSE), 1)</f>
        <v>1.8300241538178327E-2</v>
      </c>
      <c r="D15" s="7">
        <f>$B15 * IFERROR(VLOOKUP("LULUCF|PM25|Work loss days", US_national_yearly!$D:$AM, 12, FALSE) / VLOOKUP("LULUCF|PM25|Work loss days", US_national_yearly!$D:$AM, 10, FALSE), 1)</f>
        <v>1.8356790414584531E-2</v>
      </c>
      <c r="E15" s="7">
        <f>$B15 * IFERROR(VLOOKUP("LULUCF|PM25|Work loss days", US_national_yearly!$D:$AM, 13, FALSE) / VLOOKUP("LULUCF|PM25|Work loss days", US_national_yearly!$D:$AM, 10, FALSE), 1)</f>
        <v>1.8413339290990729E-2</v>
      </c>
      <c r="F15" s="7">
        <f>$B15 * IFERROR(VLOOKUP("LULUCF|PM25|Work loss days", US_national_yearly!$D:$AM, 14, FALSE) / VLOOKUP("LULUCF|PM25|Work loss days", US_national_yearly!$D:$AM, 10, FALSE), 1)</f>
        <v>1.8469888167396926E-2</v>
      </c>
      <c r="G15" s="7">
        <f>$B15 * IFERROR(VLOOKUP("LULUCF|PM25|Work loss days", US_national_yearly!$D:$AM, 15, FALSE) / VLOOKUP("LULUCF|PM25|Work loss days", US_national_yearly!$D:$AM, 10, FALSE), 1)</f>
        <v>1.8544027352803492E-2</v>
      </c>
      <c r="H15" s="7">
        <f>$B15 * IFERROR(VLOOKUP("LULUCF|PM25|Work loss days", US_national_yearly!$D:$AM, 16, FALSE) / VLOOKUP("LULUCF|PM25|Work loss days", US_national_yearly!$D:$AM, 10, FALSE), 1)</f>
        <v>1.8618166538210062E-2</v>
      </c>
      <c r="I15" s="7">
        <f>$B15 * IFERROR(VLOOKUP("LULUCF|PM25|Work loss days", US_national_yearly!$D:$AM, 17, FALSE) / VLOOKUP("LULUCF|PM25|Work loss days", US_national_yearly!$D:$AM, 10, FALSE), 1)</f>
        <v>1.8727344642912709E-2</v>
      </c>
      <c r="J15" s="7">
        <f>$B15 * IFERROR(VLOOKUP("LULUCF|PM25|Work loss days", US_national_yearly!$D:$AM, 18, FALSE) / VLOOKUP("LULUCF|PM25|Work loss days", US_national_yearly!$D:$AM, 10, FALSE), 1)</f>
        <v>1.8836522747615356E-2</v>
      </c>
      <c r="K15" s="7">
        <f>$B15 * IFERROR(VLOOKUP("LULUCF|PM25|Work loss days", US_national_yearly!$D:$AM, 19, FALSE) / VLOOKUP("LULUCF|PM25|Work loss days", US_national_yearly!$D:$AM, 10, FALSE), 1)</f>
        <v>1.8945700852318004E-2</v>
      </c>
      <c r="L15" s="7">
        <f>$B15 * IFERROR(VLOOKUP("LULUCF|PM25|Work loss days", US_national_yearly!$D:$AM, 20, FALSE) / VLOOKUP("LULUCF|PM25|Work loss days", US_national_yearly!$D:$AM, 10, FALSE), 1)</f>
        <v>1.9054878957020651E-2</v>
      </c>
      <c r="M15" s="7">
        <f>$B15 * IFERROR(VLOOKUP("LULUCF|PM25|Work loss days", US_national_yearly!$D:$AM, 21, FALSE) / VLOOKUP("LULUCF|PM25|Work loss days", US_national_yearly!$D:$AM, 10, FALSE), 1)</f>
        <v>1.9164057061723298E-2</v>
      </c>
      <c r="N15" s="7">
        <f>$B15 * IFERROR(VLOOKUP("LULUCF|PM25|Work loss days", US_national_yearly!$D:$AM, 22, FALSE) / VLOOKUP("LULUCF|PM25|Work loss days", US_national_yearly!$D:$AM, 10, FALSE), 1)</f>
        <v>1.9301465970051428E-2</v>
      </c>
      <c r="O15" s="7">
        <f>$B15 * IFERROR(VLOOKUP("LULUCF|PM25|Work loss days", US_national_yearly!$D:$AM, 23, FALSE) / VLOOKUP("LULUCF|PM25|Work loss days", US_national_yearly!$D:$AM, 10, FALSE), 1)</f>
        <v>1.9438874878379555E-2</v>
      </c>
      <c r="P15" s="7">
        <f>$B15 * IFERROR(VLOOKUP("LULUCF|PM25|Work loss days", US_national_yearly!$D:$AM, 24, FALSE) / VLOOKUP("LULUCF|PM25|Work loss days", US_national_yearly!$D:$AM, 10, FALSE), 1)</f>
        <v>1.9576283786707688E-2</v>
      </c>
      <c r="Q15" s="7">
        <f>$B15 * IFERROR(VLOOKUP("LULUCF|PM25|Work loss days", US_national_yearly!$D:$AM, 25, FALSE) / VLOOKUP("LULUCF|PM25|Work loss days", US_national_yearly!$D:$AM, 10, FALSE), 1)</f>
        <v>1.9713692695035815E-2</v>
      </c>
      <c r="R15" s="7">
        <f>$B15 * IFERROR(VLOOKUP("LULUCF|PM25|Work loss days", US_national_yearly!$D:$AM, 26, FALSE) / VLOOKUP("LULUCF|PM25|Work loss days", US_national_yearly!$D:$AM, 10, FALSE), 1)</f>
        <v>1.9851101603363945E-2</v>
      </c>
      <c r="S15" s="7">
        <f>$B15 * IFERROR(VLOOKUP("LULUCF|PM25|Work loss days", US_national_yearly!$D:$AM, 27, FALSE) / VLOOKUP("LULUCF|PM25|Work loss days", US_national_yearly!$D:$AM, 10, FALSE), 1)</f>
        <v>2.0003081722435638E-2</v>
      </c>
      <c r="T15" s="7">
        <f>$B15 * IFERROR(VLOOKUP("LULUCF|PM25|Work loss days", US_national_yearly!$D:$AM, 28, FALSE) / VLOOKUP("LULUCF|PM25|Work loss days", US_national_yearly!$D:$AM, 10, FALSE), 1)</f>
        <v>2.0155061841507334E-2</v>
      </c>
      <c r="U15" s="7">
        <f>$B15 * IFERROR(VLOOKUP("LULUCF|PM25|Work loss days", US_national_yearly!$D:$AM, 29, FALSE) / VLOOKUP("LULUCF|PM25|Work loss days", US_national_yearly!$D:$AM, 10, FALSE), 1)</f>
        <v>2.0307041960579024E-2</v>
      </c>
      <c r="V15" s="7">
        <f>$B15 * IFERROR(VLOOKUP("LULUCF|PM25|Work loss days", US_national_yearly!$D:$AM, 30, FALSE) / VLOOKUP("LULUCF|PM25|Work loss days", US_national_yearly!$D:$AM, 10, FALSE), 1)</f>
        <v>2.045902207965072E-2</v>
      </c>
      <c r="W15" s="7">
        <f>$B15 * IFERROR(VLOOKUP("LULUCF|PM25|Work loss days", US_national_yearly!$D:$AM, 31, FALSE) / VLOOKUP("LULUCF|PM25|Work loss days", US_national_yearly!$D:$AM, 10, FALSE), 1)</f>
        <v>2.0611002198722413E-2</v>
      </c>
      <c r="X15" s="7">
        <f>$B15 * IFERROR(VLOOKUP("LULUCF|PM25|Work loss days", US_national_yearly!$D:$AM, 32, FALSE) / VLOOKUP("LULUCF|PM25|Work loss days", US_national_yearly!$D:$AM, 10, FALSE), 1)</f>
        <v>2.0745849553927651E-2</v>
      </c>
      <c r="Y15" s="7">
        <f>$B15 * IFERROR(VLOOKUP("LULUCF|PM25|Work loss days", US_national_yearly!$D:$AM, 33, FALSE) / VLOOKUP("LULUCF|PM25|Work loss days", US_national_yearly!$D:$AM, 10, FALSE), 1)</f>
        <v>2.0880696909132888E-2</v>
      </c>
      <c r="Z15" s="7">
        <f>$B15 * IFERROR(VLOOKUP("LULUCF|PM25|Work loss days", US_national_yearly!$D:$AM, 34, FALSE) / VLOOKUP("LULUCF|PM25|Work loss days", US_national_yearly!$D:$AM, 10, FALSE), 1)</f>
        <v>2.1015544264338128E-2</v>
      </c>
      <c r="AA15" s="7">
        <f>$B15 * IFERROR(VLOOKUP("LULUCF|PM25|Work loss days", US_national_yearly!$D:$AM, 35, FALSE) / VLOOKUP("LULUCF|PM25|Work loss days", US_national_yearly!$D:$AM, 10, FALSE), 1)</f>
        <v>2.1150391619543369E-2</v>
      </c>
      <c r="AB15" s="7">
        <f>$B15 * IFERROR(VLOOKUP("LULUCF|PM25|Work loss days", US_national_yearly!$D:$AM, 36, FALSE) / VLOOKUP("LULUCF|PM25|Work loss days", US_national_yearly!$D:$AM, 10, FALSE), 1)</f>
        <v>2.1285238974748606E-2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4.5004571974115699E-5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4.6349339967148921E-5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4.769410796018215E-5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4.9038875953215379E-5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5.0383643946248607E-5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5.1671691472037642E-5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5.2959738997826704E-5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5.4061347958525481E-5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5.5162956919224244E-5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5.6264565879923007E-5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5.7366174840621791E-5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5.8467783801320561E-5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5.9202251646619585E-5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5.9936719491918623E-5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6.0671187337217654E-5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6.1405655182516692E-5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6.2140123027815716E-5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6.2528725088681908E-5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6.2917327149548087E-5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6.3305929210414252E-5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6.3694531271280431E-5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6.408313333214661E-5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6.4344745351181619E-5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6.4606357370216615E-5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6.4867969389251624E-5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6.5129581408286634E-5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6.5391193427321643E-5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4.3620409516338714E-4</v>
      </c>
      <c r="C2" s="7">
        <f>$B2 * IFERROR(VLOOKUP("LULUCF|NOx|Premature mortality", US_national_yearly!$D:$AM, 11, FALSE) / VLOOKUP("LULUCF|NOx|Premature mortality", US_national_yearly!$D:$AM, 10, FALSE), 1)</f>
        <v>4.4261119602593781E-4</v>
      </c>
      <c r="D2" s="7">
        <f>$B2 * IFERROR(VLOOKUP("LULUCF|NOx|Premature mortality", US_national_yearly!$D:$AM, 12, FALSE) / VLOOKUP("LULUCF|NOx|Premature mortality", US_national_yearly!$D:$AM, 10, FALSE), 1)</f>
        <v>4.4901829688848843E-4</v>
      </c>
      <c r="E2" s="7">
        <f>$B2 * IFERROR(VLOOKUP("LULUCF|NOx|Premature mortality", US_national_yearly!$D:$AM, 13, FALSE) / VLOOKUP("LULUCF|NOx|Premature mortality", US_national_yearly!$D:$AM, 10, FALSE), 1)</f>
        <v>4.5542539775103911E-4</v>
      </c>
      <c r="F2" s="7">
        <f>$B2 * IFERROR(VLOOKUP("LULUCF|NOx|Premature mortality", US_national_yearly!$D:$AM, 14, FALSE) / VLOOKUP("LULUCF|NOx|Premature mortality", US_national_yearly!$D:$AM, 10, FALSE), 1)</f>
        <v>4.6183249861358983E-4</v>
      </c>
      <c r="G2" s="7">
        <f>$B2 * IFERROR(VLOOKUP("LULUCF|NOx|Premature mortality", US_national_yearly!$D:$AM, 15, FALSE) / VLOOKUP("LULUCF|NOx|Premature mortality", US_national_yearly!$D:$AM, 10, FALSE), 1)</f>
        <v>4.7334116655645429E-4</v>
      </c>
      <c r="H2" s="7">
        <f>$B2 * IFERROR(VLOOKUP("LULUCF|NOx|Premature mortality", US_national_yearly!$D:$AM, 16, FALSE) / VLOOKUP("LULUCF|NOx|Premature mortality", US_national_yearly!$D:$AM, 10, FALSE), 1)</f>
        <v>4.8484983449931891E-4</v>
      </c>
      <c r="I2" s="7">
        <f>$B2 * IFERROR(VLOOKUP("LULUCF|NOx|Premature mortality", US_national_yearly!$D:$AM, 17, FALSE) / VLOOKUP("LULUCF|NOx|Premature mortality", US_national_yearly!$D:$AM, 10, FALSE), 1)</f>
        <v>4.9227889796015943E-4</v>
      </c>
      <c r="J2" s="7">
        <f>$B2 * IFERROR(VLOOKUP("LULUCF|NOx|Premature mortality", US_national_yearly!$D:$AM, 18, FALSE) / VLOOKUP("LULUCF|NOx|Premature mortality", US_national_yearly!$D:$AM, 10, FALSE), 1)</f>
        <v>4.9970796142100005E-4</v>
      </c>
      <c r="K2" s="7">
        <f>$B2 * IFERROR(VLOOKUP("LULUCF|NOx|Premature mortality", US_national_yearly!$D:$AM, 19, FALSE) / VLOOKUP("LULUCF|NOx|Premature mortality", US_national_yearly!$D:$AM, 10, FALSE), 1)</f>
        <v>5.0713702488184057E-4</v>
      </c>
      <c r="L2" s="7">
        <f>$B2 * IFERROR(VLOOKUP("LULUCF|NOx|Premature mortality", US_national_yearly!$D:$AM, 20, FALSE) / VLOOKUP("LULUCF|NOx|Premature mortality", US_national_yearly!$D:$AM, 10, FALSE), 1)</f>
        <v>5.1456608834268109E-4</v>
      </c>
      <c r="M2" s="7">
        <f>$B2 * IFERROR(VLOOKUP("LULUCF|NOx|Premature mortality", US_national_yearly!$D:$AM, 21, FALSE) / VLOOKUP("LULUCF|NOx|Premature mortality", US_national_yearly!$D:$AM, 10, FALSE), 1)</f>
        <v>5.2199515180352172E-4</v>
      </c>
      <c r="N2" s="7">
        <f>$B2 * IFERROR(VLOOKUP("LULUCF|NOx|Premature mortality", US_national_yearly!$D:$AM, 22, FALSE) / VLOOKUP("LULUCF|NOx|Premature mortality", US_national_yearly!$D:$AM, 10, FALSE), 1)</f>
        <v>5.2749857313450356E-4</v>
      </c>
      <c r="O2" s="7">
        <f>$B2 * IFERROR(VLOOKUP("LULUCF|NOx|Premature mortality", US_national_yearly!$D:$AM, 23, FALSE) / VLOOKUP("LULUCF|NOx|Premature mortality", US_national_yearly!$D:$AM, 10, FALSE), 1)</f>
        <v>5.330019944654854E-4</v>
      </c>
      <c r="P2" s="7">
        <f>$B2 * IFERROR(VLOOKUP("LULUCF|NOx|Premature mortality", US_national_yearly!$D:$AM, 24, FALSE) / VLOOKUP("LULUCF|NOx|Premature mortality", US_national_yearly!$D:$AM, 10, FALSE), 1)</f>
        <v>5.3850541579646713E-4</v>
      </c>
      <c r="Q2" s="7">
        <f>$B2 * IFERROR(VLOOKUP("LULUCF|NOx|Premature mortality", US_national_yearly!$D:$AM, 25, FALSE) / VLOOKUP("LULUCF|NOx|Premature mortality", US_national_yearly!$D:$AM, 10, FALSE), 1)</f>
        <v>5.4400883712744908E-4</v>
      </c>
      <c r="R2" s="7">
        <f>$B2 * IFERROR(VLOOKUP("LULUCF|NOx|Premature mortality", US_national_yearly!$D:$AM, 26, FALSE) / VLOOKUP("LULUCF|NOx|Premature mortality", US_national_yearly!$D:$AM, 10, FALSE), 1)</f>
        <v>5.4951225845843092E-4</v>
      </c>
      <c r="S2" s="7">
        <f>$B2 * IFERROR(VLOOKUP("LULUCF|NOx|Premature mortality", US_national_yearly!$D:$AM, 27, FALSE) / VLOOKUP("LULUCF|NOx|Premature mortality", US_national_yearly!$D:$AM, 10, FALSE), 1)</f>
        <v>5.5201361887207844E-4</v>
      </c>
      <c r="T2" s="7">
        <f>$B2 * IFERROR(VLOOKUP("LULUCF|NOx|Premature mortality", US_national_yearly!$D:$AM, 28, FALSE) / VLOOKUP("LULUCF|NOx|Premature mortality", US_national_yearly!$D:$AM, 10, FALSE), 1)</f>
        <v>5.5451497928572617E-4</v>
      </c>
      <c r="U2" s="7">
        <f>$B2 * IFERROR(VLOOKUP("LULUCF|NOx|Premature mortality", US_national_yearly!$D:$AM, 29, FALSE) / VLOOKUP("LULUCF|NOx|Premature mortality", US_national_yearly!$D:$AM, 10, FALSE), 1)</f>
        <v>5.5701633969937369E-4</v>
      </c>
      <c r="V2" s="7">
        <f>$B2 * IFERROR(VLOOKUP("LULUCF|NOx|Premature mortality", US_national_yearly!$D:$AM, 30, FALSE) / VLOOKUP("LULUCF|NOx|Premature mortality", US_national_yearly!$D:$AM, 10, FALSE), 1)</f>
        <v>5.5951770011302131E-4</v>
      </c>
      <c r="W2" s="7">
        <f>$B2 * IFERROR(VLOOKUP("LULUCF|NOx|Premature mortality", US_national_yearly!$D:$AM, 31, FALSE) / VLOOKUP("LULUCF|NOx|Premature mortality", US_national_yearly!$D:$AM, 10, FALSE), 1)</f>
        <v>5.6201906052666894E-4</v>
      </c>
      <c r="X2" s="7">
        <f>$B2 * IFERROR(VLOOKUP("LULUCF|NOx|Premature mortality", US_national_yearly!$D:$AM, 32, FALSE) / VLOOKUP("LULUCF|NOx|Premature mortality", US_national_yearly!$D:$AM, 10, FALSE), 1)</f>
        <v>5.6210570621560534E-4</v>
      </c>
      <c r="Y2" s="7">
        <f>$B2 * IFERROR(VLOOKUP("LULUCF|NOx|Premature mortality", US_national_yearly!$D:$AM, 33, FALSE) / VLOOKUP("LULUCF|NOx|Premature mortality", US_national_yearly!$D:$AM, 10, FALSE), 1)</f>
        <v>5.6219235190454173E-4</v>
      </c>
      <c r="Z2" s="7">
        <f>$B2 * IFERROR(VLOOKUP("LULUCF|NOx|Premature mortality", US_national_yearly!$D:$AM, 34, FALSE) / VLOOKUP("LULUCF|NOx|Premature mortality", US_national_yearly!$D:$AM, 10, FALSE), 1)</f>
        <v>5.6227899759347803E-4</v>
      </c>
      <c r="AA2" s="7">
        <f>$B2 * IFERROR(VLOOKUP("LULUCF|NOx|Premature mortality", US_national_yearly!$D:$AM, 35, FALSE) / VLOOKUP("LULUCF|NOx|Premature mortality", US_national_yearly!$D:$AM, 10, FALSE), 1)</f>
        <v>5.6236564328241453E-4</v>
      </c>
      <c r="AB2" s="7">
        <f>$B2 * IFERROR(VLOOKUP("LULUCF|NOx|Premature mortality", US_national_yearly!$D:$AM, 36, FALSE) / VLOOKUP("LULUCF|NOx|Premature mortality", US_national_yearly!$D:$AM, 10, FALSE), 1)</f>
        <v>5.6245228897135093E-4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7.6724853413517854E-7</v>
      </c>
      <c r="C3" s="7">
        <f>$B3 * IFERROR(VLOOKUP("LULUCF|NOx|Infant mortality", US_national_yearly!$D:$AM, 11, FALSE) / VLOOKUP("LULUCF|NOx|Infant mortality", US_national_yearly!$D:$AM, 10, FALSE), 1)</f>
        <v>7.5993853677359577E-7</v>
      </c>
      <c r="D3" s="7">
        <f>$B3 * IFERROR(VLOOKUP("LULUCF|NOx|Infant mortality", US_national_yearly!$D:$AM, 12, FALSE) / VLOOKUP("LULUCF|NOx|Infant mortality", US_national_yearly!$D:$AM, 10, FALSE), 1)</f>
        <v>7.52628539412013E-7</v>
      </c>
      <c r="E3" s="7">
        <f>$B3 * IFERROR(VLOOKUP("LULUCF|NOx|Infant mortality", US_national_yearly!$D:$AM, 13, FALSE) / VLOOKUP("LULUCF|NOx|Infant mortality", US_national_yearly!$D:$AM, 10, FALSE), 1)</f>
        <v>7.4531854205043024E-7</v>
      </c>
      <c r="F3" s="7">
        <f>$B3 * IFERROR(VLOOKUP("LULUCF|NOx|Infant mortality", US_national_yearly!$D:$AM, 14, FALSE) / VLOOKUP("LULUCF|NOx|Infant mortality", US_national_yearly!$D:$AM, 10, FALSE), 1)</f>
        <v>7.3800854468884747E-7</v>
      </c>
      <c r="G3" s="7">
        <f>$B3 * IFERROR(VLOOKUP("LULUCF|NOx|Infant mortality", US_national_yearly!$D:$AM, 15, FALSE) / VLOOKUP("LULUCF|NOx|Infant mortality", US_national_yearly!$D:$AM, 10, FALSE), 1)</f>
        <v>4.8992651555159337E-7</v>
      </c>
      <c r="H3" s="7">
        <f>$B3 * IFERROR(VLOOKUP("LULUCF|NOx|Infant mortality", US_national_yearly!$D:$AM, 16, FALSE) / VLOOKUP("LULUCF|NOx|Infant mortality", US_national_yearly!$D:$AM, 10, FALSE), 1)</f>
        <v>2.4184448641433932E-7</v>
      </c>
      <c r="I3" s="7">
        <f>$B3 * IFERROR(VLOOKUP("LULUCF|NOx|Infant mortality", US_national_yearly!$D:$AM, 17, FALSE) / VLOOKUP("LULUCF|NOx|Infant mortality", US_national_yearly!$D:$AM, 10, FALSE), 1)</f>
        <v>2.4013441498133335E-7</v>
      </c>
      <c r="J3" s="7">
        <f>$B3 * IFERROR(VLOOKUP("LULUCF|NOx|Infant mortality", US_national_yearly!$D:$AM, 18, FALSE) / VLOOKUP("LULUCF|NOx|Infant mortality", US_national_yearly!$D:$AM, 10, FALSE), 1)</f>
        <v>2.3842434354832733E-7</v>
      </c>
      <c r="K3" s="7">
        <f>$B3 * IFERROR(VLOOKUP("LULUCF|NOx|Infant mortality", US_national_yearly!$D:$AM, 19, FALSE) / VLOOKUP("LULUCF|NOx|Infant mortality", US_national_yearly!$D:$AM, 10, FALSE), 1)</f>
        <v>2.3671427211532138E-7</v>
      </c>
      <c r="L3" s="7">
        <f>$B3 * IFERROR(VLOOKUP("LULUCF|NOx|Infant mortality", US_national_yearly!$D:$AM, 20, FALSE) / VLOOKUP("LULUCF|NOx|Infant mortality", US_national_yearly!$D:$AM, 10, FALSE), 1)</f>
        <v>2.3500420068231542E-7</v>
      </c>
      <c r="M3" s="7">
        <f>$B3 * IFERROR(VLOOKUP("LULUCF|NOx|Infant mortality", US_national_yearly!$D:$AM, 21, FALSE) / VLOOKUP("LULUCF|NOx|Infant mortality", US_national_yearly!$D:$AM, 10, FALSE), 1)</f>
        <v>2.3329412924930939E-7</v>
      </c>
      <c r="N3" s="7">
        <f>$B3 * IFERROR(VLOOKUP("LULUCF|NOx|Infant mortality", US_national_yearly!$D:$AM, 22, FALSE) / VLOOKUP("LULUCF|NOx|Infant mortality", US_national_yearly!$D:$AM, 10, FALSE), 1)</f>
        <v>2.3215905533441551E-7</v>
      </c>
      <c r="O3" s="7">
        <f>$B3 * IFERROR(VLOOKUP("LULUCF|NOx|Infant mortality", US_national_yearly!$D:$AM, 23, FALSE) / VLOOKUP("LULUCF|NOx|Infant mortality", US_national_yearly!$D:$AM, 10, FALSE), 1)</f>
        <v>2.3102398141952166E-7</v>
      </c>
      <c r="P3" s="7">
        <f>$B3 * IFERROR(VLOOKUP("LULUCF|NOx|Infant mortality", US_national_yearly!$D:$AM, 24, FALSE) / VLOOKUP("LULUCF|NOx|Infant mortality", US_national_yearly!$D:$AM, 10, FALSE), 1)</f>
        <v>2.2988890750462777E-7</v>
      </c>
      <c r="Q3" s="7">
        <f>$B3 * IFERROR(VLOOKUP("LULUCF|NOx|Infant mortality", US_national_yearly!$D:$AM, 25, FALSE) / VLOOKUP("LULUCF|NOx|Infant mortality", US_national_yearly!$D:$AM, 10, FALSE), 1)</f>
        <v>2.2875383358973389E-7</v>
      </c>
      <c r="R3" s="7">
        <f>$B3 * IFERROR(VLOOKUP("LULUCF|NOx|Infant mortality", US_national_yearly!$D:$AM, 26, FALSE) / VLOOKUP("LULUCF|NOx|Infant mortality", US_national_yearly!$D:$AM, 10, FALSE), 1)</f>
        <v>2.2761875967484004E-7</v>
      </c>
      <c r="S3" s="7">
        <f>$B3 * IFERROR(VLOOKUP("LULUCF|NOx|Infant mortality", US_national_yearly!$D:$AM, 27, FALSE) / VLOOKUP("LULUCF|NOx|Infant mortality", US_national_yearly!$D:$AM, 10, FALSE), 1)</f>
        <v>2.2625422032534113E-7</v>
      </c>
      <c r="T3" s="7">
        <f>$B3 * IFERROR(VLOOKUP("LULUCF|NOx|Infant mortality", US_national_yearly!$D:$AM, 28, FALSE) / VLOOKUP("LULUCF|NOx|Infant mortality", US_national_yearly!$D:$AM, 10, FALSE), 1)</f>
        <v>2.2488968097584225E-7</v>
      </c>
      <c r="U3" s="7">
        <f>$B3 * IFERROR(VLOOKUP("LULUCF|NOx|Infant mortality", US_national_yearly!$D:$AM, 29, FALSE) / VLOOKUP("LULUCF|NOx|Infant mortality", US_national_yearly!$D:$AM, 10, FALSE), 1)</f>
        <v>2.2352514162634338E-7</v>
      </c>
      <c r="V3" s="7">
        <f>$B3 * IFERROR(VLOOKUP("LULUCF|NOx|Infant mortality", US_national_yearly!$D:$AM, 30, FALSE) / VLOOKUP("LULUCF|NOx|Infant mortality", US_national_yearly!$D:$AM, 10, FALSE), 1)</f>
        <v>2.2216060227684447E-7</v>
      </c>
      <c r="W3" s="7">
        <f>$B3 * IFERROR(VLOOKUP("LULUCF|NOx|Infant mortality", US_national_yearly!$D:$AM, 31, FALSE) / VLOOKUP("LULUCF|NOx|Infant mortality", US_national_yearly!$D:$AM, 10, FALSE), 1)</f>
        <v>2.2079606292734559E-7</v>
      </c>
      <c r="X3" s="7">
        <f>$B3 * IFERROR(VLOOKUP("LULUCF|NOx|Infant mortality", US_national_yearly!$D:$AM, 32, FALSE) / VLOOKUP("LULUCF|NOx|Infant mortality", US_national_yearly!$D:$AM, 10, FALSE), 1)</f>
        <v>2.1935094976979656E-7</v>
      </c>
      <c r="Y3" s="7">
        <f>$B3 * IFERROR(VLOOKUP("LULUCF|NOx|Infant mortality", US_national_yearly!$D:$AM, 33, FALSE) / VLOOKUP("LULUCF|NOx|Infant mortality", US_national_yearly!$D:$AM, 10, FALSE), 1)</f>
        <v>2.1790583661224746E-7</v>
      </c>
      <c r="Z3" s="7">
        <f>$B3 * IFERROR(VLOOKUP("LULUCF|NOx|Infant mortality", US_national_yearly!$D:$AM, 34, FALSE) / VLOOKUP("LULUCF|NOx|Infant mortality", US_national_yearly!$D:$AM, 10, FALSE), 1)</f>
        <v>2.1646072345469837E-7</v>
      </c>
      <c r="AA3" s="7">
        <f>$B3 * IFERROR(VLOOKUP("LULUCF|NOx|Infant mortality", US_national_yearly!$D:$AM, 35, FALSE) / VLOOKUP("LULUCF|NOx|Infant mortality", US_national_yearly!$D:$AM, 10, FALSE), 1)</f>
        <v>2.1501561029714928E-7</v>
      </c>
      <c r="AB3" s="7">
        <f>$B3 * IFERROR(VLOOKUP("LULUCF|NOx|Infant mortality", US_national_yearly!$D:$AM, 36, FALSE) / VLOOKUP("LULUCF|NOx|Infant mortality", US_national_yearly!$D:$AM, 10, FALSE), 1)</f>
        <v>2.1357049713960019E-7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8.1885791756636293E-4</v>
      </c>
      <c r="C6" s="7">
        <f>$B6 * IFERROR(VLOOKUP("LULUCF|NOx|Asthma symptoms cough", US_national_yearly!$D:$AM, 11, FALSE) / VLOOKUP("LULUCF|NOx|Asthma symptoms cough", US_national_yearly!$D:$AM, 10, FALSE), 1)</f>
        <v>8.3005304407919524E-4</v>
      </c>
      <c r="D6" s="7">
        <f>$B6 * IFERROR(VLOOKUP("LULUCF|NOx|Asthma symptoms cough", US_national_yearly!$D:$AM, 12, FALSE) / VLOOKUP("LULUCF|NOx|Asthma symptoms cough", US_national_yearly!$D:$AM, 10, FALSE), 1)</f>
        <v>8.4124817059202754E-4</v>
      </c>
      <c r="E6" s="7">
        <f>$B6 * IFERROR(VLOOKUP("LULUCF|NOx|Asthma symptoms cough", US_national_yearly!$D:$AM, 13, FALSE) / VLOOKUP("LULUCF|NOx|Asthma symptoms cough", US_national_yearly!$D:$AM, 10, FALSE), 1)</f>
        <v>8.5244329710485985E-4</v>
      </c>
      <c r="F6" s="7">
        <f>$B6 * IFERROR(VLOOKUP("LULUCF|NOx|Asthma symptoms cough", US_national_yearly!$D:$AM, 14, FALSE) / VLOOKUP("LULUCF|NOx|Asthma symptoms cough", US_national_yearly!$D:$AM, 10, FALSE), 1)</f>
        <v>8.6363842361769205E-4</v>
      </c>
      <c r="G6" s="7">
        <f>$B6 * IFERROR(VLOOKUP("LULUCF|NOx|Asthma symptoms cough", US_national_yearly!$D:$AM, 15, FALSE) / VLOOKUP("LULUCF|NOx|Asthma symptoms cough", US_national_yearly!$D:$AM, 10, FALSE), 1)</f>
        <v>8.7257616772494961E-4</v>
      </c>
      <c r="H6" s="7">
        <f>$B6 * IFERROR(VLOOKUP("LULUCF|NOx|Asthma symptoms cough", US_national_yearly!$D:$AM, 16, FALSE) / VLOOKUP("LULUCF|NOx|Asthma symptoms cough", US_national_yearly!$D:$AM, 10, FALSE), 1)</f>
        <v>8.8151391183220729E-4</v>
      </c>
      <c r="I6" s="7">
        <f>$B6 * IFERROR(VLOOKUP("LULUCF|NOx|Asthma symptoms cough", US_national_yearly!$D:$AM, 17, FALSE) / VLOOKUP("LULUCF|NOx|Asthma symptoms cough", US_national_yearly!$D:$AM, 10, FALSE), 1)</f>
        <v>8.8459015558215825E-4</v>
      </c>
      <c r="J6" s="7">
        <f>$B6 * IFERROR(VLOOKUP("LULUCF|NOx|Asthma symptoms cough", US_national_yearly!$D:$AM, 18, FALSE) / VLOOKUP("LULUCF|NOx|Asthma symptoms cough", US_national_yearly!$D:$AM, 10, FALSE), 1)</f>
        <v>8.8766639933210943E-4</v>
      </c>
      <c r="K6" s="7">
        <f>$B6 * IFERROR(VLOOKUP("LULUCF|NOx|Asthma symptoms cough", US_national_yearly!$D:$AM, 19, FALSE) / VLOOKUP("LULUCF|NOx|Asthma symptoms cough", US_national_yearly!$D:$AM, 10, FALSE), 1)</f>
        <v>8.907426430820604E-4</v>
      </c>
      <c r="L6" s="7">
        <f>$B6 * IFERROR(VLOOKUP("LULUCF|NOx|Asthma symptoms cough", US_national_yearly!$D:$AM, 20, FALSE) / VLOOKUP("LULUCF|NOx|Asthma symptoms cough", US_national_yearly!$D:$AM, 10, FALSE), 1)</f>
        <v>8.9381888683201147E-4</v>
      </c>
      <c r="M6" s="7">
        <f>$B6 * IFERROR(VLOOKUP("LULUCF|NOx|Asthma symptoms cough", US_national_yearly!$D:$AM, 21, FALSE) / VLOOKUP("LULUCF|NOx|Asthma symptoms cough", US_national_yearly!$D:$AM, 10, FALSE), 1)</f>
        <v>8.9689513058196265E-4</v>
      </c>
      <c r="N6" s="7">
        <f>$B6 * IFERROR(VLOOKUP("LULUCF|NOx|Asthma symptoms cough", US_national_yearly!$D:$AM, 22, FALSE) / VLOOKUP("LULUCF|NOx|Asthma symptoms cough", US_national_yearly!$D:$AM, 10, FALSE), 1)</f>
        <v>9.0046226428950357E-4</v>
      </c>
      <c r="O6" s="7">
        <f>$B6 * IFERROR(VLOOKUP("LULUCF|NOx|Asthma symptoms cough", US_national_yearly!$D:$AM, 23, FALSE) / VLOOKUP("LULUCF|NOx|Asthma symptoms cough", US_national_yearly!$D:$AM, 10, FALSE), 1)</f>
        <v>9.040293979970446E-4</v>
      </c>
      <c r="P6" s="7">
        <f>$B6 * IFERROR(VLOOKUP("LULUCF|NOx|Asthma symptoms cough", US_national_yearly!$D:$AM, 24, FALSE) / VLOOKUP("LULUCF|NOx|Asthma symptoms cough", US_national_yearly!$D:$AM, 10, FALSE), 1)</f>
        <v>9.0759653170458551E-4</v>
      </c>
      <c r="Q6" s="7">
        <f>$B6 * IFERROR(VLOOKUP("LULUCF|NOx|Asthma symptoms cough", US_national_yearly!$D:$AM, 25, FALSE) / VLOOKUP("LULUCF|NOx|Asthma symptoms cough", US_national_yearly!$D:$AM, 10, FALSE), 1)</f>
        <v>9.1116366541212665E-4</v>
      </c>
      <c r="R6" s="7">
        <f>$B6 * IFERROR(VLOOKUP("LULUCF|NOx|Asthma symptoms cough", US_national_yearly!$D:$AM, 26, FALSE) / VLOOKUP("LULUCF|NOx|Asthma symptoms cough", US_national_yearly!$D:$AM, 10, FALSE), 1)</f>
        <v>9.1473079911966767E-4</v>
      </c>
      <c r="S6" s="7">
        <f>$B6 * IFERROR(VLOOKUP("LULUCF|NOx|Asthma symptoms cough", US_national_yearly!$D:$AM, 27, FALSE) / VLOOKUP("LULUCF|NOx|Asthma symptoms cough", US_national_yearly!$D:$AM, 10, FALSE), 1)</f>
        <v>9.1939061186538341E-4</v>
      </c>
      <c r="T6" s="7">
        <f>$B6 * IFERROR(VLOOKUP("LULUCF|NOx|Asthma symptoms cough", US_national_yearly!$D:$AM, 28, FALSE) / VLOOKUP("LULUCF|NOx|Asthma symptoms cough", US_national_yearly!$D:$AM, 10, FALSE), 1)</f>
        <v>9.2405042461109904E-4</v>
      </c>
      <c r="U6" s="7">
        <f>$B6 * IFERROR(VLOOKUP("LULUCF|NOx|Asthma symptoms cough", US_national_yearly!$D:$AM, 29, FALSE) / VLOOKUP("LULUCF|NOx|Asthma symptoms cough", US_national_yearly!$D:$AM, 10, FALSE), 1)</f>
        <v>9.2871023735681445E-4</v>
      </c>
      <c r="V6" s="7">
        <f>$B6 * IFERROR(VLOOKUP("LULUCF|NOx|Asthma symptoms cough", US_national_yearly!$D:$AM, 30, FALSE) / VLOOKUP("LULUCF|NOx|Asthma symptoms cough", US_national_yearly!$D:$AM, 10, FALSE), 1)</f>
        <v>9.333700501025303E-4</v>
      </c>
      <c r="W6" s="7">
        <f>$B6 * IFERROR(VLOOKUP("LULUCF|NOx|Asthma symptoms cough", US_national_yearly!$D:$AM, 31, FALSE) / VLOOKUP("LULUCF|NOx|Asthma symptoms cough", US_national_yearly!$D:$AM, 10, FALSE), 1)</f>
        <v>9.3802986284824582E-4</v>
      </c>
      <c r="X6" s="7">
        <f>$B6 * IFERROR(VLOOKUP("LULUCF|NOx|Asthma symptoms cough", US_national_yearly!$D:$AM, 32, FALSE) / VLOOKUP("LULUCF|NOx|Asthma symptoms cough", US_national_yearly!$D:$AM, 10, FALSE), 1)</f>
        <v>9.4235949843676217E-4</v>
      </c>
      <c r="Y6" s="7">
        <f>$B6 * IFERROR(VLOOKUP("LULUCF|NOx|Asthma symptoms cough", US_national_yearly!$D:$AM, 33, FALSE) / VLOOKUP("LULUCF|NOx|Asthma symptoms cough", US_national_yearly!$D:$AM, 10, FALSE), 1)</f>
        <v>9.4668913402527852E-4</v>
      </c>
      <c r="Z6" s="7">
        <f>$B6 * IFERROR(VLOOKUP("LULUCF|NOx|Asthma symptoms cough", US_national_yearly!$D:$AM, 34, FALSE) / VLOOKUP("LULUCF|NOx|Asthma symptoms cough", US_national_yearly!$D:$AM, 10, FALSE), 1)</f>
        <v>9.5101876961379487E-4</v>
      </c>
      <c r="AA6" s="7">
        <f>$B6 * IFERROR(VLOOKUP("LULUCF|NOx|Asthma symptoms cough", US_national_yearly!$D:$AM, 35, FALSE) / VLOOKUP("LULUCF|NOx|Asthma symptoms cough", US_national_yearly!$D:$AM, 10, FALSE), 1)</f>
        <v>9.5534840520231123E-4</v>
      </c>
      <c r="AB6" s="7">
        <f>$B6 * IFERROR(VLOOKUP("LULUCF|NOx|Asthma symptoms cough", US_national_yearly!$D:$AM, 36, FALSE) / VLOOKUP("LULUCF|NOx|Asthma symptoms cough", US_national_yearly!$D:$AM, 10, FALSE), 1)</f>
        <v>9.596780407908278E-4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1.1027016515630303E-3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1.1177773859739383E-3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1.132853120384846E-3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1.1479288547957542E-3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1.1630045892066622E-3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1.1750404564317592E-3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1.1870763236568561E-3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1.1912188970733444E-3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1.1953614704898329E-3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1.1995040439063214E-3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1.2036466173228099E-3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1.2077891907392984E-3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1.2125928131181091E-3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1.2173964354969199E-3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1.2222000578757304E-3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1.2270036802545412E-3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1.2318073026333521E-3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1.2380823634200548E-3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1.244357424206758E-3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1.2506324849934608E-3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1.2569075457801633E-3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1.2631826065668662E-3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1.2690130396694173E-3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1.2748434727719686E-3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1.2806739058745199E-3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1.286504338977071E-3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1.2923347720796223E-3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1.6847746043236005E-3</v>
      </c>
      <c r="C8" s="7">
        <f>$B8 * IFERROR(VLOOKUP("LULUCF|NOx|Asthma symptoms wheeze", US_national_yearly!$D:$AM, 11, FALSE) / VLOOKUP("LULUCF|NOx|Asthma symptoms wheeze", US_national_yearly!$D:$AM, 10, FALSE), 1)</f>
        <v>1.7078082276939085E-3</v>
      </c>
      <c r="D8" s="7">
        <f>$B8 * IFERROR(VLOOKUP("LULUCF|NOx|Asthma symptoms wheeze", US_national_yearly!$D:$AM, 12, FALSE) / VLOOKUP("LULUCF|NOx|Asthma symptoms wheeze", US_national_yearly!$D:$AM, 10, FALSE), 1)</f>
        <v>1.7308418510642175E-3</v>
      </c>
      <c r="E8" s="7">
        <f>$B8 * IFERROR(VLOOKUP("LULUCF|NOx|Asthma symptoms wheeze", US_national_yearly!$D:$AM, 13, FALSE) / VLOOKUP("LULUCF|NOx|Asthma symptoms wheeze", US_national_yearly!$D:$AM, 10, FALSE), 1)</f>
        <v>1.7538754744345255E-3</v>
      </c>
      <c r="F8" s="7">
        <f>$B8 * IFERROR(VLOOKUP("LULUCF|NOx|Asthma symptoms wheeze", US_national_yearly!$D:$AM, 14, FALSE) / VLOOKUP("LULUCF|NOx|Asthma symptoms wheeze", US_national_yearly!$D:$AM, 10, FALSE), 1)</f>
        <v>1.7769090978048336E-3</v>
      </c>
      <c r="G8" s="7">
        <f>$B8 * IFERROR(VLOOKUP("LULUCF|NOx|Asthma symptoms wheeze", US_national_yearly!$D:$AM, 15, FALSE) / VLOOKUP("LULUCF|NOx|Asthma symptoms wheeze", US_national_yearly!$D:$AM, 10, FALSE), 1)</f>
        <v>1.7952982273483143E-3</v>
      </c>
      <c r="H8" s="7">
        <f>$B8 * IFERROR(VLOOKUP("LULUCF|NOx|Asthma symptoms wheeze", US_national_yearly!$D:$AM, 16, FALSE) / VLOOKUP("LULUCF|NOx|Asthma symptoms wheeze", US_national_yearly!$D:$AM, 10, FALSE), 1)</f>
        <v>1.8136873568917952E-3</v>
      </c>
      <c r="I8" s="7">
        <f>$B8 * IFERROR(VLOOKUP("LULUCF|NOx|Asthma symptoms wheeze", US_national_yearly!$D:$AM, 17, FALSE) / VLOOKUP("LULUCF|NOx|Asthma symptoms wheeze", US_national_yearly!$D:$AM, 10, FALSE), 1)</f>
        <v>1.8200166324176144E-3</v>
      </c>
      <c r="J8" s="7">
        <f>$B8 * IFERROR(VLOOKUP("LULUCF|NOx|Asthma symptoms wheeze", US_national_yearly!$D:$AM, 18, FALSE) / VLOOKUP("LULUCF|NOx|Asthma symptoms wheeze", US_national_yearly!$D:$AM, 10, FALSE), 1)</f>
        <v>1.8263459079434338E-3</v>
      </c>
      <c r="K8" s="7">
        <f>$B8 * IFERROR(VLOOKUP("LULUCF|NOx|Asthma symptoms wheeze", US_national_yearly!$D:$AM, 19, FALSE) / VLOOKUP("LULUCF|NOx|Asthma symptoms wheeze", US_national_yearly!$D:$AM, 10, FALSE), 1)</f>
        <v>1.8326751834692526E-3</v>
      </c>
      <c r="L8" s="7">
        <f>$B8 * IFERROR(VLOOKUP("LULUCF|NOx|Asthma symptoms wheeze", US_national_yearly!$D:$AM, 20, FALSE) / VLOOKUP("LULUCF|NOx|Asthma symptoms wheeze", US_national_yearly!$D:$AM, 10, FALSE), 1)</f>
        <v>1.8390044589950722E-3</v>
      </c>
      <c r="M8" s="7">
        <f>$B8 * IFERROR(VLOOKUP("LULUCF|NOx|Asthma symptoms wheeze", US_national_yearly!$D:$AM, 21, FALSE) / VLOOKUP("LULUCF|NOx|Asthma symptoms wheeze", US_national_yearly!$D:$AM, 10, FALSE), 1)</f>
        <v>1.8453337345208914E-3</v>
      </c>
      <c r="N8" s="7">
        <f>$B8 * IFERROR(VLOOKUP("LULUCF|NOx|Asthma symptoms wheeze", US_national_yearly!$D:$AM, 22, FALSE) / VLOOKUP("LULUCF|NOx|Asthma symptoms wheeze", US_national_yearly!$D:$AM, 10, FALSE), 1)</f>
        <v>1.8526730008198741E-3</v>
      </c>
      <c r="O8" s="7">
        <f>$B8 * IFERROR(VLOOKUP("LULUCF|NOx|Asthma symptoms wheeze", US_national_yearly!$D:$AM, 23, FALSE) / VLOOKUP("LULUCF|NOx|Asthma symptoms wheeze", US_national_yearly!$D:$AM, 10, FALSE), 1)</f>
        <v>1.8600122671188571E-3</v>
      </c>
      <c r="P8" s="7">
        <f>$B8 * IFERROR(VLOOKUP("LULUCF|NOx|Asthma symptoms wheeze", US_national_yearly!$D:$AM, 24, FALSE) / VLOOKUP("LULUCF|NOx|Asthma symptoms wheeze", US_national_yearly!$D:$AM, 10, FALSE), 1)</f>
        <v>1.8673515334178398E-3</v>
      </c>
      <c r="Q8" s="7">
        <f>$B8 * IFERROR(VLOOKUP("LULUCF|NOx|Asthma symptoms wheeze", US_national_yearly!$D:$AM, 25, FALSE) / VLOOKUP("LULUCF|NOx|Asthma symptoms wheeze", US_national_yearly!$D:$AM, 10, FALSE), 1)</f>
        <v>1.874690799716823E-3</v>
      </c>
      <c r="R8" s="7">
        <f>$B8 * IFERROR(VLOOKUP("LULUCF|NOx|Asthma symptoms wheeze", US_national_yearly!$D:$AM, 26, FALSE) / VLOOKUP("LULUCF|NOx|Asthma symptoms wheeze", US_national_yearly!$D:$AM, 10, FALSE), 1)</f>
        <v>1.8820300660158057E-3</v>
      </c>
      <c r="S8" s="7">
        <f>$B8 * IFERROR(VLOOKUP("LULUCF|NOx|Asthma symptoms wheeze", US_national_yearly!$D:$AM, 27, FALSE) / VLOOKUP("LULUCF|NOx|Asthma symptoms wheeze", US_national_yearly!$D:$AM, 10, FALSE), 1)</f>
        <v>1.8916174853355928E-3</v>
      </c>
      <c r="T8" s="7">
        <f>$B8 * IFERROR(VLOOKUP("LULUCF|NOx|Asthma symptoms wheeze", US_national_yearly!$D:$AM, 28, FALSE) / VLOOKUP("LULUCF|NOx|Asthma symptoms wheeze", US_national_yearly!$D:$AM, 10, FALSE), 1)</f>
        <v>1.9012049046553802E-3</v>
      </c>
      <c r="U8" s="7">
        <f>$B8 * IFERROR(VLOOKUP("LULUCF|NOx|Asthma symptoms wheeze", US_national_yearly!$D:$AM, 29, FALSE) / VLOOKUP("LULUCF|NOx|Asthma symptoms wheeze", US_national_yearly!$D:$AM, 10, FALSE), 1)</f>
        <v>1.9107923239751676E-3</v>
      </c>
      <c r="V8" s="7">
        <f>$B8 * IFERROR(VLOOKUP("LULUCF|NOx|Asthma symptoms wheeze", US_national_yearly!$D:$AM, 30, FALSE) / VLOOKUP("LULUCF|NOx|Asthma symptoms wheeze", US_national_yearly!$D:$AM, 10, FALSE), 1)</f>
        <v>1.9203797432949552E-3</v>
      </c>
      <c r="W8" s="7">
        <f>$B8 * IFERROR(VLOOKUP("LULUCF|NOx|Asthma symptoms wheeze", US_national_yearly!$D:$AM, 31, FALSE) / VLOOKUP("LULUCF|NOx|Asthma symptoms wheeze", US_national_yearly!$D:$AM, 10, FALSE), 1)</f>
        <v>1.9299671626147421E-3</v>
      </c>
      <c r="X8" s="7">
        <f>$B8 * IFERROR(VLOOKUP("LULUCF|NOx|Asthma symptoms wheeze", US_national_yearly!$D:$AM, 32, FALSE) / VLOOKUP("LULUCF|NOx|Asthma symptoms wheeze", US_national_yearly!$D:$AM, 10, FALSE), 1)</f>
        <v>1.938875252733394E-3</v>
      </c>
      <c r="Y8" s="7">
        <f>$B8 * IFERROR(VLOOKUP("LULUCF|NOx|Asthma symptoms wheeze", US_national_yearly!$D:$AM, 33, FALSE) / VLOOKUP("LULUCF|NOx|Asthma symptoms wheeze", US_national_yearly!$D:$AM, 10, FALSE), 1)</f>
        <v>1.9477833428520452E-3</v>
      </c>
      <c r="Z8" s="7">
        <f>$B8 * IFERROR(VLOOKUP("LULUCF|NOx|Asthma symptoms wheeze", US_national_yearly!$D:$AM, 34, FALSE) / VLOOKUP("LULUCF|NOx|Asthma symptoms wheeze", US_national_yearly!$D:$AM, 10, FALSE), 1)</f>
        <v>1.956691432970697E-3</v>
      </c>
      <c r="AA8" s="7">
        <f>$B8 * IFERROR(VLOOKUP("LULUCF|NOx|Asthma symptoms wheeze", US_national_yearly!$D:$AM, 35, FALSE) / VLOOKUP("LULUCF|NOx|Asthma symptoms wheeze", US_national_yearly!$D:$AM, 10, FALSE), 1)</f>
        <v>1.9655995230893485E-3</v>
      </c>
      <c r="AB8" s="7">
        <f>$B8 * IFERROR(VLOOKUP("LULUCF|NOx|Asthma symptoms wheeze", US_national_yearly!$D:$AM, 36, FALSE) / VLOOKUP("LULUCF|NOx|Asthma symptoms wheeze", US_national_yearly!$D:$AM, 10, FALSE), 1)</f>
        <v>1.9745076132080003E-3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2.6330515938844077E-5</v>
      </c>
      <c r="C12" s="7">
        <f>$B12 * IFERROR(VLOOKUP("LULUCF|NOx|Respiratory hospital admissions", US_national_yearly!$D:$AM, 11, FALSE) / VLOOKUP("LULUCF|NOx|Respiratory hospital admissions", US_national_yearly!$D:$AM, 10, FALSE), 1)</f>
        <v>2.6987321830384808E-5</v>
      </c>
      <c r="D12" s="7">
        <f>$B12 * IFERROR(VLOOKUP("LULUCF|NOx|Respiratory hospital admissions", US_national_yearly!$D:$AM, 12, FALSE) / VLOOKUP("LULUCF|NOx|Respiratory hospital admissions", US_national_yearly!$D:$AM, 10, FALSE), 1)</f>
        <v>2.7644127721925543E-5</v>
      </c>
      <c r="E12" s="7">
        <f>$B12 * IFERROR(VLOOKUP("LULUCF|NOx|Respiratory hospital admissions", US_national_yearly!$D:$AM, 13, FALSE) / VLOOKUP("LULUCF|NOx|Respiratory hospital admissions", US_national_yearly!$D:$AM, 10, FALSE), 1)</f>
        <v>2.8300933613466277E-5</v>
      </c>
      <c r="F12" s="7">
        <f>$B12 * IFERROR(VLOOKUP("LULUCF|NOx|Respiratory hospital admissions", US_national_yearly!$D:$AM, 14, FALSE) / VLOOKUP("LULUCF|NOx|Respiratory hospital admissions", US_national_yearly!$D:$AM, 10, FALSE), 1)</f>
        <v>2.8957739505007015E-5</v>
      </c>
      <c r="G12" s="7">
        <f>$B12 * IFERROR(VLOOKUP("LULUCF|NOx|Respiratory hospital admissions", US_national_yearly!$D:$AM, 15, FALSE) / VLOOKUP("LULUCF|NOx|Respiratory hospital admissions", US_national_yearly!$D:$AM, 10, FALSE), 1)</f>
        <v>2.9585668292331469E-5</v>
      </c>
      <c r="H12" s="7">
        <f>$B12 * IFERROR(VLOOKUP("LULUCF|NOx|Respiratory hospital admissions", US_national_yearly!$D:$AM, 16, FALSE) / VLOOKUP("LULUCF|NOx|Respiratory hospital admissions", US_national_yearly!$D:$AM, 10, FALSE), 1)</f>
        <v>3.0213597079655924E-5</v>
      </c>
      <c r="I12" s="7">
        <f>$B12 * IFERROR(VLOOKUP("LULUCF|NOx|Respiratory hospital admissions", US_national_yearly!$D:$AM, 17, FALSE) / VLOOKUP("LULUCF|NOx|Respiratory hospital admissions", US_national_yearly!$D:$AM, 10, FALSE), 1)</f>
        <v>3.0746721529003862E-5</v>
      </c>
      <c r="J12" s="7">
        <f>$B12 * IFERROR(VLOOKUP("LULUCF|NOx|Respiratory hospital admissions", US_national_yearly!$D:$AM, 18, FALSE) / VLOOKUP("LULUCF|NOx|Respiratory hospital admissions", US_national_yearly!$D:$AM, 10, FALSE), 1)</f>
        <v>3.1279845978351794E-5</v>
      </c>
      <c r="K12" s="7">
        <f>$B12 * IFERROR(VLOOKUP("LULUCF|NOx|Respiratory hospital admissions", US_national_yearly!$D:$AM, 19, FALSE) / VLOOKUP("LULUCF|NOx|Respiratory hospital admissions", US_national_yearly!$D:$AM, 10, FALSE), 1)</f>
        <v>3.1812970427699725E-5</v>
      </c>
      <c r="L12" s="7">
        <f>$B12 * IFERROR(VLOOKUP("LULUCF|NOx|Respiratory hospital admissions", US_national_yearly!$D:$AM, 20, FALSE) / VLOOKUP("LULUCF|NOx|Respiratory hospital admissions", US_national_yearly!$D:$AM, 10, FALSE), 1)</f>
        <v>3.2346094877047664E-5</v>
      </c>
      <c r="M12" s="7">
        <f>$B12 * IFERROR(VLOOKUP("LULUCF|NOx|Respiratory hospital admissions", US_national_yearly!$D:$AM, 21, FALSE) / VLOOKUP("LULUCF|NOx|Respiratory hospital admissions", US_national_yearly!$D:$AM, 10, FALSE), 1)</f>
        <v>3.2879219326395602E-5</v>
      </c>
      <c r="N12" s="7">
        <f>$B12 * IFERROR(VLOOKUP("LULUCF|NOx|Respiratory hospital admissions", US_national_yearly!$D:$AM, 22, FALSE) / VLOOKUP("LULUCF|NOx|Respiratory hospital admissions", US_national_yearly!$D:$AM, 10, FALSE), 1)</f>
        <v>3.3235622619455487E-5</v>
      </c>
      <c r="O12" s="7">
        <f>$B12 * IFERROR(VLOOKUP("LULUCF|NOx|Respiratory hospital admissions", US_national_yearly!$D:$AM, 23, FALSE) / VLOOKUP("LULUCF|NOx|Respiratory hospital admissions", US_national_yearly!$D:$AM, 10, FALSE), 1)</f>
        <v>3.3592025912515378E-5</v>
      </c>
      <c r="P12" s="7">
        <f>$B12 * IFERROR(VLOOKUP("LULUCF|NOx|Respiratory hospital admissions", US_national_yearly!$D:$AM, 24, FALSE) / VLOOKUP("LULUCF|NOx|Respiratory hospital admissions", US_national_yearly!$D:$AM, 10, FALSE), 1)</f>
        <v>3.394842920557527E-5</v>
      </c>
      <c r="Q12" s="7">
        <f>$B12 * IFERROR(VLOOKUP("LULUCF|NOx|Respiratory hospital admissions", US_national_yearly!$D:$AM, 25, FALSE) / VLOOKUP("LULUCF|NOx|Respiratory hospital admissions", US_national_yearly!$D:$AM, 10, FALSE), 1)</f>
        <v>3.4304832498635169E-5</v>
      </c>
      <c r="R12" s="7">
        <f>$B12 * IFERROR(VLOOKUP("LULUCF|NOx|Respiratory hospital admissions", US_national_yearly!$D:$AM, 26, FALSE) / VLOOKUP("LULUCF|NOx|Respiratory hospital admissions", US_national_yearly!$D:$AM, 10, FALSE), 1)</f>
        <v>3.4661235791695053E-5</v>
      </c>
      <c r="S12" s="7">
        <f>$B12 * IFERROR(VLOOKUP("LULUCF|NOx|Respiratory hospital admissions", US_national_yearly!$D:$AM, 27, FALSE) / VLOOKUP("LULUCF|NOx|Respiratory hospital admissions", US_national_yearly!$D:$AM, 10, FALSE), 1)</f>
        <v>3.4852187018705953E-5</v>
      </c>
      <c r="T12" s="7">
        <f>$B12 * IFERROR(VLOOKUP("LULUCF|NOx|Respiratory hospital admissions", US_national_yearly!$D:$AM, 28, FALSE) / VLOOKUP("LULUCF|NOx|Respiratory hospital admissions", US_national_yearly!$D:$AM, 10, FALSE), 1)</f>
        <v>3.5043138245716852E-5</v>
      </c>
      <c r="U12" s="7">
        <f>$B12 * IFERROR(VLOOKUP("LULUCF|NOx|Respiratory hospital admissions", US_national_yearly!$D:$AM, 29, FALSE) / VLOOKUP("LULUCF|NOx|Respiratory hospital admissions", US_national_yearly!$D:$AM, 10, FALSE), 1)</f>
        <v>3.5234089472727745E-5</v>
      </c>
      <c r="V12" s="7">
        <f>$B12 * IFERROR(VLOOKUP("LULUCF|NOx|Respiratory hospital admissions", US_national_yearly!$D:$AM, 30, FALSE) / VLOOKUP("LULUCF|NOx|Respiratory hospital admissions", US_national_yearly!$D:$AM, 10, FALSE), 1)</f>
        <v>3.5425040699738637E-5</v>
      </c>
      <c r="W12" s="7">
        <f>$B12 * IFERROR(VLOOKUP("LULUCF|NOx|Respiratory hospital admissions", US_national_yearly!$D:$AM, 31, FALSE) / VLOOKUP("LULUCF|NOx|Respiratory hospital admissions", US_national_yearly!$D:$AM, 10, FALSE), 1)</f>
        <v>3.5615991926749543E-5</v>
      </c>
      <c r="X12" s="7">
        <f>$B12 * IFERROR(VLOOKUP("LULUCF|NOx|Respiratory hospital admissions", US_national_yearly!$D:$AM, 32, FALSE) / VLOOKUP("LULUCF|NOx|Respiratory hospital admissions", US_national_yearly!$D:$AM, 10, FALSE), 1)</f>
        <v>3.574648228269927E-5</v>
      </c>
      <c r="Y12" s="7">
        <f>$B12 * IFERROR(VLOOKUP("LULUCF|NOx|Respiratory hospital admissions", US_national_yearly!$D:$AM, 33, FALSE) / VLOOKUP("LULUCF|NOx|Respiratory hospital admissions", US_national_yearly!$D:$AM, 10, FALSE), 1)</f>
        <v>3.5876972638649011E-5</v>
      </c>
      <c r="Z12" s="7">
        <f>$B12 * IFERROR(VLOOKUP("LULUCF|NOx|Respiratory hospital admissions", US_national_yearly!$D:$AM, 34, FALSE) / VLOOKUP("LULUCF|NOx|Respiratory hospital admissions", US_national_yearly!$D:$AM, 10, FALSE), 1)</f>
        <v>3.6007462994598751E-5</v>
      </c>
      <c r="AA12" s="7">
        <f>$B12 * IFERROR(VLOOKUP("LULUCF|NOx|Respiratory hospital admissions", US_national_yearly!$D:$AM, 35, FALSE) / VLOOKUP("LULUCF|NOx|Respiratory hospital admissions", US_national_yearly!$D:$AM, 10, FALSE), 1)</f>
        <v>3.6137953350548485E-5</v>
      </c>
      <c r="AB12" s="7">
        <f>$B12 * IFERROR(VLOOKUP("LULUCF|NOx|Respiratory hospital admissions", US_national_yearly!$D:$AM, 36, FALSE) / VLOOKUP("LULUCF|NOx|Respiratory hospital admissions", US_national_yearly!$D:$AM, 10, FALSE), 1)</f>
        <v>3.6268443706498219E-5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1.6612388184738175E-4</v>
      </c>
      <c r="C13" s="7">
        <f>$B13 * IFERROR(VLOOKUP("LULUCF|NOx|Non-fatal heart attacks", US_national_yearly!$D:$AM, 11, FALSE) / VLOOKUP("LULUCF|NOx|Non-fatal heart attacks", US_national_yearly!$D:$AM, 10, FALSE), 1)</f>
        <v>1.708732172649201E-4</v>
      </c>
      <c r="D13" s="7">
        <f>$B13 * IFERROR(VLOOKUP("LULUCF|NOx|Non-fatal heart attacks", US_national_yearly!$D:$AM, 12, FALSE) / VLOOKUP("LULUCF|NOx|Non-fatal heart attacks", US_national_yearly!$D:$AM, 10, FALSE), 1)</f>
        <v>1.7562255268245843E-4</v>
      </c>
      <c r="E13" s="7">
        <f>$B13 * IFERROR(VLOOKUP("LULUCF|NOx|Non-fatal heart attacks", US_national_yearly!$D:$AM, 13, FALSE) / VLOOKUP("LULUCF|NOx|Non-fatal heart attacks", US_national_yearly!$D:$AM, 10, FALSE), 1)</f>
        <v>1.8037188809999675E-4</v>
      </c>
      <c r="F13" s="7">
        <f>$B13 * IFERROR(VLOOKUP("LULUCF|NOx|Non-fatal heart attacks", US_national_yearly!$D:$AM, 14, FALSE) / VLOOKUP("LULUCF|NOx|Non-fatal heart attacks", US_national_yearly!$D:$AM, 10, FALSE), 1)</f>
        <v>1.8512122351753508E-4</v>
      </c>
      <c r="G13" s="7">
        <f>$B13 * IFERROR(VLOOKUP("LULUCF|NOx|Non-fatal heart attacks", US_national_yearly!$D:$AM, 15, FALSE) / VLOOKUP("LULUCF|NOx|Non-fatal heart attacks", US_national_yearly!$D:$AM, 10, FALSE), 1)</f>
        <v>1.8955946759445708E-4</v>
      </c>
      <c r="H13" s="7">
        <f>$B13 * IFERROR(VLOOKUP("LULUCF|NOx|Non-fatal heart attacks", US_national_yearly!$D:$AM, 16, FALSE) / VLOOKUP("LULUCF|NOx|Non-fatal heart attacks", US_national_yearly!$D:$AM, 10, FALSE), 1)</f>
        <v>1.9399771167137911E-4</v>
      </c>
      <c r="I13" s="7">
        <f>$B13 * IFERROR(VLOOKUP("LULUCF|NOx|Non-fatal heart attacks", US_national_yearly!$D:$AM, 17, FALSE) / VLOOKUP("LULUCF|NOx|Non-fatal heart attacks", US_national_yearly!$D:$AM, 10, FALSE), 1)</f>
        <v>1.9749675978629263E-4</v>
      </c>
      <c r="J13" s="7">
        <f>$B13 * IFERROR(VLOOKUP("LULUCF|NOx|Non-fatal heart attacks", US_national_yearly!$D:$AM, 18, FALSE) / VLOOKUP("LULUCF|NOx|Non-fatal heart attacks", US_national_yearly!$D:$AM, 10, FALSE), 1)</f>
        <v>2.009958079012062E-4</v>
      </c>
      <c r="K13" s="7">
        <f>$B13 * IFERROR(VLOOKUP("LULUCF|NOx|Non-fatal heart attacks", US_national_yearly!$D:$AM, 19, FALSE) / VLOOKUP("LULUCF|NOx|Non-fatal heart attacks", US_national_yearly!$D:$AM, 10, FALSE), 1)</f>
        <v>2.0449485601611964E-4</v>
      </c>
      <c r="L13" s="7">
        <f>$B13 * IFERROR(VLOOKUP("LULUCF|NOx|Non-fatal heart attacks", US_national_yearly!$D:$AM, 20, FALSE) / VLOOKUP("LULUCF|NOx|Non-fatal heart attacks", US_national_yearly!$D:$AM, 10, FALSE), 1)</f>
        <v>2.0799390413103332E-4</v>
      </c>
      <c r="M13" s="7">
        <f>$B13 * IFERROR(VLOOKUP("LULUCF|NOx|Non-fatal heart attacks", US_national_yearly!$D:$AM, 21, FALSE) / VLOOKUP("LULUCF|NOx|Non-fatal heart attacks", US_national_yearly!$D:$AM, 10, FALSE), 1)</f>
        <v>2.1149295224594681E-4</v>
      </c>
      <c r="N13" s="7">
        <f>$B13 * IFERROR(VLOOKUP("LULUCF|NOx|Non-fatal heart attacks", US_national_yearly!$D:$AM, 22, FALSE) / VLOOKUP("LULUCF|NOx|Non-fatal heart attacks", US_national_yearly!$D:$AM, 10, FALSE), 1)</f>
        <v>2.1359808570603345E-4</v>
      </c>
      <c r="O13" s="7">
        <f>$B13 * IFERROR(VLOOKUP("LULUCF|NOx|Non-fatal heart attacks", US_national_yearly!$D:$AM, 23, FALSE) / VLOOKUP("LULUCF|NOx|Non-fatal heart attacks", US_national_yearly!$D:$AM, 10, FALSE), 1)</f>
        <v>2.157032191661201E-4</v>
      </c>
      <c r="P13" s="7">
        <f>$B13 * IFERROR(VLOOKUP("LULUCF|NOx|Non-fatal heart attacks", US_national_yearly!$D:$AM, 24, FALSE) / VLOOKUP("LULUCF|NOx|Non-fatal heart attacks", US_national_yearly!$D:$AM, 10, FALSE), 1)</f>
        <v>2.1780835262620672E-4</v>
      </c>
      <c r="Q13" s="7">
        <f>$B13 * IFERROR(VLOOKUP("LULUCF|NOx|Non-fatal heart attacks", US_national_yearly!$D:$AM, 25, FALSE) / VLOOKUP("LULUCF|NOx|Non-fatal heart attacks", US_national_yearly!$D:$AM, 10, FALSE), 1)</f>
        <v>2.1991348608629342E-4</v>
      </c>
      <c r="R13" s="7">
        <f>$B13 * IFERROR(VLOOKUP("LULUCF|NOx|Non-fatal heart attacks", US_national_yearly!$D:$AM, 26, FALSE) / VLOOKUP("LULUCF|NOx|Non-fatal heart attacks", US_national_yearly!$D:$AM, 10, FALSE), 1)</f>
        <v>2.2201861954638006E-4</v>
      </c>
      <c r="S13" s="7">
        <f>$B13 * IFERROR(VLOOKUP("LULUCF|NOx|Non-fatal heart attacks", US_national_yearly!$D:$AM, 27, FALSE) / VLOOKUP("LULUCF|NOx|Non-fatal heart attacks", US_national_yearly!$D:$AM, 10, FALSE), 1)</f>
        <v>2.229735226437615E-4</v>
      </c>
      <c r="T13" s="7">
        <f>$B13 * IFERROR(VLOOKUP("LULUCF|NOx|Non-fatal heart attacks", US_national_yearly!$D:$AM, 28, FALSE) / VLOOKUP("LULUCF|NOx|Non-fatal heart attacks", US_national_yearly!$D:$AM, 10, FALSE), 1)</f>
        <v>2.2392842574114294E-4</v>
      </c>
      <c r="U13" s="7">
        <f>$B13 * IFERROR(VLOOKUP("LULUCF|NOx|Non-fatal heart attacks", US_national_yearly!$D:$AM, 29, FALSE) / VLOOKUP("LULUCF|NOx|Non-fatal heart attacks", US_national_yearly!$D:$AM, 10, FALSE), 1)</f>
        <v>2.2488332883852441E-4</v>
      </c>
      <c r="V13" s="7">
        <f>$B13 * IFERROR(VLOOKUP("LULUCF|NOx|Non-fatal heart attacks", US_national_yearly!$D:$AM, 30, FALSE) / VLOOKUP("LULUCF|NOx|Non-fatal heart attacks", US_national_yearly!$D:$AM, 10, FALSE), 1)</f>
        <v>2.2583823193590585E-4</v>
      </c>
      <c r="W13" s="7">
        <f>$B13 * IFERROR(VLOOKUP("LULUCF|NOx|Non-fatal heart attacks", US_national_yearly!$D:$AM, 31, FALSE) / VLOOKUP("LULUCF|NOx|Non-fatal heart attacks", US_national_yearly!$D:$AM, 10, FALSE), 1)</f>
        <v>2.2679313503328729E-4</v>
      </c>
      <c r="X13" s="7">
        <f>$B13 * IFERROR(VLOOKUP("LULUCF|NOx|Non-fatal heart attacks", US_national_yearly!$D:$AM, 32, FALSE) / VLOOKUP("LULUCF|NOx|Non-fatal heart attacks", US_national_yearly!$D:$AM, 10, FALSE), 1)</f>
        <v>2.2743125152824978E-4</v>
      </c>
      <c r="Y13" s="7">
        <f>$B13 * IFERROR(VLOOKUP("LULUCF|NOx|Non-fatal heart attacks", US_national_yearly!$D:$AM, 33, FALSE) / VLOOKUP("LULUCF|NOx|Non-fatal heart attacks", US_national_yearly!$D:$AM, 10, FALSE), 1)</f>
        <v>2.2806936802321229E-4</v>
      </c>
      <c r="Z13" s="7">
        <f>$B13 * IFERROR(VLOOKUP("LULUCF|NOx|Non-fatal heart attacks", US_national_yearly!$D:$AM, 34, FALSE) / VLOOKUP("LULUCF|NOx|Non-fatal heart attacks", US_national_yearly!$D:$AM, 10, FALSE), 1)</f>
        <v>2.2870748451817472E-4</v>
      </c>
      <c r="AA13" s="7">
        <f>$B13 * IFERROR(VLOOKUP("LULUCF|NOx|Non-fatal heart attacks", US_national_yearly!$D:$AM, 35, FALSE) / VLOOKUP("LULUCF|NOx|Non-fatal heart attacks", US_national_yearly!$D:$AM, 10, FALSE), 1)</f>
        <v>2.293456010131372E-4</v>
      </c>
      <c r="AB13" s="7">
        <f>$B13 * IFERROR(VLOOKUP("LULUCF|NOx|Non-fatal heart attacks", US_national_yearly!$D:$AM, 36, FALSE) / VLOOKUP("LULUCF|NOx|Non-fatal heart attacks", US_national_yearly!$D:$AM, 10, FALSE), 1)</f>
        <v>2.2998371750809971E-4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0.10819775385560952</v>
      </c>
      <c r="C14" s="7">
        <f>$B14 * IFERROR(VLOOKUP("LULUCF|NOx|Minor restricted activity days", US_national_yearly!$D:$AM, 11, FALSE) / VLOOKUP("LULUCF|NOx|Minor restricted activity days", US_national_yearly!$D:$AM, 10, FALSE), 1)</f>
        <v>0.10836363916986816</v>
      </c>
      <c r="D14" s="7">
        <f>$B14 * IFERROR(VLOOKUP("LULUCF|NOx|Minor restricted activity days", US_national_yearly!$D:$AM, 12, FALSE) / VLOOKUP("LULUCF|NOx|Minor restricted activity days", US_national_yearly!$D:$AM, 10, FALSE), 1)</f>
        <v>0.10852952448412682</v>
      </c>
      <c r="E14" s="7">
        <f>$B14 * IFERROR(VLOOKUP("LULUCF|NOx|Minor restricted activity days", US_national_yearly!$D:$AM, 13, FALSE) / VLOOKUP("LULUCF|NOx|Minor restricted activity days", US_national_yearly!$D:$AM, 10, FALSE), 1)</f>
        <v>0.10869540979838549</v>
      </c>
      <c r="F14" s="7">
        <f>$B14 * IFERROR(VLOOKUP("LULUCF|NOx|Minor restricted activity days", US_national_yearly!$D:$AM, 14, FALSE) / VLOOKUP("LULUCF|NOx|Minor restricted activity days", US_national_yearly!$D:$AM, 10, FALSE), 1)</f>
        <v>0.10886129511264414</v>
      </c>
      <c r="G14" s="7">
        <f>$B14 * IFERROR(VLOOKUP("LULUCF|NOx|Minor restricted activity days", US_national_yearly!$D:$AM, 15, FALSE) / VLOOKUP("LULUCF|NOx|Minor restricted activity days", US_national_yearly!$D:$AM, 10, FALSE), 1)</f>
        <v>0.10916084450609766</v>
      </c>
      <c r="H14" s="7">
        <f>$B14 * IFERROR(VLOOKUP("LULUCF|NOx|Minor restricted activity days", US_national_yearly!$D:$AM, 16, FALSE) / VLOOKUP("LULUCF|NOx|Minor restricted activity days", US_national_yearly!$D:$AM, 10, FALSE), 1)</f>
        <v>0.10946039389955114</v>
      </c>
      <c r="I14" s="7">
        <f>$B14 * IFERROR(VLOOKUP("LULUCF|NOx|Minor restricted activity days", US_national_yearly!$D:$AM, 17, FALSE) / VLOOKUP("LULUCF|NOx|Minor restricted activity days", US_national_yearly!$D:$AM, 10, FALSE), 1)</f>
        <v>0.11004630066773749</v>
      </c>
      <c r="J14" s="7">
        <f>$B14 * IFERROR(VLOOKUP("LULUCF|NOx|Minor restricted activity days", US_national_yearly!$D:$AM, 18, FALSE) / VLOOKUP("LULUCF|NOx|Minor restricted activity days", US_national_yearly!$D:$AM, 10, FALSE), 1)</f>
        <v>0.11063220743592381</v>
      </c>
      <c r="K14" s="7">
        <f>$B14 * IFERROR(VLOOKUP("LULUCF|NOx|Minor restricted activity days", US_national_yearly!$D:$AM, 19, FALSE) / VLOOKUP("LULUCF|NOx|Minor restricted activity days", US_national_yearly!$D:$AM, 10, FALSE), 1)</f>
        <v>0.11121811420411015</v>
      </c>
      <c r="L14" s="7">
        <f>$B14 * IFERROR(VLOOKUP("LULUCF|NOx|Minor restricted activity days", US_national_yearly!$D:$AM, 20, FALSE) / VLOOKUP("LULUCF|NOx|Minor restricted activity days", US_national_yearly!$D:$AM, 10, FALSE), 1)</f>
        <v>0.11180402097229647</v>
      </c>
      <c r="M14" s="7">
        <f>$B14 * IFERROR(VLOOKUP("LULUCF|NOx|Minor restricted activity days", US_national_yearly!$D:$AM, 21, FALSE) / VLOOKUP("LULUCF|NOx|Minor restricted activity days", US_national_yearly!$D:$AM, 10, FALSE), 1)</f>
        <v>0.11238992774048281</v>
      </c>
      <c r="N14" s="7">
        <f>$B14 * IFERROR(VLOOKUP("LULUCF|NOx|Minor restricted activity days", US_national_yearly!$D:$AM, 22, FALSE) / VLOOKUP("LULUCF|NOx|Minor restricted activity days", US_national_yearly!$D:$AM, 10, FALSE), 1)</f>
        <v>0.11322881338104344</v>
      </c>
      <c r="O14" s="7">
        <f>$B14 * IFERROR(VLOOKUP("LULUCF|NOx|Minor restricted activity days", US_national_yearly!$D:$AM, 23, FALSE) / VLOOKUP("LULUCF|NOx|Minor restricted activity days", US_national_yearly!$D:$AM, 10, FALSE), 1)</f>
        <v>0.11406769902160409</v>
      </c>
      <c r="P14" s="7">
        <f>$B14 * IFERROR(VLOOKUP("LULUCF|NOx|Minor restricted activity days", US_national_yearly!$D:$AM, 24, FALSE) / VLOOKUP("LULUCF|NOx|Minor restricted activity days", US_national_yearly!$D:$AM, 10, FALSE), 1)</f>
        <v>0.11490658466216473</v>
      </c>
      <c r="Q14" s="7">
        <f>$B14 * IFERROR(VLOOKUP("LULUCF|NOx|Minor restricted activity days", US_national_yearly!$D:$AM, 25, FALSE) / VLOOKUP("LULUCF|NOx|Minor restricted activity days", US_national_yearly!$D:$AM, 10, FALSE), 1)</f>
        <v>0.11574547030272536</v>
      </c>
      <c r="R14" s="7">
        <f>$B14 * IFERROR(VLOOKUP("LULUCF|NOx|Minor restricted activity days", US_national_yearly!$D:$AM, 26, FALSE) / VLOOKUP("LULUCF|NOx|Minor restricted activity days", US_national_yearly!$D:$AM, 10, FALSE), 1)</f>
        <v>0.11658435594328601</v>
      </c>
      <c r="S14" s="7">
        <f>$B14 * IFERROR(VLOOKUP("LULUCF|NOx|Minor restricted activity days", US_national_yearly!$D:$AM, 27, FALSE) / VLOOKUP("LULUCF|NOx|Minor restricted activity days", US_national_yearly!$D:$AM, 10, FALSE), 1)</f>
        <v>0.11742306520993621</v>
      </c>
      <c r="T14" s="7">
        <f>$B14 * IFERROR(VLOOKUP("LULUCF|NOx|Minor restricted activity days", US_national_yearly!$D:$AM, 28, FALSE) / VLOOKUP("LULUCF|NOx|Minor restricted activity days", US_national_yearly!$D:$AM, 10, FALSE), 1)</f>
        <v>0.11826177447658641</v>
      </c>
      <c r="U14" s="7">
        <f>$B14 * IFERROR(VLOOKUP("LULUCF|NOx|Minor restricted activity days", US_national_yearly!$D:$AM, 29, FALSE) / VLOOKUP("LULUCF|NOx|Minor restricted activity days", US_national_yearly!$D:$AM, 10, FALSE), 1)</f>
        <v>0.11910048374323663</v>
      </c>
      <c r="V14" s="7">
        <f>$B14 * IFERROR(VLOOKUP("LULUCF|NOx|Minor restricted activity days", US_national_yearly!$D:$AM, 30, FALSE) / VLOOKUP("LULUCF|NOx|Minor restricted activity days", US_national_yearly!$D:$AM, 10, FALSE), 1)</f>
        <v>0.11993919300988684</v>
      </c>
      <c r="W14" s="7">
        <f>$B14 * IFERROR(VLOOKUP("LULUCF|NOx|Minor restricted activity days", US_national_yearly!$D:$AM, 31, FALSE) / VLOOKUP("LULUCF|NOx|Minor restricted activity days", US_national_yearly!$D:$AM, 10, FALSE), 1)</f>
        <v>0.12077790227653704</v>
      </c>
      <c r="X14" s="7">
        <f>$B14 * IFERROR(VLOOKUP("LULUCF|NOx|Minor restricted activity days", US_national_yearly!$D:$AM, 32, FALSE) / VLOOKUP("LULUCF|NOx|Minor restricted activity days", US_national_yearly!$D:$AM, 10, FALSE), 1)</f>
        <v>0.12148699901016426</v>
      </c>
      <c r="Y14" s="7">
        <f>$B14 * IFERROR(VLOOKUP("LULUCF|NOx|Minor restricted activity days", US_national_yearly!$D:$AM, 33, FALSE) / VLOOKUP("LULUCF|NOx|Minor restricted activity days", US_national_yearly!$D:$AM, 10, FALSE), 1)</f>
        <v>0.12219609574379148</v>
      </c>
      <c r="Z14" s="7">
        <f>$B14 * IFERROR(VLOOKUP("LULUCF|NOx|Minor restricted activity days", US_national_yearly!$D:$AM, 34, FALSE) / VLOOKUP("LULUCF|NOx|Minor restricted activity days", US_national_yearly!$D:$AM, 10, FALSE), 1)</f>
        <v>0.12290519247741868</v>
      </c>
      <c r="AA14" s="7">
        <f>$B14 * IFERROR(VLOOKUP("LULUCF|NOx|Minor restricted activity days", US_national_yearly!$D:$AM, 35, FALSE) / VLOOKUP("LULUCF|NOx|Minor restricted activity days", US_national_yearly!$D:$AM, 10, FALSE), 1)</f>
        <v>0.12361428921104591</v>
      </c>
      <c r="AB14" s="7">
        <f>$B14 * IFERROR(VLOOKUP("LULUCF|NOx|Minor restricted activity days", US_national_yearly!$D:$AM, 36, FALSE) / VLOOKUP("LULUCF|NOx|Minor restricted activity days", US_national_yearly!$D:$AM, 10, FALSE), 1)</f>
        <v>0.12432338594467313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1.8243692661772129E-2</v>
      </c>
      <c r="C15" s="7">
        <f>$B15 * IFERROR(VLOOKUP("LULUCF|NOx|Work loss days", US_national_yearly!$D:$AM, 11, FALSE) / VLOOKUP("LULUCF|NOx|Work loss days", US_national_yearly!$D:$AM, 10, FALSE), 1)</f>
        <v>1.8284274774649573E-2</v>
      </c>
      <c r="D15" s="7">
        <f>$B15 * IFERROR(VLOOKUP("LULUCF|NOx|Work loss days", US_national_yearly!$D:$AM, 12, FALSE) / VLOOKUP("LULUCF|NOx|Work loss days", US_national_yearly!$D:$AM, 10, FALSE), 1)</f>
        <v>1.8324856887527021E-2</v>
      </c>
      <c r="E15" s="7">
        <f>$B15 * IFERROR(VLOOKUP("LULUCF|NOx|Work loss days", US_national_yearly!$D:$AM, 13, FALSE) / VLOOKUP("LULUCF|NOx|Work loss days", US_national_yearly!$D:$AM, 10, FALSE), 1)</f>
        <v>1.8365439000404462E-2</v>
      </c>
      <c r="F15" s="7">
        <f>$B15 * IFERROR(VLOOKUP("LULUCF|NOx|Work loss days", US_national_yearly!$D:$AM, 14, FALSE) / VLOOKUP("LULUCF|NOx|Work loss days", US_national_yearly!$D:$AM, 10, FALSE), 1)</f>
        <v>1.840602111328191E-2</v>
      </c>
      <c r="G15" s="7">
        <f>$B15 * IFERROR(VLOOKUP("LULUCF|NOx|Work loss days", US_national_yearly!$D:$AM, 15, FALSE) / VLOOKUP("LULUCF|NOx|Work loss days", US_national_yearly!$D:$AM, 10, FALSE), 1)</f>
        <v>1.8465271344266419E-2</v>
      </c>
      <c r="H15" s="7">
        <f>$B15 * IFERROR(VLOOKUP("LULUCF|NOx|Work loss days", US_national_yearly!$D:$AM, 16, FALSE) / VLOOKUP("LULUCF|NOx|Work loss days", US_national_yearly!$D:$AM, 10, FALSE), 1)</f>
        <v>1.8524521575250936E-2</v>
      </c>
      <c r="I15" s="7">
        <f>$B15 * IFERROR(VLOOKUP("LULUCF|NOx|Work loss days", US_national_yearly!$D:$AM, 17, FALSE) / VLOOKUP("LULUCF|NOx|Work loss days", US_national_yearly!$D:$AM, 10, FALSE), 1)</f>
        <v>1.8620503738307485E-2</v>
      </c>
      <c r="J15" s="7">
        <f>$B15 * IFERROR(VLOOKUP("LULUCF|NOx|Work loss days", US_national_yearly!$D:$AM, 18, FALSE) / VLOOKUP("LULUCF|NOx|Work loss days", US_national_yearly!$D:$AM, 10, FALSE), 1)</f>
        <v>1.8716485901364037E-2</v>
      </c>
      <c r="K15" s="7">
        <f>$B15 * IFERROR(VLOOKUP("LULUCF|NOx|Work loss days", US_national_yearly!$D:$AM, 19, FALSE) / VLOOKUP("LULUCF|NOx|Work loss days", US_national_yearly!$D:$AM, 10, FALSE), 1)</f>
        <v>1.8812468064420589E-2</v>
      </c>
      <c r="L15" s="7">
        <f>$B15 * IFERROR(VLOOKUP("LULUCF|NOx|Work loss days", US_national_yearly!$D:$AM, 20, FALSE) / VLOOKUP("LULUCF|NOx|Work loss days", US_national_yearly!$D:$AM, 10, FALSE), 1)</f>
        <v>1.8908450227477138E-2</v>
      </c>
      <c r="M15" s="7">
        <f>$B15 * IFERROR(VLOOKUP("LULUCF|NOx|Work loss days", US_national_yearly!$D:$AM, 21, FALSE) / VLOOKUP("LULUCF|NOx|Work loss days", US_national_yearly!$D:$AM, 10, FALSE), 1)</f>
        <v>1.900443239053369E-2</v>
      </c>
      <c r="N15" s="7">
        <f>$B15 * IFERROR(VLOOKUP("LULUCF|NOx|Work loss days", US_national_yearly!$D:$AM, 22, FALSE) / VLOOKUP("LULUCF|NOx|Work loss days", US_national_yearly!$D:$AM, 10, FALSE), 1)</f>
        <v>1.9129347286023921E-2</v>
      </c>
      <c r="O15" s="7">
        <f>$B15 * IFERROR(VLOOKUP("LULUCF|NOx|Work loss days", US_national_yearly!$D:$AM, 23, FALSE) / VLOOKUP("LULUCF|NOx|Work loss days", US_national_yearly!$D:$AM, 10, FALSE), 1)</f>
        <v>1.9254262181514149E-2</v>
      </c>
      <c r="P15" s="7">
        <f>$B15 * IFERROR(VLOOKUP("LULUCF|NOx|Work loss days", US_national_yearly!$D:$AM, 24, FALSE) / VLOOKUP("LULUCF|NOx|Work loss days", US_national_yearly!$D:$AM, 10, FALSE), 1)</f>
        <v>1.9379177077004379E-2</v>
      </c>
      <c r="Q15" s="7">
        <f>$B15 * IFERROR(VLOOKUP("LULUCF|NOx|Work loss days", US_national_yearly!$D:$AM, 25, FALSE) / VLOOKUP("LULUCF|NOx|Work loss days", US_national_yearly!$D:$AM, 10, FALSE), 1)</f>
        <v>1.9504091972494603E-2</v>
      </c>
      <c r="R15" s="7">
        <f>$B15 * IFERROR(VLOOKUP("LULUCF|NOx|Work loss days", US_national_yearly!$D:$AM, 26, FALSE) / VLOOKUP("LULUCF|NOx|Work loss days", US_national_yearly!$D:$AM, 10, FALSE), 1)</f>
        <v>1.9629006867984838E-2</v>
      </c>
      <c r="S15" s="7">
        <f>$B15 * IFERROR(VLOOKUP("LULUCF|NOx|Work loss days", US_national_yearly!$D:$AM, 27, FALSE) / VLOOKUP("LULUCF|NOx|Work loss days", US_national_yearly!$D:$AM, 10, FALSE), 1)</f>
        <v>1.9768271004587491E-2</v>
      </c>
      <c r="T15" s="7">
        <f>$B15 * IFERROR(VLOOKUP("LULUCF|NOx|Work loss days", US_national_yearly!$D:$AM, 28, FALSE) / VLOOKUP("LULUCF|NOx|Work loss days", US_national_yearly!$D:$AM, 10, FALSE), 1)</f>
        <v>1.990753514119014E-2</v>
      </c>
      <c r="U15" s="7">
        <f>$B15 * IFERROR(VLOOKUP("LULUCF|NOx|Work loss days", US_national_yearly!$D:$AM, 29, FALSE) / VLOOKUP("LULUCF|NOx|Work loss days", US_national_yearly!$D:$AM, 10, FALSE), 1)</f>
        <v>2.0046799277792789E-2</v>
      </c>
      <c r="V15" s="7">
        <f>$B15 * IFERROR(VLOOKUP("LULUCF|NOx|Work loss days", US_national_yearly!$D:$AM, 30, FALSE) / VLOOKUP("LULUCF|NOx|Work loss days", US_national_yearly!$D:$AM, 10, FALSE), 1)</f>
        <v>2.0186063414395442E-2</v>
      </c>
      <c r="W15" s="7">
        <f>$B15 * IFERROR(VLOOKUP("LULUCF|NOx|Work loss days", US_national_yearly!$D:$AM, 31, FALSE) / VLOOKUP("LULUCF|NOx|Work loss days", US_national_yearly!$D:$AM, 10, FALSE), 1)</f>
        <v>2.0325327550998095E-2</v>
      </c>
      <c r="X15" s="7">
        <f>$B15 * IFERROR(VLOOKUP("LULUCF|NOx|Work loss days", US_national_yearly!$D:$AM, 32, FALSE) / VLOOKUP("LULUCF|NOx|Work loss days", US_national_yearly!$D:$AM, 10, FALSE), 1)</f>
        <v>2.0446201396459356E-2</v>
      </c>
      <c r="Y15" s="7">
        <f>$B15 * IFERROR(VLOOKUP("LULUCF|NOx|Work loss days", US_national_yearly!$D:$AM, 33, FALSE) / VLOOKUP("LULUCF|NOx|Work loss days", US_national_yearly!$D:$AM, 10, FALSE), 1)</f>
        <v>2.0567075241920613E-2</v>
      </c>
      <c r="Z15" s="7">
        <f>$B15 * IFERROR(VLOOKUP("LULUCF|NOx|Work loss days", US_national_yearly!$D:$AM, 34, FALSE) / VLOOKUP("LULUCF|NOx|Work loss days", US_national_yearly!$D:$AM, 10, FALSE), 1)</f>
        <v>2.0687949087381873E-2</v>
      </c>
      <c r="AA15" s="7">
        <f>$B15 * IFERROR(VLOOKUP("LULUCF|NOx|Work loss days", US_national_yearly!$D:$AM, 35, FALSE) / VLOOKUP("LULUCF|NOx|Work loss days", US_national_yearly!$D:$AM, 10, FALSE), 1)</f>
        <v>2.0808822932843134E-2</v>
      </c>
      <c r="AB15" s="7">
        <f>$B15 * IFERROR(VLOOKUP("LULUCF|NOx|Work loss days", US_national_yearly!$D:$AM, 36, FALSE) / VLOOKUP("LULUCF|NOx|Work loss days", US_national_yearly!$D:$AM, 10, FALSE), 1)</f>
        <v>2.0929696778304391E-2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4.5004571974115699E-5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4.6327014747134231E-5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4.7649457520152749E-5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4.8971900293171267E-5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5.0294343066189799E-5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5.155044500211476E-5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5.2806546938039735E-5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5.3862831763357775E-5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5.4919116588675814E-5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5.5975401413993854E-5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5.7031686239311893E-5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5.8087971064629946E-5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5.8748500965672768E-5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5.9409030866715603E-5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6.0069560767758424E-5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6.0730090668801253E-5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6.1390620569844081E-5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6.1692002225221328E-5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6.1993383880598561E-5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6.2294765535975808E-5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6.2596147191353041E-5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6.2897528846730288E-5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6.3065258186733637E-5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6.3232987526736986E-5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6.3400716866740336E-5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6.3568446206743685E-5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6.3736175546747035E-5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4.3620409516338714E-4</v>
      </c>
      <c r="C2" s="7">
        <f>$B2 * IFERROR(VLOOKUP("LULUCF|SO2|Premature mortality", US_national_yearly!$D:$AM, 11, FALSE) / VLOOKUP("LULUCF|SO2|Premature mortality", US_national_yearly!$D:$AM, 10, FALSE), 1)</f>
        <v>4.4172838401411094E-4</v>
      </c>
      <c r="D2" s="7">
        <f>$B2 * IFERROR(VLOOKUP("LULUCF|SO2|Premature mortality", US_national_yearly!$D:$AM, 12, FALSE) / VLOOKUP("LULUCF|SO2|Premature mortality", US_national_yearly!$D:$AM, 10, FALSE), 1)</f>
        <v>4.4725267286483485E-4</v>
      </c>
      <c r="E2" s="7">
        <f>$B2 * IFERROR(VLOOKUP("LULUCF|SO2|Premature mortality", US_national_yearly!$D:$AM, 13, FALSE) / VLOOKUP("LULUCF|SO2|Premature mortality", US_national_yearly!$D:$AM, 10, FALSE), 1)</f>
        <v>4.5277696171555865E-4</v>
      </c>
      <c r="F2" s="7">
        <f>$B2 * IFERROR(VLOOKUP("LULUCF|SO2|Premature mortality", US_national_yearly!$D:$AM, 14, FALSE) / VLOOKUP("LULUCF|SO2|Premature mortality", US_national_yearly!$D:$AM, 10, FALSE), 1)</f>
        <v>4.5830125056628245E-4</v>
      </c>
      <c r="G2" s="7">
        <f>$B2 * IFERROR(VLOOKUP("LULUCF|SO2|Premature mortality", US_national_yearly!$D:$AM, 15, FALSE) / VLOOKUP("LULUCF|SO2|Premature mortality", US_national_yearly!$D:$AM, 10, FALSE), 1)</f>
        <v>4.6894624209889988E-4</v>
      </c>
      <c r="H2" s="7">
        <f>$B2 * IFERROR(VLOOKUP("LULUCF|SO2|Premature mortality", US_national_yearly!$D:$AM, 16, FALSE) / VLOOKUP("LULUCF|SO2|Premature mortality", US_national_yearly!$D:$AM, 10, FALSE), 1)</f>
        <v>4.795912336315172E-4</v>
      </c>
      <c r="I2" s="7">
        <f>$B2 * IFERROR(VLOOKUP("LULUCF|SO2|Premature mortality", US_national_yearly!$D:$AM, 17, FALSE) / VLOOKUP("LULUCF|SO2|Premature mortality", US_national_yearly!$D:$AM, 10, FALSE), 1)</f>
        <v>4.8662609629768878E-4</v>
      </c>
      <c r="J2" s="7">
        <f>$B2 * IFERROR(VLOOKUP("LULUCF|SO2|Premature mortality", US_national_yearly!$D:$AM, 18, FALSE) / VLOOKUP("LULUCF|SO2|Premature mortality", US_national_yearly!$D:$AM, 10, FALSE), 1)</f>
        <v>4.9366095896386029E-4</v>
      </c>
      <c r="K2" s="7">
        <f>$B2 * IFERROR(VLOOKUP("LULUCF|SO2|Premature mortality", US_national_yearly!$D:$AM, 19, FALSE) / VLOOKUP("LULUCF|SO2|Premature mortality", US_national_yearly!$D:$AM, 10, FALSE), 1)</f>
        <v>5.0069582163003181E-4</v>
      </c>
      <c r="L2" s="7">
        <f>$B2 * IFERROR(VLOOKUP("LULUCF|SO2|Premature mortality", US_national_yearly!$D:$AM, 20, FALSE) / VLOOKUP("LULUCF|SO2|Premature mortality", US_national_yearly!$D:$AM, 10, FALSE), 1)</f>
        <v>5.0773068429620333E-4</v>
      </c>
      <c r="M2" s="7">
        <f>$B2 * IFERROR(VLOOKUP("LULUCF|SO2|Premature mortality", US_national_yearly!$D:$AM, 21, FALSE) / VLOOKUP("LULUCF|SO2|Premature mortality", US_national_yearly!$D:$AM, 10, FALSE), 1)</f>
        <v>5.1476554696237495E-4</v>
      </c>
      <c r="N2" s="7">
        <f>$B2 * IFERROR(VLOOKUP("LULUCF|SO2|Premature mortality", US_national_yearly!$D:$AM, 22, FALSE) / VLOOKUP("LULUCF|SO2|Premature mortality", US_national_yearly!$D:$AM, 10, FALSE), 1)</f>
        <v>5.2026220705958829E-4</v>
      </c>
      <c r="O2" s="7">
        <f>$B2 * IFERROR(VLOOKUP("LULUCF|SO2|Premature mortality", US_national_yearly!$D:$AM, 23, FALSE) / VLOOKUP("LULUCF|SO2|Premature mortality", US_national_yearly!$D:$AM, 10, FALSE), 1)</f>
        <v>5.2575886715680153E-4</v>
      </c>
      <c r="P2" s="7">
        <f>$B2 * IFERROR(VLOOKUP("LULUCF|SO2|Premature mortality", US_national_yearly!$D:$AM, 24, FALSE) / VLOOKUP("LULUCF|SO2|Premature mortality", US_national_yearly!$D:$AM, 10, FALSE), 1)</f>
        <v>5.3125552725401487E-4</v>
      </c>
      <c r="Q2" s="7">
        <f>$B2 * IFERROR(VLOOKUP("LULUCF|SO2|Premature mortality", US_national_yearly!$D:$AM, 25, FALSE) / VLOOKUP("LULUCF|SO2|Premature mortality", US_national_yearly!$D:$AM, 10, FALSE), 1)</f>
        <v>5.3675218735122821E-4</v>
      </c>
      <c r="R2" s="7">
        <f>$B2 * IFERROR(VLOOKUP("LULUCF|SO2|Premature mortality", US_national_yearly!$D:$AM, 26, FALSE) / VLOOKUP("LULUCF|SO2|Premature mortality", US_national_yearly!$D:$AM, 10, FALSE), 1)</f>
        <v>5.4224884744844134E-4</v>
      </c>
      <c r="S2" s="7">
        <f>$B2 * IFERROR(VLOOKUP("LULUCF|SO2|Premature mortality", US_national_yearly!$D:$AM, 27, FALSE) / VLOOKUP("LULUCF|SO2|Premature mortality", US_national_yearly!$D:$AM, 10, FALSE), 1)</f>
        <v>5.4519238211962349E-4</v>
      </c>
      <c r="T2" s="7">
        <f>$B2 * IFERROR(VLOOKUP("LULUCF|SO2|Premature mortality", US_national_yearly!$D:$AM, 28, FALSE) / VLOOKUP("LULUCF|SO2|Premature mortality", US_national_yearly!$D:$AM, 10, FALSE), 1)</f>
        <v>5.4813591679080554E-4</v>
      </c>
      <c r="U2" s="7">
        <f>$B2 * IFERROR(VLOOKUP("LULUCF|SO2|Premature mortality", US_national_yearly!$D:$AM, 29, FALSE) / VLOOKUP("LULUCF|SO2|Premature mortality", US_national_yearly!$D:$AM, 10, FALSE), 1)</f>
        <v>5.5107945146198759E-4</v>
      </c>
      <c r="V2" s="7">
        <f>$B2 * IFERROR(VLOOKUP("LULUCF|SO2|Premature mortality", US_national_yearly!$D:$AM, 30, FALSE) / VLOOKUP("LULUCF|SO2|Premature mortality", US_national_yearly!$D:$AM, 10, FALSE), 1)</f>
        <v>5.5402298613316963E-4</v>
      </c>
      <c r="W2" s="7">
        <f>$B2 * IFERROR(VLOOKUP("LULUCF|SO2|Premature mortality", US_national_yearly!$D:$AM, 31, FALSE) / VLOOKUP("LULUCF|SO2|Premature mortality", US_national_yearly!$D:$AM, 10, FALSE), 1)</f>
        <v>5.5696652080435179E-4</v>
      </c>
      <c r="X2" s="7">
        <f>$B2 * IFERROR(VLOOKUP("LULUCF|SO2|Premature mortality", US_national_yearly!$D:$AM, 32, FALSE) / VLOOKUP("LULUCF|SO2|Premature mortality", US_national_yearly!$D:$AM, 10, FALSE), 1)</f>
        <v>5.5756450887639781E-4</v>
      </c>
      <c r="Y2" s="7">
        <f>$B2 * IFERROR(VLOOKUP("LULUCF|SO2|Premature mortality", US_national_yearly!$D:$AM, 33, FALSE) / VLOOKUP("LULUCF|SO2|Premature mortality", US_national_yearly!$D:$AM, 10, FALSE), 1)</f>
        <v>5.5816249694844405E-4</v>
      </c>
      <c r="Z2" s="7">
        <f>$B2 * IFERROR(VLOOKUP("LULUCF|SO2|Premature mortality", US_national_yearly!$D:$AM, 34, FALSE) / VLOOKUP("LULUCF|SO2|Premature mortality", US_national_yearly!$D:$AM, 10, FALSE), 1)</f>
        <v>5.5876048502049018E-4</v>
      </c>
      <c r="AA2" s="7">
        <f>$B2 * IFERROR(VLOOKUP("LULUCF|SO2|Premature mortality", US_national_yearly!$D:$AM, 35, FALSE) / VLOOKUP("LULUCF|SO2|Premature mortality", US_national_yearly!$D:$AM, 10, FALSE), 1)</f>
        <v>5.5935847309253632E-4</v>
      </c>
      <c r="AB2" s="7">
        <f>$B2 * IFERROR(VLOOKUP("LULUCF|SO2|Premature mortality", US_national_yearly!$D:$AM, 36, FALSE) / VLOOKUP("LULUCF|SO2|Premature mortality", US_national_yearly!$D:$AM, 10, FALSE), 1)</f>
        <v>5.5995646116458245E-4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7.6724853413517854E-7</v>
      </c>
      <c r="C3" s="7">
        <f>$B3 * IFERROR(VLOOKUP("LULUCF|SO2|Infant mortality", US_national_yearly!$D:$AM, 11, FALSE) / VLOOKUP("LULUCF|SO2|Infant mortality", US_national_yearly!$D:$AM, 10, FALSE), 1)</f>
        <v>7.6065772927655038E-7</v>
      </c>
      <c r="D3" s="7">
        <f>$B3 * IFERROR(VLOOKUP("LULUCF|SO2|Infant mortality", US_national_yearly!$D:$AM, 12, FALSE) / VLOOKUP("LULUCF|SO2|Infant mortality", US_national_yearly!$D:$AM, 10, FALSE), 1)</f>
        <v>7.5406692441792234E-7</v>
      </c>
      <c r="E3" s="7">
        <f>$B3 * IFERROR(VLOOKUP("LULUCF|SO2|Infant mortality", US_national_yearly!$D:$AM, 13, FALSE) / VLOOKUP("LULUCF|SO2|Infant mortality", US_national_yearly!$D:$AM, 10, FALSE), 1)</f>
        <v>7.4747611955929418E-7</v>
      </c>
      <c r="F3" s="7">
        <f>$B3 * IFERROR(VLOOKUP("LULUCF|SO2|Infant mortality", US_national_yearly!$D:$AM, 14, FALSE) / VLOOKUP("LULUCF|SO2|Infant mortality", US_national_yearly!$D:$AM, 10, FALSE), 1)</f>
        <v>7.4088531470066614E-7</v>
      </c>
      <c r="G3" s="7">
        <f>$B3 * IFERROR(VLOOKUP("LULUCF|SO2|Infant mortality", US_national_yearly!$D:$AM, 15, FALSE) / VLOOKUP("LULUCF|SO2|Infant mortality", US_national_yearly!$D:$AM, 10, FALSE), 1)</f>
        <v>4.934892916650003E-7</v>
      </c>
      <c r="H3" s="7">
        <f>$B3 * IFERROR(VLOOKUP("LULUCF|SO2|Infant mortality", US_national_yearly!$D:$AM, 16, FALSE) / VLOOKUP("LULUCF|SO2|Infant mortality", US_national_yearly!$D:$AM, 10, FALSE), 1)</f>
        <v>2.4609326862933494E-7</v>
      </c>
      <c r="I3" s="7">
        <f>$B3 * IFERROR(VLOOKUP("LULUCF|SO2|Infant mortality", US_national_yearly!$D:$AM, 17, FALSE) / VLOOKUP("LULUCF|SO2|Infant mortality", US_national_yearly!$D:$AM, 10, FALSE), 1)</f>
        <v>2.4454945124143639E-7</v>
      </c>
      <c r="J3" s="7">
        <f>$B3 * IFERROR(VLOOKUP("LULUCF|SO2|Infant mortality", US_national_yearly!$D:$AM, 18, FALSE) / VLOOKUP("LULUCF|SO2|Infant mortality", US_national_yearly!$D:$AM, 10, FALSE), 1)</f>
        <v>2.4300563385353783E-7</v>
      </c>
      <c r="K3" s="7">
        <f>$B3 * IFERROR(VLOOKUP("LULUCF|SO2|Infant mortality", US_national_yearly!$D:$AM, 19, FALSE) / VLOOKUP("LULUCF|SO2|Infant mortality", US_national_yearly!$D:$AM, 10, FALSE), 1)</f>
        <v>2.4146181646563928E-7</v>
      </c>
      <c r="L3" s="7">
        <f>$B3 * IFERROR(VLOOKUP("LULUCF|SO2|Infant mortality", US_national_yearly!$D:$AM, 20, FALSE) / VLOOKUP("LULUCF|SO2|Infant mortality", US_national_yearly!$D:$AM, 10, FALSE), 1)</f>
        <v>2.3991799907774078E-7</v>
      </c>
      <c r="M3" s="7">
        <f>$B3 * IFERROR(VLOOKUP("LULUCF|SO2|Infant mortality", US_national_yearly!$D:$AM, 21, FALSE) / VLOOKUP("LULUCF|SO2|Infant mortality", US_national_yearly!$D:$AM, 10, FALSE), 1)</f>
        <v>2.383741816898422E-7</v>
      </c>
      <c r="N3" s="7">
        <f>$B3 * IFERROR(VLOOKUP("LULUCF|SO2|Infant mortality", US_national_yearly!$D:$AM, 22, FALSE) / VLOOKUP("LULUCF|SO2|Infant mortality", US_national_yearly!$D:$AM, 10, FALSE), 1)</f>
        <v>2.3740513907349761E-7</v>
      </c>
      <c r="O3" s="7">
        <f>$B3 * IFERROR(VLOOKUP("LULUCF|SO2|Infant mortality", US_national_yearly!$D:$AM, 23, FALSE) / VLOOKUP("LULUCF|SO2|Infant mortality", US_national_yearly!$D:$AM, 10, FALSE), 1)</f>
        <v>2.3643609645715302E-7</v>
      </c>
      <c r="P3" s="7">
        <f>$B3 * IFERROR(VLOOKUP("LULUCF|SO2|Infant mortality", US_national_yearly!$D:$AM, 24, FALSE) / VLOOKUP("LULUCF|SO2|Infant mortality", US_national_yearly!$D:$AM, 10, FALSE), 1)</f>
        <v>2.3546705384080837E-7</v>
      </c>
      <c r="Q3" s="7">
        <f>$B3 * IFERROR(VLOOKUP("LULUCF|SO2|Infant mortality", US_national_yearly!$D:$AM, 25, FALSE) / VLOOKUP("LULUCF|SO2|Infant mortality", US_national_yearly!$D:$AM, 10, FALSE), 1)</f>
        <v>2.3449801122446378E-7</v>
      </c>
      <c r="R3" s="7">
        <f>$B3 * IFERROR(VLOOKUP("LULUCF|SO2|Infant mortality", US_national_yearly!$D:$AM, 26, FALSE) / VLOOKUP("LULUCF|SO2|Infant mortality", US_national_yearly!$D:$AM, 10, FALSE), 1)</f>
        <v>2.3352896860811914E-7</v>
      </c>
      <c r="S3" s="7">
        <f>$B3 * IFERROR(VLOOKUP("LULUCF|SO2|Infant mortality", US_national_yearly!$D:$AM, 27, FALSE) / VLOOKUP("LULUCF|SO2|Infant mortality", US_national_yearly!$D:$AM, 10, FALSE), 1)</f>
        <v>2.3231227656795861E-7</v>
      </c>
      <c r="T3" s="7">
        <f>$B3 * IFERROR(VLOOKUP("LULUCF|SO2|Infant mortality", US_national_yearly!$D:$AM, 28, FALSE) / VLOOKUP("LULUCF|SO2|Infant mortality", US_national_yearly!$D:$AM, 10, FALSE), 1)</f>
        <v>2.3109558452779808E-7</v>
      </c>
      <c r="U3" s="7">
        <f>$B3 * IFERROR(VLOOKUP("LULUCF|SO2|Infant mortality", US_national_yearly!$D:$AM, 29, FALSE) / VLOOKUP("LULUCF|SO2|Infant mortality", US_national_yearly!$D:$AM, 10, FALSE), 1)</f>
        <v>2.2987889248763745E-7</v>
      </c>
      <c r="V3" s="7">
        <f>$B3 * IFERROR(VLOOKUP("LULUCF|SO2|Infant mortality", US_national_yearly!$D:$AM, 30, FALSE) / VLOOKUP("LULUCF|SO2|Infant mortality", US_national_yearly!$D:$AM, 10, FALSE), 1)</f>
        <v>2.2866220044747697E-7</v>
      </c>
      <c r="W3" s="7">
        <f>$B3 * IFERROR(VLOOKUP("LULUCF|SO2|Infant mortality", US_national_yearly!$D:$AM, 31, FALSE) / VLOOKUP("LULUCF|SO2|Infant mortality", US_national_yearly!$D:$AM, 10, FALSE), 1)</f>
        <v>2.2744550840731639E-7</v>
      </c>
      <c r="X3" s="7">
        <f>$B3 * IFERROR(VLOOKUP("LULUCF|SO2|Infant mortality", US_national_yearly!$D:$AM, 32, FALSE) / VLOOKUP("LULUCF|SO2|Infant mortality", US_national_yearly!$D:$AM, 10, FALSE), 1)</f>
        <v>2.2611528844856813E-7</v>
      </c>
      <c r="Y3" s="7">
        <f>$B3 * IFERROR(VLOOKUP("LULUCF|SO2|Infant mortality", US_national_yearly!$D:$AM, 33, FALSE) / VLOOKUP("LULUCF|SO2|Infant mortality", US_national_yearly!$D:$AM, 10, FALSE), 1)</f>
        <v>2.2478506848981982E-7</v>
      </c>
      <c r="Z3" s="7">
        <f>$B3 * IFERROR(VLOOKUP("LULUCF|SO2|Infant mortality", US_national_yearly!$D:$AM, 34, FALSE) / VLOOKUP("LULUCF|SO2|Infant mortality", US_national_yearly!$D:$AM, 10, FALSE), 1)</f>
        <v>2.2345484853107157E-7</v>
      </c>
      <c r="AA3" s="7">
        <f>$B3 * IFERROR(VLOOKUP("LULUCF|SO2|Infant mortality", US_national_yearly!$D:$AM, 35, FALSE) / VLOOKUP("LULUCF|SO2|Infant mortality", US_national_yearly!$D:$AM, 10, FALSE), 1)</f>
        <v>2.2212462857232326E-7</v>
      </c>
      <c r="AB3" s="7">
        <f>$B3 * IFERROR(VLOOKUP("LULUCF|SO2|Infant mortality", US_national_yearly!$D:$AM, 36, FALSE) / VLOOKUP("LULUCF|SO2|Infant mortality", US_national_yearly!$D:$AM, 10, FALSE), 1)</f>
        <v>2.2079440861357501E-7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8.1885791756636293E-4</v>
      </c>
      <c r="C6" s="7">
        <f>$B6 * IFERROR(VLOOKUP("LULUCF|SO2|Asthma symptoms cough", US_national_yearly!$D:$AM, 11, FALSE) / VLOOKUP("LULUCF|SO2|Asthma symptoms cough", US_national_yearly!$D:$AM, 10, FALSE), 1)</f>
        <v>8.1885791756636293E-4</v>
      </c>
      <c r="D6" s="7">
        <f>$B6 * IFERROR(VLOOKUP("LULUCF|SO2|Asthma symptoms cough", US_national_yearly!$D:$AM, 12, FALSE) / VLOOKUP("LULUCF|SO2|Asthma symptoms cough", US_national_yearly!$D:$AM, 10, FALSE), 1)</f>
        <v>8.1885791756636293E-4</v>
      </c>
      <c r="E6" s="7">
        <f>$B6 * IFERROR(VLOOKUP("LULUCF|SO2|Asthma symptoms cough", US_national_yearly!$D:$AM, 13, FALSE) / VLOOKUP("LULUCF|SO2|Asthma symptoms cough", US_national_yearly!$D:$AM, 10, FALSE), 1)</f>
        <v>8.1885791756636293E-4</v>
      </c>
      <c r="F6" s="7">
        <f>$B6 * IFERROR(VLOOKUP("LULUCF|SO2|Asthma symptoms cough", US_national_yearly!$D:$AM, 14, FALSE) / VLOOKUP("LULUCF|SO2|Asthma symptoms cough", US_national_yearly!$D:$AM, 10, FALSE), 1)</f>
        <v>8.1885791756636293E-4</v>
      </c>
      <c r="G6" s="7">
        <f>$B6 * IFERROR(VLOOKUP("LULUCF|SO2|Asthma symptoms cough", US_national_yearly!$D:$AM, 15, FALSE) / VLOOKUP("LULUCF|SO2|Asthma symptoms cough", US_national_yearly!$D:$AM, 10, FALSE), 1)</f>
        <v>8.1885791756636293E-4</v>
      </c>
      <c r="H6" s="7">
        <f>$B6 * IFERROR(VLOOKUP("LULUCF|SO2|Asthma symptoms cough", US_national_yearly!$D:$AM, 16, FALSE) / VLOOKUP("LULUCF|SO2|Asthma symptoms cough", US_national_yearly!$D:$AM, 10, FALSE), 1)</f>
        <v>8.1885791756636293E-4</v>
      </c>
      <c r="I6" s="7">
        <f>$B6 * IFERROR(VLOOKUP("LULUCF|SO2|Asthma symptoms cough", US_national_yearly!$D:$AM, 17, FALSE) / VLOOKUP("LULUCF|SO2|Asthma symptoms cough", US_national_yearly!$D:$AM, 10, FALSE), 1)</f>
        <v>8.1885791756636293E-4</v>
      </c>
      <c r="J6" s="7">
        <f>$B6 * IFERROR(VLOOKUP("LULUCF|SO2|Asthma symptoms cough", US_national_yearly!$D:$AM, 18, FALSE) / VLOOKUP("LULUCF|SO2|Asthma symptoms cough", US_national_yearly!$D:$AM, 10, FALSE), 1)</f>
        <v>8.1885791756636293E-4</v>
      </c>
      <c r="K6" s="7">
        <f>$B6 * IFERROR(VLOOKUP("LULUCF|SO2|Asthma symptoms cough", US_national_yearly!$D:$AM, 19, FALSE) / VLOOKUP("LULUCF|SO2|Asthma symptoms cough", US_national_yearly!$D:$AM, 10, FALSE), 1)</f>
        <v>8.1885791756636293E-4</v>
      </c>
      <c r="L6" s="7">
        <f>$B6 * IFERROR(VLOOKUP("LULUCF|SO2|Asthma symptoms cough", US_national_yearly!$D:$AM, 20, FALSE) / VLOOKUP("LULUCF|SO2|Asthma symptoms cough", US_national_yearly!$D:$AM, 10, FALSE), 1)</f>
        <v>8.1885791756636293E-4</v>
      </c>
      <c r="M6" s="7">
        <f>$B6 * IFERROR(VLOOKUP("LULUCF|SO2|Asthma symptoms cough", US_national_yearly!$D:$AM, 21, FALSE) / VLOOKUP("LULUCF|SO2|Asthma symptoms cough", US_national_yearly!$D:$AM, 10, FALSE), 1)</f>
        <v>8.1885791756636293E-4</v>
      </c>
      <c r="N6" s="7">
        <f>$B6 * IFERROR(VLOOKUP("LULUCF|SO2|Asthma symptoms cough", US_national_yearly!$D:$AM, 22, FALSE) / VLOOKUP("LULUCF|SO2|Asthma symptoms cough", US_national_yearly!$D:$AM, 10, FALSE), 1)</f>
        <v>8.1885791756636293E-4</v>
      </c>
      <c r="O6" s="7">
        <f>$B6 * IFERROR(VLOOKUP("LULUCF|SO2|Asthma symptoms cough", US_national_yearly!$D:$AM, 23, FALSE) / VLOOKUP("LULUCF|SO2|Asthma symptoms cough", US_national_yearly!$D:$AM, 10, FALSE), 1)</f>
        <v>8.1885791756636293E-4</v>
      </c>
      <c r="P6" s="7">
        <f>$B6 * IFERROR(VLOOKUP("LULUCF|SO2|Asthma symptoms cough", US_national_yearly!$D:$AM, 24, FALSE) / VLOOKUP("LULUCF|SO2|Asthma symptoms cough", US_national_yearly!$D:$AM, 10, FALSE), 1)</f>
        <v>8.1885791756636293E-4</v>
      </c>
      <c r="Q6" s="7">
        <f>$B6 * IFERROR(VLOOKUP("LULUCF|SO2|Asthma symptoms cough", US_national_yearly!$D:$AM, 25, FALSE) / VLOOKUP("LULUCF|SO2|Asthma symptoms cough", US_national_yearly!$D:$AM, 10, FALSE), 1)</f>
        <v>8.1885791756636293E-4</v>
      </c>
      <c r="R6" s="7">
        <f>$B6 * IFERROR(VLOOKUP("LULUCF|SO2|Asthma symptoms cough", US_national_yearly!$D:$AM, 26, FALSE) / VLOOKUP("LULUCF|SO2|Asthma symptoms cough", US_national_yearly!$D:$AM, 10, FALSE), 1)</f>
        <v>8.1885791756636293E-4</v>
      </c>
      <c r="S6" s="7">
        <f>$B6 * IFERROR(VLOOKUP("LULUCF|SO2|Asthma symptoms cough", US_national_yearly!$D:$AM, 27, FALSE) / VLOOKUP("LULUCF|SO2|Asthma symptoms cough", US_national_yearly!$D:$AM, 10, FALSE), 1)</f>
        <v>8.1885791756636293E-4</v>
      </c>
      <c r="T6" s="7">
        <f>$B6 * IFERROR(VLOOKUP("LULUCF|SO2|Asthma symptoms cough", US_national_yearly!$D:$AM, 28, FALSE) / VLOOKUP("LULUCF|SO2|Asthma symptoms cough", US_national_yearly!$D:$AM, 10, FALSE), 1)</f>
        <v>8.1885791756636293E-4</v>
      </c>
      <c r="U6" s="7">
        <f>$B6 * IFERROR(VLOOKUP("LULUCF|SO2|Asthma symptoms cough", US_national_yearly!$D:$AM, 29, FALSE) / VLOOKUP("LULUCF|SO2|Asthma symptoms cough", US_national_yearly!$D:$AM, 10, FALSE), 1)</f>
        <v>8.1885791756636293E-4</v>
      </c>
      <c r="V6" s="7">
        <f>$B6 * IFERROR(VLOOKUP("LULUCF|SO2|Asthma symptoms cough", US_national_yearly!$D:$AM, 30, FALSE) / VLOOKUP("LULUCF|SO2|Asthma symptoms cough", US_national_yearly!$D:$AM, 10, FALSE), 1)</f>
        <v>8.1885791756636293E-4</v>
      </c>
      <c r="W6" s="7">
        <f>$B6 * IFERROR(VLOOKUP("LULUCF|SO2|Asthma symptoms cough", US_national_yearly!$D:$AM, 31, FALSE) / VLOOKUP("LULUCF|SO2|Asthma symptoms cough", US_national_yearly!$D:$AM, 10, FALSE), 1)</f>
        <v>8.1885791756636293E-4</v>
      </c>
      <c r="X6" s="7">
        <f>$B6 * IFERROR(VLOOKUP("LULUCF|SO2|Asthma symptoms cough", US_national_yearly!$D:$AM, 32, FALSE) / VLOOKUP("LULUCF|SO2|Asthma symptoms cough", US_national_yearly!$D:$AM, 10, FALSE), 1)</f>
        <v>8.1885791756636293E-4</v>
      </c>
      <c r="Y6" s="7">
        <f>$B6 * IFERROR(VLOOKUP("LULUCF|SO2|Asthma symptoms cough", US_national_yearly!$D:$AM, 33, FALSE) / VLOOKUP("LULUCF|SO2|Asthma symptoms cough", US_national_yearly!$D:$AM, 10, FALSE), 1)</f>
        <v>8.1885791756636293E-4</v>
      </c>
      <c r="Z6" s="7">
        <f>$B6 * IFERROR(VLOOKUP("LULUCF|SO2|Asthma symptoms cough", US_national_yearly!$D:$AM, 34, FALSE) / VLOOKUP("LULUCF|SO2|Asthma symptoms cough", US_national_yearly!$D:$AM, 10, FALSE), 1)</f>
        <v>8.1885791756636293E-4</v>
      </c>
      <c r="AA6" s="7">
        <f>$B6 * IFERROR(VLOOKUP("LULUCF|SO2|Asthma symptoms cough", US_national_yearly!$D:$AM, 35, FALSE) / VLOOKUP("LULUCF|SO2|Asthma symptoms cough", US_national_yearly!$D:$AM, 10, FALSE), 1)</f>
        <v>8.1885791756636293E-4</v>
      </c>
      <c r="AB6" s="7">
        <f>$B6 * IFERROR(VLOOKUP("LULUCF|SO2|Asthma symptoms cough", US_national_yearly!$D:$AM, 36, FALSE) / VLOOKUP("LULUCF|SO2|Asthma symptoms cough", US_national_yearly!$D:$AM, 10, FALSE), 1)</f>
        <v>8.1885791756636293E-4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1.1027016515630303E-3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1.1027016515630303E-3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1.1027016515630303E-3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1.1027016515630303E-3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1.1027016515630303E-3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1.1027016515630303E-3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1.1027016515630303E-3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1.1027016515630303E-3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1.1027016515630303E-3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1.1027016515630303E-3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1.1027016515630303E-3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1.1027016515630303E-3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1.1027016515630303E-3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1.1027016515630303E-3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1.1027016515630303E-3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1.1027016515630303E-3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1.1027016515630303E-3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1.1027016515630303E-3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1.1027016515630303E-3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1.1027016515630303E-3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1.1027016515630303E-3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1.1027016515630303E-3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1.1027016515630303E-3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1.1027016515630303E-3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1.1027016515630303E-3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1.1027016515630303E-3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1.1027016515630303E-3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1.6847746043236005E-3</v>
      </c>
      <c r="C8" s="7">
        <f>$B8 * IFERROR(VLOOKUP("LULUCF|SO2|Asthma symptoms wheeze", US_national_yearly!$D:$AM, 11, FALSE) / VLOOKUP("LULUCF|SO2|Asthma symptoms wheeze", US_national_yearly!$D:$AM, 10, FALSE), 1)</f>
        <v>1.6847746043236005E-3</v>
      </c>
      <c r="D8" s="7">
        <f>$B8 * IFERROR(VLOOKUP("LULUCF|SO2|Asthma symptoms wheeze", US_national_yearly!$D:$AM, 12, FALSE) / VLOOKUP("LULUCF|SO2|Asthma symptoms wheeze", US_national_yearly!$D:$AM, 10, FALSE), 1)</f>
        <v>1.6847746043236005E-3</v>
      </c>
      <c r="E8" s="7">
        <f>$B8 * IFERROR(VLOOKUP("LULUCF|SO2|Asthma symptoms wheeze", US_national_yearly!$D:$AM, 13, FALSE) / VLOOKUP("LULUCF|SO2|Asthma symptoms wheeze", US_national_yearly!$D:$AM, 10, FALSE), 1)</f>
        <v>1.6847746043236005E-3</v>
      </c>
      <c r="F8" s="7">
        <f>$B8 * IFERROR(VLOOKUP("LULUCF|SO2|Asthma symptoms wheeze", US_national_yearly!$D:$AM, 14, FALSE) / VLOOKUP("LULUCF|SO2|Asthma symptoms wheeze", US_national_yearly!$D:$AM, 10, FALSE), 1)</f>
        <v>1.6847746043236005E-3</v>
      </c>
      <c r="G8" s="7">
        <f>$B8 * IFERROR(VLOOKUP("LULUCF|SO2|Asthma symptoms wheeze", US_national_yearly!$D:$AM, 15, FALSE) / VLOOKUP("LULUCF|SO2|Asthma symptoms wheeze", US_national_yearly!$D:$AM, 10, FALSE), 1)</f>
        <v>1.6847746043236005E-3</v>
      </c>
      <c r="H8" s="7">
        <f>$B8 * IFERROR(VLOOKUP("LULUCF|SO2|Asthma symptoms wheeze", US_national_yearly!$D:$AM, 16, FALSE) / VLOOKUP("LULUCF|SO2|Asthma symptoms wheeze", US_national_yearly!$D:$AM, 10, FALSE), 1)</f>
        <v>1.6847746043236005E-3</v>
      </c>
      <c r="I8" s="7">
        <f>$B8 * IFERROR(VLOOKUP("LULUCF|SO2|Asthma symptoms wheeze", US_national_yearly!$D:$AM, 17, FALSE) / VLOOKUP("LULUCF|SO2|Asthma symptoms wheeze", US_national_yearly!$D:$AM, 10, FALSE), 1)</f>
        <v>1.6847746043236005E-3</v>
      </c>
      <c r="J8" s="7">
        <f>$B8 * IFERROR(VLOOKUP("LULUCF|SO2|Asthma symptoms wheeze", US_national_yearly!$D:$AM, 18, FALSE) / VLOOKUP("LULUCF|SO2|Asthma symptoms wheeze", US_national_yearly!$D:$AM, 10, FALSE), 1)</f>
        <v>1.6847746043236005E-3</v>
      </c>
      <c r="K8" s="7">
        <f>$B8 * IFERROR(VLOOKUP("LULUCF|SO2|Asthma symptoms wheeze", US_national_yearly!$D:$AM, 19, FALSE) / VLOOKUP("LULUCF|SO2|Asthma symptoms wheeze", US_national_yearly!$D:$AM, 10, FALSE), 1)</f>
        <v>1.6847746043236005E-3</v>
      </c>
      <c r="L8" s="7">
        <f>$B8 * IFERROR(VLOOKUP("LULUCF|SO2|Asthma symptoms wheeze", US_national_yearly!$D:$AM, 20, FALSE) / VLOOKUP("LULUCF|SO2|Asthma symptoms wheeze", US_national_yearly!$D:$AM, 10, FALSE), 1)</f>
        <v>1.6847746043236005E-3</v>
      </c>
      <c r="M8" s="7">
        <f>$B8 * IFERROR(VLOOKUP("LULUCF|SO2|Asthma symptoms wheeze", US_national_yearly!$D:$AM, 21, FALSE) / VLOOKUP("LULUCF|SO2|Asthma symptoms wheeze", US_national_yearly!$D:$AM, 10, FALSE), 1)</f>
        <v>1.6847746043236005E-3</v>
      </c>
      <c r="N8" s="7">
        <f>$B8 * IFERROR(VLOOKUP("LULUCF|SO2|Asthma symptoms wheeze", US_national_yearly!$D:$AM, 22, FALSE) / VLOOKUP("LULUCF|SO2|Asthma symptoms wheeze", US_national_yearly!$D:$AM, 10, FALSE), 1)</f>
        <v>1.6847746043236005E-3</v>
      </c>
      <c r="O8" s="7">
        <f>$B8 * IFERROR(VLOOKUP("LULUCF|SO2|Asthma symptoms wheeze", US_national_yearly!$D:$AM, 23, FALSE) / VLOOKUP("LULUCF|SO2|Asthma symptoms wheeze", US_national_yearly!$D:$AM, 10, FALSE), 1)</f>
        <v>1.6847746043236005E-3</v>
      </c>
      <c r="P8" s="7">
        <f>$B8 * IFERROR(VLOOKUP("LULUCF|SO2|Asthma symptoms wheeze", US_national_yearly!$D:$AM, 24, FALSE) / VLOOKUP("LULUCF|SO2|Asthma symptoms wheeze", US_national_yearly!$D:$AM, 10, FALSE), 1)</f>
        <v>1.6847746043236005E-3</v>
      </c>
      <c r="Q8" s="7">
        <f>$B8 * IFERROR(VLOOKUP("LULUCF|SO2|Asthma symptoms wheeze", US_national_yearly!$D:$AM, 25, FALSE) / VLOOKUP("LULUCF|SO2|Asthma symptoms wheeze", US_national_yearly!$D:$AM, 10, FALSE), 1)</f>
        <v>1.6847746043236005E-3</v>
      </c>
      <c r="R8" s="7">
        <f>$B8 * IFERROR(VLOOKUP("LULUCF|SO2|Asthma symptoms wheeze", US_national_yearly!$D:$AM, 26, FALSE) / VLOOKUP("LULUCF|SO2|Asthma symptoms wheeze", US_national_yearly!$D:$AM, 10, FALSE), 1)</f>
        <v>1.6847746043236005E-3</v>
      </c>
      <c r="S8" s="7">
        <f>$B8 * IFERROR(VLOOKUP("LULUCF|SO2|Asthma symptoms wheeze", US_national_yearly!$D:$AM, 27, FALSE) / VLOOKUP("LULUCF|SO2|Asthma symptoms wheeze", US_national_yearly!$D:$AM, 10, FALSE), 1)</f>
        <v>1.6847746043236005E-3</v>
      </c>
      <c r="T8" s="7">
        <f>$B8 * IFERROR(VLOOKUP("LULUCF|SO2|Asthma symptoms wheeze", US_national_yearly!$D:$AM, 28, FALSE) / VLOOKUP("LULUCF|SO2|Asthma symptoms wheeze", US_national_yearly!$D:$AM, 10, FALSE), 1)</f>
        <v>1.6847746043236005E-3</v>
      </c>
      <c r="U8" s="7">
        <f>$B8 * IFERROR(VLOOKUP("LULUCF|SO2|Asthma symptoms wheeze", US_national_yearly!$D:$AM, 29, FALSE) / VLOOKUP("LULUCF|SO2|Asthma symptoms wheeze", US_national_yearly!$D:$AM, 10, FALSE), 1)</f>
        <v>1.6847746043236005E-3</v>
      </c>
      <c r="V8" s="7">
        <f>$B8 * IFERROR(VLOOKUP("LULUCF|SO2|Asthma symptoms wheeze", US_national_yearly!$D:$AM, 30, FALSE) / VLOOKUP("LULUCF|SO2|Asthma symptoms wheeze", US_national_yearly!$D:$AM, 10, FALSE), 1)</f>
        <v>1.6847746043236005E-3</v>
      </c>
      <c r="W8" s="7">
        <f>$B8 * IFERROR(VLOOKUP("LULUCF|SO2|Asthma symptoms wheeze", US_national_yearly!$D:$AM, 31, FALSE) / VLOOKUP("LULUCF|SO2|Asthma symptoms wheeze", US_national_yearly!$D:$AM, 10, FALSE), 1)</f>
        <v>1.6847746043236005E-3</v>
      </c>
      <c r="X8" s="7">
        <f>$B8 * IFERROR(VLOOKUP("LULUCF|SO2|Asthma symptoms wheeze", US_national_yearly!$D:$AM, 32, FALSE) / VLOOKUP("LULUCF|SO2|Asthma symptoms wheeze", US_national_yearly!$D:$AM, 10, FALSE), 1)</f>
        <v>1.6847746043236005E-3</v>
      </c>
      <c r="Y8" s="7">
        <f>$B8 * IFERROR(VLOOKUP("LULUCF|SO2|Asthma symptoms wheeze", US_national_yearly!$D:$AM, 33, FALSE) / VLOOKUP("LULUCF|SO2|Asthma symptoms wheeze", US_national_yearly!$D:$AM, 10, FALSE), 1)</f>
        <v>1.6847746043236005E-3</v>
      </c>
      <c r="Z8" s="7">
        <f>$B8 * IFERROR(VLOOKUP("LULUCF|SO2|Asthma symptoms wheeze", US_national_yearly!$D:$AM, 34, FALSE) / VLOOKUP("LULUCF|SO2|Asthma symptoms wheeze", US_national_yearly!$D:$AM, 10, FALSE), 1)</f>
        <v>1.6847746043236005E-3</v>
      </c>
      <c r="AA8" s="7">
        <f>$B8 * IFERROR(VLOOKUP("LULUCF|SO2|Asthma symptoms wheeze", US_national_yearly!$D:$AM, 35, FALSE) / VLOOKUP("LULUCF|SO2|Asthma symptoms wheeze", US_national_yearly!$D:$AM, 10, FALSE), 1)</f>
        <v>1.6847746043236005E-3</v>
      </c>
      <c r="AB8" s="7">
        <f>$B8 * IFERROR(VLOOKUP("LULUCF|SO2|Asthma symptoms wheeze", US_national_yearly!$D:$AM, 36, FALSE) / VLOOKUP("LULUCF|SO2|Asthma symptoms wheeze", US_national_yearly!$D:$AM, 10, FALSE), 1)</f>
        <v>1.6847746043236005E-3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2.6330515938844077E-5</v>
      </c>
      <c r="C12" s="7">
        <f>$B12 * IFERROR(VLOOKUP("LULUCF|SO2|Respiratory hospital admissions", US_national_yearly!$D:$AM, 11, FALSE) / VLOOKUP("LULUCF|SO2|Respiratory hospital admissions", US_national_yearly!$D:$AM, 10, FALSE), 1)</f>
        <v>2.6485814630343723E-5</v>
      </c>
      <c r="D12" s="7">
        <f>$B12 * IFERROR(VLOOKUP("LULUCF|SO2|Respiratory hospital admissions", US_national_yearly!$D:$AM, 12, FALSE) / VLOOKUP("LULUCF|SO2|Respiratory hospital admissions", US_national_yearly!$D:$AM, 10, FALSE), 1)</f>
        <v>2.6641113321843369E-5</v>
      </c>
      <c r="E12" s="7">
        <f>$B12 * IFERROR(VLOOKUP("LULUCF|SO2|Respiratory hospital admissions", US_national_yearly!$D:$AM, 13, FALSE) / VLOOKUP("LULUCF|SO2|Respiratory hospital admissions", US_national_yearly!$D:$AM, 10, FALSE), 1)</f>
        <v>2.6796412013343015E-5</v>
      </c>
      <c r="F12" s="7">
        <f>$B12 * IFERROR(VLOOKUP("LULUCF|SO2|Respiratory hospital admissions", US_national_yearly!$D:$AM, 14, FALSE) / VLOOKUP("LULUCF|SO2|Respiratory hospital admissions", US_national_yearly!$D:$AM, 10, FALSE), 1)</f>
        <v>2.695171070484266E-5</v>
      </c>
      <c r="G12" s="7">
        <f>$B12 * IFERROR(VLOOKUP("LULUCF|SO2|Respiratory hospital admissions", US_national_yearly!$D:$AM, 15, FALSE) / VLOOKUP("LULUCF|SO2|Respiratory hospital admissions", US_national_yearly!$D:$AM, 10, FALSE), 1)</f>
        <v>2.7121012472962049E-5</v>
      </c>
      <c r="H12" s="7">
        <f>$B12 * IFERROR(VLOOKUP("LULUCF|SO2|Respiratory hospital admissions", US_national_yearly!$D:$AM, 16, FALSE) / VLOOKUP("LULUCF|SO2|Respiratory hospital admissions", US_national_yearly!$D:$AM, 10, FALSE), 1)</f>
        <v>2.7290314241081437E-5</v>
      </c>
      <c r="I12" s="7">
        <f>$B12 * IFERROR(VLOOKUP("LULUCF|SO2|Respiratory hospital admissions", US_national_yearly!$D:$AM, 17, FALSE) / VLOOKUP("LULUCF|SO2|Respiratory hospital admissions", US_national_yearly!$D:$AM, 10, FALSE), 1)</f>
        <v>2.7457265942214964E-5</v>
      </c>
      <c r="J12" s="7">
        <f>$B12 * IFERROR(VLOOKUP("LULUCF|SO2|Respiratory hospital admissions", US_national_yearly!$D:$AM, 18, FALSE) / VLOOKUP("LULUCF|SO2|Respiratory hospital admissions", US_national_yearly!$D:$AM, 10, FALSE), 1)</f>
        <v>2.7624217643348498E-5</v>
      </c>
      <c r="K12" s="7">
        <f>$B12 * IFERROR(VLOOKUP("LULUCF|SO2|Respiratory hospital admissions", US_national_yearly!$D:$AM, 19, FALSE) / VLOOKUP("LULUCF|SO2|Respiratory hospital admissions", US_national_yearly!$D:$AM, 10, FALSE), 1)</f>
        <v>2.7791169344482022E-5</v>
      </c>
      <c r="L12" s="7">
        <f>$B12 * IFERROR(VLOOKUP("LULUCF|SO2|Respiratory hospital admissions", US_national_yearly!$D:$AM, 20, FALSE) / VLOOKUP("LULUCF|SO2|Respiratory hospital admissions", US_national_yearly!$D:$AM, 10, FALSE), 1)</f>
        <v>2.7958121045615557E-5</v>
      </c>
      <c r="M12" s="7">
        <f>$B12 * IFERROR(VLOOKUP("LULUCF|SO2|Respiratory hospital admissions", US_national_yearly!$D:$AM, 21, FALSE) / VLOOKUP("LULUCF|SO2|Respiratory hospital admissions", US_national_yearly!$D:$AM, 10, FALSE), 1)</f>
        <v>2.8125072746749081E-5</v>
      </c>
      <c r="N12" s="7">
        <f>$B12 * IFERROR(VLOOKUP("LULUCF|SO2|Respiratory hospital admissions", US_national_yearly!$D:$AM, 22, FALSE) / VLOOKUP("LULUCF|SO2|Respiratory hospital admissions", US_national_yearly!$D:$AM, 10, FALSE), 1)</f>
        <v>2.8246942335011665E-5</v>
      </c>
      <c r="O12" s="7">
        <f>$B12 * IFERROR(VLOOKUP("LULUCF|SO2|Respiratory hospital admissions", US_national_yearly!$D:$AM, 23, FALSE) / VLOOKUP("LULUCF|SO2|Respiratory hospital admissions", US_national_yearly!$D:$AM, 10, FALSE), 1)</f>
        <v>2.8368811923274246E-5</v>
      </c>
      <c r="P12" s="7">
        <f>$B12 * IFERROR(VLOOKUP("LULUCF|SO2|Respiratory hospital admissions", US_national_yearly!$D:$AM, 24, FALSE) / VLOOKUP("LULUCF|SO2|Respiratory hospital admissions", US_national_yearly!$D:$AM, 10, FALSE), 1)</f>
        <v>2.8490681511536827E-5</v>
      </c>
      <c r="Q12" s="7">
        <f>$B12 * IFERROR(VLOOKUP("LULUCF|SO2|Respiratory hospital admissions", US_national_yearly!$D:$AM, 25, FALSE) / VLOOKUP("LULUCF|SO2|Respiratory hospital admissions", US_national_yearly!$D:$AM, 10, FALSE), 1)</f>
        <v>2.8612551099799411E-5</v>
      </c>
      <c r="R12" s="7">
        <f>$B12 * IFERROR(VLOOKUP("LULUCF|SO2|Respiratory hospital admissions", US_national_yearly!$D:$AM, 26, FALSE) / VLOOKUP("LULUCF|SO2|Respiratory hospital admissions", US_national_yearly!$D:$AM, 10, FALSE), 1)</f>
        <v>2.8734420688061992E-5</v>
      </c>
      <c r="S12" s="7">
        <f>$B12 * IFERROR(VLOOKUP("LULUCF|SO2|Respiratory hospital admissions", US_national_yearly!$D:$AM, 27, FALSE) / VLOOKUP("LULUCF|SO2|Respiratory hospital admissions", US_national_yearly!$D:$AM, 10, FALSE), 1)</f>
        <v>2.8850674976352517E-5</v>
      </c>
      <c r="T12" s="7">
        <f>$B12 * IFERROR(VLOOKUP("LULUCF|SO2|Respiratory hospital admissions", US_national_yearly!$D:$AM, 28, FALSE) / VLOOKUP("LULUCF|SO2|Respiratory hospital admissions", US_national_yearly!$D:$AM, 10, FALSE), 1)</f>
        <v>2.8966929264643035E-5</v>
      </c>
      <c r="U12" s="7">
        <f>$B12 * IFERROR(VLOOKUP("LULUCF|SO2|Respiratory hospital admissions", US_national_yearly!$D:$AM, 29, FALSE) / VLOOKUP("LULUCF|SO2|Respiratory hospital admissions", US_national_yearly!$D:$AM, 10, FALSE), 1)</f>
        <v>2.908318355293356E-5</v>
      </c>
      <c r="V12" s="7">
        <f>$B12 * IFERROR(VLOOKUP("LULUCF|SO2|Respiratory hospital admissions", US_national_yearly!$D:$AM, 30, FALSE) / VLOOKUP("LULUCF|SO2|Respiratory hospital admissions", US_national_yearly!$D:$AM, 10, FALSE), 1)</f>
        <v>2.9199437841224085E-5</v>
      </c>
      <c r="W12" s="7">
        <f>$B12 * IFERROR(VLOOKUP("LULUCF|SO2|Respiratory hospital admissions", US_national_yearly!$D:$AM, 31, FALSE) / VLOOKUP("LULUCF|SO2|Respiratory hospital admissions", US_national_yearly!$D:$AM, 10, FALSE), 1)</f>
        <v>2.931569212951461E-5</v>
      </c>
      <c r="X12" s="7">
        <f>$B12 * IFERROR(VLOOKUP("LULUCF|SO2|Respiratory hospital admissions", US_national_yearly!$D:$AM, 32, FALSE) / VLOOKUP("LULUCF|SO2|Respiratory hospital admissions", US_national_yearly!$D:$AM, 10, FALSE), 1)</f>
        <v>2.9425998362416433E-5</v>
      </c>
      <c r="Y12" s="7">
        <f>$B12 * IFERROR(VLOOKUP("LULUCF|SO2|Respiratory hospital admissions", US_national_yearly!$D:$AM, 33, FALSE) / VLOOKUP("LULUCF|SO2|Respiratory hospital admissions", US_national_yearly!$D:$AM, 10, FALSE), 1)</f>
        <v>2.9536304595318253E-5</v>
      </c>
      <c r="Z12" s="7">
        <f>$B12 * IFERROR(VLOOKUP("LULUCF|SO2|Respiratory hospital admissions", US_national_yearly!$D:$AM, 34, FALSE) / VLOOKUP("LULUCF|SO2|Respiratory hospital admissions", US_national_yearly!$D:$AM, 10, FALSE), 1)</f>
        <v>2.9646610828220077E-5</v>
      </c>
      <c r="AA12" s="7">
        <f>$B12 * IFERROR(VLOOKUP("LULUCF|SO2|Respiratory hospital admissions", US_national_yearly!$D:$AM, 35, FALSE) / VLOOKUP("LULUCF|SO2|Respiratory hospital admissions", US_national_yearly!$D:$AM, 10, FALSE), 1)</f>
        <v>2.9756917061121897E-5</v>
      </c>
      <c r="AB12" s="7">
        <f>$B12 * IFERROR(VLOOKUP("LULUCF|SO2|Respiratory hospital admissions", US_national_yearly!$D:$AM, 36, FALSE) / VLOOKUP("LULUCF|SO2|Respiratory hospital admissions", US_national_yearly!$D:$AM, 10, FALSE), 1)</f>
        <v>2.9867223294023727E-5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1.6612388184738175E-4</v>
      </c>
      <c r="C13" s="7">
        <f>$B13 * IFERROR(VLOOKUP("LULUCF|SO2|Non-fatal heart attacks", US_national_yearly!$D:$AM, 11, FALSE) / VLOOKUP("LULUCF|SO2|Non-fatal heart attacks", US_national_yearly!$D:$AM, 10, FALSE), 1)</f>
        <v>1.7100067562339738E-4</v>
      </c>
      <c r="D13" s="7">
        <f>$B13 * IFERROR(VLOOKUP("LULUCF|SO2|Non-fatal heart attacks", US_national_yearly!$D:$AM, 12, FALSE) / VLOOKUP("LULUCF|SO2|Non-fatal heart attacks", US_national_yearly!$D:$AM, 10, FALSE), 1)</f>
        <v>1.7587746939941304E-4</v>
      </c>
      <c r="E13" s="7">
        <f>$B13 * IFERROR(VLOOKUP("LULUCF|SO2|Non-fatal heart attacks", US_national_yearly!$D:$AM, 13, FALSE) / VLOOKUP("LULUCF|SO2|Non-fatal heart attacks", US_national_yearly!$D:$AM, 10, FALSE), 1)</f>
        <v>1.8075426317542867E-4</v>
      </c>
      <c r="F13" s="7">
        <f>$B13 * IFERROR(VLOOKUP("LULUCF|SO2|Non-fatal heart attacks", US_national_yearly!$D:$AM, 14, FALSE) / VLOOKUP("LULUCF|SO2|Non-fatal heart attacks", US_national_yearly!$D:$AM, 10, FALSE), 1)</f>
        <v>1.8563105695144428E-4</v>
      </c>
      <c r="G13" s="7">
        <f>$B13 * IFERROR(VLOOKUP("LULUCF|SO2|Non-fatal heart attacks", US_national_yearly!$D:$AM, 15, FALSE) / VLOOKUP("LULUCF|SO2|Non-fatal heart attacks", US_national_yearly!$D:$AM, 10, FALSE), 1)</f>
        <v>1.9023032583248377E-4</v>
      </c>
      <c r="H13" s="7">
        <f>$B13 * IFERROR(VLOOKUP("LULUCF|SO2|Non-fatal heart attacks", US_national_yearly!$D:$AM, 16, FALSE) / VLOOKUP("LULUCF|SO2|Non-fatal heart attacks", US_national_yearly!$D:$AM, 10, FALSE), 1)</f>
        <v>1.9482959471352326E-4</v>
      </c>
      <c r="I13" s="7">
        <f>$B13 * IFERROR(VLOOKUP("LULUCF|SO2|Non-fatal heart attacks", US_national_yearly!$D:$AM, 17, FALSE) / VLOOKUP("LULUCF|SO2|Non-fatal heart attacks", US_national_yearly!$D:$AM, 10, FALSE), 1)</f>
        <v>1.9853056435864791E-4</v>
      </c>
      <c r="J13" s="7">
        <f>$B13 * IFERROR(VLOOKUP("LULUCF|SO2|Non-fatal heart attacks", US_national_yearly!$D:$AM, 18, FALSE) / VLOOKUP("LULUCF|SO2|Non-fatal heart attacks", US_national_yearly!$D:$AM, 10, FALSE), 1)</f>
        <v>2.0223153400377255E-4</v>
      </c>
      <c r="K13" s="7">
        <f>$B13 * IFERROR(VLOOKUP("LULUCF|SO2|Non-fatal heart attacks", US_national_yearly!$D:$AM, 19, FALSE) / VLOOKUP("LULUCF|SO2|Non-fatal heart attacks", US_national_yearly!$D:$AM, 10, FALSE), 1)</f>
        <v>2.059325036488972E-4</v>
      </c>
      <c r="L13" s="7">
        <f>$B13 * IFERROR(VLOOKUP("LULUCF|SO2|Non-fatal heart attacks", US_national_yearly!$D:$AM, 20, FALSE) / VLOOKUP("LULUCF|SO2|Non-fatal heart attacks", US_national_yearly!$D:$AM, 10, FALSE), 1)</f>
        <v>2.096334732940219E-4</v>
      </c>
      <c r="M13" s="7">
        <f>$B13 * IFERROR(VLOOKUP("LULUCF|SO2|Non-fatal heart attacks", US_national_yearly!$D:$AM, 21, FALSE) / VLOOKUP("LULUCF|SO2|Non-fatal heart attacks", US_national_yearly!$D:$AM, 10, FALSE), 1)</f>
        <v>2.1333444293914657E-4</v>
      </c>
      <c r="N13" s="7">
        <f>$B13 * IFERROR(VLOOKUP("LULUCF|SO2|Non-fatal heart attacks", US_national_yearly!$D:$AM, 22, FALSE) / VLOOKUP("LULUCF|SO2|Non-fatal heart attacks", US_national_yearly!$D:$AM, 10, FALSE), 1)</f>
        <v>2.1573752724337168E-4</v>
      </c>
      <c r="O13" s="7">
        <f>$B13 * IFERROR(VLOOKUP("LULUCF|SO2|Non-fatal heart attacks", US_national_yearly!$D:$AM, 23, FALSE) / VLOOKUP("LULUCF|SO2|Non-fatal heart attacks", US_national_yearly!$D:$AM, 10, FALSE), 1)</f>
        <v>2.1814061154759685E-4</v>
      </c>
      <c r="P13" s="7">
        <f>$B13 * IFERROR(VLOOKUP("LULUCF|SO2|Non-fatal heart attacks", US_national_yearly!$D:$AM, 24, FALSE) / VLOOKUP("LULUCF|SO2|Non-fatal heart attacks", US_national_yearly!$D:$AM, 10, FALSE), 1)</f>
        <v>2.2054369585182201E-4</v>
      </c>
      <c r="Q13" s="7">
        <f>$B13 * IFERROR(VLOOKUP("LULUCF|SO2|Non-fatal heart attacks", US_national_yearly!$D:$AM, 25, FALSE) / VLOOKUP("LULUCF|SO2|Non-fatal heart attacks", US_national_yearly!$D:$AM, 10, FALSE), 1)</f>
        <v>2.2294678015604715E-4</v>
      </c>
      <c r="R13" s="7">
        <f>$B13 * IFERROR(VLOOKUP("LULUCF|SO2|Non-fatal heart attacks", US_national_yearly!$D:$AM, 26, FALSE) / VLOOKUP("LULUCF|SO2|Non-fatal heart attacks", US_national_yearly!$D:$AM, 10, FALSE), 1)</f>
        <v>2.2534986446027229E-4</v>
      </c>
      <c r="S13" s="7">
        <f>$B13 * IFERROR(VLOOKUP("LULUCF|SO2|Non-fatal heart attacks", US_national_yearly!$D:$AM, 27, FALSE) / VLOOKUP("LULUCF|SO2|Non-fatal heart attacks", US_national_yearly!$D:$AM, 10, FALSE), 1)</f>
        <v>2.2660450125866599E-4</v>
      </c>
      <c r="T13" s="7">
        <f>$B13 * IFERROR(VLOOKUP("LULUCF|SO2|Non-fatal heart attacks", US_national_yearly!$D:$AM, 28, FALSE) / VLOOKUP("LULUCF|SO2|Non-fatal heart attacks", US_national_yearly!$D:$AM, 10, FALSE), 1)</f>
        <v>2.2785913805705967E-4</v>
      </c>
      <c r="U13" s="7">
        <f>$B13 * IFERROR(VLOOKUP("LULUCF|SO2|Non-fatal heart attacks", US_national_yearly!$D:$AM, 29, FALSE) / VLOOKUP("LULUCF|SO2|Non-fatal heart attacks", US_national_yearly!$D:$AM, 10, FALSE), 1)</f>
        <v>2.2911377485545332E-4</v>
      </c>
      <c r="V13" s="7">
        <f>$B13 * IFERROR(VLOOKUP("LULUCF|SO2|Non-fatal heart attacks", US_national_yearly!$D:$AM, 30, FALSE) / VLOOKUP("LULUCF|SO2|Non-fatal heart attacks", US_national_yearly!$D:$AM, 10, FALSE), 1)</f>
        <v>2.3036841165384697E-4</v>
      </c>
      <c r="W13" s="7">
        <f>$B13 * IFERROR(VLOOKUP("LULUCF|SO2|Non-fatal heart attacks", US_national_yearly!$D:$AM, 31, FALSE) / VLOOKUP("LULUCF|SO2|Non-fatal heart attacks", US_national_yearly!$D:$AM, 10, FALSE), 1)</f>
        <v>2.316230484522407E-4</v>
      </c>
      <c r="X13" s="7">
        <f>$B13 * IFERROR(VLOOKUP("LULUCF|SO2|Non-fatal heart attacks", US_national_yearly!$D:$AM, 32, FALSE) / VLOOKUP("LULUCF|SO2|Non-fatal heart attacks", US_national_yearly!$D:$AM, 10, FALSE), 1)</f>
        <v>2.3257018948711532E-4</v>
      </c>
      <c r="Y13" s="7">
        <f>$B13 * IFERROR(VLOOKUP("LULUCF|SO2|Non-fatal heart attacks", US_national_yearly!$D:$AM, 33, FALSE) / VLOOKUP("LULUCF|SO2|Non-fatal heart attacks", US_national_yearly!$D:$AM, 10, FALSE), 1)</f>
        <v>2.3351733052198997E-4</v>
      </c>
      <c r="Z13" s="7">
        <f>$B13 * IFERROR(VLOOKUP("LULUCF|SO2|Non-fatal heart attacks", US_national_yearly!$D:$AM, 34, FALSE) / VLOOKUP("LULUCF|SO2|Non-fatal heart attacks", US_national_yearly!$D:$AM, 10, FALSE), 1)</f>
        <v>2.3446447155686458E-4</v>
      </c>
      <c r="AA13" s="7">
        <f>$B13 * IFERROR(VLOOKUP("LULUCF|SO2|Non-fatal heart attacks", US_national_yearly!$D:$AM, 35, FALSE) / VLOOKUP("LULUCF|SO2|Non-fatal heart attacks", US_national_yearly!$D:$AM, 10, FALSE), 1)</f>
        <v>2.354116125917392E-4</v>
      </c>
      <c r="AB13" s="7">
        <f>$B13 * IFERROR(VLOOKUP("LULUCF|SO2|Non-fatal heart attacks", US_national_yearly!$D:$AM, 36, FALSE) / VLOOKUP("LULUCF|SO2|Non-fatal heart attacks", US_national_yearly!$D:$AM, 10, FALSE), 1)</f>
        <v>2.3635875362661385E-4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0.10819775385560952</v>
      </c>
      <c r="C14" s="7">
        <f>$B14 * IFERROR(VLOOKUP("LULUCF|SO2|Minor restricted activity days", US_national_yearly!$D:$AM, 11, FALSE) / VLOOKUP("LULUCF|SO2|Minor restricted activity days", US_national_yearly!$D:$AM, 10, FALSE), 1)</f>
        <v>0.10847048434241863</v>
      </c>
      <c r="D14" s="7">
        <f>$B14 * IFERROR(VLOOKUP("LULUCF|SO2|Minor restricted activity days", US_national_yearly!$D:$AM, 12, FALSE) / VLOOKUP("LULUCF|SO2|Minor restricted activity days", US_national_yearly!$D:$AM, 10, FALSE), 1)</f>
        <v>0.10874321482922771</v>
      </c>
      <c r="E14" s="7">
        <f>$B14 * IFERROR(VLOOKUP("LULUCF|SO2|Minor restricted activity days", US_national_yearly!$D:$AM, 13, FALSE) / VLOOKUP("LULUCF|SO2|Minor restricted activity days", US_national_yearly!$D:$AM, 10, FALSE), 1)</f>
        <v>0.10901594531603681</v>
      </c>
      <c r="F14" s="7">
        <f>$B14 * IFERROR(VLOOKUP("LULUCF|SO2|Minor restricted activity days", US_national_yearly!$D:$AM, 14, FALSE) / VLOOKUP("LULUCF|SO2|Minor restricted activity days", US_national_yearly!$D:$AM, 10, FALSE), 1)</f>
        <v>0.10928867580284589</v>
      </c>
      <c r="G14" s="7">
        <f>$B14 * IFERROR(VLOOKUP("LULUCF|SO2|Minor restricted activity days", US_national_yearly!$D:$AM, 15, FALSE) / VLOOKUP("LULUCF|SO2|Minor restricted activity days", US_national_yearly!$D:$AM, 10, FALSE), 1)</f>
        <v>0.10969010828623625</v>
      </c>
      <c r="H14" s="7">
        <f>$B14 * IFERROR(VLOOKUP("LULUCF|SO2|Minor restricted activity days", US_national_yearly!$D:$AM, 16, FALSE) / VLOOKUP("LULUCF|SO2|Minor restricted activity days", US_national_yearly!$D:$AM, 10, FALSE), 1)</f>
        <v>0.1100915407696266</v>
      </c>
      <c r="I14" s="7">
        <f>$B14 * IFERROR(VLOOKUP("LULUCF|SO2|Minor restricted activity days", US_national_yearly!$D:$AM, 17, FALSE) / VLOOKUP("LULUCF|SO2|Minor restricted activity days", US_national_yearly!$D:$AM, 10, FALSE), 1)</f>
        <v>0.11077614645215739</v>
      </c>
      <c r="J14" s="7">
        <f>$B14 * IFERROR(VLOOKUP("LULUCF|SO2|Minor restricted activity days", US_national_yearly!$D:$AM, 18, FALSE) / VLOOKUP("LULUCF|SO2|Minor restricted activity days", US_national_yearly!$D:$AM, 10, FALSE), 1)</f>
        <v>0.11146075213468819</v>
      </c>
      <c r="K14" s="7">
        <f>$B14 * IFERROR(VLOOKUP("LULUCF|SO2|Minor restricted activity days", US_national_yearly!$D:$AM, 19, FALSE) / VLOOKUP("LULUCF|SO2|Minor restricted activity days", US_national_yearly!$D:$AM, 10, FALSE), 1)</f>
        <v>0.11214535781721899</v>
      </c>
      <c r="L14" s="7">
        <f>$B14 * IFERROR(VLOOKUP("LULUCF|SO2|Minor restricted activity days", US_national_yearly!$D:$AM, 20, FALSE) / VLOOKUP("LULUCF|SO2|Minor restricted activity days", US_national_yearly!$D:$AM, 10, FALSE), 1)</f>
        <v>0.11282996349974977</v>
      </c>
      <c r="M14" s="7">
        <f>$B14 * IFERROR(VLOOKUP("LULUCF|SO2|Minor restricted activity days", US_national_yearly!$D:$AM, 21, FALSE) / VLOOKUP("LULUCF|SO2|Minor restricted activity days", US_national_yearly!$D:$AM, 10, FALSE), 1)</f>
        <v>0.11351456918228056</v>
      </c>
      <c r="N14" s="7">
        <f>$B14 * IFERROR(VLOOKUP("LULUCF|SO2|Minor restricted activity days", US_national_yearly!$D:$AM, 22, FALSE) / VLOOKUP("LULUCF|SO2|Minor restricted activity days", US_national_yearly!$D:$AM, 10, FALSE), 1)</f>
        <v>0.11445099990485426</v>
      </c>
      <c r="O14" s="7">
        <f>$B14 * IFERROR(VLOOKUP("LULUCF|SO2|Minor restricted activity days", US_national_yearly!$D:$AM, 23, FALSE) / VLOOKUP("LULUCF|SO2|Minor restricted activity days", US_national_yearly!$D:$AM, 10, FALSE), 1)</f>
        <v>0.11538743062742796</v>
      </c>
      <c r="P14" s="7">
        <f>$B14 * IFERROR(VLOOKUP("LULUCF|SO2|Minor restricted activity days", US_national_yearly!$D:$AM, 24, FALSE) / VLOOKUP("LULUCF|SO2|Minor restricted activity days", US_national_yearly!$D:$AM, 10, FALSE), 1)</f>
        <v>0.11632386135000165</v>
      </c>
      <c r="Q14" s="7">
        <f>$B14 * IFERROR(VLOOKUP("LULUCF|SO2|Minor restricted activity days", US_national_yearly!$D:$AM, 25, FALSE) / VLOOKUP("LULUCF|SO2|Minor restricted activity days", US_national_yearly!$D:$AM, 10, FALSE), 1)</f>
        <v>0.11726029207257535</v>
      </c>
      <c r="R14" s="7">
        <f>$B14 * IFERROR(VLOOKUP("LULUCF|SO2|Minor restricted activity days", US_national_yearly!$D:$AM, 26, FALSE) / VLOOKUP("LULUCF|SO2|Minor restricted activity days", US_national_yearly!$D:$AM, 10, FALSE), 1)</f>
        <v>0.11819672279514905</v>
      </c>
      <c r="S14" s="7">
        <f>$B14 * IFERROR(VLOOKUP("LULUCF|SO2|Minor restricted activity days", US_national_yearly!$D:$AM, 27, FALSE) / VLOOKUP("LULUCF|SO2|Minor restricted activity days", US_national_yearly!$D:$AM, 10, FALSE), 1)</f>
        <v>0.11915150556896313</v>
      </c>
      <c r="T14" s="7">
        <f>$B14 * IFERROR(VLOOKUP("LULUCF|SO2|Minor restricted activity days", US_national_yearly!$D:$AM, 28, FALSE) / VLOOKUP("LULUCF|SO2|Minor restricted activity days", US_national_yearly!$D:$AM, 10, FALSE), 1)</f>
        <v>0.12010628834277721</v>
      </c>
      <c r="U14" s="7">
        <f>$B14 * IFERROR(VLOOKUP("LULUCF|SO2|Minor restricted activity days", US_national_yearly!$D:$AM, 29, FALSE) / VLOOKUP("LULUCF|SO2|Minor restricted activity days", US_national_yearly!$D:$AM, 10, FALSE), 1)</f>
        <v>0.12106107111659128</v>
      </c>
      <c r="V14" s="7">
        <f>$B14 * IFERROR(VLOOKUP("LULUCF|SO2|Minor restricted activity days", US_national_yearly!$D:$AM, 30, FALSE) / VLOOKUP("LULUCF|SO2|Minor restricted activity days", US_national_yearly!$D:$AM, 10, FALSE), 1)</f>
        <v>0.12201585389040537</v>
      </c>
      <c r="W14" s="7">
        <f>$B14 * IFERROR(VLOOKUP("LULUCF|SO2|Minor restricted activity days", US_national_yearly!$D:$AM, 31, FALSE) / VLOOKUP("LULUCF|SO2|Minor restricted activity days", US_national_yearly!$D:$AM, 10, FALSE), 1)</f>
        <v>0.12297063666421947</v>
      </c>
      <c r="X14" s="7">
        <f>$B14 * IFERROR(VLOOKUP("LULUCF|SO2|Minor restricted activity days", US_national_yearly!$D:$AM, 32, FALSE) / VLOOKUP("LULUCF|SO2|Minor restricted activity days", US_national_yearly!$D:$AM, 10, FALSE), 1)</f>
        <v>0.12381029202827978</v>
      </c>
      <c r="Y14" s="7">
        <f>$B14 * IFERROR(VLOOKUP("LULUCF|SO2|Minor restricted activity days", US_national_yearly!$D:$AM, 33, FALSE) / VLOOKUP("LULUCF|SO2|Minor restricted activity days", US_national_yearly!$D:$AM, 10, FALSE), 1)</f>
        <v>0.12464994739234009</v>
      </c>
      <c r="Z14" s="7">
        <f>$B14 * IFERROR(VLOOKUP("LULUCF|SO2|Minor restricted activity days", US_national_yearly!$D:$AM, 34, FALSE) / VLOOKUP("LULUCF|SO2|Minor restricted activity days", US_national_yearly!$D:$AM, 10, FALSE), 1)</f>
        <v>0.12548960275640042</v>
      </c>
      <c r="AA14" s="7">
        <f>$B14 * IFERROR(VLOOKUP("LULUCF|SO2|Minor restricted activity days", US_national_yearly!$D:$AM, 35, FALSE) / VLOOKUP("LULUCF|SO2|Minor restricted activity days", US_national_yearly!$D:$AM, 10, FALSE), 1)</f>
        <v>0.12632925812046072</v>
      </c>
      <c r="AB14" s="7">
        <f>$B14 * IFERROR(VLOOKUP("LULUCF|SO2|Minor restricted activity days", US_national_yearly!$D:$AM, 36, FALSE) / VLOOKUP("LULUCF|SO2|Minor restricted activity days", US_national_yearly!$D:$AM, 10, FALSE), 1)</f>
        <v>0.12716891348452106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1.8243692661772129E-2</v>
      </c>
      <c r="C15" s="7">
        <f>$B15 * IFERROR(VLOOKUP("LULUCF|SO2|Work loss days", US_national_yearly!$D:$AM, 11, FALSE) / VLOOKUP("LULUCF|SO2|Work loss days", US_national_yearly!$D:$AM, 10, FALSE), 1)</f>
        <v>1.8302799326417804E-2</v>
      </c>
      <c r="D15" s="7">
        <f>$B15 * IFERROR(VLOOKUP("LULUCF|SO2|Work loss days", US_national_yearly!$D:$AM, 12, FALSE) / VLOOKUP("LULUCF|SO2|Work loss days", US_national_yearly!$D:$AM, 10, FALSE), 1)</f>
        <v>1.8361905991063476E-2</v>
      </c>
      <c r="E15" s="7">
        <f>$B15 * IFERROR(VLOOKUP("LULUCF|SO2|Work loss days", US_national_yearly!$D:$AM, 13, FALSE) / VLOOKUP("LULUCF|SO2|Work loss days", US_national_yearly!$D:$AM, 10, FALSE), 1)</f>
        <v>1.8421012655709151E-2</v>
      </c>
      <c r="F15" s="7">
        <f>$B15 * IFERROR(VLOOKUP("LULUCF|SO2|Work loss days", US_national_yearly!$D:$AM, 14, FALSE) / VLOOKUP("LULUCF|SO2|Work loss days", US_national_yearly!$D:$AM, 10, FALSE), 1)</f>
        <v>1.8480119320354826E-2</v>
      </c>
      <c r="G15" s="7">
        <f>$B15 * IFERROR(VLOOKUP("LULUCF|SO2|Work loss days", US_national_yearly!$D:$AM, 15, FALSE) / VLOOKUP("LULUCF|SO2|Work loss days", US_national_yearly!$D:$AM, 10, FALSE), 1)</f>
        <v>1.8557349409877067E-2</v>
      </c>
      <c r="H15" s="7">
        <f>$B15 * IFERROR(VLOOKUP("LULUCF|SO2|Work loss days", US_national_yearly!$D:$AM, 16, FALSE) / VLOOKUP("LULUCF|SO2|Work loss days", US_national_yearly!$D:$AM, 10, FALSE), 1)</f>
        <v>1.8634579499399305E-2</v>
      </c>
      <c r="I15" s="7">
        <f>$B15 * IFERROR(VLOOKUP("LULUCF|SO2|Work loss days", US_national_yearly!$D:$AM, 17, FALSE) / VLOOKUP("LULUCF|SO2|Work loss days", US_national_yearly!$D:$AM, 10, FALSE), 1)</f>
        <v>1.8747556752978775E-2</v>
      </c>
      <c r="J15" s="7">
        <f>$B15 * IFERROR(VLOOKUP("LULUCF|SO2|Work loss days", US_national_yearly!$D:$AM, 18, FALSE) / VLOOKUP("LULUCF|SO2|Work loss days", US_national_yearly!$D:$AM, 10, FALSE), 1)</f>
        <v>1.8860534006558238E-2</v>
      </c>
      <c r="K15" s="7">
        <f>$B15 * IFERROR(VLOOKUP("LULUCF|SO2|Work loss days", US_national_yearly!$D:$AM, 19, FALSE) / VLOOKUP("LULUCF|SO2|Work loss days", US_national_yearly!$D:$AM, 10, FALSE), 1)</f>
        <v>1.8973511260137708E-2</v>
      </c>
      <c r="L15" s="7">
        <f>$B15 * IFERROR(VLOOKUP("LULUCF|SO2|Work loss days", US_national_yearly!$D:$AM, 20, FALSE) / VLOOKUP("LULUCF|SO2|Work loss days", US_national_yearly!$D:$AM, 10, FALSE), 1)</f>
        <v>1.9086488513717175E-2</v>
      </c>
      <c r="M15" s="7">
        <f>$B15 * IFERROR(VLOOKUP("LULUCF|SO2|Work loss days", US_national_yearly!$D:$AM, 21, FALSE) / VLOOKUP("LULUCF|SO2|Work loss days", US_national_yearly!$D:$AM, 10, FALSE), 1)</f>
        <v>1.9199465767296645E-2</v>
      </c>
      <c r="N15" s="7">
        <f>$B15 * IFERROR(VLOOKUP("LULUCF|SO2|Work loss days", US_national_yearly!$D:$AM, 22, FALSE) / VLOOKUP("LULUCF|SO2|Work loss days", US_national_yearly!$D:$AM, 10, FALSE), 1)</f>
        <v>1.9341120935256039E-2</v>
      </c>
      <c r="O15" s="7">
        <f>$B15 * IFERROR(VLOOKUP("LULUCF|SO2|Work loss days", US_national_yearly!$D:$AM, 23, FALSE) / VLOOKUP("LULUCF|SO2|Work loss days", US_national_yearly!$D:$AM, 10, FALSE), 1)</f>
        <v>1.9482776103215433E-2</v>
      </c>
      <c r="P15" s="7">
        <f>$B15 * IFERROR(VLOOKUP("LULUCF|SO2|Work loss days", US_national_yearly!$D:$AM, 24, FALSE) / VLOOKUP("LULUCF|SO2|Work loss days", US_national_yearly!$D:$AM, 10, FALSE), 1)</f>
        <v>1.962443127117482E-2</v>
      </c>
      <c r="Q15" s="7">
        <f>$B15 * IFERROR(VLOOKUP("LULUCF|SO2|Work loss days", US_national_yearly!$D:$AM, 25, FALSE) / VLOOKUP("LULUCF|SO2|Work loss days", US_national_yearly!$D:$AM, 10, FALSE), 1)</f>
        <v>1.9766086439134214E-2</v>
      </c>
      <c r="R15" s="7">
        <f>$B15 * IFERROR(VLOOKUP("LULUCF|SO2|Work loss days", US_national_yearly!$D:$AM, 26, FALSE) / VLOOKUP("LULUCF|SO2|Work loss days", US_national_yearly!$D:$AM, 10, FALSE), 1)</f>
        <v>1.9907741607093608E-2</v>
      </c>
      <c r="S15" s="7">
        <f>$B15 * IFERROR(VLOOKUP("LULUCF|SO2|Work loss days", US_national_yearly!$D:$AM, 27, FALSE) / VLOOKUP("LULUCF|SO2|Work loss days", US_national_yearly!$D:$AM, 10, FALSE), 1)</f>
        <v>2.0066040790257103E-2</v>
      </c>
      <c r="T15" s="7">
        <f>$B15 * IFERROR(VLOOKUP("LULUCF|SO2|Work loss days", US_national_yearly!$D:$AM, 28, FALSE) / VLOOKUP("LULUCF|SO2|Work loss days", US_national_yearly!$D:$AM, 10, FALSE), 1)</f>
        <v>2.0224339973420605E-2</v>
      </c>
      <c r="U15" s="7">
        <f>$B15 * IFERROR(VLOOKUP("LULUCF|SO2|Work loss days", US_national_yearly!$D:$AM, 29, FALSE) / VLOOKUP("LULUCF|SO2|Work loss days", US_national_yearly!$D:$AM, 10, FALSE), 1)</f>
        <v>2.0382639156584101E-2</v>
      </c>
      <c r="V15" s="7">
        <f>$B15 * IFERROR(VLOOKUP("LULUCF|SO2|Work loss days", US_national_yearly!$D:$AM, 30, FALSE) / VLOOKUP("LULUCF|SO2|Work loss days", US_national_yearly!$D:$AM, 10, FALSE), 1)</f>
        <v>2.05409383397476E-2</v>
      </c>
      <c r="W15" s="7">
        <f>$B15 * IFERROR(VLOOKUP("LULUCF|SO2|Work loss days", US_national_yearly!$D:$AM, 31, FALSE) / VLOOKUP("LULUCF|SO2|Work loss days", US_national_yearly!$D:$AM, 10, FALSE), 1)</f>
        <v>2.0699237522911099E-2</v>
      </c>
      <c r="X15" s="7">
        <f>$B15 * IFERROR(VLOOKUP("LULUCF|SO2|Work loss days", US_national_yearly!$D:$AM, 32, FALSE) / VLOOKUP("LULUCF|SO2|Work loss days", US_national_yearly!$D:$AM, 10, FALSE), 1)</f>
        <v>2.0841368369968298E-2</v>
      </c>
      <c r="Y15" s="7">
        <f>$B15 * IFERROR(VLOOKUP("LULUCF|SO2|Work loss days", US_national_yearly!$D:$AM, 33, FALSE) / VLOOKUP("LULUCF|SO2|Work loss days", US_national_yearly!$D:$AM, 10, FALSE), 1)</f>
        <v>2.0983499217025497E-2</v>
      </c>
      <c r="Z15" s="7">
        <f>$B15 * IFERROR(VLOOKUP("LULUCF|SO2|Work loss days", US_national_yearly!$D:$AM, 34, FALSE) / VLOOKUP("LULUCF|SO2|Work loss days", US_national_yearly!$D:$AM, 10, FALSE), 1)</f>
        <v>2.1125630064082697E-2</v>
      </c>
      <c r="AA15" s="7">
        <f>$B15 * IFERROR(VLOOKUP("LULUCF|SO2|Work loss days", US_national_yearly!$D:$AM, 35, FALSE) / VLOOKUP("LULUCF|SO2|Work loss days", US_national_yearly!$D:$AM, 10, FALSE), 1)</f>
        <v>2.12677609111399E-2</v>
      </c>
      <c r="AB15" s="7">
        <f>$B15 * IFERROR(VLOOKUP("LULUCF|SO2|Work loss days", US_national_yearly!$D:$AM, 36, FALSE) / VLOOKUP("LULUCF|SO2|Work loss days", US_national_yearly!$D:$AM, 10, FALSE), 1)</f>
        <v>2.1409891758197099E-2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4.5004571974115699E-5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4.6365682572100682E-5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4.7726793170085665E-5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4.9087903768070648E-5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5.0449014366055645E-5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5.1752828897536623E-5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5.3056643429017614E-5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5.4173758045312127E-5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5.529087266160664E-5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5.6407987277901153E-5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5.7525101894195666E-5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5.8642216510490165E-5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5.9392663065356856E-5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6.014310962022354E-5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6.0893556175090217E-5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6.1644002729956894E-5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6.2394449284823591E-5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6.2789130740838848E-5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6.3183812196854119E-5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6.3578493652869376E-5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6.3973175108884633E-5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6.4367856564899903E-5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6.4632819273495061E-5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6.4897781982090232E-5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6.5162744690685389E-5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6.5427707399280574E-5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6.5692670107875717E-5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2026-06-15T17:16:59Z</dcterms:modified>
</cp:coreProperties>
</file>