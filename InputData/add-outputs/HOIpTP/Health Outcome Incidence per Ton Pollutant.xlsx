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data-forecast\outputs\HOIpTP\"/>
    </mc:Choice>
  </mc:AlternateContent>
  <xr:revisionPtr revIDLastSave="0" documentId="8_{EBC4A147-D4DE-429C-8A6B-D818289F217F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Keys" sheetId="2" r:id="rId2"/>
    <sheet name="Geography" sheetId="3" r:id="rId3"/>
    <sheet name="Runs" sheetId="4" r:id="rId4"/>
    <sheet name="COBRA_aggregated" sheetId="5" r:id="rId5"/>
    <sheet name="US_national_yearly" sheetId="6" r:id="rId6"/>
    <sheet name="Substitution" sheetId="7" r:id="rId7"/>
    <sheet name="HOIpTP-transport-PM25" sheetId="8" r:id="rId8"/>
    <sheet name="HOIpTP-transport-NOx" sheetId="9" r:id="rId9"/>
    <sheet name="HOIpTP-transport-SO2" sheetId="10" r:id="rId10"/>
    <sheet name="HOIpTP-electricity-PM25" sheetId="11" r:id="rId11"/>
    <sheet name="HOIpTP-electricity-NOx" sheetId="12" r:id="rId12"/>
    <sheet name="HOIpTP-electricity-SO2" sheetId="13" r:id="rId13"/>
    <sheet name="HOIpTP-buildings-PM25" sheetId="14" r:id="rId14"/>
    <sheet name="HOIpTP-buildings-NOx" sheetId="15" r:id="rId15"/>
    <sheet name="HOIpTP-buildings-SO2" sheetId="16" r:id="rId16"/>
    <sheet name="HOIpTP-industry-PM25" sheetId="17" r:id="rId17"/>
    <sheet name="HOIpTP-industry-NOx" sheetId="18" r:id="rId18"/>
    <sheet name="HOIpTP-industry-SO2" sheetId="19" r:id="rId19"/>
    <sheet name="HOIpTP-LULUCF-PM25" sheetId="20" r:id="rId20"/>
    <sheet name="HOIpTP-LULUCF-NOx" sheetId="21" r:id="rId21"/>
    <sheet name="HOIpTP-LULUCF-SO2" sheetId="22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9" i="7" l="1"/>
  <c r="F19" i="7"/>
  <c r="M18" i="7"/>
  <c r="F18" i="7"/>
  <c r="M17" i="7"/>
  <c r="F17" i="7"/>
  <c r="M16" i="7"/>
  <c r="F16" i="7"/>
  <c r="M15" i="7"/>
  <c r="F15" i="7"/>
  <c r="M14" i="7"/>
  <c r="F14" i="7"/>
  <c r="M13" i="7"/>
  <c r="F13" i="7"/>
  <c r="M12" i="7"/>
  <c r="F12" i="7"/>
  <c r="M11" i="7"/>
  <c r="B11" i="14" s="1"/>
  <c r="F11" i="7"/>
  <c r="M10" i="7"/>
  <c r="F10" i="7"/>
  <c r="M9" i="7"/>
  <c r="F9" i="7"/>
  <c r="M8" i="7"/>
  <c r="B4" i="11" s="1"/>
  <c r="F8" i="7"/>
  <c r="M7" i="7"/>
  <c r="B19" i="10" s="1"/>
  <c r="O19" i="10" s="1"/>
  <c r="F7" i="7"/>
  <c r="M6" i="7"/>
  <c r="B23" i="9" s="1"/>
  <c r="X23" i="9" s="1"/>
  <c r="F6" i="7"/>
  <c r="M5" i="7"/>
  <c r="F5" i="7"/>
  <c r="AH577" i="5"/>
  <c r="Z577" i="5"/>
  <c r="AD577" i="5" s="1"/>
  <c r="Y577" i="5"/>
  <c r="AH576" i="5"/>
  <c r="Z576" i="5"/>
  <c r="Y576" i="5"/>
  <c r="AH575" i="5"/>
  <c r="Z575" i="5"/>
  <c r="AD575" i="5" s="1"/>
  <c r="Y575" i="5"/>
  <c r="AH574" i="5"/>
  <c r="Z574" i="5"/>
  <c r="AD574" i="5" s="1"/>
  <c r="Y574" i="5"/>
  <c r="AH573" i="5"/>
  <c r="Z573" i="5"/>
  <c r="AD573" i="5" s="1"/>
  <c r="Y573" i="5"/>
  <c r="AH572" i="5"/>
  <c r="Z572" i="5"/>
  <c r="AA572" i="5" s="1"/>
  <c r="Y572" i="5"/>
  <c r="AH571" i="5"/>
  <c r="Z571" i="5"/>
  <c r="AD571" i="5" s="1"/>
  <c r="Y571" i="5"/>
  <c r="AH570" i="5"/>
  <c r="Z570" i="5"/>
  <c r="AA570" i="5" s="1"/>
  <c r="Y570" i="5"/>
  <c r="AH569" i="5"/>
  <c r="Z569" i="5"/>
  <c r="AA569" i="5" s="1"/>
  <c r="Y569" i="5"/>
  <c r="AH568" i="5"/>
  <c r="Z568" i="5"/>
  <c r="AD568" i="5" s="1"/>
  <c r="Y568" i="5"/>
  <c r="AH567" i="5"/>
  <c r="Z567" i="5"/>
  <c r="AD567" i="5" s="1"/>
  <c r="Y567" i="5"/>
  <c r="AH566" i="5"/>
  <c r="Z566" i="5"/>
  <c r="Y566" i="5"/>
  <c r="AH565" i="5"/>
  <c r="Z565" i="5"/>
  <c r="AD565" i="5" s="1"/>
  <c r="Y565" i="5"/>
  <c r="AH564" i="5"/>
  <c r="Z564" i="5"/>
  <c r="AD564" i="5" s="1"/>
  <c r="Y564" i="5"/>
  <c r="AH563" i="5"/>
  <c r="Z563" i="5"/>
  <c r="AA563" i="5" s="1"/>
  <c r="Y563" i="5"/>
  <c r="AH562" i="5"/>
  <c r="Z562" i="5"/>
  <c r="AD562" i="5" s="1"/>
  <c r="Y562" i="5"/>
  <c r="AH561" i="5"/>
  <c r="Z561" i="5"/>
  <c r="AA561" i="5" s="1"/>
  <c r="Y561" i="5"/>
  <c r="AH560" i="5"/>
  <c r="Z560" i="5"/>
  <c r="Y560" i="5"/>
  <c r="AH559" i="5"/>
  <c r="Z559" i="5"/>
  <c r="Y559" i="5"/>
  <c r="AH558" i="5"/>
  <c r="Z558" i="5"/>
  <c r="AA558" i="5" s="1"/>
  <c r="Y558" i="5"/>
  <c r="AH557" i="5"/>
  <c r="Z557" i="5"/>
  <c r="AD557" i="5" s="1"/>
  <c r="Y557" i="5"/>
  <c r="AH556" i="5"/>
  <c r="Z556" i="5"/>
  <c r="Y556" i="5"/>
  <c r="AH555" i="5"/>
  <c r="Z555" i="5"/>
  <c r="Y555" i="5"/>
  <c r="AH554" i="5"/>
  <c r="Z554" i="5"/>
  <c r="AD554" i="5" s="1"/>
  <c r="Y554" i="5"/>
  <c r="AH553" i="5"/>
  <c r="Z553" i="5"/>
  <c r="AD553" i="5" s="1"/>
  <c r="Y553" i="5"/>
  <c r="AH552" i="5"/>
  <c r="Z552" i="5"/>
  <c r="AD552" i="5" s="1"/>
  <c r="Y552" i="5"/>
  <c r="AH551" i="5"/>
  <c r="Z551" i="5"/>
  <c r="AD551" i="5" s="1"/>
  <c r="Y551" i="5"/>
  <c r="AH550" i="5"/>
  <c r="Z550" i="5"/>
  <c r="Y550" i="5"/>
  <c r="AH549" i="5"/>
  <c r="Z549" i="5"/>
  <c r="AD549" i="5" s="1"/>
  <c r="Y549" i="5"/>
  <c r="AH548" i="5"/>
  <c r="Z548" i="5"/>
  <c r="Y548" i="5"/>
  <c r="AH547" i="5"/>
  <c r="Z547" i="5"/>
  <c r="AD547" i="5" s="1"/>
  <c r="Y547" i="5"/>
  <c r="AH546" i="5"/>
  <c r="Z546" i="5"/>
  <c r="AD546" i="5" s="1"/>
  <c r="Y546" i="5"/>
  <c r="AH545" i="5"/>
  <c r="Z545" i="5"/>
  <c r="AD545" i="5" s="1"/>
  <c r="Y545" i="5"/>
  <c r="AH544" i="5"/>
  <c r="Z544" i="5"/>
  <c r="Y544" i="5"/>
  <c r="AH543" i="5"/>
  <c r="Z543" i="5"/>
  <c r="AD543" i="5" s="1"/>
  <c r="Y543" i="5"/>
  <c r="AH542" i="5"/>
  <c r="Z542" i="5"/>
  <c r="Y542" i="5"/>
  <c r="AH541" i="5"/>
  <c r="Z541" i="5"/>
  <c r="AA541" i="5" s="1"/>
  <c r="Y541" i="5"/>
  <c r="AH540" i="5"/>
  <c r="Z540" i="5"/>
  <c r="AA540" i="5" s="1"/>
  <c r="Y540" i="5"/>
  <c r="AH539" i="5"/>
  <c r="Z539" i="5"/>
  <c r="AD539" i="5" s="1"/>
  <c r="Y539" i="5"/>
  <c r="AH538" i="5"/>
  <c r="Z538" i="5"/>
  <c r="AD538" i="5" s="1"/>
  <c r="Y538" i="5"/>
  <c r="AH537" i="5"/>
  <c r="Z537" i="5"/>
  <c r="AD537" i="5" s="1"/>
  <c r="Y537" i="5"/>
  <c r="AH536" i="5"/>
  <c r="Z536" i="5"/>
  <c r="AA536" i="5" s="1"/>
  <c r="Y536" i="5"/>
  <c r="AH535" i="5"/>
  <c r="Z535" i="5"/>
  <c r="AD535" i="5" s="1"/>
  <c r="Y535" i="5"/>
  <c r="AH534" i="5"/>
  <c r="Z534" i="5"/>
  <c r="Y534" i="5"/>
  <c r="AH533" i="5"/>
  <c r="Z533" i="5"/>
  <c r="AD533" i="5" s="1"/>
  <c r="Y533" i="5"/>
  <c r="AH532" i="5"/>
  <c r="Z532" i="5"/>
  <c r="AA532" i="5" s="1"/>
  <c r="Y532" i="5"/>
  <c r="AH531" i="5"/>
  <c r="Z531" i="5"/>
  <c r="AD531" i="5" s="1"/>
  <c r="Y531" i="5"/>
  <c r="AH530" i="5"/>
  <c r="Z530" i="5"/>
  <c r="AD530" i="5" s="1"/>
  <c r="Y530" i="5"/>
  <c r="AH529" i="5"/>
  <c r="Z529" i="5"/>
  <c r="AD529" i="5" s="1"/>
  <c r="Y529" i="5"/>
  <c r="AH528" i="5"/>
  <c r="Z528" i="5"/>
  <c r="AA528" i="5" s="1"/>
  <c r="Y528" i="5"/>
  <c r="AH527" i="5"/>
  <c r="Z527" i="5"/>
  <c r="Y527" i="5"/>
  <c r="AH526" i="5"/>
  <c r="Z526" i="5"/>
  <c r="AD526" i="5" s="1"/>
  <c r="Y526" i="5"/>
  <c r="AH525" i="5"/>
  <c r="Z525" i="5"/>
  <c r="Y525" i="5"/>
  <c r="AH524" i="5"/>
  <c r="Z524" i="5"/>
  <c r="AD524" i="5" s="1"/>
  <c r="Y524" i="5"/>
  <c r="AH523" i="5"/>
  <c r="Z523" i="5"/>
  <c r="AA523" i="5" s="1"/>
  <c r="Y523" i="5"/>
  <c r="AH522" i="5"/>
  <c r="Z522" i="5"/>
  <c r="Y522" i="5"/>
  <c r="AH521" i="5"/>
  <c r="Z521" i="5"/>
  <c r="AD521" i="5" s="1"/>
  <c r="Y521" i="5"/>
  <c r="AH520" i="5"/>
  <c r="Z520" i="5"/>
  <c r="AA520" i="5" s="1"/>
  <c r="Y520" i="5"/>
  <c r="AH519" i="5"/>
  <c r="Z519" i="5"/>
  <c r="AA519" i="5" s="1"/>
  <c r="Y519" i="5"/>
  <c r="AH518" i="5"/>
  <c r="Z518" i="5"/>
  <c r="AD518" i="5" s="1"/>
  <c r="Y518" i="5"/>
  <c r="AH517" i="5"/>
  <c r="Z517" i="5"/>
  <c r="Y517" i="5"/>
  <c r="AH516" i="5"/>
  <c r="Z516" i="5"/>
  <c r="Y516" i="5"/>
  <c r="AH515" i="5"/>
  <c r="Z515" i="5"/>
  <c r="Y515" i="5"/>
  <c r="AH514" i="5"/>
  <c r="Z514" i="5"/>
  <c r="AA514" i="5" s="1"/>
  <c r="Y514" i="5"/>
  <c r="AH513" i="5"/>
  <c r="Z513" i="5"/>
  <c r="AD513" i="5" s="1"/>
  <c r="Y513" i="5"/>
  <c r="AH512" i="5"/>
  <c r="Z512" i="5"/>
  <c r="Y512" i="5"/>
  <c r="AH511" i="5"/>
  <c r="Z511" i="5"/>
  <c r="AD511" i="5" s="1"/>
  <c r="Y511" i="5"/>
  <c r="AH510" i="5"/>
  <c r="Z510" i="5"/>
  <c r="AD510" i="5" s="1"/>
  <c r="Y510" i="5"/>
  <c r="AH509" i="5"/>
  <c r="Z509" i="5"/>
  <c r="AA509" i="5" s="1"/>
  <c r="Y509" i="5"/>
  <c r="AH508" i="5"/>
  <c r="Z508" i="5"/>
  <c r="Y508" i="5"/>
  <c r="AH507" i="5"/>
  <c r="Z507" i="5"/>
  <c r="AD507" i="5" s="1"/>
  <c r="Y507" i="5"/>
  <c r="AH506" i="5"/>
  <c r="Z506" i="5"/>
  <c r="AA506" i="5" s="1"/>
  <c r="Y506" i="5"/>
  <c r="AH505" i="5"/>
  <c r="Z505" i="5"/>
  <c r="Y505" i="5"/>
  <c r="AH504" i="5"/>
  <c r="Z504" i="5"/>
  <c r="Y504" i="5"/>
  <c r="AH503" i="5"/>
  <c r="Z503" i="5"/>
  <c r="Y503" i="5"/>
  <c r="AH502" i="5"/>
  <c r="Z502" i="5"/>
  <c r="AA502" i="5" s="1"/>
  <c r="Y502" i="5"/>
  <c r="AH501" i="5"/>
  <c r="Z501" i="5"/>
  <c r="AA501" i="5" s="1"/>
  <c r="Y501" i="5"/>
  <c r="AH500" i="5"/>
  <c r="Z500" i="5"/>
  <c r="AA500" i="5" s="1"/>
  <c r="Y500" i="5"/>
  <c r="AH499" i="5"/>
  <c r="Z499" i="5"/>
  <c r="AD499" i="5" s="1"/>
  <c r="Y499" i="5"/>
  <c r="AH498" i="5"/>
  <c r="Z498" i="5"/>
  <c r="AD498" i="5" s="1"/>
  <c r="Y498" i="5"/>
  <c r="AH497" i="5"/>
  <c r="Z497" i="5"/>
  <c r="Y497" i="5"/>
  <c r="AH496" i="5"/>
  <c r="Z496" i="5"/>
  <c r="AA496" i="5" s="1"/>
  <c r="Y496" i="5"/>
  <c r="AH495" i="5"/>
  <c r="Z495" i="5"/>
  <c r="AD495" i="5" s="1"/>
  <c r="Y495" i="5"/>
  <c r="AH494" i="5"/>
  <c r="Z494" i="5"/>
  <c r="Y494" i="5"/>
  <c r="AH493" i="5"/>
  <c r="Z493" i="5"/>
  <c r="AD493" i="5" s="1"/>
  <c r="Y493" i="5"/>
  <c r="AH492" i="5"/>
  <c r="Z492" i="5"/>
  <c r="AD492" i="5" s="1"/>
  <c r="Y492" i="5"/>
  <c r="AH491" i="5"/>
  <c r="Z491" i="5"/>
  <c r="AD491" i="5" s="1"/>
  <c r="Y491" i="5"/>
  <c r="AH490" i="5"/>
  <c r="Z490" i="5"/>
  <c r="Y490" i="5"/>
  <c r="AH489" i="5"/>
  <c r="Z489" i="5"/>
  <c r="AD489" i="5" s="1"/>
  <c r="Y489" i="5"/>
  <c r="AH488" i="5"/>
  <c r="Z488" i="5"/>
  <c r="AA488" i="5" s="1"/>
  <c r="Y488" i="5"/>
  <c r="AH487" i="5"/>
  <c r="Z487" i="5"/>
  <c r="AD487" i="5" s="1"/>
  <c r="Y487" i="5"/>
  <c r="AH486" i="5"/>
  <c r="Z486" i="5"/>
  <c r="AA486" i="5" s="1"/>
  <c r="Y486" i="5"/>
  <c r="AH485" i="5"/>
  <c r="Z485" i="5"/>
  <c r="AD485" i="5" s="1"/>
  <c r="Y485" i="5"/>
  <c r="AH484" i="5"/>
  <c r="Z484" i="5"/>
  <c r="AA484" i="5" s="1"/>
  <c r="Y484" i="5"/>
  <c r="AH483" i="5"/>
  <c r="Z483" i="5"/>
  <c r="AA483" i="5" s="1"/>
  <c r="Y483" i="5"/>
  <c r="AH482" i="5"/>
  <c r="Z482" i="5"/>
  <c r="Y482" i="5"/>
  <c r="AH481" i="5"/>
  <c r="Z481" i="5"/>
  <c r="AD481" i="5" s="1"/>
  <c r="Y481" i="5"/>
  <c r="AH480" i="5"/>
  <c r="Z480" i="5"/>
  <c r="AD480" i="5" s="1"/>
  <c r="Y480" i="5"/>
  <c r="AH479" i="5"/>
  <c r="Z479" i="5"/>
  <c r="AD479" i="5" s="1"/>
  <c r="Y479" i="5"/>
  <c r="AH478" i="5"/>
  <c r="Z478" i="5"/>
  <c r="AA478" i="5" s="1"/>
  <c r="Y478" i="5"/>
  <c r="AH477" i="5"/>
  <c r="Z477" i="5"/>
  <c r="AD477" i="5" s="1"/>
  <c r="Y477" i="5"/>
  <c r="AH476" i="5"/>
  <c r="Z476" i="5"/>
  <c r="AA476" i="5" s="1"/>
  <c r="Y476" i="5"/>
  <c r="AH475" i="5"/>
  <c r="Z475" i="5"/>
  <c r="AA475" i="5" s="1"/>
  <c r="Y475" i="5"/>
  <c r="AH474" i="5"/>
  <c r="Z474" i="5"/>
  <c r="AA474" i="5" s="1"/>
  <c r="Y474" i="5"/>
  <c r="AH473" i="5"/>
  <c r="Z473" i="5"/>
  <c r="AA473" i="5" s="1"/>
  <c r="Y473" i="5"/>
  <c r="AH472" i="5"/>
  <c r="Z472" i="5"/>
  <c r="Y472" i="5"/>
  <c r="AH471" i="5"/>
  <c r="Z471" i="5"/>
  <c r="AD471" i="5" s="1"/>
  <c r="Y471" i="5"/>
  <c r="AH470" i="5"/>
  <c r="Z470" i="5"/>
  <c r="AA470" i="5" s="1"/>
  <c r="Y470" i="5"/>
  <c r="AH469" i="5"/>
  <c r="Z469" i="5"/>
  <c r="AD469" i="5" s="1"/>
  <c r="Y469" i="5"/>
  <c r="AH468" i="5"/>
  <c r="Z468" i="5"/>
  <c r="AD468" i="5" s="1"/>
  <c r="Y468" i="5"/>
  <c r="AH467" i="5"/>
  <c r="Z467" i="5"/>
  <c r="AD467" i="5" s="1"/>
  <c r="Y467" i="5"/>
  <c r="AH466" i="5"/>
  <c r="Z466" i="5"/>
  <c r="Y466" i="5"/>
  <c r="AH465" i="5"/>
  <c r="Z465" i="5"/>
  <c r="AA465" i="5" s="1"/>
  <c r="Y465" i="5"/>
  <c r="AH464" i="5"/>
  <c r="Z464" i="5"/>
  <c r="AD464" i="5" s="1"/>
  <c r="Y464" i="5"/>
  <c r="AH463" i="5"/>
  <c r="Z463" i="5"/>
  <c r="AA463" i="5" s="1"/>
  <c r="Y463" i="5"/>
  <c r="AH462" i="5"/>
  <c r="Z462" i="5"/>
  <c r="Y462" i="5"/>
  <c r="AH461" i="5"/>
  <c r="Z461" i="5"/>
  <c r="AD461" i="5" s="1"/>
  <c r="Y461" i="5"/>
  <c r="AH460" i="5"/>
  <c r="Z460" i="5"/>
  <c r="Y460" i="5"/>
  <c r="AH459" i="5"/>
  <c r="Z459" i="5"/>
  <c r="AA459" i="5" s="1"/>
  <c r="Y459" i="5"/>
  <c r="AH458" i="5"/>
  <c r="Z458" i="5"/>
  <c r="Y458" i="5"/>
  <c r="AH457" i="5"/>
  <c r="Z457" i="5"/>
  <c r="AD457" i="5" s="1"/>
  <c r="Y457" i="5"/>
  <c r="AH456" i="5"/>
  <c r="Z456" i="5"/>
  <c r="Y456" i="5"/>
  <c r="AH455" i="5"/>
  <c r="Z455" i="5"/>
  <c r="Y455" i="5"/>
  <c r="AH454" i="5"/>
  <c r="Z454" i="5"/>
  <c r="AD454" i="5" s="1"/>
  <c r="Y454" i="5"/>
  <c r="AH453" i="5"/>
  <c r="Z453" i="5"/>
  <c r="AA453" i="5" s="1"/>
  <c r="Y453" i="5"/>
  <c r="AH452" i="5"/>
  <c r="Z452" i="5"/>
  <c r="AA452" i="5" s="1"/>
  <c r="Y452" i="5"/>
  <c r="AH451" i="5"/>
  <c r="Z451" i="5"/>
  <c r="AD451" i="5" s="1"/>
  <c r="Y451" i="5"/>
  <c r="AH450" i="5"/>
  <c r="Z450" i="5"/>
  <c r="AD450" i="5" s="1"/>
  <c r="Y450" i="5"/>
  <c r="AH449" i="5"/>
  <c r="Z449" i="5"/>
  <c r="AD449" i="5" s="1"/>
  <c r="Y449" i="5"/>
  <c r="AH448" i="5"/>
  <c r="Z448" i="5"/>
  <c r="AD448" i="5" s="1"/>
  <c r="Y448" i="5"/>
  <c r="AH447" i="5"/>
  <c r="Z447" i="5"/>
  <c r="AA447" i="5" s="1"/>
  <c r="Y447" i="5"/>
  <c r="AH446" i="5"/>
  <c r="Z446" i="5"/>
  <c r="AD446" i="5" s="1"/>
  <c r="Y446" i="5"/>
  <c r="AH445" i="5"/>
  <c r="Z445" i="5"/>
  <c r="Y445" i="5"/>
  <c r="AH444" i="5"/>
  <c r="Z444" i="5"/>
  <c r="Y444" i="5"/>
  <c r="AH443" i="5"/>
  <c r="Z443" i="5"/>
  <c r="Y443" i="5"/>
  <c r="AH442" i="5"/>
  <c r="Z442" i="5"/>
  <c r="Y442" i="5"/>
  <c r="AH441" i="5"/>
  <c r="Z441" i="5"/>
  <c r="AD441" i="5" s="1"/>
  <c r="Y441" i="5"/>
  <c r="AH440" i="5"/>
  <c r="Z440" i="5"/>
  <c r="AA440" i="5" s="1"/>
  <c r="Y440" i="5"/>
  <c r="AH439" i="5"/>
  <c r="Z439" i="5"/>
  <c r="Y439" i="5"/>
  <c r="AH438" i="5"/>
  <c r="Z438" i="5"/>
  <c r="AA438" i="5" s="1"/>
  <c r="Y438" i="5"/>
  <c r="AH437" i="5"/>
  <c r="Z437" i="5"/>
  <c r="AA437" i="5" s="1"/>
  <c r="Y437" i="5"/>
  <c r="AH436" i="5"/>
  <c r="Z436" i="5"/>
  <c r="AA436" i="5" s="1"/>
  <c r="Y436" i="5"/>
  <c r="AH435" i="5"/>
  <c r="Z435" i="5"/>
  <c r="AD435" i="5" s="1"/>
  <c r="Y435" i="5"/>
  <c r="AH434" i="5"/>
  <c r="Z434" i="5"/>
  <c r="Y434" i="5"/>
  <c r="AH433" i="5"/>
  <c r="Z433" i="5"/>
  <c r="AD433" i="5" s="1"/>
  <c r="Y433" i="5"/>
  <c r="AH432" i="5"/>
  <c r="Z432" i="5"/>
  <c r="AD432" i="5" s="1"/>
  <c r="Y432" i="5"/>
  <c r="AH431" i="5"/>
  <c r="Z431" i="5"/>
  <c r="AA431" i="5" s="1"/>
  <c r="Y431" i="5"/>
  <c r="AH430" i="5"/>
  <c r="Z430" i="5"/>
  <c r="AA430" i="5" s="1"/>
  <c r="Y430" i="5"/>
  <c r="AH429" i="5"/>
  <c r="Z429" i="5"/>
  <c r="AD429" i="5" s="1"/>
  <c r="Y429" i="5"/>
  <c r="AH428" i="5"/>
  <c r="Z428" i="5"/>
  <c r="AD428" i="5" s="1"/>
  <c r="Y428" i="5"/>
  <c r="AH427" i="5"/>
  <c r="Z427" i="5"/>
  <c r="Y427" i="5"/>
  <c r="AH426" i="5"/>
  <c r="Z426" i="5"/>
  <c r="AA426" i="5" s="1"/>
  <c r="Y426" i="5"/>
  <c r="AH425" i="5"/>
  <c r="Z425" i="5"/>
  <c r="AD425" i="5" s="1"/>
  <c r="Y425" i="5"/>
  <c r="AH424" i="5"/>
  <c r="Z424" i="5"/>
  <c r="AA424" i="5" s="1"/>
  <c r="Y424" i="5"/>
  <c r="AH423" i="5"/>
  <c r="Z423" i="5"/>
  <c r="AD423" i="5" s="1"/>
  <c r="Y423" i="5"/>
  <c r="AH422" i="5"/>
  <c r="Z422" i="5"/>
  <c r="AD422" i="5" s="1"/>
  <c r="Y422" i="5"/>
  <c r="AH421" i="5"/>
  <c r="Z421" i="5"/>
  <c r="Y421" i="5"/>
  <c r="AH420" i="5"/>
  <c r="Z420" i="5"/>
  <c r="AD420" i="5" s="1"/>
  <c r="Y420" i="5"/>
  <c r="AH419" i="5"/>
  <c r="Z419" i="5"/>
  <c r="AA419" i="5" s="1"/>
  <c r="Y419" i="5"/>
  <c r="AH418" i="5"/>
  <c r="Z418" i="5"/>
  <c r="Y418" i="5"/>
  <c r="AH417" i="5"/>
  <c r="Z417" i="5"/>
  <c r="Y417" i="5"/>
  <c r="AH416" i="5"/>
  <c r="Z416" i="5"/>
  <c r="AD416" i="5" s="1"/>
  <c r="Y416" i="5"/>
  <c r="AH415" i="5"/>
  <c r="Z415" i="5"/>
  <c r="AD415" i="5" s="1"/>
  <c r="Y415" i="5"/>
  <c r="AH414" i="5"/>
  <c r="Z414" i="5"/>
  <c r="AD414" i="5" s="1"/>
  <c r="Y414" i="5"/>
  <c r="AH413" i="5"/>
  <c r="Z413" i="5"/>
  <c r="AD413" i="5" s="1"/>
  <c r="Y413" i="5"/>
  <c r="AH412" i="5"/>
  <c r="Z412" i="5"/>
  <c r="AD412" i="5" s="1"/>
  <c r="Y412" i="5"/>
  <c r="AH411" i="5"/>
  <c r="Z411" i="5"/>
  <c r="Y411" i="5"/>
  <c r="AH410" i="5"/>
  <c r="Z410" i="5"/>
  <c r="Y410" i="5"/>
  <c r="AH409" i="5"/>
  <c r="Z409" i="5"/>
  <c r="AA409" i="5" s="1"/>
  <c r="Y409" i="5"/>
  <c r="AH408" i="5"/>
  <c r="Z408" i="5"/>
  <c r="AD408" i="5" s="1"/>
  <c r="Y408" i="5"/>
  <c r="AH407" i="5"/>
  <c r="Z407" i="5"/>
  <c r="Y407" i="5"/>
  <c r="AH406" i="5"/>
  <c r="Z406" i="5"/>
  <c r="Y406" i="5"/>
  <c r="AH405" i="5"/>
  <c r="Z405" i="5"/>
  <c r="AD405" i="5" s="1"/>
  <c r="Y405" i="5"/>
  <c r="AH404" i="5"/>
  <c r="Z404" i="5"/>
  <c r="AD404" i="5" s="1"/>
  <c r="Y404" i="5"/>
  <c r="AH403" i="5"/>
  <c r="Z403" i="5"/>
  <c r="AA403" i="5" s="1"/>
  <c r="Y403" i="5"/>
  <c r="AH402" i="5"/>
  <c r="Z402" i="5"/>
  <c r="AA402" i="5" s="1"/>
  <c r="Y402" i="5"/>
  <c r="AH401" i="5"/>
  <c r="Z401" i="5"/>
  <c r="AA401" i="5" s="1"/>
  <c r="Y401" i="5"/>
  <c r="AH400" i="5"/>
  <c r="Z400" i="5"/>
  <c r="AD400" i="5" s="1"/>
  <c r="Y400" i="5"/>
  <c r="AH399" i="5"/>
  <c r="Z399" i="5"/>
  <c r="AD399" i="5" s="1"/>
  <c r="Y399" i="5"/>
  <c r="AH398" i="5"/>
  <c r="Z398" i="5"/>
  <c r="Y398" i="5"/>
  <c r="AH397" i="5"/>
  <c r="Z397" i="5"/>
  <c r="Y397" i="5"/>
  <c r="AH396" i="5"/>
  <c r="Z396" i="5"/>
  <c r="Y396" i="5"/>
  <c r="AH395" i="5"/>
  <c r="Z395" i="5"/>
  <c r="AD395" i="5" s="1"/>
  <c r="Y395" i="5"/>
  <c r="AH394" i="5"/>
  <c r="Z394" i="5"/>
  <c r="Y394" i="5"/>
  <c r="AH393" i="5"/>
  <c r="Z393" i="5"/>
  <c r="AD393" i="5" s="1"/>
  <c r="Y393" i="5"/>
  <c r="AH392" i="5"/>
  <c r="Z392" i="5"/>
  <c r="Y392" i="5"/>
  <c r="AH391" i="5"/>
  <c r="Z391" i="5"/>
  <c r="AA391" i="5" s="1"/>
  <c r="Y391" i="5"/>
  <c r="AH390" i="5"/>
  <c r="Z390" i="5"/>
  <c r="AA390" i="5" s="1"/>
  <c r="Y390" i="5"/>
  <c r="AH389" i="5"/>
  <c r="Z389" i="5"/>
  <c r="AD389" i="5" s="1"/>
  <c r="Y389" i="5"/>
  <c r="AH388" i="5"/>
  <c r="Z388" i="5"/>
  <c r="AD388" i="5" s="1"/>
  <c r="Y388" i="5"/>
  <c r="AH387" i="5"/>
  <c r="Z387" i="5"/>
  <c r="Y387" i="5"/>
  <c r="AH386" i="5"/>
  <c r="Z386" i="5"/>
  <c r="AD386" i="5" s="1"/>
  <c r="Y386" i="5"/>
  <c r="AH385" i="5"/>
  <c r="Z385" i="5"/>
  <c r="AA385" i="5" s="1"/>
  <c r="Y385" i="5"/>
  <c r="AH384" i="5"/>
  <c r="Z384" i="5"/>
  <c r="AD384" i="5" s="1"/>
  <c r="Y384" i="5"/>
  <c r="AH383" i="5"/>
  <c r="Z383" i="5"/>
  <c r="AD383" i="5" s="1"/>
  <c r="Y383" i="5"/>
  <c r="AH382" i="5"/>
  <c r="Z382" i="5"/>
  <c r="AD382" i="5" s="1"/>
  <c r="Y382" i="5"/>
  <c r="AH381" i="5"/>
  <c r="Z381" i="5"/>
  <c r="AD381" i="5" s="1"/>
  <c r="Y381" i="5"/>
  <c r="AH380" i="5"/>
  <c r="Z380" i="5"/>
  <c r="AD380" i="5" s="1"/>
  <c r="Y380" i="5"/>
  <c r="AH379" i="5"/>
  <c r="Z379" i="5"/>
  <c r="AD379" i="5" s="1"/>
  <c r="Y379" i="5"/>
  <c r="AH378" i="5"/>
  <c r="Z378" i="5"/>
  <c r="AA378" i="5" s="1"/>
  <c r="Y378" i="5"/>
  <c r="AH377" i="5"/>
  <c r="Z377" i="5"/>
  <c r="AD377" i="5" s="1"/>
  <c r="Y377" i="5"/>
  <c r="AH376" i="5"/>
  <c r="Z376" i="5"/>
  <c r="AA376" i="5" s="1"/>
  <c r="Y376" i="5"/>
  <c r="AH375" i="5"/>
  <c r="Z375" i="5"/>
  <c r="Y375" i="5"/>
  <c r="AH374" i="5"/>
  <c r="Z374" i="5"/>
  <c r="Y374" i="5"/>
  <c r="AH373" i="5"/>
  <c r="Z373" i="5"/>
  <c r="Y373" i="5"/>
  <c r="AH372" i="5"/>
  <c r="Z372" i="5"/>
  <c r="AD372" i="5" s="1"/>
  <c r="Y372" i="5"/>
  <c r="AH371" i="5"/>
  <c r="Z371" i="5"/>
  <c r="Y371" i="5"/>
  <c r="AH370" i="5"/>
  <c r="Z370" i="5"/>
  <c r="Y370" i="5"/>
  <c r="AH369" i="5"/>
  <c r="Z369" i="5"/>
  <c r="AA369" i="5" s="1"/>
  <c r="Y369" i="5"/>
  <c r="AH368" i="5"/>
  <c r="Z368" i="5"/>
  <c r="AD368" i="5" s="1"/>
  <c r="Y368" i="5"/>
  <c r="AH367" i="5"/>
  <c r="Z367" i="5"/>
  <c r="Y367" i="5"/>
  <c r="AH366" i="5"/>
  <c r="Z366" i="5"/>
  <c r="AA366" i="5" s="1"/>
  <c r="Y366" i="5"/>
  <c r="AH365" i="5"/>
  <c r="Z365" i="5"/>
  <c r="AA365" i="5" s="1"/>
  <c r="Y365" i="5"/>
  <c r="AH364" i="5"/>
  <c r="Z364" i="5"/>
  <c r="AD364" i="5" s="1"/>
  <c r="Y364" i="5"/>
  <c r="AH363" i="5"/>
  <c r="Z363" i="5"/>
  <c r="Y363" i="5"/>
  <c r="AH362" i="5"/>
  <c r="Z362" i="5"/>
  <c r="Y362" i="5"/>
  <c r="AH361" i="5"/>
  <c r="Z361" i="5"/>
  <c r="AD361" i="5" s="1"/>
  <c r="Y361" i="5"/>
  <c r="AH360" i="5"/>
  <c r="Z360" i="5"/>
  <c r="Y360" i="5"/>
  <c r="AH359" i="5"/>
  <c r="Z359" i="5"/>
  <c r="AA359" i="5" s="1"/>
  <c r="Y359" i="5"/>
  <c r="AH358" i="5"/>
  <c r="Z358" i="5"/>
  <c r="AD358" i="5" s="1"/>
  <c r="Y358" i="5"/>
  <c r="AH357" i="5"/>
  <c r="Z357" i="5"/>
  <c r="Y357" i="5"/>
  <c r="AH356" i="5"/>
  <c r="Z356" i="5"/>
  <c r="Y356" i="5"/>
  <c r="AH355" i="5"/>
  <c r="Z355" i="5"/>
  <c r="AD355" i="5" s="1"/>
  <c r="Y355" i="5"/>
  <c r="AH354" i="5"/>
  <c r="Z354" i="5"/>
  <c r="AA354" i="5" s="1"/>
  <c r="Y354" i="5"/>
  <c r="AH353" i="5"/>
  <c r="Z353" i="5"/>
  <c r="AD353" i="5" s="1"/>
  <c r="Y353" i="5"/>
  <c r="AH352" i="5"/>
  <c r="Z352" i="5"/>
  <c r="AA352" i="5" s="1"/>
  <c r="Y352" i="5"/>
  <c r="AH351" i="5"/>
  <c r="Z351" i="5"/>
  <c r="AD351" i="5" s="1"/>
  <c r="Y351" i="5"/>
  <c r="AH350" i="5"/>
  <c r="Z350" i="5"/>
  <c r="AD350" i="5" s="1"/>
  <c r="Y350" i="5"/>
  <c r="AH349" i="5"/>
  <c r="Z349" i="5"/>
  <c r="AD349" i="5" s="1"/>
  <c r="Y349" i="5"/>
  <c r="AH348" i="5"/>
  <c r="Z348" i="5"/>
  <c r="AA348" i="5" s="1"/>
  <c r="Y348" i="5"/>
  <c r="AH347" i="5"/>
  <c r="Z347" i="5"/>
  <c r="AA347" i="5" s="1"/>
  <c r="Y347" i="5"/>
  <c r="AH346" i="5"/>
  <c r="Z346" i="5"/>
  <c r="AA346" i="5" s="1"/>
  <c r="Y346" i="5"/>
  <c r="AH345" i="5"/>
  <c r="Z345" i="5"/>
  <c r="AD345" i="5" s="1"/>
  <c r="Y345" i="5"/>
  <c r="AH344" i="5"/>
  <c r="Z344" i="5"/>
  <c r="Y344" i="5"/>
  <c r="AH343" i="5"/>
  <c r="Z343" i="5"/>
  <c r="AD343" i="5" s="1"/>
  <c r="Y343" i="5"/>
  <c r="AH342" i="5"/>
  <c r="Z342" i="5"/>
  <c r="AD342" i="5" s="1"/>
  <c r="Y342" i="5"/>
  <c r="AH341" i="5"/>
  <c r="Z341" i="5"/>
  <c r="AA341" i="5" s="1"/>
  <c r="Y341" i="5"/>
  <c r="AH340" i="5"/>
  <c r="Z340" i="5"/>
  <c r="Y340" i="5"/>
  <c r="AH339" i="5"/>
  <c r="Z339" i="5"/>
  <c r="AA339" i="5" s="1"/>
  <c r="Y339" i="5"/>
  <c r="AH338" i="5"/>
  <c r="Z338" i="5"/>
  <c r="AD338" i="5" s="1"/>
  <c r="Y338" i="5"/>
  <c r="AH337" i="5"/>
  <c r="Z337" i="5"/>
  <c r="AD337" i="5" s="1"/>
  <c r="Y337" i="5"/>
  <c r="AH336" i="5"/>
  <c r="Z336" i="5"/>
  <c r="Y336" i="5"/>
  <c r="AH335" i="5"/>
  <c r="Z335" i="5"/>
  <c r="AD335" i="5" s="1"/>
  <c r="Y335" i="5"/>
  <c r="AH334" i="5"/>
  <c r="Z334" i="5"/>
  <c r="AD334" i="5" s="1"/>
  <c r="Y334" i="5"/>
  <c r="AH333" i="5"/>
  <c r="Z333" i="5"/>
  <c r="AD333" i="5" s="1"/>
  <c r="Y333" i="5"/>
  <c r="AH332" i="5"/>
  <c r="Z332" i="5"/>
  <c r="AD332" i="5" s="1"/>
  <c r="Y332" i="5"/>
  <c r="AH331" i="5"/>
  <c r="Z331" i="5"/>
  <c r="Y331" i="5"/>
  <c r="AH330" i="5"/>
  <c r="Z330" i="5"/>
  <c r="AD330" i="5" s="1"/>
  <c r="Y330" i="5"/>
  <c r="AH329" i="5"/>
  <c r="Z329" i="5"/>
  <c r="Y329" i="5"/>
  <c r="AH328" i="5"/>
  <c r="Z328" i="5"/>
  <c r="AA328" i="5" s="1"/>
  <c r="Y328" i="5"/>
  <c r="AH327" i="5"/>
  <c r="Z327" i="5"/>
  <c r="AA327" i="5" s="1"/>
  <c r="Y327" i="5"/>
  <c r="AH326" i="5"/>
  <c r="Z326" i="5"/>
  <c r="AD326" i="5" s="1"/>
  <c r="Y326" i="5"/>
  <c r="AH325" i="5"/>
  <c r="Z325" i="5"/>
  <c r="AD325" i="5" s="1"/>
  <c r="Y325" i="5"/>
  <c r="AH324" i="5"/>
  <c r="Z324" i="5"/>
  <c r="AD324" i="5" s="1"/>
  <c r="Y324" i="5"/>
  <c r="AH323" i="5"/>
  <c r="Z323" i="5"/>
  <c r="AD323" i="5" s="1"/>
  <c r="Y323" i="5"/>
  <c r="AH322" i="5"/>
  <c r="Z322" i="5"/>
  <c r="AA322" i="5" s="1"/>
  <c r="Y322" i="5"/>
  <c r="AH321" i="5"/>
  <c r="Z321" i="5"/>
  <c r="Y321" i="5"/>
  <c r="AH320" i="5"/>
  <c r="Z320" i="5"/>
  <c r="Y320" i="5"/>
  <c r="AH319" i="5"/>
  <c r="Z319" i="5"/>
  <c r="AA319" i="5" s="1"/>
  <c r="Y319" i="5"/>
  <c r="AH318" i="5"/>
  <c r="Z318" i="5"/>
  <c r="AA318" i="5" s="1"/>
  <c r="Y318" i="5"/>
  <c r="AH317" i="5"/>
  <c r="Z317" i="5"/>
  <c r="AD317" i="5" s="1"/>
  <c r="Y317" i="5"/>
  <c r="AH316" i="5"/>
  <c r="Z316" i="5"/>
  <c r="AA316" i="5" s="1"/>
  <c r="Y316" i="5"/>
  <c r="AH315" i="5"/>
  <c r="Z315" i="5"/>
  <c r="Y315" i="5"/>
  <c r="AH314" i="5"/>
  <c r="Z314" i="5"/>
  <c r="AD314" i="5" s="1"/>
  <c r="Y314" i="5"/>
  <c r="AH313" i="5"/>
  <c r="Z313" i="5"/>
  <c r="AD313" i="5" s="1"/>
  <c r="Y313" i="5"/>
  <c r="AH312" i="5"/>
  <c r="Z312" i="5"/>
  <c r="AD312" i="5" s="1"/>
  <c r="Y312" i="5"/>
  <c r="AH311" i="5"/>
  <c r="Z311" i="5"/>
  <c r="Y311" i="5"/>
  <c r="AH310" i="5"/>
  <c r="Z310" i="5"/>
  <c r="AD310" i="5" s="1"/>
  <c r="Y310" i="5"/>
  <c r="AH309" i="5"/>
  <c r="Z309" i="5"/>
  <c r="Y309" i="5"/>
  <c r="AH308" i="5"/>
  <c r="Z308" i="5"/>
  <c r="AD308" i="5" s="1"/>
  <c r="Y308" i="5"/>
  <c r="AH307" i="5"/>
  <c r="Z307" i="5"/>
  <c r="Y307" i="5"/>
  <c r="AH306" i="5"/>
  <c r="Z306" i="5"/>
  <c r="Y306" i="5"/>
  <c r="AH305" i="5"/>
  <c r="Z305" i="5"/>
  <c r="AD305" i="5" s="1"/>
  <c r="Y305" i="5"/>
  <c r="AH304" i="5"/>
  <c r="Z304" i="5"/>
  <c r="AD304" i="5" s="1"/>
  <c r="Y304" i="5"/>
  <c r="AH303" i="5"/>
  <c r="Z303" i="5"/>
  <c r="AD303" i="5" s="1"/>
  <c r="Y303" i="5"/>
  <c r="AH302" i="5"/>
  <c r="Z302" i="5"/>
  <c r="AD302" i="5" s="1"/>
  <c r="Y302" i="5"/>
  <c r="AH301" i="5"/>
  <c r="Z301" i="5"/>
  <c r="Y301" i="5"/>
  <c r="AH300" i="5"/>
  <c r="Z300" i="5"/>
  <c r="Y300" i="5"/>
  <c r="AH299" i="5"/>
  <c r="Z299" i="5"/>
  <c r="Y299" i="5"/>
  <c r="AH298" i="5"/>
  <c r="Z298" i="5"/>
  <c r="AA298" i="5" s="1"/>
  <c r="Y298" i="5"/>
  <c r="AH297" i="5"/>
  <c r="Z297" i="5"/>
  <c r="AA297" i="5" s="1"/>
  <c r="Y297" i="5"/>
  <c r="AH296" i="5"/>
  <c r="Z296" i="5"/>
  <c r="AD296" i="5" s="1"/>
  <c r="Y296" i="5"/>
  <c r="AH295" i="5"/>
  <c r="Z295" i="5"/>
  <c r="Y295" i="5"/>
  <c r="AH294" i="5"/>
  <c r="Z294" i="5"/>
  <c r="AA294" i="5" s="1"/>
  <c r="Y294" i="5"/>
  <c r="AH293" i="5"/>
  <c r="Z293" i="5"/>
  <c r="Y293" i="5"/>
  <c r="AH292" i="5"/>
  <c r="Z292" i="5"/>
  <c r="AA292" i="5" s="1"/>
  <c r="Y292" i="5"/>
  <c r="AH291" i="5"/>
  <c r="Z291" i="5"/>
  <c r="Y291" i="5"/>
  <c r="AH290" i="5"/>
  <c r="Z290" i="5"/>
  <c r="Y290" i="5"/>
  <c r="AH289" i="5"/>
  <c r="Z289" i="5"/>
  <c r="Y289" i="5"/>
  <c r="AH288" i="5"/>
  <c r="Z288" i="5"/>
  <c r="Y288" i="5"/>
  <c r="AH287" i="5"/>
  <c r="Z287" i="5"/>
  <c r="AD287" i="5" s="1"/>
  <c r="Y287" i="5"/>
  <c r="AH286" i="5"/>
  <c r="Z286" i="5"/>
  <c r="AD286" i="5" s="1"/>
  <c r="Y286" i="5"/>
  <c r="AH285" i="5"/>
  <c r="Z285" i="5"/>
  <c r="AD285" i="5" s="1"/>
  <c r="Y285" i="5"/>
  <c r="AH284" i="5"/>
  <c r="Z284" i="5"/>
  <c r="Y284" i="5"/>
  <c r="AH283" i="5"/>
  <c r="Z283" i="5"/>
  <c r="AA283" i="5" s="1"/>
  <c r="Y283" i="5"/>
  <c r="AH282" i="5"/>
  <c r="Z282" i="5"/>
  <c r="AA282" i="5" s="1"/>
  <c r="Y282" i="5"/>
  <c r="AH281" i="5"/>
  <c r="Z281" i="5"/>
  <c r="Y281" i="5"/>
  <c r="AH280" i="5"/>
  <c r="Z280" i="5"/>
  <c r="AA280" i="5" s="1"/>
  <c r="Y280" i="5"/>
  <c r="AH279" i="5"/>
  <c r="Z279" i="5"/>
  <c r="AA279" i="5" s="1"/>
  <c r="Y279" i="5"/>
  <c r="AH278" i="5"/>
  <c r="Z278" i="5"/>
  <c r="Y278" i="5"/>
  <c r="AH277" i="5"/>
  <c r="Z277" i="5"/>
  <c r="AA277" i="5" s="1"/>
  <c r="Y277" i="5"/>
  <c r="AH276" i="5"/>
  <c r="Z276" i="5"/>
  <c r="AA276" i="5" s="1"/>
  <c r="Y276" i="5"/>
  <c r="AH275" i="5"/>
  <c r="Z275" i="5"/>
  <c r="AD275" i="5" s="1"/>
  <c r="Y275" i="5"/>
  <c r="AH274" i="5"/>
  <c r="Z274" i="5"/>
  <c r="AD274" i="5" s="1"/>
  <c r="Y274" i="5"/>
  <c r="AH273" i="5"/>
  <c r="Z273" i="5"/>
  <c r="Y273" i="5"/>
  <c r="AH272" i="5"/>
  <c r="Z272" i="5"/>
  <c r="AD272" i="5" s="1"/>
  <c r="Y272" i="5"/>
  <c r="AH271" i="5"/>
  <c r="Z271" i="5"/>
  <c r="AD271" i="5" s="1"/>
  <c r="Y271" i="5"/>
  <c r="AH270" i="5"/>
  <c r="Z270" i="5"/>
  <c r="AD270" i="5" s="1"/>
  <c r="Y270" i="5"/>
  <c r="AH269" i="5"/>
  <c r="Z269" i="5"/>
  <c r="Y269" i="5"/>
  <c r="AH268" i="5"/>
  <c r="Z268" i="5"/>
  <c r="AD268" i="5" s="1"/>
  <c r="Y268" i="5"/>
  <c r="AH267" i="5"/>
  <c r="Z267" i="5"/>
  <c r="AA267" i="5" s="1"/>
  <c r="Y267" i="5"/>
  <c r="AH266" i="5"/>
  <c r="Z266" i="5"/>
  <c r="Y266" i="5"/>
  <c r="AH265" i="5"/>
  <c r="Z265" i="5"/>
  <c r="AA265" i="5" s="1"/>
  <c r="Y265" i="5"/>
  <c r="AH264" i="5"/>
  <c r="Z264" i="5"/>
  <c r="AD264" i="5" s="1"/>
  <c r="Y264" i="5"/>
  <c r="AH263" i="5"/>
  <c r="Z263" i="5"/>
  <c r="AD263" i="5" s="1"/>
  <c r="Y263" i="5"/>
  <c r="AH262" i="5"/>
  <c r="Z262" i="5"/>
  <c r="AD262" i="5" s="1"/>
  <c r="Y262" i="5"/>
  <c r="AH261" i="5"/>
  <c r="Z261" i="5"/>
  <c r="AD261" i="5" s="1"/>
  <c r="Y261" i="5"/>
  <c r="AH260" i="5"/>
  <c r="Z260" i="5"/>
  <c r="AD260" i="5" s="1"/>
  <c r="Y260" i="5"/>
  <c r="AH259" i="5"/>
  <c r="Z259" i="5"/>
  <c r="Y259" i="5"/>
  <c r="AH258" i="5"/>
  <c r="Z258" i="5"/>
  <c r="AA258" i="5" s="1"/>
  <c r="Y258" i="5"/>
  <c r="AH257" i="5"/>
  <c r="Z257" i="5"/>
  <c r="AD257" i="5" s="1"/>
  <c r="Y257" i="5"/>
  <c r="AH256" i="5"/>
  <c r="Z256" i="5"/>
  <c r="AD256" i="5" s="1"/>
  <c r="Y256" i="5"/>
  <c r="AH255" i="5"/>
  <c r="Z255" i="5"/>
  <c r="Y255" i="5"/>
  <c r="AH254" i="5"/>
  <c r="Z254" i="5"/>
  <c r="AA254" i="5" s="1"/>
  <c r="Y254" i="5"/>
  <c r="AH253" i="5"/>
  <c r="Z253" i="5"/>
  <c r="AD253" i="5" s="1"/>
  <c r="Y253" i="5"/>
  <c r="AH252" i="5"/>
  <c r="Z252" i="5"/>
  <c r="AD252" i="5" s="1"/>
  <c r="Y252" i="5"/>
  <c r="AH251" i="5"/>
  <c r="Z251" i="5"/>
  <c r="Y251" i="5"/>
  <c r="AH250" i="5"/>
  <c r="Z250" i="5"/>
  <c r="AA250" i="5" s="1"/>
  <c r="Y250" i="5"/>
  <c r="AH249" i="5"/>
  <c r="Z249" i="5"/>
  <c r="AD249" i="5" s="1"/>
  <c r="Y249" i="5"/>
  <c r="AH248" i="5"/>
  <c r="Z248" i="5"/>
  <c r="AD248" i="5" s="1"/>
  <c r="Y248" i="5"/>
  <c r="AH247" i="5"/>
  <c r="Z247" i="5"/>
  <c r="Y247" i="5"/>
  <c r="AH246" i="5"/>
  <c r="Z246" i="5"/>
  <c r="AA246" i="5" s="1"/>
  <c r="Y246" i="5"/>
  <c r="AH245" i="5"/>
  <c r="Z245" i="5"/>
  <c r="AA245" i="5" s="1"/>
  <c r="Y245" i="5"/>
  <c r="AH244" i="5"/>
  <c r="Z244" i="5"/>
  <c r="Y244" i="5"/>
  <c r="AH243" i="5"/>
  <c r="Z243" i="5"/>
  <c r="AD243" i="5" s="1"/>
  <c r="Y243" i="5"/>
  <c r="AH242" i="5"/>
  <c r="Z242" i="5"/>
  <c r="AD242" i="5" s="1"/>
  <c r="Y242" i="5"/>
  <c r="AH241" i="5"/>
  <c r="Z241" i="5"/>
  <c r="AA241" i="5" s="1"/>
  <c r="Y241" i="5"/>
  <c r="AH240" i="5"/>
  <c r="Z240" i="5"/>
  <c r="AD240" i="5" s="1"/>
  <c r="Y240" i="5"/>
  <c r="AH239" i="5"/>
  <c r="Z239" i="5"/>
  <c r="Y239" i="5"/>
  <c r="AH238" i="5"/>
  <c r="Z238" i="5"/>
  <c r="Y238" i="5"/>
  <c r="AH237" i="5"/>
  <c r="Z237" i="5"/>
  <c r="Y237" i="5"/>
  <c r="AH236" i="5"/>
  <c r="Z236" i="5"/>
  <c r="AA236" i="5" s="1"/>
  <c r="Y236" i="5"/>
  <c r="AH235" i="5"/>
  <c r="Z235" i="5"/>
  <c r="AD235" i="5" s="1"/>
  <c r="Y235" i="5"/>
  <c r="AH234" i="5"/>
  <c r="Z234" i="5"/>
  <c r="AD234" i="5" s="1"/>
  <c r="Y234" i="5"/>
  <c r="AH233" i="5"/>
  <c r="Z233" i="5"/>
  <c r="AA233" i="5" s="1"/>
  <c r="Y233" i="5"/>
  <c r="AH232" i="5"/>
  <c r="Z232" i="5"/>
  <c r="AA232" i="5" s="1"/>
  <c r="Y232" i="5"/>
  <c r="AH231" i="5"/>
  <c r="Z231" i="5"/>
  <c r="AD231" i="5" s="1"/>
  <c r="Y231" i="5"/>
  <c r="AH230" i="5"/>
  <c r="Z230" i="5"/>
  <c r="AD230" i="5" s="1"/>
  <c r="Y230" i="5"/>
  <c r="AH229" i="5"/>
  <c r="Z229" i="5"/>
  <c r="Y229" i="5"/>
  <c r="AH228" i="5"/>
  <c r="Z228" i="5"/>
  <c r="Y228" i="5"/>
  <c r="AH227" i="5"/>
  <c r="Z227" i="5"/>
  <c r="AD227" i="5" s="1"/>
  <c r="Y227" i="5"/>
  <c r="AH226" i="5"/>
  <c r="Z226" i="5"/>
  <c r="AA226" i="5" s="1"/>
  <c r="Y226" i="5"/>
  <c r="AH225" i="5"/>
  <c r="Z225" i="5"/>
  <c r="Y225" i="5"/>
  <c r="AH224" i="5"/>
  <c r="Z224" i="5"/>
  <c r="AA224" i="5" s="1"/>
  <c r="Y224" i="5"/>
  <c r="AH223" i="5"/>
  <c r="Z223" i="5"/>
  <c r="AA223" i="5" s="1"/>
  <c r="Y223" i="5"/>
  <c r="AH222" i="5"/>
  <c r="Z222" i="5"/>
  <c r="Y222" i="5"/>
  <c r="AH221" i="5"/>
  <c r="Z221" i="5"/>
  <c r="AD221" i="5" s="1"/>
  <c r="Y221" i="5"/>
  <c r="AH220" i="5"/>
  <c r="Z220" i="5"/>
  <c r="AD220" i="5" s="1"/>
  <c r="Y220" i="5"/>
  <c r="AH219" i="5"/>
  <c r="Z219" i="5"/>
  <c r="AD219" i="5" s="1"/>
  <c r="Y219" i="5"/>
  <c r="AH218" i="5"/>
  <c r="Z218" i="5"/>
  <c r="Y218" i="5"/>
  <c r="AH217" i="5"/>
  <c r="Z217" i="5"/>
  <c r="Y217" i="5"/>
  <c r="AH216" i="5"/>
  <c r="Z216" i="5"/>
  <c r="AA216" i="5" s="1"/>
  <c r="Y216" i="5"/>
  <c r="AH215" i="5"/>
  <c r="Z215" i="5"/>
  <c r="Y215" i="5"/>
  <c r="AH214" i="5"/>
  <c r="Z214" i="5"/>
  <c r="AA214" i="5" s="1"/>
  <c r="Y214" i="5"/>
  <c r="AH213" i="5"/>
  <c r="Z213" i="5"/>
  <c r="AD213" i="5" s="1"/>
  <c r="Y213" i="5"/>
  <c r="AH212" i="5"/>
  <c r="Z212" i="5"/>
  <c r="AD212" i="5" s="1"/>
  <c r="Y212" i="5"/>
  <c r="AH211" i="5"/>
  <c r="Z211" i="5"/>
  <c r="AD211" i="5" s="1"/>
  <c r="Y211" i="5"/>
  <c r="AH210" i="5"/>
  <c r="Z210" i="5"/>
  <c r="AA210" i="5" s="1"/>
  <c r="Y210" i="5"/>
  <c r="AH209" i="5"/>
  <c r="Z209" i="5"/>
  <c r="AA209" i="5" s="1"/>
  <c r="Y209" i="5"/>
  <c r="AH208" i="5"/>
  <c r="Z208" i="5"/>
  <c r="AD208" i="5" s="1"/>
  <c r="Y208" i="5"/>
  <c r="AH207" i="5"/>
  <c r="Z207" i="5"/>
  <c r="Y207" i="5"/>
  <c r="AH206" i="5"/>
  <c r="Z206" i="5"/>
  <c r="AD206" i="5" s="1"/>
  <c r="Y206" i="5"/>
  <c r="AH205" i="5"/>
  <c r="Z205" i="5"/>
  <c r="AA205" i="5" s="1"/>
  <c r="Y205" i="5"/>
  <c r="AH204" i="5"/>
  <c r="Z204" i="5"/>
  <c r="AD204" i="5" s="1"/>
  <c r="Y204" i="5"/>
  <c r="AH203" i="5"/>
  <c r="Z203" i="5"/>
  <c r="Y203" i="5"/>
  <c r="AH202" i="5"/>
  <c r="Z202" i="5"/>
  <c r="AD202" i="5" s="1"/>
  <c r="Y202" i="5"/>
  <c r="AH201" i="5"/>
  <c r="Z201" i="5"/>
  <c r="AD201" i="5" s="1"/>
  <c r="Y201" i="5"/>
  <c r="AH200" i="5"/>
  <c r="Z200" i="5"/>
  <c r="Y200" i="5"/>
  <c r="AH199" i="5"/>
  <c r="Z199" i="5"/>
  <c r="AD199" i="5" s="1"/>
  <c r="Y199" i="5"/>
  <c r="AH198" i="5"/>
  <c r="Z198" i="5"/>
  <c r="AA198" i="5" s="1"/>
  <c r="Y198" i="5"/>
  <c r="AH197" i="5"/>
  <c r="Z197" i="5"/>
  <c r="Y197" i="5"/>
  <c r="AH196" i="5"/>
  <c r="Z196" i="5"/>
  <c r="AD196" i="5" s="1"/>
  <c r="Y196" i="5"/>
  <c r="AH195" i="5"/>
  <c r="Z195" i="5"/>
  <c r="AA195" i="5" s="1"/>
  <c r="Y195" i="5"/>
  <c r="AH194" i="5"/>
  <c r="Z194" i="5"/>
  <c r="AD194" i="5" s="1"/>
  <c r="Y194" i="5"/>
  <c r="AH193" i="5"/>
  <c r="Z193" i="5"/>
  <c r="Y193" i="5"/>
  <c r="AH192" i="5"/>
  <c r="Z192" i="5"/>
  <c r="Y192" i="5"/>
  <c r="AH191" i="5"/>
  <c r="Z191" i="5"/>
  <c r="AA191" i="5" s="1"/>
  <c r="Y191" i="5"/>
  <c r="AH190" i="5"/>
  <c r="Z190" i="5"/>
  <c r="AA190" i="5" s="1"/>
  <c r="Y190" i="5"/>
  <c r="AH189" i="5"/>
  <c r="Z189" i="5"/>
  <c r="Y189" i="5"/>
  <c r="AH188" i="5"/>
  <c r="Z188" i="5"/>
  <c r="AA188" i="5" s="1"/>
  <c r="Y188" i="5"/>
  <c r="AH187" i="5"/>
  <c r="Z187" i="5"/>
  <c r="AD187" i="5" s="1"/>
  <c r="Y187" i="5"/>
  <c r="AH186" i="5"/>
  <c r="Z186" i="5"/>
  <c r="AD186" i="5" s="1"/>
  <c r="Y186" i="5"/>
  <c r="AH185" i="5"/>
  <c r="Z185" i="5"/>
  <c r="Y185" i="5"/>
  <c r="AH184" i="5"/>
  <c r="Z184" i="5"/>
  <c r="AD184" i="5" s="1"/>
  <c r="Y184" i="5"/>
  <c r="AH183" i="5"/>
  <c r="Z183" i="5"/>
  <c r="AD183" i="5" s="1"/>
  <c r="Y183" i="5"/>
  <c r="AH182" i="5"/>
  <c r="Z182" i="5"/>
  <c r="AD182" i="5" s="1"/>
  <c r="Y182" i="5"/>
  <c r="AH181" i="5"/>
  <c r="Z181" i="5"/>
  <c r="AD181" i="5" s="1"/>
  <c r="Y181" i="5"/>
  <c r="AH180" i="5"/>
  <c r="Z180" i="5"/>
  <c r="AD180" i="5" s="1"/>
  <c r="Y180" i="5"/>
  <c r="AH179" i="5"/>
  <c r="Z179" i="5"/>
  <c r="AA179" i="5" s="1"/>
  <c r="Y179" i="5"/>
  <c r="AH178" i="5"/>
  <c r="Z178" i="5"/>
  <c r="AD178" i="5" s="1"/>
  <c r="Y178" i="5"/>
  <c r="AH177" i="5"/>
  <c r="Z177" i="5"/>
  <c r="AA177" i="5" s="1"/>
  <c r="Y177" i="5"/>
  <c r="AH176" i="5"/>
  <c r="Z176" i="5"/>
  <c r="AA176" i="5" s="1"/>
  <c r="Y176" i="5"/>
  <c r="AH175" i="5"/>
  <c r="Z175" i="5"/>
  <c r="Y175" i="5"/>
  <c r="AH174" i="5"/>
  <c r="Z174" i="5"/>
  <c r="Y174" i="5"/>
  <c r="AH173" i="5"/>
  <c r="Z173" i="5"/>
  <c r="Y173" i="5"/>
  <c r="AH172" i="5"/>
  <c r="Z172" i="5"/>
  <c r="AD172" i="5" s="1"/>
  <c r="Y172" i="5"/>
  <c r="AH171" i="5"/>
  <c r="Z171" i="5"/>
  <c r="AD171" i="5" s="1"/>
  <c r="Y171" i="5"/>
  <c r="AH170" i="5"/>
  <c r="Z170" i="5"/>
  <c r="AA170" i="5" s="1"/>
  <c r="Y170" i="5"/>
  <c r="AH169" i="5"/>
  <c r="Z169" i="5"/>
  <c r="AD169" i="5" s="1"/>
  <c r="Y169" i="5"/>
  <c r="AH168" i="5"/>
  <c r="Z168" i="5"/>
  <c r="Y168" i="5"/>
  <c r="AH167" i="5"/>
  <c r="Z167" i="5"/>
  <c r="AD167" i="5" s="1"/>
  <c r="Y167" i="5"/>
  <c r="AH166" i="5"/>
  <c r="Z166" i="5"/>
  <c r="AA166" i="5" s="1"/>
  <c r="Y166" i="5"/>
  <c r="AH165" i="5"/>
  <c r="Z165" i="5"/>
  <c r="AA165" i="5" s="1"/>
  <c r="Y165" i="5"/>
  <c r="AH164" i="5"/>
  <c r="Z164" i="5"/>
  <c r="Y164" i="5"/>
  <c r="AH163" i="5"/>
  <c r="Z163" i="5"/>
  <c r="Y163" i="5"/>
  <c r="AH162" i="5"/>
  <c r="Z162" i="5"/>
  <c r="AA162" i="5" s="1"/>
  <c r="Y162" i="5"/>
  <c r="AH161" i="5"/>
  <c r="Z161" i="5"/>
  <c r="Y161" i="5"/>
  <c r="AH160" i="5"/>
  <c r="Z160" i="5"/>
  <c r="AA160" i="5" s="1"/>
  <c r="Y160" i="5"/>
  <c r="AH159" i="5"/>
  <c r="Z159" i="5"/>
  <c r="Y159" i="5"/>
  <c r="AH158" i="5"/>
  <c r="Z158" i="5"/>
  <c r="AA158" i="5" s="1"/>
  <c r="Y158" i="5"/>
  <c r="AH157" i="5"/>
  <c r="Z157" i="5"/>
  <c r="AA157" i="5" s="1"/>
  <c r="Y157" i="5"/>
  <c r="AH156" i="5"/>
  <c r="Z156" i="5"/>
  <c r="Y156" i="5"/>
  <c r="AH155" i="5"/>
  <c r="Z155" i="5"/>
  <c r="AD155" i="5" s="1"/>
  <c r="Y155" i="5"/>
  <c r="AH154" i="5"/>
  <c r="Z154" i="5"/>
  <c r="AD154" i="5" s="1"/>
  <c r="Y154" i="5"/>
  <c r="AH153" i="5"/>
  <c r="Z153" i="5"/>
  <c r="AD153" i="5" s="1"/>
  <c r="Y153" i="5"/>
  <c r="AH152" i="5"/>
  <c r="Z152" i="5"/>
  <c r="AD152" i="5" s="1"/>
  <c r="Y152" i="5"/>
  <c r="AH151" i="5"/>
  <c r="Z151" i="5"/>
  <c r="AD151" i="5" s="1"/>
  <c r="Y151" i="5"/>
  <c r="AH150" i="5"/>
  <c r="Z150" i="5"/>
  <c r="AD150" i="5" s="1"/>
  <c r="Y150" i="5"/>
  <c r="AH149" i="5"/>
  <c r="Z149" i="5"/>
  <c r="AD149" i="5" s="1"/>
  <c r="Y149" i="5"/>
  <c r="AH148" i="5"/>
  <c r="Z148" i="5"/>
  <c r="AA148" i="5" s="1"/>
  <c r="Y148" i="5"/>
  <c r="AH147" i="5"/>
  <c r="Z147" i="5"/>
  <c r="AD147" i="5" s="1"/>
  <c r="Y147" i="5"/>
  <c r="AH146" i="5"/>
  <c r="Z146" i="5"/>
  <c r="AA146" i="5" s="1"/>
  <c r="Y146" i="5"/>
  <c r="AH145" i="5"/>
  <c r="Z145" i="5"/>
  <c r="AD145" i="5" s="1"/>
  <c r="Y145" i="5"/>
  <c r="AH144" i="5"/>
  <c r="Z144" i="5"/>
  <c r="Y144" i="5"/>
  <c r="AH143" i="5"/>
  <c r="Z143" i="5"/>
  <c r="AA143" i="5" s="1"/>
  <c r="Y143" i="5"/>
  <c r="AH142" i="5"/>
  <c r="Z142" i="5"/>
  <c r="AD142" i="5" s="1"/>
  <c r="Y142" i="5"/>
  <c r="AH141" i="5"/>
  <c r="Z141" i="5"/>
  <c r="Y141" i="5"/>
  <c r="AH140" i="5"/>
  <c r="Z140" i="5"/>
  <c r="Y140" i="5"/>
  <c r="AH139" i="5"/>
  <c r="Z139" i="5"/>
  <c r="AD139" i="5" s="1"/>
  <c r="Y139" i="5"/>
  <c r="AH138" i="5"/>
  <c r="Z138" i="5"/>
  <c r="AD138" i="5" s="1"/>
  <c r="Y138" i="5"/>
  <c r="AH137" i="5"/>
  <c r="Z137" i="5"/>
  <c r="AA137" i="5" s="1"/>
  <c r="Y137" i="5"/>
  <c r="AH136" i="5"/>
  <c r="Z136" i="5"/>
  <c r="AA136" i="5" s="1"/>
  <c r="Y136" i="5"/>
  <c r="AH135" i="5"/>
  <c r="Z135" i="5"/>
  <c r="Y135" i="5"/>
  <c r="AH134" i="5"/>
  <c r="Z134" i="5"/>
  <c r="AD134" i="5" s="1"/>
  <c r="Y134" i="5"/>
  <c r="AH133" i="5"/>
  <c r="Z133" i="5"/>
  <c r="Y133" i="5"/>
  <c r="AH132" i="5"/>
  <c r="Z132" i="5"/>
  <c r="AD132" i="5" s="1"/>
  <c r="Y132" i="5"/>
  <c r="AH131" i="5"/>
  <c r="Z131" i="5"/>
  <c r="AA131" i="5" s="1"/>
  <c r="Y131" i="5"/>
  <c r="AH130" i="5"/>
  <c r="Z130" i="5"/>
  <c r="AD130" i="5" s="1"/>
  <c r="Y130" i="5"/>
  <c r="AH129" i="5"/>
  <c r="Z129" i="5"/>
  <c r="Y129" i="5"/>
  <c r="AH128" i="5"/>
  <c r="Z128" i="5"/>
  <c r="AA128" i="5" s="1"/>
  <c r="Y128" i="5"/>
  <c r="AH127" i="5"/>
  <c r="Z127" i="5"/>
  <c r="AD127" i="5" s="1"/>
  <c r="Y127" i="5"/>
  <c r="AH126" i="5"/>
  <c r="Z126" i="5"/>
  <c r="AA126" i="5" s="1"/>
  <c r="Y126" i="5"/>
  <c r="AH125" i="5"/>
  <c r="Z125" i="5"/>
  <c r="AD125" i="5" s="1"/>
  <c r="Y125" i="5"/>
  <c r="AH124" i="5"/>
  <c r="Z124" i="5"/>
  <c r="AA124" i="5" s="1"/>
  <c r="Y124" i="5"/>
  <c r="AH123" i="5"/>
  <c r="Z123" i="5"/>
  <c r="AA123" i="5" s="1"/>
  <c r="Y123" i="5"/>
  <c r="AH122" i="5"/>
  <c r="Z122" i="5"/>
  <c r="AA122" i="5" s="1"/>
  <c r="Y122" i="5"/>
  <c r="AH121" i="5"/>
  <c r="Z121" i="5"/>
  <c r="AA121" i="5" s="1"/>
  <c r="Y121" i="5"/>
  <c r="AH120" i="5"/>
  <c r="Z120" i="5"/>
  <c r="AA120" i="5" s="1"/>
  <c r="Y120" i="5"/>
  <c r="AH119" i="5"/>
  <c r="Z119" i="5"/>
  <c r="AD119" i="5" s="1"/>
  <c r="Y119" i="5"/>
  <c r="AH118" i="5"/>
  <c r="Z118" i="5"/>
  <c r="Y118" i="5"/>
  <c r="AH117" i="5"/>
  <c r="Z117" i="5"/>
  <c r="AD117" i="5" s="1"/>
  <c r="Y117" i="5"/>
  <c r="AH116" i="5"/>
  <c r="Z116" i="5"/>
  <c r="Y116" i="5"/>
  <c r="AH115" i="5"/>
  <c r="Z115" i="5"/>
  <c r="Y115" i="5"/>
  <c r="AH114" i="5"/>
  <c r="Z114" i="5"/>
  <c r="Y114" i="5"/>
  <c r="AH113" i="5"/>
  <c r="Z113" i="5"/>
  <c r="AA113" i="5" s="1"/>
  <c r="Y113" i="5"/>
  <c r="AH112" i="5"/>
  <c r="Z112" i="5"/>
  <c r="AD112" i="5" s="1"/>
  <c r="Y112" i="5"/>
  <c r="AH111" i="5"/>
  <c r="Z111" i="5"/>
  <c r="AD111" i="5" s="1"/>
  <c r="Y111" i="5"/>
  <c r="AH110" i="5"/>
  <c r="Z110" i="5"/>
  <c r="AD110" i="5" s="1"/>
  <c r="Y110" i="5"/>
  <c r="AH109" i="5"/>
  <c r="Z109" i="5"/>
  <c r="AA109" i="5" s="1"/>
  <c r="Y109" i="5"/>
  <c r="AH108" i="5"/>
  <c r="Z108" i="5"/>
  <c r="Y108" i="5"/>
  <c r="AH107" i="5"/>
  <c r="Z107" i="5"/>
  <c r="AD107" i="5" s="1"/>
  <c r="Y107" i="5"/>
  <c r="AH106" i="5"/>
  <c r="Z106" i="5"/>
  <c r="AD106" i="5" s="1"/>
  <c r="Y106" i="5"/>
  <c r="AH105" i="5"/>
  <c r="Z105" i="5"/>
  <c r="Y105" i="5"/>
  <c r="AH104" i="5"/>
  <c r="Z104" i="5"/>
  <c r="AA104" i="5" s="1"/>
  <c r="Y104" i="5"/>
  <c r="AH103" i="5"/>
  <c r="Z103" i="5"/>
  <c r="AA103" i="5" s="1"/>
  <c r="Y103" i="5"/>
  <c r="AH102" i="5"/>
  <c r="Z102" i="5"/>
  <c r="AA102" i="5" s="1"/>
  <c r="Y102" i="5"/>
  <c r="AH101" i="5"/>
  <c r="Z101" i="5"/>
  <c r="Y101" i="5"/>
  <c r="AH100" i="5"/>
  <c r="Z100" i="5"/>
  <c r="AD100" i="5" s="1"/>
  <c r="Y100" i="5"/>
  <c r="AH99" i="5"/>
  <c r="Z99" i="5"/>
  <c r="AA99" i="5" s="1"/>
  <c r="Y99" i="5"/>
  <c r="AH98" i="5"/>
  <c r="Z98" i="5"/>
  <c r="AA98" i="5" s="1"/>
  <c r="Y98" i="5"/>
  <c r="AH97" i="5"/>
  <c r="Z97" i="5"/>
  <c r="AD97" i="5" s="1"/>
  <c r="Y97" i="5"/>
  <c r="AH96" i="5"/>
  <c r="Z96" i="5"/>
  <c r="Y96" i="5"/>
  <c r="AH95" i="5"/>
  <c r="Z95" i="5"/>
  <c r="Y95" i="5"/>
  <c r="AH94" i="5"/>
  <c r="Z94" i="5"/>
  <c r="AD94" i="5" s="1"/>
  <c r="Y94" i="5"/>
  <c r="AH93" i="5"/>
  <c r="Z93" i="5"/>
  <c r="AD93" i="5" s="1"/>
  <c r="Y93" i="5"/>
  <c r="AH92" i="5"/>
  <c r="Z92" i="5"/>
  <c r="Y92" i="5"/>
  <c r="AH91" i="5"/>
  <c r="Z91" i="5"/>
  <c r="AD91" i="5" s="1"/>
  <c r="Y91" i="5"/>
  <c r="AH90" i="5"/>
  <c r="Z90" i="5"/>
  <c r="AA90" i="5" s="1"/>
  <c r="Y90" i="5"/>
  <c r="AH89" i="5"/>
  <c r="Z89" i="5"/>
  <c r="AD89" i="5" s="1"/>
  <c r="Y89" i="5"/>
  <c r="AH88" i="5"/>
  <c r="Z88" i="5"/>
  <c r="AA88" i="5" s="1"/>
  <c r="Y88" i="5"/>
  <c r="AH87" i="5"/>
  <c r="Z87" i="5"/>
  <c r="AD87" i="5" s="1"/>
  <c r="Y87" i="5"/>
  <c r="AH86" i="5"/>
  <c r="Z86" i="5"/>
  <c r="AA86" i="5" s="1"/>
  <c r="Y86" i="5"/>
  <c r="AH85" i="5"/>
  <c r="Z85" i="5"/>
  <c r="Y85" i="5"/>
  <c r="AH84" i="5"/>
  <c r="Z84" i="5"/>
  <c r="AD84" i="5" s="1"/>
  <c r="Y84" i="5"/>
  <c r="AH83" i="5"/>
  <c r="Z83" i="5"/>
  <c r="AA83" i="5" s="1"/>
  <c r="Y83" i="5"/>
  <c r="AH82" i="5"/>
  <c r="Z82" i="5"/>
  <c r="Y82" i="5"/>
  <c r="AH81" i="5"/>
  <c r="Z81" i="5"/>
  <c r="AD81" i="5" s="1"/>
  <c r="Y81" i="5"/>
  <c r="AH80" i="5"/>
  <c r="Z80" i="5"/>
  <c r="AA80" i="5" s="1"/>
  <c r="Y80" i="5"/>
  <c r="AH79" i="5"/>
  <c r="Z79" i="5"/>
  <c r="Y79" i="5"/>
  <c r="AH78" i="5"/>
  <c r="Z78" i="5"/>
  <c r="AD78" i="5" s="1"/>
  <c r="Y78" i="5"/>
  <c r="AH77" i="5"/>
  <c r="Z77" i="5"/>
  <c r="AA77" i="5" s="1"/>
  <c r="Y77" i="5"/>
  <c r="AH76" i="5"/>
  <c r="Z76" i="5"/>
  <c r="AD76" i="5" s="1"/>
  <c r="Y76" i="5"/>
  <c r="AH75" i="5"/>
  <c r="Z75" i="5"/>
  <c r="AD75" i="5" s="1"/>
  <c r="Y75" i="5"/>
  <c r="AH74" i="5"/>
  <c r="Z74" i="5"/>
  <c r="Y74" i="5"/>
  <c r="AH73" i="5"/>
  <c r="Z73" i="5"/>
  <c r="AD73" i="5" s="1"/>
  <c r="Y73" i="5"/>
  <c r="AH72" i="5"/>
  <c r="Z72" i="5"/>
  <c r="AA72" i="5" s="1"/>
  <c r="Y72" i="5"/>
  <c r="AH71" i="5"/>
  <c r="Z71" i="5"/>
  <c r="AA71" i="5" s="1"/>
  <c r="Y71" i="5"/>
  <c r="AH70" i="5"/>
  <c r="Z70" i="5"/>
  <c r="AA70" i="5" s="1"/>
  <c r="Y70" i="5"/>
  <c r="AH69" i="5"/>
  <c r="Z69" i="5"/>
  <c r="AD69" i="5" s="1"/>
  <c r="Y69" i="5"/>
  <c r="AH68" i="5"/>
  <c r="Z68" i="5"/>
  <c r="AD68" i="5" s="1"/>
  <c r="Y68" i="5"/>
  <c r="AH67" i="5"/>
  <c r="Z67" i="5"/>
  <c r="AD67" i="5" s="1"/>
  <c r="Y67" i="5"/>
  <c r="AH66" i="5"/>
  <c r="Z66" i="5"/>
  <c r="AA66" i="5" s="1"/>
  <c r="Y66" i="5"/>
  <c r="AH65" i="5"/>
  <c r="Z65" i="5"/>
  <c r="Y65" i="5"/>
  <c r="AH64" i="5"/>
  <c r="Z64" i="5"/>
  <c r="AD64" i="5" s="1"/>
  <c r="Y64" i="5"/>
  <c r="AH63" i="5"/>
  <c r="Z63" i="5"/>
  <c r="AD63" i="5" s="1"/>
  <c r="Y63" i="5"/>
  <c r="AH62" i="5"/>
  <c r="Z62" i="5"/>
  <c r="Y62" i="5"/>
  <c r="AH61" i="5"/>
  <c r="Z61" i="5"/>
  <c r="AA61" i="5" s="1"/>
  <c r="Y61" i="5"/>
  <c r="AH60" i="5"/>
  <c r="Z60" i="5"/>
  <c r="AA60" i="5" s="1"/>
  <c r="Y60" i="5"/>
  <c r="AH59" i="5"/>
  <c r="Z59" i="5"/>
  <c r="Y59" i="5"/>
  <c r="AH58" i="5"/>
  <c r="Z58" i="5"/>
  <c r="Y58" i="5"/>
  <c r="AH57" i="5"/>
  <c r="Z57" i="5"/>
  <c r="AD57" i="5" s="1"/>
  <c r="Y57" i="5"/>
  <c r="AH56" i="5"/>
  <c r="Z56" i="5"/>
  <c r="AA56" i="5" s="1"/>
  <c r="Y56" i="5"/>
  <c r="AH55" i="5"/>
  <c r="Z55" i="5"/>
  <c r="AD55" i="5" s="1"/>
  <c r="Y55" i="5"/>
  <c r="AH54" i="5"/>
  <c r="Z54" i="5"/>
  <c r="AD54" i="5" s="1"/>
  <c r="Y54" i="5"/>
  <c r="AH53" i="5"/>
  <c r="Z53" i="5"/>
  <c r="AD53" i="5" s="1"/>
  <c r="Y53" i="5"/>
  <c r="AH52" i="5"/>
  <c r="Z52" i="5"/>
  <c r="AD52" i="5" s="1"/>
  <c r="Y52" i="5"/>
  <c r="AH51" i="5"/>
  <c r="Z51" i="5"/>
  <c r="AD51" i="5" s="1"/>
  <c r="Y51" i="5"/>
  <c r="AH50" i="5"/>
  <c r="Z50" i="5"/>
  <c r="AD50" i="5" s="1"/>
  <c r="Y50" i="5"/>
  <c r="AH49" i="5"/>
  <c r="Z49" i="5"/>
  <c r="AA49" i="5" s="1"/>
  <c r="Y49" i="5"/>
  <c r="AH48" i="5"/>
  <c r="Z48" i="5"/>
  <c r="AA48" i="5" s="1"/>
  <c r="Y48" i="5"/>
  <c r="AH47" i="5"/>
  <c r="Z47" i="5"/>
  <c r="Y47" i="5"/>
  <c r="AH46" i="5"/>
  <c r="Z46" i="5"/>
  <c r="AA46" i="5" s="1"/>
  <c r="Y46" i="5"/>
  <c r="AH45" i="5"/>
  <c r="Z45" i="5"/>
  <c r="Y45" i="5"/>
  <c r="AH44" i="5"/>
  <c r="Z44" i="5"/>
  <c r="AD44" i="5" s="1"/>
  <c r="Y44" i="5"/>
  <c r="AH43" i="5"/>
  <c r="Z43" i="5"/>
  <c r="AA43" i="5" s="1"/>
  <c r="Y43" i="5"/>
  <c r="AH42" i="5"/>
  <c r="Z42" i="5"/>
  <c r="AD42" i="5" s="1"/>
  <c r="Y42" i="5"/>
  <c r="AH41" i="5"/>
  <c r="Z41" i="5"/>
  <c r="AD41" i="5" s="1"/>
  <c r="Y41" i="5"/>
  <c r="AH40" i="5"/>
  <c r="Z40" i="5"/>
  <c r="AA40" i="5" s="1"/>
  <c r="Y40" i="5"/>
  <c r="AH39" i="5"/>
  <c r="Z39" i="5"/>
  <c r="Y39" i="5"/>
  <c r="AH38" i="5"/>
  <c r="Z38" i="5"/>
  <c r="AA38" i="5" s="1"/>
  <c r="Y38" i="5"/>
  <c r="AH37" i="5"/>
  <c r="Z37" i="5"/>
  <c r="AD37" i="5" s="1"/>
  <c r="Y37" i="5"/>
  <c r="AH36" i="5"/>
  <c r="Z36" i="5"/>
  <c r="AA36" i="5" s="1"/>
  <c r="Y36" i="5"/>
  <c r="AH35" i="5"/>
  <c r="Z35" i="5"/>
  <c r="AD35" i="5" s="1"/>
  <c r="Y35" i="5"/>
  <c r="AH34" i="5"/>
  <c r="Z34" i="5"/>
  <c r="AA34" i="5" s="1"/>
  <c r="Y34" i="5"/>
  <c r="AH33" i="5"/>
  <c r="Z33" i="5"/>
  <c r="AD33" i="5" s="1"/>
  <c r="Y33" i="5"/>
  <c r="AH32" i="5"/>
  <c r="Z32" i="5"/>
  <c r="AD32" i="5" s="1"/>
  <c r="Y32" i="5"/>
  <c r="AH31" i="5"/>
  <c r="Z31" i="5"/>
  <c r="AD31" i="5" s="1"/>
  <c r="Y31" i="5"/>
  <c r="AH30" i="5"/>
  <c r="Z30" i="5"/>
  <c r="AA30" i="5" s="1"/>
  <c r="Y30" i="5"/>
  <c r="AH29" i="5"/>
  <c r="Z29" i="5"/>
  <c r="AD29" i="5" s="1"/>
  <c r="Y29" i="5"/>
  <c r="AH28" i="5"/>
  <c r="Z28" i="5"/>
  <c r="AA28" i="5" s="1"/>
  <c r="Y28" i="5"/>
  <c r="AH27" i="5"/>
  <c r="Z27" i="5"/>
  <c r="Y27" i="5"/>
  <c r="AH26" i="5"/>
  <c r="Z26" i="5"/>
  <c r="AD26" i="5" s="1"/>
  <c r="Y26" i="5"/>
  <c r="AH25" i="5"/>
  <c r="Z25" i="5"/>
  <c r="AD25" i="5" s="1"/>
  <c r="Y25" i="5"/>
  <c r="AH24" i="5"/>
  <c r="Z24" i="5"/>
  <c r="AD24" i="5" s="1"/>
  <c r="Y24" i="5"/>
  <c r="AH23" i="5"/>
  <c r="Z23" i="5"/>
  <c r="AD23" i="5" s="1"/>
  <c r="Y23" i="5"/>
  <c r="AH22" i="5"/>
  <c r="Z22" i="5"/>
  <c r="AD22" i="5" s="1"/>
  <c r="Y22" i="5"/>
  <c r="AH21" i="5"/>
  <c r="Z21" i="5"/>
  <c r="AD21" i="5" s="1"/>
  <c r="Y21" i="5"/>
  <c r="AH20" i="5"/>
  <c r="Z20" i="5"/>
  <c r="AD20" i="5" s="1"/>
  <c r="Y20" i="5"/>
  <c r="AH19" i="5"/>
  <c r="Z19" i="5"/>
  <c r="Y19" i="5"/>
  <c r="AH18" i="5"/>
  <c r="Z18" i="5"/>
  <c r="AD18" i="5" s="1"/>
  <c r="Y18" i="5"/>
  <c r="AH17" i="5"/>
  <c r="Z17" i="5"/>
  <c r="AA17" i="5" s="1"/>
  <c r="Y17" i="5"/>
  <c r="AH16" i="5"/>
  <c r="Z16" i="5"/>
  <c r="AD16" i="5" s="1"/>
  <c r="Y16" i="5"/>
  <c r="AH15" i="5"/>
  <c r="Z15" i="5"/>
  <c r="AD15" i="5" s="1"/>
  <c r="Y15" i="5"/>
  <c r="AH14" i="5"/>
  <c r="Z14" i="5"/>
  <c r="AA14" i="5" s="1"/>
  <c r="Y14" i="5"/>
  <c r="AH13" i="5"/>
  <c r="Z13" i="5"/>
  <c r="AA13" i="5" s="1"/>
  <c r="Y13" i="5"/>
  <c r="AH12" i="5"/>
  <c r="Z12" i="5"/>
  <c r="AA12" i="5" s="1"/>
  <c r="Y12" i="5"/>
  <c r="AH11" i="5"/>
  <c r="Z11" i="5"/>
  <c r="AA11" i="5" s="1"/>
  <c r="Y11" i="5"/>
  <c r="AH10" i="5"/>
  <c r="Z10" i="5"/>
  <c r="AD10" i="5" s="1"/>
  <c r="Y10" i="5"/>
  <c r="AH9" i="5"/>
  <c r="Z9" i="5"/>
  <c r="AA9" i="5" s="1"/>
  <c r="Y9" i="5"/>
  <c r="AH8" i="5"/>
  <c r="Z8" i="5"/>
  <c r="Y8" i="5"/>
  <c r="AH7" i="5"/>
  <c r="Z7" i="5"/>
  <c r="AD7" i="5" s="1"/>
  <c r="Y7" i="5"/>
  <c r="AH6" i="5"/>
  <c r="Z6" i="5"/>
  <c r="AA6" i="5" s="1"/>
  <c r="Y6" i="5"/>
  <c r="AH5" i="5"/>
  <c r="Z5" i="5"/>
  <c r="Y5" i="5"/>
  <c r="AH4" i="5"/>
  <c r="Z4" i="5"/>
  <c r="AA4" i="5" s="1"/>
  <c r="Y4" i="5"/>
  <c r="AH3" i="5"/>
  <c r="Z3" i="5"/>
  <c r="AA3" i="5" s="1"/>
  <c r="Y3" i="5"/>
  <c r="AH2" i="5"/>
  <c r="Z2" i="5"/>
  <c r="AD2" i="5" s="1"/>
  <c r="Y2" i="5"/>
  <c r="F14" i="4"/>
  <c r="AB532" i="5" s="1"/>
  <c r="F13" i="4"/>
  <c r="AB2" i="5" s="1"/>
  <c r="F12" i="4"/>
  <c r="AB279" i="5" s="1"/>
  <c r="F11" i="4"/>
  <c r="AB487" i="5" s="1"/>
  <c r="F10" i="4"/>
  <c r="AB113" i="5" s="1"/>
  <c r="F9" i="4"/>
  <c r="AB354" i="5" s="1"/>
  <c r="F8" i="4"/>
  <c r="F7" i="4"/>
  <c r="AB104" i="5" s="1"/>
  <c r="F6" i="4"/>
  <c r="AB309" i="5" s="1"/>
  <c r="F5" i="4"/>
  <c r="AB181" i="5" s="1"/>
  <c r="F4" i="4"/>
  <c r="AB59" i="5" s="1"/>
  <c r="F3" i="4"/>
  <c r="AB216" i="5" s="1"/>
  <c r="B2" i="1"/>
  <c r="AB28" i="5" l="1"/>
  <c r="AD40" i="5"/>
  <c r="AD501" i="5"/>
  <c r="AA142" i="5"/>
  <c r="AB124" i="5"/>
  <c r="AC124" i="5" s="1"/>
  <c r="AF124" i="5" s="1"/>
  <c r="AB88" i="5"/>
  <c r="AC88" i="5" s="1"/>
  <c r="AF88" i="5" s="1"/>
  <c r="AB211" i="5"/>
  <c r="AB184" i="5"/>
  <c r="AA524" i="5"/>
  <c r="AA531" i="5"/>
  <c r="AA480" i="5"/>
  <c r="AD128" i="5"/>
  <c r="AD447" i="5"/>
  <c r="AA461" i="5"/>
  <c r="AD90" i="5"/>
  <c r="AA537" i="5"/>
  <c r="AB48" i="5"/>
  <c r="AC48" i="5" s="1"/>
  <c r="AD162" i="5"/>
  <c r="AA230" i="5"/>
  <c r="AA441" i="5"/>
  <c r="AD179" i="5"/>
  <c r="AA53" i="5"/>
  <c r="AD60" i="5"/>
  <c r="AD176" i="5"/>
  <c r="AA448" i="5"/>
  <c r="AD166" i="5"/>
  <c r="AA145" i="5"/>
  <c r="AD514" i="5"/>
  <c r="AB4" i="5"/>
  <c r="AC4" i="5" s="1"/>
  <c r="AB40" i="5"/>
  <c r="AD246" i="5"/>
  <c r="AC104" i="5"/>
  <c r="AE104" i="5" s="1"/>
  <c r="AB54" i="5"/>
  <c r="AA89" i="5"/>
  <c r="AB159" i="5"/>
  <c r="AD28" i="5"/>
  <c r="AA414" i="5"/>
  <c r="AA435" i="5"/>
  <c r="AB243" i="5"/>
  <c r="AD322" i="5"/>
  <c r="AD401" i="5"/>
  <c r="AB15" i="5"/>
  <c r="AD36" i="5"/>
  <c r="AA180" i="5"/>
  <c r="AA308" i="5"/>
  <c r="AA449" i="5"/>
  <c r="AD484" i="5"/>
  <c r="AA498" i="5"/>
  <c r="AC532" i="5"/>
  <c r="AE532" i="5" s="1"/>
  <c r="AA546" i="5"/>
  <c r="AA423" i="5"/>
  <c r="AD437" i="5"/>
  <c r="AA181" i="5"/>
  <c r="AC181" i="5" s="1"/>
  <c r="AA485" i="5"/>
  <c r="AA499" i="5"/>
  <c r="AD86" i="5"/>
  <c r="AD99" i="5"/>
  <c r="AD210" i="5"/>
  <c r="AA252" i="5"/>
  <c r="AB3" i="5"/>
  <c r="AC3" i="5" s="1"/>
  <c r="AE3" i="5" s="1"/>
  <c r="AA303" i="5"/>
  <c r="AD403" i="5"/>
  <c r="AD347" i="5"/>
  <c r="AA404" i="5"/>
  <c r="AD452" i="5"/>
  <c r="AD459" i="5"/>
  <c r="AD366" i="5"/>
  <c r="AD226" i="5"/>
  <c r="AD283" i="5"/>
  <c r="AB123" i="5"/>
  <c r="AC123" i="5" s="1"/>
  <c r="AD419" i="5"/>
  <c r="AD71" i="5"/>
  <c r="AD109" i="5"/>
  <c r="AB171" i="5"/>
  <c r="AA334" i="5"/>
  <c r="AD348" i="5"/>
  <c r="B16" i="9"/>
  <c r="G16" i="9" s="1"/>
  <c r="AD11" i="5"/>
  <c r="AA264" i="5"/>
  <c r="AA395" i="5"/>
  <c r="AD30" i="5"/>
  <c r="AA37" i="5"/>
  <c r="AD224" i="5"/>
  <c r="AA55" i="5"/>
  <c r="AA446" i="5"/>
  <c r="AD292" i="5"/>
  <c r="AD523" i="5"/>
  <c r="AA26" i="5"/>
  <c r="AD43" i="5"/>
  <c r="AA75" i="5"/>
  <c r="AD38" i="5"/>
  <c r="AD88" i="5"/>
  <c r="AD245" i="5"/>
  <c r="AA305" i="5"/>
  <c r="AA324" i="5"/>
  <c r="AA350" i="5"/>
  <c r="AA416" i="5"/>
  <c r="AD470" i="5"/>
  <c r="AD476" i="5"/>
  <c r="AA530" i="5"/>
  <c r="AD536" i="5"/>
  <c r="AD298" i="5"/>
  <c r="AD569" i="5"/>
  <c r="AD369" i="5"/>
  <c r="AA428" i="5"/>
  <c r="AB108" i="5"/>
  <c r="AB147" i="5"/>
  <c r="AD160" i="5"/>
  <c r="AA383" i="5"/>
  <c r="AA577" i="5"/>
  <c r="AD120" i="5"/>
  <c r="AA81" i="5"/>
  <c r="AA100" i="5"/>
  <c r="AD402" i="5"/>
  <c r="AA51" i="5"/>
  <c r="AA76" i="5"/>
  <c r="AB115" i="5"/>
  <c r="AA364" i="5"/>
  <c r="AB27" i="5"/>
  <c r="AB39" i="5"/>
  <c r="AB51" i="5"/>
  <c r="AA211" i="5"/>
  <c r="AA343" i="5"/>
  <c r="AA451" i="5"/>
  <c r="AD122" i="5"/>
  <c r="AB148" i="5"/>
  <c r="AC148" i="5" s="1"/>
  <c r="AD294" i="5"/>
  <c r="AA332" i="5"/>
  <c r="AB351" i="5"/>
  <c r="AA358" i="5"/>
  <c r="AC358" i="5" s="1"/>
  <c r="AD378" i="5"/>
  <c r="AA384" i="5"/>
  <c r="AD558" i="5"/>
  <c r="AA565" i="5"/>
  <c r="AD165" i="5"/>
  <c r="AA469" i="5"/>
  <c r="AD250" i="5"/>
  <c r="AA330" i="5"/>
  <c r="AD509" i="5"/>
  <c r="AA153" i="5"/>
  <c r="AB7" i="5"/>
  <c r="AD103" i="5"/>
  <c r="AB136" i="5"/>
  <c r="AC136" i="5" s="1"/>
  <c r="AD346" i="5"/>
  <c r="AD177" i="5"/>
  <c r="AD316" i="5"/>
  <c r="AA268" i="5"/>
  <c r="AA379" i="5"/>
  <c r="AA425" i="5"/>
  <c r="AA454" i="5"/>
  <c r="AD61" i="5"/>
  <c r="AA235" i="5"/>
  <c r="AA314" i="5"/>
  <c r="AD72" i="5"/>
  <c r="AA242" i="5"/>
  <c r="AD473" i="5"/>
  <c r="AD3" i="5"/>
  <c r="AD157" i="5"/>
  <c r="AA169" i="5"/>
  <c r="AD188" i="5"/>
  <c r="AA432" i="5"/>
  <c r="AA468" i="5"/>
  <c r="AA567" i="5"/>
  <c r="B18" i="9"/>
  <c r="E18" i="9" s="1"/>
  <c r="B20" i="9"/>
  <c r="P20" i="9" s="1"/>
  <c r="AA204" i="5"/>
  <c r="AB204" i="5"/>
  <c r="AA304" i="5"/>
  <c r="AB432" i="5"/>
  <c r="AB24" i="5"/>
  <c r="AA41" i="5"/>
  <c r="AA73" i="5"/>
  <c r="AD426" i="5"/>
  <c r="AD474" i="5"/>
  <c r="AD540" i="5"/>
  <c r="B4" i="10"/>
  <c r="G4" i="10" s="1"/>
  <c r="AA526" i="5"/>
  <c r="AB57" i="5"/>
  <c r="AA313" i="5"/>
  <c r="AA521" i="5"/>
  <c r="AA336" i="5"/>
  <c r="AD336" i="5"/>
  <c r="AD232" i="5"/>
  <c r="AD465" i="5"/>
  <c r="AD98" i="5"/>
  <c r="AD158" i="5"/>
  <c r="AA355" i="5"/>
  <c r="AA361" i="5"/>
  <c r="AA400" i="5"/>
  <c r="AA405" i="5"/>
  <c r="AD532" i="5"/>
  <c r="AA538" i="5"/>
  <c r="AA571" i="5"/>
  <c r="AA24" i="5"/>
  <c r="AB92" i="5"/>
  <c r="AA187" i="5"/>
  <c r="AA325" i="5"/>
  <c r="AA471" i="5"/>
  <c r="AD104" i="5"/>
  <c r="AA257" i="5"/>
  <c r="AA477" i="5"/>
  <c r="AA64" i="5"/>
  <c r="AA159" i="5"/>
  <c r="AD159" i="5"/>
  <c r="AA227" i="5"/>
  <c r="AD233" i="5"/>
  <c r="AA368" i="5"/>
  <c r="AD488" i="5"/>
  <c r="AA69" i="5"/>
  <c r="AA152" i="5"/>
  <c r="AA263" i="5"/>
  <c r="B23" i="8"/>
  <c r="M23" i="8" s="1"/>
  <c r="B5" i="8"/>
  <c r="Q5" i="8" s="1"/>
  <c r="B4" i="8"/>
  <c r="E4" i="8" s="1"/>
  <c r="AD239" i="5"/>
  <c r="AA239" i="5"/>
  <c r="AA412" i="5"/>
  <c r="AA29" i="5"/>
  <c r="AA147" i="5"/>
  <c r="AD319" i="5"/>
  <c r="AA406" i="5"/>
  <c r="AD406" i="5"/>
  <c r="AB93" i="5"/>
  <c r="AD320" i="5"/>
  <c r="AA320" i="5"/>
  <c r="L4" i="11"/>
  <c r="F4" i="11"/>
  <c r="AA94" i="5"/>
  <c r="AA253" i="5"/>
  <c r="AD339" i="5"/>
  <c r="AA389" i="5"/>
  <c r="AB217" i="5"/>
  <c r="AB169" i="5"/>
  <c r="AA74" i="5"/>
  <c r="AD74" i="5"/>
  <c r="AA228" i="5"/>
  <c r="AD228" i="5"/>
  <c r="AD297" i="5"/>
  <c r="AA510" i="5"/>
  <c r="AD83" i="5"/>
  <c r="AD131" i="5"/>
  <c r="AD148" i="5"/>
  <c r="AA183" i="5"/>
  <c r="AA285" i="5"/>
  <c r="AA396" i="5"/>
  <c r="AD396" i="5"/>
  <c r="AD438" i="5"/>
  <c r="AD561" i="5"/>
  <c r="AD13" i="5"/>
  <c r="AD77" i="5"/>
  <c r="AA172" i="5"/>
  <c r="AA178" i="5"/>
  <c r="AC216" i="5"/>
  <c r="AF216" i="5" s="1"/>
  <c r="AB253" i="5"/>
  <c r="AD445" i="5"/>
  <c r="AA445" i="5"/>
  <c r="AD517" i="5"/>
  <c r="AA517" i="5"/>
  <c r="B10" i="8"/>
  <c r="I10" i="8" s="1"/>
  <c r="AD318" i="5"/>
  <c r="AA65" i="5"/>
  <c r="AD65" i="5"/>
  <c r="AA345" i="5"/>
  <c r="AA439" i="5"/>
  <c r="AD439" i="5"/>
  <c r="AA492" i="5"/>
  <c r="AA511" i="5"/>
  <c r="E11" i="14"/>
  <c r="C11" i="14"/>
  <c r="B16" i="8"/>
  <c r="S16" i="8" s="1"/>
  <c r="AB213" i="5"/>
  <c r="AB393" i="5"/>
  <c r="AB225" i="5"/>
  <c r="AB21" i="5"/>
  <c r="AB9" i="5"/>
  <c r="AC9" i="5" s="1"/>
  <c r="AF9" i="5" s="1"/>
  <c r="AB189" i="5"/>
  <c r="AB105" i="5"/>
  <c r="AD116" i="5"/>
  <c r="AA116" i="5"/>
  <c r="AB152" i="5"/>
  <c r="AB236" i="5"/>
  <c r="AC236" i="5" s="1"/>
  <c r="AB32" i="5"/>
  <c r="AB56" i="5"/>
  <c r="AC56" i="5" s="1"/>
  <c r="AB140" i="5"/>
  <c r="AB128" i="5"/>
  <c r="AC128" i="5" s="1"/>
  <c r="AB44" i="5"/>
  <c r="AB80" i="5"/>
  <c r="AC80" i="5" s="1"/>
  <c r="AB20" i="5"/>
  <c r="AB116" i="5"/>
  <c r="AD12" i="5"/>
  <c r="AA7" i="5"/>
  <c r="AA8" i="5"/>
  <c r="AD8" i="5"/>
  <c r="AA138" i="5"/>
  <c r="AB8" i="5"/>
  <c r="AA132" i="5"/>
  <c r="AA167" i="5"/>
  <c r="AA248" i="5"/>
  <c r="AA286" i="5"/>
  <c r="AA78" i="5"/>
  <c r="AD173" i="5"/>
  <c r="AA173" i="5"/>
  <c r="AD217" i="5"/>
  <c r="AA217" i="5"/>
  <c r="AC217" i="5" s="1"/>
  <c r="AA422" i="5"/>
  <c r="AD520" i="5"/>
  <c r="AA275" i="5"/>
  <c r="AD143" i="5"/>
  <c r="AD85" i="5"/>
  <c r="AA85" i="5"/>
  <c r="AA68" i="5"/>
  <c r="AA335" i="5"/>
  <c r="AA481" i="5"/>
  <c r="AA487" i="5"/>
  <c r="AC487" i="5" s="1"/>
  <c r="AB516" i="5"/>
  <c r="AB72" i="5"/>
  <c r="AC72" i="5" s="1"/>
  <c r="AE72" i="5" s="1"/>
  <c r="AB156" i="5"/>
  <c r="AB36" i="5"/>
  <c r="AC36" i="5" s="1"/>
  <c r="AE36" i="5" s="1"/>
  <c r="AB240" i="5"/>
  <c r="AB96" i="5"/>
  <c r="AB60" i="5"/>
  <c r="AC60" i="5" s="1"/>
  <c r="AB33" i="5"/>
  <c r="AB68" i="5"/>
  <c r="AD121" i="5"/>
  <c r="AD168" i="5"/>
  <c r="AA168" i="5"/>
  <c r="AD205" i="5"/>
  <c r="AA372" i="5"/>
  <c r="AA493" i="5"/>
  <c r="AA54" i="5"/>
  <c r="AA33" i="5"/>
  <c r="AB73" i="5"/>
  <c r="AA243" i="5"/>
  <c r="AB203" i="5"/>
  <c r="AB191" i="5"/>
  <c r="AC191" i="5" s="1"/>
  <c r="AF191" i="5" s="1"/>
  <c r="AB275" i="5"/>
  <c r="AB35" i="5"/>
  <c r="AB287" i="5"/>
  <c r="AC28" i="5"/>
  <c r="AE28" i="5" s="1"/>
  <c r="AA39" i="5"/>
  <c r="AD39" i="5"/>
  <c r="AA270" i="5"/>
  <c r="AD341" i="5"/>
  <c r="AD385" i="5"/>
  <c r="AA562" i="5"/>
  <c r="AA573" i="5"/>
  <c r="V23" i="9"/>
  <c r="AD4" i="5"/>
  <c r="AA25" i="5"/>
  <c r="AA35" i="5"/>
  <c r="AD70" i="5"/>
  <c r="AB100" i="5"/>
  <c r="AA139" i="5"/>
  <c r="AA154" i="5"/>
  <c r="AD195" i="5"/>
  <c r="AA234" i="5"/>
  <c r="AA249" i="5"/>
  <c r="AD254" i="5"/>
  <c r="AA310" i="5"/>
  <c r="AA326" i="5"/>
  <c r="AA380" i="5"/>
  <c r="AD391" i="5"/>
  <c r="AA413" i="5"/>
  <c r="AA429" i="5"/>
  <c r="AD478" i="5"/>
  <c r="AA539" i="5"/>
  <c r="AA557" i="5"/>
  <c r="AD14" i="5"/>
  <c r="AA44" i="5"/>
  <c r="AB50" i="5"/>
  <c r="AB111" i="5"/>
  <c r="AD265" i="5"/>
  <c r="AD282" i="5"/>
  <c r="AD424" i="5"/>
  <c r="AA489" i="5"/>
  <c r="AD500" i="5"/>
  <c r="AA545" i="5"/>
  <c r="AA551" i="5"/>
  <c r="AA568" i="5"/>
  <c r="AB244" i="5"/>
  <c r="AD66" i="5"/>
  <c r="AB364" i="5"/>
  <c r="AD376" i="5"/>
  <c r="AA457" i="5"/>
  <c r="AA495" i="5"/>
  <c r="AA507" i="5"/>
  <c r="AA518" i="5"/>
  <c r="AA529" i="5"/>
  <c r="AA574" i="5"/>
  <c r="F19" i="10"/>
  <c r="AB86" i="5"/>
  <c r="AC86" i="5" s="1"/>
  <c r="AB122" i="5"/>
  <c r="AC122" i="5" s="1"/>
  <c r="AE122" i="5" s="1"/>
  <c r="AA106" i="5"/>
  <c r="AA202" i="5"/>
  <c r="AA240" i="5"/>
  <c r="AD276" i="5"/>
  <c r="AA337" i="5"/>
  <c r="AA342" i="5"/>
  <c r="AA386" i="5"/>
  <c r="AB5" i="5"/>
  <c r="AD9" i="5"/>
  <c r="AA134" i="5"/>
  <c r="AA150" i="5"/>
  <c r="AA196" i="5"/>
  <c r="AA213" i="5"/>
  <c r="AA261" i="5"/>
  <c r="AA271" i="5"/>
  <c r="AA353" i="5"/>
  <c r="AA381" i="5"/>
  <c r="AD430" i="5"/>
  <c r="AD463" i="5"/>
  <c r="AA479" i="5"/>
  <c r="AA513" i="5"/>
  <c r="AA535" i="5"/>
  <c r="AD563" i="5"/>
  <c r="AC40" i="5"/>
  <c r="AF40" i="5" s="1"/>
  <c r="AB160" i="5"/>
  <c r="AC160" i="5" s="1"/>
  <c r="AB196" i="5"/>
  <c r="AB266" i="5"/>
  <c r="AA2" i="5"/>
  <c r="AC2" i="5" s="1"/>
  <c r="AA87" i="5"/>
  <c r="AD277" i="5"/>
  <c r="AA317" i="5"/>
  <c r="AA333" i="5"/>
  <c r="AD359" i="5"/>
  <c r="AA377" i="5"/>
  <c r="AA393" i="5"/>
  <c r="AA420" i="5"/>
  <c r="AD436" i="5"/>
  <c r="AD431" i="5"/>
  <c r="AA464" i="5"/>
  <c r="AA491" i="5"/>
  <c r="AD496" i="5"/>
  <c r="AD519" i="5"/>
  <c r="AA553" i="5"/>
  <c r="AA575" i="5"/>
  <c r="AA67" i="5"/>
  <c r="AA91" i="5"/>
  <c r="AC113" i="5"/>
  <c r="AF113" i="5" s="1"/>
  <c r="AD170" i="5"/>
  <c r="AD6" i="5"/>
  <c r="AD56" i="5"/>
  <c r="AD102" i="5"/>
  <c r="AD146" i="5"/>
  <c r="AA338" i="5"/>
  <c r="AD46" i="5"/>
  <c r="AD113" i="5"/>
  <c r="AA119" i="5"/>
  <c r="AA151" i="5"/>
  <c r="AA186" i="5"/>
  <c r="AD209" i="5"/>
  <c r="AD214" i="5"/>
  <c r="AA220" i="5"/>
  <c r="AA231" i="5"/>
  <c r="AD241" i="5"/>
  <c r="AA262" i="5"/>
  <c r="AD267" i="5"/>
  <c r="AA272" i="5"/>
  <c r="AA296" i="5"/>
  <c r="AA323" i="5"/>
  <c r="AD328" i="5"/>
  <c r="AD354" i="5"/>
  <c r="AA382" i="5"/>
  <c r="AB399" i="5"/>
  <c r="AA415" i="5"/>
  <c r="AB173" i="5"/>
  <c r="AA201" i="5"/>
  <c r="AB76" i="5"/>
  <c r="AA256" i="5"/>
  <c r="AA22" i="5"/>
  <c r="AA97" i="5"/>
  <c r="AA312" i="5"/>
  <c r="AD365" i="5"/>
  <c r="AA399" i="5"/>
  <c r="AD409" i="5"/>
  <c r="AB16" i="5"/>
  <c r="AA52" i="5"/>
  <c r="AA302" i="5"/>
  <c r="AA349" i="5"/>
  <c r="AA388" i="5"/>
  <c r="AD486" i="5"/>
  <c r="AD541" i="5"/>
  <c r="AD321" i="5"/>
  <c r="AA321" i="5"/>
  <c r="AA19" i="5"/>
  <c r="AD19" i="5"/>
  <c r="AD5" i="5"/>
  <c r="AA5" i="5"/>
  <c r="AD124" i="5"/>
  <c r="AD59" i="5"/>
  <c r="AA59" i="5"/>
  <c r="AC59" i="5" s="1"/>
  <c r="AD144" i="5"/>
  <c r="AA144" i="5"/>
  <c r="AD108" i="5"/>
  <c r="AA108" i="5"/>
  <c r="AA105" i="5"/>
  <c r="AD105" i="5"/>
  <c r="AD45" i="5"/>
  <c r="AA45" i="5"/>
  <c r="AB550" i="5"/>
  <c r="AB502" i="5"/>
  <c r="AC502" i="5" s="1"/>
  <c r="AB574" i="5"/>
  <c r="AB454" i="5"/>
  <c r="AB490" i="5"/>
  <c r="AB418" i="5"/>
  <c r="AB538" i="5"/>
  <c r="AB526" i="5"/>
  <c r="AB466" i="5"/>
  <c r="AB358" i="5"/>
  <c r="AB478" i="5"/>
  <c r="AC478" i="5" s="1"/>
  <c r="AB430" i="5"/>
  <c r="AC430" i="5" s="1"/>
  <c r="AB310" i="5"/>
  <c r="AB190" i="5"/>
  <c r="AC190" i="5" s="1"/>
  <c r="AB346" i="5"/>
  <c r="AC346" i="5" s="1"/>
  <c r="AB286" i="5"/>
  <c r="AB394" i="5"/>
  <c r="AB274" i="5"/>
  <c r="AB214" i="5"/>
  <c r="AC214" i="5" s="1"/>
  <c r="AB154" i="5"/>
  <c r="AB562" i="5"/>
  <c r="AB322" i="5"/>
  <c r="AC322" i="5" s="1"/>
  <c r="AB514" i="5"/>
  <c r="AC514" i="5" s="1"/>
  <c r="AB334" i="5"/>
  <c r="AC334" i="5" s="1"/>
  <c r="AB34" i="5"/>
  <c r="AC34" i="5" s="1"/>
  <c r="AB166" i="5"/>
  <c r="AC166" i="5" s="1"/>
  <c r="AB22" i="5"/>
  <c r="AB130" i="5"/>
  <c r="AB10" i="5"/>
  <c r="AB382" i="5"/>
  <c r="AB250" i="5"/>
  <c r="AC250" i="5" s="1"/>
  <c r="AB118" i="5"/>
  <c r="AB178" i="5"/>
  <c r="AB82" i="5"/>
  <c r="AB94" i="5"/>
  <c r="AB58" i="5"/>
  <c r="AB406" i="5"/>
  <c r="AB70" i="5"/>
  <c r="AC70" i="5" s="1"/>
  <c r="AB238" i="5"/>
  <c r="AB442" i="5"/>
  <c r="AB370" i="5"/>
  <c r="AB46" i="5"/>
  <c r="AC46" i="5" s="1"/>
  <c r="AB106" i="5"/>
  <c r="AB298" i="5"/>
  <c r="AC298" i="5" s="1"/>
  <c r="AB262" i="5"/>
  <c r="AB142" i="5"/>
  <c r="AC142" i="5" s="1"/>
  <c r="AB226" i="5"/>
  <c r="AC226" i="5" s="1"/>
  <c r="AB202" i="5"/>
  <c r="AB462" i="5"/>
  <c r="AB546" i="5"/>
  <c r="AB534" i="5"/>
  <c r="AB558" i="5"/>
  <c r="AC558" i="5" s="1"/>
  <c r="AB570" i="5"/>
  <c r="AB510" i="5"/>
  <c r="AB294" i="5"/>
  <c r="AC294" i="5" s="1"/>
  <c r="AB258" i="5"/>
  <c r="AC258" i="5" s="1"/>
  <c r="AB234" i="5"/>
  <c r="AB498" i="5"/>
  <c r="AB306" i="5"/>
  <c r="AB198" i="5"/>
  <c r="AC198" i="5" s="1"/>
  <c r="AB402" i="5"/>
  <c r="AC402" i="5" s="1"/>
  <c r="AB414" i="5"/>
  <c r="AB342" i="5"/>
  <c r="AB246" i="5"/>
  <c r="AC246" i="5" s="1"/>
  <c r="AB270" i="5"/>
  <c r="AB474" i="5"/>
  <c r="AC474" i="5" s="1"/>
  <c r="AB366" i="5"/>
  <c r="AC366" i="5" s="1"/>
  <c r="AB186" i="5"/>
  <c r="AB426" i="5"/>
  <c r="AC426" i="5" s="1"/>
  <c r="AB450" i="5"/>
  <c r="AB486" i="5"/>
  <c r="AC486" i="5" s="1"/>
  <c r="AB318" i="5"/>
  <c r="AC318" i="5" s="1"/>
  <c r="AB66" i="5"/>
  <c r="AC66" i="5" s="1"/>
  <c r="AB390" i="5"/>
  <c r="AC390" i="5" s="1"/>
  <c r="AB138" i="5"/>
  <c r="AB522" i="5"/>
  <c r="AB330" i="5"/>
  <c r="AB222" i="5"/>
  <c r="AB150" i="5"/>
  <c r="AB282" i="5"/>
  <c r="AC282" i="5" s="1"/>
  <c r="AB174" i="5"/>
  <c r="AB114" i="5"/>
  <c r="AB126" i="5"/>
  <c r="AC126" i="5" s="1"/>
  <c r="AB102" i="5"/>
  <c r="AC102" i="5" s="1"/>
  <c r="AB42" i="5"/>
  <c r="AB438" i="5"/>
  <c r="AC438" i="5" s="1"/>
  <c r="AB6" i="5"/>
  <c r="AC6" i="5" s="1"/>
  <c r="AB78" i="5"/>
  <c r="AB30" i="5"/>
  <c r="AC30" i="5" s="1"/>
  <c r="AB378" i="5"/>
  <c r="AC378" i="5" s="1"/>
  <c r="AB210" i="5"/>
  <c r="AC210" i="5" s="1"/>
  <c r="AB90" i="5"/>
  <c r="AC90" i="5" s="1"/>
  <c r="AB162" i="5"/>
  <c r="AC162" i="5" s="1"/>
  <c r="AB18" i="5"/>
  <c r="AB545" i="5"/>
  <c r="AB533" i="5"/>
  <c r="AB401" i="5"/>
  <c r="AC401" i="5" s="1"/>
  <c r="AB497" i="5"/>
  <c r="AB461" i="5"/>
  <c r="AB197" i="5"/>
  <c r="AB569" i="5"/>
  <c r="AC569" i="5" s="1"/>
  <c r="AB473" i="5"/>
  <c r="AC473" i="5" s="1"/>
  <c r="AB341" i="5"/>
  <c r="AC341" i="5" s="1"/>
  <c r="AB509" i="5"/>
  <c r="AC509" i="5" s="1"/>
  <c r="AB449" i="5"/>
  <c r="AB425" i="5"/>
  <c r="AB317" i="5"/>
  <c r="AB485" i="5"/>
  <c r="AB281" i="5"/>
  <c r="AB557" i="5"/>
  <c r="AB353" i="5"/>
  <c r="AB65" i="5"/>
  <c r="AB53" i="5"/>
  <c r="AB161" i="5"/>
  <c r="AB41" i="5"/>
  <c r="AB305" i="5"/>
  <c r="AB245" i="5"/>
  <c r="AC245" i="5" s="1"/>
  <c r="AB521" i="5"/>
  <c r="AB269" i="5"/>
  <c r="AB377" i="5"/>
  <c r="AB329" i="5"/>
  <c r="AB365" i="5"/>
  <c r="AC365" i="5" s="1"/>
  <c r="AB17" i="5"/>
  <c r="AC17" i="5" s="1"/>
  <c r="AB77" i="5"/>
  <c r="AC77" i="5" s="1"/>
  <c r="AB389" i="5"/>
  <c r="AB185" i="5"/>
  <c r="AB101" i="5"/>
  <c r="AB137" i="5"/>
  <c r="AC137" i="5" s="1"/>
  <c r="AB221" i="5"/>
  <c r="AB89" i="5"/>
  <c r="AB149" i="5"/>
  <c r="AB29" i="5"/>
  <c r="AB125" i="5"/>
  <c r="AB437" i="5"/>
  <c r="AC437" i="5" s="1"/>
  <c r="AB233" i="5"/>
  <c r="AC233" i="5" s="1"/>
  <c r="AB257" i="5"/>
  <c r="AB413" i="5"/>
  <c r="AB293" i="5"/>
  <c r="AB209" i="5"/>
  <c r="AC209" i="5" s="1"/>
  <c r="AA92" i="5"/>
  <c r="AD92" i="5"/>
  <c r="AD284" i="5"/>
  <c r="AA284" i="5"/>
  <c r="AA462" i="5"/>
  <c r="AD462" i="5"/>
  <c r="AD494" i="5"/>
  <c r="AA494" i="5"/>
  <c r="AC570" i="5"/>
  <c r="AA309" i="5"/>
  <c r="AC309" i="5" s="1"/>
  <c r="AD309" i="5"/>
  <c r="AA408" i="5"/>
  <c r="AD281" i="5"/>
  <c r="AA281" i="5"/>
  <c r="AA50" i="5"/>
  <c r="AD156" i="5"/>
  <c r="AA156" i="5"/>
  <c r="AA171" i="5"/>
  <c r="AA189" i="5"/>
  <c r="AD189" i="5"/>
  <c r="AA550" i="5"/>
  <c r="AD550" i="5"/>
  <c r="AD236" i="5"/>
  <c r="AD444" i="5"/>
  <c r="AA444" i="5"/>
  <c r="AD193" i="5"/>
  <c r="AA193" i="5"/>
  <c r="AD216" i="5"/>
  <c r="AD223" i="5"/>
  <c r="AA20" i="5"/>
  <c r="AA32" i="5"/>
  <c r="AD133" i="5"/>
  <c r="AA133" i="5"/>
  <c r="AA206" i="5"/>
  <c r="AB289" i="5"/>
  <c r="AB481" i="5"/>
  <c r="AA127" i="5"/>
  <c r="AA16" i="5"/>
  <c r="AA18" i="5"/>
  <c r="AD34" i="5"/>
  <c r="AA57" i="5"/>
  <c r="AD95" i="5"/>
  <c r="AA95" i="5"/>
  <c r="AA111" i="5"/>
  <c r="AD269" i="5"/>
  <c r="AA269" i="5"/>
  <c r="AB506" i="5"/>
  <c r="AC506" i="5" s="1"/>
  <c r="AB458" i="5"/>
  <c r="AB314" i="5"/>
  <c r="AB446" i="5"/>
  <c r="AB302" i="5"/>
  <c r="AB494" i="5"/>
  <c r="AB374" i="5"/>
  <c r="AB362" i="5"/>
  <c r="AB278" i="5"/>
  <c r="AB146" i="5"/>
  <c r="AC146" i="5" s="1"/>
  <c r="AB434" i="5"/>
  <c r="AB350" i="5"/>
  <c r="AB326" i="5"/>
  <c r="AB242" i="5"/>
  <c r="AB542" i="5"/>
  <c r="AB230" i="5"/>
  <c r="AB386" i="5"/>
  <c r="AB338" i="5"/>
  <c r="AB422" i="5"/>
  <c r="AB566" i="5"/>
  <c r="AB518" i="5"/>
  <c r="AB290" i="5"/>
  <c r="AB482" i="5"/>
  <c r="AB398" i="5"/>
  <c r="AB98" i="5"/>
  <c r="AC98" i="5" s="1"/>
  <c r="AB470" i="5"/>
  <c r="AC470" i="5" s="1"/>
  <c r="AB134" i="5"/>
  <c r="AB554" i="5"/>
  <c r="AB530" i="5"/>
  <c r="AB410" i="5"/>
  <c r="AB14" i="5"/>
  <c r="AC14" i="5" s="1"/>
  <c r="AD62" i="5"/>
  <c r="AA62" i="5"/>
  <c r="AA114" i="5"/>
  <c r="AD114" i="5"/>
  <c r="AA174" i="5"/>
  <c r="AD174" i="5"/>
  <c r="AB206" i="5"/>
  <c r="AB254" i="5"/>
  <c r="AC254" i="5" s="1"/>
  <c r="AD515" i="5"/>
  <c r="AA515" i="5"/>
  <c r="AB103" i="5"/>
  <c r="AC103" i="5" s="1"/>
  <c r="AB127" i="5"/>
  <c r="AB26" i="5"/>
  <c r="AD48" i="5"/>
  <c r="AB62" i="5"/>
  <c r="AA125" i="5"/>
  <c r="AA351" i="5"/>
  <c r="AB67" i="5"/>
  <c r="AA93" i="5"/>
  <c r="AD101" i="5"/>
  <c r="AA101" i="5"/>
  <c r="AD190" i="5"/>
  <c r="AD327" i="5"/>
  <c r="AA331" i="5"/>
  <c r="AD331" i="5"/>
  <c r="AA10" i="5"/>
  <c r="AD96" i="5"/>
  <c r="AA96" i="5"/>
  <c r="AA184" i="5"/>
  <c r="AA194" i="5"/>
  <c r="AD306" i="5"/>
  <c r="AA306" i="5"/>
  <c r="AD392" i="5"/>
  <c r="AA392" i="5"/>
  <c r="AD410" i="5"/>
  <c r="AA410" i="5"/>
  <c r="AD516" i="5"/>
  <c r="AA516" i="5"/>
  <c r="AB523" i="5"/>
  <c r="AC523" i="5" s="1"/>
  <c r="AB511" i="5"/>
  <c r="AB379" i="5"/>
  <c r="AB475" i="5"/>
  <c r="AC475" i="5" s="1"/>
  <c r="AB571" i="5"/>
  <c r="AB499" i="5"/>
  <c r="AB355" i="5"/>
  <c r="AB391" i="5"/>
  <c r="AC391" i="5" s="1"/>
  <c r="AB175" i="5"/>
  <c r="AB403" i="5"/>
  <c r="AC403" i="5" s="1"/>
  <c r="AB367" i="5"/>
  <c r="AB271" i="5"/>
  <c r="AB463" i="5"/>
  <c r="AC463" i="5" s="1"/>
  <c r="AB451" i="5"/>
  <c r="AB295" i="5"/>
  <c r="AB259" i="5"/>
  <c r="AB427" i="5"/>
  <c r="AB187" i="5"/>
  <c r="AB43" i="5"/>
  <c r="AC43" i="5" s="1"/>
  <c r="AB343" i="5"/>
  <c r="AB235" i="5"/>
  <c r="AB163" i="5"/>
  <c r="AB199" i="5"/>
  <c r="AB439" i="5"/>
  <c r="AB283" i="5"/>
  <c r="AC283" i="5" s="1"/>
  <c r="AB247" i="5"/>
  <c r="AB307" i="5"/>
  <c r="AB547" i="5"/>
  <c r="AB223" i="5"/>
  <c r="AC223" i="5" s="1"/>
  <c r="AB331" i="5"/>
  <c r="AB559" i="5"/>
  <c r="AB535" i="5"/>
  <c r="AB139" i="5"/>
  <c r="AB319" i="5"/>
  <c r="AC319" i="5" s="1"/>
  <c r="AD80" i="5"/>
  <c r="AA130" i="5"/>
  <c r="AB55" i="5"/>
  <c r="AB74" i="5"/>
  <c r="AB194" i="5"/>
  <c r="AD255" i="5"/>
  <c r="AA255" i="5"/>
  <c r="AD278" i="5"/>
  <c r="AA278" i="5"/>
  <c r="AD115" i="5"/>
  <c r="AA115" i="5"/>
  <c r="AB151" i="5"/>
  <c r="AD238" i="5"/>
  <c r="AA238" i="5"/>
  <c r="AD311" i="5"/>
  <c r="AA311" i="5"/>
  <c r="AB415" i="5"/>
  <c r="AD455" i="5"/>
  <c r="AA455" i="5"/>
  <c r="AA497" i="5"/>
  <c r="AD497" i="5"/>
  <c r="AD175" i="5"/>
  <c r="AA175" i="5"/>
  <c r="AA221" i="5"/>
  <c r="AB19" i="5"/>
  <c r="AA58" i="5"/>
  <c r="AD58" i="5"/>
  <c r="AB79" i="5"/>
  <c r="AD198" i="5"/>
  <c r="AA287" i="5"/>
  <c r="AD17" i="5"/>
  <c r="AA42" i="5"/>
  <c r="AD191" i="5"/>
  <c r="AA260" i="5"/>
  <c r="AD340" i="5"/>
  <c r="AA340" i="5"/>
  <c r="AD542" i="5"/>
  <c r="AA542" i="5"/>
  <c r="AA547" i="5"/>
  <c r="AB528" i="5"/>
  <c r="AC528" i="5" s="1"/>
  <c r="AB480" i="5"/>
  <c r="AB420" i="5"/>
  <c r="AB336" i="5"/>
  <c r="AB492" i="5"/>
  <c r="AB456" i="5"/>
  <c r="AB324" i="5"/>
  <c r="AB444" i="5"/>
  <c r="AB468" i="5"/>
  <c r="AB576" i="5"/>
  <c r="AB360" i="5"/>
  <c r="AB312" i="5"/>
  <c r="AB168" i="5"/>
  <c r="AB540" i="5"/>
  <c r="AC540" i="5" s="1"/>
  <c r="AB264" i="5"/>
  <c r="AB252" i="5"/>
  <c r="AB384" i="5"/>
  <c r="AB504" i="5"/>
  <c r="AB288" i="5"/>
  <c r="AB300" i="5"/>
  <c r="AB144" i="5"/>
  <c r="AB552" i="5"/>
  <c r="AB564" i="5"/>
  <c r="AB396" i="5"/>
  <c r="AB228" i="5"/>
  <c r="AB12" i="5"/>
  <c r="AC12" i="5" s="1"/>
  <c r="AB132" i="5"/>
  <c r="AB408" i="5"/>
  <c r="AB372" i="5"/>
  <c r="AB276" i="5"/>
  <c r="AC276" i="5" s="1"/>
  <c r="AB120" i="5"/>
  <c r="AC120" i="5" s="1"/>
  <c r="AB192" i="5"/>
  <c r="AB84" i="5"/>
  <c r="AB348" i="5"/>
  <c r="AC348" i="5" s="1"/>
  <c r="AB180" i="5"/>
  <c r="AA15" i="5"/>
  <c r="AA23" i="5"/>
  <c r="AD27" i="5"/>
  <c r="AA27" i="5"/>
  <c r="AB31" i="5"/>
  <c r="AA107" i="5"/>
  <c r="AD123" i="5"/>
  <c r="AA182" i="5"/>
  <c r="AB218" i="5"/>
  <c r="AA456" i="5"/>
  <c r="AD456" i="5"/>
  <c r="AB479" i="5"/>
  <c r="AB467" i="5"/>
  <c r="AB575" i="5"/>
  <c r="AB563" i="5"/>
  <c r="AC563" i="5" s="1"/>
  <c r="AB551" i="5"/>
  <c r="AB539" i="5"/>
  <c r="AB527" i="5"/>
  <c r="AB431" i="5"/>
  <c r="AC431" i="5" s="1"/>
  <c r="AB383" i="5"/>
  <c r="AB395" i="5"/>
  <c r="AB515" i="5"/>
  <c r="AB323" i="5"/>
  <c r="AB263" i="5"/>
  <c r="AB371" i="5"/>
  <c r="AB419" i="5"/>
  <c r="AC419" i="5" s="1"/>
  <c r="AB227" i="5"/>
  <c r="AB215" i="5"/>
  <c r="AB335" i="5"/>
  <c r="AB503" i="5"/>
  <c r="AB311" i="5"/>
  <c r="AB131" i="5"/>
  <c r="AC131" i="5" s="1"/>
  <c r="AB491" i="5"/>
  <c r="AB455" i="5"/>
  <c r="AB143" i="5"/>
  <c r="AC143" i="5" s="1"/>
  <c r="AB119" i="5"/>
  <c r="AB107" i="5"/>
  <c r="AB347" i="5"/>
  <c r="AC347" i="5" s="1"/>
  <c r="AB443" i="5"/>
  <c r="AB299" i="5"/>
  <c r="AB83" i="5"/>
  <c r="AC83" i="5" s="1"/>
  <c r="AB251" i="5"/>
  <c r="AB179" i="5"/>
  <c r="AC179" i="5" s="1"/>
  <c r="AB155" i="5"/>
  <c r="AB71" i="5"/>
  <c r="AC71" i="5" s="1"/>
  <c r="AB407" i="5"/>
  <c r="AB359" i="5"/>
  <c r="AC359" i="5" s="1"/>
  <c r="AB167" i="5"/>
  <c r="AB95" i="5"/>
  <c r="AD47" i="5"/>
  <c r="AA47" i="5"/>
  <c r="AD126" i="5"/>
  <c r="AD129" i="5"/>
  <c r="AA129" i="5"/>
  <c r="AB158" i="5"/>
  <c r="AC158" i="5" s="1"/>
  <c r="AD161" i="5"/>
  <c r="AA161" i="5"/>
  <c r="AB182" i="5"/>
  <c r="AD466" i="5"/>
  <c r="AA466" i="5"/>
  <c r="AD527" i="5"/>
  <c r="AA527" i="5"/>
  <c r="AD291" i="5"/>
  <c r="AA291" i="5"/>
  <c r="AD460" i="5"/>
  <c r="AA460" i="5"/>
  <c r="AD79" i="5"/>
  <c r="AA79" i="5"/>
  <c r="AD118" i="5"/>
  <c r="AA118" i="5"/>
  <c r="AA63" i="5"/>
  <c r="AA84" i="5"/>
  <c r="AA149" i="5"/>
  <c r="AB23" i="5"/>
  <c r="AB457" i="5"/>
  <c r="AB445" i="5"/>
  <c r="AB541" i="5"/>
  <c r="AC541" i="5" s="1"/>
  <c r="AB529" i="5"/>
  <c r="AB517" i="5"/>
  <c r="AB505" i="5"/>
  <c r="AB565" i="5"/>
  <c r="AB397" i="5"/>
  <c r="AB553" i="5"/>
  <c r="AB241" i="5"/>
  <c r="AC241" i="5" s="1"/>
  <c r="AB493" i="5"/>
  <c r="AB421" i="5"/>
  <c r="AB373" i="5"/>
  <c r="AB337" i="5"/>
  <c r="AB205" i="5"/>
  <c r="AC205" i="5" s="1"/>
  <c r="AB193" i="5"/>
  <c r="AB361" i="5"/>
  <c r="AB313" i="5"/>
  <c r="AB145" i="5"/>
  <c r="AB109" i="5"/>
  <c r="AC109" i="5" s="1"/>
  <c r="AB97" i="5"/>
  <c r="AB85" i="5"/>
  <c r="AB409" i="5"/>
  <c r="AC409" i="5" s="1"/>
  <c r="AB265" i="5"/>
  <c r="AC265" i="5" s="1"/>
  <c r="AB433" i="5"/>
  <c r="AB157" i="5"/>
  <c r="AC157" i="5" s="1"/>
  <c r="AB349" i="5"/>
  <c r="AB577" i="5"/>
  <c r="AB277" i="5"/>
  <c r="AC277" i="5" s="1"/>
  <c r="AB49" i="5"/>
  <c r="AC49" i="5" s="1"/>
  <c r="AB301" i="5"/>
  <c r="AB37" i="5"/>
  <c r="AB13" i="5"/>
  <c r="AB469" i="5"/>
  <c r="AB229" i="5"/>
  <c r="AB133" i="5"/>
  <c r="AB25" i="5"/>
  <c r="AB47" i="5"/>
  <c r="AA82" i="5"/>
  <c r="AD82" i="5"/>
  <c r="AA110" i="5"/>
  <c r="AD135" i="5"/>
  <c r="AA135" i="5"/>
  <c r="AA155" i="5"/>
  <c r="AD164" i="5"/>
  <c r="AA164" i="5"/>
  <c r="AB170" i="5"/>
  <c r="AC170" i="5" s="1"/>
  <c r="AB239" i="5"/>
  <c r="AB325" i="5"/>
  <c r="AA508" i="5"/>
  <c r="AD508" i="5"/>
  <c r="AB91" i="5"/>
  <c r="AA112" i="5"/>
  <c r="AD140" i="5"/>
  <c r="AA140" i="5"/>
  <c r="AA21" i="5"/>
  <c r="AA31" i="5"/>
  <c r="AD49" i="5"/>
  <c r="AB501" i="5"/>
  <c r="AC501" i="5" s="1"/>
  <c r="AB489" i="5"/>
  <c r="AB357" i="5"/>
  <c r="AB573" i="5"/>
  <c r="AB561" i="5"/>
  <c r="AC561" i="5" s="1"/>
  <c r="AB549" i="5"/>
  <c r="AB477" i="5"/>
  <c r="AB369" i="5"/>
  <c r="AC369" i="5" s="1"/>
  <c r="AB429" i="5"/>
  <c r="AB285" i="5"/>
  <c r="AB153" i="5"/>
  <c r="AB405" i="5"/>
  <c r="AB381" i="5"/>
  <c r="AB321" i="5"/>
  <c r="AB417" i="5"/>
  <c r="AB537" i="5"/>
  <c r="AB249" i="5"/>
  <c r="AB237" i="5"/>
  <c r="AB525" i="5"/>
  <c r="AB453" i="5"/>
  <c r="AC453" i="5" s="1"/>
  <c r="AB465" i="5"/>
  <c r="AC465" i="5" s="1"/>
  <c r="AB333" i="5"/>
  <c r="AB165" i="5"/>
  <c r="AC165" i="5" s="1"/>
  <c r="AB261" i="5"/>
  <c r="AB201" i="5"/>
  <c r="AB141" i="5"/>
  <c r="AB129" i="5"/>
  <c r="AB177" i="5"/>
  <c r="AC177" i="5" s="1"/>
  <c r="AB273" i="5"/>
  <c r="AB117" i="5"/>
  <c r="AB81" i="5"/>
  <c r="AB45" i="5"/>
  <c r="AB441" i="5"/>
  <c r="AB69" i="5"/>
  <c r="AB513" i="5"/>
  <c r="AB297" i="5"/>
  <c r="AC297" i="5" s="1"/>
  <c r="AB11" i="5"/>
  <c r="AC11" i="5" s="1"/>
  <c r="AB38" i="5"/>
  <c r="AC38" i="5" s="1"/>
  <c r="AB61" i="5"/>
  <c r="AC61" i="5" s="1"/>
  <c r="AB110" i="5"/>
  <c r="AB121" i="5"/>
  <c r="AC121" i="5" s="1"/>
  <c r="AA199" i="5"/>
  <c r="AB345" i="5"/>
  <c r="AB385" i="5"/>
  <c r="AC385" i="5" s="1"/>
  <c r="AD417" i="5"/>
  <c r="AA417" i="5"/>
  <c r="AB112" i="5"/>
  <c r="AD141" i="5"/>
  <c r="AA141" i="5"/>
  <c r="AB224" i="5"/>
  <c r="AC224" i="5" s="1"/>
  <c r="AD229" i="5"/>
  <c r="AA229" i="5"/>
  <c r="AD300" i="5"/>
  <c r="AA300" i="5"/>
  <c r="AB135" i="5"/>
  <c r="AD197" i="5"/>
  <c r="AA197" i="5"/>
  <c r="AA219" i="5"/>
  <c r="AD247" i="5"/>
  <c r="AA247" i="5"/>
  <c r="AB255" i="5"/>
  <c r="AD329" i="5"/>
  <c r="AA329" i="5"/>
  <c r="AD370" i="5"/>
  <c r="AA370" i="5"/>
  <c r="AB99" i="5"/>
  <c r="AC99" i="5" s="1"/>
  <c r="AD137" i="5"/>
  <c r="AD163" i="5"/>
  <c r="AA163" i="5"/>
  <c r="AA192" i="5"/>
  <c r="AD192" i="5"/>
  <c r="AD363" i="5"/>
  <c r="AA363" i="5"/>
  <c r="AD472" i="5"/>
  <c r="AA472" i="5"/>
  <c r="L18" i="9"/>
  <c r="AA212" i="5"/>
  <c r="AD411" i="5"/>
  <c r="AA411" i="5"/>
  <c r="AD434" i="5"/>
  <c r="AA434" i="5"/>
  <c r="AB544" i="5"/>
  <c r="AD559" i="5"/>
  <c r="AA559" i="5"/>
  <c r="AD200" i="5"/>
  <c r="AA200" i="5"/>
  <c r="AD207" i="5"/>
  <c r="AA207" i="5"/>
  <c r="AD222" i="5"/>
  <c r="AA222" i="5"/>
  <c r="AD237" i="5"/>
  <c r="AA237" i="5"/>
  <c r="AD307" i="5"/>
  <c r="AA307" i="5"/>
  <c r="AB572" i="5"/>
  <c r="AC572" i="5" s="1"/>
  <c r="AB524" i="5"/>
  <c r="AB512" i="5"/>
  <c r="AB452" i="5"/>
  <c r="AC452" i="5" s="1"/>
  <c r="AB404" i="5"/>
  <c r="AB560" i="5"/>
  <c r="AB548" i="5"/>
  <c r="AB536" i="5"/>
  <c r="AC536" i="5" s="1"/>
  <c r="AB416" i="5"/>
  <c r="AB428" i="5"/>
  <c r="AB212" i="5"/>
  <c r="AB308" i="5"/>
  <c r="AB440" i="5"/>
  <c r="AC440" i="5" s="1"/>
  <c r="AB392" i="5"/>
  <c r="AB500" i="5"/>
  <c r="AC500" i="5" s="1"/>
  <c r="AB284" i="5"/>
  <c r="AB488" i="5"/>
  <c r="AC488" i="5" s="1"/>
  <c r="AB356" i="5"/>
  <c r="AB176" i="5"/>
  <c r="AC176" i="5" s="1"/>
  <c r="AB272" i="5"/>
  <c r="AB248" i="5"/>
  <c r="AB188" i="5"/>
  <c r="AC188" i="5" s="1"/>
  <c r="AB464" i="5"/>
  <c r="AB380" i="5"/>
  <c r="AB332" i="5"/>
  <c r="AB344" i="5"/>
  <c r="AB260" i="5"/>
  <c r="AB52" i="5"/>
  <c r="AB172" i="5"/>
  <c r="AB200" i="5"/>
  <c r="AB304" i="5"/>
  <c r="AB320" i="5"/>
  <c r="AB339" i="5"/>
  <c r="AC339" i="5" s="1"/>
  <c r="AD356" i="5"/>
  <c r="AA356" i="5"/>
  <c r="AD371" i="5"/>
  <c r="AA371" i="5"/>
  <c r="AB476" i="5"/>
  <c r="AC476" i="5" s="1"/>
  <c r="AD225" i="5"/>
  <c r="AA225" i="5"/>
  <c r="AD273" i="5"/>
  <c r="AA273" i="5"/>
  <c r="AD505" i="5"/>
  <c r="AA505" i="5"/>
  <c r="AD555" i="5"/>
  <c r="AA555" i="5"/>
  <c r="AD560" i="5"/>
  <c r="AA560" i="5"/>
  <c r="AB567" i="5"/>
  <c r="AB435" i="5"/>
  <c r="AB555" i="5"/>
  <c r="AB423" i="5"/>
  <c r="AB519" i="5"/>
  <c r="AC519" i="5" s="1"/>
  <c r="AB495" i="5"/>
  <c r="AB483" i="5"/>
  <c r="AC483" i="5" s="1"/>
  <c r="AB411" i="5"/>
  <c r="AB543" i="5"/>
  <c r="AB531" i="5"/>
  <c r="AB459" i="5"/>
  <c r="AC459" i="5" s="1"/>
  <c r="AB303" i="5"/>
  <c r="AB219" i="5"/>
  <c r="AB375" i="5"/>
  <c r="AB447" i="5"/>
  <c r="AC447" i="5" s="1"/>
  <c r="AB315" i="5"/>
  <c r="AB363" i="5"/>
  <c r="AB291" i="5"/>
  <c r="AB231" i="5"/>
  <c r="AB87" i="5"/>
  <c r="AB195" i="5"/>
  <c r="AC195" i="5" s="1"/>
  <c r="AB183" i="5"/>
  <c r="AB75" i="5"/>
  <c r="AB471" i="5"/>
  <c r="AB207" i="5"/>
  <c r="AB63" i="5"/>
  <c r="AB327" i="5"/>
  <c r="AC327" i="5" s="1"/>
  <c r="AB267" i="5"/>
  <c r="AC267" i="5" s="1"/>
  <c r="AB507" i="5"/>
  <c r="AD203" i="5"/>
  <c r="AA203" i="5"/>
  <c r="AD289" i="5"/>
  <c r="AA289" i="5"/>
  <c r="AB368" i="5"/>
  <c r="AB412" i="5"/>
  <c r="AD458" i="5"/>
  <c r="AA458" i="5"/>
  <c r="AD556" i="5"/>
  <c r="AA556" i="5"/>
  <c r="AB64" i="5"/>
  <c r="AD136" i="5"/>
  <c r="AB296" i="5"/>
  <c r="AB340" i="5"/>
  <c r="AB387" i="5"/>
  <c r="AB484" i="5"/>
  <c r="AC484" i="5" s="1"/>
  <c r="AB568" i="5"/>
  <c r="AB436" i="5"/>
  <c r="AC436" i="5" s="1"/>
  <c r="AB556" i="5"/>
  <c r="AB448" i="5"/>
  <c r="AB292" i="5"/>
  <c r="AC292" i="5" s="1"/>
  <c r="AB508" i="5"/>
  <c r="AB388" i="5"/>
  <c r="AB496" i="5"/>
  <c r="AC496" i="5" s="1"/>
  <c r="AB472" i="5"/>
  <c r="AB280" i="5"/>
  <c r="AC280" i="5" s="1"/>
  <c r="AB256" i="5"/>
  <c r="AB520" i="5"/>
  <c r="AC520" i="5" s="1"/>
  <c r="AB352" i="5"/>
  <c r="AC352" i="5" s="1"/>
  <c r="AB328" i="5"/>
  <c r="AC328" i="5" s="1"/>
  <c r="AB220" i="5"/>
  <c r="AB460" i="5"/>
  <c r="AB400" i="5"/>
  <c r="AB208" i="5"/>
  <c r="AB376" i="5"/>
  <c r="AC376" i="5" s="1"/>
  <c r="AB316" i="5"/>
  <c r="AC316" i="5" s="1"/>
  <c r="AB268" i="5"/>
  <c r="AB424" i="5"/>
  <c r="AC424" i="5" s="1"/>
  <c r="AB232" i="5"/>
  <c r="AC232" i="5" s="1"/>
  <c r="AA117" i="5"/>
  <c r="AB164" i="5"/>
  <c r="AA208" i="5"/>
  <c r="AA274" i="5"/>
  <c r="AD373" i="5"/>
  <c r="AA373" i="5"/>
  <c r="AD398" i="5"/>
  <c r="AA398" i="5"/>
  <c r="AA576" i="5"/>
  <c r="AD576" i="5"/>
  <c r="AD218" i="5"/>
  <c r="AA218" i="5"/>
  <c r="AD280" i="5"/>
  <c r="AC354" i="5"/>
  <c r="AD502" i="5"/>
  <c r="AD482" i="5"/>
  <c r="AA482" i="5"/>
  <c r="AD251" i="5"/>
  <c r="AA251" i="5"/>
  <c r="AD295" i="5"/>
  <c r="AA295" i="5"/>
  <c r="AD360" i="5"/>
  <c r="AA360" i="5"/>
  <c r="AA564" i="5"/>
  <c r="AD290" i="5"/>
  <c r="AA290" i="5"/>
  <c r="AD344" i="5"/>
  <c r="AA344" i="5"/>
  <c r="AD357" i="5"/>
  <c r="AA357" i="5"/>
  <c r="AA374" i="5"/>
  <c r="AD374" i="5"/>
  <c r="AD394" i="5"/>
  <c r="AA394" i="5"/>
  <c r="AA397" i="5"/>
  <c r="AD397" i="5"/>
  <c r="AA467" i="5"/>
  <c r="AD483" i="5"/>
  <c r="AD544" i="5"/>
  <c r="AA544" i="5"/>
  <c r="AD215" i="5"/>
  <c r="AA215" i="5"/>
  <c r="AD258" i="5"/>
  <c r="B20" i="15"/>
  <c r="B11" i="15"/>
  <c r="B10" i="15"/>
  <c r="B9" i="15"/>
  <c r="B16" i="15"/>
  <c r="B18" i="15"/>
  <c r="B5" i="15"/>
  <c r="B23" i="15"/>
  <c r="B21" i="15"/>
  <c r="B4" i="15"/>
  <c r="B19" i="15"/>
  <c r="B22" i="15"/>
  <c r="AD288" i="5"/>
  <c r="AA288" i="5"/>
  <c r="AD421" i="5"/>
  <c r="AA421" i="5"/>
  <c r="AD525" i="5"/>
  <c r="AA525" i="5"/>
  <c r="AA533" i="5"/>
  <c r="AD293" i="5"/>
  <c r="AA293" i="5"/>
  <c r="AD315" i="5"/>
  <c r="AA315" i="5"/>
  <c r="AD375" i="5"/>
  <c r="AA375" i="5"/>
  <c r="AA418" i="5"/>
  <c r="AD418" i="5"/>
  <c r="AD442" i="5"/>
  <c r="AA442" i="5"/>
  <c r="AD504" i="5"/>
  <c r="AA504" i="5"/>
  <c r="AC279" i="5"/>
  <c r="AD301" i="5"/>
  <c r="AA301" i="5"/>
  <c r="AD443" i="5"/>
  <c r="AA443" i="5"/>
  <c r="AD185" i="5"/>
  <c r="AA185" i="5"/>
  <c r="AD259" i="5"/>
  <c r="AA259" i="5"/>
  <c r="AD279" i="5"/>
  <c r="AD367" i="5"/>
  <c r="AA367" i="5"/>
  <c r="AD387" i="5"/>
  <c r="AA387" i="5"/>
  <c r="AD407" i="5"/>
  <c r="AA407" i="5"/>
  <c r="AD244" i="5"/>
  <c r="AA244" i="5"/>
  <c r="AD266" i="5"/>
  <c r="AA266" i="5"/>
  <c r="AD299" i="5"/>
  <c r="AA299" i="5"/>
  <c r="AD390" i="5"/>
  <c r="AD503" i="5"/>
  <c r="AA503" i="5"/>
  <c r="B19" i="18"/>
  <c r="B23" i="18"/>
  <c r="B5" i="18"/>
  <c r="B9" i="18"/>
  <c r="B18" i="18"/>
  <c r="B4" i="18"/>
  <c r="B22" i="18"/>
  <c r="B10" i="18"/>
  <c r="B21" i="18"/>
  <c r="B11" i="18"/>
  <c r="B20" i="18"/>
  <c r="B16" i="18"/>
  <c r="AD427" i="5"/>
  <c r="AA427" i="5"/>
  <c r="AD548" i="5"/>
  <c r="AA548" i="5"/>
  <c r="L23" i="9"/>
  <c r="AD490" i="5"/>
  <c r="AA490" i="5"/>
  <c r="AD528" i="5"/>
  <c r="S23" i="9"/>
  <c r="AD440" i="5"/>
  <c r="AD453" i="5"/>
  <c r="AD506" i="5"/>
  <c r="AA554" i="5"/>
  <c r="U23" i="9"/>
  <c r="AD475" i="5"/>
  <c r="W23" i="9"/>
  <c r="AD572" i="5"/>
  <c r="S4" i="11"/>
  <c r="N4" i="11"/>
  <c r="E4" i="11"/>
  <c r="AB4" i="11"/>
  <c r="D4" i="11"/>
  <c r="AA4" i="11"/>
  <c r="C4" i="11"/>
  <c r="V4" i="11"/>
  <c r="U4" i="11"/>
  <c r="R4" i="11"/>
  <c r="Q4" i="11"/>
  <c r="P4" i="11"/>
  <c r="O4" i="11"/>
  <c r="J4" i="11"/>
  <c r="I4" i="11"/>
  <c r="H4" i="11"/>
  <c r="Z4" i="11"/>
  <c r="Y4" i="11"/>
  <c r="X4" i="11"/>
  <c r="W4" i="11"/>
  <c r="G4" i="11"/>
  <c r="T4" i="11"/>
  <c r="M4" i="11"/>
  <c r="O23" i="9"/>
  <c r="N23" i="9"/>
  <c r="M23" i="9"/>
  <c r="H23" i="9"/>
  <c r="G23" i="9"/>
  <c r="AA23" i="9"/>
  <c r="E23" i="9"/>
  <c r="Z23" i="9"/>
  <c r="D23" i="9"/>
  <c r="Y23" i="9"/>
  <c r="C23" i="9"/>
  <c r="AB23" i="9"/>
  <c r="R23" i="9"/>
  <c r="Q23" i="9"/>
  <c r="P23" i="9"/>
  <c r="K23" i="9"/>
  <c r="J23" i="9"/>
  <c r="I23" i="9"/>
  <c r="F23" i="9"/>
  <c r="T23" i="9"/>
  <c r="AD352" i="5"/>
  <c r="AA543" i="5"/>
  <c r="AA549" i="5"/>
  <c r="AA552" i="5"/>
  <c r="AD566" i="5"/>
  <c r="AA566" i="5"/>
  <c r="K4" i="11"/>
  <c r="AD362" i="5"/>
  <c r="AA362" i="5"/>
  <c r="J19" i="10"/>
  <c r="S19" i="10"/>
  <c r="Y19" i="10"/>
  <c r="X19" i="10"/>
  <c r="W19" i="10"/>
  <c r="Q19" i="10"/>
  <c r="P19" i="10"/>
  <c r="N19" i="10"/>
  <c r="M19" i="10"/>
  <c r="L19" i="10"/>
  <c r="K19" i="10"/>
  <c r="U19" i="10"/>
  <c r="T19" i="10"/>
  <c r="R19" i="10"/>
  <c r="I19" i="10"/>
  <c r="H19" i="10"/>
  <c r="AB19" i="10"/>
  <c r="AA19" i="10"/>
  <c r="Z19" i="10"/>
  <c r="V19" i="10"/>
  <c r="D19" i="10"/>
  <c r="C19" i="10"/>
  <c r="E19" i="10"/>
  <c r="AD512" i="5"/>
  <c r="AA512" i="5"/>
  <c r="G19" i="10"/>
  <c r="P11" i="14"/>
  <c r="O11" i="14"/>
  <c r="N11" i="14"/>
  <c r="M11" i="14"/>
  <c r="J11" i="14"/>
  <c r="I11" i="14"/>
  <c r="H11" i="14"/>
  <c r="Z11" i="14"/>
  <c r="AA11" i="14"/>
  <c r="Y11" i="14"/>
  <c r="X11" i="14"/>
  <c r="S11" i="14"/>
  <c r="V11" i="14"/>
  <c r="U11" i="14"/>
  <c r="R11" i="14"/>
  <c r="Q11" i="14"/>
  <c r="AB11" i="14"/>
  <c r="W11" i="14"/>
  <c r="T11" i="14"/>
  <c r="L11" i="14"/>
  <c r="K11" i="14"/>
  <c r="G11" i="14"/>
  <c r="F11" i="14"/>
  <c r="D11" i="14"/>
  <c r="AD534" i="5"/>
  <c r="AA534" i="5"/>
  <c r="AA433" i="5"/>
  <c r="AA450" i="5"/>
  <c r="AD522" i="5"/>
  <c r="AA522" i="5"/>
  <c r="AC522" i="5" s="1"/>
  <c r="AD570" i="5"/>
  <c r="B22" i="12"/>
  <c r="B23" i="12"/>
  <c r="B21" i="12"/>
  <c r="B19" i="12"/>
  <c r="B9" i="12"/>
  <c r="B16" i="12"/>
  <c r="B20" i="12"/>
  <c r="B4" i="12"/>
  <c r="B10" i="12"/>
  <c r="B5" i="12"/>
  <c r="B18" i="12"/>
  <c r="B11" i="12"/>
  <c r="B10" i="10"/>
  <c r="B18" i="10"/>
  <c r="B23" i="10"/>
  <c r="B22" i="10"/>
  <c r="B11" i="10"/>
  <c r="B21" i="10"/>
  <c r="B5" i="13"/>
  <c r="B18" i="13"/>
  <c r="B22" i="13"/>
  <c r="B23" i="13"/>
  <c r="B4" i="13"/>
  <c r="B11" i="13"/>
  <c r="B10" i="13"/>
  <c r="B20" i="13"/>
  <c r="B9" i="13"/>
  <c r="B16" i="13"/>
  <c r="B21" i="13"/>
  <c r="B19" i="13"/>
  <c r="B21" i="8"/>
  <c r="B19" i="8"/>
  <c r="B18" i="8"/>
  <c r="B22" i="8"/>
  <c r="B20" i="10"/>
  <c r="B9" i="8"/>
  <c r="B20" i="16"/>
  <c r="B11" i="16"/>
  <c r="B23" i="16"/>
  <c r="B9" i="16"/>
  <c r="B22" i="16"/>
  <c r="B5" i="16"/>
  <c r="B4" i="16"/>
  <c r="B18" i="16"/>
  <c r="B19" i="16"/>
  <c r="B21" i="16"/>
  <c r="B16" i="16"/>
  <c r="B10" i="16"/>
  <c r="B22" i="19"/>
  <c r="B23" i="19"/>
  <c r="B18" i="19"/>
  <c r="B21" i="19"/>
  <c r="B4" i="19"/>
  <c r="B19" i="19"/>
  <c r="B20" i="19"/>
  <c r="B10" i="19"/>
  <c r="B5" i="19"/>
  <c r="B16" i="19"/>
  <c r="B9" i="19"/>
  <c r="B11" i="19"/>
  <c r="B20" i="8"/>
  <c r="B9" i="10"/>
  <c r="B21" i="11"/>
  <c r="B22" i="11"/>
  <c r="B5" i="11"/>
  <c r="B16" i="11"/>
  <c r="B19" i="11"/>
  <c r="B18" i="11"/>
  <c r="B11" i="11"/>
  <c r="B10" i="11"/>
  <c r="B9" i="11"/>
  <c r="B20" i="11"/>
  <c r="B16" i="10"/>
  <c r="B23" i="11"/>
  <c r="B5" i="10"/>
  <c r="B21" i="9"/>
  <c r="B19" i="9"/>
  <c r="B10" i="9"/>
  <c r="B9" i="9"/>
  <c r="B5" i="9"/>
  <c r="B11" i="9"/>
  <c r="B22" i="9"/>
  <c r="B11" i="8"/>
  <c r="B4" i="9"/>
  <c r="B20" i="17"/>
  <c r="B11" i="17"/>
  <c r="B23" i="17"/>
  <c r="B22" i="17"/>
  <c r="B21" i="17"/>
  <c r="B10" i="17"/>
  <c r="B9" i="17"/>
  <c r="B4" i="17"/>
  <c r="B16" i="17"/>
  <c r="B19" i="17"/>
  <c r="B5" i="17"/>
  <c r="B18" i="17"/>
  <c r="B19" i="20"/>
  <c r="B22" i="20"/>
  <c r="B23" i="20"/>
  <c r="B16" i="20"/>
  <c r="B11" i="20"/>
  <c r="B21" i="20"/>
  <c r="B20" i="20"/>
  <c r="B5" i="20"/>
  <c r="B9" i="20"/>
  <c r="B10" i="20"/>
  <c r="B18" i="20"/>
  <c r="B4" i="20"/>
  <c r="B20" i="14"/>
  <c r="B5" i="14"/>
  <c r="B9" i="14"/>
  <c r="B18" i="14"/>
  <c r="B22" i="14"/>
  <c r="B19" i="14"/>
  <c r="B21" i="14"/>
  <c r="B16" i="14"/>
  <c r="B4" i="14"/>
  <c r="B23" i="14"/>
  <c r="B19" i="22"/>
  <c r="B10" i="22"/>
  <c r="B5" i="22"/>
  <c r="B18" i="22"/>
  <c r="B22" i="22"/>
  <c r="B16" i="22"/>
  <c r="B21" i="22"/>
  <c r="B23" i="22"/>
  <c r="B11" i="22"/>
  <c r="B4" i="22"/>
  <c r="B9" i="22"/>
  <c r="B20" i="22"/>
  <c r="B10" i="14"/>
  <c r="B19" i="21"/>
  <c r="B10" i="21"/>
  <c r="B5" i="21"/>
  <c r="B22" i="21"/>
  <c r="B11" i="21"/>
  <c r="B4" i="21"/>
  <c r="B20" i="21"/>
  <c r="B9" i="21"/>
  <c r="B21" i="21"/>
  <c r="B16" i="21"/>
  <c r="B18" i="21"/>
  <c r="B23" i="21"/>
  <c r="AC312" i="5" l="1"/>
  <c r="AC562" i="5"/>
  <c r="H7" i="7"/>
  <c r="AC173" i="5"/>
  <c r="AC227" i="5"/>
  <c r="AC211" i="5"/>
  <c r="AE211" i="5" s="1"/>
  <c r="H19" i="7"/>
  <c r="H17" i="7"/>
  <c r="AC134" i="5"/>
  <c r="AE134" i="5" s="1"/>
  <c r="AC499" i="5"/>
  <c r="AC213" i="5"/>
  <c r="AF213" i="5" s="1"/>
  <c r="AC379" i="5"/>
  <c r="AE379" i="5" s="1"/>
  <c r="K4" i="8"/>
  <c r="D4" i="8"/>
  <c r="M4" i="8"/>
  <c r="I8" i="7"/>
  <c r="AC425" i="5"/>
  <c r="AE425" i="5" s="1"/>
  <c r="P4" i="8"/>
  <c r="H9" i="7"/>
  <c r="H6" i="7"/>
  <c r="AC553" i="5"/>
  <c r="AE553" i="5" s="1"/>
  <c r="H16" i="7"/>
  <c r="AC244" i="5"/>
  <c r="AF244" i="5" s="1"/>
  <c r="R4" i="8"/>
  <c r="AC256" i="5"/>
  <c r="AF256" i="5" s="1"/>
  <c r="AC333" i="5"/>
  <c r="AE333" i="5" s="1"/>
  <c r="AC462" i="5"/>
  <c r="AE462" i="5" s="1"/>
  <c r="T20" i="9"/>
  <c r="AC530" i="5"/>
  <c r="AE530" i="5" s="1"/>
  <c r="AC248" i="5"/>
  <c r="AE248" i="5" s="1"/>
  <c r="AC151" i="5"/>
  <c r="AF151" i="5" s="1"/>
  <c r="AC480" i="5"/>
  <c r="AE480" i="5" s="1"/>
  <c r="M18" i="9"/>
  <c r="H8" i="7"/>
  <c r="AC152" i="5"/>
  <c r="AF152" i="5" s="1"/>
  <c r="AC415" i="5"/>
  <c r="AF415" i="5" s="1"/>
  <c r="AC89" i="5"/>
  <c r="AE89" i="5" s="1"/>
  <c r="AC485" i="5"/>
  <c r="AF485" i="5" s="1"/>
  <c r="AC542" i="5"/>
  <c r="AE542" i="5" s="1"/>
  <c r="AC529" i="5"/>
  <c r="AF529" i="5" s="1"/>
  <c r="AC414" i="5"/>
  <c r="AE414" i="5" s="1"/>
  <c r="AC264" i="5"/>
  <c r="AE264" i="5" s="1"/>
  <c r="W16" i="9"/>
  <c r="AC531" i="5"/>
  <c r="AF531" i="5" s="1"/>
  <c r="X16" i="9"/>
  <c r="L16" i="9"/>
  <c r="AC202" i="5"/>
  <c r="H5" i="7"/>
  <c r="AC389" i="5"/>
  <c r="AE389" i="5" s="1"/>
  <c r="AC287" i="5"/>
  <c r="AF287" i="5" s="1"/>
  <c r="Y16" i="9"/>
  <c r="R16" i="9"/>
  <c r="AC450" i="5"/>
  <c r="AF450" i="5" s="1"/>
  <c r="AC125" i="5"/>
  <c r="AF125" i="5" s="1"/>
  <c r="AC343" i="5"/>
  <c r="AE343" i="5" s="1"/>
  <c r="AC204" i="5"/>
  <c r="AE204" i="5" s="1"/>
  <c r="H11" i="7"/>
  <c r="V23" i="8"/>
  <c r="H23" i="8"/>
  <c r="AC138" i="5"/>
  <c r="AE138" i="5" s="1"/>
  <c r="I23" i="8"/>
  <c r="AF104" i="5"/>
  <c r="AG104" i="5" s="1"/>
  <c r="AK104" i="5" s="1"/>
  <c r="M16" i="9"/>
  <c r="I16" i="7"/>
  <c r="AC184" i="5"/>
  <c r="AF184" i="5" s="1"/>
  <c r="AC186" i="5"/>
  <c r="AE186" i="5" s="1"/>
  <c r="AC461" i="5"/>
  <c r="AF461" i="5" s="1"/>
  <c r="N16" i="9"/>
  <c r="L23" i="8"/>
  <c r="AC252" i="5"/>
  <c r="AE252" i="5" s="1"/>
  <c r="T23" i="8"/>
  <c r="AC395" i="5"/>
  <c r="AF395" i="5" s="1"/>
  <c r="AC172" i="5"/>
  <c r="AE172" i="5" s="1"/>
  <c r="AC338" i="5"/>
  <c r="AF338" i="5" s="1"/>
  <c r="O16" i="9"/>
  <c r="P23" i="8"/>
  <c r="S16" i="9"/>
  <c r="V18" i="9"/>
  <c r="U23" i="8"/>
  <c r="K23" i="8"/>
  <c r="V16" i="9"/>
  <c r="W18" i="9"/>
  <c r="J16" i="9"/>
  <c r="X23" i="8"/>
  <c r="AA18" i="9"/>
  <c r="W4" i="8"/>
  <c r="K16" i="9"/>
  <c r="D18" i="9"/>
  <c r="H15" i="7"/>
  <c r="H18" i="7"/>
  <c r="Y20" i="9"/>
  <c r="N18" i="9"/>
  <c r="S4" i="8"/>
  <c r="F16" i="9"/>
  <c r="U20" i="9"/>
  <c r="AC225" i="5"/>
  <c r="AE225" i="5" s="1"/>
  <c r="X18" i="9"/>
  <c r="X20" i="9"/>
  <c r="Y18" i="9"/>
  <c r="AC106" i="5"/>
  <c r="AF106" i="5" s="1"/>
  <c r="AB16" i="9"/>
  <c r="Z20" i="9"/>
  <c r="Z18" i="9"/>
  <c r="H14" i="7"/>
  <c r="AA20" i="9"/>
  <c r="F18" i="9"/>
  <c r="Q20" i="9"/>
  <c r="T16" i="9"/>
  <c r="AB18" i="9"/>
  <c r="I20" i="9"/>
  <c r="G18" i="9"/>
  <c r="AC433" i="5"/>
  <c r="AF433" i="5" s="1"/>
  <c r="J20" i="9"/>
  <c r="K18" i="9"/>
  <c r="AC21" i="5"/>
  <c r="AE21" i="5" s="1"/>
  <c r="H16" i="9"/>
  <c r="R20" i="9"/>
  <c r="P18" i="9"/>
  <c r="E20" i="9"/>
  <c r="I16" i="9"/>
  <c r="S20" i="9"/>
  <c r="AC384" i="5"/>
  <c r="AF384" i="5" s="1"/>
  <c r="AC573" i="5"/>
  <c r="AE573" i="5" s="1"/>
  <c r="AC351" i="5"/>
  <c r="AE351" i="5" s="1"/>
  <c r="N23" i="8"/>
  <c r="V20" i="9"/>
  <c r="H4" i="8"/>
  <c r="C5" i="8"/>
  <c r="P16" i="9"/>
  <c r="E10" i="8"/>
  <c r="W20" i="9"/>
  <c r="I4" i="8"/>
  <c r="H18" i="9"/>
  <c r="AC537" i="5"/>
  <c r="AF537" i="5" s="1"/>
  <c r="U10" i="8"/>
  <c r="Y4" i="8"/>
  <c r="AC314" i="5"/>
  <c r="AF314" i="5" s="1"/>
  <c r="O23" i="8"/>
  <c r="AA10" i="8"/>
  <c r="AC304" i="5"/>
  <c r="AE304" i="5" s="1"/>
  <c r="AC518" i="5"/>
  <c r="AF518" i="5" s="1"/>
  <c r="AA5" i="8"/>
  <c r="Q16" i="9"/>
  <c r="G10" i="8"/>
  <c r="D20" i="9"/>
  <c r="F20" i="9"/>
  <c r="L4" i="8"/>
  <c r="AC435" i="5"/>
  <c r="AE435" i="5" s="1"/>
  <c r="J18" i="9"/>
  <c r="AC219" i="5"/>
  <c r="AF219" i="5" s="1"/>
  <c r="AC451" i="5"/>
  <c r="AE451" i="5" s="1"/>
  <c r="AC449" i="5"/>
  <c r="AE449" i="5" s="1"/>
  <c r="AC302" i="5"/>
  <c r="AF302" i="5" s="1"/>
  <c r="E5" i="8"/>
  <c r="AC383" i="5"/>
  <c r="AF383" i="5" s="1"/>
  <c r="U16" i="9"/>
  <c r="AC534" i="5"/>
  <c r="AE534" i="5" s="1"/>
  <c r="L20" i="9"/>
  <c r="H20" i="9"/>
  <c r="C18" i="9"/>
  <c r="R18" i="9"/>
  <c r="AC69" i="5"/>
  <c r="AE69" i="5" s="1"/>
  <c r="AC230" i="5"/>
  <c r="AE230" i="5" s="1"/>
  <c r="AC159" i="5"/>
  <c r="AE159" i="5" s="1"/>
  <c r="AC169" i="5"/>
  <c r="AF169" i="5" s="1"/>
  <c r="AC330" i="5"/>
  <c r="AF330" i="5" s="1"/>
  <c r="V10" i="8"/>
  <c r="AA4" i="8"/>
  <c r="AC428" i="5"/>
  <c r="AE428" i="5" s="1"/>
  <c r="AC37" i="5"/>
  <c r="AF37" i="5" s="1"/>
  <c r="K20" i="9"/>
  <c r="G20" i="9"/>
  <c r="U4" i="8"/>
  <c r="AC381" i="5"/>
  <c r="AE381" i="5" s="1"/>
  <c r="AC132" i="5"/>
  <c r="AF132" i="5" s="1"/>
  <c r="D16" i="9"/>
  <c r="M20" i="9"/>
  <c r="AC357" i="5"/>
  <c r="AF357" i="5" s="1"/>
  <c r="AC332" i="5"/>
  <c r="AE332" i="5" s="1"/>
  <c r="I18" i="9"/>
  <c r="AC228" i="5"/>
  <c r="AF228" i="5" s="1"/>
  <c r="AC171" i="5"/>
  <c r="AF171" i="5" s="1"/>
  <c r="AC116" i="5"/>
  <c r="AF116" i="5" s="1"/>
  <c r="AC511" i="5"/>
  <c r="AF511" i="5" s="1"/>
  <c r="AC546" i="5"/>
  <c r="AE546" i="5" s="1"/>
  <c r="D5" i="8"/>
  <c r="AB4" i="8"/>
  <c r="AB20" i="9"/>
  <c r="AC404" i="5"/>
  <c r="AF404" i="5" s="1"/>
  <c r="F4" i="8"/>
  <c r="AC400" i="5"/>
  <c r="AF400" i="5" s="1"/>
  <c r="AC231" i="5"/>
  <c r="AF231" i="5" s="1"/>
  <c r="AC380" i="5"/>
  <c r="AF380" i="5" s="1"/>
  <c r="AC524" i="5"/>
  <c r="AF524" i="5" s="1"/>
  <c r="S18" i="9"/>
  <c r="AC445" i="5"/>
  <c r="AF445" i="5" s="1"/>
  <c r="H10" i="7"/>
  <c r="AC73" i="5"/>
  <c r="AF73" i="5" s="1"/>
  <c r="I9" i="7"/>
  <c r="X4" i="8"/>
  <c r="AC235" i="5"/>
  <c r="AF235" i="5" s="1"/>
  <c r="AC180" i="5"/>
  <c r="AF180" i="5" s="1"/>
  <c r="W10" i="8"/>
  <c r="AC140" i="5"/>
  <c r="AE140" i="5" s="1"/>
  <c r="Y10" i="8"/>
  <c r="C20" i="9"/>
  <c r="N4" i="8"/>
  <c r="R10" i="8"/>
  <c r="N20" i="9"/>
  <c r="E16" i="9"/>
  <c r="R23" i="8"/>
  <c r="O20" i="9"/>
  <c r="O4" i="8"/>
  <c r="AC464" i="5"/>
  <c r="AF464" i="5" s="1"/>
  <c r="T18" i="9"/>
  <c r="AC489" i="5"/>
  <c r="AE489" i="5" s="1"/>
  <c r="AC446" i="5"/>
  <c r="AE446" i="5" s="1"/>
  <c r="H13" i="7"/>
  <c r="AB23" i="8"/>
  <c r="Z4" i="8"/>
  <c r="X10" i="8"/>
  <c r="H10" i="8"/>
  <c r="AC268" i="5"/>
  <c r="AF268" i="5" s="1"/>
  <c r="Z16" i="9"/>
  <c r="Q23" i="8"/>
  <c r="C16" i="9"/>
  <c r="AA16" i="9"/>
  <c r="S23" i="8"/>
  <c r="G4" i="8"/>
  <c r="AC220" i="5"/>
  <c r="AE220" i="5" s="1"/>
  <c r="U18" i="9"/>
  <c r="AC547" i="5"/>
  <c r="AE547" i="5" s="1"/>
  <c r="AC355" i="5"/>
  <c r="AF355" i="5" s="1"/>
  <c r="AC100" i="5"/>
  <c r="AF100" i="5" s="1"/>
  <c r="AC54" i="5"/>
  <c r="AF54" i="5" s="1"/>
  <c r="AE4" i="5"/>
  <c r="AF4" i="5"/>
  <c r="W5" i="8"/>
  <c r="S10" i="8"/>
  <c r="X4" i="10"/>
  <c r="AC405" i="5"/>
  <c r="AF405" i="5" s="1"/>
  <c r="AC479" i="5"/>
  <c r="AE479" i="5" s="1"/>
  <c r="AC74" i="5"/>
  <c r="AE74" i="5" s="1"/>
  <c r="Z5" i="8"/>
  <c r="D10" i="8"/>
  <c r="W23" i="8"/>
  <c r="Y4" i="10"/>
  <c r="AC503" i="5"/>
  <c r="AC544" i="5"/>
  <c r="AC458" i="5"/>
  <c r="AE458" i="5" s="1"/>
  <c r="AC441" i="5"/>
  <c r="AE441" i="5" s="1"/>
  <c r="AF532" i="5"/>
  <c r="AG532" i="5" s="1"/>
  <c r="AI532" i="5" s="1"/>
  <c r="AC55" i="5"/>
  <c r="AF55" i="5" s="1"/>
  <c r="AC498" i="5"/>
  <c r="AE498" i="5" s="1"/>
  <c r="AE88" i="5"/>
  <c r="AG88" i="5" s="1"/>
  <c r="AC423" i="5"/>
  <c r="AF423" i="5" s="1"/>
  <c r="AE9" i="5"/>
  <c r="AG9" i="5" s="1"/>
  <c r="AJ9" i="5" s="1"/>
  <c r="AC575" i="5"/>
  <c r="AF575" i="5" s="1"/>
  <c r="AC281" i="5"/>
  <c r="AF281" i="5" s="1"/>
  <c r="AC360" i="5"/>
  <c r="AF360" i="5" s="1"/>
  <c r="M4" i="10"/>
  <c r="P4" i="10"/>
  <c r="I13" i="7"/>
  <c r="AB5" i="8"/>
  <c r="AB4" i="10"/>
  <c r="AC303" i="5"/>
  <c r="AF303" i="5" s="1"/>
  <c r="L5" i="8"/>
  <c r="C10" i="8"/>
  <c r="M10" i="8"/>
  <c r="D23" i="8"/>
  <c r="AC189" i="5"/>
  <c r="AE189" i="5" s="1"/>
  <c r="AC41" i="5"/>
  <c r="AF41" i="5" s="1"/>
  <c r="AC262" i="5"/>
  <c r="AF262" i="5" s="1"/>
  <c r="AC26" i="5"/>
  <c r="AF26" i="5" s="1"/>
  <c r="Z10" i="8"/>
  <c r="F10" i="8"/>
  <c r="J5" i="8"/>
  <c r="L10" i="8"/>
  <c r="D4" i="10"/>
  <c r="AC97" i="5"/>
  <c r="AF97" i="5" s="1"/>
  <c r="G5" i="8"/>
  <c r="AC362" i="5"/>
  <c r="AF362" i="5" s="1"/>
  <c r="AC548" i="5"/>
  <c r="AF548" i="5" s="1"/>
  <c r="AC145" i="5"/>
  <c r="AF145" i="5" s="1"/>
  <c r="AC182" i="5"/>
  <c r="AF182" i="5" s="1"/>
  <c r="AC577" i="5"/>
  <c r="AF577" i="5" s="1"/>
  <c r="H5" i="8"/>
  <c r="AB10" i="8"/>
  <c r="C4" i="10"/>
  <c r="AC477" i="5"/>
  <c r="AF477" i="5" s="1"/>
  <c r="AC118" i="5"/>
  <c r="AF118" i="5" s="1"/>
  <c r="AC167" i="5"/>
  <c r="AE167" i="5" s="1"/>
  <c r="AC53" i="5"/>
  <c r="AF53" i="5" s="1"/>
  <c r="AC67" i="5"/>
  <c r="AE67" i="5" s="1"/>
  <c r="AC271" i="5"/>
  <c r="AE271" i="5" s="1"/>
  <c r="Y23" i="8"/>
  <c r="R5" i="8"/>
  <c r="J10" i="8"/>
  <c r="N10" i="8"/>
  <c r="Z23" i="8"/>
  <c r="I5" i="8"/>
  <c r="K10" i="8"/>
  <c r="E23" i="8"/>
  <c r="F5" i="8"/>
  <c r="O5" i="8"/>
  <c r="O10" i="8"/>
  <c r="AA23" i="8"/>
  <c r="AC82" i="5"/>
  <c r="AE82" i="5" s="1"/>
  <c r="AC361" i="5"/>
  <c r="AF361" i="5" s="1"/>
  <c r="K5" i="8"/>
  <c r="P5" i="8"/>
  <c r="P10" i="8"/>
  <c r="F23" i="8"/>
  <c r="G23" i="8"/>
  <c r="AC448" i="5"/>
  <c r="AF448" i="5" s="1"/>
  <c r="AC79" i="5"/>
  <c r="AE79" i="5" s="1"/>
  <c r="AC263" i="5"/>
  <c r="AE263" i="5" s="1"/>
  <c r="AC107" i="5"/>
  <c r="AF107" i="5" s="1"/>
  <c r="AC432" i="5"/>
  <c r="AE432" i="5" s="1"/>
  <c r="Z4" i="10"/>
  <c r="C23" i="8"/>
  <c r="AC420" i="5"/>
  <c r="AE420" i="5" s="1"/>
  <c r="AC96" i="5"/>
  <c r="AF96" i="5" s="1"/>
  <c r="Q10" i="8"/>
  <c r="J23" i="8"/>
  <c r="AC308" i="5"/>
  <c r="AF308" i="5" s="1"/>
  <c r="AC25" i="5"/>
  <c r="AE25" i="5" s="1"/>
  <c r="AC323" i="5"/>
  <c r="AF323" i="5" s="1"/>
  <c r="AC399" i="5"/>
  <c r="AF399" i="5" s="1"/>
  <c r="AC243" i="5"/>
  <c r="AE243" i="5" s="1"/>
  <c r="AC324" i="5"/>
  <c r="AE324" i="5" s="1"/>
  <c r="AF123" i="5"/>
  <c r="AE123" i="5"/>
  <c r="AC396" i="5"/>
  <c r="AF396" i="5" s="1"/>
  <c r="AC406" i="5"/>
  <c r="AF406" i="5" s="1"/>
  <c r="AC185" i="5"/>
  <c r="AE185" i="5" s="1"/>
  <c r="AC313" i="5"/>
  <c r="AE313" i="5" s="1"/>
  <c r="AC147" i="5"/>
  <c r="AC337" i="5"/>
  <c r="AE337" i="5" s="1"/>
  <c r="AC545" i="5"/>
  <c r="AE545" i="5" s="1"/>
  <c r="AC427" i="5"/>
  <c r="AE427" i="5" s="1"/>
  <c r="AC260" i="5"/>
  <c r="AF260" i="5" s="1"/>
  <c r="AC305" i="5"/>
  <c r="AF305" i="5" s="1"/>
  <c r="AC469" i="5"/>
  <c r="AF469" i="5" s="1"/>
  <c r="AC549" i="5"/>
  <c r="AF549" i="5" s="1"/>
  <c r="V4" i="8"/>
  <c r="AC394" i="5"/>
  <c r="AE394" i="5" s="1"/>
  <c r="AC307" i="5"/>
  <c r="AE307" i="5" s="1"/>
  <c r="O18" i="9"/>
  <c r="Q18" i="9"/>
  <c r="I7" i="7"/>
  <c r="J7" i="7" s="1"/>
  <c r="AC493" i="5"/>
  <c r="AF493" i="5" s="1"/>
  <c r="AC156" i="5"/>
  <c r="AF156" i="5" s="1"/>
  <c r="AC257" i="5"/>
  <c r="AF257" i="5" s="1"/>
  <c r="AC272" i="5"/>
  <c r="AF272" i="5" s="1"/>
  <c r="AC15" i="5"/>
  <c r="AE15" i="5" s="1"/>
  <c r="U16" i="8"/>
  <c r="AE216" i="5"/>
  <c r="AG216" i="5" s="1"/>
  <c r="I10" i="7"/>
  <c r="AC439" i="5"/>
  <c r="AF439" i="5" s="1"/>
  <c r="AC93" i="5"/>
  <c r="AF93" i="5" s="1"/>
  <c r="AC50" i="5"/>
  <c r="AF50" i="5" s="1"/>
  <c r="AC377" i="5"/>
  <c r="AF377" i="5" s="1"/>
  <c r="I12" i="7"/>
  <c r="AC557" i="5"/>
  <c r="AF557" i="5" s="1"/>
  <c r="AC51" i="5"/>
  <c r="AF51" i="5" s="1"/>
  <c r="AC410" i="5"/>
  <c r="AF410" i="5" s="1"/>
  <c r="AC249" i="5"/>
  <c r="AE249" i="5" s="1"/>
  <c r="I14" i="7"/>
  <c r="AC154" i="5"/>
  <c r="AE154" i="5" s="1"/>
  <c r="AC192" i="5"/>
  <c r="AF192" i="5" s="1"/>
  <c r="T10" i="8"/>
  <c r="W4" i="10"/>
  <c r="Q4" i="8"/>
  <c r="AC576" i="5"/>
  <c r="AE576" i="5" s="1"/>
  <c r="AC163" i="5"/>
  <c r="AE163" i="5" s="1"/>
  <c r="AC285" i="5"/>
  <c r="AF285" i="5" s="1"/>
  <c r="AC491" i="5"/>
  <c r="AE491" i="5" s="1"/>
  <c r="AC234" i="5"/>
  <c r="AE234" i="5" s="1"/>
  <c r="AC350" i="5"/>
  <c r="AE350" i="5" s="1"/>
  <c r="AF148" i="5"/>
  <c r="AE148" i="5"/>
  <c r="AE113" i="5"/>
  <c r="AG113" i="5" s="1"/>
  <c r="AK113" i="5" s="1"/>
  <c r="AA4" i="10"/>
  <c r="AC552" i="5"/>
  <c r="AE552" i="5" s="1"/>
  <c r="I17" i="7"/>
  <c r="O16" i="8"/>
  <c r="AF211" i="5"/>
  <c r="AG211" i="5" s="1"/>
  <c r="E4" i="10"/>
  <c r="I15" i="7"/>
  <c r="AC371" i="5"/>
  <c r="AF371" i="5" s="1"/>
  <c r="AC513" i="5"/>
  <c r="AF513" i="5" s="1"/>
  <c r="T16" i="8"/>
  <c r="AC139" i="5"/>
  <c r="AE139" i="5" s="1"/>
  <c r="AE124" i="5"/>
  <c r="AG124" i="5" s="1"/>
  <c r="AC94" i="5"/>
  <c r="AF94" i="5" s="1"/>
  <c r="AC44" i="5"/>
  <c r="AC388" i="5"/>
  <c r="AF388" i="5" s="1"/>
  <c r="Q4" i="10"/>
  <c r="AC274" i="5"/>
  <c r="AE274" i="5" s="1"/>
  <c r="AC349" i="5"/>
  <c r="AF349" i="5" s="1"/>
  <c r="AC168" i="5"/>
  <c r="AF168" i="5" s="1"/>
  <c r="D16" i="8"/>
  <c r="AC535" i="5"/>
  <c r="AF535" i="5" s="1"/>
  <c r="AC20" i="5"/>
  <c r="AF20" i="5" s="1"/>
  <c r="AC342" i="5"/>
  <c r="AF342" i="5" s="1"/>
  <c r="R4" i="10"/>
  <c r="AC153" i="5"/>
  <c r="AE153" i="5" s="1"/>
  <c r="Z16" i="8"/>
  <c r="AF122" i="5"/>
  <c r="AG122" i="5" s="1"/>
  <c r="AC68" i="5"/>
  <c r="AE68" i="5" s="1"/>
  <c r="S4" i="10"/>
  <c r="AC442" i="5"/>
  <c r="AE442" i="5" s="1"/>
  <c r="G16" i="8"/>
  <c r="E16" i="8"/>
  <c r="AC111" i="5"/>
  <c r="AF111" i="5" s="1"/>
  <c r="AC239" i="5"/>
  <c r="AF239" i="5" s="1"/>
  <c r="AC24" i="5"/>
  <c r="AF24" i="5" s="1"/>
  <c r="AC363" i="5"/>
  <c r="AF363" i="5" s="1"/>
  <c r="J4" i="10"/>
  <c r="AC568" i="5"/>
  <c r="AE568" i="5" s="1"/>
  <c r="AC81" i="5"/>
  <c r="AE81" i="5" s="1"/>
  <c r="C16" i="8"/>
  <c r="AA16" i="8"/>
  <c r="AC422" i="5"/>
  <c r="AF422" i="5" s="1"/>
  <c r="AC353" i="5"/>
  <c r="AE353" i="5" s="1"/>
  <c r="AC507" i="5"/>
  <c r="AF507" i="5" s="1"/>
  <c r="AC517" i="5"/>
  <c r="AF517" i="5" s="1"/>
  <c r="AC571" i="5"/>
  <c r="AF571" i="5" s="1"/>
  <c r="AC266" i="5"/>
  <c r="AF266" i="5" s="1"/>
  <c r="K4" i="10"/>
  <c r="AC468" i="5"/>
  <c r="AE468" i="5" s="1"/>
  <c r="AC58" i="5"/>
  <c r="AE58" i="5" s="1"/>
  <c r="I16" i="8"/>
  <c r="F16" i="8"/>
  <c r="AC526" i="5"/>
  <c r="AF526" i="5" s="1"/>
  <c r="AC495" i="5"/>
  <c r="AE495" i="5" s="1"/>
  <c r="AC429" i="5"/>
  <c r="AE429" i="5" s="1"/>
  <c r="AC286" i="5"/>
  <c r="AE286" i="5" s="1"/>
  <c r="AC7" i="5"/>
  <c r="AE7" i="5" s="1"/>
  <c r="AC565" i="5"/>
  <c r="AF565" i="5" s="1"/>
  <c r="R16" i="8"/>
  <c r="L4" i="10"/>
  <c r="I18" i="7"/>
  <c r="AC320" i="5"/>
  <c r="AF320" i="5" s="1"/>
  <c r="AC85" i="5"/>
  <c r="AF85" i="5" s="1"/>
  <c r="H16" i="8"/>
  <c r="AB16" i="8"/>
  <c r="AC386" i="5"/>
  <c r="AF386" i="5" s="1"/>
  <c r="AC57" i="5"/>
  <c r="AF57" i="5" s="1"/>
  <c r="AC413" i="5"/>
  <c r="AF413" i="5" s="1"/>
  <c r="AC240" i="5"/>
  <c r="AF240" i="5" s="1"/>
  <c r="N16" i="8"/>
  <c r="Y16" i="8"/>
  <c r="N4" i="10"/>
  <c r="AC416" i="5"/>
  <c r="AE416" i="5" s="1"/>
  <c r="AC149" i="5"/>
  <c r="AF149" i="5" s="1"/>
  <c r="AC372" i="5"/>
  <c r="AF372" i="5" s="1"/>
  <c r="AC221" i="5"/>
  <c r="AF221" i="5" s="1"/>
  <c r="J16" i="8"/>
  <c r="AE40" i="5"/>
  <c r="AG40" i="5" s="1"/>
  <c r="AI40" i="5" s="1"/>
  <c r="AC39" i="5"/>
  <c r="X16" i="8"/>
  <c r="AC368" i="5"/>
  <c r="AF368" i="5" s="1"/>
  <c r="AC91" i="5"/>
  <c r="AF91" i="5" s="1"/>
  <c r="O4" i="10"/>
  <c r="AC374" i="5"/>
  <c r="AF374" i="5" s="1"/>
  <c r="AC296" i="5"/>
  <c r="AF296" i="5" s="1"/>
  <c r="AC75" i="5"/>
  <c r="AF75" i="5" s="1"/>
  <c r="AC567" i="5"/>
  <c r="AF567" i="5" s="1"/>
  <c r="AC175" i="5"/>
  <c r="AF175" i="5" s="1"/>
  <c r="L16" i="8"/>
  <c r="AF3" i="5"/>
  <c r="AG3" i="5" s="1"/>
  <c r="AC76" i="5"/>
  <c r="AF76" i="5" s="1"/>
  <c r="AC196" i="5"/>
  <c r="AC364" i="5"/>
  <c r="AC253" i="5"/>
  <c r="W16" i="8"/>
  <c r="P16" i="8"/>
  <c r="AC115" i="5"/>
  <c r="AE115" i="5" s="1"/>
  <c r="F4" i="10"/>
  <c r="T4" i="10"/>
  <c r="AC375" i="5"/>
  <c r="AE375" i="5" s="1"/>
  <c r="I19" i="7"/>
  <c r="J19" i="7" s="1"/>
  <c r="AC183" i="5"/>
  <c r="AE183" i="5" s="1"/>
  <c r="AC434" i="5"/>
  <c r="AF434" i="5" s="1"/>
  <c r="AC492" i="5"/>
  <c r="AF492" i="5" s="1"/>
  <c r="M16" i="8"/>
  <c r="AC242" i="5"/>
  <c r="AE242" i="5" s="1"/>
  <c r="AC16" i="5"/>
  <c r="AE16" i="5" s="1"/>
  <c r="AC454" i="5"/>
  <c r="AE454" i="5" s="1"/>
  <c r="AC150" i="5"/>
  <c r="AE150" i="5" s="1"/>
  <c r="AC27" i="5"/>
  <c r="AE27" i="5" s="1"/>
  <c r="AC237" i="5"/>
  <c r="AF237" i="5" s="1"/>
  <c r="AC203" i="5"/>
  <c r="AF203" i="5" s="1"/>
  <c r="H4" i="10"/>
  <c r="U4" i="10"/>
  <c r="AC52" i="5"/>
  <c r="AF52" i="5" s="1"/>
  <c r="AC335" i="5"/>
  <c r="AF335" i="5" s="1"/>
  <c r="AC456" i="5"/>
  <c r="AF456" i="5" s="1"/>
  <c r="AC336" i="5"/>
  <c r="AE336" i="5" s="1"/>
  <c r="Q16" i="8"/>
  <c r="AC278" i="5"/>
  <c r="AF278" i="5" s="1"/>
  <c r="AC574" i="5"/>
  <c r="AF574" i="5" s="1"/>
  <c r="AC108" i="5"/>
  <c r="AF108" i="5" s="1"/>
  <c r="AC178" i="5"/>
  <c r="AF178" i="5" s="1"/>
  <c r="V16" i="8"/>
  <c r="K16" i="8"/>
  <c r="I4" i="10"/>
  <c r="V4" i="10"/>
  <c r="AC315" i="5"/>
  <c r="AE315" i="5" s="1"/>
  <c r="AC64" i="5"/>
  <c r="AE64" i="5" s="1"/>
  <c r="AC345" i="5"/>
  <c r="AF345" i="5" s="1"/>
  <c r="AC521" i="5"/>
  <c r="AE521" i="5" s="1"/>
  <c r="AC275" i="5"/>
  <c r="AE56" i="5"/>
  <c r="AF56" i="5"/>
  <c r="AE236" i="5"/>
  <c r="AF236" i="5"/>
  <c r="AF128" i="5"/>
  <c r="AE128" i="5"/>
  <c r="AC92" i="5"/>
  <c r="AF92" i="5" s="1"/>
  <c r="AC373" i="5"/>
  <c r="AE373" i="5" s="1"/>
  <c r="AE2" i="5"/>
  <c r="AF2" i="5"/>
  <c r="Y5" i="8"/>
  <c r="T5" i="8"/>
  <c r="S5" i="8"/>
  <c r="N5" i="8"/>
  <c r="M5" i="8"/>
  <c r="U5" i="8"/>
  <c r="V5" i="8"/>
  <c r="X5" i="8"/>
  <c r="AC471" i="5"/>
  <c r="AE471" i="5" s="1"/>
  <c r="AC340" i="5"/>
  <c r="AF340" i="5" s="1"/>
  <c r="AC238" i="5"/>
  <c r="AF238" i="5" s="1"/>
  <c r="AC95" i="5"/>
  <c r="AF95" i="5" s="1"/>
  <c r="AC32" i="5"/>
  <c r="AF32" i="5" s="1"/>
  <c r="AE191" i="5"/>
  <c r="AG191" i="5" s="1"/>
  <c r="AC510" i="5"/>
  <c r="AF510" i="5" s="1"/>
  <c r="AC310" i="5"/>
  <c r="AF310" i="5" s="1"/>
  <c r="AC543" i="5"/>
  <c r="AF543" i="5" s="1"/>
  <c r="AC560" i="5"/>
  <c r="AF560" i="5" s="1"/>
  <c r="AC325" i="5"/>
  <c r="AE325" i="5" s="1"/>
  <c r="AC65" i="5"/>
  <c r="AE65" i="5" s="1"/>
  <c r="AF28" i="5"/>
  <c r="AG28" i="5" s="1"/>
  <c r="AC408" i="5"/>
  <c r="AF408" i="5" s="1"/>
  <c r="AC393" i="5"/>
  <c r="AC497" i="5"/>
  <c r="AF497" i="5" s="1"/>
  <c r="AC87" i="5"/>
  <c r="AF87" i="5" s="1"/>
  <c r="AC539" i="5"/>
  <c r="AF539" i="5" s="1"/>
  <c r="AC516" i="5"/>
  <c r="AF516" i="5" s="1"/>
  <c r="AF36" i="5"/>
  <c r="AG36" i="5" s="1"/>
  <c r="AJ36" i="5" s="1"/>
  <c r="AC29" i="5"/>
  <c r="AE29" i="5" s="1"/>
  <c r="AF72" i="5"/>
  <c r="AG72" i="5" s="1"/>
  <c r="AC8" i="5"/>
  <c r="AC208" i="5"/>
  <c r="AE208" i="5" s="1"/>
  <c r="AC301" i="5"/>
  <c r="AF301" i="5" s="1"/>
  <c r="J4" i="8"/>
  <c r="AC344" i="5"/>
  <c r="AE344" i="5" s="1"/>
  <c r="AC412" i="5"/>
  <c r="AF412" i="5" s="1"/>
  <c r="AC551" i="5"/>
  <c r="AF551" i="5" s="1"/>
  <c r="AC101" i="5"/>
  <c r="AE101" i="5" s="1"/>
  <c r="AC33" i="5"/>
  <c r="AC457" i="5"/>
  <c r="AF457" i="5" s="1"/>
  <c r="AC382" i="5"/>
  <c r="AF382" i="5" s="1"/>
  <c r="AC119" i="5"/>
  <c r="AF119" i="5" s="1"/>
  <c r="AC326" i="5"/>
  <c r="AE326" i="5" s="1"/>
  <c r="AC317" i="5"/>
  <c r="AF317" i="5" s="1"/>
  <c r="AC538" i="5"/>
  <c r="AE538" i="5" s="1"/>
  <c r="AC105" i="5"/>
  <c r="AF105" i="5" s="1"/>
  <c r="AC197" i="5"/>
  <c r="AF197" i="5" s="1"/>
  <c r="AC525" i="5"/>
  <c r="AF525" i="5" s="1"/>
  <c r="AC505" i="5"/>
  <c r="AF505" i="5" s="1"/>
  <c r="AC512" i="5"/>
  <c r="AE512" i="5" s="1"/>
  <c r="C4" i="8"/>
  <c r="T4" i="8"/>
  <c r="AC370" i="5"/>
  <c r="AF370" i="5" s="1"/>
  <c r="AC135" i="5"/>
  <c r="AF135" i="5" s="1"/>
  <c r="AC187" i="5"/>
  <c r="AF187" i="5" s="1"/>
  <c r="AC392" i="5"/>
  <c r="AF392" i="5" s="1"/>
  <c r="AC35" i="5"/>
  <c r="AE160" i="5"/>
  <c r="AF160" i="5"/>
  <c r="AC215" i="5"/>
  <c r="AF215" i="5" s="1"/>
  <c r="AC411" i="5"/>
  <c r="AE411" i="5" s="1"/>
  <c r="AC84" i="5"/>
  <c r="AF84" i="5" s="1"/>
  <c r="AC481" i="5"/>
  <c r="AE481" i="5" s="1"/>
  <c r="AC444" i="5"/>
  <c r="AF444" i="5" s="1"/>
  <c r="AC13" i="5"/>
  <c r="AF13" i="5" s="1"/>
  <c r="AC22" i="5"/>
  <c r="AF22" i="5" s="1"/>
  <c r="I5" i="7"/>
  <c r="AC329" i="5"/>
  <c r="AF329" i="5" s="1"/>
  <c r="AC110" i="5"/>
  <c r="AE110" i="5" s="1"/>
  <c r="AC306" i="5"/>
  <c r="AE306" i="5" s="1"/>
  <c r="AC407" i="5"/>
  <c r="AE407" i="5" s="1"/>
  <c r="AC201" i="5"/>
  <c r="AF201" i="5" s="1"/>
  <c r="AC78" i="5"/>
  <c r="AE78" i="5" s="1"/>
  <c r="AC261" i="5"/>
  <c r="AF261" i="5" s="1"/>
  <c r="AC194" i="5"/>
  <c r="AE194" i="5" s="1"/>
  <c r="AC270" i="5"/>
  <c r="AF270" i="5" s="1"/>
  <c r="AC288" i="5"/>
  <c r="AE288" i="5" s="1"/>
  <c r="AC387" i="5"/>
  <c r="AF387" i="5" s="1"/>
  <c r="AC247" i="5"/>
  <c r="AF247" i="5" s="1"/>
  <c r="AE431" i="5"/>
  <c r="AF431" i="5"/>
  <c r="AF500" i="5"/>
  <c r="AE500" i="5"/>
  <c r="AF440" i="5"/>
  <c r="AE440" i="5"/>
  <c r="AF83" i="5"/>
  <c r="AE83" i="5"/>
  <c r="AF250" i="5"/>
  <c r="AE250" i="5"/>
  <c r="AF409" i="5"/>
  <c r="AE409" i="5"/>
  <c r="AF233" i="5"/>
  <c r="AE233" i="5"/>
  <c r="AF297" i="5"/>
  <c r="AE297" i="5"/>
  <c r="AF177" i="5"/>
  <c r="AE177" i="5"/>
  <c r="AF366" i="5"/>
  <c r="AE366" i="5"/>
  <c r="AF11" i="5"/>
  <c r="AE11" i="5"/>
  <c r="AF561" i="5"/>
  <c r="AE561" i="5"/>
  <c r="AF14" i="5"/>
  <c r="AE14" i="5"/>
  <c r="AF226" i="5"/>
  <c r="AE226" i="5"/>
  <c r="AF71" i="5"/>
  <c r="AE71" i="5"/>
  <c r="AE142" i="5"/>
  <c r="AF142" i="5"/>
  <c r="AE436" i="5"/>
  <c r="AF436" i="5"/>
  <c r="AE319" i="5"/>
  <c r="AF319" i="5"/>
  <c r="AE294" i="5"/>
  <c r="AF294" i="5"/>
  <c r="AF463" i="5"/>
  <c r="AE463" i="5"/>
  <c r="AF530" i="5"/>
  <c r="AF232" i="5"/>
  <c r="AE232" i="5"/>
  <c r="AE476" i="5"/>
  <c r="AF476" i="5"/>
  <c r="AF134" i="5"/>
  <c r="AE102" i="5"/>
  <c r="AF102" i="5"/>
  <c r="AF437" i="5"/>
  <c r="AE437" i="5"/>
  <c r="AF254" i="5"/>
  <c r="AE254" i="5"/>
  <c r="AF385" i="5"/>
  <c r="AE385" i="5"/>
  <c r="AE438" i="5"/>
  <c r="AF438" i="5"/>
  <c r="AF484" i="5"/>
  <c r="AE484" i="5"/>
  <c r="AF453" i="5"/>
  <c r="AE453" i="5"/>
  <c r="AE126" i="5"/>
  <c r="AF126" i="5"/>
  <c r="AF402" i="5"/>
  <c r="AE402" i="5"/>
  <c r="AE346" i="5"/>
  <c r="AF346" i="5"/>
  <c r="AF195" i="5"/>
  <c r="AE195" i="5"/>
  <c r="AE447" i="5"/>
  <c r="AF447" i="5"/>
  <c r="AF246" i="5"/>
  <c r="AE246" i="5"/>
  <c r="AE528" i="5"/>
  <c r="AF528" i="5"/>
  <c r="AF98" i="5"/>
  <c r="AE98" i="5"/>
  <c r="AE401" i="5"/>
  <c r="AF401" i="5"/>
  <c r="AF49" i="5"/>
  <c r="AE49" i="5"/>
  <c r="AE6" i="5"/>
  <c r="AF6" i="5"/>
  <c r="AF316" i="5"/>
  <c r="AE316" i="5"/>
  <c r="AE488" i="5"/>
  <c r="AF488" i="5"/>
  <c r="AF327" i="5"/>
  <c r="AE327" i="5"/>
  <c r="AF519" i="5"/>
  <c r="AE519" i="5"/>
  <c r="AF61" i="5"/>
  <c r="AE61" i="5"/>
  <c r="AE223" i="5"/>
  <c r="AF223" i="5"/>
  <c r="AF506" i="5"/>
  <c r="AE506" i="5"/>
  <c r="AF209" i="5"/>
  <c r="AE209" i="5"/>
  <c r="AF282" i="5"/>
  <c r="AE282" i="5"/>
  <c r="X5" i="14"/>
  <c r="W5" i="14"/>
  <c r="V5" i="14"/>
  <c r="U5" i="14"/>
  <c r="L5" i="14"/>
  <c r="K5" i="14"/>
  <c r="J5" i="14"/>
  <c r="AB5" i="14"/>
  <c r="Z5" i="14"/>
  <c r="Y5" i="14"/>
  <c r="T5" i="14"/>
  <c r="O5" i="14"/>
  <c r="AA5" i="14"/>
  <c r="S5" i="14"/>
  <c r="Q5" i="14"/>
  <c r="P5" i="14"/>
  <c r="I5" i="14"/>
  <c r="H5" i="14"/>
  <c r="G5" i="14"/>
  <c r="F5" i="14"/>
  <c r="E5" i="14"/>
  <c r="D5" i="14"/>
  <c r="C5" i="14"/>
  <c r="R5" i="14"/>
  <c r="N5" i="14"/>
  <c r="M5" i="14"/>
  <c r="AE391" i="5"/>
  <c r="AF391" i="5"/>
  <c r="AF570" i="5"/>
  <c r="AE570" i="5"/>
  <c r="AE267" i="5"/>
  <c r="AF267" i="5"/>
  <c r="AE99" i="5"/>
  <c r="AF99" i="5"/>
  <c r="AC130" i="5"/>
  <c r="AE520" i="5"/>
  <c r="AF520" i="5"/>
  <c r="AF470" i="5"/>
  <c r="AE470" i="5"/>
  <c r="AE378" i="5"/>
  <c r="AF378" i="5"/>
  <c r="AC494" i="5"/>
  <c r="AE245" i="5"/>
  <c r="AF245" i="5"/>
  <c r="AC45" i="5"/>
  <c r="AE496" i="5"/>
  <c r="AF496" i="5"/>
  <c r="R11" i="19"/>
  <c r="H11" i="19"/>
  <c r="G11" i="19"/>
  <c r="F11" i="19"/>
  <c r="AB11" i="19"/>
  <c r="E11" i="19"/>
  <c r="L11" i="19"/>
  <c r="K11" i="19"/>
  <c r="J11" i="19"/>
  <c r="I11" i="19"/>
  <c r="S11" i="19"/>
  <c r="Q11" i="19"/>
  <c r="P11" i="19"/>
  <c r="O11" i="19"/>
  <c r="Y11" i="19"/>
  <c r="X11" i="19"/>
  <c r="W11" i="19"/>
  <c r="V11" i="19"/>
  <c r="Z11" i="19"/>
  <c r="U11" i="19"/>
  <c r="T11" i="19"/>
  <c r="N11" i="19"/>
  <c r="M11" i="19"/>
  <c r="C11" i="19"/>
  <c r="AA11" i="19"/>
  <c r="D11" i="19"/>
  <c r="AE170" i="5"/>
  <c r="AF170" i="5"/>
  <c r="AA10" i="21"/>
  <c r="E10" i="21"/>
  <c r="Z10" i="21"/>
  <c r="D10" i="21"/>
  <c r="Y10" i="21"/>
  <c r="C10" i="21"/>
  <c r="X10" i="21"/>
  <c r="U10" i="21"/>
  <c r="R10" i="21"/>
  <c r="F10" i="21"/>
  <c r="AB10" i="21"/>
  <c r="W10" i="21"/>
  <c r="V10" i="21"/>
  <c r="G10" i="21"/>
  <c r="Q10" i="21"/>
  <c r="M10" i="21"/>
  <c r="L10" i="21"/>
  <c r="K10" i="21"/>
  <c r="J10" i="21"/>
  <c r="T10" i="21"/>
  <c r="S10" i="21"/>
  <c r="P10" i="21"/>
  <c r="O10" i="21"/>
  <c r="N10" i="21"/>
  <c r="I10" i="21"/>
  <c r="H10" i="21"/>
  <c r="AF43" i="5"/>
  <c r="AE43" i="5"/>
  <c r="AB22" i="17"/>
  <c r="AA22" i="17"/>
  <c r="N22" i="17"/>
  <c r="M22" i="17"/>
  <c r="L22" i="17"/>
  <c r="K22" i="17"/>
  <c r="E22" i="17"/>
  <c r="Z22" i="17"/>
  <c r="R22" i="17"/>
  <c r="Q22" i="17"/>
  <c r="Y22" i="17"/>
  <c r="X22" i="17"/>
  <c r="W22" i="17"/>
  <c r="V22" i="17"/>
  <c r="S22" i="17"/>
  <c r="H22" i="17"/>
  <c r="G22" i="17"/>
  <c r="F22" i="17"/>
  <c r="I22" i="17"/>
  <c r="D22" i="17"/>
  <c r="T22" i="17"/>
  <c r="P22" i="17"/>
  <c r="O22" i="17"/>
  <c r="C22" i="17"/>
  <c r="U22" i="17"/>
  <c r="J22" i="17"/>
  <c r="Y11" i="17"/>
  <c r="C11" i="17"/>
  <c r="X11" i="17"/>
  <c r="W11" i="17"/>
  <c r="V11" i="17"/>
  <c r="Q11" i="17"/>
  <c r="P11" i="17"/>
  <c r="O11" i="17"/>
  <c r="N11" i="17"/>
  <c r="E11" i="17"/>
  <c r="Z11" i="17"/>
  <c r="U11" i="17"/>
  <c r="T11" i="17"/>
  <c r="S11" i="17"/>
  <c r="L11" i="17"/>
  <c r="G11" i="17"/>
  <c r="F11" i="17"/>
  <c r="D11" i="17"/>
  <c r="J11" i="17"/>
  <c r="I11" i="17"/>
  <c r="AB11" i="17"/>
  <c r="AA11" i="17"/>
  <c r="R11" i="17"/>
  <c r="M11" i="17"/>
  <c r="H11" i="17"/>
  <c r="K11" i="17"/>
  <c r="O18" i="10"/>
  <c r="W18" i="10"/>
  <c r="AB18" i="10"/>
  <c r="D18" i="10"/>
  <c r="AA18" i="10"/>
  <c r="C18" i="10"/>
  <c r="Z18" i="10"/>
  <c r="T18" i="10"/>
  <c r="S18" i="10"/>
  <c r="Q18" i="10"/>
  <c r="P18" i="10"/>
  <c r="N18" i="10"/>
  <c r="M18" i="10"/>
  <c r="X18" i="10"/>
  <c r="V18" i="10"/>
  <c r="U18" i="10"/>
  <c r="G18" i="10"/>
  <c r="F18" i="10"/>
  <c r="E18" i="10"/>
  <c r="Y18" i="10"/>
  <c r="R18" i="10"/>
  <c r="L18" i="10"/>
  <c r="K18" i="10"/>
  <c r="J18" i="10"/>
  <c r="I18" i="10"/>
  <c r="H18" i="10"/>
  <c r="X20" i="17"/>
  <c r="W20" i="17"/>
  <c r="V20" i="17"/>
  <c r="U20" i="17"/>
  <c r="O20" i="17"/>
  <c r="AB20" i="17"/>
  <c r="AA20" i="17"/>
  <c r="Z20" i="17"/>
  <c r="M20" i="17"/>
  <c r="L20" i="17"/>
  <c r="F20" i="17"/>
  <c r="E20" i="17"/>
  <c r="D20" i="17"/>
  <c r="C20" i="17"/>
  <c r="T20" i="17"/>
  <c r="S20" i="17"/>
  <c r="R20" i="17"/>
  <c r="Y20" i="17"/>
  <c r="Q20" i="17"/>
  <c r="G20" i="17"/>
  <c r="J20" i="17"/>
  <c r="I20" i="17"/>
  <c r="K20" i="17"/>
  <c r="H20" i="17"/>
  <c r="P20" i="17"/>
  <c r="N20" i="17"/>
  <c r="AF486" i="5"/>
  <c r="AE486" i="5"/>
  <c r="AF34" i="5"/>
  <c r="AE34" i="5"/>
  <c r="M19" i="8"/>
  <c r="L19" i="8"/>
  <c r="K19" i="8"/>
  <c r="AA19" i="8"/>
  <c r="E19" i="8"/>
  <c r="Y19" i="8"/>
  <c r="C19" i="8"/>
  <c r="X19" i="8"/>
  <c r="W19" i="8"/>
  <c r="G19" i="8"/>
  <c r="F19" i="8"/>
  <c r="D19" i="8"/>
  <c r="Z19" i="8"/>
  <c r="V19" i="8"/>
  <c r="U19" i="8"/>
  <c r="R19" i="8"/>
  <c r="AB19" i="8"/>
  <c r="T19" i="8"/>
  <c r="S19" i="8"/>
  <c r="Q19" i="8"/>
  <c r="P19" i="8"/>
  <c r="N19" i="8"/>
  <c r="O19" i="8"/>
  <c r="J19" i="8"/>
  <c r="H19" i="8"/>
  <c r="I19" i="8"/>
  <c r="AE369" i="5"/>
  <c r="AF369" i="5"/>
  <c r="AC269" i="5"/>
  <c r="Y21" i="8"/>
  <c r="C21" i="8"/>
  <c r="X21" i="8"/>
  <c r="W21" i="8"/>
  <c r="Q21" i="8"/>
  <c r="O21" i="8"/>
  <c r="N21" i="8"/>
  <c r="M21" i="8"/>
  <c r="R21" i="8"/>
  <c r="P21" i="8"/>
  <c r="L21" i="8"/>
  <c r="E21" i="8"/>
  <c r="D21" i="8"/>
  <c r="AB21" i="8"/>
  <c r="AA21" i="8"/>
  <c r="Z21" i="8"/>
  <c r="V21" i="8"/>
  <c r="U21" i="8"/>
  <c r="T21" i="8"/>
  <c r="S21" i="8"/>
  <c r="K21" i="8"/>
  <c r="J21" i="8"/>
  <c r="I21" i="8"/>
  <c r="G21" i="8"/>
  <c r="F21" i="8"/>
  <c r="H21" i="8"/>
  <c r="N22" i="15"/>
  <c r="M22" i="15"/>
  <c r="L22" i="15"/>
  <c r="K22" i="15"/>
  <c r="X22" i="15"/>
  <c r="W22" i="15"/>
  <c r="V22" i="15"/>
  <c r="U22" i="15"/>
  <c r="I22" i="15"/>
  <c r="G22" i="15"/>
  <c r="T22" i="15"/>
  <c r="S22" i="15"/>
  <c r="R22" i="15"/>
  <c r="D22" i="15"/>
  <c r="C22" i="15"/>
  <c r="H22" i="15"/>
  <c r="F22" i="15"/>
  <c r="E22" i="15"/>
  <c r="AA22" i="15"/>
  <c r="AB22" i="15"/>
  <c r="Z22" i="15"/>
  <c r="Y22" i="15"/>
  <c r="P22" i="15"/>
  <c r="Q22" i="15"/>
  <c r="O22" i="15"/>
  <c r="J22" i="15"/>
  <c r="AF514" i="5"/>
  <c r="AE514" i="5"/>
  <c r="Z9" i="14"/>
  <c r="D9" i="14"/>
  <c r="Y9" i="14"/>
  <c r="C9" i="14"/>
  <c r="X9" i="14"/>
  <c r="W9" i="14"/>
  <c r="L9" i="14"/>
  <c r="K9" i="14"/>
  <c r="J9" i="14"/>
  <c r="AB9" i="14"/>
  <c r="P9" i="14"/>
  <c r="O9" i="14"/>
  <c r="N9" i="14"/>
  <c r="F9" i="14"/>
  <c r="I9" i="14"/>
  <c r="H9" i="14"/>
  <c r="G9" i="14"/>
  <c r="U9" i="14"/>
  <c r="T9" i="14"/>
  <c r="S9" i="14"/>
  <c r="R9" i="14"/>
  <c r="Q9" i="14"/>
  <c r="M9" i="14"/>
  <c r="E9" i="14"/>
  <c r="AA9" i="14"/>
  <c r="V9" i="14"/>
  <c r="AF522" i="5"/>
  <c r="AE522" i="5"/>
  <c r="AF176" i="5"/>
  <c r="AE176" i="5"/>
  <c r="AB9" i="19"/>
  <c r="F9" i="19"/>
  <c r="P9" i="19"/>
  <c r="O9" i="19"/>
  <c r="N9" i="19"/>
  <c r="M9" i="19"/>
  <c r="H9" i="19"/>
  <c r="G9" i="19"/>
  <c r="E9" i="19"/>
  <c r="D9" i="19"/>
  <c r="W9" i="19"/>
  <c r="L9" i="19"/>
  <c r="K9" i="19"/>
  <c r="J9" i="19"/>
  <c r="I9" i="19"/>
  <c r="AA9" i="19"/>
  <c r="Z9" i="19"/>
  <c r="V9" i="19"/>
  <c r="Q9" i="19"/>
  <c r="C9" i="19"/>
  <c r="Y9" i="19"/>
  <c r="X9" i="19"/>
  <c r="U9" i="19"/>
  <c r="R9" i="19"/>
  <c r="T9" i="19"/>
  <c r="S9" i="19"/>
  <c r="AF459" i="5"/>
  <c r="AE459" i="5"/>
  <c r="P5" i="12"/>
  <c r="G5" i="12"/>
  <c r="AB5" i="12"/>
  <c r="E5" i="12"/>
  <c r="I5" i="12"/>
  <c r="H5" i="12"/>
  <c r="F5" i="12"/>
  <c r="X5" i="12"/>
  <c r="W5" i="12"/>
  <c r="R5" i="12"/>
  <c r="Q5" i="12"/>
  <c r="O5" i="12"/>
  <c r="J5" i="12"/>
  <c r="D5" i="12"/>
  <c r="C5" i="12"/>
  <c r="AA5" i="12"/>
  <c r="Z5" i="12"/>
  <c r="Y5" i="12"/>
  <c r="V5" i="12"/>
  <c r="M5" i="12"/>
  <c r="L5" i="12"/>
  <c r="K5" i="12"/>
  <c r="T5" i="12"/>
  <c r="U5" i="12"/>
  <c r="S5" i="12"/>
  <c r="N5" i="12"/>
  <c r="AF359" i="5"/>
  <c r="AE359" i="5"/>
  <c r="AE339" i="5"/>
  <c r="AF339" i="5"/>
  <c r="O16" i="19"/>
  <c r="N16" i="19"/>
  <c r="L16" i="19"/>
  <c r="U16" i="19"/>
  <c r="T16" i="19"/>
  <c r="S16" i="19"/>
  <c r="R16" i="19"/>
  <c r="AA16" i="19"/>
  <c r="Z16" i="19"/>
  <c r="Y16" i="19"/>
  <c r="X16" i="19"/>
  <c r="AB16" i="19"/>
  <c r="K16" i="19"/>
  <c r="G16" i="19"/>
  <c r="H16" i="19"/>
  <c r="F16" i="19"/>
  <c r="E16" i="19"/>
  <c r="D16" i="19"/>
  <c r="I16" i="19"/>
  <c r="C16" i="19"/>
  <c r="W16" i="19"/>
  <c r="M16" i="19"/>
  <c r="P16" i="19"/>
  <c r="J16" i="19"/>
  <c r="V16" i="19"/>
  <c r="Q16" i="19"/>
  <c r="AF279" i="5"/>
  <c r="AE279" i="5"/>
  <c r="AF478" i="5"/>
  <c r="AE478" i="5"/>
  <c r="AC417" i="5"/>
  <c r="AF158" i="5"/>
  <c r="AE158" i="5"/>
  <c r="AC356" i="5"/>
  <c r="H18" i="20"/>
  <c r="G18" i="20"/>
  <c r="AB18" i="20"/>
  <c r="F18" i="20"/>
  <c r="V18" i="20"/>
  <c r="I18" i="20"/>
  <c r="E18" i="20"/>
  <c r="D18" i="20"/>
  <c r="C18" i="20"/>
  <c r="R18" i="20"/>
  <c r="Q18" i="20"/>
  <c r="P18" i="20"/>
  <c r="O18" i="20"/>
  <c r="AA18" i="20"/>
  <c r="Z18" i="20"/>
  <c r="S18" i="20"/>
  <c r="L18" i="20"/>
  <c r="Y18" i="20"/>
  <c r="X18" i="20"/>
  <c r="M18" i="20"/>
  <c r="K18" i="20"/>
  <c r="W18" i="20"/>
  <c r="U18" i="20"/>
  <c r="T18" i="20"/>
  <c r="N18" i="20"/>
  <c r="J18" i="20"/>
  <c r="R18" i="8"/>
  <c r="Q18" i="8"/>
  <c r="P18" i="8"/>
  <c r="J18" i="8"/>
  <c r="H18" i="8"/>
  <c r="AB18" i="8"/>
  <c r="C18" i="8"/>
  <c r="U18" i="8"/>
  <c r="T18" i="8"/>
  <c r="S18" i="8"/>
  <c r="M18" i="8"/>
  <c r="W18" i="8"/>
  <c r="V18" i="8"/>
  <c r="O18" i="8"/>
  <c r="N18" i="8"/>
  <c r="L18" i="8"/>
  <c r="K18" i="8"/>
  <c r="I18" i="8"/>
  <c r="G18" i="8"/>
  <c r="F18" i="8"/>
  <c r="E18" i="8"/>
  <c r="D18" i="8"/>
  <c r="Z18" i="8"/>
  <c r="AA18" i="8"/>
  <c r="X18" i="8"/>
  <c r="Y18" i="8"/>
  <c r="Y5" i="18"/>
  <c r="C5" i="18"/>
  <c r="X5" i="18"/>
  <c r="V5" i="18"/>
  <c r="F5" i="18"/>
  <c r="E5" i="18"/>
  <c r="D5" i="18"/>
  <c r="AB5" i="18"/>
  <c r="S5" i="18"/>
  <c r="AA5" i="18"/>
  <c r="Z5" i="18"/>
  <c r="W5" i="18"/>
  <c r="N5" i="18"/>
  <c r="M5" i="18"/>
  <c r="L5" i="18"/>
  <c r="T5" i="18"/>
  <c r="K5" i="18"/>
  <c r="J5" i="18"/>
  <c r="I5" i="18"/>
  <c r="H5" i="18"/>
  <c r="G5" i="18"/>
  <c r="U5" i="18"/>
  <c r="R5" i="18"/>
  <c r="Q5" i="18"/>
  <c r="P5" i="18"/>
  <c r="O5" i="18"/>
  <c r="AC295" i="5"/>
  <c r="AF341" i="5"/>
  <c r="AE341" i="5"/>
  <c r="X20" i="14"/>
  <c r="W20" i="14"/>
  <c r="U20" i="14"/>
  <c r="T20" i="14"/>
  <c r="S20" i="14"/>
  <c r="R20" i="14"/>
  <c r="O20" i="14"/>
  <c r="N20" i="14"/>
  <c r="M20" i="14"/>
  <c r="E20" i="14"/>
  <c r="Y20" i="14"/>
  <c r="V20" i="14"/>
  <c r="Q20" i="14"/>
  <c r="I20" i="14"/>
  <c r="AA20" i="14"/>
  <c r="Z20" i="14"/>
  <c r="AB20" i="14"/>
  <c r="P20" i="14"/>
  <c r="L20" i="14"/>
  <c r="K20" i="14"/>
  <c r="J20" i="14"/>
  <c r="H20" i="14"/>
  <c r="G20" i="14"/>
  <c r="F20" i="14"/>
  <c r="D20" i="14"/>
  <c r="C20" i="14"/>
  <c r="AF390" i="5"/>
  <c r="AE390" i="5"/>
  <c r="AA20" i="10"/>
  <c r="E20" i="10"/>
  <c r="O20" i="10"/>
  <c r="V20" i="10"/>
  <c r="U20" i="10"/>
  <c r="T20" i="10"/>
  <c r="N20" i="10"/>
  <c r="M20" i="10"/>
  <c r="K20" i="10"/>
  <c r="J20" i="10"/>
  <c r="I20" i="10"/>
  <c r="H20" i="10"/>
  <c r="G20" i="10"/>
  <c r="F20" i="10"/>
  <c r="D20" i="10"/>
  <c r="Z20" i="10"/>
  <c r="Y20" i="10"/>
  <c r="AB20" i="10"/>
  <c r="X20" i="10"/>
  <c r="W20" i="10"/>
  <c r="S20" i="10"/>
  <c r="R20" i="10"/>
  <c r="Q20" i="10"/>
  <c r="P20" i="10"/>
  <c r="L20" i="10"/>
  <c r="C20" i="10"/>
  <c r="J22" i="18"/>
  <c r="I22" i="18"/>
  <c r="G22" i="18"/>
  <c r="O22" i="18"/>
  <c r="N22" i="18"/>
  <c r="M22" i="18"/>
  <c r="L22" i="18"/>
  <c r="U22" i="18"/>
  <c r="T22" i="18"/>
  <c r="S22" i="18"/>
  <c r="R22" i="18"/>
  <c r="E22" i="18"/>
  <c r="Z22" i="18"/>
  <c r="Y22" i="18"/>
  <c r="X22" i="18"/>
  <c r="W22" i="18"/>
  <c r="V22" i="18"/>
  <c r="Q22" i="18"/>
  <c r="P22" i="18"/>
  <c r="K22" i="18"/>
  <c r="D22" i="18"/>
  <c r="AB22" i="18"/>
  <c r="AA22" i="18"/>
  <c r="H22" i="18"/>
  <c r="F22" i="18"/>
  <c r="C22" i="18"/>
  <c r="AC63" i="5"/>
  <c r="Y10" i="20"/>
  <c r="C10" i="20"/>
  <c r="R10" i="20"/>
  <c r="P10" i="20"/>
  <c r="O10" i="20"/>
  <c r="N10" i="20"/>
  <c r="M10" i="20"/>
  <c r="K10" i="20"/>
  <c r="J10" i="20"/>
  <c r="I10" i="20"/>
  <c r="H10" i="20"/>
  <c r="T10" i="20"/>
  <c r="S10" i="20"/>
  <c r="Q10" i="20"/>
  <c r="L10" i="20"/>
  <c r="AB10" i="20"/>
  <c r="U10" i="20"/>
  <c r="D10" i="20"/>
  <c r="Z10" i="20"/>
  <c r="X10" i="20"/>
  <c r="W10" i="20"/>
  <c r="V10" i="20"/>
  <c r="AA10" i="20"/>
  <c r="G10" i="20"/>
  <c r="F10" i="20"/>
  <c r="E10" i="20"/>
  <c r="AC293" i="5"/>
  <c r="T20" i="20"/>
  <c r="S20" i="20"/>
  <c r="R20" i="20"/>
  <c r="L20" i="20"/>
  <c r="G20" i="20"/>
  <c r="F20" i="20"/>
  <c r="E20" i="20"/>
  <c r="D20" i="20"/>
  <c r="AB20" i="20"/>
  <c r="AA20" i="20"/>
  <c r="Z20" i="20"/>
  <c r="Y20" i="20"/>
  <c r="Q20" i="20"/>
  <c r="P20" i="20"/>
  <c r="O20" i="20"/>
  <c r="N20" i="20"/>
  <c r="C20" i="20"/>
  <c r="M20" i="20"/>
  <c r="K20" i="20"/>
  <c r="U20" i="20"/>
  <c r="J20" i="20"/>
  <c r="I20" i="20"/>
  <c r="H20" i="20"/>
  <c r="X20" i="20"/>
  <c r="W20" i="20"/>
  <c r="V20" i="20"/>
  <c r="AF465" i="5"/>
  <c r="AE465" i="5"/>
  <c r="U20" i="22"/>
  <c r="T20" i="22"/>
  <c r="S20" i="22"/>
  <c r="R20" i="22"/>
  <c r="O20" i="22"/>
  <c r="N20" i="22"/>
  <c r="L20" i="22"/>
  <c r="Z20" i="22"/>
  <c r="D20" i="22"/>
  <c r="AB20" i="22"/>
  <c r="X20" i="22"/>
  <c r="Q20" i="22"/>
  <c r="W20" i="22"/>
  <c r="K20" i="22"/>
  <c r="J20" i="22"/>
  <c r="I20" i="22"/>
  <c r="H20" i="22"/>
  <c r="G20" i="22"/>
  <c r="AA20" i="22"/>
  <c r="Y20" i="22"/>
  <c r="V20" i="22"/>
  <c r="M20" i="22"/>
  <c r="F20" i="22"/>
  <c r="E20" i="22"/>
  <c r="P20" i="22"/>
  <c r="C20" i="22"/>
  <c r="J9" i="22"/>
  <c r="I9" i="22"/>
  <c r="H9" i="22"/>
  <c r="G9" i="22"/>
  <c r="Z9" i="22"/>
  <c r="D9" i="22"/>
  <c r="Y9" i="22"/>
  <c r="C9" i="22"/>
  <c r="W9" i="22"/>
  <c r="O9" i="22"/>
  <c r="R9" i="22"/>
  <c r="Q9" i="22"/>
  <c r="P9" i="22"/>
  <c r="N9" i="22"/>
  <c r="K9" i="22"/>
  <c r="X9" i="22"/>
  <c r="V9" i="22"/>
  <c r="U9" i="22"/>
  <c r="T9" i="22"/>
  <c r="L9" i="22"/>
  <c r="AA9" i="22"/>
  <c r="E9" i="22"/>
  <c r="S9" i="22"/>
  <c r="M9" i="22"/>
  <c r="F9" i="22"/>
  <c r="AB9" i="22"/>
  <c r="AF502" i="5"/>
  <c r="AE502" i="5"/>
  <c r="W10" i="19"/>
  <c r="L10" i="19"/>
  <c r="K10" i="19"/>
  <c r="J10" i="19"/>
  <c r="I10" i="19"/>
  <c r="H10" i="19"/>
  <c r="G10" i="19"/>
  <c r="F10" i="19"/>
  <c r="E10" i="19"/>
  <c r="N10" i="19"/>
  <c r="M10" i="19"/>
  <c r="D10" i="19"/>
  <c r="C10" i="19"/>
  <c r="AB10" i="19"/>
  <c r="Z10" i="19"/>
  <c r="Y10" i="19"/>
  <c r="X10" i="19"/>
  <c r="V10" i="19"/>
  <c r="O10" i="19"/>
  <c r="S10" i="19"/>
  <c r="R10" i="19"/>
  <c r="Q10" i="19"/>
  <c r="P10" i="19"/>
  <c r="T10" i="19"/>
  <c r="U10" i="19"/>
  <c r="AA10" i="19"/>
  <c r="AE563" i="5"/>
  <c r="AF563" i="5"/>
  <c r="AF403" i="5"/>
  <c r="AE403" i="5"/>
  <c r="R18" i="12"/>
  <c r="Q18" i="12"/>
  <c r="L18" i="12"/>
  <c r="K18" i="12"/>
  <c r="J18" i="12"/>
  <c r="E18" i="12"/>
  <c r="H18" i="12"/>
  <c r="G18" i="12"/>
  <c r="F18" i="12"/>
  <c r="AA18" i="12"/>
  <c r="Z18" i="12"/>
  <c r="X18" i="12"/>
  <c r="V18" i="12"/>
  <c r="U18" i="12"/>
  <c r="T18" i="12"/>
  <c r="M18" i="12"/>
  <c r="I18" i="12"/>
  <c r="D18" i="12"/>
  <c r="C18" i="12"/>
  <c r="Y18" i="12"/>
  <c r="P18" i="12"/>
  <c r="O18" i="12"/>
  <c r="N18" i="12"/>
  <c r="AB18" i="12"/>
  <c r="W18" i="12"/>
  <c r="S18" i="12"/>
  <c r="AA23" i="18"/>
  <c r="E23" i="18"/>
  <c r="Z23" i="18"/>
  <c r="D23" i="18"/>
  <c r="X23" i="18"/>
  <c r="M23" i="18"/>
  <c r="L23" i="18"/>
  <c r="K23" i="18"/>
  <c r="J23" i="18"/>
  <c r="W23" i="18"/>
  <c r="V23" i="18"/>
  <c r="U23" i="18"/>
  <c r="T23" i="18"/>
  <c r="N23" i="18"/>
  <c r="Q23" i="18"/>
  <c r="P23" i="18"/>
  <c r="O23" i="18"/>
  <c r="I23" i="18"/>
  <c r="AB23" i="18"/>
  <c r="Y23" i="18"/>
  <c r="S23" i="18"/>
  <c r="R23" i="18"/>
  <c r="G23" i="18"/>
  <c r="F23" i="18"/>
  <c r="C23" i="18"/>
  <c r="H23" i="18"/>
  <c r="AE48" i="5"/>
  <c r="AF48" i="5"/>
  <c r="Y11" i="16"/>
  <c r="C11" i="16"/>
  <c r="X11" i="16"/>
  <c r="U11" i="16"/>
  <c r="T11" i="16"/>
  <c r="S11" i="16"/>
  <c r="R11" i="16"/>
  <c r="I11" i="16"/>
  <c r="Q11" i="16"/>
  <c r="P11" i="16"/>
  <c r="O11" i="16"/>
  <c r="N11" i="16"/>
  <c r="E11" i="16"/>
  <c r="D11" i="16"/>
  <c r="AA11" i="16"/>
  <c r="Z11" i="16"/>
  <c r="W11" i="16"/>
  <c r="F11" i="16"/>
  <c r="K11" i="16"/>
  <c r="L11" i="16"/>
  <c r="J11" i="16"/>
  <c r="H11" i="16"/>
  <c r="G11" i="16"/>
  <c r="V11" i="16"/>
  <c r="AB11" i="16"/>
  <c r="M11" i="16"/>
  <c r="Q11" i="18"/>
  <c r="P11" i="18"/>
  <c r="N11" i="18"/>
  <c r="V11" i="18"/>
  <c r="U11" i="18"/>
  <c r="T11" i="18"/>
  <c r="S11" i="18"/>
  <c r="J11" i="18"/>
  <c r="AB11" i="18"/>
  <c r="O11" i="18"/>
  <c r="M11" i="18"/>
  <c r="L11" i="18"/>
  <c r="W11" i="18"/>
  <c r="R11" i="18"/>
  <c r="K11" i="18"/>
  <c r="I11" i="18"/>
  <c r="F11" i="18"/>
  <c r="G11" i="18"/>
  <c r="E11" i="18"/>
  <c r="D11" i="18"/>
  <c r="C11" i="18"/>
  <c r="Y11" i="18"/>
  <c r="X11" i="18"/>
  <c r="H11" i="18"/>
  <c r="AA11" i="18"/>
  <c r="Z11" i="18"/>
  <c r="AC112" i="5"/>
  <c r="AE109" i="5"/>
  <c r="AF109" i="5"/>
  <c r="AF487" i="5"/>
  <c r="AE487" i="5"/>
  <c r="AF103" i="5"/>
  <c r="AE103" i="5"/>
  <c r="T22" i="8"/>
  <c r="S22" i="8"/>
  <c r="R22" i="8"/>
  <c r="L22" i="8"/>
  <c r="J22" i="8"/>
  <c r="I22" i="8"/>
  <c r="H22" i="8"/>
  <c r="W22" i="8"/>
  <c r="V22" i="8"/>
  <c r="U22" i="8"/>
  <c r="G22" i="8"/>
  <c r="F22" i="8"/>
  <c r="E22" i="8"/>
  <c r="K22" i="8"/>
  <c r="D22" i="8"/>
  <c r="C22" i="8"/>
  <c r="AB22" i="8"/>
  <c r="Z22" i="8"/>
  <c r="O22" i="8"/>
  <c r="AA22" i="8"/>
  <c r="Q22" i="8"/>
  <c r="Y22" i="8"/>
  <c r="X22" i="8"/>
  <c r="M22" i="8"/>
  <c r="P22" i="8"/>
  <c r="N22" i="8"/>
  <c r="H4" i="18"/>
  <c r="G4" i="18"/>
  <c r="AA4" i="18"/>
  <c r="E4" i="18"/>
  <c r="F4" i="18"/>
  <c r="D4" i="18"/>
  <c r="C4" i="18"/>
  <c r="AB4" i="18"/>
  <c r="U4" i="18"/>
  <c r="V4" i="18"/>
  <c r="T4" i="18"/>
  <c r="S4" i="18"/>
  <c r="R4" i="18"/>
  <c r="K4" i="18"/>
  <c r="J4" i="18"/>
  <c r="I4" i="18"/>
  <c r="O4" i="18"/>
  <c r="N4" i="18"/>
  <c r="M4" i="18"/>
  <c r="L4" i="18"/>
  <c r="W4" i="18"/>
  <c r="Q4" i="18"/>
  <c r="P4" i="18"/>
  <c r="Z4" i="18"/>
  <c r="X4" i="18"/>
  <c r="Y4" i="18"/>
  <c r="AF354" i="5"/>
  <c r="AE354" i="5"/>
  <c r="AF358" i="5"/>
  <c r="AE358" i="5"/>
  <c r="AE347" i="5"/>
  <c r="AF347" i="5"/>
  <c r="P21" i="22"/>
  <c r="O21" i="22"/>
  <c r="N21" i="22"/>
  <c r="M21" i="22"/>
  <c r="J21" i="22"/>
  <c r="I21" i="22"/>
  <c r="G21" i="22"/>
  <c r="Y21" i="22"/>
  <c r="U21" i="22"/>
  <c r="D21" i="22"/>
  <c r="C21" i="22"/>
  <c r="Z21" i="22"/>
  <c r="R21" i="22"/>
  <c r="Q21" i="22"/>
  <c r="L21" i="22"/>
  <c r="K21" i="22"/>
  <c r="E21" i="22"/>
  <c r="AA21" i="22"/>
  <c r="X21" i="22"/>
  <c r="W21" i="22"/>
  <c r="V21" i="22"/>
  <c r="F21" i="22"/>
  <c r="AB21" i="22"/>
  <c r="T21" i="22"/>
  <c r="S21" i="22"/>
  <c r="H21" i="22"/>
  <c r="S16" i="22"/>
  <c r="R16" i="22"/>
  <c r="Q16" i="22"/>
  <c r="P16" i="22"/>
  <c r="M16" i="22"/>
  <c r="L16" i="22"/>
  <c r="J16" i="22"/>
  <c r="X16" i="22"/>
  <c r="C16" i="22"/>
  <c r="AA16" i="22"/>
  <c r="N16" i="22"/>
  <c r="K16" i="22"/>
  <c r="I16" i="22"/>
  <c r="H16" i="22"/>
  <c r="E16" i="22"/>
  <c r="Z16" i="22"/>
  <c r="V16" i="22"/>
  <c r="Y16" i="22"/>
  <c r="W16" i="22"/>
  <c r="G16" i="22"/>
  <c r="F16" i="22"/>
  <c r="U16" i="22"/>
  <c r="AB16" i="22"/>
  <c r="T16" i="22"/>
  <c r="O16" i="22"/>
  <c r="D16" i="22"/>
  <c r="I11" i="9"/>
  <c r="H11" i="9"/>
  <c r="G11" i="9"/>
  <c r="W11" i="9"/>
  <c r="U11" i="9"/>
  <c r="T11" i="9"/>
  <c r="S11" i="9"/>
  <c r="O11" i="9"/>
  <c r="N11" i="9"/>
  <c r="M11" i="9"/>
  <c r="C11" i="9"/>
  <c r="AB11" i="9"/>
  <c r="AA11" i="9"/>
  <c r="P11" i="9"/>
  <c r="L11" i="9"/>
  <c r="K11" i="9"/>
  <c r="J11" i="9"/>
  <c r="F11" i="9"/>
  <c r="E11" i="9"/>
  <c r="D11" i="9"/>
  <c r="V11" i="9"/>
  <c r="Z11" i="9"/>
  <c r="X11" i="9"/>
  <c r="Y11" i="9"/>
  <c r="R11" i="9"/>
  <c r="Q11" i="9"/>
  <c r="AF276" i="5"/>
  <c r="AE276" i="5"/>
  <c r="AE258" i="5"/>
  <c r="AF258" i="5"/>
  <c r="G20" i="11"/>
  <c r="J20" i="11"/>
  <c r="Y20" i="11"/>
  <c r="X20" i="11"/>
  <c r="R20" i="11"/>
  <c r="Q20" i="11"/>
  <c r="U20" i="11"/>
  <c r="T20" i="11"/>
  <c r="S20" i="11"/>
  <c r="L20" i="11"/>
  <c r="K20" i="11"/>
  <c r="H20" i="11"/>
  <c r="F20" i="11"/>
  <c r="E20" i="11"/>
  <c r="D20" i="11"/>
  <c r="AA20" i="11"/>
  <c r="Z20" i="11"/>
  <c r="W20" i="11"/>
  <c r="C20" i="11"/>
  <c r="I20" i="11"/>
  <c r="O20" i="11"/>
  <c r="N20" i="11"/>
  <c r="M20" i="11"/>
  <c r="AB20" i="11"/>
  <c r="V20" i="11"/>
  <c r="P20" i="11"/>
  <c r="AE328" i="5"/>
  <c r="AF328" i="5"/>
  <c r="AF217" i="5"/>
  <c r="AE217" i="5"/>
  <c r="AC129" i="5"/>
  <c r="AC206" i="5"/>
  <c r="AB23" i="21"/>
  <c r="F23" i="21"/>
  <c r="AA23" i="21"/>
  <c r="E23" i="21"/>
  <c r="Z23" i="21"/>
  <c r="D23" i="21"/>
  <c r="Y23" i="21"/>
  <c r="C23" i="21"/>
  <c r="V23" i="21"/>
  <c r="S23" i="21"/>
  <c r="K23" i="21"/>
  <c r="X23" i="21"/>
  <c r="W23" i="21"/>
  <c r="U23" i="21"/>
  <c r="R23" i="21"/>
  <c r="Q23" i="21"/>
  <c r="P23" i="21"/>
  <c r="O23" i="21"/>
  <c r="L23" i="21"/>
  <c r="T23" i="21"/>
  <c r="J23" i="21"/>
  <c r="N23" i="21"/>
  <c r="M23" i="21"/>
  <c r="I23" i="21"/>
  <c r="H23" i="21"/>
  <c r="G23" i="21"/>
  <c r="H5" i="22"/>
  <c r="G5" i="22"/>
  <c r="AB5" i="22"/>
  <c r="F5" i="22"/>
  <c r="AA5" i="22"/>
  <c r="E5" i="22"/>
  <c r="X5" i="22"/>
  <c r="W5" i="22"/>
  <c r="U5" i="22"/>
  <c r="M5" i="22"/>
  <c r="T5" i="22"/>
  <c r="S5" i="22"/>
  <c r="R5" i="22"/>
  <c r="Q5" i="22"/>
  <c r="N5" i="22"/>
  <c r="V5" i="22"/>
  <c r="L5" i="22"/>
  <c r="Z5" i="22"/>
  <c r="J5" i="22"/>
  <c r="I5" i="22"/>
  <c r="D5" i="22"/>
  <c r="C5" i="22"/>
  <c r="Y5" i="22"/>
  <c r="K5" i="22"/>
  <c r="P5" i="22"/>
  <c r="O5" i="22"/>
  <c r="R16" i="20"/>
  <c r="Q16" i="20"/>
  <c r="P16" i="20"/>
  <c r="J16" i="20"/>
  <c r="G16" i="20"/>
  <c r="F16" i="20"/>
  <c r="E16" i="20"/>
  <c r="D16" i="20"/>
  <c r="H16" i="20"/>
  <c r="C16" i="20"/>
  <c r="K16" i="20"/>
  <c r="I16" i="20"/>
  <c r="AA16" i="20"/>
  <c r="X16" i="20"/>
  <c r="AB16" i="20"/>
  <c r="Z16" i="20"/>
  <c r="Y16" i="20"/>
  <c r="W16" i="20"/>
  <c r="N16" i="20"/>
  <c r="U16" i="20"/>
  <c r="M16" i="20"/>
  <c r="L16" i="20"/>
  <c r="T16" i="20"/>
  <c r="S16" i="20"/>
  <c r="O16" i="20"/>
  <c r="V16" i="20"/>
  <c r="S9" i="9"/>
  <c r="R9" i="9"/>
  <c r="Q9" i="9"/>
  <c r="K9" i="9"/>
  <c r="I9" i="9"/>
  <c r="H9" i="9"/>
  <c r="G9" i="9"/>
  <c r="D9" i="9"/>
  <c r="C9" i="9"/>
  <c r="X9" i="9"/>
  <c r="W9" i="9"/>
  <c r="V9" i="9"/>
  <c r="T9" i="9"/>
  <c r="P9" i="9"/>
  <c r="O9" i="9"/>
  <c r="N9" i="9"/>
  <c r="M9" i="9"/>
  <c r="L9" i="9"/>
  <c r="J9" i="9"/>
  <c r="F9" i="9"/>
  <c r="E9" i="9"/>
  <c r="Z9" i="9"/>
  <c r="AB9" i="9"/>
  <c r="AA9" i="9"/>
  <c r="Y9" i="9"/>
  <c r="U9" i="9"/>
  <c r="P9" i="11"/>
  <c r="R9" i="11"/>
  <c r="Q9" i="11"/>
  <c r="I9" i="11"/>
  <c r="S9" i="11"/>
  <c r="O9" i="11"/>
  <c r="N9" i="11"/>
  <c r="H9" i="11"/>
  <c r="G9" i="11"/>
  <c r="E9" i="11"/>
  <c r="D9" i="11"/>
  <c r="C9" i="11"/>
  <c r="AB9" i="11"/>
  <c r="Y9" i="11"/>
  <c r="X9" i="11"/>
  <c r="W9" i="11"/>
  <c r="U9" i="11"/>
  <c r="T9" i="11"/>
  <c r="AA9" i="11"/>
  <c r="Z9" i="11"/>
  <c r="V9" i="11"/>
  <c r="M9" i="11"/>
  <c r="J9" i="11"/>
  <c r="F9" i="11"/>
  <c r="K9" i="11"/>
  <c r="L9" i="11"/>
  <c r="X22" i="19"/>
  <c r="I22" i="19"/>
  <c r="H22" i="19"/>
  <c r="F22" i="19"/>
  <c r="N22" i="19"/>
  <c r="M22" i="19"/>
  <c r="L22" i="19"/>
  <c r="K22" i="19"/>
  <c r="V22" i="19"/>
  <c r="U22" i="19"/>
  <c r="T22" i="19"/>
  <c r="S22" i="19"/>
  <c r="G22" i="19"/>
  <c r="C22" i="19"/>
  <c r="AB22" i="19"/>
  <c r="AA22" i="19"/>
  <c r="Z22" i="19"/>
  <c r="O22" i="19"/>
  <c r="J22" i="19"/>
  <c r="E22" i="19"/>
  <c r="D22" i="19"/>
  <c r="Y22" i="19"/>
  <c r="W22" i="19"/>
  <c r="R22" i="19"/>
  <c r="Q22" i="19"/>
  <c r="P22" i="19"/>
  <c r="Z9" i="13"/>
  <c r="D9" i="13"/>
  <c r="Y9" i="13"/>
  <c r="C9" i="13"/>
  <c r="W9" i="13"/>
  <c r="I9" i="13"/>
  <c r="H9" i="13"/>
  <c r="K9" i="13"/>
  <c r="J9" i="13"/>
  <c r="G9" i="13"/>
  <c r="R9" i="13"/>
  <c r="Q9" i="13"/>
  <c r="P9" i="13"/>
  <c r="E9" i="13"/>
  <c r="V9" i="13"/>
  <c r="U9" i="13"/>
  <c r="T9" i="13"/>
  <c r="S9" i="13"/>
  <c r="O9" i="13"/>
  <c r="N9" i="13"/>
  <c r="M9" i="13"/>
  <c r="AB9" i="13"/>
  <c r="AA9" i="13"/>
  <c r="X9" i="13"/>
  <c r="L9" i="13"/>
  <c r="F9" i="13"/>
  <c r="L20" i="12"/>
  <c r="H20" i="12"/>
  <c r="G20" i="12"/>
  <c r="F20" i="12"/>
  <c r="E20" i="12"/>
  <c r="D20" i="12"/>
  <c r="X20" i="12"/>
  <c r="P20" i="12"/>
  <c r="O20" i="12"/>
  <c r="N20" i="12"/>
  <c r="AB20" i="12"/>
  <c r="K20" i="12"/>
  <c r="J20" i="12"/>
  <c r="I20" i="12"/>
  <c r="AA20" i="12"/>
  <c r="Z20" i="12"/>
  <c r="Y20" i="12"/>
  <c r="W20" i="12"/>
  <c r="V20" i="12"/>
  <c r="U20" i="12"/>
  <c r="T20" i="12"/>
  <c r="S20" i="12"/>
  <c r="Q20" i="12"/>
  <c r="R20" i="12"/>
  <c r="M20" i="12"/>
  <c r="C20" i="12"/>
  <c r="AC533" i="5"/>
  <c r="I23" i="15"/>
  <c r="J23" i="15"/>
  <c r="H23" i="15"/>
  <c r="G23" i="15"/>
  <c r="F23" i="15"/>
  <c r="X23" i="15"/>
  <c r="W23" i="15"/>
  <c r="V23" i="15"/>
  <c r="U23" i="15"/>
  <c r="M23" i="15"/>
  <c r="L23" i="15"/>
  <c r="K23" i="15"/>
  <c r="Q23" i="15"/>
  <c r="P23" i="15"/>
  <c r="AB23" i="15"/>
  <c r="AA23" i="15"/>
  <c r="T23" i="15"/>
  <c r="R23" i="15"/>
  <c r="Z23" i="15"/>
  <c r="Y23" i="15"/>
  <c r="C23" i="15"/>
  <c r="O23" i="15"/>
  <c r="N23" i="15"/>
  <c r="E23" i="15"/>
  <c r="D23" i="15"/>
  <c r="S23" i="15"/>
  <c r="AF426" i="5"/>
  <c r="AE426" i="5"/>
  <c r="AF536" i="5"/>
  <c r="AE536" i="5"/>
  <c r="AC222" i="5"/>
  <c r="AC199" i="5"/>
  <c r="AC460" i="5"/>
  <c r="AE475" i="5"/>
  <c r="AF475" i="5"/>
  <c r="AF60" i="5"/>
  <c r="AE60" i="5"/>
  <c r="I18" i="21"/>
  <c r="H18" i="21"/>
  <c r="G18" i="21"/>
  <c r="AB18" i="21"/>
  <c r="F18" i="21"/>
  <c r="Y18" i="21"/>
  <c r="C18" i="21"/>
  <c r="V18" i="21"/>
  <c r="N18" i="21"/>
  <c r="AA18" i="21"/>
  <c r="X18" i="21"/>
  <c r="S18" i="21"/>
  <c r="R18" i="21"/>
  <c r="Q18" i="21"/>
  <c r="P18" i="21"/>
  <c r="E18" i="21"/>
  <c r="Z18" i="21"/>
  <c r="W18" i="21"/>
  <c r="T18" i="21"/>
  <c r="U18" i="21"/>
  <c r="O18" i="21"/>
  <c r="M18" i="21"/>
  <c r="L18" i="21"/>
  <c r="K18" i="21"/>
  <c r="J18" i="21"/>
  <c r="D18" i="21"/>
  <c r="AA10" i="22"/>
  <c r="E10" i="22"/>
  <c r="Z10" i="22"/>
  <c r="D10" i="22"/>
  <c r="Y10" i="22"/>
  <c r="C10" i="22"/>
  <c r="X10" i="22"/>
  <c r="U10" i="22"/>
  <c r="T10" i="22"/>
  <c r="R10" i="22"/>
  <c r="J10" i="22"/>
  <c r="AB10" i="22"/>
  <c r="W10" i="22"/>
  <c r="V10" i="22"/>
  <c r="S10" i="22"/>
  <c r="O10" i="22"/>
  <c r="M10" i="22"/>
  <c r="Q10" i="22"/>
  <c r="P10" i="22"/>
  <c r="G10" i="22"/>
  <c r="L10" i="22"/>
  <c r="K10" i="22"/>
  <c r="H10" i="22"/>
  <c r="F10" i="22"/>
  <c r="N10" i="22"/>
  <c r="I10" i="22"/>
  <c r="AB23" i="20"/>
  <c r="AA23" i="20"/>
  <c r="E23" i="20"/>
  <c r="Z23" i="20"/>
  <c r="D23" i="20"/>
  <c r="Y23" i="20"/>
  <c r="C23" i="20"/>
  <c r="S23" i="20"/>
  <c r="H23" i="20"/>
  <c r="G23" i="20"/>
  <c r="F23" i="20"/>
  <c r="O23" i="20"/>
  <c r="N23" i="20"/>
  <c r="M23" i="20"/>
  <c r="L23" i="20"/>
  <c r="T23" i="20"/>
  <c r="R23" i="20"/>
  <c r="Q23" i="20"/>
  <c r="P23" i="20"/>
  <c r="I23" i="20"/>
  <c r="V23" i="20"/>
  <c r="U23" i="20"/>
  <c r="K23" i="20"/>
  <c r="J23" i="20"/>
  <c r="W23" i="20"/>
  <c r="X23" i="20"/>
  <c r="N10" i="9"/>
  <c r="M10" i="9"/>
  <c r="L10" i="9"/>
  <c r="AB10" i="9"/>
  <c r="F10" i="9"/>
  <c r="Z10" i="9"/>
  <c r="D10" i="9"/>
  <c r="Y10" i="9"/>
  <c r="C10" i="9"/>
  <c r="X10" i="9"/>
  <c r="J10" i="9"/>
  <c r="I10" i="9"/>
  <c r="H10" i="9"/>
  <c r="AA10" i="9"/>
  <c r="V10" i="9"/>
  <c r="U10" i="9"/>
  <c r="W10" i="9"/>
  <c r="T10" i="9"/>
  <c r="S10" i="9"/>
  <c r="R10" i="9"/>
  <c r="Q10" i="9"/>
  <c r="P10" i="9"/>
  <c r="K10" i="9"/>
  <c r="E10" i="9"/>
  <c r="O10" i="9"/>
  <c r="G10" i="9"/>
  <c r="K10" i="11"/>
  <c r="N10" i="11"/>
  <c r="M10" i="11"/>
  <c r="AB10" i="11"/>
  <c r="E10" i="11"/>
  <c r="R10" i="11"/>
  <c r="Q10" i="11"/>
  <c r="P10" i="11"/>
  <c r="H10" i="11"/>
  <c r="G10" i="11"/>
  <c r="D10" i="11"/>
  <c r="C10" i="11"/>
  <c r="AA10" i="11"/>
  <c r="T10" i="11"/>
  <c r="S10" i="11"/>
  <c r="O10" i="11"/>
  <c r="Z10" i="11"/>
  <c r="Y10" i="11"/>
  <c r="X10" i="11"/>
  <c r="W10" i="11"/>
  <c r="V10" i="11"/>
  <c r="U10" i="11"/>
  <c r="L10" i="11"/>
  <c r="J10" i="11"/>
  <c r="I10" i="11"/>
  <c r="F10" i="11"/>
  <c r="H10" i="16"/>
  <c r="G10" i="16"/>
  <c r="X10" i="16"/>
  <c r="W10" i="16"/>
  <c r="V10" i="16"/>
  <c r="U10" i="16"/>
  <c r="L10" i="16"/>
  <c r="O10" i="16"/>
  <c r="N10" i="16"/>
  <c r="M10" i="16"/>
  <c r="K10" i="16"/>
  <c r="AB10" i="16"/>
  <c r="E10" i="16"/>
  <c r="D10" i="16"/>
  <c r="C10" i="16"/>
  <c r="AA10" i="16"/>
  <c r="T10" i="16"/>
  <c r="R10" i="16"/>
  <c r="Q10" i="16"/>
  <c r="P10" i="16"/>
  <c r="F10" i="16"/>
  <c r="Z10" i="16"/>
  <c r="Y10" i="16"/>
  <c r="S10" i="16"/>
  <c r="J10" i="16"/>
  <c r="I10" i="16"/>
  <c r="O20" i="13"/>
  <c r="N20" i="13"/>
  <c r="L20" i="13"/>
  <c r="R20" i="13"/>
  <c r="Q20" i="13"/>
  <c r="E20" i="13"/>
  <c r="AA20" i="13"/>
  <c r="Z20" i="13"/>
  <c r="Y20" i="13"/>
  <c r="T20" i="13"/>
  <c r="W20" i="13"/>
  <c r="V20" i="13"/>
  <c r="S20" i="13"/>
  <c r="P20" i="13"/>
  <c r="C20" i="13"/>
  <c r="AB20" i="13"/>
  <c r="X20" i="13"/>
  <c r="U20" i="13"/>
  <c r="J20" i="13"/>
  <c r="I20" i="13"/>
  <c r="H20" i="13"/>
  <c r="G20" i="13"/>
  <c r="M20" i="13"/>
  <c r="K20" i="13"/>
  <c r="F20" i="13"/>
  <c r="D20" i="13"/>
  <c r="AB16" i="12"/>
  <c r="F16" i="12"/>
  <c r="AA16" i="12"/>
  <c r="E16" i="12"/>
  <c r="R16" i="12"/>
  <c r="Q16" i="12"/>
  <c r="P16" i="12"/>
  <c r="K16" i="12"/>
  <c r="C16" i="12"/>
  <c r="W16" i="12"/>
  <c r="V16" i="12"/>
  <c r="T16" i="12"/>
  <c r="X16" i="12"/>
  <c r="U16" i="12"/>
  <c r="S16" i="12"/>
  <c r="O16" i="12"/>
  <c r="N16" i="12"/>
  <c r="M16" i="12"/>
  <c r="L16" i="12"/>
  <c r="Z16" i="12"/>
  <c r="Y16" i="12"/>
  <c r="J16" i="12"/>
  <c r="I16" i="12"/>
  <c r="D16" i="12"/>
  <c r="H16" i="12"/>
  <c r="G16" i="12"/>
  <c r="AE572" i="5"/>
  <c r="AF572" i="5"/>
  <c r="AC259" i="5"/>
  <c r="K5" i="15"/>
  <c r="J5" i="15"/>
  <c r="H5" i="15"/>
  <c r="L5" i="15"/>
  <c r="I5" i="15"/>
  <c r="G5" i="15"/>
  <c r="F5" i="15"/>
  <c r="W5" i="15"/>
  <c r="S5" i="15"/>
  <c r="R5" i="15"/>
  <c r="Q5" i="15"/>
  <c r="Z5" i="15"/>
  <c r="Y5" i="15"/>
  <c r="X5" i="15"/>
  <c r="O5" i="15"/>
  <c r="AB5" i="15"/>
  <c r="V5" i="15"/>
  <c r="U5" i="15"/>
  <c r="M5" i="15"/>
  <c r="E5" i="15"/>
  <c r="D5" i="15"/>
  <c r="C5" i="15"/>
  <c r="T5" i="15"/>
  <c r="AA5" i="15"/>
  <c r="P5" i="15"/>
  <c r="N5" i="15"/>
  <c r="AC467" i="5"/>
  <c r="AC218" i="5"/>
  <c r="AC300" i="5"/>
  <c r="AF241" i="5"/>
  <c r="AE241" i="5"/>
  <c r="AF131" i="5"/>
  <c r="AE131" i="5"/>
  <c r="AF348" i="5"/>
  <c r="AE348" i="5"/>
  <c r="AC455" i="5"/>
  <c r="AC10" i="5"/>
  <c r="AE137" i="5"/>
  <c r="AF137" i="5"/>
  <c r="AF59" i="5"/>
  <c r="AE59" i="5"/>
  <c r="H20" i="8"/>
  <c r="G20" i="8"/>
  <c r="AB20" i="8"/>
  <c r="F20" i="8"/>
  <c r="V20" i="8"/>
  <c r="T20" i="8"/>
  <c r="S20" i="8"/>
  <c r="R20" i="8"/>
  <c r="L20" i="8"/>
  <c r="K20" i="8"/>
  <c r="J20" i="8"/>
  <c r="AA20" i="8"/>
  <c r="X20" i="8"/>
  <c r="O20" i="8"/>
  <c r="N20" i="8"/>
  <c r="M20" i="8"/>
  <c r="I20" i="8"/>
  <c r="E20" i="8"/>
  <c r="D20" i="8"/>
  <c r="C20" i="8"/>
  <c r="U20" i="8"/>
  <c r="W20" i="8"/>
  <c r="Q20" i="8"/>
  <c r="P20" i="8"/>
  <c r="Z20" i="8"/>
  <c r="Y20" i="8"/>
  <c r="AF70" i="5"/>
  <c r="AE70" i="5"/>
  <c r="AF474" i="5"/>
  <c r="AE474" i="5"/>
  <c r="AE46" i="5"/>
  <c r="AF46" i="5"/>
  <c r="I11" i="8"/>
  <c r="H11" i="8"/>
  <c r="G11" i="8"/>
  <c r="W11" i="8"/>
  <c r="U11" i="8"/>
  <c r="T11" i="8"/>
  <c r="S11" i="8"/>
  <c r="R11" i="8"/>
  <c r="K11" i="8"/>
  <c r="J11" i="8"/>
  <c r="F11" i="8"/>
  <c r="C11" i="8"/>
  <c r="AB11" i="8"/>
  <c r="AA11" i="8"/>
  <c r="Z11" i="8"/>
  <c r="Y11" i="8"/>
  <c r="X11" i="8"/>
  <c r="Q11" i="8"/>
  <c r="L11" i="8"/>
  <c r="D11" i="8"/>
  <c r="P11" i="8"/>
  <c r="O11" i="8"/>
  <c r="N11" i="8"/>
  <c r="M11" i="8"/>
  <c r="V11" i="8"/>
  <c r="E11" i="8"/>
  <c r="Y19" i="18"/>
  <c r="C19" i="18"/>
  <c r="X19" i="18"/>
  <c r="V19" i="18"/>
  <c r="R19" i="18"/>
  <c r="Q19" i="18"/>
  <c r="P19" i="18"/>
  <c r="O19" i="18"/>
  <c r="H19" i="18"/>
  <c r="G19" i="18"/>
  <c r="F19" i="18"/>
  <c r="E19" i="18"/>
  <c r="AB19" i="18"/>
  <c r="D19" i="18"/>
  <c r="AA19" i="18"/>
  <c r="Z19" i="18"/>
  <c r="W19" i="18"/>
  <c r="U19" i="18"/>
  <c r="T19" i="18"/>
  <c r="K19" i="18"/>
  <c r="J19" i="18"/>
  <c r="I19" i="18"/>
  <c r="L19" i="18"/>
  <c r="S19" i="18"/>
  <c r="N19" i="18"/>
  <c r="M19" i="18"/>
  <c r="I18" i="22"/>
  <c r="H18" i="22"/>
  <c r="G18" i="22"/>
  <c r="AB18" i="22"/>
  <c r="F18" i="22"/>
  <c r="Y18" i="22"/>
  <c r="C18" i="22"/>
  <c r="X18" i="22"/>
  <c r="V18" i="22"/>
  <c r="N18" i="22"/>
  <c r="Q18" i="22"/>
  <c r="P18" i="22"/>
  <c r="O18" i="22"/>
  <c r="M18" i="22"/>
  <c r="J18" i="22"/>
  <c r="W18" i="22"/>
  <c r="D18" i="22"/>
  <c r="Z18" i="22"/>
  <c r="U18" i="22"/>
  <c r="T18" i="22"/>
  <c r="S18" i="22"/>
  <c r="AA18" i="22"/>
  <c r="R18" i="22"/>
  <c r="L18" i="22"/>
  <c r="K18" i="22"/>
  <c r="E18" i="22"/>
  <c r="AC284" i="5"/>
  <c r="AB11" i="11"/>
  <c r="F11" i="11"/>
  <c r="J11" i="11"/>
  <c r="I11" i="11"/>
  <c r="X11" i="11"/>
  <c r="Q11" i="11"/>
  <c r="P11" i="11"/>
  <c r="O11" i="11"/>
  <c r="H11" i="11"/>
  <c r="G11" i="11"/>
  <c r="D11" i="11"/>
  <c r="C11" i="11"/>
  <c r="AA11" i="11"/>
  <c r="S11" i="11"/>
  <c r="R11" i="11"/>
  <c r="N11" i="11"/>
  <c r="M11" i="11"/>
  <c r="L11" i="11"/>
  <c r="K11" i="11"/>
  <c r="E11" i="11"/>
  <c r="V11" i="11"/>
  <c r="W11" i="11"/>
  <c r="Y11" i="11"/>
  <c r="Z11" i="11"/>
  <c r="U11" i="11"/>
  <c r="T11" i="11"/>
  <c r="L18" i="15"/>
  <c r="K18" i="15"/>
  <c r="J18" i="15"/>
  <c r="I18" i="15"/>
  <c r="X18" i="15"/>
  <c r="W18" i="15"/>
  <c r="V18" i="15"/>
  <c r="U18" i="15"/>
  <c r="M18" i="15"/>
  <c r="G18" i="15"/>
  <c r="R18" i="15"/>
  <c r="Q18" i="15"/>
  <c r="P18" i="15"/>
  <c r="Y18" i="15"/>
  <c r="T18" i="15"/>
  <c r="S18" i="15"/>
  <c r="H18" i="15"/>
  <c r="E18" i="15"/>
  <c r="N18" i="15"/>
  <c r="F18" i="15"/>
  <c r="D18" i="15"/>
  <c r="C18" i="15"/>
  <c r="AB18" i="15"/>
  <c r="AA18" i="15"/>
  <c r="Z18" i="15"/>
  <c r="O18" i="15"/>
  <c r="AF312" i="5"/>
  <c r="AE312" i="5"/>
  <c r="I6" i="7"/>
  <c r="AC207" i="5"/>
  <c r="AF165" i="5"/>
  <c r="AE165" i="5"/>
  <c r="AF501" i="5"/>
  <c r="AE501" i="5"/>
  <c r="AF17" i="5"/>
  <c r="AE17" i="5"/>
  <c r="AC42" i="5"/>
  <c r="AC114" i="5"/>
  <c r="AE558" i="5"/>
  <c r="AF558" i="5"/>
  <c r="Q22" i="10"/>
  <c r="G22" i="10"/>
  <c r="P22" i="10"/>
  <c r="O22" i="10"/>
  <c r="N22" i="10"/>
  <c r="I22" i="10"/>
  <c r="H22" i="10"/>
  <c r="E22" i="10"/>
  <c r="AB22" i="10"/>
  <c r="D22" i="10"/>
  <c r="AA22" i="10"/>
  <c r="C22" i="10"/>
  <c r="Z22" i="10"/>
  <c r="U22" i="10"/>
  <c r="T22" i="10"/>
  <c r="S22" i="10"/>
  <c r="M22" i="10"/>
  <c r="L22" i="10"/>
  <c r="Y22" i="10"/>
  <c r="X22" i="10"/>
  <c r="W22" i="10"/>
  <c r="V22" i="10"/>
  <c r="R22" i="10"/>
  <c r="K22" i="10"/>
  <c r="J22" i="10"/>
  <c r="F22" i="10"/>
  <c r="AE224" i="5"/>
  <c r="AF224" i="5"/>
  <c r="U4" i="12"/>
  <c r="K4" i="12"/>
  <c r="I4" i="12"/>
  <c r="J4" i="12"/>
  <c r="H4" i="12"/>
  <c r="G4" i="12"/>
  <c r="Z4" i="12"/>
  <c r="Y4" i="12"/>
  <c r="N4" i="12"/>
  <c r="M4" i="12"/>
  <c r="L4" i="12"/>
  <c r="AB4" i="12"/>
  <c r="AA4" i="12"/>
  <c r="X4" i="12"/>
  <c r="W4" i="12"/>
  <c r="V4" i="12"/>
  <c r="T4" i="12"/>
  <c r="S4" i="12"/>
  <c r="E4" i="12"/>
  <c r="D4" i="12"/>
  <c r="C4" i="12"/>
  <c r="R4" i="12"/>
  <c r="Q4" i="12"/>
  <c r="P4" i="12"/>
  <c r="O4" i="12"/>
  <c r="F4" i="12"/>
  <c r="AF509" i="5"/>
  <c r="AE509" i="5"/>
  <c r="AF66" i="5"/>
  <c r="AE66" i="5"/>
  <c r="AE143" i="5"/>
  <c r="AF143" i="5"/>
  <c r="S9" i="8"/>
  <c r="R9" i="8"/>
  <c r="Q9" i="8"/>
  <c r="K9" i="8"/>
  <c r="I9" i="8"/>
  <c r="T9" i="8"/>
  <c r="P9" i="8"/>
  <c r="O9" i="8"/>
  <c r="F9" i="8"/>
  <c r="E9" i="8"/>
  <c r="D9" i="8"/>
  <c r="V9" i="8"/>
  <c r="U9" i="8"/>
  <c r="N9" i="8"/>
  <c r="M9" i="8"/>
  <c r="L9" i="8"/>
  <c r="J9" i="8"/>
  <c r="H9" i="8"/>
  <c r="G9" i="8"/>
  <c r="C9" i="8"/>
  <c r="Y9" i="8"/>
  <c r="AB9" i="8"/>
  <c r="AA9" i="8"/>
  <c r="W9" i="8"/>
  <c r="Z9" i="8"/>
  <c r="X9" i="8"/>
  <c r="AF214" i="5"/>
  <c r="AE214" i="5"/>
  <c r="AE277" i="5"/>
  <c r="AF277" i="5"/>
  <c r="I11" i="12"/>
  <c r="H11" i="12"/>
  <c r="G11" i="12"/>
  <c r="E11" i="12"/>
  <c r="Y11" i="12"/>
  <c r="X11" i="12"/>
  <c r="W11" i="12"/>
  <c r="Q11" i="12"/>
  <c r="P11" i="12"/>
  <c r="U11" i="12"/>
  <c r="T11" i="12"/>
  <c r="S11" i="12"/>
  <c r="L11" i="12"/>
  <c r="K11" i="12"/>
  <c r="J11" i="12"/>
  <c r="F11" i="12"/>
  <c r="D11" i="12"/>
  <c r="C11" i="12"/>
  <c r="Z11" i="12"/>
  <c r="V11" i="12"/>
  <c r="R11" i="12"/>
  <c r="O11" i="12"/>
  <c r="AB11" i="12"/>
  <c r="AA11" i="12"/>
  <c r="N11" i="12"/>
  <c r="M11" i="12"/>
  <c r="T22" i="9"/>
  <c r="S22" i="9"/>
  <c r="R22" i="9"/>
  <c r="M22" i="9"/>
  <c r="L22" i="9"/>
  <c r="J22" i="9"/>
  <c r="I22" i="9"/>
  <c r="H22" i="9"/>
  <c r="X22" i="9"/>
  <c r="W22" i="9"/>
  <c r="V22" i="9"/>
  <c r="G22" i="9"/>
  <c r="F22" i="9"/>
  <c r="E22" i="9"/>
  <c r="C22" i="9"/>
  <c r="AB22" i="9"/>
  <c r="AA22" i="9"/>
  <c r="Z22" i="9"/>
  <c r="Y22" i="9"/>
  <c r="U22" i="9"/>
  <c r="Q22" i="9"/>
  <c r="P22" i="9"/>
  <c r="O22" i="9"/>
  <c r="N22" i="9"/>
  <c r="K22" i="9"/>
  <c r="D22" i="9"/>
  <c r="J21" i="13"/>
  <c r="I21" i="13"/>
  <c r="G21" i="13"/>
  <c r="P21" i="13"/>
  <c r="O21" i="13"/>
  <c r="AB21" i="13"/>
  <c r="C21" i="13"/>
  <c r="AA21" i="13"/>
  <c r="Z21" i="13"/>
  <c r="U21" i="13"/>
  <c r="K21" i="13"/>
  <c r="H21" i="13"/>
  <c r="F21" i="13"/>
  <c r="Y21" i="13"/>
  <c r="X21" i="13"/>
  <c r="V21" i="13"/>
  <c r="T21" i="13"/>
  <c r="S21" i="13"/>
  <c r="L21" i="13"/>
  <c r="E21" i="13"/>
  <c r="D21" i="13"/>
  <c r="W21" i="13"/>
  <c r="R21" i="13"/>
  <c r="Q21" i="13"/>
  <c r="N21" i="13"/>
  <c r="M21" i="13"/>
  <c r="J22" i="20"/>
  <c r="I22" i="20"/>
  <c r="H22" i="20"/>
  <c r="X22" i="20"/>
  <c r="F22" i="20"/>
  <c r="E22" i="20"/>
  <c r="D22" i="20"/>
  <c r="C22" i="20"/>
  <c r="L22" i="20"/>
  <c r="K22" i="20"/>
  <c r="G22" i="20"/>
  <c r="Z22" i="20"/>
  <c r="V22" i="20"/>
  <c r="AB22" i="20"/>
  <c r="AA22" i="20"/>
  <c r="Y22" i="20"/>
  <c r="R22" i="20"/>
  <c r="Q22" i="20"/>
  <c r="M22" i="20"/>
  <c r="T22" i="20"/>
  <c r="N22" i="20"/>
  <c r="S22" i="20"/>
  <c r="P22" i="20"/>
  <c r="O22" i="20"/>
  <c r="U22" i="20"/>
  <c r="W22" i="20"/>
  <c r="AC31" i="5"/>
  <c r="H10" i="17"/>
  <c r="G10" i="17"/>
  <c r="AB10" i="17"/>
  <c r="F10" i="17"/>
  <c r="AA10" i="17"/>
  <c r="E10" i="17"/>
  <c r="R10" i="17"/>
  <c r="Q10" i="17"/>
  <c r="P10" i="17"/>
  <c r="O10" i="17"/>
  <c r="N10" i="17"/>
  <c r="M10" i="17"/>
  <c r="L10" i="17"/>
  <c r="K10" i="17"/>
  <c r="D10" i="17"/>
  <c r="I10" i="17"/>
  <c r="C10" i="17"/>
  <c r="Y10" i="17"/>
  <c r="W10" i="17"/>
  <c r="V10" i="17"/>
  <c r="J10" i="17"/>
  <c r="T10" i="17"/>
  <c r="S10" i="17"/>
  <c r="Z10" i="17"/>
  <c r="X10" i="17"/>
  <c r="U10" i="17"/>
  <c r="T20" i="18"/>
  <c r="S20" i="18"/>
  <c r="Q20" i="18"/>
  <c r="P20" i="18"/>
  <c r="O20" i="18"/>
  <c r="N20" i="18"/>
  <c r="M20" i="18"/>
  <c r="J20" i="18"/>
  <c r="I20" i="18"/>
  <c r="H20" i="18"/>
  <c r="G20" i="18"/>
  <c r="V20" i="18"/>
  <c r="U20" i="18"/>
  <c r="R20" i="18"/>
  <c r="L20" i="18"/>
  <c r="K20" i="18"/>
  <c r="F20" i="18"/>
  <c r="E20" i="18"/>
  <c r="D20" i="18"/>
  <c r="AB20" i="18"/>
  <c r="AA20" i="18"/>
  <c r="Y20" i="18"/>
  <c r="X20" i="18"/>
  <c r="Z20" i="18"/>
  <c r="W20" i="18"/>
  <c r="C20" i="18"/>
  <c r="AC466" i="5"/>
  <c r="AF179" i="5"/>
  <c r="AE179" i="5"/>
  <c r="V10" i="18"/>
  <c r="U10" i="18"/>
  <c r="S10" i="18"/>
  <c r="X10" i="18"/>
  <c r="W10" i="18"/>
  <c r="T10" i="18"/>
  <c r="R10" i="18"/>
  <c r="L10" i="18"/>
  <c r="AB10" i="18"/>
  <c r="AA10" i="18"/>
  <c r="Z10" i="18"/>
  <c r="Y10" i="18"/>
  <c r="J10" i="18"/>
  <c r="I10" i="18"/>
  <c r="H10" i="18"/>
  <c r="Q10" i="18"/>
  <c r="P10" i="18"/>
  <c r="O10" i="18"/>
  <c r="N10" i="18"/>
  <c r="M10" i="18"/>
  <c r="C10" i="18"/>
  <c r="F10" i="18"/>
  <c r="D10" i="18"/>
  <c r="K10" i="18"/>
  <c r="G10" i="18"/>
  <c r="E10" i="18"/>
  <c r="Z4" i="20"/>
  <c r="D4" i="20"/>
  <c r="P4" i="20"/>
  <c r="O4" i="20"/>
  <c r="M4" i="20"/>
  <c r="K4" i="20"/>
  <c r="J4" i="20"/>
  <c r="I4" i="20"/>
  <c r="H4" i="20"/>
  <c r="N4" i="20"/>
  <c r="L4" i="20"/>
  <c r="G4" i="20"/>
  <c r="F4" i="20"/>
  <c r="AA4" i="20"/>
  <c r="R4" i="20"/>
  <c r="Q4" i="20"/>
  <c r="E4" i="20"/>
  <c r="C4" i="20"/>
  <c r="Y4" i="20"/>
  <c r="X4" i="20"/>
  <c r="W4" i="20"/>
  <c r="V4" i="20"/>
  <c r="S4" i="20"/>
  <c r="AB4" i="20"/>
  <c r="U4" i="20"/>
  <c r="T4" i="20"/>
  <c r="V4" i="9"/>
  <c r="U4" i="9"/>
  <c r="T4" i="9"/>
  <c r="N4" i="9"/>
  <c r="L4" i="9"/>
  <c r="K4" i="9"/>
  <c r="J4" i="9"/>
  <c r="I4" i="9"/>
  <c r="H4" i="9"/>
  <c r="G4" i="9"/>
  <c r="AB4" i="9"/>
  <c r="AA4" i="9"/>
  <c r="Y4" i="9"/>
  <c r="X4" i="9"/>
  <c r="C4" i="9"/>
  <c r="Z4" i="9"/>
  <c r="W4" i="9"/>
  <c r="R4" i="9"/>
  <c r="F4" i="9"/>
  <c r="O4" i="9"/>
  <c r="M4" i="9"/>
  <c r="E4" i="9"/>
  <c r="D4" i="9"/>
  <c r="Q4" i="9"/>
  <c r="P4" i="9"/>
  <c r="S4" i="9"/>
  <c r="AC555" i="5"/>
  <c r="AB23" i="22"/>
  <c r="F23" i="22"/>
  <c r="AA23" i="22"/>
  <c r="E23" i="22"/>
  <c r="Z23" i="22"/>
  <c r="D23" i="22"/>
  <c r="Y23" i="22"/>
  <c r="C23" i="22"/>
  <c r="V23" i="22"/>
  <c r="U23" i="22"/>
  <c r="S23" i="22"/>
  <c r="O23" i="22"/>
  <c r="K23" i="22"/>
  <c r="X23" i="22"/>
  <c r="W23" i="22"/>
  <c r="T23" i="22"/>
  <c r="R23" i="22"/>
  <c r="Q23" i="22"/>
  <c r="P23" i="22"/>
  <c r="N23" i="22"/>
  <c r="L23" i="22"/>
  <c r="J23" i="22"/>
  <c r="M23" i="22"/>
  <c r="I23" i="22"/>
  <c r="H23" i="22"/>
  <c r="G23" i="22"/>
  <c r="AC367" i="5"/>
  <c r="AC508" i="5"/>
  <c r="G21" i="19"/>
  <c r="M21" i="19"/>
  <c r="L21" i="19"/>
  <c r="J21" i="19"/>
  <c r="O21" i="19"/>
  <c r="N21" i="19"/>
  <c r="K21" i="19"/>
  <c r="I21" i="19"/>
  <c r="S21" i="19"/>
  <c r="R21" i="19"/>
  <c r="Q21" i="19"/>
  <c r="P21" i="19"/>
  <c r="H21" i="19"/>
  <c r="F21" i="19"/>
  <c r="E21" i="19"/>
  <c r="D21" i="19"/>
  <c r="AB21" i="19"/>
  <c r="AA21" i="19"/>
  <c r="X21" i="19"/>
  <c r="T21" i="19"/>
  <c r="C21" i="19"/>
  <c r="Z21" i="19"/>
  <c r="W21" i="19"/>
  <c r="V21" i="19"/>
  <c r="U21" i="19"/>
  <c r="Y21" i="19"/>
  <c r="K22" i="22"/>
  <c r="J22" i="22"/>
  <c r="I22" i="22"/>
  <c r="H22" i="22"/>
  <c r="AA22" i="22"/>
  <c r="E22" i="22"/>
  <c r="Z22" i="22"/>
  <c r="D22" i="22"/>
  <c r="X22" i="22"/>
  <c r="T22" i="22"/>
  <c r="P22" i="22"/>
  <c r="O22" i="22"/>
  <c r="N22" i="22"/>
  <c r="M22" i="22"/>
  <c r="L22" i="22"/>
  <c r="C22" i="22"/>
  <c r="Y22" i="22"/>
  <c r="U22" i="22"/>
  <c r="G22" i="22"/>
  <c r="AB22" i="22"/>
  <c r="W22" i="22"/>
  <c r="V22" i="22"/>
  <c r="S22" i="22"/>
  <c r="R22" i="22"/>
  <c r="Q22" i="22"/>
  <c r="F22" i="22"/>
  <c r="N10" i="12"/>
  <c r="M10" i="12"/>
  <c r="J10" i="12"/>
  <c r="H10" i="12"/>
  <c r="Z10" i="12"/>
  <c r="Y10" i="12"/>
  <c r="X10" i="12"/>
  <c r="R10" i="12"/>
  <c r="Q10" i="12"/>
  <c r="O10" i="12"/>
  <c r="L10" i="12"/>
  <c r="K10" i="12"/>
  <c r="D10" i="12"/>
  <c r="C10" i="12"/>
  <c r="AB10" i="12"/>
  <c r="V10" i="12"/>
  <c r="U10" i="12"/>
  <c r="T10" i="12"/>
  <c r="S10" i="12"/>
  <c r="P10" i="12"/>
  <c r="I10" i="12"/>
  <c r="F10" i="12"/>
  <c r="AA10" i="12"/>
  <c r="W10" i="12"/>
  <c r="G10" i="12"/>
  <c r="E10" i="12"/>
  <c r="T11" i="20"/>
  <c r="M11" i="20"/>
  <c r="N11" i="20"/>
  <c r="L11" i="20"/>
  <c r="K11" i="20"/>
  <c r="J11" i="20"/>
  <c r="Q11" i="20"/>
  <c r="P11" i="20"/>
  <c r="O11" i="20"/>
  <c r="I11" i="20"/>
  <c r="Z11" i="20"/>
  <c r="Y11" i="20"/>
  <c r="X11" i="20"/>
  <c r="W11" i="20"/>
  <c r="G11" i="20"/>
  <c r="D11" i="20"/>
  <c r="E11" i="20"/>
  <c r="C11" i="20"/>
  <c r="AB11" i="20"/>
  <c r="AA11" i="20"/>
  <c r="V11" i="20"/>
  <c r="R11" i="20"/>
  <c r="H11" i="20"/>
  <c r="F11" i="20"/>
  <c r="S11" i="20"/>
  <c r="U11" i="20"/>
  <c r="AC212" i="5"/>
  <c r="M19" i="9"/>
  <c r="L19" i="9"/>
  <c r="K19" i="9"/>
  <c r="AB19" i="9"/>
  <c r="F19" i="9"/>
  <c r="AA19" i="9"/>
  <c r="E19" i="9"/>
  <c r="Y19" i="9"/>
  <c r="C19" i="9"/>
  <c r="X19" i="9"/>
  <c r="W19" i="9"/>
  <c r="T19" i="9"/>
  <c r="S19" i="9"/>
  <c r="R19" i="9"/>
  <c r="P19" i="9"/>
  <c r="O19" i="9"/>
  <c r="I19" i="9"/>
  <c r="H19" i="9"/>
  <c r="G19" i="9"/>
  <c r="D19" i="9"/>
  <c r="Q19" i="9"/>
  <c r="Z19" i="9"/>
  <c r="V19" i="9"/>
  <c r="J19" i="9"/>
  <c r="U19" i="9"/>
  <c r="N19" i="9"/>
  <c r="Y19" i="20"/>
  <c r="C19" i="20"/>
  <c r="X19" i="20"/>
  <c r="W19" i="20"/>
  <c r="Q19" i="20"/>
  <c r="H19" i="20"/>
  <c r="G19" i="20"/>
  <c r="F19" i="20"/>
  <c r="E19" i="20"/>
  <c r="V19" i="20"/>
  <c r="U19" i="20"/>
  <c r="T19" i="20"/>
  <c r="S19" i="20"/>
  <c r="I19" i="20"/>
  <c r="D19" i="20"/>
  <c r="AA19" i="20"/>
  <c r="K19" i="20"/>
  <c r="J19" i="20"/>
  <c r="R19" i="20"/>
  <c r="M19" i="20"/>
  <c r="L19" i="20"/>
  <c r="P19" i="20"/>
  <c r="O19" i="20"/>
  <c r="N19" i="20"/>
  <c r="AB19" i="20"/>
  <c r="Z19" i="20"/>
  <c r="V16" i="15"/>
  <c r="U16" i="15"/>
  <c r="T16" i="15"/>
  <c r="S16" i="15"/>
  <c r="Z16" i="15"/>
  <c r="Y16" i="15"/>
  <c r="X16" i="15"/>
  <c r="W16" i="15"/>
  <c r="K16" i="15"/>
  <c r="I16" i="15"/>
  <c r="P16" i="15"/>
  <c r="AB16" i="15"/>
  <c r="AA16" i="15"/>
  <c r="O16" i="15"/>
  <c r="M16" i="15"/>
  <c r="R16" i="15"/>
  <c r="G16" i="15"/>
  <c r="F16" i="15"/>
  <c r="E16" i="15"/>
  <c r="D16" i="15"/>
  <c r="C16" i="15"/>
  <c r="Q16" i="15"/>
  <c r="N16" i="15"/>
  <c r="L16" i="15"/>
  <c r="J16" i="15"/>
  <c r="H16" i="15"/>
  <c r="J9" i="21"/>
  <c r="I9" i="21"/>
  <c r="H9" i="21"/>
  <c r="G9" i="21"/>
  <c r="Z9" i="21"/>
  <c r="D9" i="21"/>
  <c r="W9" i="21"/>
  <c r="AB9" i="21"/>
  <c r="AA9" i="21"/>
  <c r="Y9" i="21"/>
  <c r="R9" i="21"/>
  <c r="Q9" i="21"/>
  <c r="P9" i="21"/>
  <c r="O9" i="21"/>
  <c r="X9" i="21"/>
  <c r="V9" i="21"/>
  <c r="U9" i="21"/>
  <c r="K9" i="21"/>
  <c r="C9" i="21"/>
  <c r="N9" i="21"/>
  <c r="M9" i="21"/>
  <c r="L9" i="21"/>
  <c r="F9" i="21"/>
  <c r="E9" i="21"/>
  <c r="S9" i="21"/>
  <c r="T9" i="21"/>
  <c r="G5" i="10"/>
  <c r="R5" i="10"/>
  <c r="Q5" i="10"/>
  <c r="P5" i="10"/>
  <c r="K5" i="10"/>
  <c r="J5" i="10"/>
  <c r="H5" i="10"/>
  <c r="F5" i="10"/>
  <c r="AB5" i="10"/>
  <c r="E5" i="10"/>
  <c r="Z5" i="10"/>
  <c r="Y5" i="10"/>
  <c r="X5" i="10"/>
  <c r="N5" i="10"/>
  <c r="M5" i="10"/>
  <c r="L5" i="10"/>
  <c r="D5" i="10"/>
  <c r="C5" i="10"/>
  <c r="O5" i="10"/>
  <c r="I5" i="10"/>
  <c r="U5" i="10"/>
  <c r="AA5" i="10"/>
  <c r="W5" i="10"/>
  <c r="S5" i="10"/>
  <c r="T5" i="10"/>
  <c r="V5" i="10"/>
  <c r="AF283" i="5"/>
  <c r="AE283" i="5"/>
  <c r="AE452" i="5"/>
  <c r="AF452" i="5"/>
  <c r="AC200" i="5"/>
  <c r="AF77" i="5"/>
  <c r="AE77" i="5"/>
  <c r="K5" i="17"/>
  <c r="J5" i="17"/>
  <c r="H5" i="17"/>
  <c r="V5" i="17"/>
  <c r="U5" i="17"/>
  <c r="T5" i="17"/>
  <c r="S5" i="17"/>
  <c r="G5" i="17"/>
  <c r="O5" i="17"/>
  <c r="N5" i="17"/>
  <c r="M5" i="17"/>
  <c r="L5" i="17"/>
  <c r="E5" i="17"/>
  <c r="AB5" i="17"/>
  <c r="AA5" i="17"/>
  <c r="P5" i="17"/>
  <c r="I5" i="17"/>
  <c r="C5" i="17"/>
  <c r="Z5" i="17"/>
  <c r="W5" i="17"/>
  <c r="R5" i="17"/>
  <c r="Q5" i="17"/>
  <c r="F5" i="17"/>
  <c r="D5" i="17"/>
  <c r="Y5" i="17"/>
  <c r="X5" i="17"/>
  <c r="L18" i="16"/>
  <c r="K18" i="16"/>
  <c r="I18" i="16"/>
  <c r="J18" i="16"/>
  <c r="H18" i="16"/>
  <c r="G18" i="16"/>
  <c r="F18" i="16"/>
  <c r="V18" i="16"/>
  <c r="Z18" i="16"/>
  <c r="Y18" i="16"/>
  <c r="X18" i="16"/>
  <c r="W18" i="16"/>
  <c r="N18" i="16"/>
  <c r="M18" i="16"/>
  <c r="E18" i="16"/>
  <c r="AB18" i="16"/>
  <c r="AA18" i="16"/>
  <c r="U18" i="16"/>
  <c r="T18" i="16"/>
  <c r="C18" i="16"/>
  <c r="S18" i="16"/>
  <c r="R18" i="16"/>
  <c r="Q18" i="16"/>
  <c r="P18" i="16"/>
  <c r="O18" i="16"/>
  <c r="D18" i="16"/>
  <c r="H10" i="15"/>
  <c r="G10" i="15"/>
  <c r="AA10" i="15"/>
  <c r="E10" i="15"/>
  <c r="AB10" i="15"/>
  <c r="Z10" i="15"/>
  <c r="Y10" i="15"/>
  <c r="X10" i="15"/>
  <c r="P10" i="15"/>
  <c r="N10" i="15"/>
  <c r="Q10" i="15"/>
  <c r="O10" i="15"/>
  <c r="M10" i="15"/>
  <c r="L10" i="15"/>
  <c r="K10" i="15"/>
  <c r="J10" i="15"/>
  <c r="D10" i="15"/>
  <c r="U10" i="15"/>
  <c r="T10" i="15"/>
  <c r="S10" i="15"/>
  <c r="V10" i="15"/>
  <c r="R10" i="15"/>
  <c r="I10" i="15"/>
  <c r="W10" i="15"/>
  <c r="F10" i="15"/>
  <c r="C10" i="15"/>
  <c r="AC397" i="5"/>
  <c r="AC564" i="5"/>
  <c r="AC229" i="5"/>
  <c r="AC18" i="5"/>
  <c r="AC133" i="5"/>
  <c r="AC550" i="5"/>
  <c r="AF473" i="5"/>
  <c r="AE473" i="5"/>
  <c r="AF162" i="5"/>
  <c r="AE162" i="5"/>
  <c r="I23" i="16"/>
  <c r="H23" i="16"/>
  <c r="AB23" i="16"/>
  <c r="F23" i="16"/>
  <c r="AA23" i="16"/>
  <c r="Z23" i="16"/>
  <c r="Y23" i="16"/>
  <c r="X23" i="16"/>
  <c r="O23" i="16"/>
  <c r="V23" i="16"/>
  <c r="U23" i="16"/>
  <c r="T23" i="16"/>
  <c r="S23" i="16"/>
  <c r="P23" i="16"/>
  <c r="J23" i="16"/>
  <c r="G23" i="16"/>
  <c r="E23" i="16"/>
  <c r="Q23" i="16"/>
  <c r="N23" i="16"/>
  <c r="K23" i="16"/>
  <c r="L23" i="16"/>
  <c r="D23" i="16"/>
  <c r="C23" i="16"/>
  <c r="W23" i="16"/>
  <c r="R23" i="16"/>
  <c r="M23" i="16"/>
  <c r="AE292" i="5"/>
  <c r="AF292" i="5"/>
  <c r="S21" i="17"/>
  <c r="R21" i="17"/>
  <c r="Q21" i="17"/>
  <c r="P21" i="17"/>
  <c r="J21" i="17"/>
  <c r="AB21" i="17"/>
  <c r="AA21" i="17"/>
  <c r="Z21" i="17"/>
  <c r="N21" i="17"/>
  <c r="M21" i="17"/>
  <c r="O21" i="17"/>
  <c r="L21" i="17"/>
  <c r="K21" i="17"/>
  <c r="I21" i="17"/>
  <c r="F21" i="17"/>
  <c r="D21" i="17"/>
  <c r="C21" i="17"/>
  <c r="X21" i="17"/>
  <c r="W21" i="17"/>
  <c r="Y21" i="17"/>
  <c r="U21" i="17"/>
  <c r="V21" i="17"/>
  <c r="T21" i="17"/>
  <c r="E21" i="17"/>
  <c r="G21" i="17"/>
  <c r="H21" i="17"/>
  <c r="X20" i="16"/>
  <c r="W20" i="16"/>
  <c r="U20" i="16"/>
  <c r="H20" i="16"/>
  <c r="G20" i="16"/>
  <c r="F20" i="16"/>
  <c r="E20" i="16"/>
  <c r="R20" i="16"/>
  <c r="I20" i="16"/>
  <c r="D20" i="16"/>
  <c r="C20" i="16"/>
  <c r="V20" i="16"/>
  <c r="T20" i="16"/>
  <c r="S20" i="16"/>
  <c r="Y20" i="16"/>
  <c r="Q20" i="16"/>
  <c r="P20" i="16"/>
  <c r="O20" i="16"/>
  <c r="Z20" i="16"/>
  <c r="N20" i="16"/>
  <c r="M20" i="16"/>
  <c r="J20" i="16"/>
  <c r="K20" i="16"/>
  <c r="AB20" i="16"/>
  <c r="AA20" i="16"/>
  <c r="L20" i="16"/>
  <c r="O21" i="18"/>
  <c r="N21" i="18"/>
  <c r="L21" i="18"/>
  <c r="Q21" i="18"/>
  <c r="P21" i="18"/>
  <c r="M21" i="18"/>
  <c r="K21" i="18"/>
  <c r="S21" i="18"/>
  <c r="R21" i="18"/>
  <c r="J21" i="18"/>
  <c r="I21" i="18"/>
  <c r="C21" i="18"/>
  <c r="AB21" i="18"/>
  <c r="AA21" i="18"/>
  <c r="Z21" i="18"/>
  <c r="H21" i="18"/>
  <c r="G21" i="18"/>
  <c r="F21" i="18"/>
  <c r="E21" i="18"/>
  <c r="V21" i="18"/>
  <c r="U21" i="18"/>
  <c r="T21" i="18"/>
  <c r="D21" i="18"/>
  <c r="W21" i="18"/>
  <c r="X21" i="18"/>
  <c r="Y21" i="18"/>
  <c r="H18" i="18"/>
  <c r="G18" i="18"/>
  <c r="AA18" i="18"/>
  <c r="E18" i="18"/>
  <c r="T18" i="18"/>
  <c r="S18" i="18"/>
  <c r="R18" i="18"/>
  <c r="Q18" i="18"/>
  <c r="C18" i="18"/>
  <c r="W18" i="18"/>
  <c r="AB18" i="18"/>
  <c r="Z18" i="18"/>
  <c r="Y18" i="18"/>
  <c r="M18" i="18"/>
  <c r="L18" i="18"/>
  <c r="K18" i="18"/>
  <c r="J18" i="18"/>
  <c r="D18" i="18"/>
  <c r="X18" i="18"/>
  <c r="V18" i="18"/>
  <c r="U18" i="18"/>
  <c r="P18" i="18"/>
  <c r="O18" i="18"/>
  <c r="N18" i="18"/>
  <c r="I18" i="18"/>
  <c r="F18" i="18"/>
  <c r="AF322" i="5"/>
  <c r="AE322" i="5"/>
  <c r="AC398" i="5"/>
  <c r="V19" i="19"/>
  <c r="U19" i="19"/>
  <c r="S19" i="19"/>
  <c r="O19" i="19"/>
  <c r="N19" i="19"/>
  <c r="M19" i="19"/>
  <c r="L19" i="19"/>
  <c r="G19" i="19"/>
  <c r="F19" i="19"/>
  <c r="E19" i="19"/>
  <c r="D19" i="19"/>
  <c r="AA19" i="19"/>
  <c r="Z19" i="19"/>
  <c r="Y19" i="19"/>
  <c r="X19" i="19"/>
  <c r="W19" i="19"/>
  <c r="J19" i="19"/>
  <c r="R19" i="19"/>
  <c r="I19" i="19"/>
  <c r="H19" i="19"/>
  <c r="C19" i="19"/>
  <c r="P19" i="19"/>
  <c r="K19" i="19"/>
  <c r="T19" i="19"/>
  <c r="Q19" i="19"/>
  <c r="AB19" i="19"/>
  <c r="AC490" i="5"/>
  <c r="U5" i="20"/>
  <c r="L5" i="20"/>
  <c r="K5" i="20"/>
  <c r="I5" i="20"/>
  <c r="M5" i="20"/>
  <c r="J5" i="20"/>
  <c r="H5" i="20"/>
  <c r="G5" i="20"/>
  <c r="S5" i="20"/>
  <c r="R5" i="20"/>
  <c r="Q5" i="20"/>
  <c r="P5" i="20"/>
  <c r="C5" i="20"/>
  <c r="AB5" i="20"/>
  <c r="AA5" i="20"/>
  <c r="Z5" i="20"/>
  <c r="Y5" i="20"/>
  <c r="N5" i="20"/>
  <c r="X5" i="20"/>
  <c r="D5" i="20"/>
  <c r="W5" i="20"/>
  <c r="V5" i="20"/>
  <c r="T5" i="20"/>
  <c r="E5" i="20"/>
  <c r="O5" i="20"/>
  <c r="F5" i="20"/>
  <c r="AF424" i="5"/>
  <c r="AE424" i="5"/>
  <c r="AC289" i="5"/>
  <c r="AF562" i="5"/>
  <c r="AE562" i="5"/>
  <c r="M16" i="13"/>
  <c r="L16" i="13"/>
  <c r="J16" i="13"/>
  <c r="W16" i="13"/>
  <c r="V16" i="13"/>
  <c r="K16" i="13"/>
  <c r="R16" i="13"/>
  <c r="Q16" i="13"/>
  <c r="P16" i="13"/>
  <c r="G16" i="13"/>
  <c r="Y16" i="13"/>
  <c r="X16" i="13"/>
  <c r="T16" i="13"/>
  <c r="S16" i="13"/>
  <c r="C16" i="13"/>
  <c r="AB16" i="13"/>
  <c r="AA16" i="13"/>
  <c r="Z16" i="13"/>
  <c r="U16" i="13"/>
  <c r="O16" i="13"/>
  <c r="N16" i="13"/>
  <c r="I16" i="13"/>
  <c r="E16" i="13"/>
  <c r="H16" i="13"/>
  <c r="F16" i="13"/>
  <c r="D16" i="13"/>
  <c r="AC504" i="5"/>
  <c r="AC144" i="5"/>
  <c r="V16" i="16"/>
  <c r="U16" i="16"/>
  <c r="S16" i="16"/>
  <c r="M16" i="16"/>
  <c r="L16" i="16"/>
  <c r="K16" i="16"/>
  <c r="J16" i="16"/>
  <c r="Z16" i="16"/>
  <c r="P16" i="16"/>
  <c r="O16" i="16"/>
  <c r="N16" i="16"/>
  <c r="I16" i="16"/>
  <c r="AB16" i="16"/>
  <c r="AA16" i="16"/>
  <c r="H16" i="16"/>
  <c r="G16" i="16"/>
  <c r="D16" i="16"/>
  <c r="F16" i="16"/>
  <c r="Q16" i="16"/>
  <c r="E16" i="16"/>
  <c r="C16" i="16"/>
  <c r="Y16" i="16"/>
  <c r="X16" i="16"/>
  <c r="W16" i="16"/>
  <c r="T16" i="16"/>
  <c r="R16" i="16"/>
  <c r="I23" i="14"/>
  <c r="H23" i="14"/>
  <c r="AB23" i="14"/>
  <c r="F23" i="14"/>
  <c r="Q23" i="14"/>
  <c r="P23" i="14"/>
  <c r="O23" i="14"/>
  <c r="N23" i="14"/>
  <c r="AA23" i="14"/>
  <c r="Z23" i="14"/>
  <c r="Y23" i="14"/>
  <c r="M23" i="14"/>
  <c r="R23" i="14"/>
  <c r="L23" i="14"/>
  <c r="K23" i="14"/>
  <c r="C23" i="14"/>
  <c r="G23" i="14"/>
  <c r="E23" i="14"/>
  <c r="D23" i="14"/>
  <c r="T23" i="14"/>
  <c r="S23" i="14"/>
  <c r="J23" i="14"/>
  <c r="U23" i="14"/>
  <c r="X23" i="14"/>
  <c r="W23" i="14"/>
  <c r="V23" i="14"/>
  <c r="Q18" i="11"/>
  <c r="R18" i="11"/>
  <c r="G18" i="11"/>
  <c r="F18" i="11"/>
  <c r="W18" i="11"/>
  <c r="P18" i="11"/>
  <c r="O18" i="11"/>
  <c r="N18" i="11"/>
  <c r="I18" i="11"/>
  <c r="H18" i="11"/>
  <c r="D18" i="11"/>
  <c r="C18" i="11"/>
  <c r="AB18" i="11"/>
  <c r="AA18" i="11"/>
  <c r="Z18" i="11"/>
  <c r="Y18" i="11"/>
  <c r="L18" i="11"/>
  <c r="K18" i="11"/>
  <c r="J18" i="11"/>
  <c r="E18" i="11"/>
  <c r="X18" i="11"/>
  <c r="V18" i="11"/>
  <c r="U18" i="11"/>
  <c r="T18" i="11"/>
  <c r="S18" i="11"/>
  <c r="M18" i="11"/>
  <c r="M19" i="12"/>
  <c r="L19" i="12"/>
  <c r="I19" i="12"/>
  <c r="H19" i="12"/>
  <c r="G19" i="12"/>
  <c r="Z19" i="12"/>
  <c r="N19" i="12"/>
  <c r="K19" i="12"/>
  <c r="J19" i="12"/>
  <c r="AB19" i="12"/>
  <c r="Y19" i="12"/>
  <c r="V19" i="12"/>
  <c r="U19" i="12"/>
  <c r="T19" i="12"/>
  <c r="S19" i="12"/>
  <c r="R19" i="12"/>
  <c r="Q19" i="12"/>
  <c r="P19" i="12"/>
  <c r="O19" i="12"/>
  <c r="F19" i="12"/>
  <c r="E19" i="12"/>
  <c r="D19" i="12"/>
  <c r="AA19" i="12"/>
  <c r="X19" i="12"/>
  <c r="W19" i="12"/>
  <c r="C19" i="12"/>
  <c r="AC290" i="5"/>
  <c r="AF121" i="5"/>
  <c r="AE121" i="5"/>
  <c r="AC291" i="5"/>
  <c r="AE94" i="5"/>
  <c r="L18" i="17"/>
  <c r="K18" i="17"/>
  <c r="J18" i="17"/>
  <c r="I18" i="17"/>
  <c r="Y18" i="17"/>
  <c r="C18" i="17"/>
  <c r="X18" i="17"/>
  <c r="W18" i="17"/>
  <c r="V18" i="17"/>
  <c r="U18" i="17"/>
  <c r="M18" i="17"/>
  <c r="H18" i="17"/>
  <c r="R18" i="17"/>
  <c r="Q18" i="17"/>
  <c r="P18" i="17"/>
  <c r="O18" i="17"/>
  <c r="F18" i="17"/>
  <c r="Z18" i="17"/>
  <c r="T18" i="17"/>
  <c r="S18" i="17"/>
  <c r="N18" i="17"/>
  <c r="G18" i="17"/>
  <c r="D18" i="17"/>
  <c r="AA18" i="17"/>
  <c r="AB18" i="17"/>
  <c r="E18" i="17"/>
  <c r="G4" i="13"/>
  <c r="AB4" i="13"/>
  <c r="F4" i="13"/>
  <c r="Z4" i="13"/>
  <c r="D4" i="13"/>
  <c r="P4" i="13"/>
  <c r="O4" i="13"/>
  <c r="C4" i="13"/>
  <c r="W4" i="13"/>
  <c r="Q4" i="13"/>
  <c r="N4" i="13"/>
  <c r="M4" i="13"/>
  <c r="E4" i="13"/>
  <c r="Y4" i="13"/>
  <c r="X4" i="13"/>
  <c r="V4" i="13"/>
  <c r="L4" i="13"/>
  <c r="K4" i="13"/>
  <c r="J4" i="13"/>
  <c r="I4" i="13"/>
  <c r="H4" i="13"/>
  <c r="AA4" i="13"/>
  <c r="U4" i="13"/>
  <c r="S4" i="13"/>
  <c r="T4" i="13"/>
  <c r="R4" i="13"/>
  <c r="M9" i="15"/>
  <c r="L9" i="15"/>
  <c r="J9" i="15"/>
  <c r="D9" i="15"/>
  <c r="AB9" i="15"/>
  <c r="C9" i="15"/>
  <c r="AA9" i="15"/>
  <c r="Z9" i="15"/>
  <c r="R9" i="15"/>
  <c r="I9" i="15"/>
  <c r="H9" i="15"/>
  <c r="G9" i="15"/>
  <c r="Y9" i="15"/>
  <c r="X9" i="15"/>
  <c r="V9" i="15"/>
  <c r="U9" i="15"/>
  <c r="S9" i="15"/>
  <c r="Q9" i="15"/>
  <c r="P9" i="15"/>
  <c r="O9" i="15"/>
  <c r="N9" i="15"/>
  <c r="K9" i="15"/>
  <c r="F9" i="15"/>
  <c r="E9" i="15"/>
  <c r="W9" i="15"/>
  <c r="T9" i="15"/>
  <c r="AE181" i="5"/>
  <c r="AF181" i="5"/>
  <c r="AC62" i="5"/>
  <c r="AC19" i="5"/>
  <c r="U20" i="21"/>
  <c r="T20" i="21"/>
  <c r="S20" i="21"/>
  <c r="R20" i="21"/>
  <c r="O20" i="21"/>
  <c r="L20" i="21"/>
  <c r="Z20" i="21"/>
  <c r="D20" i="21"/>
  <c r="J20" i="21"/>
  <c r="I20" i="21"/>
  <c r="H20" i="21"/>
  <c r="G20" i="21"/>
  <c r="Y20" i="21"/>
  <c r="X20" i="21"/>
  <c r="W20" i="21"/>
  <c r="V20" i="21"/>
  <c r="N20" i="21"/>
  <c r="Q20" i="21"/>
  <c r="P20" i="21"/>
  <c r="M20" i="21"/>
  <c r="K20" i="21"/>
  <c r="C20" i="21"/>
  <c r="AB20" i="21"/>
  <c r="E20" i="21"/>
  <c r="F20" i="21"/>
  <c r="AA20" i="21"/>
  <c r="U16" i="14"/>
  <c r="M16" i="14"/>
  <c r="L16" i="14"/>
  <c r="K16" i="14"/>
  <c r="J16" i="14"/>
  <c r="I16" i="14"/>
  <c r="H16" i="14"/>
  <c r="G16" i="14"/>
  <c r="Z16" i="14"/>
  <c r="X16" i="14"/>
  <c r="W16" i="14"/>
  <c r="V16" i="14"/>
  <c r="P16" i="14"/>
  <c r="Y16" i="14"/>
  <c r="T16" i="14"/>
  <c r="S16" i="14"/>
  <c r="E16" i="14"/>
  <c r="D16" i="14"/>
  <c r="AB16" i="14"/>
  <c r="N16" i="14"/>
  <c r="F16" i="14"/>
  <c r="C16" i="14"/>
  <c r="R16" i="14"/>
  <c r="Q16" i="14"/>
  <c r="O16" i="14"/>
  <c r="AA16" i="14"/>
  <c r="AA16" i="11"/>
  <c r="Y16" i="11"/>
  <c r="C16" i="11"/>
  <c r="M16" i="11"/>
  <c r="L16" i="11"/>
  <c r="E16" i="11"/>
  <c r="P16" i="11"/>
  <c r="O16" i="11"/>
  <c r="N16" i="11"/>
  <c r="G16" i="11"/>
  <c r="F16" i="11"/>
  <c r="AB16" i="11"/>
  <c r="Z16" i="11"/>
  <c r="S16" i="11"/>
  <c r="R16" i="11"/>
  <c r="Q16" i="11"/>
  <c r="K16" i="11"/>
  <c r="J16" i="11"/>
  <c r="I16" i="11"/>
  <c r="X16" i="11"/>
  <c r="W16" i="11"/>
  <c r="V16" i="11"/>
  <c r="U16" i="11"/>
  <c r="T16" i="11"/>
  <c r="H16" i="11"/>
  <c r="D16" i="11"/>
  <c r="V23" i="13"/>
  <c r="U23" i="13"/>
  <c r="T23" i="13"/>
  <c r="S23" i="13"/>
  <c r="L23" i="13"/>
  <c r="K23" i="13"/>
  <c r="AB23" i="13"/>
  <c r="F23" i="13"/>
  <c r="E23" i="13"/>
  <c r="D23" i="13"/>
  <c r="AA23" i="13"/>
  <c r="Z23" i="13"/>
  <c r="Y23" i="13"/>
  <c r="O23" i="13"/>
  <c r="N23" i="13"/>
  <c r="J23" i="13"/>
  <c r="I23" i="13"/>
  <c r="X23" i="13"/>
  <c r="W23" i="13"/>
  <c r="R23" i="13"/>
  <c r="G23" i="13"/>
  <c r="C23" i="13"/>
  <c r="M23" i="13"/>
  <c r="Q23" i="13"/>
  <c r="P23" i="13"/>
  <c r="H23" i="13"/>
  <c r="V23" i="12"/>
  <c r="U23" i="12"/>
  <c r="S23" i="12"/>
  <c r="T23" i="12"/>
  <c r="R23" i="12"/>
  <c r="C23" i="12"/>
  <c r="AB23" i="12"/>
  <c r="W23" i="12"/>
  <c r="AA23" i="12"/>
  <c r="Z23" i="12"/>
  <c r="N23" i="12"/>
  <c r="M23" i="12"/>
  <c r="K23" i="12"/>
  <c r="L23" i="12"/>
  <c r="J23" i="12"/>
  <c r="I23" i="12"/>
  <c r="D23" i="12"/>
  <c r="Y23" i="12"/>
  <c r="X23" i="12"/>
  <c r="Q23" i="12"/>
  <c r="P23" i="12"/>
  <c r="O23" i="12"/>
  <c r="H23" i="12"/>
  <c r="G23" i="12"/>
  <c r="F23" i="12"/>
  <c r="E23" i="12"/>
  <c r="M4" i="21"/>
  <c r="L4" i="21"/>
  <c r="K4" i="21"/>
  <c r="J4" i="21"/>
  <c r="G4" i="21"/>
  <c r="Z4" i="21"/>
  <c r="D4" i="21"/>
  <c r="P4" i="21"/>
  <c r="O4" i="21"/>
  <c r="N4" i="21"/>
  <c r="I4" i="21"/>
  <c r="C4" i="21"/>
  <c r="Y4" i="21"/>
  <c r="X4" i="21"/>
  <c r="W4" i="21"/>
  <c r="V4" i="21"/>
  <c r="H4" i="21"/>
  <c r="AB4" i="21"/>
  <c r="AA4" i="21"/>
  <c r="U4" i="21"/>
  <c r="R4" i="21"/>
  <c r="T4" i="21"/>
  <c r="S4" i="21"/>
  <c r="E4" i="21"/>
  <c r="Q4" i="21"/>
  <c r="F4" i="21"/>
  <c r="S21" i="14"/>
  <c r="R21" i="14"/>
  <c r="P21" i="14"/>
  <c r="U21" i="14"/>
  <c r="T21" i="14"/>
  <c r="Q21" i="14"/>
  <c r="O21" i="14"/>
  <c r="W21" i="14"/>
  <c r="V21" i="14"/>
  <c r="N21" i="14"/>
  <c r="F21" i="14"/>
  <c r="X21" i="14"/>
  <c r="L21" i="14"/>
  <c r="K21" i="14"/>
  <c r="J21" i="14"/>
  <c r="C21" i="14"/>
  <c r="Z21" i="14"/>
  <c r="Y21" i="14"/>
  <c r="M21" i="14"/>
  <c r="D21" i="14"/>
  <c r="I21" i="14"/>
  <c r="E21" i="14"/>
  <c r="AB21" i="14"/>
  <c r="AA21" i="14"/>
  <c r="H21" i="14"/>
  <c r="G21" i="14"/>
  <c r="G19" i="17"/>
  <c r="AB19" i="17"/>
  <c r="F19" i="17"/>
  <c r="AA19" i="17"/>
  <c r="E19" i="17"/>
  <c r="Z19" i="17"/>
  <c r="D19" i="17"/>
  <c r="T19" i="17"/>
  <c r="Y19" i="17"/>
  <c r="X19" i="17"/>
  <c r="W19" i="17"/>
  <c r="V19" i="17"/>
  <c r="M19" i="17"/>
  <c r="L19" i="17"/>
  <c r="R19" i="17"/>
  <c r="K19" i="17"/>
  <c r="J19" i="17"/>
  <c r="I19" i="17"/>
  <c r="U19" i="17"/>
  <c r="P19" i="17"/>
  <c r="H19" i="17"/>
  <c r="C19" i="17"/>
  <c r="O19" i="17"/>
  <c r="S19" i="17"/>
  <c r="Q19" i="17"/>
  <c r="N19" i="17"/>
  <c r="N23" i="11"/>
  <c r="U23" i="11"/>
  <c r="R23" i="11"/>
  <c r="Q23" i="11"/>
  <c r="P23" i="11"/>
  <c r="I23" i="11"/>
  <c r="H23" i="11"/>
  <c r="AB23" i="11"/>
  <c r="AA23" i="11"/>
  <c r="V23" i="11"/>
  <c r="T23" i="11"/>
  <c r="S23" i="11"/>
  <c r="O23" i="11"/>
  <c r="M23" i="11"/>
  <c r="L23" i="11"/>
  <c r="K23" i="11"/>
  <c r="Z23" i="11"/>
  <c r="Y23" i="11"/>
  <c r="X23" i="11"/>
  <c r="W23" i="11"/>
  <c r="J23" i="11"/>
  <c r="E23" i="11"/>
  <c r="D23" i="11"/>
  <c r="C23" i="11"/>
  <c r="F23" i="11"/>
  <c r="G23" i="11"/>
  <c r="N5" i="11"/>
  <c r="J5" i="11"/>
  <c r="Z5" i="11"/>
  <c r="Y5" i="11"/>
  <c r="X5" i="11"/>
  <c r="S5" i="11"/>
  <c r="R5" i="11"/>
  <c r="P5" i="11"/>
  <c r="O5" i="11"/>
  <c r="M5" i="11"/>
  <c r="L5" i="11"/>
  <c r="AA5" i="11"/>
  <c r="W5" i="11"/>
  <c r="V5" i="11"/>
  <c r="G5" i="11"/>
  <c r="F5" i="11"/>
  <c r="E5" i="11"/>
  <c r="C5" i="11"/>
  <c r="AB5" i="11"/>
  <c r="U5" i="11"/>
  <c r="T5" i="11"/>
  <c r="Q5" i="11"/>
  <c r="K5" i="11"/>
  <c r="I5" i="11"/>
  <c r="H5" i="11"/>
  <c r="D5" i="11"/>
  <c r="P4" i="16"/>
  <c r="U4" i="16"/>
  <c r="T4" i="16"/>
  <c r="S4" i="16"/>
  <c r="R4" i="16"/>
  <c r="AB4" i="16"/>
  <c r="AA4" i="16"/>
  <c r="Z4" i="16"/>
  <c r="M4" i="16"/>
  <c r="L4" i="16"/>
  <c r="K4" i="16"/>
  <c r="Q4" i="16"/>
  <c r="O4" i="16"/>
  <c r="G4" i="16"/>
  <c r="F4" i="16"/>
  <c r="E4" i="16"/>
  <c r="X4" i="16"/>
  <c r="Y4" i="16"/>
  <c r="W4" i="16"/>
  <c r="V4" i="16"/>
  <c r="C4" i="16"/>
  <c r="D4" i="16"/>
  <c r="H4" i="16"/>
  <c r="N4" i="16"/>
  <c r="J4" i="16"/>
  <c r="I4" i="16"/>
  <c r="AA22" i="13"/>
  <c r="E22" i="13"/>
  <c r="Z22" i="13"/>
  <c r="D22" i="13"/>
  <c r="X22" i="13"/>
  <c r="N22" i="13"/>
  <c r="M22" i="13"/>
  <c r="C22" i="13"/>
  <c r="V22" i="13"/>
  <c r="R22" i="13"/>
  <c r="Q22" i="13"/>
  <c r="P22" i="13"/>
  <c r="H22" i="13"/>
  <c r="G22" i="13"/>
  <c r="AB22" i="13"/>
  <c r="Y22" i="13"/>
  <c r="W22" i="13"/>
  <c r="U22" i="13"/>
  <c r="T22" i="13"/>
  <c r="O22" i="13"/>
  <c r="L22" i="13"/>
  <c r="K22" i="13"/>
  <c r="J22" i="13"/>
  <c r="I22" i="13"/>
  <c r="F22" i="13"/>
  <c r="S22" i="13"/>
  <c r="X22" i="12"/>
  <c r="W22" i="12"/>
  <c r="V22" i="12"/>
  <c r="E22" i="12"/>
  <c r="D22" i="12"/>
  <c r="AB22" i="12"/>
  <c r="C22" i="12"/>
  <c r="T22" i="12"/>
  <c r="U22" i="12"/>
  <c r="S22" i="12"/>
  <c r="R22" i="12"/>
  <c r="L22" i="12"/>
  <c r="K22" i="12"/>
  <c r="I22" i="12"/>
  <c r="AA22" i="12"/>
  <c r="Z22" i="12"/>
  <c r="Y22" i="12"/>
  <c r="Q22" i="12"/>
  <c r="P22" i="12"/>
  <c r="O22" i="12"/>
  <c r="J22" i="12"/>
  <c r="H22" i="12"/>
  <c r="G22" i="12"/>
  <c r="F22" i="12"/>
  <c r="N22" i="12"/>
  <c r="M22" i="12"/>
  <c r="AC443" i="5"/>
  <c r="Y11" i="15"/>
  <c r="C11" i="15"/>
  <c r="X11" i="15"/>
  <c r="V11" i="15"/>
  <c r="AB11" i="15"/>
  <c r="AA11" i="15"/>
  <c r="Z11" i="15"/>
  <c r="W11" i="15"/>
  <c r="N11" i="15"/>
  <c r="L11" i="15"/>
  <c r="U11" i="15"/>
  <c r="T11" i="15"/>
  <c r="S11" i="15"/>
  <c r="I11" i="15"/>
  <c r="Q11" i="15"/>
  <c r="O11" i="15"/>
  <c r="P11" i="15"/>
  <c r="M11" i="15"/>
  <c r="R11" i="15"/>
  <c r="D11" i="15"/>
  <c r="G11" i="15"/>
  <c r="K11" i="15"/>
  <c r="J11" i="15"/>
  <c r="H11" i="15"/>
  <c r="F11" i="15"/>
  <c r="E11" i="15"/>
  <c r="AF173" i="5"/>
  <c r="AE173" i="5"/>
  <c r="AC117" i="5"/>
  <c r="AE352" i="5"/>
  <c r="AF352" i="5"/>
  <c r="AF136" i="5"/>
  <c r="AE136" i="5"/>
  <c r="AF225" i="5"/>
  <c r="AC472" i="5"/>
  <c r="AC164" i="5"/>
  <c r="AE227" i="5"/>
  <c r="AF227" i="5"/>
  <c r="AF569" i="5"/>
  <c r="AE569" i="5"/>
  <c r="V21" i="10"/>
  <c r="K21" i="10"/>
  <c r="S21" i="10"/>
  <c r="R21" i="10"/>
  <c r="Q21" i="10"/>
  <c r="L21" i="10"/>
  <c r="J21" i="10"/>
  <c r="H21" i="10"/>
  <c r="G21" i="10"/>
  <c r="F21" i="10"/>
  <c r="E21" i="10"/>
  <c r="X21" i="10"/>
  <c r="W21" i="10"/>
  <c r="U21" i="10"/>
  <c r="D21" i="10"/>
  <c r="C21" i="10"/>
  <c r="I21" i="10"/>
  <c r="AB21" i="10"/>
  <c r="AA21" i="10"/>
  <c r="O21" i="10"/>
  <c r="Z21" i="10"/>
  <c r="Y21" i="10"/>
  <c r="T21" i="10"/>
  <c r="P21" i="10"/>
  <c r="N21" i="10"/>
  <c r="M21" i="10"/>
  <c r="W23" i="17"/>
  <c r="V23" i="17"/>
  <c r="T23" i="17"/>
  <c r="K23" i="17"/>
  <c r="J23" i="17"/>
  <c r="I23" i="17"/>
  <c r="H23" i="17"/>
  <c r="AA23" i="17"/>
  <c r="E23" i="17"/>
  <c r="D23" i="17"/>
  <c r="C23" i="17"/>
  <c r="U23" i="17"/>
  <c r="S23" i="17"/>
  <c r="Y23" i="17"/>
  <c r="X23" i="17"/>
  <c r="R23" i="17"/>
  <c r="Q23" i="17"/>
  <c r="P23" i="17"/>
  <c r="N23" i="17"/>
  <c r="M23" i="17"/>
  <c r="L23" i="17"/>
  <c r="G23" i="17"/>
  <c r="F23" i="17"/>
  <c r="AB23" i="17"/>
  <c r="Z23" i="17"/>
  <c r="O23" i="17"/>
  <c r="Z5" i="19"/>
  <c r="D5" i="19"/>
  <c r="I5" i="19"/>
  <c r="H5" i="19"/>
  <c r="F5" i="19"/>
  <c r="J5" i="19"/>
  <c r="G5" i="19"/>
  <c r="E5" i="19"/>
  <c r="C5" i="19"/>
  <c r="N5" i="19"/>
  <c r="M5" i="19"/>
  <c r="L5" i="19"/>
  <c r="K5" i="19"/>
  <c r="AB5" i="19"/>
  <c r="AA5" i="19"/>
  <c r="Y5" i="19"/>
  <c r="X5" i="19"/>
  <c r="Q5" i="19"/>
  <c r="P5" i="19"/>
  <c r="O5" i="19"/>
  <c r="S5" i="19"/>
  <c r="R5" i="19"/>
  <c r="V5" i="19"/>
  <c r="U5" i="19"/>
  <c r="T5" i="19"/>
  <c r="W5" i="19"/>
  <c r="AE198" i="5"/>
  <c r="AF198" i="5"/>
  <c r="AE361" i="5"/>
  <c r="AF166" i="5"/>
  <c r="AE166" i="5"/>
  <c r="Q20" i="19"/>
  <c r="P20" i="19"/>
  <c r="N20" i="19"/>
  <c r="M20" i="19"/>
  <c r="L20" i="19"/>
  <c r="K20" i="19"/>
  <c r="J20" i="19"/>
  <c r="I20" i="19"/>
  <c r="H20" i="19"/>
  <c r="G20" i="19"/>
  <c r="F20" i="19"/>
  <c r="X20" i="19"/>
  <c r="T20" i="19"/>
  <c r="E20" i="19"/>
  <c r="D20" i="19"/>
  <c r="C20" i="19"/>
  <c r="AB20" i="19"/>
  <c r="AA20" i="19"/>
  <c r="Z20" i="19"/>
  <c r="Y20" i="19"/>
  <c r="W20" i="19"/>
  <c r="V20" i="19"/>
  <c r="U20" i="19"/>
  <c r="S20" i="19"/>
  <c r="R20" i="19"/>
  <c r="O20" i="19"/>
  <c r="W9" i="20"/>
  <c r="S9" i="20"/>
  <c r="R9" i="20"/>
  <c r="Q9" i="20"/>
  <c r="P9" i="20"/>
  <c r="J9" i="20"/>
  <c r="I9" i="20"/>
  <c r="H9" i="20"/>
  <c r="G9" i="20"/>
  <c r="F9" i="20"/>
  <c r="E9" i="20"/>
  <c r="D9" i="20"/>
  <c r="C9" i="20"/>
  <c r="AB9" i="20"/>
  <c r="Y9" i="20"/>
  <c r="N9" i="20"/>
  <c r="M9" i="20"/>
  <c r="L9" i="20"/>
  <c r="K9" i="20"/>
  <c r="U9" i="20"/>
  <c r="T9" i="20"/>
  <c r="O9" i="20"/>
  <c r="Z9" i="20"/>
  <c r="AA9" i="20"/>
  <c r="X9" i="20"/>
  <c r="V9" i="20"/>
  <c r="AA9" i="18"/>
  <c r="E9" i="18"/>
  <c r="Z9" i="18"/>
  <c r="D9" i="18"/>
  <c r="X9" i="18"/>
  <c r="W9" i="18"/>
  <c r="V9" i="18"/>
  <c r="U9" i="18"/>
  <c r="T9" i="18"/>
  <c r="N9" i="18"/>
  <c r="R9" i="18"/>
  <c r="Q9" i="18"/>
  <c r="P9" i="18"/>
  <c r="O9" i="18"/>
  <c r="G9" i="18"/>
  <c r="F9" i="18"/>
  <c r="C9" i="18"/>
  <c r="AB9" i="18"/>
  <c r="Y9" i="18"/>
  <c r="S9" i="18"/>
  <c r="K9" i="18"/>
  <c r="M9" i="18"/>
  <c r="I9" i="18"/>
  <c r="H9" i="18"/>
  <c r="L9" i="18"/>
  <c r="J9" i="18"/>
  <c r="AC161" i="5"/>
  <c r="AF334" i="5"/>
  <c r="AE334" i="5"/>
  <c r="I4" i="19"/>
  <c r="M4" i="19"/>
  <c r="L4" i="19"/>
  <c r="J4" i="19"/>
  <c r="G4" i="19"/>
  <c r="F4" i="19"/>
  <c r="E4" i="19"/>
  <c r="D4" i="19"/>
  <c r="C4" i="19"/>
  <c r="X4" i="19"/>
  <c r="S4" i="19"/>
  <c r="R4" i="19"/>
  <c r="Q4" i="19"/>
  <c r="P4" i="19"/>
  <c r="AB4" i="19"/>
  <c r="AA4" i="19"/>
  <c r="W4" i="19"/>
  <c r="N4" i="19"/>
  <c r="K4" i="19"/>
  <c r="H4" i="19"/>
  <c r="Z4" i="19"/>
  <c r="U4" i="19"/>
  <c r="T4" i="19"/>
  <c r="O4" i="19"/>
  <c r="Y4" i="19"/>
  <c r="V4" i="19"/>
  <c r="AF29" i="5"/>
  <c r="AA18" i="19"/>
  <c r="E18" i="19"/>
  <c r="Z18" i="19"/>
  <c r="D18" i="19"/>
  <c r="X18" i="19"/>
  <c r="Q18" i="19"/>
  <c r="P18" i="19"/>
  <c r="O18" i="19"/>
  <c r="N18" i="19"/>
  <c r="C18" i="19"/>
  <c r="M18" i="19"/>
  <c r="L18" i="19"/>
  <c r="K18" i="19"/>
  <c r="J18" i="19"/>
  <c r="H18" i="19"/>
  <c r="G18" i="19"/>
  <c r="F18" i="19"/>
  <c r="AB18" i="19"/>
  <c r="Y18" i="19"/>
  <c r="W18" i="19"/>
  <c r="T18" i="19"/>
  <c r="U18" i="19"/>
  <c r="S18" i="19"/>
  <c r="R18" i="19"/>
  <c r="I18" i="19"/>
  <c r="V18" i="19"/>
  <c r="AC23" i="5"/>
  <c r="S23" i="19"/>
  <c r="AB23" i="19"/>
  <c r="E23" i="19"/>
  <c r="AA23" i="19"/>
  <c r="D23" i="19"/>
  <c r="Y23" i="19"/>
  <c r="M23" i="19"/>
  <c r="L23" i="19"/>
  <c r="K23" i="19"/>
  <c r="J23" i="19"/>
  <c r="Z23" i="19"/>
  <c r="X23" i="19"/>
  <c r="W23" i="19"/>
  <c r="P23" i="19"/>
  <c r="I23" i="19"/>
  <c r="C23" i="19"/>
  <c r="U23" i="19"/>
  <c r="R23" i="19"/>
  <c r="Q23" i="19"/>
  <c r="O23" i="19"/>
  <c r="N23" i="19"/>
  <c r="F23" i="19"/>
  <c r="V23" i="19"/>
  <c r="T23" i="19"/>
  <c r="H23" i="19"/>
  <c r="G23" i="19"/>
  <c r="AE540" i="5"/>
  <c r="AF540" i="5"/>
  <c r="Z19" i="22"/>
  <c r="D19" i="22"/>
  <c r="Y19" i="22"/>
  <c r="C19" i="22"/>
  <c r="X19" i="22"/>
  <c r="W19" i="22"/>
  <c r="T19" i="22"/>
  <c r="S19" i="22"/>
  <c r="Q19" i="22"/>
  <c r="I19" i="22"/>
  <c r="AA19" i="22"/>
  <c r="V19" i="22"/>
  <c r="U19" i="22"/>
  <c r="R19" i="22"/>
  <c r="N19" i="22"/>
  <c r="AB19" i="22"/>
  <c r="P19" i="22"/>
  <c r="O19" i="22"/>
  <c r="M19" i="22"/>
  <c r="J19" i="22"/>
  <c r="F19" i="22"/>
  <c r="K19" i="22"/>
  <c r="E19" i="22"/>
  <c r="L19" i="22"/>
  <c r="H19" i="22"/>
  <c r="G19" i="22"/>
  <c r="Y21" i="9"/>
  <c r="C21" i="9"/>
  <c r="X21" i="9"/>
  <c r="W21" i="9"/>
  <c r="R21" i="9"/>
  <c r="Q21" i="9"/>
  <c r="O21" i="9"/>
  <c r="N21" i="9"/>
  <c r="M21" i="9"/>
  <c r="P21" i="9"/>
  <c r="L21" i="9"/>
  <c r="K21" i="9"/>
  <c r="D21" i="9"/>
  <c r="I21" i="9"/>
  <c r="H21" i="9"/>
  <c r="G21" i="9"/>
  <c r="F21" i="9"/>
  <c r="E21" i="9"/>
  <c r="AB21" i="9"/>
  <c r="T21" i="9"/>
  <c r="AA21" i="9"/>
  <c r="Z21" i="9"/>
  <c r="V21" i="9"/>
  <c r="U21" i="9"/>
  <c r="S21" i="9"/>
  <c r="J21" i="9"/>
  <c r="AE309" i="5"/>
  <c r="AF309" i="5"/>
  <c r="L19" i="11"/>
  <c r="N19" i="11"/>
  <c r="AB19" i="11"/>
  <c r="D19" i="11"/>
  <c r="AA19" i="11"/>
  <c r="C19" i="11"/>
  <c r="U19" i="11"/>
  <c r="T19" i="11"/>
  <c r="R19" i="11"/>
  <c r="Q19" i="11"/>
  <c r="P19" i="11"/>
  <c r="I19" i="11"/>
  <c r="H19" i="11"/>
  <c r="F19" i="11"/>
  <c r="E19" i="11"/>
  <c r="Z19" i="11"/>
  <c r="Y19" i="11"/>
  <c r="X19" i="11"/>
  <c r="W19" i="11"/>
  <c r="V19" i="11"/>
  <c r="S19" i="11"/>
  <c r="O19" i="11"/>
  <c r="M19" i="11"/>
  <c r="K19" i="11"/>
  <c r="J19" i="11"/>
  <c r="G19" i="11"/>
  <c r="AE190" i="5"/>
  <c r="AF190" i="5"/>
  <c r="V16" i="17"/>
  <c r="U16" i="17"/>
  <c r="T16" i="17"/>
  <c r="S16" i="17"/>
  <c r="M16" i="17"/>
  <c r="X16" i="17"/>
  <c r="W16" i="17"/>
  <c r="R16" i="17"/>
  <c r="Q16" i="17"/>
  <c r="G16" i="17"/>
  <c r="Z16" i="17"/>
  <c r="L16" i="17"/>
  <c r="K16" i="17"/>
  <c r="J16" i="17"/>
  <c r="N16" i="17"/>
  <c r="I16" i="17"/>
  <c r="H16" i="17"/>
  <c r="F16" i="17"/>
  <c r="C16" i="17"/>
  <c r="AB16" i="17"/>
  <c r="AA16" i="17"/>
  <c r="E16" i="17"/>
  <c r="Y16" i="17"/>
  <c r="P16" i="17"/>
  <c r="O16" i="17"/>
  <c r="D16" i="17"/>
  <c r="K5" i="16"/>
  <c r="Q5" i="16"/>
  <c r="P5" i="16"/>
  <c r="O5" i="16"/>
  <c r="N5" i="16"/>
  <c r="AB5" i="16"/>
  <c r="AA5" i="16"/>
  <c r="Z5" i="16"/>
  <c r="R5" i="16"/>
  <c r="M5" i="16"/>
  <c r="L5" i="16"/>
  <c r="H5" i="16"/>
  <c r="G5" i="16"/>
  <c r="F5" i="16"/>
  <c r="Y5" i="16"/>
  <c r="V5" i="16"/>
  <c r="T5" i="16"/>
  <c r="W5" i="16"/>
  <c r="X5" i="16"/>
  <c r="U5" i="16"/>
  <c r="S5" i="16"/>
  <c r="J5" i="16"/>
  <c r="I5" i="16"/>
  <c r="E5" i="16"/>
  <c r="D5" i="16"/>
  <c r="C5" i="16"/>
  <c r="AC554" i="5"/>
  <c r="X20" i="15"/>
  <c r="W20" i="15"/>
  <c r="V20" i="15"/>
  <c r="U20" i="15"/>
  <c r="Z20" i="15"/>
  <c r="Y20" i="15"/>
  <c r="T20" i="15"/>
  <c r="S20" i="15"/>
  <c r="K20" i="15"/>
  <c r="I20" i="15"/>
  <c r="D20" i="15"/>
  <c r="C20" i="15"/>
  <c r="R20" i="15"/>
  <c r="Q20" i="15"/>
  <c r="N20" i="15"/>
  <c r="M20" i="15"/>
  <c r="L20" i="15"/>
  <c r="G20" i="15"/>
  <c r="E20" i="15"/>
  <c r="AB20" i="15"/>
  <c r="AA20" i="15"/>
  <c r="P20" i="15"/>
  <c r="O20" i="15"/>
  <c r="J20" i="15"/>
  <c r="F20" i="15"/>
  <c r="H20" i="15"/>
  <c r="AC559" i="5"/>
  <c r="AF157" i="5"/>
  <c r="AE157" i="5"/>
  <c r="AC311" i="5"/>
  <c r="AC515" i="5"/>
  <c r="AF430" i="5"/>
  <c r="AE430" i="5"/>
  <c r="AC5" i="5"/>
  <c r="H12" i="7"/>
  <c r="Z19" i="21"/>
  <c r="D19" i="21"/>
  <c r="Y19" i="21"/>
  <c r="C19" i="21"/>
  <c r="X19" i="21"/>
  <c r="W19" i="21"/>
  <c r="T19" i="21"/>
  <c r="Q19" i="21"/>
  <c r="I19" i="21"/>
  <c r="G19" i="21"/>
  <c r="F19" i="21"/>
  <c r="E19" i="21"/>
  <c r="M19" i="21"/>
  <c r="L19" i="21"/>
  <c r="K19" i="21"/>
  <c r="J19" i="21"/>
  <c r="AA19" i="21"/>
  <c r="S19" i="21"/>
  <c r="AB19" i="21"/>
  <c r="V19" i="21"/>
  <c r="N19" i="21"/>
  <c r="H19" i="21"/>
  <c r="O19" i="21"/>
  <c r="U19" i="21"/>
  <c r="R19" i="21"/>
  <c r="P19" i="21"/>
  <c r="AB11" i="10"/>
  <c r="F11" i="10"/>
  <c r="AA11" i="10"/>
  <c r="D11" i="10"/>
  <c r="W11" i="10"/>
  <c r="V11" i="10"/>
  <c r="U11" i="10"/>
  <c r="P11" i="10"/>
  <c r="O11" i="10"/>
  <c r="M11" i="10"/>
  <c r="L11" i="10"/>
  <c r="K11" i="10"/>
  <c r="R11" i="10"/>
  <c r="Q11" i="10"/>
  <c r="N11" i="10"/>
  <c r="Z11" i="10"/>
  <c r="Y11" i="10"/>
  <c r="X11" i="10"/>
  <c r="T11" i="10"/>
  <c r="S11" i="10"/>
  <c r="J11" i="10"/>
  <c r="I11" i="10"/>
  <c r="H11" i="10"/>
  <c r="G11" i="10"/>
  <c r="E11" i="10"/>
  <c r="C11" i="10"/>
  <c r="U10" i="14"/>
  <c r="T10" i="14"/>
  <c r="S10" i="14"/>
  <c r="R10" i="14"/>
  <c r="K10" i="14"/>
  <c r="J10" i="14"/>
  <c r="I10" i="14"/>
  <c r="AA10" i="14"/>
  <c r="W10" i="14"/>
  <c r="V10" i="14"/>
  <c r="Q10" i="14"/>
  <c r="L10" i="14"/>
  <c r="Z10" i="14"/>
  <c r="Y10" i="14"/>
  <c r="X10" i="14"/>
  <c r="G10" i="14"/>
  <c r="F10" i="14"/>
  <c r="D10" i="14"/>
  <c r="C10" i="14"/>
  <c r="N10" i="14"/>
  <c r="M10" i="14"/>
  <c r="H10" i="14"/>
  <c r="E10" i="14"/>
  <c r="AB10" i="14"/>
  <c r="P10" i="14"/>
  <c r="O10" i="14"/>
  <c r="AE383" i="5"/>
  <c r="L23" i="10"/>
  <c r="Z23" i="10"/>
  <c r="C23" i="10"/>
  <c r="N23" i="10"/>
  <c r="M23" i="10"/>
  <c r="K23" i="10"/>
  <c r="F23" i="10"/>
  <c r="E23" i="10"/>
  <c r="AA23" i="10"/>
  <c r="Y23" i="10"/>
  <c r="X23" i="10"/>
  <c r="W23" i="10"/>
  <c r="J23" i="10"/>
  <c r="I23" i="10"/>
  <c r="H23" i="10"/>
  <c r="AB23" i="10"/>
  <c r="V23" i="10"/>
  <c r="Q23" i="10"/>
  <c r="P23" i="10"/>
  <c r="O23" i="10"/>
  <c r="G23" i="10"/>
  <c r="D23" i="10"/>
  <c r="T23" i="10"/>
  <c r="U23" i="10"/>
  <c r="S23" i="10"/>
  <c r="R23" i="10"/>
  <c r="AF376" i="5"/>
  <c r="AE376" i="5"/>
  <c r="AC321" i="5"/>
  <c r="K10" i="10"/>
  <c r="H10" i="10"/>
  <c r="Z10" i="10"/>
  <c r="Y10" i="10"/>
  <c r="X10" i="10"/>
  <c r="S10" i="10"/>
  <c r="R10" i="10"/>
  <c r="P10" i="10"/>
  <c r="O10" i="10"/>
  <c r="N10" i="10"/>
  <c r="F10" i="10"/>
  <c r="E10" i="10"/>
  <c r="D10" i="10"/>
  <c r="AB10" i="10"/>
  <c r="AA10" i="10"/>
  <c r="V10" i="10"/>
  <c r="U10" i="10"/>
  <c r="W10" i="10"/>
  <c r="T10" i="10"/>
  <c r="M10" i="10"/>
  <c r="C10" i="10"/>
  <c r="Q10" i="10"/>
  <c r="L10" i="10"/>
  <c r="I10" i="10"/>
  <c r="G10" i="10"/>
  <c r="J10" i="10"/>
  <c r="AE483" i="5"/>
  <c r="AF483" i="5"/>
  <c r="AF202" i="5"/>
  <c r="AE202" i="5"/>
  <c r="V11" i="22"/>
  <c r="U11" i="22"/>
  <c r="T11" i="22"/>
  <c r="S11" i="22"/>
  <c r="P11" i="22"/>
  <c r="O11" i="22"/>
  <c r="M11" i="22"/>
  <c r="AA11" i="22"/>
  <c r="E11" i="22"/>
  <c r="Y11" i="22"/>
  <c r="L11" i="22"/>
  <c r="K11" i="22"/>
  <c r="J11" i="22"/>
  <c r="I11" i="22"/>
  <c r="F11" i="22"/>
  <c r="C11" i="22"/>
  <c r="AB11" i="22"/>
  <c r="Z11" i="22"/>
  <c r="N11" i="22"/>
  <c r="H11" i="22"/>
  <c r="G11" i="22"/>
  <c r="D11" i="22"/>
  <c r="X11" i="22"/>
  <c r="W11" i="22"/>
  <c r="R11" i="22"/>
  <c r="Q11" i="22"/>
  <c r="AF429" i="5"/>
  <c r="T19" i="13"/>
  <c r="S19" i="13"/>
  <c r="Q19" i="13"/>
  <c r="R19" i="13"/>
  <c r="P19" i="13"/>
  <c r="G19" i="13"/>
  <c r="Z19" i="13"/>
  <c r="Y19" i="13"/>
  <c r="X19" i="13"/>
  <c r="N19" i="13"/>
  <c r="AB19" i="13"/>
  <c r="AA19" i="13"/>
  <c r="L19" i="13"/>
  <c r="K19" i="13"/>
  <c r="I19" i="13"/>
  <c r="H19" i="13"/>
  <c r="W19" i="13"/>
  <c r="V19" i="13"/>
  <c r="F19" i="13"/>
  <c r="E19" i="13"/>
  <c r="D19" i="13"/>
  <c r="C19" i="13"/>
  <c r="U19" i="13"/>
  <c r="J19" i="13"/>
  <c r="O19" i="13"/>
  <c r="M19" i="13"/>
  <c r="I11" i="7"/>
  <c r="AC193" i="5"/>
  <c r="P4" i="15"/>
  <c r="O4" i="15"/>
  <c r="M4" i="15"/>
  <c r="K4" i="15"/>
  <c r="J4" i="15"/>
  <c r="I4" i="15"/>
  <c r="H4" i="15"/>
  <c r="Y4" i="15"/>
  <c r="N4" i="15"/>
  <c r="L4" i="15"/>
  <c r="G4" i="15"/>
  <c r="R4" i="15"/>
  <c r="Q4" i="15"/>
  <c r="F4" i="15"/>
  <c r="Z4" i="15"/>
  <c r="X4" i="15"/>
  <c r="W4" i="15"/>
  <c r="D4" i="15"/>
  <c r="C4" i="15"/>
  <c r="AB4" i="15"/>
  <c r="AA4" i="15"/>
  <c r="V4" i="15"/>
  <c r="S4" i="15"/>
  <c r="U4" i="15"/>
  <c r="T4" i="15"/>
  <c r="E4" i="15"/>
  <c r="AF365" i="5"/>
  <c r="AE365" i="5"/>
  <c r="AF325" i="5"/>
  <c r="AE260" i="5"/>
  <c r="AF499" i="5"/>
  <c r="AE499" i="5"/>
  <c r="AE96" i="5"/>
  <c r="AC174" i="5"/>
  <c r="AF210" i="5"/>
  <c r="AE210" i="5"/>
  <c r="Q5" i="9"/>
  <c r="P5" i="9"/>
  <c r="O5" i="9"/>
  <c r="I5" i="9"/>
  <c r="G5" i="9"/>
  <c r="AB5" i="9"/>
  <c r="F5" i="9"/>
  <c r="AA5" i="9"/>
  <c r="E5" i="9"/>
  <c r="R5" i="9"/>
  <c r="N5" i="9"/>
  <c r="M5" i="9"/>
  <c r="Z5" i="9"/>
  <c r="W5" i="9"/>
  <c r="V5" i="9"/>
  <c r="U5" i="9"/>
  <c r="T5" i="9"/>
  <c r="S5" i="9"/>
  <c r="L5" i="9"/>
  <c r="K5" i="9"/>
  <c r="J5" i="9"/>
  <c r="H5" i="9"/>
  <c r="D5" i="9"/>
  <c r="C5" i="9"/>
  <c r="Y5" i="9"/>
  <c r="X5" i="9"/>
  <c r="AE146" i="5"/>
  <c r="AF146" i="5"/>
  <c r="S16" i="21"/>
  <c r="R16" i="21"/>
  <c r="Q16" i="21"/>
  <c r="P16" i="21"/>
  <c r="M16" i="21"/>
  <c r="J16" i="21"/>
  <c r="X16" i="21"/>
  <c r="W16" i="21"/>
  <c r="V16" i="21"/>
  <c r="U16" i="21"/>
  <c r="L16" i="21"/>
  <c r="K16" i="21"/>
  <c r="I16" i="21"/>
  <c r="H16" i="21"/>
  <c r="E16" i="21"/>
  <c r="AB16" i="21"/>
  <c r="AA16" i="21"/>
  <c r="Z16" i="21"/>
  <c r="Y16" i="21"/>
  <c r="D16" i="21"/>
  <c r="T16" i="21"/>
  <c r="O16" i="21"/>
  <c r="N16" i="21"/>
  <c r="G16" i="21"/>
  <c r="C16" i="21"/>
  <c r="F16" i="21"/>
  <c r="U10" i="13"/>
  <c r="T10" i="13"/>
  <c r="R10" i="13"/>
  <c r="G10" i="13"/>
  <c r="F10" i="13"/>
  <c r="K10" i="13"/>
  <c r="J10" i="13"/>
  <c r="I10" i="13"/>
  <c r="Y10" i="13"/>
  <c r="X10" i="13"/>
  <c r="W10" i="13"/>
  <c r="N10" i="13"/>
  <c r="M10" i="13"/>
  <c r="H10" i="13"/>
  <c r="E10" i="13"/>
  <c r="O10" i="13"/>
  <c r="L10" i="13"/>
  <c r="D10" i="13"/>
  <c r="C10" i="13"/>
  <c r="S10" i="13"/>
  <c r="Q10" i="13"/>
  <c r="P10" i="13"/>
  <c r="AA10" i="13"/>
  <c r="AB10" i="13"/>
  <c r="Z10" i="13"/>
  <c r="V10" i="13"/>
  <c r="P21" i="21"/>
  <c r="O21" i="21"/>
  <c r="N21" i="21"/>
  <c r="M21" i="21"/>
  <c r="J21" i="21"/>
  <c r="G21" i="21"/>
  <c r="U21" i="21"/>
  <c r="R21" i="21"/>
  <c r="Q21" i="21"/>
  <c r="L21" i="21"/>
  <c r="K21" i="21"/>
  <c r="Z21" i="21"/>
  <c r="W21" i="21"/>
  <c r="S21" i="21"/>
  <c r="X21" i="21"/>
  <c r="V21" i="21"/>
  <c r="T21" i="21"/>
  <c r="I21" i="21"/>
  <c r="F21" i="21"/>
  <c r="E21" i="21"/>
  <c r="D21" i="21"/>
  <c r="C21" i="21"/>
  <c r="AA21" i="21"/>
  <c r="Y21" i="21"/>
  <c r="H21" i="21"/>
  <c r="AB21" i="21"/>
  <c r="S21" i="16"/>
  <c r="R21" i="16"/>
  <c r="P21" i="16"/>
  <c r="F21" i="16"/>
  <c r="E21" i="16"/>
  <c r="D21" i="16"/>
  <c r="AB21" i="16"/>
  <c r="C21" i="16"/>
  <c r="Q21" i="16"/>
  <c r="L21" i="16"/>
  <c r="K21" i="16"/>
  <c r="J21" i="16"/>
  <c r="I21" i="16"/>
  <c r="AA21" i="16"/>
  <c r="Z21" i="16"/>
  <c r="Y21" i="16"/>
  <c r="V21" i="16"/>
  <c r="U21" i="16"/>
  <c r="N21" i="16"/>
  <c r="O21" i="16"/>
  <c r="H21" i="16"/>
  <c r="G21" i="16"/>
  <c r="X21" i="16"/>
  <c r="W21" i="16"/>
  <c r="T21" i="16"/>
  <c r="M21" i="16"/>
  <c r="AC482" i="5"/>
  <c r="AC273" i="5"/>
  <c r="G4" i="14"/>
  <c r="AB4" i="14"/>
  <c r="F4" i="14"/>
  <c r="AA4" i="14"/>
  <c r="E4" i="14"/>
  <c r="Z4" i="14"/>
  <c r="D4" i="14"/>
  <c r="M4" i="14"/>
  <c r="L4" i="14"/>
  <c r="K4" i="14"/>
  <c r="Y4" i="14"/>
  <c r="S4" i="14"/>
  <c r="R4" i="14"/>
  <c r="Q4" i="14"/>
  <c r="I4" i="14"/>
  <c r="X4" i="14"/>
  <c r="W4" i="14"/>
  <c r="V4" i="14"/>
  <c r="J4" i="14"/>
  <c r="H4" i="14"/>
  <c r="U4" i="14"/>
  <c r="O4" i="14"/>
  <c r="N4" i="14"/>
  <c r="C4" i="14"/>
  <c r="T4" i="14"/>
  <c r="P4" i="14"/>
  <c r="G19" i="16"/>
  <c r="AB19" i="16"/>
  <c r="F19" i="16"/>
  <c r="Z19" i="16"/>
  <c r="D19" i="16"/>
  <c r="J19" i="16"/>
  <c r="I19" i="16"/>
  <c r="H19" i="16"/>
  <c r="E19" i="16"/>
  <c r="T19" i="16"/>
  <c r="AA19" i="16"/>
  <c r="Q19" i="16"/>
  <c r="P19" i="16"/>
  <c r="O19" i="16"/>
  <c r="X19" i="16"/>
  <c r="W19" i="16"/>
  <c r="S19" i="16"/>
  <c r="V19" i="16"/>
  <c r="U19" i="16"/>
  <c r="R19" i="16"/>
  <c r="N19" i="16"/>
  <c r="M19" i="16"/>
  <c r="L19" i="16"/>
  <c r="C19" i="16"/>
  <c r="Y19" i="16"/>
  <c r="K19" i="16"/>
  <c r="G21" i="12"/>
  <c r="AA21" i="12"/>
  <c r="D21" i="12"/>
  <c r="Z21" i="12"/>
  <c r="C21" i="12"/>
  <c r="F21" i="12"/>
  <c r="E21" i="12"/>
  <c r="V21" i="12"/>
  <c r="R21" i="12"/>
  <c r="Q21" i="12"/>
  <c r="P21" i="12"/>
  <c r="J21" i="12"/>
  <c r="I21" i="12"/>
  <c r="X21" i="12"/>
  <c r="W21" i="12"/>
  <c r="U21" i="12"/>
  <c r="M21" i="12"/>
  <c r="L21" i="12"/>
  <c r="K21" i="12"/>
  <c r="H21" i="12"/>
  <c r="T21" i="12"/>
  <c r="N21" i="12"/>
  <c r="AB21" i="12"/>
  <c r="Y21" i="12"/>
  <c r="S21" i="12"/>
  <c r="O21" i="12"/>
  <c r="AC47" i="5"/>
  <c r="AE120" i="5"/>
  <c r="AF120" i="5"/>
  <c r="AC331" i="5"/>
  <c r="V11" i="21"/>
  <c r="U11" i="21"/>
  <c r="T11" i="21"/>
  <c r="S11" i="21"/>
  <c r="P11" i="21"/>
  <c r="M11" i="21"/>
  <c r="G11" i="21"/>
  <c r="F11" i="21"/>
  <c r="E11" i="21"/>
  <c r="D11" i="21"/>
  <c r="R11" i="21"/>
  <c r="Q11" i="21"/>
  <c r="O11" i="21"/>
  <c r="N11" i="21"/>
  <c r="C11" i="21"/>
  <c r="Z11" i="21"/>
  <c r="Y11" i="21"/>
  <c r="X11" i="21"/>
  <c r="W11" i="21"/>
  <c r="K11" i="21"/>
  <c r="L11" i="21"/>
  <c r="J11" i="21"/>
  <c r="I11" i="21"/>
  <c r="H11" i="21"/>
  <c r="AB11" i="21"/>
  <c r="AA11" i="21"/>
  <c r="AB19" i="14"/>
  <c r="F19" i="14"/>
  <c r="X19" i="14"/>
  <c r="W19" i="14"/>
  <c r="V19" i="14"/>
  <c r="U19" i="14"/>
  <c r="N19" i="14"/>
  <c r="M19" i="14"/>
  <c r="L19" i="14"/>
  <c r="C19" i="14"/>
  <c r="K19" i="14"/>
  <c r="J19" i="14"/>
  <c r="I19" i="14"/>
  <c r="AA19" i="14"/>
  <c r="Z19" i="14"/>
  <c r="Y19" i="14"/>
  <c r="O19" i="14"/>
  <c r="H19" i="14"/>
  <c r="E19" i="14"/>
  <c r="D19" i="14"/>
  <c r="P19" i="14"/>
  <c r="G19" i="14"/>
  <c r="T19" i="14"/>
  <c r="R19" i="14"/>
  <c r="Q19" i="14"/>
  <c r="S19" i="14"/>
  <c r="S22" i="11"/>
  <c r="Y22" i="11"/>
  <c r="T22" i="11"/>
  <c r="R22" i="11"/>
  <c r="L22" i="11"/>
  <c r="K22" i="11"/>
  <c r="AA22" i="11"/>
  <c r="Z22" i="11"/>
  <c r="X22" i="11"/>
  <c r="P22" i="11"/>
  <c r="O22" i="11"/>
  <c r="M22" i="11"/>
  <c r="J22" i="11"/>
  <c r="I22" i="11"/>
  <c r="H22" i="11"/>
  <c r="W22" i="11"/>
  <c r="V22" i="11"/>
  <c r="U22" i="11"/>
  <c r="Q22" i="11"/>
  <c r="C22" i="11"/>
  <c r="AB22" i="11"/>
  <c r="N22" i="11"/>
  <c r="G22" i="11"/>
  <c r="F22" i="11"/>
  <c r="E22" i="11"/>
  <c r="D22" i="11"/>
  <c r="Y18" i="13"/>
  <c r="C18" i="13"/>
  <c r="X18" i="13"/>
  <c r="V18" i="13"/>
  <c r="S18" i="13"/>
  <c r="R18" i="13"/>
  <c r="I18" i="13"/>
  <c r="W18" i="13"/>
  <c r="U18" i="13"/>
  <c r="T18" i="13"/>
  <c r="M18" i="13"/>
  <c r="P18" i="13"/>
  <c r="O18" i="13"/>
  <c r="N18" i="13"/>
  <c r="F18" i="13"/>
  <c r="E18" i="13"/>
  <c r="AB18" i="13"/>
  <c r="AA18" i="13"/>
  <c r="Z18" i="13"/>
  <c r="Q18" i="13"/>
  <c r="L18" i="13"/>
  <c r="K18" i="13"/>
  <c r="J18" i="13"/>
  <c r="G18" i="13"/>
  <c r="H18" i="13"/>
  <c r="D18" i="13"/>
  <c r="K22" i="21"/>
  <c r="J22" i="21"/>
  <c r="I22" i="21"/>
  <c r="H22" i="21"/>
  <c r="AA22" i="21"/>
  <c r="E22" i="21"/>
  <c r="X22" i="21"/>
  <c r="P22" i="21"/>
  <c r="U22" i="21"/>
  <c r="T22" i="21"/>
  <c r="S22" i="21"/>
  <c r="R22" i="21"/>
  <c r="G22" i="21"/>
  <c r="F22" i="21"/>
  <c r="D22" i="21"/>
  <c r="C22" i="21"/>
  <c r="Q22" i="21"/>
  <c r="O22" i="21"/>
  <c r="N22" i="21"/>
  <c r="M22" i="21"/>
  <c r="Z22" i="21"/>
  <c r="Y22" i="21"/>
  <c r="W22" i="21"/>
  <c r="V22" i="21"/>
  <c r="AB22" i="21"/>
  <c r="L22" i="21"/>
  <c r="N22" i="14"/>
  <c r="M22" i="14"/>
  <c r="K22" i="14"/>
  <c r="S22" i="14"/>
  <c r="R22" i="14"/>
  <c r="Q22" i="14"/>
  <c r="P22" i="14"/>
  <c r="Y22" i="14"/>
  <c r="X22" i="14"/>
  <c r="W22" i="14"/>
  <c r="H22" i="14"/>
  <c r="D22" i="14"/>
  <c r="C22" i="14"/>
  <c r="U22" i="14"/>
  <c r="T22" i="14"/>
  <c r="L22" i="14"/>
  <c r="J22" i="14"/>
  <c r="AB22" i="14"/>
  <c r="AA22" i="14"/>
  <c r="Z22" i="14"/>
  <c r="I22" i="14"/>
  <c r="G22" i="14"/>
  <c r="F22" i="14"/>
  <c r="E22" i="14"/>
  <c r="V22" i="14"/>
  <c r="O22" i="14"/>
  <c r="P4" i="17"/>
  <c r="O4" i="17"/>
  <c r="M4" i="17"/>
  <c r="X4" i="17"/>
  <c r="W4" i="17"/>
  <c r="V4" i="17"/>
  <c r="U4" i="17"/>
  <c r="I4" i="17"/>
  <c r="H4" i="17"/>
  <c r="G4" i="17"/>
  <c r="F4" i="17"/>
  <c r="E4" i="17"/>
  <c r="AA4" i="17"/>
  <c r="Z4" i="17"/>
  <c r="Y4" i="17"/>
  <c r="L4" i="17"/>
  <c r="K4" i="17"/>
  <c r="J4" i="17"/>
  <c r="D4" i="17"/>
  <c r="C4" i="17"/>
  <c r="AB4" i="17"/>
  <c r="Q4" i="17"/>
  <c r="S4" i="17"/>
  <c r="N4" i="17"/>
  <c r="T4" i="17"/>
  <c r="R4" i="17"/>
  <c r="Y16" i="10"/>
  <c r="C16" i="10"/>
  <c r="H16" i="10"/>
  <c r="J16" i="10"/>
  <c r="I16" i="10"/>
  <c r="G16" i="10"/>
  <c r="Z16" i="10"/>
  <c r="X16" i="10"/>
  <c r="V16" i="10"/>
  <c r="U16" i="10"/>
  <c r="T16" i="10"/>
  <c r="S16" i="10"/>
  <c r="Q16" i="10"/>
  <c r="P16" i="10"/>
  <c r="O16" i="10"/>
  <c r="M16" i="10"/>
  <c r="L16" i="10"/>
  <c r="K16" i="10"/>
  <c r="F16" i="10"/>
  <c r="E16" i="10"/>
  <c r="D16" i="10"/>
  <c r="W16" i="10"/>
  <c r="N16" i="10"/>
  <c r="AB16" i="10"/>
  <c r="R16" i="10"/>
  <c r="AA16" i="10"/>
  <c r="X21" i="11"/>
  <c r="F21" i="11"/>
  <c r="V21" i="11"/>
  <c r="U21" i="11"/>
  <c r="O21" i="11"/>
  <c r="N21" i="11"/>
  <c r="Y21" i="11"/>
  <c r="W21" i="11"/>
  <c r="T21" i="11"/>
  <c r="M21" i="11"/>
  <c r="L21" i="11"/>
  <c r="J21" i="11"/>
  <c r="I21" i="11"/>
  <c r="H21" i="11"/>
  <c r="G21" i="11"/>
  <c r="AB21" i="11"/>
  <c r="AA21" i="11"/>
  <c r="Z21" i="11"/>
  <c r="S21" i="11"/>
  <c r="R21" i="11"/>
  <c r="Q21" i="11"/>
  <c r="P21" i="11"/>
  <c r="K21" i="11"/>
  <c r="E21" i="11"/>
  <c r="D21" i="11"/>
  <c r="C21" i="11"/>
  <c r="N22" i="16"/>
  <c r="M22" i="16"/>
  <c r="K22" i="16"/>
  <c r="D22" i="16"/>
  <c r="AB22" i="16"/>
  <c r="C22" i="16"/>
  <c r="AA22" i="16"/>
  <c r="Z22" i="16"/>
  <c r="Q22" i="16"/>
  <c r="S22" i="16"/>
  <c r="R22" i="16"/>
  <c r="P22" i="16"/>
  <c r="O22" i="16"/>
  <c r="T22" i="16"/>
  <c r="L22" i="16"/>
  <c r="J22" i="16"/>
  <c r="I22" i="16"/>
  <c r="W22" i="16"/>
  <c r="U22" i="16"/>
  <c r="Y22" i="16"/>
  <c r="X22" i="16"/>
  <c r="H22" i="16"/>
  <c r="V22" i="16"/>
  <c r="G22" i="16"/>
  <c r="F22" i="16"/>
  <c r="E22" i="16"/>
  <c r="X5" i="13"/>
  <c r="W5" i="13"/>
  <c r="U5" i="13"/>
  <c r="N5" i="13"/>
  <c r="M5" i="13"/>
  <c r="F5" i="13"/>
  <c r="E5" i="13"/>
  <c r="D5" i="13"/>
  <c r="Z5" i="13"/>
  <c r="V5" i="13"/>
  <c r="T5" i="13"/>
  <c r="S5" i="13"/>
  <c r="K5" i="13"/>
  <c r="J5" i="13"/>
  <c r="H5" i="13"/>
  <c r="AB5" i="13"/>
  <c r="AA5" i="13"/>
  <c r="Y5" i="13"/>
  <c r="R5" i="13"/>
  <c r="Q5" i="13"/>
  <c r="L5" i="13"/>
  <c r="I5" i="13"/>
  <c r="G5" i="13"/>
  <c r="C5" i="13"/>
  <c r="P5" i="13"/>
  <c r="O5" i="13"/>
  <c r="AC566" i="5"/>
  <c r="AC421" i="5"/>
  <c r="AF188" i="5"/>
  <c r="AE188" i="5"/>
  <c r="AC141" i="5"/>
  <c r="AC527" i="5"/>
  <c r="AE86" i="5"/>
  <c r="AF86" i="5"/>
  <c r="AC127" i="5"/>
  <c r="AE90" i="5"/>
  <c r="AF90" i="5"/>
  <c r="AG440" i="5"/>
  <c r="AF576" i="5"/>
  <c r="AE541" i="5"/>
  <c r="AF541" i="5"/>
  <c r="M4" i="22"/>
  <c r="L4" i="22"/>
  <c r="K4" i="22"/>
  <c r="J4" i="22"/>
  <c r="G4" i="22"/>
  <c r="AB4" i="22"/>
  <c r="F4" i="22"/>
  <c r="Z4" i="22"/>
  <c r="D4" i="22"/>
  <c r="R4" i="22"/>
  <c r="P4" i="22"/>
  <c r="O4" i="22"/>
  <c r="N4" i="22"/>
  <c r="I4" i="22"/>
  <c r="X4" i="22"/>
  <c r="W4" i="22"/>
  <c r="V4" i="22"/>
  <c r="U4" i="22"/>
  <c r="Q4" i="22"/>
  <c r="H4" i="22"/>
  <c r="E4" i="22"/>
  <c r="C4" i="22"/>
  <c r="Y4" i="22"/>
  <c r="T4" i="22"/>
  <c r="AA4" i="22"/>
  <c r="S4" i="22"/>
  <c r="AE205" i="5"/>
  <c r="AF205" i="5"/>
  <c r="G19" i="15"/>
  <c r="AB19" i="15"/>
  <c r="F19" i="15"/>
  <c r="AA19" i="15"/>
  <c r="E19" i="15"/>
  <c r="Z19" i="15"/>
  <c r="D19" i="15"/>
  <c r="W19" i="15"/>
  <c r="V19" i="15"/>
  <c r="U19" i="15"/>
  <c r="T19" i="15"/>
  <c r="L19" i="15"/>
  <c r="J19" i="15"/>
  <c r="Y19" i="15"/>
  <c r="M19" i="15"/>
  <c r="K19" i="15"/>
  <c r="I19" i="15"/>
  <c r="H19" i="15"/>
  <c r="C19" i="15"/>
  <c r="P19" i="15"/>
  <c r="O19" i="15"/>
  <c r="N19" i="15"/>
  <c r="X19" i="15"/>
  <c r="S19" i="15"/>
  <c r="R19" i="15"/>
  <c r="Q19" i="15"/>
  <c r="AF298" i="5"/>
  <c r="AE298" i="5"/>
  <c r="O21" i="20"/>
  <c r="N21" i="20"/>
  <c r="M21" i="20"/>
  <c r="G21" i="20"/>
  <c r="F21" i="20"/>
  <c r="E21" i="20"/>
  <c r="D21" i="20"/>
  <c r="C21" i="20"/>
  <c r="AB21" i="20"/>
  <c r="AA21" i="20"/>
  <c r="Z21" i="20"/>
  <c r="Y21" i="20"/>
  <c r="X21" i="20"/>
  <c r="R21" i="20"/>
  <c r="L21" i="20"/>
  <c r="J21" i="20"/>
  <c r="I21" i="20"/>
  <c r="H21" i="20"/>
  <c r="W21" i="20"/>
  <c r="V21" i="20"/>
  <c r="U21" i="20"/>
  <c r="T21" i="20"/>
  <c r="S21" i="20"/>
  <c r="Q21" i="20"/>
  <c r="K21" i="20"/>
  <c r="P21" i="20"/>
  <c r="AC299" i="5"/>
  <c r="AF544" i="5"/>
  <c r="AE544" i="5"/>
  <c r="S21" i="15"/>
  <c r="R21" i="15"/>
  <c r="Q21" i="15"/>
  <c r="P21" i="15"/>
  <c r="Y21" i="15"/>
  <c r="X21" i="15"/>
  <c r="W21" i="15"/>
  <c r="V21" i="15"/>
  <c r="J21" i="15"/>
  <c r="H21" i="15"/>
  <c r="K21" i="15"/>
  <c r="I21" i="15"/>
  <c r="G21" i="15"/>
  <c r="AA21" i="15"/>
  <c r="U21" i="15"/>
  <c r="N21" i="15"/>
  <c r="M21" i="15"/>
  <c r="L21" i="15"/>
  <c r="C21" i="15"/>
  <c r="F21" i="15"/>
  <c r="E21" i="15"/>
  <c r="T21" i="15"/>
  <c r="O21" i="15"/>
  <c r="D21" i="15"/>
  <c r="AB21" i="15"/>
  <c r="Z21" i="15"/>
  <c r="AC251" i="5"/>
  <c r="AF318" i="5"/>
  <c r="AE318" i="5"/>
  <c r="AE280" i="5"/>
  <c r="AF280" i="5"/>
  <c r="AC255" i="5"/>
  <c r="R9" i="12"/>
  <c r="N9" i="12"/>
  <c r="L9" i="12"/>
  <c r="AA9" i="12"/>
  <c r="Z9" i="12"/>
  <c r="Y9" i="12"/>
  <c r="S9" i="12"/>
  <c r="Q9" i="12"/>
  <c r="H9" i="12"/>
  <c r="G9" i="12"/>
  <c r="F9" i="12"/>
  <c r="AB9" i="12"/>
  <c r="X9" i="12"/>
  <c r="W9" i="12"/>
  <c r="V9" i="12"/>
  <c r="M9" i="12"/>
  <c r="K9" i="12"/>
  <c r="J9" i="12"/>
  <c r="I9" i="12"/>
  <c r="C9" i="12"/>
  <c r="T9" i="12"/>
  <c r="P9" i="12"/>
  <c r="O9" i="12"/>
  <c r="E9" i="12"/>
  <c r="D9" i="12"/>
  <c r="U9" i="12"/>
  <c r="AF503" i="5"/>
  <c r="AE503" i="5"/>
  <c r="P11" i="13"/>
  <c r="O11" i="13"/>
  <c r="M11" i="13"/>
  <c r="E11" i="13"/>
  <c r="D11" i="13"/>
  <c r="K11" i="13"/>
  <c r="J11" i="13"/>
  <c r="I11" i="13"/>
  <c r="AB11" i="13"/>
  <c r="AA11" i="13"/>
  <c r="U11" i="13"/>
  <c r="T11" i="13"/>
  <c r="R11" i="13"/>
  <c r="Q11" i="13"/>
  <c r="V11" i="13"/>
  <c r="S11" i="13"/>
  <c r="N11" i="13"/>
  <c r="L11" i="13"/>
  <c r="H11" i="13"/>
  <c r="G11" i="13"/>
  <c r="F11" i="13"/>
  <c r="Z11" i="13"/>
  <c r="Y11" i="13"/>
  <c r="X11" i="13"/>
  <c r="W11" i="13"/>
  <c r="C11" i="13"/>
  <c r="AF523" i="5"/>
  <c r="AE523" i="5"/>
  <c r="H5" i="21"/>
  <c r="G5" i="21"/>
  <c r="AB5" i="21"/>
  <c r="F5" i="21"/>
  <c r="AA5" i="21"/>
  <c r="E5" i="21"/>
  <c r="X5" i="21"/>
  <c r="U5" i="21"/>
  <c r="Q5" i="21"/>
  <c r="P5" i="21"/>
  <c r="O5" i="21"/>
  <c r="N5" i="21"/>
  <c r="R5" i="21"/>
  <c r="M5" i="21"/>
  <c r="L5" i="21"/>
  <c r="K5" i="21"/>
  <c r="W5" i="21"/>
  <c r="Y5" i="21"/>
  <c r="V5" i="21"/>
  <c r="T5" i="21"/>
  <c r="S5" i="21"/>
  <c r="D5" i="21"/>
  <c r="C5" i="21"/>
  <c r="Z5" i="21"/>
  <c r="I5" i="21"/>
  <c r="J5" i="21"/>
  <c r="K18" i="14"/>
  <c r="AB18" i="14"/>
  <c r="E18" i="14"/>
  <c r="AA18" i="14"/>
  <c r="D18" i="14"/>
  <c r="Z18" i="14"/>
  <c r="C18" i="14"/>
  <c r="Y18" i="14"/>
  <c r="N18" i="14"/>
  <c r="M18" i="14"/>
  <c r="L18" i="14"/>
  <c r="F18" i="14"/>
  <c r="O18" i="14"/>
  <c r="J18" i="14"/>
  <c r="I18" i="14"/>
  <c r="X18" i="14"/>
  <c r="S18" i="14"/>
  <c r="R18" i="14"/>
  <c r="Q18" i="14"/>
  <c r="P18" i="14"/>
  <c r="H18" i="14"/>
  <c r="G18" i="14"/>
  <c r="V18" i="14"/>
  <c r="U18" i="14"/>
  <c r="T18" i="14"/>
  <c r="W18" i="14"/>
  <c r="M9" i="17"/>
  <c r="L9" i="17"/>
  <c r="K9" i="17"/>
  <c r="J9" i="17"/>
  <c r="S9" i="17"/>
  <c r="R9" i="17"/>
  <c r="Q9" i="17"/>
  <c r="P9" i="17"/>
  <c r="C9" i="17"/>
  <c r="F9" i="17"/>
  <c r="E9" i="17"/>
  <c r="D9" i="17"/>
  <c r="Y9" i="17"/>
  <c r="X9" i="17"/>
  <c r="W9" i="17"/>
  <c r="AB9" i="17"/>
  <c r="AA9" i="17"/>
  <c r="I9" i="17"/>
  <c r="H9" i="17"/>
  <c r="V9" i="17"/>
  <c r="U9" i="17"/>
  <c r="T9" i="17"/>
  <c r="G9" i="17"/>
  <c r="Z9" i="17"/>
  <c r="O9" i="17"/>
  <c r="N9" i="17"/>
  <c r="P9" i="10"/>
  <c r="L9" i="10"/>
  <c r="E9" i="10"/>
  <c r="AB9" i="10"/>
  <c r="D9" i="10"/>
  <c r="AA9" i="10"/>
  <c r="C9" i="10"/>
  <c r="V9" i="10"/>
  <c r="U9" i="10"/>
  <c r="S9" i="10"/>
  <c r="R9" i="10"/>
  <c r="Q9" i="10"/>
  <c r="O9" i="10"/>
  <c r="N9" i="10"/>
  <c r="M9" i="10"/>
  <c r="J9" i="10"/>
  <c r="I9" i="10"/>
  <c r="X9" i="10"/>
  <c r="W9" i="10"/>
  <c r="T9" i="10"/>
  <c r="K9" i="10"/>
  <c r="H9" i="10"/>
  <c r="G9" i="10"/>
  <c r="F9" i="10"/>
  <c r="Z9" i="10"/>
  <c r="Y9" i="10"/>
  <c r="M9" i="16"/>
  <c r="L9" i="16"/>
  <c r="AA9" i="16"/>
  <c r="C9" i="16"/>
  <c r="Z9" i="16"/>
  <c r="Y9" i="16"/>
  <c r="X9" i="16"/>
  <c r="O9" i="16"/>
  <c r="J9" i="16"/>
  <c r="I9" i="16"/>
  <c r="H9" i="16"/>
  <c r="G9" i="16"/>
  <c r="AB9" i="16"/>
  <c r="W9" i="16"/>
  <c r="V9" i="16"/>
  <c r="N9" i="16"/>
  <c r="K9" i="16"/>
  <c r="D9" i="16"/>
  <c r="U9" i="16"/>
  <c r="R9" i="16"/>
  <c r="Q9" i="16"/>
  <c r="P9" i="16"/>
  <c r="F9" i="16"/>
  <c r="E9" i="16"/>
  <c r="S9" i="16"/>
  <c r="T9" i="16"/>
  <c r="R16" i="18"/>
  <c r="Q16" i="18"/>
  <c r="O16" i="18"/>
  <c r="X16" i="18"/>
  <c r="W16" i="18"/>
  <c r="V16" i="18"/>
  <c r="U16" i="18"/>
  <c r="AB16" i="18"/>
  <c r="AA16" i="18"/>
  <c r="Z16" i="18"/>
  <c r="Y16" i="18"/>
  <c r="L16" i="18"/>
  <c r="F16" i="18"/>
  <c r="E16" i="18"/>
  <c r="D16" i="18"/>
  <c r="C16" i="18"/>
  <c r="T16" i="18"/>
  <c r="S16" i="18"/>
  <c r="P16" i="18"/>
  <c r="N16" i="18"/>
  <c r="M16" i="18"/>
  <c r="K16" i="18"/>
  <c r="I16" i="18"/>
  <c r="H16" i="18"/>
  <c r="G16" i="18"/>
  <c r="J16" i="18"/>
  <c r="AE419" i="5"/>
  <c r="AF419" i="5"/>
  <c r="AC418" i="5"/>
  <c r="AC556" i="5"/>
  <c r="AF248" i="5"/>
  <c r="AF38" i="5"/>
  <c r="AE38" i="5"/>
  <c r="AC155" i="5"/>
  <c r="AF265" i="5"/>
  <c r="AE265" i="5"/>
  <c r="AF12" i="5"/>
  <c r="AE12" i="5"/>
  <c r="AF336" i="5"/>
  <c r="AE80" i="5"/>
  <c r="AF80" i="5"/>
  <c r="AF30" i="5"/>
  <c r="AE30" i="5"/>
  <c r="AE132" i="5" l="1"/>
  <c r="AF425" i="5"/>
  <c r="AF547" i="5"/>
  <c r="AE301" i="5"/>
  <c r="AG301" i="5" s="1"/>
  <c r="AF21" i="5"/>
  <c r="AF462" i="5"/>
  <c r="AE408" i="5"/>
  <c r="AG408" i="5" s="1"/>
  <c r="AK408" i="5" s="1"/>
  <c r="AF479" i="5"/>
  <c r="AE329" i="5"/>
  <c r="AG329" i="5" s="1"/>
  <c r="AI329" i="5" s="1"/>
  <c r="AF379" i="5"/>
  <c r="AG379" i="5" s="1"/>
  <c r="AE213" i="5"/>
  <c r="AE577" i="5"/>
  <c r="AG577" i="5" s="1"/>
  <c r="AE244" i="5"/>
  <c r="AG244" i="5" s="1"/>
  <c r="AJ244" i="5" s="1"/>
  <c r="AF489" i="5"/>
  <c r="AF186" i="5"/>
  <c r="J17" i="7"/>
  <c r="AE156" i="5"/>
  <c r="AG156" i="5" s="1"/>
  <c r="AJ156" i="5" s="1"/>
  <c r="AF89" i="5"/>
  <c r="AG89" i="5" s="1"/>
  <c r="AG318" i="5"/>
  <c r="AK318" i="5" s="1"/>
  <c r="AF154" i="5"/>
  <c r="AG154" i="5" s="1"/>
  <c r="AF542" i="5"/>
  <c r="AG542" i="5" s="1"/>
  <c r="AK542" i="5" s="1"/>
  <c r="J6" i="7"/>
  <c r="AF553" i="5"/>
  <c r="AG553" i="5" s="1"/>
  <c r="AF351" i="5"/>
  <c r="AG351" i="5" s="1"/>
  <c r="AJ351" i="5" s="1"/>
  <c r="AE187" i="5"/>
  <c r="AG187" i="5" s="1"/>
  <c r="J9" i="7"/>
  <c r="AE219" i="5"/>
  <c r="AG219" i="5" s="1"/>
  <c r="AI219" i="5" s="1"/>
  <c r="AE308" i="5"/>
  <c r="AG308" i="5" s="1"/>
  <c r="AE135" i="5"/>
  <c r="AG135" i="5" s="1"/>
  <c r="AJ135" i="5" s="1"/>
  <c r="AE335" i="5"/>
  <c r="AG335" i="5" s="1"/>
  <c r="AE372" i="5"/>
  <c r="AG372" i="5" s="1"/>
  <c r="AI372" i="5" s="1"/>
  <c r="AE107" i="5"/>
  <c r="AG107" i="5" s="1"/>
  <c r="AI107" i="5" s="1"/>
  <c r="AE238" i="5"/>
  <c r="AG238" i="5" s="1"/>
  <c r="AJ238" i="5" s="1"/>
  <c r="AE450" i="5"/>
  <c r="AG450" i="5" s="1"/>
  <c r="AI450" i="5" s="1"/>
  <c r="AE392" i="5"/>
  <c r="AG392" i="5" s="1"/>
  <c r="AI392" i="5" s="1"/>
  <c r="AF427" i="5"/>
  <c r="AG427" i="5" s="1"/>
  <c r="AI427" i="5" s="1"/>
  <c r="AE152" i="5"/>
  <c r="AG152" i="5" s="1"/>
  <c r="AG390" i="5"/>
  <c r="AJ390" i="5" s="1"/>
  <c r="AF343" i="5"/>
  <c r="AG343" i="5" s="1"/>
  <c r="AI343" i="5" s="1"/>
  <c r="AG279" i="5"/>
  <c r="AK279" i="5" s="1"/>
  <c r="AF15" i="5"/>
  <c r="AG15" i="5" s="1"/>
  <c r="AK15" i="5" s="1"/>
  <c r="AE50" i="5"/>
  <c r="AG50" i="5" s="1"/>
  <c r="AE95" i="5"/>
  <c r="AG95" i="5" s="1"/>
  <c r="AJ95" i="5" s="1"/>
  <c r="AE270" i="5"/>
  <c r="AG270" i="5" s="1"/>
  <c r="AI270" i="5" s="1"/>
  <c r="AE340" i="5"/>
  <c r="AG340" i="5" s="1"/>
  <c r="AJ340" i="5" s="1"/>
  <c r="AE377" i="5"/>
  <c r="AG377" i="5" s="1"/>
  <c r="AJ377" i="5" s="1"/>
  <c r="AE405" i="5"/>
  <c r="AG405" i="5" s="1"/>
  <c r="AK405" i="5" s="1"/>
  <c r="AE108" i="5"/>
  <c r="AG108" i="5" s="1"/>
  <c r="AI108" i="5" s="1"/>
  <c r="J10" i="7"/>
  <c r="AE184" i="5"/>
  <c r="AG184" i="5" s="1"/>
  <c r="AE399" i="5"/>
  <c r="AG399" i="5" s="1"/>
  <c r="AF353" i="5"/>
  <c r="AG353" i="5" s="1"/>
  <c r="AE151" i="5"/>
  <c r="AG151" i="5" s="1"/>
  <c r="AJ151" i="5" s="1"/>
  <c r="J18" i="7"/>
  <c r="AE404" i="5"/>
  <c r="AG404" i="5" s="1"/>
  <c r="AE355" i="5"/>
  <c r="AG355" i="5" s="1"/>
  <c r="AK355" i="5" s="1"/>
  <c r="AG121" i="5"/>
  <c r="AK121" i="5" s="1"/>
  <c r="AE175" i="5"/>
  <c r="AG175" i="5" s="1"/>
  <c r="AJ175" i="5" s="1"/>
  <c r="AG34" i="5"/>
  <c r="AI34" i="5" s="1"/>
  <c r="J16" i="7"/>
  <c r="AE511" i="5"/>
  <c r="AG511" i="5" s="1"/>
  <c r="AJ511" i="5" s="1"/>
  <c r="AE535" i="5"/>
  <c r="AG535" i="5" s="1"/>
  <c r="AG213" i="5"/>
  <c r="AK213" i="5" s="1"/>
  <c r="AF333" i="5"/>
  <c r="AG333" i="5" s="1"/>
  <c r="AJ333" i="5" s="1"/>
  <c r="AE507" i="5"/>
  <c r="AG507" i="5" s="1"/>
  <c r="J8" i="7"/>
  <c r="AE360" i="5"/>
  <c r="AG360" i="5" s="1"/>
  <c r="AI360" i="5" s="1"/>
  <c r="AE380" i="5"/>
  <c r="AG380" i="5" s="1"/>
  <c r="AK380" i="5" s="1"/>
  <c r="AG475" i="5"/>
  <c r="AJ475" i="5" s="1"/>
  <c r="AE485" i="5"/>
  <c r="AG485" i="5" s="1"/>
  <c r="AF420" i="5"/>
  <c r="AG420" i="5" s="1"/>
  <c r="AI420" i="5" s="1"/>
  <c r="AF153" i="5"/>
  <c r="AG153" i="5" s="1"/>
  <c r="AJ153" i="5" s="1"/>
  <c r="AE382" i="5"/>
  <c r="AG382" i="5" s="1"/>
  <c r="AK382" i="5" s="1"/>
  <c r="AE469" i="5"/>
  <c r="AG469" i="5" s="1"/>
  <c r="AK469" i="5" s="1"/>
  <c r="J11" i="7"/>
  <c r="AE464" i="5"/>
  <c r="AG464" i="5" s="1"/>
  <c r="AJ464" i="5" s="1"/>
  <c r="AE529" i="5"/>
  <c r="AG529" i="5" s="1"/>
  <c r="AJ529" i="5" s="1"/>
  <c r="AE384" i="5"/>
  <c r="AG384" i="5" s="1"/>
  <c r="AE106" i="5"/>
  <c r="AG106" i="5" s="1"/>
  <c r="AE97" i="5"/>
  <c r="AG97" i="5" s="1"/>
  <c r="AE524" i="5"/>
  <c r="AG524" i="5" s="1"/>
  <c r="AK524" i="5" s="1"/>
  <c r="AF115" i="5"/>
  <c r="AG115" i="5" s="1"/>
  <c r="AK115" i="5" s="1"/>
  <c r="AE456" i="5"/>
  <c r="AG456" i="5" s="1"/>
  <c r="AJ456" i="5" s="1"/>
  <c r="AE125" i="5"/>
  <c r="AG125" i="5" s="1"/>
  <c r="AF249" i="5"/>
  <c r="AG249" i="5" s="1"/>
  <c r="AG376" i="5"/>
  <c r="AK376" i="5" s="1"/>
  <c r="AF394" i="5"/>
  <c r="AG394" i="5" s="1"/>
  <c r="AE415" i="5"/>
  <c r="AG415" i="5" s="1"/>
  <c r="AI415" i="5" s="1"/>
  <c r="AF573" i="5"/>
  <c r="AG573" i="5" s="1"/>
  <c r="AF326" i="5"/>
  <c r="AG326" i="5" s="1"/>
  <c r="AF138" i="5"/>
  <c r="AG138" i="5" s="1"/>
  <c r="AE342" i="5"/>
  <c r="AG342" i="5" s="1"/>
  <c r="AI342" i="5" s="1"/>
  <c r="AF432" i="5"/>
  <c r="AG432" i="5" s="1"/>
  <c r="AE237" i="5"/>
  <c r="AG237" i="5" s="1"/>
  <c r="AI237" i="5" s="1"/>
  <c r="AF208" i="5"/>
  <c r="AG208" i="5" s="1"/>
  <c r="AG49" i="5"/>
  <c r="AK49" i="5" s="1"/>
  <c r="AE256" i="5"/>
  <c r="AG256" i="5" s="1"/>
  <c r="AJ256" i="5" s="1"/>
  <c r="AF204" i="5"/>
  <c r="AG204" i="5" s="1"/>
  <c r="AK204" i="5" s="1"/>
  <c r="AE410" i="5"/>
  <c r="AG410" i="5" s="1"/>
  <c r="AI410" i="5" s="1"/>
  <c r="AE400" i="5"/>
  <c r="AG400" i="5" s="1"/>
  <c r="AK400" i="5" s="1"/>
  <c r="AE310" i="5"/>
  <c r="AG310" i="5" s="1"/>
  <c r="AF58" i="5"/>
  <c r="AG58" i="5" s="1"/>
  <c r="AK58" i="5" s="1"/>
  <c r="AF480" i="5"/>
  <c r="AG480" i="5" s="1"/>
  <c r="AF381" i="5"/>
  <c r="AG381" i="5" s="1"/>
  <c r="AJ381" i="5" s="1"/>
  <c r="AJ124" i="5"/>
  <c r="AI124" i="5"/>
  <c r="AE345" i="5"/>
  <c r="AG345" i="5" s="1"/>
  <c r="AJ345" i="5" s="1"/>
  <c r="AE516" i="5"/>
  <c r="AG516" i="5" s="1"/>
  <c r="AI516" i="5" s="1"/>
  <c r="AE93" i="5"/>
  <c r="AG93" i="5" s="1"/>
  <c r="AE201" i="5"/>
  <c r="AG201" i="5" s="1"/>
  <c r="AF167" i="5"/>
  <c r="AG167" i="5" s="1"/>
  <c r="AK167" i="5" s="1"/>
  <c r="J5" i="7"/>
  <c r="AF304" i="5"/>
  <c r="AG304" i="5" s="1"/>
  <c r="AE370" i="5"/>
  <c r="AG370" i="5" s="1"/>
  <c r="AJ370" i="5" s="1"/>
  <c r="AE116" i="5"/>
  <c r="AG116" i="5" s="1"/>
  <c r="AK116" i="5" s="1"/>
  <c r="AE531" i="5"/>
  <c r="AG531" i="5" s="1"/>
  <c r="AE433" i="5"/>
  <c r="AG433" i="5" s="1"/>
  <c r="AE565" i="5"/>
  <c r="AG565" i="5" s="1"/>
  <c r="AF264" i="5"/>
  <c r="AG264" i="5" s="1"/>
  <c r="AJ264" i="5" s="1"/>
  <c r="AE261" i="5"/>
  <c r="AG261" i="5" s="1"/>
  <c r="AF78" i="5"/>
  <c r="AG78" i="5" s="1"/>
  <c r="AK78" i="5" s="1"/>
  <c r="AE461" i="5"/>
  <c r="AG461" i="5" s="1"/>
  <c r="AI461" i="5" s="1"/>
  <c r="AF263" i="5"/>
  <c r="AG263" i="5" s="1"/>
  <c r="AF495" i="5"/>
  <c r="AG495" i="5" s="1"/>
  <c r="AK495" i="5" s="1"/>
  <c r="AE215" i="5"/>
  <c r="AG215" i="5" s="1"/>
  <c r="AI215" i="5" s="1"/>
  <c r="AF375" i="5"/>
  <c r="AG375" i="5" s="1"/>
  <c r="AJ375" i="5" s="1"/>
  <c r="AE287" i="5"/>
  <c r="AG287" i="5" s="1"/>
  <c r="AK287" i="5" s="1"/>
  <c r="AF411" i="5"/>
  <c r="AG411" i="5" s="1"/>
  <c r="AJ411" i="5" s="1"/>
  <c r="AF389" i="5"/>
  <c r="AG389" i="5" s="1"/>
  <c r="AK389" i="5" s="1"/>
  <c r="AE537" i="5"/>
  <c r="AG537" i="5" s="1"/>
  <c r="AF189" i="5"/>
  <c r="AG189" i="5" s="1"/>
  <c r="AJ189" i="5" s="1"/>
  <c r="AE178" i="5"/>
  <c r="AG178" i="5" s="1"/>
  <c r="AE221" i="5"/>
  <c r="AG221" i="5" s="1"/>
  <c r="AK221" i="5" s="1"/>
  <c r="AF324" i="5"/>
  <c r="AG324" i="5" s="1"/>
  <c r="AF449" i="5"/>
  <c r="AG449" i="5" s="1"/>
  <c r="AJ449" i="5" s="1"/>
  <c r="AF458" i="5"/>
  <c r="AG458" i="5" s="1"/>
  <c r="AF271" i="5"/>
  <c r="AG271" i="5" s="1"/>
  <c r="AF286" i="5"/>
  <c r="AG286" i="5" s="1"/>
  <c r="AE362" i="5"/>
  <c r="AG362" i="5" s="1"/>
  <c r="AJ362" i="5" s="1"/>
  <c r="AE37" i="5"/>
  <c r="AG37" i="5" s="1"/>
  <c r="AF140" i="5"/>
  <c r="AG140" i="5" s="1"/>
  <c r="AK140" i="5" s="1"/>
  <c r="AE349" i="5"/>
  <c r="AG349" i="5" s="1"/>
  <c r="AK349" i="5" s="1"/>
  <c r="AF414" i="5"/>
  <c r="AG414" i="5" s="1"/>
  <c r="AF337" i="5"/>
  <c r="AG337" i="5" s="1"/>
  <c r="AK337" i="5" s="1"/>
  <c r="AE448" i="5"/>
  <c r="AG448" i="5" s="1"/>
  <c r="AE492" i="5"/>
  <c r="AG492" i="5" s="1"/>
  <c r="AJ492" i="5" s="1"/>
  <c r="AE239" i="5"/>
  <c r="AG239" i="5" s="1"/>
  <c r="AI239" i="5" s="1"/>
  <c r="AG162" i="5"/>
  <c r="AJ162" i="5" s="1"/>
  <c r="AE338" i="5"/>
  <c r="AG338" i="5" s="1"/>
  <c r="AG570" i="5"/>
  <c r="AJ570" i="5" s="1"/>
  <c r="AF150" i="5"/>
  <c r="AG150" i="5" s="1"/>
  <c r="AE53" i="5"/>
  <c r="AG53" i="5" s="1"/>
  <c r="AF252" i="5"/>
  <c r="AG252" i="5" s="1"/>
  <c r="AE439" i="5"/>
  <c r="AG439" i="5" s="1"/>
  <c r="AJ439" i="5" s="1"/>
  <c r="J13" i="7"/>
  <c r="AE73" i="5"/>
  <c r="AG73" i="5" s="1"/>
  <c r="AG506" i="5"/>
  <c r="AK506" i="5" s="1"/>
  <c r="AF446" i="5"/>
  <c r="AG446" i="5" s="1"/>
  <c r="AF451" i="5"/>
  <c r="AG451" i="5" s="1"/>
  <c r="AI451" i="5" s="1"/>
  <c r="AF243" i="5"/>
  <c r="AG243" i="5" s="1"/>
  <c r="AE314" i="5"/>
  <c r="AG314" i="5" s="1"/>
  <c r="AE302" i="5"/>
  <c r="AG302" i="5" s="1"/>
  <c r="AG4" i="5"/>
  <c r="AJ4" i="5" s="1"/>
  <c r="AE111" i="5"/>
  <c r="AG111" i="5" s="1"/>
  <c r="AF172" i="5"/>
  <c r="AG172" i="5" s="1"/>
  <c r="AJ172" i="5" s="1"/>
  <c r="AE268" i="5"/>
  <c r="AG268" i="5" s="1"/>
  <c r="AE422" i="5"/>
  <c r="AG422" i="5" s="1"/>
  <c r="AK422" i="5" s="1"/>
  <c r="AE281" i="5"/>
  <c r="AG281" i="5" s="1"/>
  <c r="AK281" i="5" s="1"/>
  <c r="AE395" i="5"/>
  <c r="AG395" i="5" s="1"/>
  <c r="AK395" i="5" s="1"/>
  <c r="AG188" i="5"/>
  <c r="AJ188" i="5" s="1"/>
  <c r="AE525" i="5"/>
  <c r="AG525" i="5" s="1"/>
  <c r="AI525" i="5" s="1"/>
  <c r="AF64" i="5"/>
  <c r="AG64" i="5" s="1"/>
  <c r="AI64" i="5" s="1"/>
  <c r="AF185" i="5"/>
  <c r="AG185" i="5" s="1"/>
  <c r="AI185" i="5" s="1"/>
  <c r="AG198" i="5"/>
  <c r="AI198" i="5" s="1"/>
  <c r="AG569" i="5"/>
  <c r="AJ569" i="5" s="1"/>
  <c r="AF428" i="5"/>
  <c r="AG428" i="5" s="1"/>
  <c r="AE549" i="5"/>
  <c r="AG549" i="5" s="1"/>
  <c r="AF435" i="5"/>
  <c r="AG435" i="5" s="1"/>
  <c r="AK435" i="5" s="1"/>
  <c r="AG11" i="5"/>
  <c r="AI11" i="5" s="1"/>
  <c r="AF454" i="5"/>
  <c r="AG454" i="5" s="1"/>
  <c r="AJ454" i="5" s="1"/>
  <c r="AG528" i="5"/>
  <c r="AJ528" i="5" s="1"/>
  <c r="AE54" i="5"/>
  <c r="AG54" i="5" s="1"/>
  <c r="AK54" i="5" s="1"/>
  <c r="AF230" i="5"/>
  <c r="AG230" i="5" s="1"/>
  <c r="AE445" i="5"/>
  <c r="AG445" i="5" s="1"/>
  <c r="AE567" i="5"/>
  <c r="AG567" i="5" s="1"/>
  <c r="AE368" i="5"/>
  <c r="AG368" i="5" s="1"/>
  <c r="AE330" i="5"/>
  <c r="AG330" i="5" s="1"/>
  <c r="AG522" i="5"/>
  <c r="AK522" i="5" s="1"/>
  <c r="AF183" i="5"/>
  <c r="AG183" i="5" s="1"/>
  <c r="AE57" i="5"/>
  <c r="AG57" i="5" s="1"/>
  <c r="AE231" i="5"/>
  <c r="AG231" i="5" s="1"/>
  <c r="AF82" i="5"/>
  <c r="AG82" i="5" s="1"/>
  <c r="AK82" i="5" s="1"/>
  <c r="AF521" i="5"/>
  <c r="AG521" i="5" s="1"/>
  <c r="J15" i="7"/>
  <c r="AE575" i="5"/>
  <c r="AG575" i="5" s="1"/>
  <c r="AK575" i="5" s="1"/>
  <c r="J14" i="7"/>
  <c r="AG173" i="5"/>
  <c r="AI173" i="5" s="1"/>
  <c r="AE100" i="5"/>
  <c r="AG100" i="5" s="1"/>
  <c r="AJ100" i="5" s="1"/>
  <c r="AE169" i="5"/>
  <c r="AG169" i="5" s="1"/>
  <c r="AG258" i="5"/>
  <c r="AK258" i="5" s="1"/>
  <c r="AG403" i="5"/>
  <c r="AJ403" i="5" s="1"/>
  <c r="AE363" i="5"/>
  <c r="AG363" i="5" s="1"/>
  <c r="AK363" i="5" s="1"/>
  <c r="AG501" i="5"/>
  <c r="AJ501" i="5" s="1"/>
  <c r="AG157" i="5"/>
  <c r="AJ157" i="5" s="1"/>
  <c r="AE119" i="5"/>
  <c r="AG119" i="5" s="1"/>
  <c r="AG123" i="5"/>
  <c r="AJ123" i="5" s="1"/>
  <c r="AF416" i="5"/>
  <c r="AG416" i="5" s="1"/>
  <c r="AE526" i="5"/>
  <c r="AG526" i="5" s="1"/>
  <c r="AK526" i="5" s="1"/>
  <c r="AF546" i="5"/>
  <c r="AG546" i="5" s="1"/>
  <c r="AF220" i="5"/>
  <c r="AG220" i="5" s="1"/>
  <c r="AF344" i="5"/>
  <c r="AG344" i="5" s="1"/>
  <c r="AF67" i="5"/>
  <c r="AG67" i="5" s="1"/>
  <c r="AG502" i="5"/>
  <c r="AI502" i="5" s="1"/>
  <c r="AE387" i="5"/>
  <c r="AG387" i="5" s="1"/>
  <c r="AK387" i="5" s="1"/>
  <c r="AF332" i="5"/>
  <c r="AG332" i="5" s="1"/>
  <c r="AE518" i="5"/>
  <c r="AG518" i="5" s="1"/>
  <c r="AK518" i="5" s="1"/>
  <c r="AE145" i="5"/>
  <c r="AG145" i="5" s="1"/>
  <c r="AF25" i="5"/>
  <c r="AG25" i="5" s="1"/>
  <c r="AF163" i="5"/>
  <c r="AG163" i="5" s="1"/>
  <c r="AK163" i="5" s="1"/>
  <c r="AE182" i="5"/>
  <c r="AG182" i="5" s="1"/>
  <c r="AF69" i="5"/>
  <c r="AG69" i="5" s="1"/>
  <c r="AF139" i="5"/>
  <c r="AG139" i="5" s="1"/>
  <c r="AF74" i="5"/>
  <c r="AG74" i="5" s="1"/>
  <c r="AE180" i="5"/>
  <c r="AG180" i="5" s="1"/>
  <c r="AI180" i="5" s="1"/>
  <c r="AF534" i="5"/>
  <c r="AG534" i="5" s="1"/>
  <c r="AK534" i="5" s="1"/>
  <c r="AE560" i="5"/>
  <c r="AG560" i="5" s="1"/>
  <c r="AJ560" i="5" s="1"/>
  <c r="AE171" i="5"/>
  <c r="AG171" i="5" s="1"/>
  <c r="AE285" i="5"/>
  <c r="AG285" i="5" s="1"/>
  <c r="AJ285" i="5" s="1"/>
  <c r="AE228" i="5"/>
  <c r="AG228" i="5" s="1"/>
  <c r="AF159" i="5"/>
  <c r="AG159" i="5" s="1"/>
  <c r="AK159" i="5" s="1"/>
  <c r="AE235" i="5"/>
  <c r="AG235" i="5" s="1"/>
  <c r="AE548" i="5"/>
  <c r="AG548" i="5" s="1"/>
  <c r="AI548" i="5" s="1"/>
  <c r="AE303" i="5"/>
  <c r="AG303" i="5" s="1"/>
  <c r="AE149" i="5"/>
  <c r="AG149" i="5" s="1"/>
  <c r="AJ149" i="5" s="1"/>
  <c r="AK40" i="5"/>
  <c r="AE357" i="5"/>
  <c r="AG357" i="5" s="1"/>
  <c r="AJ357" i="5" s="1"/>
  <c r="AE406" i="5"/>
  <c r="AG406" i="5" s="1"/>
  <c r="AK406" i="5" s="1"/>
  <c r="AE257" i="5"/>
  <c r="AG257" i="5" s="1"/>
  <c r="AE272" i="5"/>
  <c r="AG272" i="5" s="1"/>
  <c r="AK272" i="5" s="1"/>
  <c r="AE26" i="5"/>
  <c r="AG26" i="5" s="1"/>
  <c r="AE388" i="5"/>
  <c r="AG388" i="5" s="1"/>
  <c r="AK388" i="5" s="1"/>
  <c r="AK88" i="5"/>
  <c r="AI88" i="5"/>
  <c r="AJ88" i="5"/>
  <c r="AG327" i="5"/>
  <c r="AK327" i="5" s="1"/>
  <c r="AE296" i="5"/>
  <c r="AG296" i="5" s="1"/>
  <c r="AI296" i="5" s="1"/>
  <c r="AG328" i="5"/>
  <c r="AK328" i="5" s="1"/>
  <c r="AE557" i="5"/>
  <c r="AG557" i="5" s="1"/>
  <c r="AI557" i="5" s="1"/>
  <c r="AF498" i="5"/>
  <c r="AG498" i="5" s="1"/>
  <c r="AE423" i="5"/>
  <c r="AG423" i="5" s="1"/>
  <c r="AF491" i="5"/>
  <c r="AG491" i="5" s="1"/>
  <c r="AF350" i="5"/>
  <c r="AG350" i="5" s="1"/>
  <c r="AJ350" i="5" s="1"/>
  <c r="AG209" i="5"/>
  <c r="AI209" i="5" s="1"/>
  <c r="AE574" i="5"/>
  <c r="AG574" i="5" s="1"/>
  <c r="AE168" i="5"/>
  <c r="AG168" i="5" s="1"/>
  <c r="AF234" i="5"/>
  <c r="AG234" i="5" s="1"/>
  <c r="AE262" i="5"/>
  <c r="AG262" i="5" s="1"/>
  <c r="AI262" i="5" s="1"/>
  <c r="AE278" i="5"/>
  <c r="AG278" i="5" s="1"/>
  <c r="AE84" i="5"/>
  <c r="AG84" i="5" s="1"/>
  <c r="AK84" i="5" s="1"/>
  <c r="AE396" i="5"/>
  <c r="AG396" i="5" s="1"/>
  <c r="AE477" i="5"/>
  <c r="AG477" i="5" s="1"/>
  <c r="AI477" i="5" s="1"/>
  <c r="AE305" i="5"/>
  <c r="AG305" i="5" s="1"/>
  <c r="AI305" i="5" s="1"/>
  <c r="AF441" i="5"/>
  <c r="AG441" i="5" s="1"/>
  <c r="AE41" i="5"/>
  <c r="AG41" i="5" s="1"/>
  <c r="AI41" i="5" s="1"/>
  <c r="AG236" i="5"/>
  <c r="AK236" i="5" s="1"/>
  <c r="AG572" i="5"/>
  <c r="AK572" i="5" s="1"/>
  <c r="AE55" i="5"/>
  <c r="AG55" i="5" s="1"/>
  <c r="AK55" i="5" s="1"/>
  <c r="AE24" i="5"/>
  <c r="AG24" i="5" s="1"/>
  <c r="AF545" i="5"/>
  <c r="AG545" i="5" s="1"/>
  <c r="AF313" i="5"/>
  <c r="AG313" i="5" s="1"/>
  <c r="AE434" i="5"/>
  <c r="AG434" i="5" s="1"/>
  <c r="AE323" i="5"/>
  <c r="AG323" i="5" s="1"/>
  <c r="AJ104" i="5"/>
  <c r="AF16" i="5"/>
  <c r="AG16" i="5" s="1"/>
  <c r="AJ16" i="5" s="1"/>
  <c r="AF274" i="5"/>
  <c r="AG274" i="5" s="1"/>
  <c r="AF79" i="5"/>
  <c r="AG79" i="5" s="1"/>
  <c r="AI79" i="5" s="1"/>
  <c r="AE118" i="5"/>
  <c r="AG118" i="5" s="1"/>
  <c r="AJ118" i="5" s="1"/>
  <c r="AG561" i="5"/>
  <c r="AI561" i="5" s="1"/>
  <c r="AI104" i="5"/>
  <c r="J12" i="7"/>
  <c r="AJ40" i="5"/>
  <c r="AG322" i="5"/>
  <c r="AI322" i="5" s="1"/>
  <c r="AG179" i="5"/>
  <c r="AJ179" i="5" s="1"/>
  <c r="AF65" i="5"/>
  <c r="AG65" i="5" s="1"/>
  <c r="AK216" i="5"/>
  <c r="AJ216" i="5"/>
  <c r="AF306" i="5"/>
  <c r="AG306" i="5" s="1"/>
  <c r="AE571" i="5"/>
  <c r="AG571" i="5" s="1"/>
  <c r="AI571" i="5" s="1"/>
  <c r="AG523" i="5"/>
  <c r="AI523" i="5" s="1"/>
  <c r="AG165" i="5"/>
  <c r="AJ165" i="5" s="1"/>
  <c r="AF407" i="5"/>
  <c r="AG407" i="5" s="1"/>
  <c r="AK407" i="5" s="1"/>
  <c r="AG341" i="5"/>
  <c r="AJ341" i="5" s="1"/>
  <c r="AG500" i="5"/>
  <c r="AK500" i="5" s="1"/>
  <c r="AG499" i="5"/>
  <c r="AK499" i="5" s="1"/>
  <c r="AK532" i="5"/>
  <c r="AJ532" i="5"/>
  <c r="AG486" i="5"/>
  <c r="AI486" i="5" s="1"/>
  <c r="AF27" i="5"/>
  <c r="AG27" i="5" s="1"/>
  <c r="AF110" i="5"/>
  <c r="AG110" i="5" s="1"/>
  <c r="AG250" i="5"/>
  <c r="AK250" i="5" s="1"/>
  <c r="AF512" i="5"/>
  <c r="AG512" i="5" s="1"/>
  <c r="AI36" i="5"/>
  <c r="AG265" i="5"/>
  <c r="AK265" i="5" s="1"/>
  <c r="AE493" i="5"/>
  <c r="AG493" i="5" s="1"/>
  <c r="AK493" i="5" s="1"/>
  <c r="AG459" i="5"/>
  <c r="AI459" i="5" s="1"/>
  <c r="AE51" i="5"/>
  <c r="AG51" i="5" s="1"/>
  <c r="AK51" i="5" s="1"/>
  <c r="AG325" i="5"/>
  <c r="AJ325" i="5" s="1"/>
  <c r="AE371" i="5"/>
  <c r="AG371" i="5" s="1"/>
  <c r="AI371" i="5" s="1"/>
  <c r="AG166" i="5"/>
  <c r="AJ166" i="5" s="1"/>
  <c r="AF471" i="5"/>
  <c r="AG471" i="5" s="1"/>
  <c r="AJ471" i="5" s="1"/>
  <c r="AJ113" i="5"/>
  <c r="AG136" i="5"/>
  <c r="AK136" i="5" s="1"/>
  <c r="AG94" i="5"/>
  <c r="AK94" i="5" s="1"/>
  <c r="AE517" i="5"/>
  <c r="AG517" i="5" s="1"/>
  <c r="AG103" i="5"/>
  <c r="AJ103" i="5" s="1"/>
  <c r="AF568" i="5"/>
  <c r="AG568" i="5" s="1"/>
  <c r="AJ568" i="5" s="1"/>
  <c r="AI113" i="5"/>
  <c r="AE147" i="5"/>
  <c r="AF147" i="5"/>
  <c r="AE505" i="5"/>
  <c r="AG505" i="5" s="1"/>
  <c r="AE192" i="5"/>
  <c r="AG192" i="5" s="1"/>
  <c r="AK192" i="5" s="1"/>
  <c r="AG126" i="5"/>
  <c r="AI126" i="5" s="1"/>
  <c r="AE386" i="5"/>
  <c r="AG386" i="5" s="1"/>
  <c r="AF307" i="5"/>
  <c r="AG307" i="5" s="1"/>
  <c r="AI307" i="5" s="1"/>
  <c r="AI9" i="5"/>
  <c r="AF481" i="5"/>
  <c r="AG481" i="5" s="1"/>
  <c r="AK481" i="5" s="1"/>
  <c r="AG509" i="5"/>
  <c r="AI509" i="5" s="1"/>
  <c r="AK9" i="5"/>
  <c r="AG425" i="5"/>
  <c r="AK425" i="5" s="1"/>
  <c r="AG354" i="5"/>
  <c r="AK354" i="5" s="1"/>
  <c r="AG334" i="5"/>
  <c r="AK334" i="5" s="1"/>
  <c r="AK122" i="5"/>
  <c r="AI122" i="5"/>
  <c r="AJ122" i="5"/>
  <c r="AK211" i="5"/>
  <c r="AI211" i="5"/>
  <c r="AJ211" i="5"/>
  <c r="AJ3" i="5"/>
  <c r="AK3" i="5"/>
  <c r="AI3" i="5"/>
  <c r="AJ72" i="5"/>
  <c r="AI72" i="5"/>
  <c r="AK72" i="5"/>
  <c r="AF242" i="5"/>
  <c r="AG242" i="5" s="1"/>
  <c r="AG14" i="5"/>
  <c r="AK14" i="5" s="1"/>
  <c r="AE85" i="5"/>
  <c r="AG85" i="5" s="1"/>
  <c r="AK85" i="5" s="1"/>
  <c r="AF552" i="5"/>
  <c r="AG552" i="5" s="1"/>
  <c r="AE275" i="5"/>
  <c r="AF275" i="5"/>
  <c r="AG401" i="5"/>
  <c r="AK401" i="5" s="1"/>
  <c r="AE52" i="5"/>
  <c r="AG52" i="5" s="1"/>
  <c r="AF68" i="5"/>
  <c r="AG68" i="5" s="1"/>
  <c r="AE240" i="5"/>
  <c r="AG240" i="5" s="1"/>
  <c r="AG294" i="5"/>
  <c r="AJ294" i="5" s="1"/>
  <c r="AG30" i="5"/>
  <c r="AK30" i="5" s="1"/>
  <c r="AG576" i="5"/>
  <c r="AJ576" i="5" s="1"/>
  <c r="AG424" i="5"/>
  <c r="AI424" i="5" s="1"/>
  <c r="AG283" i="5"/>
  <c r="AK283" i="5" s="1"/>
  <c r="AI216" i="5"/>
  <c r="AG358" i="5"/>
  <c r="AJ358" i="5" s="1"/>
  <c r="AG463" i="5"/>
  <c r="AK463" i="5" s="1"/>
  <c r="AF468" i="5"/>
  <c r="AG468" i="5" s="1"/>
  <c r="AK124" i="5"/>
  <c r="AE444" i="5"/>
  <c r="AG444" i="5" s="1"/>
  <c r="AJ444" i="5" s="1"/>
  <c r="AE413" i="5"/>
  <c r="AG413" i="5" s="1"/>
  <c r="AF315" i="5"/>
  <c r="AG315" i="5" s="1"/>
  <c r="AI315" i="5" s="1"/>
  <c r="AE87" i="5"/>
  <c r="AG87" i="5" s="1"/>
  <c r="AG225" i="5"/>
  <c r="AI225" i="5" s="1"/>
  <c r="AE317" i="5"/>
  <c r="AG317" i="5" s="1"/>
  <c r="AK317" i="5" s="1"/>
  <c r="AF101" i="5"/>
  <c r="AG101" i="5" s="1"/>
  <c r="AK101" i="5" s="1"/>
  <c r="AG70" i="5"/>
  <c r="AK70" i="5" s="1"/>
  <c r="AG487" i="5"/>
  <c r="AJ487" i="5" s="1"/>
  <c r="AG465" i="5"/>
  <c r="AK465" i="5" s="1"/>
  <c r="AF196" i="5"/>
  <c r="AE196" i="5"/>
  <c r="AE497" i="5"/>
  <c r="AG497" i="5" s="1"/>
  <c r="AK497" i="5" s="1"/>
  <c r="AE374" i="5"/>
  <c r="AG374" i="5" s="1"/>
  <c r="AJ374" i="5" s="1"/>
  <c r="AG148" i="5"/>
  <c r="AE364" i="5"/>
  <c r="AF364" i="5"/>
  <c r="AG280" i="5"/>
  <c r="AK280" i="5" s="1"/>
  <c r="AE13" i="5"/>
  <c r="AG13" i="5" s="1"/>
  <c r="AE513" i="5"/>
  <c r="AG513" i="5" s="1"/>
  <c r="AE39" i="5"/>
  <c r="AF39" i="5"/>
  <c r="AF288" i="5"/>
  <c r="AG288" i="5" s="1"/>
  <c r="AJ288" i="5" s="1"/>
  <c r="AE320" i="5"/>
  <c r="AG320" i="5" s="1"/>
  <c r="AE20" i="5"/>
  <c r="AG20" i="5" s="1"/>
  <c r="AG217" i="5"/>
  <c r="AK217" i="5" s="1"/>
  <c r="AG496" i="5"/>
  <c r="AK496" i="5" s="1"/>
  <c r="AF442" i="5"/>
  <c r="AG442" i="5" s="1"/>
  <c r="AE91" i="5"/>
  <c r="AG91" i="5" s="1"/>
  <c r="AJ91" i="5" s="1"/>
  <c r="AE22" i="5"/>
  <c r="AG22" i="5" s="1"/>
  <c r="AI22" i="5" s="1"/>
  <c r="AE203" i="5"/>
  <c r="AG203" i="5" s="1"/>
  <c r="AI203" i="5" s="1"/>
  <c r="AE266" i="5"/>
  <c r="AG266" i="5" s="1"/>
  <c r="AE551" i="5"/>
  <c r="AG551" i="5" s="1"/>
  <c r="AK551" i="5" s="1"/>
  <c r="AF7" i="5"/>
  <c r="AG7" i="5" s="1"/>
  <c r="AG245" i="5"/>
  <c r="AK245" i="5" s="1"/>
  <c r="AG544" i="5"/>
  <c r="AJ544" i="5" s="1"/>
  <c r="AG160" i="5"/>
  <c r="AE105" i="5"/>
  <c r="AG105" i="5" s="1"/>
  <c r="AJ105" i="5" s="1"/>
  <c r="AG447" i="5"/>
  <c r="AJ447" i="5" s="1"/>
  <c r="AE44" i="5"/>
  <c r="AF44" i="5"/>
  <c r="AG254" i="5"/>
  <c r="AJ254" i="5" s="1"/>
  <c r="AF538" i="5"/>
  <c r="AG538" i="5" s="1"/>
  <c r="AF81" i="5"/>
  <c r="AG81" i="5" s="1"/>
  <c r="AJ81" i="5" s="1"/>
  <c r="AE75" i="5"/>
  <c r="AG75" i="5" s="1"/>
  <c r="AJ75" i="5" s="1"/>
  <c r="AE76" i="5"/>
  <c r="AG76" i="5" s="1"/>
  <c r="AK76" i="5" s="1"/>
  <c r="AG12" i="5"/>
  <c r="AK12" i="5" s="1"/>
  <c r="AG96" i="5"/>
  <c r="AJ96" i="5" s="1"/>
  <c r="AG462" i="5"/>
  <c r="AK462" i="5" s="1"/>
  <c r="AG437" i="5"/>
  <c r="AK437" i="5" s="1"/>
  <c r="AF253" i="5"/>
  <c r="AE253" i="5"/>
  <c r="AJ28" i="5"/>
  <c r="AI28" i="5"/>
  <c r="AK28" i="5"/>
  <c r="AE247" i="5"/>
  <c r="AG247" i="5" s="1"/>
  <c r="AJ247" i="5" s="1"/>
  <c r="AF33" i="5"/>
  <c r="AE33" i="5"/>
  <c r="AG2" i="5"/>
  <c r="AG38" i="5"/>
  <c r="AK38" i="5" s="1"/>
  <c r="AG383" i="5"/>
  <c r="AJ383" i="5" s="1"/>
  <c r="AG430" i="5"/>
  <c r="AK430" i="5" s="1"/>
  <c r="AG176" i="5"/>
  <c r="AK176" i="5" s="1"/>
  <c r="AG453" i="5"/>
  <c r="AI453" i="5" s="1"/>
  <c r="AG366" i="5"/>
  <c r="AK366" i="5" s="1"/>
  <c r="AG233" i="5"/>
  <c r="AJ233" i="5" s="1"/>
  <c r="AG223" i="5"/>
  <c r="AJ223" i="5" s="1"/>
  <c r="AG346" i="5"/>
  <c r="AJ346" i="5" s="1"/>
  <c r="AE35" i="5"/>
  <c r="AF35" i="5"/>
  <c r="AG298" i="5"/>
  <c r="AK298" i="5" s="1"/>
  <c r="AG260" i="5"/>
  <c r="AK260" i="5" s="1"/>
  <c r="AG429" i="5"/>
  <c r="AK429" i="5" s="1"/>
  <c r="AG558" i="5"/>
  <c r="AI558" i="5" s="1"/>
  <c r="AG426" i="5"/>
  <c r="AI426" i="5" s="1"/>
  <c r="AG128" i="5"/>
  <c r="AG80" i="5"/>
  <c r="AK80" i="5" s="1"/>
  <c r="AG361" i="5"/>
  <c r="AJ361" i="5" s="1"/>
  <c r="AG312" i="5"/>
  <c r="AJ312" i="5" s="1"/>
  <c r="AG474" i="5"/>
  <c r="AI474" i="5" s="1"/>
  <c r="AG347" i="5"/>
  <c r="AJ347" i="5" s="1"/>
  <c r="AF194" i="5"/>
  <c r="AG194" i="5" s="1"/>
  <c r="AG99" i="5"/>
  <c r="AI99" i="5" s="1"/>
  <c r="AG519" i="5"/>
  <c r="AI519" i="5" s="1"/>
  <c r="AG177" i="5"/>
  <c r="AJ177" i="5" s="1"/>
  <c r="AF373" i="5"/>
  <c r="AG373" i="5" s="1"/>
  <c r="AG267" i="5"/>
  <c r="AK267" i="5" s="1"/>
  <c r="AF8" i="5"/>
  <c r="AE8" i="5"/>
  <c r="AE92" i="5"/>
  <c r="AG92" i="5" s="1"/>
  <c r="AJ92" i="5" s="1"/>
  <c r="AE412" i="5"/>
  <c r="AG412" i="5" s="1"/>
  <c r="AE32" i="5"/>
  <c r="AG32" i="5" s="1"/>
  <c r="AJ32" i="5" s="1"/>
  <c r="AG146" i="5"/>
  <c r="AI146" i="5" s="1"/>
  <c r="AG309" i="5"/>
  <c r="AJ309" i="5" s="1"/>
  <c r="AG277" i="5"/>
  <c r="AK277" i="5" s="1"/>
  <c r="AG142" i="5"/>
  <c r="AJ142" i="5" s="1"/>
  <c r="AG483" i="5"/>
  <c r="AJ483" i="5" s="1"/>
  <c r="AG120" i="5"/>
  <c r="AI120" i="5" s="1"/>
  <c r="AG214" i="5"/>
  <c r="AJ214" i="5" s="1"/>
  <c r="AG241" i="5"/>
  <c r="AJ241" i="5" s="1"/>
  <c r="AG48" i="5"/>
  <c r="AJ48" i="5" s="1"/>
  <c r="AG470" i="5"/>
  <c r="AI470" i="5" s="1"/>
  <c r="AK36" i="5"/>
  <c r="AG227" i="5"/>
  <c r="AJ227" i="5" s="1"/>
  <c r="AG190" i="5"/>
  <c r="AJ190" i="5" s="1"/>
  <c r="AG352" i="5"/>
  <c r="AK352" i="5" s="1"/>
  <c r="AE457" i="5"/>
  <c r="AG457" i="5" s="1"/>
  <c r="AJ457" i="5" s="1"/>
  <c r="AG224" i="5"/>
  <c r="AK224" i="5" s="1"/>
  <c r="AG59" i="5"/>
  <c r="AJ59" i="5" s="1"/>
  <c r="AE197" i="5"/>
  <c r="AG197" i="5" s="1"/>
  <c r="AK197" i="5" s="1"/>
  <c r="AE543" i="5"/>
  <c r="AG543" i="5" s="1"/>
  <c r="AG98" i="5"/>
  <c r="AI98" i="5" s="1"/>
  <c r="AE539" i="5"/>
  <c r="AG539" i="5" s="1"/>
  <c r="AJ539" i="5" s="1"/>
  <c r="AG17" i="5"/>
  <c r="AI17" i="5" s="1"/>
  <c r="AG43" i="5"/>
  <c r="AK43" i="5" s="1"/>
  <c r="AG86" i="5"/>
  <c r="AJ86" i="5" s="1"/>
  <c r="AE510" i="5"/>
  <c r="AG510" i="5" s="1"/>
  <c r="AI510" i="5" s="1"/>
  <c r="AF393" i="5"/>
  <c r="AE393" i="5"/>
  <c r="AG339" i="5"/>
  <c r="AI339" i="5" s="1"/>
  <c r="AG391" i="5"/>
  <c r="AJ391" i="5" s="1"/>
  <c r="AG503" i="5"/>
  <c r="AJ503" i="5" s="1"/>
  <c r="AG210" i="5"/>
  <c r="AI210" i="5" s="1"/>
  <c r="AG452" i="5"/>
  <c r="AI452" i="5" s="1"/>
  <c r="AG137" i="5"/>
  <c r="AI137" i="5" s="1"/>
  <c r="AG56" i="5"/>
  <c r="AE490" i="5"/>
  <c r="AF490" i="5"/>
  <c r="AG348" i="5"/>
  <c r="AG6" i="5"/>
  <c r="AG71" i="5"/>
  <c r="AF554" i="5"/>
  <c r="AE554" i="5"/>
  <c r="AG336" i="5"/>
  <c r="AG21" i="5"/>
  <c r="AF144" i="5"/>
  <c r="AE144" i="5"/>
  <c r="AE42" i="5"/>
  <c r="AF42" i="5"/>
  <c r="AG131" i="5"/>
  <c r="AF199" i="5"/>
  <c r="AE199" i="5"/>
  <c r="AG514" i="5"/>
  <c r="AG246" i="5"/>
  <c r="AG232" i="5"/>
  <c r="AE141" i="5"/>
  <c r="AF141" i="5"/>
  <c r="AG170" i="5"/>
  <c r="AF527" i="5"/>
  <c r="AE527" i="5"/>
  <c r="AE466" i="5"/>
  <c r="AF466" i="5"/>
  <c r="AG143" i="5"/>
  <c r="AG536" i="5"/>
  <c r="AE295" i="5"/>
  <c r="AF295" i="5"/>
  <c r="AE494" i="5"/>
  <c r="AF494" i="5"/>
  <c r="AG484" i="5"/>
  <c r="AG530" i="5"/>
  <c r="AG226" i="5"/>
  <c r="AF455" i="5"/>
  <c r="AE455" i="5"/>
  <c r="AF193" i="5"/>
  <c r="AE193" i="5"/>
  <c r="AK301" i="5"/>
  <c r="AI301" i="5"/>
  <c r="AJ301" i="5"/>
  <c r="AG479" i="5"/>
  <c r="AE259" i="5"/>
  <c r="AF259" i="5"/>
  <c r="AG419" i="5"/>
  <c r="AF289" i="5"/>
  <c r="AE289" i="5"/>
  <c r="AG205" i="5"/>
  <c r="AE174" i="5"/>
  <c r="AF174" i="5"/>
  <c r="AG202" i="5"/>
  <c r="AF290" i="5"/>
  <c r="AE290" i="5"/>
  <c r="AG61" i="5"/>
  <c r="AF291" i="5"/>
  <c r="AE291" i="5"/>
  <c r="AF251" i="5"/>
  <c r="AE251" i="5"/>
  <c r="AE212" i="5"/>
  <c r="AF212" i="5"/>
  <c r="AF421" i="5"/>
  <c r="AE421" i="5"/>
  <c r="AE161" i="5"/>
  <c r="AF161" i="5"/>
  <c r="AE356" i="5"/>
  <c r="AF356" i="5"/>
  <c r="AG181" i="5"/>
  <c r="AK440" i="5"/>
  <c r="AJ440" i="5"/>
  <c r="AI440" i="5"/>
  <c r="AE164" i="5"/>
  <c r="AF164" i="5"/>
  <c r="AF443" i="5"/>
  <c r="AE443" i="5"/>
  <c r="AF155" i="5"/>
  <c r="AE155" i="5"/>
  <c r="AF504" i="5"/>
  <c r="AE504" i="5"/>
  <c r="AF398" i="5"/>
  <c r="AE398" i="5"/>
  <c r="AG186" i="5"/>
  <c r="AG77" i="5"/>
  <c r="AG132" i="5"/>
  <c r="AG60" i="5"/>
  <c r="AG378" i="5"/>
  <c r="AG102" i="5"/>
  <c r="AG319" i="5"/>
  <c r="AG431" i="5"/>
  <c r="AF555" i="5"/>
  <c r="AE555" i="5"/>
  <c r="AF222" i="5"/>
  <c r="AE222" i="5"/>
  <c r="AG292" i="5"/>
  <c r="AF284" i="5"/>
  <c r="AE284" i="5"/>
  <c r="AF566" i="5"/>
  <c r="AE566" i="5"/>
  <c r="AE472" i="5"/>
  <c r="AF472" i="5"/>
  <c r="AE564" i="5"/>
  <c r="AF564" i="5"/>
  <c r="AG438" i="5"/>
  <c r="AF467" i="5"/>
  <c r="AE467" i="5"/>
  <c r="AF559" i="5"/>
  <c r="AE559" i="5"/>
  <c r="AE23" i="5"/>
  <c r="AF23" i="5"/>
  <c r="AG90" i="5"/>
  <c r="AE331" i="5"/>
  <c r="AF331" i="5"/>
  <c r="AE5" i="5"/>
  <c r="AF5" i="5"/>
  <c r="AE397" i="5"/>
  <c r="AF397" i="5"/>
  <c r="AG66" i="5"/>
  <c r="AG158" i="5"/>
  <c r="AG385" i="5"/>
  <c r="AG297" i="5"/>
  <c r="AF31" i="5"/>
  <c r="AE31" i="5"/>
  <c r="AE207" i="5"/>
  <c r="AF207" i="5"/>
  <c r="AF300" i="5"/>
  <c r="AE300" i="5"/>
  <c r="AG46" i="5"/>
  <c r="AG109" i="5"/>
  <c r="AG520" i="5"/>
  <c r="AG134" i="5"/>
  <c r="AG436" i="5"/>
  <c r="AF45" i="5"/>
  <c r="AE45" i="5"/>
  <c r="AG476" i="5"/>
  <c r="AF229" i="5"/>
  <c r="AE229" i="5"/>
  <c r="AF127" i="5"/>
  <c r="AE127" i="5"/>
  <c r="AE273" i="5"/>
  <c r="AF273" i="5"/>
  <c r="AG489" i="5"/>
  <c r="AF200" i="5"/>
  <c r="AE200" i="5"/>
  <c r="AF206" i="5"/>
  <c r="AE206" i="5"/>
  <c r="AF269" i="5"/>
  <c r="AE269" i="5"/>
  <c r="AG402" i="5"/>
  <c r="AG248" i="5"/>
  <c r="AF321" i="5"/>
  <c r="AE321" i="5"/>
  <c r="AF515" i="5"/>
  <c r="AE515" i="5"/>
  <c r="AG562" i="5"/>
  <c r="AG473" i="5"/>
  <c r="AF508" i="5"/>
  <c r="AE508" i="5"/>
  <c r="AF114" i="5"/>
  <c r="AE114" i="5"/>
  <c r="AF417" i="5"/>
  <c r="AE417" i="5"/>
  <c r="AG359" i="5"/>
  <c r="AG195" i="5"/>
  <c r="AG540" i="5"/>
  <c r="AF299" i="5"/>
  <c r="AE299" i="5"/>
  <c r="AG365" i="5"/>
  <c r="AF311" i="5"/>
  <c r="AE311" i="5"/>
  <c r="AF367" i="5"/>
  <c r="AE367" i="5"/>
  <c r="AF129" i="5"/>
  <c r="AE129" i="5"/>
  <c r="AG276" i="5"/>
  <c r="AG478" i="5"/>
  <c r="AG83" i="5"/>
  <c r="AE556" i="5"/>
  <c r="AF556" i="5"/>
  <c r="AF117" i="5"/>
  <c r="AE117" i="5"/>
  <c r="AE550" i="5"/>
  <c r="AF550" i="5"/>
  <c r="AK191" i="5"/>
  <c r="AJ191" i="5"/>
  <c r="AI191" i="5"/>
  <c r="AF293" i="5"/>
  <c r="AE293" i="5"/>
  <c r="AF63" i="5"/>
  <c r="AE63" i="5"/>
  <c r="AF130" i="5"/>
  <c r="AE130" i="5"/>
  <c r="AG29" i="5"/>
  <c r="AE19" i="5"/>
  <c r="AF19" i="5"/>
  <c r="AE133" i="5"/>
  <c r="AF133" i="5"/>
  <c r="AF10" i="5"/>
  <c r="AE10" i="5"/>
  <c r="AE533" i="5"/>
  <c r="AF533" i="5"/>
  <c r="AG563" i="5"/>
  <c r="AG369" i="5"/>
  <c r="AG488" i="5"/>
  <c r="AE47" i="5"/>
  <c r="AF47" i="5"/>
  <c r="AF482" i="5"/>
  <c r="AE482" i="5"/>
  <c r="AE418" i="5"/>
  <c r="AF418" i="5"/>
  <c r="AE255" i="5"/>
  <c r="AF255" i="5"/>
  <c r="AG541" i="5"/>
  <c r="AE62" i="5"/>
  <c r="AF62" i="5"/>
  <c r="AF18" i="5"/>
  <c r="AE18" i="5"/>
  <c r="AG547" i="5"/>
  <c r="AF218" i="5"/>
  <c r="AE218" i="5"/>
  <c r="AF460" i="5"/>
  <c r="AE460" i="5"/>
  <c r="AE112" i="5"/>
  <c r="AF112" i="5"/>
  <c r="AG282" i="5"/>
  <c r="AG316" i="5"/>
  <c r="AG409" i="5"/>
  <c r="AG155" i="5" l="1"/>
  <c r="AJ108" i="5"/>
  <c r="AK108" i="5"/>
  <c r="AJ318" i="5"/>
  <c r="AI318" i="5"/>
  <c r="AG367" i="5"/>
  <c r="AJ367" i="5" s="1"/>
  <c r="AG504" i="5"/>
  <c r="AJ504" i="5" s="1"/>
  <c r="AG199" i="5"/>
  <c r="AK199" i="5" s="1"/>
  <c r="AG129" i="5"/>
  <c r="AI129" i="5" s="1"/>
  <c r="AJ237" i="5"/>
  <c r="AK237" i="5"/>
  <c r="AG293" i="5"/>
  <c r="AK293" i="5" s="1"/>
  <c r="AG8" i="5"/>
  <c r="AK8" i="5" s="1"/>
  <c r="AK173" i="5"/>
  <c r="AK475" i="5"/>
  <c r="AG460" i="5"/>
  <c r="AJ460" i="5" s="1"/>
  <c r="AI279" i="5"/>
  <c r="AJ279" i="5"/>
  <c r="AI391" i="5"/>
  <c r="AK198" i="5"/>
  <c r="AK390" i="5"/>
  <c r="AJ34" i="5"/>
  <c r="AI390" i="5"/>
  <c r="AK34" i="5"/>
  <c r="AK391" i="5"/>
  <c r="AI475" i="5"/>
  <c r="AK528" i="5"/>
  <c r="AJ49" i="5"/>
  <c r="AJ404" i="5"/>
  <c r="AI404" i="5"/>
  <c r="AK404" i="5"/>
  <c r="AJ432" i="5"/>
  <c r="AK432" i="5"/>
  <c r="AI432" i="5"/>
  <c r="AI204" i="5"/>
  <c r="AJ204" i="5"/>
  <c r="AJ107" i="5"/>
  <c r="AJ80" i="5"/>
  <c r="AJ213" i="5"/>
  <c r="AI213" i="5"/>
  <c r="AI188" i="5"/>
  <c r="AJ121" i="5"/>
  <c r="AI121" i="5"/>
  <c r="AJ198" i="5"/>
  <c r="AI382" i="5"/>
  <c r="AJ382" i="5"/>
  <c r="AI522" i="5"/>
  <c r="AI528" i="5"/>
  <c r="AI394" i="5"/>
  <c r="AK394" i="5"/>
  <c r="AJ394" i="5"/>
  <c r="AJ525" i="5"/>
  <c r="AI162" i="5"/>
  <c r="AK162" i="5"/>
  <c r="AJ329" i="5"/>
  <c r="AK329" i="5"/>
  <c r="AI366" i="5"/>
  <c r="AJ376" i="5"/>
  <c r="AI49" i="5"/>
  <c r="AJ366" i="5"/>
  <c r="AI376" i="5"/>
  <c r="AK525" i="5"/>
  <c r="AI570" i="5"/>
  <c r="AK570" i="5"/>
  <c r="AI325" i="5"/>
  <c r="AG229" i="5"/>
  <c r="AI229" i="5" s="1"/>
  <c r="AJ178" i="5"/>
  <c r="AK178" i="5"/>
  <c r="AI565" i="5"/>
  <c r="AJ565" i="5"/>
  <c r="AJ458" i="5"/>
  <c r="AI458" i="5"/>
  <c r="AK458" i="5"/>
  <c r="AJ304" i="5"/>
  <c r="AK304" i="5"/>
  <c r="AI304" i="5"/>
  <c r="AK342" i="5"/>
  <c r="AJ342" i="5"/>
  <c r="AK11" i="5"/>
  <c r="AJ506" i="5"/>
  <c r="AK219" i="5"/>
  <c r="AK403" i="5"/>
  <c r="AJ258" i="5"/>
  <c r="AI506" i="5"/>
  <c r="AI381" i="5"/>
  <c r="AK262" i="5"/>
  <c r="AI258" i="5"/>
  <c r="AI80" i="5"/>
  <c r="AJ262" i="5"/>
  <c r="AK100" i="5"/>
  <c r="AJ420" i="5"/>
  <c r="AG10" i="5"/>
  <c r="AI10" i="5" s="1"/>
  <c r="AI57" i="5"/>
  <c r="AJ57" i="5"/>
  <c r="AK57" i="5"/>
  <c r="AI302" i="5"/>
  <c r="AK302" i="5"/>
  <c r="AJ302" i="5"/>
  <c r="AI542" i="5"/>
  <c r="AK107" i="5"/>
  <c r="AI100" i="5"/>
  <c r="AK381" i="5"/>
  <c r="AK188" i="5"/>
  <c r="AK569" i="5"/>
  <c r="AJ322" i="5"/>
  <c r="AJ11" i="5"/>
  <c r="AJ163" i="5"/>
  <c r="AJ219" i="5"/>
  <c r="AI163" i="5"/>
  <c r="AI4" i="5"/>
  <c r="AK450" i="5"/>
  <c r="AJ225" i="5"/>
  <c r="AK512" i="5"/>
  <c r="AK4" i="5"/>
  <c r="AJ173" i="5"/>
  <c r="AI403" i="5"/>
  <c r="AJ355" i="5"/>
  <c r="AI411" i="5"/>
  <c r="AI54" i="5"/>
  <c r="AI345" i="5"/>
  <c r="AK345" i="5"/>
  <c r="AK175" i="5"/>
  <c r="AJ450" i="5"/>
  <c r="AJ395" i="5"/>
  <c r="AK411" i="5"/>
  <c r="AI395" i="5"/>
  <c r="AJ54" i="5"/>
  <c r="AI355" i="5"/>
  <c r="AK516" i="5"/>
  <c r="AG253" i="5"/>
  <c r="AI253" i="5" s="1"/>
  <c r="AK171" i="5"/>
  <c r="AJ171" i="5"/>
  <c r="AI171" i="5"/>
  <c r="AJ327" i="5"/>
  <c r="AG130" i="5"/>
  <c r="AK130" i="5" s="1"/>
  <c r="AJ542" i="5"/>
  <c r="AI327" i="5"/>
  <c r="AG289" i="5"/>
  <c r="AK289" i="5" s="1"/>
  <c r="AI572" i="5"/>
  <c r="AK370" i="5"/>
  <c r="AI38" i="5"/>
  <c r="AG144" i="5"/>
  <c r="AI144" i="5" s="1"/>
  <c r="AK415" i="5"/>
  <c r="AJ78" i="5"/>
  <c r="AJ82" i="5"/>
  <c r="AK238" i="5"/>
  <c r="AJ415" i="5"/>
  <c r="AI82" i="5"/>
  <c r="AI179" i="5"/>
  <c r="AK179" i="5"/>
  <c r="AI178" i="5"/>
  <c r="AK420" i="5"/>
  <c r="AJ522" i="5"/>
  <c r="AI51" i="5"/>
  <c r="AI32" i="5"/>
  <c r="AI569" i="5"/>
  <c r="AJ51" i="5"/>
  <c r="AK32" i="5"/>
  <c r="AJ328" i="5"/>
  <c r="AI501" i="5"/>
  <c r="AK426" i="5"/>
  <c r="AK95" i="5"/>
  <c r="AK123" i="5"/>
  <c r="AJ495" i="5"/>
  <c r="AG482" i="5"/>
  <c r="AK482" i="5" s="1"/>
  <c r="AK214" i="5"/>
  <c r="AG45" i="5"/>
  <c r="AI45" i="5" s="1"/>
  <c r="AK459" i="5"/>
  <c r="AK501" i="5"/>
  <c r="AI400" i="5"/>
  <c r="AJ426" i="5"/>
  <c r="AI123" i="5"/>
  <c r="AJ38" i="5"/>
  <c r="AG251" i="5"/>
  <c r="AK251" i="5" s="1"/>
  <c r="AK546" i="5"/>
  <c r="AJ546" i="5"/>
  <c r="AI546" i="5"/>
  <c r="AI344" i="5"/>
  <c r="AK344" i="5"/>
  <c r="AJ344" i="5"/>
  <c r="AI139" i="5"/>
  <c r="AJ139" i="5"/>
  <c r="AK139" i="5"/>
  <c r="AJ343" i="5"/>
  <c r="AK189" i="5"/>
  <c r="AK523" i="5"/>
  <c r="AJ250" i="5"/>
  <c r="AI463" i="5"/>
  <c r="AI340" i="5"/>
  <c r="AJ524" i="5"/>
  <c r="AI136" i="5"/>
  <c r="AJ424" i="5"/>
  <c r="AK340" i="5"/>
  <c r="AI283" i="5"/>
  <c r="AJ136" i="5"/>
  <c r="AK151" i="5"/>
  <c r="AJ360" i="5"/>
  <c r="AI497" i="5"/>
  <c r="AI157" i="5"/>
  <c r="AK126" i="5"/>
  <c r="AI151" i="5"/>
  <c r="AJ502" i="5"/>
  <c r="AK360" i="5"/>
  <c r="AJ159" i="5"/>
  <c r="AI388" i="5"/>
  <c r="AI524" i="5"/>
  <c r="AJ209" i="5"/>
  <c r="AI495" i="5"/>
  <c r="AI328" i="5"/>
  <c r="AJ497" i="5"/>
  <c r="AK157" i="5"/>
  <c r="AJ126" i="5"/>
  <c r="AK502" i="5"/>
  <c r="AI503" i="5"/>
  <c r="AI159" i="5"/>
  <c r="AJ523" i="5"/>
  <c r="AI75" i="5"/>
  <c r="AI539" i="5"/>
  <c r="AJ388" i="5"/>
  <c r="AJ463" i="5"/>
  <c r="AK424" i="5"/>
  <c r="AJ236" i="5"/>
  <c r="AI236" i="5"/>
  <c r="AK503" i="5"/>
  <c r="AJ462" i="5"/>
  <c r="AK209" i="5"/>
  <c r="AJ283" i="5"/>
  <c r="AI526" i="5"/>
  <c r="AI94" i="5"/>
  <c r="AJ459" i="5"/>
  <c r="AJ486" i="5"/>
  <c r="AJ76" i="5"/>
  <c r="AJ307" i="5"/>
  <c r="AJ526" i="5"/>
  <c r="AG117" i="5"/>
  <c r="AJ117" i="5" s="1"/>
  <c r="AJ94" i="5"/>
  <c r="AI12" i="5"/>
  <c r="AG290" i="5"/>
  <c r="AJ290" i="5" s="1"/>
  <c r="AK486" i="5"/>
  <c r="AI76" i="5"/>
  <c r="AI156" i="5"/>
  <c r="AI462" i="5"/>
  <c r="AK120" i="5"/>
  <c r="AJ12" i="5"/>
  <c r="AI238" i="5"/>
  <c r="AG127" i="5"/>
  <c r="AI127" i="5" s="1"/>
  <c r="AK477" i="5"/>
  <c r="AI538" i="5"/>
  <c r="AJ538" i="5"/>
  <c r="AK538" i="5"/>
  <c r="AK545" i="5"/>
  <c r="AJ545" i="5"/>
  <c r="AI545" i="5"/>
  <c r="AI65" i="5"/>
  <c r="AJ65" i="5"/>
  <c r="AK65" i="5"/>
  <c r="AJ441" i="5"/>
  <c r="AK441" i="5"/>
  <c r="AI441" i="5"/>
  <c r="AK278" i="5"/>
  <c r="AJ278" i="5"/>
  <c r="AK491" i="5"/>
  <c r="AJ491" i="5"/>
  <c r="AI491" i="5"/>
  <c r="AK434" i="5"/>
  <c r="AI434" i="5"/>
  <c r="AJ434" i="5"/>
  <c r="AK565" i="5"/>
  <c r="AK225" i="5"/>
  <c r="AI165" i="5"/>
  <c r="AJ287" i="5"/>
  <c r="AK165" i="5"/>
  <c r="AK75" i="5"/>
  <c r="AJ372" i="5"/>
  <c r="AI287" i="5"/>
  <c r="AK166" i="5"/>
  <c r="AI135" i="5"/>
  <c r="AJ572" i="5"/>
  <c r="AJ115" i="5"/>
  <c r="AI401" i="5"/>
  <c r="AK372" i="5"/>
  <c r="AI166" i="5"/>
  <c r="AK91" i="5"/>
  <c r="AJ245" i="5"/>
  <c r="AJ516" i="5"/>
  <c r="AK383" i="5"/>
  <c r="AI280" i="5"/>
  <c r="AI370" i="5"/>
  <c r="AK560" i="5"/>
  <c r="AI192" i="5"/>
  <c r="AK427" i="5"/>
  <c r="AK92" i="5"/>
  <c r="AJ280" i="5"/>
  <c r="AK410" i="5"/>
  <c r="AJ24" i="5"/>
  <c r="AI24" i="5"/>
  <c r="AI15" i="5"/>
  <c r="AJ15" i="5"/>
  <c r="AI560" i="5"/>
  <c r="AJ427" i="5"/>
  <c r="AI92" i="5"/>
  <c r="AJ298" i="5"/>
  <c r="AG206" i="5"/>
  <c r="AK206" i="5" s="1"/>
  <c r="AI534" i="5"/>
  <c r="AK285" i="5"/>
  <c r="AJ561" i="5"/>
  <c r="AK322" i="5"/>
  <c r="AK239" i="5"/>
  <c r="AI172" i="5"/>
  <c r="AJ192" i="5"/>
  <c r="AI341" i="5"/>
  <c r="AI363" i="5"/>
  <c r="AI383" i="5"/>
  <c r="AJ55" i="5"/>
  <c r="AI285" i="5"/>
  <c r="AI347" i="5"/>
  <c r="AK341" i="5"/>
  <c r="AJ363" i="5"/>
  <c r="AJ534" i="5"/>
  <c r="AK561" i="5"/>
  <c r="AI374" i="5"/>
  <c r="AJ239" i="5"/>
  <c r="AK172" i="5"/>
  <c r="AI175" i="5"/>
  <c r="AK307" i="5"/>
  <c r="AI55" i="5"/>
  <c r="AG196" i="5"/>
  <c r="AJ196" i="5" s="1"/>
  <c r="AK24" i="5"/>
  <c r="AI505" i="5"/>
  <c r="AK505" i="5"/>
  <c r="AJ505" i="5"/>
  <c r="AJ110" i="5"/>
  <c r="AK110" i="5"/>
  <c r="AI110" i="5"/>
  <c r="AI306" i="5"/>
  <c r="AK306" i="5"/>
  <c r="AJ306" i="5"/>
  <c r="AJ27" i="5"/>
  <c r="AI27" i="5"/>
  <c r="AI244" i="5"/>
  <c r="AG18" i="5"/>
  <c r="AJ18" i="5" s="1"/>
  <c r="AI43" i="5"/>
  <c r="AK244" i="5"/>
  <c r="AG147" i="5"/>
  <c r="AG299" i="5"/>
  <c r="AI299" i="5" s="1"/>
  <c r="AK325" i="5"/>
  <c r="AJ400" i="5"/>
  <c r="AI95" i="5"/>
  <c r="AK247" i="5"/>
  <c r="AI465" i="5"/>
  <c r="AI354" i="5"/>
  <c r="AJ465" i="5"/>
  <c r="AJ518" i="5"/>
  <c r="AJ64" i="5"/>
  <c r="AJ70" i="5"/>
  <c r="AK48" i="5"/>
  <c r="AI70" i="5"/>
  <c r="AI375" i="5"/>
  <c r="AI358" i="5"/>
  <c r="AJ354" i="5"/>
  <c r="AJ481" i="5"/>
  <c r="AI499" i="5"/>
  <c r="AI518" i="5"/>
  <c r="AI247" i="5"/>
  <c r="AK64" i="5"/>
  <c r="AJ79" i="5"/>
  <c r="AK135" i="5"/>
  <c r="AK539" i="5"/>
  <c r="AI250" i="5"/>
  <c r="AI48" i="5"/>
  <c r="AK137" i="5"/>
  <c r="AK358" i="5"/>
  <c r="AJ425" i="5"/>
  <c r="AI500" i="5"/>
  <c r="AK270" i="5"/>
  <c r="AJ265" i="5"/>
  <c r="AJ408" i="5"/>
  <c r="AJ500" i="5"/>
  <c r="AK185" i="5"/>
  <c r="AI118" i="5"/>
  <c r="AK243" i="5"/>
  <c r="AI243" i="5"/>
  <c r="AJ243" i="5"/>
  <c r="AJ272" i="5"/>
  <c r="AJ146" i="5"/>
  <c r="AK452" i="5"/>
  <c r="AI425" i="5"/>
  <c r="AJ270" i="5"/>
  <c r="AG398" i="5"/>
  <c r="AK398" i="5" s="1"/>
  <c r="AI265" i="5"/>
  <c r="AI408" i="5"/>
  <c r="AI422" i="5"/>
  <c r="AG527" i="5"/>
  <c r="AJ527" i="5" s="1"/>
  <c r="AI512" i="5"/>
  <c r="AJ185" i="5"/>
  <c r="AK156" i="5"/>
  <c r="AK118" i="5"/>
  <c r="AG364" i="5"/>
  <c r="AK364" i="5" s="1"/>
  <c r="AK17" i="5"/>
  <c r="AJ499" i="5"/>
  <c r="AI481" i="5"/>
  <c r="AK215" i="5"/>
  <c r="AJ210" i="5"/>
  <c r="AK210" i="5"/>
  <c r="AJ406" i="5"/>
  <c r="AI447" i="5"/>
  <c r="AK103" i="5"/>
  <c r="AJ14" i="5"/>
  <c r="AJ197" i="5"/>
  <c r="AJ215" i="5"/>
  <c r="AK392" i="5"/>
  <c r="AK548" i="5"/>
  <c r="AJ469" i="5"/>
  <c r="AJ452" i="5"/>
  <c r="AI272" i="5"/>
  <c r="AJ422" i="5"/>
  <c r="AJ512" i="5"/>
  <c r="AJ548" i="5"/>
  <c r="AK146" i="5"/>
  <c r="AI142" i="5"/>
  <c r="AK509" i="5"/>
  <c r="AK264" i="5"/>
  <c r="AI103" i="5"/>
  <c r="AI14" i="5"/>
  <c r="AI492" i="5"/>
  <c r="AK169" i="5"/>
  <c r="AJ169" i="5"/>
  <c r="AI169" i="5"/>
  <c r="AK254" i="5"/>
  <c r="AK312" i="5"/>
  <c r="AK142" i="5"/>
  <c r="AJ509" i="5"/>
  <c r="AK471" i="5"/>
  <c r="AI254" i="5"/>
  <c r="AJ401" i="5"/>
  <c r="AI312" i="5"/>
  <c r="AI405" i="5"/>
  <c r="AI471" i="5"/>
  <c r="AI493" i="5"/>
  <c r="AI406" i="5"/>
  <c r="AK447" i="5"/>
  <c r="AK487" i="5"/>
  <c r="AJ334" i="5"/>
  <c r="AI197" i="5"/>
  <c r="AJ392" i="5"/>
  <c r="AG275" i="5"/>
  <c r="AK275" i="5" s="1"/>
  <c r="AK351" i="5"/>
  <c r="AJ137" i="5"/>
  <c r="AJ217" i="5"/>
  <c r="AJ405" i="5"/>
  <c r="AJ493" i="5"/>
  <c r="AI487" i="5"/>
  <c r="AJ116" i="5"/>
  <c r="AI334" i="5"/>
  <c r="AI281" i="5"/>
  <c r="AJ371" i="5"/>
  <c r="AK343" i="5"/>
  <c r="AI214" i="5"/>
  <c r="AI217" i="5"/>
  <c r="AJ120" i="5"/>
  <c r="AI116" i="5"/>
  <c r="AJ281" i="5"/>
  <c r="AK371" i="5"/>
  <c r="AI115" i="5"/>
  <c r="AJ453" i="5"/>
  <c r="AJ98" i="5"/>
  <c r="AK13" i="5"/>
  <c r="AJ13" i="5"/>
  <c r="AK468" i="5"/>
  <c r="AI468" i="5"/>
  <c r="AI442" i="5"/>
  <c r="AJ442" i="5"/>
  <c r="AJ266" i="5"/>
  <c r="AK266" i="5"/>
  <c r="AI266" i="5"/>
  <c r="AI240" i="5"/>
  <c r="AJ240" i="5"/>
  <c r="AK240" i="5"/>
  <c r="AK86" i="5"/>
  <c r="AG63" i="5"/>
  <c r="AI63" i="5" s="1"/>
  <c r="AI277" i="5"/>
  <c r="AI30" i="5"/>
  <c r="AG559" i="5"/>
  <c r="AI559" i="5" s="1"/>
  <c r="AK315" i="5"/>
  <c r="AK309" i="5"/>
  <c r="AI160" i="5"/>
  <c r="AK160" i="5"/>
  <c r="AJ160" i="5"/>
  <c r="AK339" i="5"/>
  <c r="AG39" i="5"/>
  <c r="AJ267" i="5"/>
  <c r="AJ277" i="5"/>
  <c r="AJ224" i="5"/>
  <c r="AK288" i="5"/>
  <c r="AI78" i="5"/>
  <c r="AK105" i="5"/>
  <c r="AJ221" i="5"/>
  <c r="AI288" i="5"/>
  <c r="AK27" i="5"/>
  <c r="AJ30" i="5"/>
  <c r="AJ339" i="5"/>
  <c r="AI437" i="5"/>
  <c r="AI224" i="5"/>
  <c r="AI37" i="5"/>
  <c r="AI221" i="5"/>
  <c r="AI407" i="5"/>
  <c r="AI349" i="5"/>
  <c r="AI189" i="5"/>
  <c r="AK96" i="5"/>
  <c r="AJ349" i="5"/>
  <c r="AJ496" i="5"/>
  <c r="AJ437" i="5"/>
  <c r="AK81" i="5"/>
  <c r="AK37" i="5"/>
  <c r="AI457" i="5"/>
  <c r="AJ407" i="5"/>
  <c r="AI294" i="5"/>
  <c r="AK59" i="5"/>
  <c r="AI96" i="5"/>
  <c r="AI544" i="5"/>
  <c r="AJ315" i="5"/>
  <c r="AK374" i="5"/>
  <c r="AJ451" i="5"/>
  <c r="AI496" i="5"/>
  <c r="AG311" i="5"/>
  <c r="AI311" i="5" s="1"/>
  <c r="AG31" i="5"/>
  <c r="AK31" i="5" s="1"/>
  <c r="AK305" i="5"/>
  <c r="AI81" i="5"/>
  <c r="AJ37" i="5"/>
  <c r="AK294" i="5"/>
  <c r="AI59" i="5"/>
  <c r="AK544" i="5"/>
  <c r="AI309" i="5"/>
  <c r="AK451" i="5"/>
  <c r="AJ305" i="5"/>
  <c r="AK576" i="5"/>
  <c r="AK571" i="5"/>
  <c r="AJ571" i="5"/>
  <c r="AG508" i="5"/>
  <c r="AK514" i="5" s="1"/>
  <c r="AI227" i="5"/>
  <c r="AI568" i="5"/>
  <c r="AI278" i="5"/>
  <c r="AI576" i="5"/>
  <c r="AJ7" i="5"/>
  <c r="AK7" i="5"/>
  <c r="AI7" i="5"/>
  <c r="AI267" i="5"/>
  <c r="AI105" i="5"/>
  <c r="AJ176" i="5"/>
  <c r="AI469" i="5"/>
  <c r="AJ167" i="5"/>
  <c r="AK227" i="5"/>
  <c r="AI176" i="5"/>
  <c r="AJ337" i="5"/>
  <c r="AK568" i="5"/>
  <c r="AK444" i="5"/>
  <c r="AK442" i="5"/>
  <c r="AK16" i="5"/>
  <c r="AI16" i="5"/>
  <c r="AI454" i="5"/>
  <c r="AK454" i="5"/>
  <c r="AI167" i="5"/>
  <c r="AJ477" i="5"/>
  <c r="AI337" i="5"/>
  <c r="AI91" i="5"/>
  <c r="AI435" i="5"/>
  <c r="AJ17" i="5"/>
  <c r="AJ410" i="5"/>
  <c r="AI444" i="5"/>
  <c r="AK203" i="5"/>
  <c r="AI362" i="5"/>
  <c r="AJ101" i="5"/>
  <c r="AG218" i="5"/>
  <c r="AI218" i="5" s="1"/>
  <c r="AG515" i="5"/>
  <c r="AJ515" i="5" s="1"/>
  <c r="AJ558" i="5"/>
  <c r="AJ435" i="5"/>
  <c r="AJ203" i="5"/>
  <c r="AI101" i="5"/>
  <c r="AG44" i="5"/>
  <c r="AJ148" i="5"/>
  <c r="AK148" i="5"/>
  <c r="AI148" i="5"/>
  <c r="AI264" i="5"/>
  <c r="AK558" i="5"/>
  <c r="AI351" i="5"/>
  <c r="AI245" i="5"/>
  <c r="AJ557" i="5"/>
  <c r="AK375" i="5"/>
  <c r="AK483" i="5"/>
  <c r="AK373" i="5"/>
  <c r="AJ373" i="5"/>
  <c r="AI373" i="5"/>
  <c r="AK194" i="5"/>
  <c r="AI194" i="5"/>
  <c r="AJ194" i="5"/>
  <c r="AI380" i="5"/>
  <c r="AI85" i="5"/>
  <c r="AI256" i="5"/>
  <c r="AG443" i="5"/>
  <c r="AK443" i="5" s="1"/>
  <c r="AG291" i="5"/>
  <c r="AI291" i="5" s="1"/>
  <c r="AI13" i="5"/>
  <c r="AI352" i="5"/>
  <c r="AK362" i="5"/>
  <c r="AI140" i="5"/>
  <c r="AG393" i="5"/>
  <c r="AJ85" i="5"/>
  <c r="AK256" i="5"/>
  <c r="AJ352" i="5"/>
  <c r="AK456" i="5"/>
  <c r="AJ140" i="5"/>
  <c r="AJ468" i="5"/>
  <c r="AK41" i="5"/>
  <c r="AI575" i="5"/>
  <c r="AI456" i="5"/>
  <c r="AG35" i="5"/>
  <c r="AG112" i="5"/>
  <c r="AJ112" i="5" s="1"/>
  <c r="AJ41" i="5"/>
  <c r="AG207" i="5"/>
  <c r="AK207" i="5" s="1"/>
  <c r="AG23" i="5"/>
  <c r="AK23" i="5" s="1"/>
  <c r="AG555" i="5"/>
  <c r="AK555" i="5" s="1"/>
  <c r="AJ575" i="5"/>
  <c r="AG164" i="5"/>
  <c r="AK164" i="5" s="1"/>
  <c r="AG212" i="5"/>
  <c r="AI212" i="5" s="1"/>
  <c r="AI190" i="5"/>
  <c r="AI177" i="5"/>
  <c r="AK470" i="5"/>
  <c r="AK177" i="5"/>
  <c r="AG193" i="5"/>
  <c r="AK193" i="5" s="1"/>
  <c r="AG554" i="5"/>
  <c r="AJ554" i="5" s="1"/>
  <c r="AG490" i="5"/>
  <c r="AJ470" i="5"/>
  <c r="AK457" i="5"/>
  <c r="AK190" i="5"/>
  <c r="AK346" i="5"/>
  <c r="AI223" i="5"/>
  <c r="AK2" i="5"/>
  <c r="AJ2" i="5"/>
  <c r="AI2" i="5"/>
  <c r="AI346" i="5"/>
  <c r="AG455" i="5"/>
  <c r="AK455" i="5" s="1"/>
  <c r="AK223" i="5"/>
  <c r="AJ58" i="5"/>
  <c r="AG33" i="5"/>
  <c r="AI56" i="5"/>
  <c r="AJ56" i="5"/>
  <c r="AK56" i="5"/>
  <c r="AK557" i="5"/>
  <c r="AJ510" i="5"/>
  <c r="AJ461" i="5"/>
  <c r="AK347" i="5"/>
  <c r="AK449" i="5"/>
  <c r="AJ474" i="5"/>
  <c r="AJ260" i="5"/>
  <c r="AK474" i="5"/>
  <c r="AI449" i="5"/>
  <c r="AK464" i="5"/>
  <c r="AK510" i="5"/>
  <c r="AI464" i="5"/>
  <c r="AK357" i="5"/>
  <c r="AI58" i="5"/>
  <c r="AG550" i="5"/>
  <c r="AJ550" i="5" s="1"/>
  <c r="AJ429" i="5"/>
  <c r="AK153" i="5"/>
  <c r="AJ22" i="5"/>
  <c r="AI429" i="5"/>
  <c r="AI260" i="5"/>
  <c r="AI153" i="5"/>
  <c r="AK350" i="5"/>
  <c r="AK461" i="5"/>
  <c r="AG418" i="5"/>
  <c r="AI350" i="5"/>
  <c r="AI361" i="5"/>
  <c r="AI149" i="5"/>
  <c r="AI357" i="5"/>
  <c r="AK296" i="5"/>
  <c r="AI511" i="5"/>
  <c r="AI333" i="5"/>
  <c r="AI84" i="5"/>
  <c r="AG397" i="5"/>
  <c r="AI397" i="5" s="1"/>
  <c r="AK519" i="5"/>
  <c r="AI317" i="5"/>
  <c r="AK333" i="5"/>
  <c r="AI241" i="5"/>
  <c r="AK529" i="5"/>
  <c r="AK439" i="5"/>
  <c r="AK98" i="5"/>
  <c r="AK22" i="5"/>
  <c r="AJ317" i="5"/>
  <c r="AJ296" i="5"/>
  <c r="AK511" i="5"/>
  <c r="AK99" i="5"/>
  <c r="AJ519" i="5"/>
  <c r="AI551" i="5"/>
  <c r="AK241" i="5"/>
  <c r="AJ180" i="5"/>
  <c r="AI439" i="5"/>
  <c r="AI389" i="5"/>
  <c r="AI377" i="5"/>
  <c r="AK361" i="5"/>
  <c r="AJ84" i="5"/>
  <c r="AI529" i="5"/>
  <c r="AI430" i="5"/>
  <c r="AJ99" i="5"/>
  <c r="AJ551" i="5"/>
  <c r="AK233" i="5"/>
  <c r="AJ389" i="5"/>
  <c r="AK377" i="5"/>
  <c r="AI387" i="5"/>
  <c r="AJ380" i="5"/>
  <c r="AG174" i="5"/>
  <c r="AK180" i="5"/>
  <c r="AG141" i="5"/>
  <c r="AK141" i="5" s="1"/>
  <c r="AK149" i="5"/>
  <c r="AI483" i="5"/>
  <c r="AJ128" i="5"/>
  <c r="AK128" i="5"/>
  <c r="AI128" i="5"/>
  <c r="AI86" i="5"/>
  <c r="AI298" i="5"/>
  <c r="AJ430" i="5"/>
  <c r="AG284" i="5"/>
  <c r="AI284" i="5" s="1"/>
  <c r="AJ43" i="5"/>
  <c r="AG356" i="5"/>
  <c r="AK356" i="5" s="1"/>
  <c r="AI233" i="5"/>
  <c r="AK492" i="5"/>
  <c r="AK79" i="5"/>
  <c r="AK453" i="5"/>
  <c r="AJ387" i="5"/>
  <c r="AJ73" i="5"/>
  <c r="AI73" i="5"/>
  <c r="AK73" i="5"/>
  <c r="AK416" i="5"/>
  <c r="AJ416" i="5"/>
  <c r="AI416" i="5"/>
  <c r="AJ67" i="5"/>
  <c r="AI67" i="5"/>
  <c r="AK67" i="5"/>
  <c r="AG533" i="5"/>
  <c r="AJ293" i="5"/>
  <c r="AJ234" i="5"/>
  <c r="AI234" i="5"/>
  <c r="AK234" i="5"/>
  <c r="AK132" i="5"/>
  <c r="AI132" i="5"/>
  <c r="AJ132" i="5"/>
  <c r="AJ419" i="5"/>
  <c r="AK419" i="5"/>
  <c r="AI419" i="5"/>
  <c r="AK531" i="5"/>
  <c r="AJ531" i="5"/>
  <c r="AI531" i="5"/>
  <c r="AJ567" i="5"/>
  <c r="AI567" i="5"/>
  <c r="AK567" i="5"/>
  <c r="AK399" i="5"/>
  <c r="AJ399" i="5"/>
  <c r="AI399" i="5"/>
  <c r="AK145" i="5"/>
  <c r="AI145" i="5"/>
  <c r="AJ145" i="5"/>
  <c r="AI414" i="5"/>
  <c r="AJ414" i="5"/>
  <c r="AK414" i="5"/>
  <c r="AK480" i="5"/>
  <c r="AJ480" i="5"/>
  <c r="AI480" i="5"/>
  <c r="AI514" i="5"/>
  <c r="AJ514" i="5"/>
  <c r="AK220" i="5"/>
  <c r="AI220" i="5"/>
  <c r="AJ220" i="5"/>
  <c r="AJ313" i="5"/>
  <c r="AK313" i="5"/>
  <c r="AI313" i="5"/>
  <c r="AJ320" i="5"/>
  <c r="AI320" i="5"/>
  <c r="AK320" i="5"/>
  <c r="AK235" i="5"/>
  <c r="AJ235" i="5"/>
  <c r="AI235" i="5"/>
  <c r="AK195" i="5"/>
  <c r="AI195" i="5"/>
  <c r="AJ195" i="5"/>
  <c r="AG321" i="5"/>
  <c r="AJ208" i="5"/>
  <c r="AK208" i="5"/>
  <c r="AI208" i="5"/>
  <c r="AK152" i="5"/>
  <c r="AJ152" i="5"/>
  <c r="AI152" i="5"/>
  <c r="AG566" i="5"/>
  <c r="AI319" i="5"/>
  <c r="AK319" i="5"/>
  <c r="AJ319" i="5"/>
  <c r="AJ77" i="5"/>
  <c r="AK77" i="5"/>
  <c r="AI77" i="5"/>
  <c r="AG161" i="5"/>
  <c r="AK323" i="5"/>
  <c r="AJ323" i="5"/>
  <c r="AI323" i="5"/>
  <c r="AG295" i="5"/>
  <c r="AI543" i="5"/>
  <c r="AK543" i="5"/>
  <c r="AJ543" i="5"/>
  <c r="AK60" i="5"/>
  <c r="AJ60" i="5"/>
  <c r="AI60" i="5"/>
  <c r="AI517" i="5"/>
  <c r="AJ517" i="5"/>
  <c r="AK517" i="5"/>
  <c r="AJ93" i="5"/>
  <c r="AK93" i="5"/>
  <c r="AI93" i="5"/>
  <c r="AK50" i="5"/>
  <c r="AI50" i="5"/>
  <c r="AJ50" i="5"/>
  <c r="AK521" i="5"/>
  <c r="AI521" i="5"/>
  <c r="AJ521" i="5"/>
  <c r="AG200" i="5"/>
  <c r="AK66" i="5"/>
  <c r="AI66" i="5"/>
  <c r="AJ66" i="5"/>
  <c r="AK102" i="5"/>
  <c r="AJ102" i="5"/>
  <c r="AI102" i="5"/>
  <c r="AJ186" i="5"/>
  <c r="AK186" i="5"/>
  <c r="AI186" i="5"/>
  <c r="AJ61" i="5"/>
  <c r="AK61" i="5"/>
  <c r="AI61" i="5"/>
  <c r="AI448" i="5"/>
  <c r="AK448" i="5"/>
  <c r="AJ448" i="5"/>
  <c r="AK573" i="5"/>
  <c r="AJ573" i="5"/>
  <c r="AI573" i="5"/>
  <c r="AG466" i="5"/>
  <c r="AK231" i="5"/>
  <c r="AJ231" i="5"/>
  <c r="AI231" i="5"/>
  <c r="AI473" i="5"/>
  <c r="AK473" i="5"/>
  <c r="AJ473" i="5"/>
  <c r="AK562" i="5"/>
  <c r="AI562" i="5"/>
  <c r="AJ562" i="5"/>
  <c r="AK20" i="5"/>
  <c r="AJ20" i="5"/>
  <c r="AI20" i="5"/>
  <c r="AI202" i="5"/>
  <c r="AK202" i="5"/>
  <c r="AJ202" i="5"/>
  <c r="AI536" i="5"/>
  <c r="AK536" i="5"/>
  <c r="AJ536" i="5"/>
  <c r="AJ423" i="5"/>
  <c r="AI423" i="5"/>
  <c r="AK423" i="5"/>
  <c r="AK552" i="5"/>
  <c r="AJ552" i="5"/>
  <c r="AI552" i="5"/>
  <c r="AK330" i="5"/>
  <c r="AI330" i="5"/>
  <c r="AJ330" i="5"/>
  <c r="AI170" i="5"/>
  <c r="AK170" i="5"/>
  <c r="AJ170" i="5"/>
  <c r="AG556" i="5"/>
  <c r="AK69" i="5"/>
  <c r="AI69" i="5"/>
  <c r="AJ69" i="5"/>
  <c r="AI365" i="5"/>
  <c r="AK365" i="5"/>
  <c r="AJ365" i="5"/>
  <c r="AK87" i="5"/>
  <c r="AJ87" i="5"/>
  <c r="AI87" i="5"/>
  <c r="AJ83" i="5"/>
  <c r="AK83" i="5"/>
  <c r="AI83" i="5"/>
  <c r="AK402" i="5"/>
  <c r="AI402" i="5"/>
  <c r="AJ402" i="5"/>
  <c r="AK335" i="5"/>
  <c r="AJ335" i="5"/>
  <c r="AI335" i="5"/>
  <c r="AK326" i="5"/>
  <c r="AJ326" i="5"/>
  <c r="AI326" i="5"/>
  <c r="AG259" i="5"/>
  <c r="AJ230" i="5"/>
  <c r="AK230" i="5"/>
  <c r="AI230" i="5"/>
  <c r="AJ549" i="5"/>
  <c r="AI549" i="5"/>
  <c r="AK549" i="5"/>
  <c r="AJ445" i="5"/>
  <c r="AI445" i="5"/>
  <c r="AK445" i="5"/>
  <c r="AK89" i="5"/>
  <c r="AJ89" i="5"/>
  <c r="AI89" i="5"/>
  <c r="AG133" i="5"/>
  <c r="AK228" i="5"/>
  <c r="AI228" i="5"/>
  <c r="AJ228" i="5"/>
  <c r="AK540" i="5"/>
  <c r="AI540" i="5"/>
  <c r="AJ540" i="5"/>
  <c r="AK154" i="5"/>
  <c r="AI154" i="5"/>
  <c r="AJ154" i="5"/>
  <c r="AI109" i="5"/>
  <c r="AJ109" i="5"/>
  <c r="AK109" i="5"/>
  <c r="AJ310" i="5"/>
  <c r="AI310" i="5"/>
  <c r="AK310" i="5"/>
  <c r="AJ205" i="5"/>
  <c r="AI205" i="5"/>
  <c r="AK205" i="5"/>
  <c r="AJ74" i="5"/>
  <c r="AK74" i="5"/>
  <c r="AI74" i="5"/>
  <c r="AK433" i="5"/>
  <c r="AJ433" i="5"/>
  <c r="AI433" i="5"/>
  <c r="AI181" i="5"/>
  <c r="AK181" i="5"/>
  <c r="AJ181" i="5"/>
  <c r="AJ68" i="5"/>
  <c r="AK68" i="5"/>
  <c r="AI68" i="5"/>
  <c r="AJ131" i="5"/>
  <c r="AK131" i="5"/>
  <c r="AI131" i="5"/>
  <c r="AJ276" i="5"/>
  <c r="AI276" i="5"/>
  <c r="AK276" i="5"/>
  <c r="AI134" i="5"/>
  <c r="AK134" i="5"/>
  <c r="AJ134" i="5"/>
  <c r="AI413" i="5"/>
  <c r="AK413" i="5"/>
  <c r="AJ413" i="5"/>
  <c r="AG255" i="5"/>
  <c r="AK547" i="5"/>
  <c r="AJ547" i="5"/>
  <c r="AI547" i="5"/>
  <c r="AK498" i="5"/>
  <c r="AJ498" i="5"/>
  <c r="AI498" i="5"/>
  <c r="AK359" i="5"/>
  <c r="AI359" i="5"/>
  <c r="AJ359" i="5"/>
  <c r="AG273" i="5"/>
  <c r="AK520" i="5"/>
  <c r="AJ520" i="5"/>
  <c r="AI520" i="5"/>
  <c r="AG300" i="5"/>
  <c r="AG5" i="5"/>
  <c r="AG467" i="5"/>
  <c r="AG564" i="5"/>
  <c r="AJ378" i="5"/>
  <c r="AI378" i="5"/>
  <c r="AK378" i="5"/>
  <c r="AK507" i="5"/>
  <c r="AJ507" i="5"/>
  <c r="AI507" i="5"/>
  <c r="AG421" i="5"/>
  <c r="AK553" i="5"/>
  <c r="AI553" i="5"/>
  <c r="AJ553" i="5"/>
  <c r="AJ541" i="5"/>
  <c r="AI541" i="5"/>
  <c r="AK541" i="5"/>
  <c r="AK476" i="5"/>
  <c r="AJ476" i="5"/>
  <c r="AI476" i="5"/>
  <c r="AJ332" i="5"/>
  <c r="AK332" i="5"/>
  <c r="AI332" i="5"/>
  <c r="AI26" i="5"/>
  <c r="AJ26" i="5"/>
  <c r="AK26" i="5"/>
  <c r="AI489" i="5"/>
  <c r="AK489" i="5"/>
  <c r="AJ489" i="5"/>
  <c r="AI184" i="5"/>
  <c r="AK184" i="5"/>
  <c r="AJ184" i="5"/>
  <c r="AI308" i="5"/>
  <c r="AJ308" i="5"/>
  <c r="AK308" i="5"/>
  <c r="AJ252" i="5"/>
  <c r="AK252" i="5"/>
  <c r="AI252" i="5"/>
  <c r="AG62" i="5"/>
  <c r="AI369" i="5"/>
  <c r="AJ369" i="5"/>
  <c r="AK369" i="5"/>
  <c r="AG19" i="5"/>
  <c r="AG417" i="5"/>
  <c r="AJ248" i="5"/>
  <c r="AK248" i="5"/>
  <c r="AI248" i="5"/>
  <c r="AI187" i="5"/>
  <c r="AJ187" i="5"/>
  <c r="AK187" i="5"/>
  <c r="AJ71" i="5"/>
  <c r="AK71" i="5"/>
  <c r="AI71" i="5"/>
  <c r="AJ479" i="5"/>
  <c r="AK479" i="5"/>
  <c r="AI479" i="5"/>
  <c r="AJ125" i="5"/>
  <c r="AI125" i="5"/>
  <c r="AK125" i="5"/>
  <c r="AJ314" i="5"/>
  <c r="AK314" i="5"/>
  <c r="AI314" i="5"/>
  <c r="AK436" i="5"/>
  <c r="AI436" i="5"/>
  <c r="AJ436" i="5"/>
  <c r="AK504" i="5"/>
  <c r="AG47" i="5"/>
  <c r="AI409" i="5"/>
  <c r="AK409" i="5"/>
  <c r="AJ409" i="5"/>
  <c r="AJ353" i="5"/>
  <c r="AK353" i="5"/>
  <c r="AI353" i="5"/>
  <c r="AI488" i="5"/>
  <c r="AJ488" i="5"/>
  <c r="AK488" i="5"/>
  <c r="AK446" i="5"/>
  <c r="AJ446" i="5"/>
  <c r="AI446" i="5"/>
  <c r="AJ138" i="5"/>
  <c r="AI138" i="5"/>
  <c r="AK138" i="5"/>
  <c r="AJ386" i="5"/>
  <c r="AK386" i="5"/>
  <c r="AI386" i="5"/>
  <c r="AG331" i="5"/>
  <c r="AJ226" i="5"/>
  <c r="AK226" i="5"/>
  <c r="AI226" i="5"/>
  <c r="AG42" i="5"/>
  <c r="AK396" i="5"/>
  <c r="AI396" i="5"/>
  <c r="AJ396" i="5"/>
  <c r="AI46" i="5"/>
  <c r="AK46" i="5"/>
  <c r="AJ46" i="5"/>
  <c r="AJ119" i="5"/>
  <c r="AI119" i="5"/>
  <c r="AK119" i="5"/>
  <c r="AK90" i="5"/>
  <c r="AJ90" i="5"/>
  <c r="AI90" i="5"/>
  <c r="AK249" i="5"/>
  <c r="AI249" i="5"/>
  <c r="AJ249" i="5"/>
  <c r="AK292" i="5"/>
  <c r="AI292" i="5"/>
  <c r="AJ292" i="5"/>
  <c r="AK530" i="5"/>
  <c r="AJ530" i="5"/>
  <c r="AI530" i="5"/>
  <c r="AI577" i="5"/>
  <c r="AK577" i="5"/>
  <c r="AJ577" i="5"/>
  <c r="AJ384" i="5"/>
  <c r="AI384" i="5"/>
  <c r="AK384" i="5"/>
  <c r="AK242" i="5"/>
  <c r="AI242" i="5"/>
  <c r="AJ242" i="5"/>
  <c r="AJ316" i="5"/>
  <c r="AK316" i="5"/>
  <c r="AI316" i="5"/>
  <c r="AK297" i="5"/>
  <c r="AJ297" i="5"/>
  <c r="AI297" i="5"/>
  <c r="AJ431" i="5"/>
  <c r="AK431" i="5"/>
  <c r="AI431" i="5"/>
  <c r="AJ155" i="5"/>
  <c r="AK155" i="5"/>
  <c r="AI155" i="5"/>
  <c r="AI150" i="5"/>
  <c r="AJ150" i="5"/>
  <c r="AK150" i="5"/>
  <c r="AJ106" i="5"/>
  <c r="AI106" i="5"/>
  <c r="AK106" i="5"/>
  <c r="AK513" i="5"/>
  <c r="AJ513" i="5"/>
  <c r="AI513" i="5"/>
  <c r="AJ268" i="5"/>
  <c r="AK268" i="5"/>
  <c r="AI268" i="5"/>
  <c r="AI25" i="5"/>
  <c r="AK25" i="5"/>
  <c r="AJ25" i="5"/>
  <c r="AG472" i="5"/>
  <c r="AK484" i="5"/>
  <c r="AI484" i="5"/>
  <c r="AJ484" i="5"/>
  <c r="AJ143" i="5"/>
  <c r="AK143" i="5"/>
  <c r="AI143" i="5"/>
  <c r="AK168" i="5"/>
  <c r="AI168" i="5"/>
  <c r="AJ168" i="5"/>
  <c r="AJ6" i="5"/>
  <c r="AI6" i="5"/>
  <c r="AK6" i="5"/>
  <c r="AK485" i="5"/>
  <c r="AJ485" i="5"/>
  <c r="AI485" i="5"/>
  <c r="AK282" i="5"/>
  <c r="AJ282" i="5"/>
  <c r="AI282" i="5"/>
  <c r="AJ478" i="5"/>
  <c r="AI478" i="5"/>
  <c r="AK478" i="5"/>
  <c r="AK182" i="5"/>
  <c r="AJ182" i="5"/>
  <c r="AI182" i="5"/>
  <c r="AJ29" i="5"/>
  <c r="AK29" i="5"/>
  <c r="AI29" i="5"/>
  <c r="AK303" i="5"/>
  <c r="AI303" i="5"/>
  <c r="AJ303" i="5"/>
  <c r="AK338" i="5"/>
  <c r="AJ338" i="5"/>
  <c r="AI338" i="5"/>
  <c r="AJ379" i="5"/>
  <c r="AK379" i="5"/>
  <c r="AI379" i="5"/>
  <c r="AI261" i="5"/>
  <c r="AK261" i="5"/>
  <c r="AJ261" i="5"/>
  <c r="AI428" i="5"/>
  <c r="AK428" i="5"/>
  <c r="AJ428" i="5"/>
  <c r="AK97" i="5"/>
  <c r="AJ97" i="5"/>
  <c r="AI97" i="5"/>
  <c r="AK21" i="5"/>
  <c r="AJ21" i="5"/>
  <c r="AI21" i="5"/>
  <c r="AJ201" i="5"/>
  <c r="AK201" i="5"/>
  <c r="AI201" i="5"/>
  <c r="AG114" i="5"/>
  <c r="AG269" i="5"/>
  <c r="AK385" i="5"/>
  <c r="AJ385" i="5"/>
  <c r="AI385" i="5"/>
  <c r="AJ324" i="5"/>
  <c r="AK324" i="5"/>
  <c r="AI324" i="5"/>
  <c r="AG222" i="5"/>
  <c r="E11" i="7" s="1"/>
  <c r="AK574" i="5"/>
  <c r="AJ574" i="5"/>
  <c r="AI574" i="5"/>
  <c r="AK286" i="5"/>
  <c r="AJ286" i="5"/>
  <c r="AI286" i="5"/>
  <c r="AI348" i="5"/>
  <c r="AK348" i="5"/>
  <c r="AJ348" i="5"/>
  <c r="AI271" i="5"/>
  <c r="AK271" i="5"/>
  <c r="AJ271" i="5"/>
  <c r="AJ563" i="5"/>
  <c r="AI563" i="5"/>
  <c r="AK563" i="5"/>
  <c r="AK52" i="5"/>
  <c r="AJ52" i="5"/>
  <c r="AI52" i="5"/>
  <c r="AK158" i="5"/>
  <c r="AJ158" i="5"/>
  <c r="AI158" i="5"/>
  <c r="AK438" i="5"/>
  <c r="AJ438" i="5"/>
  <c r="AI438" i="5"/>
  <c r="AG494" i="5"/>
  <c r="AI232" i="5"/>
  <c r="AK232" i="5"/>
  <c r="AJ232" i="5"/>
  <c r="AJ336" i="5"/>
  <c r="AK336" i="5"/>
  <c r="AI336" i="5"/>
  <c r="AK368" i="5"/>
  <c r="AJ368" i="5"/>
  <c r="AI368" i="5"/>
  <c r="AK412" i="5"/>
  <c r="AI412" i="5"/>
  <c r="AJ412" i="5"/>
  <c r="AJ537" i="5"/>
  <c r="AI537" i="5"/>
  <c r="AK537" i="5"/>
  <c r="AK535" i="5"/>
  <c r="AJ535" i="5"/>
  <c r="AI535" i="5"/>
  <c r="AK257" i="5"/>
  <c r="AJ257" i="5"/>
  <c r="AI257" i="5"/>
  <c r="AK111" i="5"/>
  <c r="AJ111" i="5"/>
  <c r="AI111" i="5"/>
  <c r="AK183" i="5"/>
  <c r="AJ183" i="5"/>
  <c r="AI183" i="5"/>
  <c r="AK53" i="5"/>
  <c r="AJ53" i="5"/>
  <c r="AI53" i="5"/>
  <c r="AJ274" i="5"/>
  <c r="AK274" i="5"/>
  <c r="AI274" i="5"/>
  <c r="AK263" i="5"/>
  <c r="AI263" i="5"/>
  <c r="AJ263" i="5"/>
  <c r="AJ246" i="5"/>
  <c r="AK246" i="5"/>
  <c r="AI246" i="5"/>
  <c r="AK367" i="5" l="1"/>
  <c r="AI367" i="5"/>
  <c r="E19" i="7"/>
  <c r="G19" i="7" s="1"/>
  <c r="AI293" i="5"/>
  <c r="E15" i="7"/>
  <c r="G15" i="7" s="1"/>
  <c r="AK460" i="5"/>
  <c r="AI504" i="5"/>
  <c r="AJ129" i="5"/>
  <c r="AI460" i="5"/>
  <c r="E7" i="7"/>
  <c r="L7" i="7" s="1"/>
  <c r="AI199" i="5"/>
  <c r="AJ199" i="5"/>
  <c r="AK129" i="5"/>
  <c r="AI8" i="5"/>
  <c r="AJ8" i="5"/>
  <c r="AJ45" i="5"/>
  <c r="E9" i="7"/>
  <c r="L9" i="7" s="1"/>
  <c r="E17" i="7"/>
  <c r="L17" i="7" s="1"/>
  <c r="E18" i="7"/>
  <c r="L18" i="7" s="1"/>
  <c r="AK144" i="5"/>
  <c r="AK45" i="5"/>
  <c r="AK212" i="5"/>
  <c r="E5" i="7"/>
  <c r="G5" i="7" s="1"/>
  <c r="B8" i="8" s="1"/>
  <c r="AJ212" i="5"/>
  <c r="E10" i="7"/>
  <c r="G10" i="7" s="1"/>
  <c r="AJ289" i="5"/>
  <c r="AJ455" i="5"/>
  <c r="AJ164" i="5"/>
  <c r="E8" i="7"/>
  <c r="L8" i="7" s="1"/>
  <c r="AJ229" i="5"/>
  <c r="E16" i="7"/>
  <c r="G16" i="7" s="1"/>
  <c r="B8" i="19" s="1"/>
  <c r="W8" i="19" s="1"/>
  <c r="AJ127" i="5"/>
  <c r="AK127" i="5"/>
  <c r="E14" i="7"/>
  <c r="L14" i="7" s="1"/>
  <c r="AK229" i="5"/>
  <c r="AI289" i="5"/>
  <c r="AK10" i="5"/>
  <c r="AJ10" i="5"/>
  <c r="AJ144" i="5"/>
  <c r="AJ251" i="5"/>
  <c r="AJ253" i="5"/>
  <c r="AK253" i="5"/>
  <c r="AI130" i="5"/>
  <c r="AK196" i="5"/>
  <c r="AJ130" i="5"/>
  <c r="AI196" i="5"/>
  <c r="AI251" i="5"/>
  <c r="AK63" i="5"/>
  <c r="AJ397" i="5"/>
  <c r="AK117" i="5"/>
  <c r="AI527" i="5"/>
  <c r="AJ482" i="5"/>
  <c r="AK527" i="5"/>
  <c r="AI482" i="5"/>
  <c r="AJ291" i="5"/>
  <c r="AJ299" i="5"/>
  <c r="AJ63" i="5"/>
  <c r="AK299" i="5"/>
  <c r="K16" i="7"/>
  <c r="AK290" i="5"/>
  <c r="K10" i="7"/>
  <c r="AI290" i="5"/>
  <c r="AJ364" i="5"/>
  <c r="AI117" i="5"/>
  <c r="AJ206" i="5"/>
  <c r="AI206" i="5"/>
  <c r="E6" i="7"/>
  <c r="L6" i="7" s="1"/>
  <c r="AK18" i="5"/>
  <c r="AK291" i="5"/>
  <c r="AI193" i="5"/>
  <c r="AI18" i="5"/>
  <c r="AI398" i="5"/>
  <c r="AJ398" i="5"/>
  <c r="AK147" i="5"/>
  <c r="AI147" i="5"/>
  <c r="AJ147" i="5"/>
  <c r="AJ311" i="5"/>
  <c r="AJ193" i="5"/>
  <c r="AK311" i="5"/>
  <c r="AI112" i="5"/>
  <c r="AK218" i="5"/>
  <c r="AJ218" i="5"/>
  <c r="K19" i="7" s="1"/>
  <c r="AK112" i="5"/>
  <c r="AJ275" i="5"/>
  <c r="AI141" i="5"/>
  <c r="AI275" i="5"/>
  <c r="AI364" i="5"/>
  <c r="AJ559" i="5"/>
  <c r="AJ508" i="5"/>
  <c r="AK508" i="5"/>
  <c r="AI508" i="5"/>
  <c r="AJ207" i="5"/>
  <c r="AI207" i="5"/>
  <c r="AK515" i="5"/>
  <c r="AI555" i="5"/>
  <c r="AI515" i="5"/>
  <c r="AJ555" i="5"/>
  <c r="AI443" i="5"/>
  <c r="AI356" i="5"/>
  <c r="AJ23" i="5"/>
  <c r="AI23" i="5"/>
  <c r="AJ39" i="5"/>
  <c r="AK39" i="5"/>
  <c r="AI39" i="5"/>
  <c r="AK550" i="5"/>
  <c r="AJ443" i="5"/>
  <c r="E13" i="7"/>
  <c r="AK559" i="5"/>
  <c r="AJ356" i="5"/>
  <c r="AK284" i="5"/>
  <c r="AI31" i="5"/>
  <c r="AJ284" i="5"/>
  <c r="AJ31" i="5"/>
  <c r="AK397" i="5"/>
  <c r="AJ44" i="5"/>
  <c r="AK44" i="5"/>
  <c r="AI44" i="5"/>
  <c r="AJ418" i="5"/>
  <c r="AI418" i="5"/>
  <c r="AK418" i="5"/>
  <c r="AI174" i="5"/>
  <c r="AK174" i="5"/>
  <c r="AJ174" i="5"/>
  <c r="AK490" i="5"/>
  <c r="AJ490" i="5"/>
  <c r="AI490" i="5"/>
  <c r="AI393" i="5"/>
  <c r="AK393" i="5"/>
  <c r="AJ393" i="5"/>
  <c r="AK554" i="5"/>
  <c r="AI554" i="5"/>
  <c r="AK33" i="5"/>
  <c r="AJ33" i="5"/>
  <c r="AI33" i="5"/>
  <c r="L19" i="7"/>
  <c r="AI550" i="5"/>
  <c r="AI164" i="5"/>
  <c r="AJ141" i="5"/>
  <c r="K15" i="7"/>
  <c r="K17" i="7"/>
  <c r="AK35" i="5"/>
  <c r="AI35" i="5"/>
  <c r="AJ35" i="5"/>
  <c r="AI455" i="5"/>
  <c r="AI269" i="5"/>
  <c r="AK269" i="5"/>
  <c r="AJ269" i="5"/>
  <c r="AI494" i="5"/>
  <c r="AK494" i="5"/>
  <c r="AJ494" i="5"/>
  <c r="AK421" i="5"/>
  <c r="AJ421" i="5"/>
  <c r="AI421" i="5"/>
  <c r="AJ255" i="5"/>
  <c r="AI255" i="5"/>
  <c r="AK255" i="5"/>
  <c r="AI114" i="5"/>
  <c r="AK114" i="5"/>
  <c r="AJ114" i="5"/>
  <c r="AK472" i="5"/>
  <c r="AJ472" i="5"/>
  <c r="AI472" i="5"/>
  <c r="AI200" i="5"/>
  <c r="AJ200" i="5"/>
  <c r="AK200" i="5"/>
  <c r="AK331" i="5"/>
  <c r="AJ331" i="5"/>
  <c r="AI331" i="5"/>
  <c r="AK321" i="5"/>
  <c r="AJ321" i="5"/>
  <c r="AI321" i="5"/>
  <c r="G11" i="7"/>
  <c r="L11" i="7"/>
  <c r="AK259" i="5"/>
  <c r="AJ259" i="5"/>
  <c r="AI259" i="5"/>
  <c r="AK62" i="5"/>
  <c r="AJ62" i="5"/>
  <c r="AI62" i="5"/>
  <c r="AK564" i="5"/>
  <c r="AJ564" i="5"/>
  <c r="AI564" i="5"/>
  <c r="AJ161" i="5"/>
  <c r="AK161" i="5"/>
  <c r="AI161" i="5"/>
  <c r="AK417" i="5"/>
  <c r="AI417" i="5"/>
  <c r="AJ417" i="5"/>
  <c r="AK467" i="5"/>
  <c r="AJ467" i="5"/>
  <c r="AI467" i="5"/>
  <c r="AK5" i="5"/>
  <c r="AJ5" i="5"/>
  <c r="K12" i="7" s="1"/>
  <c r="AI5" i="5"/>
  <c r="E12" i="7"/>
  <c r="E24" i="7"/>
  <c r="AK300" i="5"/>
  <c r="AI300" i="5"/>
  <c r="AJ300" i="5"/>
  <c r="AI295" i="5"/>
  <c r="AK295" i="5"/>
  <c r="AJ295" i="5"/>
  <c r="AI566" i="5"/>
  <c r="AK566" i="5"/>
  <c r="AJ566" i="5"/>
  <c r="AK533" i="5"/>
  <c r="AJ533" i="5"/>
  <c r="AI533" i="5"/>
  <c r="AI466" i="5"/>
  <c r="AJ466" i="5"/>
  <c r="AK466" i="5"/>
  <c r="AK42" i="5"/>
  <c r="AI42" i="5"/>
  <c r="AJ42" i="5"/>
  <c r="K11" i="7" s="1"/>
  <c r="AK47" i="5"/>
  <c r="AJ47" i="5"/>
  <c r="AI47" i="5"/>
  <c r="AJ273" i="5"/>
  <c r="AI273" i="5"/>
  <c r="AK273" i="5"/>
  <c r="AI133" i="5"/>
  <c r="AK133" i="5"/>
  <c r="AJ133" i="5"/>
  <c r="AI222" i="5"/>
  <c r="AK222" i="5"/>
  <c r="AJ222" i="5"/>
  <c r="AK556" i="5"/>
  <c r="AJ556" i="5"/>
  <c r="AI556" i="5"/>
  <c r="AK19" i="5"/>
  <c r="AJ19" i="5"/>
  <c r="AI19" i="5"/>
  <c r="K9" i="7" l="1"/>
  <c r="L15" i="7"/>
  <c r="K5" i="7"/>
  <c r="G17" i="7"/>
  <c r="B17" i="20" s="1"/>
  <c r="G18" i="7"/>
  <c r="B6" i="21" s="1"/>
  <c r="G7" i="7"/>
  <c r="B14" i="10" s="1"/>
  <c r="AB14" i="10" s="1"/>
  <c r="B15" i="8"/>
  <c r="Z15" i="8" s="1"/>
  <c r="B13" i="8"/>
  <c r="Q13" i="8" s="1"/>
  <c r="B3" i="8"/>
  <c r="J3" i="8" s="1"/>
  <c r="B14" i="8"/>
  <c r="P14" i="8" s="1"/>
  <c r="B17" i="8"/>
  <c r="Y17" i="8" s="1"/>
  <c r="G9" i="7"/>
  <c r="B2" i="12" s="1"/>
  <c r="B12" i="8"/>
  <c r="V12" i="8" s="1"/>
  <c r="B7" i="8"/>
  <c r="M7" i="8" s="1"/>
  <c r="B2" i="8"/>
  <c r="D2" i="8" s="1"/>
  <c r="K18" i="7"/>
  <c r="B6" i="8"/>
  <c r="I6" i="8" s="1"/>
  <c r="B14" i="19"/>
  <c r="V14" i="19" s="1"/>
  <c r="K7" i="7"/>
  <c r="B13" i="19"/>
  <c r="I13" i="19" s="1"/>
  <c r="E8" i="19"/>
  <c r="G14" i="7"/>
  <c r="B7" i="17" s="1"/>
  <c r="O7" i="17" s="1"/>
  <c r="G8" i="7"/>
  <c r="B3" i="11" s="1"/>
  <c r="L5" i="7"/>
  <c r="AA8" i="19"/>
  <c r="AB8" i="19"/>
  <c r="B2" i="19"/>
  <c r="M2" i="19" s="1"/>
  <c r="O8" i="19"/>
  <c r="B3" i="19"/>
  <c r="E3" i="19" s="1"/>
  <c r="C8" i="19"/>
  <c r="D8" i="19"/>
  <c r="B17" i="19"/>
  <c r="G17" i="19" s="1"/>
  <c r="B12" i="19"/>
  <c r="I12" i="19" s="1"/>
  <c r="B17" i="10"/>
  <c r="AB17" i="10" s="1"/>
  <c r="V8" i="19"/>
  <c r="B6" i="10"/>
  <c r="U6" i="10" s="1"/>
  <c r="B7" i="10"/>
  <c r="O7" i="10" s="1"/>
  <c r="Z8" i="19"/>
  <c r="T8" i="19"/>
  <c r="K8" i="7"/>
  <c r="H8" i="19"/>
  <c r="Q8" i="19"/>
  <c r="B6" i="19"/>
  <c r="W6" i="19" s="1"/>
  <c r="I8" i="19"/>
  <c r="U8" i="19"/>
  <c r="L8" i="19"/>
  <c r="K8" i="19"/>
  <c r="L10" i="7"/>
  <c r="S8" i="19"/>
  <c r="Y8" i="19"/>
  <c r="M8" i="19"/>
  <c r="B7" i="19"/>
  <c r="Y7" i="19" s="1"/>
  <c r="K13" i="7"/>
  <c r="B2" i="10"/>
  <c r="E2" i="10" s="1"/>
  <c r="J8" i="19"/>
  <c r="R8" i="19"/>
  <c r="L16" i="7"/>
  <c r="X8" i="19"/>
  <c r="N8" i="19"/>
  <c r="G8" i="19"/>
  <c r="B8" i="10"/>
  <c r="I8" i="10" s="1"/>
  <c r="F8" i="19"/>
  <c r="P8" i="19"/>
  <c r="B15" i="19"/>
  <c r="AB15" i="19" s="1"/>
  <c r="K14" i="7"/>
  <c r="G6" i="7"/>
  <c r="B7" i="9" s="1"/>
  <c r="AA7" i="9" s="1"/>
  <c r="K6" i="7"/>
  <c r="E21" i="7"/>
  <c r="L13" i="7"/>
  <c r="G13" i="7"/>
  <c r="B8" i="18"/>
  <c r="B15" i="18"/>
  <c r="B3" i="18"/>
  <c r="B13" i="18"/>
  <c r="B2" i="18"/>
  <c r="B17" i="18"/>
  <c r="B12" i="18"/>
  <c r="B14" i="18"/>
  <c r="B6" i="18"/>
  <c r="B7" i="18"/>
  <c r="B2" i="20"/>
  <c r="B3" i="20"/>
  <c r="B8" i="20"/>
  <c r="B14" i="20"/>
  <c r="B15" i="20"/>
  <c r="B12" i="20"/>
  <c r="B6" i="20"/>
  <c r="B15" i="21"/>
  <c r="B2" i="21"/>
  <c r="B8" i="22"/>
  <c r="B17" i="22"/>
  <c r="B15" i="22"/>
  <c r="B2" i="22"/>
  <c r="B7" i="22"/>
  <c r="B12" i="22"/>
  <c r="B13" i="22"/>
  <c r="B6" i="22"/>
  <c r="B14" i="22"/>
  <c r="B3" i="22"/>
  <c r="C13" i="8"/>
  <c r="K15" i="8"/>
  <c r="J15" i="8"/>
  <c r="B13" i="14"/>
  <c r="B7" i="14"/>
  <c r="B2" i="14"/>
  <c r="B17" i="14"/>
  <c r="B8" i="14"/>
  <c r="B12" i="14"/>
  <c r="B14" i="14"/>
  <c r="B3" i="14"/>
  <c r="B6" i="14"/>
  <c r="B15" i="14"/>
  <c r="G12" i="7"/>
  <c r="L12" i="7"/>
  <c r="X8" i="8"/>
  <c r="W8" i="8"/>
  <c r="V8" i="8"/>
  <c r="P8" i="8"/>
  <c r="N8" i="8"/>
  <c r="Q8" i="8"/>
  <c r="O8" i="8"/>
  <c r="M8" i="8"/>
  <c r="F8" i="8"/>
  <c r="E8" i="8"/>
  <c r="D8" i="8"/>
  <c r="H8" i="8"/>
  <c r="G8" i="8"/>
  <c r="C8" i="8"/>
  <c r="AB8" i="8"/>
  <c r="AA8" i="8"/>
  <c r="Z8" i="8"/>
  <c r="U8" i="8"/>
  <c r="K8" i="8"/>
  <c r="T8" i="8"/>
  <c r="S8" i="8"/>
  <c r="R8" i="8"/>
  <c r="I8" i="8"/>
  <c r="Y8" i="8"/>
  <c r="L8" i="8"/>
  <c r="J8" i="8"/>
  <c r="L25" i="7"/>
  <c r="B14" i="13"/>
  <c r="B12" i="13"/>
  <c r="B3" i="13"/>
  <c r="B2" i="13"/>
  <c r="B7" i="13"/>
  <c r="B6" i="13"/>
  <c r="B17" i="13"/>
  <c r="B15" i="13"/>
  <c r="B13" i="13"/>
  <c r="B8" i="13"/>
  <c r="I15" i="8" l="1"/>
  <c r="B13" i="20"/>
  <c r="B3" i="10"/>
  <c r="AA3" i="10" s="1"/>
  <c r="B15" i="10"/>
  <c r="C15" i="10" s="1"/>
  <c r="B12" i="10"/>
  <c r="Z12" i="10" s="1"/>
  <c r="B3" i="21"/>
  <c r="O3" i="21" s="1"/>
  <c r="B17" i="21"/>
  <c r="Y17" i="21" s="1"/>
  <c r="B7" i="20"/>
  <c r="Y15" i="8"/>
  <c r="AB15" i="8"/>
  <c r="T15" i="8"/>
  <c r="B14" i="21"/>
  <c r="X14" i="21" s="1"/>
  <c r="AB7" i="8"/>
  <c r="U15" i="8"/>
  <c r="E15" i="8"/>
  <c r="Q15" i="8"/>
  <c r="D15" i="8"/>
  <c r="N15" i="8"/>
  <c r="O15" i="8"/>
  <c r="V15" i="8"/>
  <c r="X15" i="8"/>
  <c r="S15" i="8"/>
  <c r="AA15" i="8"/>
  <c r="W15" i="8"/>
  <c r="C15" i="8"/>
  <c r="J17" i="8"/>
  <c r="B7" i="21"/>
  <c r="R7" i="21" s="1"/>
  <c r="B13" i="21"/>
  <c r="C13" i="21" s="1"/>
  <c r="B12" i="21"/>
  <c r="U12" i="21" s="1"/>
  <c r="B8" i="21"/>
  <c r="T8" i="21" s="1"/>
  <c r="H17" i="8"/>
  <c r="O3" i="8"/>
  <c r="C3" i="8"/>
  <c r="B13" i="10"/>
  <c r="O13" i="10" s="1"/>
  <c r="AA7" i="8"/>
  <c r="S3" i="8"/>
  <c r="G7" i="8"/>
  <c r="Y3" i="8"/>
  <c r="D13" i="8"/>
  <c r="H13" i="8"/>
  <c r="N13" i="8"/>
  <c r="R13" i="8"/>
  <c r="V2" i="8"/>
  <c r="F15" i="8"/>
  <c r="G15" i="8"/>
  <c r="L15" i="8"/>
  <c r="M15" i="8"/>
  <c r="O13" i="8"/>
  <c r="R15" i="8"/>
  <c r="H15" i="8"/>
  <c r="P13" i="8"/>
  <c r="V13" i="8"/>
  <c r="P15" i="8"/>
  <c r="I13" i="8"/>
  <c r="U7" i="8"/>
  <c r="J13" i="8"/>
  <c r="E7" i="8"/>
  <c r="F14" i="10"/>
  <c r="V14" i="10"/>
  <c r="E2" i="8"/>
  <c r="I14" i="8"/>
  <c r="AA13" i="8"/>
  <c r="O14" i="10"/>
  <c r="M14" i="10"/>
  <c r="S14" i="10"/>
  <c r="C2" i="8"/>
  <c r="U14" i="8"/>
  <c r="H14" i="10"/>
  <c r="M2" i="8"/>
  <c r="K14" i="8"/>
  <c r="AB13" i="8"/>
  <c r="C14" i="10"/>
  <c r="D14" i="10"/>
  <c r="Z13" i="8"/>
  <c r="Q14" i="10"/>
  <c r="O2" i="8"/>
  <c r="L14" i="8"/>
  <c r="F13" i="8"/>
  <c r="AA14" i="10"/>
  <c r="G14" i="10"/>
  <c r="L14" i="10"/>
  <c r="T14" i="10"/>
  <c r="P14" i="10"/>
  <c r="U14" i="10"/>
  <c r="X14" i="10"/>
  <c r="Y13" i="8"/>
  <c r="Z14" i="10"/>
  <c r="N14" i="10"/>
  <c r="Y14" i="10"/>
  <c r="I14" i="10"/>
  <c r="F3" i="8"/>
  <c r="T13" i="8"/>
  <c r="R14" i="10"/>
  <c r="W14" i="10"/>
  <c r="E14" i="10"/>
  <c r="X13" i="8"/>
  <c r="K13" i="8"/>
  <c r="K14" i="10"/>
  <c r="K3" i="8"/>
  <c r="L3" i="8"/>
  <c r="G2" i="8"/>
  <c r="P3" i="8"/>
  <c r="W3" i="8"/>
  <c r="X3" i="8"/>
  <c r="Q3" i="8"/>
  <c r="B12" i="17"/>
  <c r="Q12" i="17" s="1"/>
  <c r="I17" i="8"/>
  <c r="J14" i="8"/>
  <c r="J14" i="10"/>
  <c r="L17" i="8"/>
  <c r="R14" i="8"/>
  <c r="AB3" i="8"/>
  <c r="L13" i="8"/>
  <c r="S17" i="8"/>
  <c r="S14" i="8"/>
  <c r="H3" i="8"/>
  <c r="W13" i="8"/>
  <c r="V14" i="8"/>
  <c r="V17" i="8"/>
  <c r="Z14" i="8"/>
  <c r="M13" i="8"/>
  <c r="AA14" i="8"/>
  <c r="D3" i="8"/>
  <c r="S13" i="8"/>
  <c r="X17" i="8"/>
  <c r="R17" i="8"/>
  <c r="C14" i="8"/>
  <c r="G14" i="8"/>
  <c r="E13" i="8"/>
  <c r="Z3" i="8"/>
  <c r="E3" i="8"/>
  <c r="AA3" i="8"/>
  <c r="B8" i="12"/>
  <c r="U8" i="12" s="1"/>
  <c r="B17" i="12"/>
  <c r="Y17" i="12" s="1"/>
  <c r="AA2" i="8"/>
  <c r="H7" i="8"/>
  <c r="J7" i="8"/>
  <c r="X12" i="8"/>
  <c r="AA17" i="8"/>
  <c r="P7" i="8"/>
  <c r="AB14" i="8"/>
  <c r="C12" i="8"/>
  <c r="D17" i="8"/>
  <c r="V7" i="8"/>
  <c r="H14" i="8"/>
  <c r="Z17" i="8"/>
  <c r="L7" i="8"/>
  <c r="D12" i="8"/>
  <c r="K7" i="8"/>
  <c r="E17" i="8"/>
  <c r="N7" i="8"/>
  <c r="Z12" i="8"/>
  <c r="F17" i="8"/>
  <c r="O7" i="8"/>
  <c r="D7" i="8"/>
  <c r="Q17" i="8"/>
  <c r="S7" i="8"/>
  <c r="N2" i="8"/>
  <c r="G3" i="8"/>
  <c r="S12" i="8"/>
  <c r="AA12" i="8"/>
  <c r="W2" i="8"/>
  <c r="M3" i="8"/>
  <c r="G13" i="8"/>
  <c r="U13" i="8"/>
  <c r="B15" i="12"/>
  <c r="P15" i="12" s="1"/>
  <c r="G12" i="8"/>
  <c r="F2" i="8"/>
  <c r="N3" i="8"/>
  <c r="B13" i="12"/>
  <c r="N13" i="12" s="1"/>
  <c r="H12" i="8"/>
  <c r="T3" i="8"/>
  <c r="Q12" i="8"/>
  <c r="X2" i="8"/>
  <c r="R3" i="8"/>
  <c r="I12" i="8"/>
  <c r="P12" i="8"/>
  <c r="U3" i="8"/>
  <c r="B6" i="17"/>
  <c r="D6" i="17" s="1"/>
  <c r="O12" i="8"/>
  <c r="R12" i="8"/>
  <c r="V3" i="8"/>
  <c r="Y12" i="8"/>
  <c r="T14" i="8"/>
  <c r="B14" i="12"/>
  <c r="Y14" i="12" s="1"/>
  <c r="B12" i="12"/>
  <c r="I12" i="12" s="1"/>
  <c r="B7" i="12"/>
  <c r="J7" i="12" s="1"/>
  <c r="B6" i="12"/>
  <c r="N6" i="12" s="1"/>
  <c r="U2" i="8"/>
  <c r="L2" i="8"/>
  <c r="M14" i="8"/>
  <c r="B3" i="12"/>
  <c r="Q3" i="12" s="1"/>
  <c r="P2" i="8"/>
  <c r="X14" i="8"/>
  <c r="R2" i="8"/>
  <c r="F14" i="8"/>
  <c r="V6" i="8"/>
  <c r="G17" i="8"/>
  <c r="AA6" i="8"/>
  <c r="W14" i="8"/>
  <c r="J6" i="8"/>
  <c r="K6" i="8"/>
  <c r="W6" i="8"/>
  <c r="K17" i="8"/>
  <c r="Y6" i="8"/>
  <c r="P17" i="8"/>
  <c r="P6" i="8"/>
  <c r="Y14" i="8"/>
  <c r="L6" i="8"/>
  <c r="AB17" i="8"/>
  <c r="U6" i="8"/>
  <c r="O17" i="8"/>
  <c r="D6" i="8"/>
  <c r="Q14" i="8"/>
  <c r="O14" i="8"/>
  <c r="I3" i="8"/>
  <c r="Q6" i="8"/>
  <c r="T6" i="8"/>
  <c r="M17" i="8"/>
  <c r="AB6" i="8"/>
  <c r="D14" i="8"/>
  <c r="N14" i="8"/>
  <c r="U17" i="8"/>
  <c r="Z6" i="8"/>
  <c r="E14" i="8"/>
  <c r="Y2" i="8"/>
  <c r="K2" i="8"/>
  <c r="AB12" i="8"/>
  <c r="S2" i="8"/>
  <c r="H2" i="8"/>
  <c r="B14" i="11"/>
  <c r="AA14" i="11" s="1"/>
  <c r="B17" i="11"/>
  <c r="R17" i="11" s="1"/>
  <c r="T2" i="8"/>
  <c r="I2" i="8"/>
  <c r="B8" i="11"/>
  <c r="P8" i="11" s="1"/>
  <c r="W12" i="8"/>
  <c r="AB2" i="8"/>
  <c r="N17" i="8"/>
  <c r="W17" i="8"/>
  <c r="Z2" i="8"/>
  <c r="J2" i="8"/>
  <c r="E12" i="8"/>
  <c r="Q2" i="8"/>
  <c r="F12" i="8"/>
  <c r="I7" i="8"/>
  <c r="F7" i="8"/>
  <c r="L12" i="8"/>
  <c r="M12" i="8"/>
  <c r="C17" i="8"/>
  <c r="R6" i="8"/>
  <c r="R7" i="8"/>
  <c r="Q7" i="8"/>
  <c r="N12" i="8"/>
  <c r="S6" i="8"/>
  <c r="T7" i="8"/>
  <c r="Z7" i="17"/>
  <c r="K6" i="19"/>
  <c r="W7" i="8"/>
  <c r="I7" i="17"/>
  <c r="M6" i="8"/>
  <c r="Y7" i="8"/>
  <c r="Z7" i="8"/>
  <c r="J12" i="8"/>
  <c r="X7" i="8"/>
  <c r="H7" i="17"/>
  <c r="T12" i="8"/>
  <c r="N6" i="8"/>
  <c r="O6" i="8"/>
  <c r="C7" i="8"/>
  <c r="B14" i="17"/>
  <c r="L14" i="17" s="1"/>
  <c r="Y7" i="17"/>
  <c r="J7" i="17"/>
  <c r="K12" i="8"/>
  <c r="U12" i="8"/>
  <c r="T17" i="8"/>
  <c r="X6" i="8"/>
  <c r="R7" i="17"/>
  <c r="R6" i="19"/>
  <c r="E7" i="17"/>
  <c r="C6" i="8"/>
  <c r="C7" i="17"/>
  <c r="E6" i="8"/>
  <c r="K7" i="17"/>
  <c r="V7" i="17"/>
  <c r="X7" i="17"/>
  <c r="D7" i="17"/>
  <c r="B15" i="17"/>
  <c r="Y15" i="17" s="1"/>
  <c r="T7" i="17"/>
  <c r="F6" i="8"/>
  <c r="G6" i="8"/>
  <c r="H6" i="8"/>
  <c r="B2" i="11"/>
  <c r="W2" i="11" s="1"/>
  <c r="B8" i="17"/>
  <c r="J8" i="17" s="1"/>
  <c r="B12" i="11"/>
  <c r="J12" i="11" s="1"/>
  <c r="B3" i="17"/>
  <c r="J3" i="17" s="1"/>
  <c r="G7" i="17"/>
  <c r="B15" i="11"/>
  <c r="T15" i="11" s="1"/>
  <c r="B17" i="17"/>
  <c r="G17" i="17" s="1"/>
  <c r="S2" i="19"/>
  <c r="B6" i="11"/>
  <c r="Q6" i="11" s="1"/>
  <c r="U7" i="17"/>
  <c r="B2" i="17"/>
  <c r="K2" i="17" s="1"/>
  <c r="AB7" i="17"/>
  <c r="M7" i="17"/>
  <c r="F7" i="17"/>
  <c r="N7" i="17"/>
  <c r="AA7" i="17"/>
  <c r="L7" i="17"/>
  <c r="S7" i="17"/>
  <c r="B13" i="17"/>
  <c r="G13" i="17" s="1"/>
  <c r="R13" i="19"/>
  <c r="J13" i="19"/>
  <c r="L14" i="19"/>
  <c r="R14" i="19"/>
  <c r="P14" i="19"/>
  <c r="F14" i="19"/>
  <c r="Y14" i="19"/>
  <c r="I14" i="19"/>
  <c r="AA13" i="19"/>
  <c r="R3" i="19"/>
  <c r="S13" i="19"/>
  <c r="H14" i="19"/>
  <c r="Z6" i="19"/>
  <c r="Z13" i="19"/>
  <c r="T14" i="19"/>
  <c r="AB13" i="19"/>
  <c r="D14" i="19"/>
  <c r="V13" i="19"/>
  <c r="P6" i="19"/>
  <c r="O14" i="19"/>
  <c r="Z14" i="19"/>
  <c r="X13" i="19"/>
  <c r="L13" i="19"/>
  <c r="N14" i="19"/>
  <c r="C13" i="19"/>
  <c r="C3" i="19"/>
  <c r="AA6" i="19"/>
  <c r="K14" i="19"/>
  <c r="G13" i="19"/>
  <c r="G14" i="19"/>
  <c r="P13" i="19"/>
  <c r="U13" i="19"/>
  <c r="E13" i="19"/>
  <c r="C14" i="19"/>
  <c r="Q13" i="19"/>
  <c r="O13" i="19"/>
  <c r="F13" i="19"/>
  <c r="Y13" i="19"/>
  <c r="D13" i="19"/>
  <c r="J14" i="19"/>
  <c r="K3" i="19"/>
  <c r="M14" i="19"/>
  <c r="U14" i="19"/>
  <c r="X14" i="19"/>
  <c r="W13" i="19"/>
  <c r="E14" i="19"/>
  <c r="H13" i="19"/>
  <c r="M13" i="19"/>
  <c r="W14" i="19"/>
  <c r="K13" i="19"/>
  <c r="Q14" i="19"/>
  <c r="B7" i="11"/>
  <c r="R7" i="11" s="1"/>
  <c r="AB14" i="19"/>
  <c r="AA14" i="19"/>
  <c r="S14" i="19"/>
  <c r="G2" i="19"/>
  <c r="N17" i="19"/>
  <c r="P7" i="17"/>
  <c r="B13" i="11"/>
  <c r="Q13" i="11" s="1"/>
  <c r="W7" i="17"/>
  <c r="N13" i="19"/>
  <c r="Q7" i="17"/>
  <c r="T13" i="19"/>
  <c r="O17" i="19"/>
  <c r="D2" i="19"/>
  <c r="Q6" i="19"/>
  <c r="X2" i="19"/>
  <c r="O6" i="19"/>
  <c r="F7" i="19"/>
  <c r="W17" i="19"/>
  <c r="W7" i="19"/>
  <c r="K12" i="19"/>
  <c r="C2" i="19"/>
  <c r="L2" i="19"/>
  <c r="Y17" i="19"/>
  <c r="X17" i="19"/>
  <c r="P17" i="19"/>
  <c r="Z3" i="19"/>
  <c r="K17" i="19"/>
  <c r="Y3" i="19"/>
  <c r="J3" i="19"/>
  <c r="V2" i="19"/>
  <c r="Z2" i="19"/>
  <c r="S3" i="19"/>
  <c r="K2" i="19"/>
  <c r="E12" i="19"/>
  <c r="D3" i="19"/>
  <c r="O2" i="19"/>
  <c r="V12" i="19"/>
  <c r="N3" i="19"/>
  <c r="R17" i="10"/>
  <c r="Y2" i="19"/>
  <c r="Q17" i="19"/>
  <c r="C17" i="19"/>
  <c r="Z12" i="19"/>
  <c r="S12" i="19"/>
  <c r="P12" i="19"/>
  <c r="W3" i="19"/>
  <c r="C7" i="10"/>
  <c r="AB7" i="10"/>
  <c r="G3" i="19"/>
  <c r="J7" i="10"/>
  <c r="Q7" i="19"/>
  <c r="S17" i="10"/>
  <c r="N2" i="19"/>
  <c r="T2" i="19"/>
  <c r="F2" i="19"/>
  <c r="U2" i="19"/>
  <c r="H17" i="19"/>
  <c r="AA2" i="19"/>
  <c r="W17" i="10"/>
  <c r="W2" i="19"/>
  <c r="AB2" i="19"/>
  <c r="E17" i="19"/>
  <c r="AA3" i="19"/>
  <c r="I7" i="10"/>
  <c r="Q3" i="19"/>
  <c r="T3" i="19"/>
  <c r="P2" i="19"/>
  <c r="L3" i="19"/>
  <c r="AA6" i="10"/>
  <c r="G6" i="10"/>
  <c r="J2" i="10"/>
  <c r="I15" i="10"/>
  <c r="H3" i="10"/>
  <c r="AA12" i="19"/>
  <c r="AB3" i="19"/>
  <c r="N15" i="10"/>
  <c r="U17" i="19"/>
  <c r="M12" i="19"/>
  <c r="Y12" i="19"/>
  <c r="O3" i="19"/>
  <c r="H3" i="19"/>
  <c r="V15" i="10"/>
  <c r="Z17" i="10"/>
  <c r="O6" i="10"/>
  <c r="D12" i="19"/>
  <c r="M17" i="19"/>
  <c r="I6" i="19"/>
  <c r="O12" i="19"/>
  <c r="AA17" i="19"/>
  <c r="C12" i="19"/>
  <c r="N17" i="10"/>
  <c r="H17" i="10"/>
  <c r="R6" i="10"/>
  <c r="H2" i="19"/>
  <c r="AB12" i="19"/>
  <c r="F12" i="19"/>
  <c r="AB17" i="19"/>
  <c r="F3" i="19"/>
  <c r="P3" i="19"/>
  <c r="V17" i="19"/>
  <c r="I3" i="19"/>
  <c r="F3" i="10"/>
  <c r="G3" i="10"/>
  <c r="L3" i="10"/>
  <c r="L12" i="10"/>
  <c r="X3" i="10"/>
  <c r="S12" i="10"/>
  <c r="T17" i="19"/>
  <c r="L17" i="10"/>
  <c r="E15" i="10"/>
  <c r="I17" i="10"/>
  <c r="C6" i="10"/>
  <c r="R2" i="19"/>
  <c r="E2" i="19"/>
  <c r="J17" i="19"/>
  <c r="V3" i="19"/>
  <c r="F6" i="10"/>
  <c r="I2" i="10"/>
  <c r="U3" i="19"/>
  <c r="Y17" i="10"/>
  <c r="Y6" i="10"/>
  <c r="P17" i="10"/>
  <c r="Z6" i="10"/>
  <c r="N12" i="19"/>
  <c r="M3" i="19"/>
  <c r="L17" i="19"/>
  <c r="I2" i="19"/>
  <c r="S17" i="19"/>
  <c r="I17" i="19"/>
  <c r="T12" i="19"/>
  <c r="D17" i="19"/>
  <c r="J17" i="10"/>
  <c r="U12" i="10"/>
  <c r="Q17" i="10"/>
  <c r="AA7" i="10"/>
  <c r="D6" i="10"/>
  <c r="F17" i="19"/>
  <c r="Z17" i="19"/>
  <c r="X3" i="19"/>
  <c r="R17" i="19"/>
  <c r="J2" i="19"/>
  <c r="J3" i="10"/>
  <c r="G15" i="10"/>
  <c r="V17" i="10"/>
  <c r="N6" i="10"/>
  <c r="G12" i="19"/>
  <c r="L6" i="10"/>
  <c r="X6" i="10"/>
  <c r="E17" i="10"/>
  <c r="F17" i="10"/>
  <c r="P7" i="10"/>
  <c r="W12" i="19"/>
  <c r="M6" i="10"/>
  <c r="AA17" i="10"/>
  <c r="D17" i="10"/>
  <c r="L7" i="10"/>
  <c r="E6" i="10"/>
  <c r="G2" i="10"/>
  <c r="L15" i="10"/>
  <c r="W12" i="10"/>
  <c r="M7" i="10"/>
  <c r="I6" i="10"/>
  <c r="X2" i="10"/>
  <c r="Q12" i="19"/>
  <c r="U12" i="19"/>
  <c r="L12" i="19"/>
  <c r="H12" i="19"/>
  <c r="Q2" i="19"/>
  <c r="AB3" i="10"/>
  <c r="H7" i="10"/>
  <c r="V7" i="10"/>
  <c r="H6" i="10"/>
  <c r="C2" i="10"/>
  <c r="I3" i="10"/>
  <c r="G17" i="10"/>
  <c r="W3" i="10"/>
  <c r="C17" i="10"/>
  <c r="W7" i="10"/>
  <c r="J6" i="10"/>
  <c r="Y2" i="10"/>
  <c r="R12" i="19"/>
  <c r="Y7" i="10"/>
  <c r="R3" i="10"/>
  <c r="K17" i="10"/>
  <c r="X7" i="10"/>
  <c r="K6" i="10"/>
  <c r="H2" i="10"/>
  <c r="X12" i="19"/>
  <c r="J12" i="19"/>
  <c r="O7" i="19"/>
  <c r="Y6" i="19"/>
  <c r="L6" i="19"/>
  <c r="D6" i="19"/>
  <c r="J6" i="19"/>
  <c r="P3" i="10"/>
  <c r="C3" i="10"/>
  <c r="D12" i="10"/>
  <c r="M17" i="10"/>
  <c r="T17" i="10"/>
  <c r="S7" i="10"/>
  <c r="Z7" i="10"/>
  <c r="AB6" i="10"/>
  <c r="F2" i="10"/>
  <c r="C6" i="19"/>
  <c r="U6" i="19"/>
  <c r="V6" i="19"/>
  <c r="S6" i="19"/>
  <c r="Q15" i="19"/>
  <c r="G6" i="19"/>
  <c r="Q6" i="10"/>
  <c r="L2" i="10"/>
  <c r="M6" i="19"/>
  <c r="T7" i="19"/>
  <c r="R7" i="19"/>
  <c r="Q3" i="10"/>
  <c r="K7" i="10"/>
  <c r="U7" i="10"/>
  <c r="T7" i="10"/>
  <c r="Q7" i="10"/>
  <c r="D7" i="10"/>
  <c r="W6" i="10"/>
  <c r="E7" i="10"/>
  <c r="P6" i="10"/>
  <c r="K2" i="10"/>
  <c r="U3" i="10"/>
  <c r="Z3" i="10"/>
  <c r="X15" i="10"/>
  <c r="K12" i="10"/>
  <c r="U17" i="10"/>
  <c r="G7" i="10"/>
  <c r="S6" i="10"/>
  <c r="T2" i="10"/>
  <c r="X6" i="19"/>
  <c r="I7" i="19"/>
  <c r="H6" i="19"/>
  <c r="R7" i="10"/>
  <c r="V6" i="10"/>
  <c r="T3" i="10"/>
  <c r="Y3" i="10"/>
  <c r="U15" i="10"/>
  <c r="T6" i="19"/>
  <c r="K7" i="19"/>
  <c r="F7" i="10"/>
  <c r="M3" i="10"/>
  <c r="E3" i="10"/>
  <c r="X17" i="10"/>
  <c r="N7" i="10"/>
  <c r="T6" i="10"/>
  <c r="U2" i="10"/>
  <c r="E6" i="19"/>
  <c r="E7" i="19"/>
  <c r="N6" i="19"/>
  <c r="K3" i="10"/>
  <c r="O3" i="10"/>
  <c r="S3" i="10"/>
  <c r="F6" i="19"/>
  <c r="N3" i="10"/>
  <c r="D3" i="10"/>
  <c r="G12" i="10"/>
  <c r="O17" i="10"/>
  <c r="V3" i="10"/>
  <c r="V2" i="10"/>
  <c r="AB6" i="19"/>
  <c r="N2" i="10"/>
  <c r="O2" i="10"/>
  <c r="R2" i="10"/>
  <c r="C8" i="10"/>
  <c r="AA2" i="10"/>
  <c r="M8" i="10"/>
  <c r="K8" i="10"/>
  <c r="P2" i="10"/>
  <c r="J7" i="19"/>
  <c r="L8" i="10"/>
  <c r="Q2" i="10"/>
  <c r="G7" i="19"/>
  <c r="M7" i="19"/>
  <c r="L7" i="19"/>
  <c r="U7" i="19"/>
  <c r="AB2" i="10"/>
  <c r="N8" i="10"/>
  <c r="S2" i="10"/>
  <c r="Q8" i="10"/>
  <c r="W2" i="10"/>
  <c r="R8" i="10"/>
  <c r="Z2" i="10"/>
  <c r="S7" i="19"/>
  <c r="C7" i="19"/>
  <c r="V7" i="19"/>
  <c r="N7" i="19"/>
  <c r="AA7" i="19"/>
  <c r="D7" i="19"/>
  <c r="M2" i="10"/>
  <c r="W8" i="10"/>
  <c r="D2" i="10"/>
  <c r="AB7" i="19"/>
  <c r="P15" i="19"/>
  <c r="G15" i="19"/>
  <c r="J8" i="10"/>
  <c r="W15" i="19"/>
  <c r="AA15" i="19"/>
  <c r="Y8" i="10"/>
  <c r="T8" i="10"/>
  <c r="F8" i="10"/>
  <c r="P7" i="19"/>
  <c r="U15" i="19"/>
  <c r="N15" i="19"/>
  <c r="G8" i="10"/>
  <c r="S8" i="10"/>
  <c r="H8" i="10"/>
  <c r="X7" i="19"/>
  <c r="P8" i="10"/>
  <c r="U8" i="10"/>
  <c r="H7" i="19"/>
  <c r="Z7" i="19"/>
  <c r="T15" i="19"/>
  <c r="V8" i="10"/>
  <c r="F15" i="19"/>
  <c r="X8" i="10"/>
  <c r="C15" i="19"/>
  <c r="O8" i="10"/>
  <c r="S15" i="19"/>
  <c r="AB8" i="10"/>
  <c r="D8" i="10"/>
  <c r="J15" i="19"/>
  <c r="Z8" i="10"/>
  <c r="AA8" i="10"/>
  <c r="E8" i="10"/>
  <c r="I15" i="19"/>
  <c r="Z15" i="19"/>
  <c r="O15" i="19"/>
  <c r="L15" i="19"/>
  <c r="D15" i="19"/>
  <c r="H15" i="19"/>
  <c r="K15" i="19"/>
  <c r="R15" i="19"/>
  <c r="V15" i="19"/>
  <c r="M15" i="19"/>
  <c r="X15" i="19"/>
  <c r="E15" i="19"/>
  <c r="Y15" i="19"/>
  <c r="B12" i="9"/>
  <c r="M12" i="9" s="1"/>
  <c r="G7" i="9"/>
  <c r="B6" i="9"/>
  <c r="R6" i="9" s="1"/>
  <c r="N7" i="9"/>
  <c r="O7" i="9"/>
  <c r="C7" i="9"/>
  <c r="H7" i="9"/>
  <c r="P7" i="9"/>
  <c r="L7" i="9"/>
  <c r="B3" i="9"/>
  <c r="U3" i="9" s="1"/>
  <c r="M7" i="9"/>
  <c r="D7" i="9"/>
  <c r="Y7" i="9"/>
  <c r="I7" i="9"/>
  <c r="E7" i="9"/>
  <c r="V7" i="9"/>
  <c r="K7" i="9"/>
  <c r="F7" i="9"/>
  <c r="J7" i="9"/>
  <c r="AB7" i="9"/>
  <c r="T7" i="9"/>
  <c r="B8" i="9"/>
  <c r="AA8" i="9" s="1"/>
  <c r="X7" i="9"/>
  <c r="B2" i="9"/>
  <c r="AA2" i="9" s="1"/>
  <c r="Z7" i="9"/>
  <c r="Q7" i="9"/>
  <c r="B15" i="9"/>
  <c r="Q15" i="9" s="1"/>
  <c r="R7" i="9"/>
  <c r="B14" i="9"/>
  <c r="D14" i="9" s="1"/>
  <c r="S7" i="9"/>
  <c r="U7" i="9"/>
  <c r="B17" i="9"/>
  <c r="M17" i="9" s="1"/>
  <c r="W7" i="9"/>
  <c r="B13" i="9"/>
  <c r="H13" i="9" s="1"/>
  <c r="L22" i="7"/>
  <c r="W3" i="11"/>
  <c r="U3" i="11"/>
  <c r="P3" i="11"/>
  <c r="F3" i="11"/>
  <c r="T3" i="11"/>
  <c r="J3" i="11"/>
  <c r="D3" i="11"/>
  <c r="S3" i="11"/>
  <c r="E3" i="11"/>
  <c r="Q3" i="11"/>
  <c r="C3" i="11"/>
  <c r="V3" i="11"/>
  <c r="N3" i="11"/>
  <c r="I3" i="11"/>
  <c r="O3" i="11"/>
  <c r="AB3" i="11"/>
  <c r="M3" i="11"/>
  <c r="L3" i="11"/>
  <c r="X3" i="11"/>
  <c r="G3" i="11"/>
  <c r="Y3" i="11"/>
  <c r="AA3" i="11"/>
  <c r="R3" i="11"/>
  <c r="Z3" i="11"/>
  <c r="K3" i="11"/>
  <c r="H3" i="11"/>
  <c r="B13" i="16"/>
  <c r="B7" i="16"/>
  <c r="B15" i="16"/>
  <c r="B12" i="16"/>
  <c r="B3" i="16"/>
  <c r="B2" i="16"/>
  <c r="B8" i="16"/>
  <c r="B6" i="16"/>
  <c r="B17" i="16"/>
  <c r="B14" i="16"/>
  <c r="M17" i="22"/>
  <c r="P17" i="22"/>
  <c r="H17" i="22"/>
  <c r="AA17" i="22"/>
  <c r="G17" i="22"/>
  <c r="C17" i="22"/>
  <c r="AB17" i="22"/>
  <c r="Y17" i="22"/>
  <c r="Z17" i="22"/>
  <c r="X17" i="22"/>
  <c r="Q17" i="22"/>
  <c r="J17" i="22"/>
  <c r="W17" i="22"/>
  <c r="V17" i="22"/>
  <c r="K17" i="22"/>
  <c r="E17" i="22"/>
  <c r="T17" i="22"/>
  <c r="R17" i="22"/>
  <c r="O17" i="22"/>
  <c r="N17" i="22"/>
  <c r="L17" i="22"/>
  <c r="S17" i="22"/>
  <c r="I17" i="22"/>
  <c r="F17" i="22"/>
  <c r="D17" i="22"/>
  <c r="U17" i="22"/>
  <c r="G17" i="21"/>
  <c r="I17" i="21"/>
  <c r="C17" i="21"/>
  <c r="F17" i="21"/>
  <c r="N17" i="21"/>
  <c r="D17" i="21"/>
  <c r="M17" i="21"/>
  <c r="X17" i="21"/>
  <c r="E14" i="20"/>
  <c r="J14" i="20"/>
  <c r="Z14" i="20"/>
  <c r="D14" i="20"/>
  <c r="T14" i="20"/>
  <c r="I14" i="20"/>
  <c r="H14" i="20"/>
  <c r="G14" i="20"/>
  <c r="C14" i="20"/>
  <c r="Y14" i="20"/>
  <c r="X14" i="20"/>
  <c r="V14" i="20"/>
  <c r="R14" i="20"/>
  <c r="Q14" i="20"/>
  <c r="N14" i="20"/>
  <c r="M14" i="20"/>
  <c r="L14" i="20"/>
  <c r="U14" i="20"/>
  <c r="AB14" i="20"/>
  <c r="F14" i="20"/>
  <c r="AA14" i="20"/>
  <c r="W14" i="20"/>
  <c r="O14" i="20"/>
  <c r="P14" i="20"/>
  <c r="K14" i="20"/>
  <c r="S14" i="20"/>
  <c r="O15" i="20"/>
  <c r="N15" i="20"/>
  <c r="H15" i="20"/>
  <c r="G15" i="20"/>
  <c r="F15" i="20"/>
  <c r="E15" i="20"/>
  <c r="AB15" i="20"/>
  <c r="AA15" i="20"/>
  <c r="Z15" i="20"/>
  <c r="Q15" i="20"/>
  <c r="M15" i="20"/>
  <c r="I15" i="20"/>
  <c r="D15" i="20"/>
  <c r="C15" i="20"/>
  <c r="X15" i="20"/>
  <c r="Y15" i="20"/>
  <c r="S15" i="20"/>
  <c r="L15" i="20"/>
  <c r="K15" i="20"/>
  <c r="R15" i="20"/>
  <c r="P15" i="20"/>
  <c r="J15" i="20"/>
  <c r="V15" i="20"/>
  <c r="U15" i="20"/>
  <c r="W15" i="20"/>
  <c r="T15" i="20"/>
  <c r="Y8" i="20"/>
  <c r="O8" i="20"/>
  <c r="L8" i="20"/>
  <c r="Z8" i="20"/>
  <c r="G8" i="20"/>
  <c r="W8" i="20"/>
  <c r="AA8" i="20"/>
  <c r="V8" i="20"/>
  <c r="E8" i="20"/>
  <c r="T8" i="20"/>
  <c r="K8" i="20"/>
  <c r="J8" i="20"/>
  <c r="I8" i="20"/>
  <c r="H8" i="20"/>
  <c r="U8" i="20"/>
  <c r="Q8" i="20"/>
  <c r="S8" i="20"/>
  <c r="N8" i="20"/>
  <c r="M8" i="20"/>
  <c r="X8" i="20"/>
  <c r="R8" i="20"/>
  <c r="D8" i="20"/>
  <c r="P8" i="20"/>
  <c r="C8" i="20"/>
  <c r="AB8" i="20"/>
  <c r="F8" i="20"/>
  <c r="D3" i="20"/>
  <c r="C3" i="20"/>
  <c r="W3" i="20"/>
  <c r="Y3" i="20"/>
  <c r="V3" i="20"/>
  <c r="O3" i="20"/>
  <c r="F3" i="20"/>
  <c r="N3" i="20"/>
  <c r="I3" i="20"/>
  <c r="M3" i="20"/>
  <c r="H3" i="20"/>
  <c r="E3" i="20"/>
  <c r="Z3" i="20"/>
  <c r="X3" i="20"/>
  <c r="U3" i="20"/>
  <c r="R3" i="20"/>
  <c r="AA3" i="20"/>
  <c r="T3" i="20"/>
  <c r="G3" i="20"/>
  <c r="AB3" i="20"/>
  <c r="P3" i="20"/>
  <c r="S3" i="20"/>
  <c r="L3" i="20"/>
  <c r="Q3" i="20"/>
  <c r="J3" i="20"/>
  <c r="K3" i="20"/>
  <c r="AA7" i="20"/>
  <c r="V7" i="20"/>
  <c r="D7" i="20"/>
  <c r="U7" i="20"/>
  <c r="Z7" i="20"/>
  <c r="M7" i="20"/>
  <c r="C7" i="20"/>
  <c r="X7" i="20"/>
  <c r="L7" i="20"/>
  <c r="J7" i="20"/>
  <c r="I7" i="20"/>
  <c r="H7" i="20"/>
  <c r="AB7" i="20"/>
  <c r="Y7" i="20"/>
  <c r="W7" i="20"/>
  <c r="Q7" i="20"/>
  <c r="N7" i="20"/>
  <c r="T7" i="20"/>
  <c r="R7" i="20"/>
  <c r="E7" i="20"/>
  <c r="O7" i="20"/>
  <c r="F7" i="20"/>
  <c r="G7" i="20"/>
  <c r="K7" i="20"/>
  <c r="P7" i="20"/>
  <c r="S7" i="20"/>
  <c r="S12" i="20"/>
  <c r="R12" i="20"/>
  <c r="Q12" i="20"/>
  <c r="P12" i="20"/>
  <c r="AB12" i="20"/>
  <c r="V12" i="20"/>
  <c r="N12" i="20"/>
  <c r="AA12" i="20"/>
  <c r="Z12" i="20"/>
  <c r="Y12" i="20"/>
  <c r="X12" i="20"/>
  <c r="F12" i="20"/>
  <c r="C12" i="20"/>
  <c r="L12" i="20"/>
  <c r="W12" i="20"/>
  <c r="O12" i="20"/>
  <c r="E12" i="20"/>
  <c r="J12" i="20"/>
  <c r="T12" i="20"/>
  <c r="H12" i="20"/>
  <c r="M12" i="20"/>
  <c r="K12" i="20"/>
  <c r="I12" i="20"/>
  <c r="G12" i="20"/>
  <c r="D12" i="20"/>
  <c r="U12" i="20"/>
  <c r="K2" i="20"/>
  <c r="J2" i="20"/>
  <c r="T2" i="20"/>
  <c r="Q2" i="20"/>
  <c r="V2" i="20"/>
  <c r="O2" i="20"/>
  <c r="M2" i="20"/>
  <c r="H2" i="20"/>
  <c r="P2" i="20"/>
  <c r="E2" i="20"/>
  <c r="Y2" i="20"/>
  <c r="D2" i="20"/>
  <c r="AB2" i="20"/>
  <c r="AA2" i="20"/>
  <c r="Z2" i="20"/>
  <c r="G2" i="20"/>
  <c r="U2" i="20"/>
  <c r="F2" i="20"/>
  <c r="C2" i="20"/>
  <c r="X2" i="20"/>
  <c r="W2" i="20"/>
  <c r="N2" i="20"/>
  <c r="I2" i="20"/>
  <c r="R2" i="20"/>
  <c r="L2" i="20"/>
  <c r="S2" i="20"/>
  <c r="E13" i="20"/>
  <c r="U13" i="20"/>
  <c r="S13" i="20"/>
  <c r="R13" i="20"/>
  <c r="K13" i="20"/>
  <c r="O13" i="20"/>
  <c r="J13" i="20"/>
  <c r="Y13" i="20"/>
  <c r="C13" i="20"/>
  <c r="I13" i="20"/>
  <c r="H13" i="20"/>
  <c r="G13" i="20"/>
  <c r="F13" i="20"/>
  <c r="N13" i="20"/>
  <c r="T13" i="20"/>
  <c r="P13" i="20"/>
  <c r="M13" i="20"/>
  <c r="W13" i="20"/>
  <c r="D13" i="20"/>
  <c r="L13" i="20"/>
  <c r="Z13" i="20"/>
  <c r="X13" i="20"/>
  <c r="AA13" i="20"/>
  <c r="Q13" i="20"/>
  <c r="AB13" i="20"/>
  <c r="V13" i="20"/>
  <c r="AB6" i="21"/>
  <c r="AA6" i="21"/>
  <c r="Z6" i="21"/>
  <c r="M6" i="21"/>
  <c r="L6" i="21"/>
  <c r="K6" i="21"/>
  <c r="J6" i="21"/>
  <c r="D6" i="21"/>
  <c r="U6" i="21"/>
  <c r="N6" i="21"/>
  <c r="I6" i="21"/>
  <c r="Y6" i="21"/>
  <c r="H6" i="21"/>
  <c r="C6" i="21"/>
  <c r="G6" i="21"/>
  <c r="X6" i="21"/>
  <c r="F6" i="21"/>
  <c r="Q6" i="21"/>
  <c r="O6" i="21"/>
  <c r="E6" i="21"/>
  <c r="W6" i="21"/>
  <c r="V6" i="21"/>
  <c r="P6" i="21"/>
  <c r="R6" i="21"/>
  <c r="T6" i="21"/>
  <c r="S6" i="21"/>
  <c r="I7" i="18"/>
  <c r="T7" i="18"/>
  <c r="S7" i="18"/>
  <c r="P7" i="18"/>
  <c r="O7" i="18"/>
  <c r="R7" i="18"/>
  <c r="H7" i="18"/>
  <c r="E7" i="18"/>
  <c r="G7" i="18"/>
  <c r="F7" i="18"/>
  <c r="W7" i="18"/>
  <c r="L7" i="18"/>
  <c r="V7" i="18"/>
  <c r="U7" i="18"/>
  <c r="J7" i="18"/>
  <c r="Q7" i="18"/>
  <c r="K7" i="18"/>
  <c r="D7" i="18"/>
  <c r="C7" i="18"/>
  <c r="M7" i="18"/>
  <c r="N7" i="18"/>
  <c r="X7" i="18"/>
  <c r="AA7" i="18"/>
  <c r="AB7" i="18"/>
  <c r="Z7" i="18"/>
  <c r="Y7" i="18"/>
  <c r="H15" i="21"/>
  <c r="G15" i="21"/>
  <c r="J15" i="21"/>
  <c r="K15" i="21"/>
  <c r="I15" i="21"/>
  <c r="Y15" i="21"/>
  <c r="T15" i="21"/>
  <c r="U15" i="21"/>
  <c r="AA15" i="21"/>
  <c r="R15" i="21"/>
  <c r="O15" i="21"/>
  <c r="AB15" i="21"/>
  <c r="M15" i="21"/>
  <c r="L15" i="21"/>
  <c r="Z15" i="21"/>
  <c r="Q15" i="21"/>
  <c r="V15" i="21"/>
  <c r="S15" i="21"/>
  <c r="P15" i="21"/>
  <c r="X15" i="21"/>
  <c r="W15" i="21"/>
  <c r="N15" i="21"/>
  <c r="E15" i="21"/>
  <c r="D15" i="21"/>
  <c r="F15" i="21"/>
  <c r="C15" i="21"/>
  <c r="Q6" i="18"/>
  <c r="W6" i="18"/>
  <c r="D6" i="18"/>
  <c r="C6" i="18"/>
  <c r="AA6" i="18"/>
  <c r="Z6" i="18"/>
  <c r="M6" i="18"/>
  <c r="L6" i="18"/>
  <c r="N6" i="18"/>
  <c r="K6" i="18"/>
  <c r="F6" i="18"/>
  <c r="T6" i="18"/>
  <c r="S6" i="18"/>
  <c r="U6" i="18"/>
  <c r="AB6" i="18"/>
  <c r="J6" i="18"/>
  <c r="R6" i="18"/>
  <c r="E6" i="18"/>
  <c r="P6" i="18"/>
  <c r="O6" i="18"/>
  <c r="I6" i="18"/>
  <c r="H6" i="18"/>
  <c r="G6" i="18"/>
  <c r="V6" i="18"/>
  <c r="Y6" i="18"/>
  <c r="X6" i="18"/>
  <c r="L2" i="22"/>
  <c r="K2" i="22"/>
  <c r="J2" i="22"/>
  <c r="I2" i="22"/>
  <c r="AA2" i="22"/>
  <c r="O2" i="22"/>
  <c r="M2" i="22"/>
  <c r="H2" i="22"/>
  <c r="G2" i="22"/>
  <c r="D2" i="22"/>
  <c r="X2" i="22"/>
  <c r="W2" i="22"/>
  <c r="S2" i="22"/>
  <c r="V2" i="22"/>
  <c r="R2" i="22"/>
  <c r="U2" i="22"/>
  <c r="T2" i="22"/>
  <c r="Q2" i="22"/>
  <c r="P2" i="22"/>
  <c r="N2" i="22"/>
  <c r="AB2" i="22"/>
  <c r="F2" i="22"/>
  <c r="Y2" i="22"/>
  <c r="C2" i="22"/>
  <c r="E2" i="22"/>
  <c r="Z2" i="22"/>
  <c r="U3" i="21"/>
  <c r="Q3" i="21"/>
  <c r="F3" i="21"/>
  <c r="AA3" i="21"/>
  <c r="AB3" i="21"/>
  <c r="E3" i="21"/>
  <c r="T3" i="21"/>
  <c r="X3" i="21"/>
  <c r="M3" i="21"/>
  <c r="F14" i="18"/>
  <c r="U14" i="18"/>
  <c r="Z14" i="18"/>
  <c r="X14" i="18"/>
  <c r="W14" i="18"/>
  <c r="I14" i="18"/>
  <c r="G14" i="18"/>
  <c r="E14" i="18"/>
  <c r="D14" i="18"/>
  <c r="AA14" i="18"/>
  <c r="H14" i="18"/>
  <c r="Y14" i="18"/>
  <c r="V14" i="18"/>
  <c r="N14" i="18"/>
  <c r="M14" i="18"/>
  <c r="Q14" i="18"/>
  <c r="P14" i="18"/>
  <c r="O14" i="18"/>
  <c r="L14" i="18"/>
  <c r="S14" i="18"/>
  <c r="R14" i="18"/>
  <c r="AB14" i="18"/>
  <c r="C14" i="18"/>
  <c r="T14" i="18"/>
  <c r="K14" i="18"/>
  <c r="J14" i="18"/>
  <c r="I2" i="12"/>
  <c r="J2" i="12"/>
  <c r="Q2" i="12"/>
  <c r="H2" i="12"/>
  <c r="N2" i="12"/>
  <c r="G2" i="12"/>
  <c r="M2" i="12"/>
  <c r="F2" i="12"/>
  <c r="T2" i="12"/>
  <c r="S2" i="12"/>
  <c r="R2" i="12"/>
  <c r="Y2" i="12"/>
  <c r="AA2" i="12"/>
  <c r="P2" i="12"/>
  <c r="L2" i="12"/>
  <c r="C2" i="12"/>
  <c r="AB2" i="12"/>
  <c r="D2" i="12"/>
  <c r="X2" i="12"/>
  <c r="K2" i="12"/>
  <c r="O2" i="12"/>
  <c r="E2" i="12"/>
  <c r="V2" i="12"/>
  <c r="Z2" i="12"/>
  <c r="W2" i="12"/>
  <c r="U2" i="12"/>
  <c r="I12" i="18"/>
  <c r="Y12" i="18"/>
  <c r="T12" i="18"/>
  <c r="E12" i="18"/>
  <c r="R12" i="18"/>
  <c r="Q12" i="18"/>
  <c r="H12" i="18"/>
  <c r="U12" i="18"/>
  <c r="W12" i="18"/>
  <c r="V12" i="18"/>
  <c r="O12" i="18"/>
  <c r="M12" i="18"/>
  <c r="AB12" i="18"/>
  <c r="N12" i="18"/>
  <c r="J12" i="18"/>
  <c r="G12" i="18"/>
  <c r="L12" i="18"/>
  <c r="AA12" i="18"/>
  <c r="K12" i="18"/>
  <c r="Z12" i="18"/>
  <c r="P12" i="18"/>
  <c r="F12" i="18"/>
  <c r="D12" i="18"/>
  <c r="S12" i="18"/>
  <c r="C12" i="18"/>
  <c r="X12" i="18"/>
  <c r="V3" i="22"/>
  <c r="S3" i="22"/>
  <c r="N3" i="22"/>
  <c r="AA3" i="22"/>
  <c r="M3" i="22"/>
  <c r="Z3" i="22"/>
  <c r="L3" i="22"/>
  <c r="K3" i="22"/>
  <c r="I3" i="22"/>
  <c r="O3" i="22"/>
  <c r="D3" i="22"/>
  <c r="W3" i="22"/>
  <c r="F3" i="22"/>
  <c r="E3" i="22"/>
  <c r="C3" i="22"/>
  <c r="J3" i="22"/>
  <c r="H3" i="22"/>
  <c r="G3" i="22"/>
  <c r="U3" i="22"/>
  <c r="T3" i="22"/>
  <c r="Y3" i="22"/>
  <c r="X3" i="22"/>
  <c r="AB3" i="22"/>
  <c r="R3" i="22"/>
  <c r="P3" i="22"/>
  <c r="Q3" i="22"/>
  <c r="G17" i="18"/>
  <c r="F17" i="18"/>
  <c r="L17" i="18"/>
  <c r="H17" i="18"/>
  <c r="V17" i="18"/>
  <c r="R17" i="18"/>
  <c r="J17" i="18"/>
  <c r="W17" i="18"/>
  <c r="Q17" i="18"/>
  <c r="C17" i="18"/>
  <c r="I17" i="18"/>
  <c r="Z17" i="18"/>
  <c r="Y17" i="18"/>
  <c r="X17" i="18"/>
  <c r="D17" i="18"/>
  <c r="E17" i="18"/>
  <c r="U17" i="18"/>
  <c r="AA17" i="18"/>
  <c r="S17" i="18"/>
  <c r="AB17" i="18"/>
  <c r="T17" i="18"/>
  <c r="M17" i="18"/>
  <c r="O17" i="18"/>
  <c r="P17" i="18"/>
  <c r="N17" i="18"/>
  <c r="K17" i="18"/>
  <c r="S17" i="20"/>
  <c r="R17" i="20"/>
  <c r="Z17" i="20"/>
  <c r="V17" i="20"/>
  <c r="Q17" i="20"/>
  <c r="P17" i="20"/>
  <c r="H17" i="20"/>
  <c r="M17" i="20"/>
  <c r="Y17" i="20"/>
  <c r="L17" i="20"/>
  <c r="AB17" i="20"/>
  <c r="K17" i="20"/>
  <c r="X17" i="20"/>
  <c r="AA17" i="20"/>
  <c r="W17" i="20"/>
  <c r="E17" i="20"/>
  <c r="G17" i="20"/>
  <c r="F17" i="20"/>
  <c r="D17" i="20"/>
  <c r="O17" i="20"/>
  <c r="I17" i="20"/>
  <c r="U17" i="20"/>
  <c r="C17" i="20"/>
  <c r="N17" i="20"/>
  <c r="J17" i="20"/>
  <c r="T17" i="20"/>
  <c r="M15" i="22"/>
  <c r="K15" i="22"/>
  <c r="I15" i="22"/>
  <c r="H15" i="22"/>
  <c r="P15" i="22"/>
  <c r="N15" i="22"/>
  <c r="U15" i="22"/>
  <c r="C15" i="22"/>
  <c r="R15" i="22"/>
  <c r="Q15" i="22"/>
  <c r="J15" i="22"/>
  <c r="D15" i="22"/>
  <c r="F15" i="22"/>
  <c r="Y15" i="22"/>
  <c r="E15" i="22"/>
  <c r="AA15" i="22"/>
  <c r="G15" i="22"/>
  <c r="V15" i="22"/>
  <c r="O15" i="22"/>
  <c r="X15" i="22"/>
  <c r="AB15" i="22"/>
  <c r="W15" i="22"/>
  <c r="S15" i="22"/>
  <c r="L15" i="22"/>
  <c r="Z15" i="22"/>
  <c r="T15" i="22"/>
  <c r="G6" i="20"/>
  <c r="O6" i="20"/>
  <c r="AB6" i="20"/>
  <c r="N6" i="20"/>
  <c r="E6" i="20"/>
  <c r="L6" i="20"/>
  <c r="K6" i="20"/>
  <c r="J6" i="20"/>
  <c r="I6" i="20"/>
  <c r="W6" i="20"/>
  <c r="V6" i="20"/>
  <c r="U6" i="20"/>
  <c r="T6" i="20"/>
  <c r="M6" i="20"/>
  <c r="C6" i="20"/>
  <c r="X6" i="20"/>
  <c r="AA6" i="20"/>
  <c r="R6" i="20"/>
  <c r="Y6" i="20"/>
  <c r="P6" i="20"/>
  <c r="S6" i="20"/>
  <c r="D6" i="20"/>
  <c r="Q6" i="20"/>
  <c r="H6" i="20"/>
  <c r="Z6" i="20"/>
  <c r="F6" i="20"/>
  <c r="H2" i="18"/>
  <c r="G2" i="18"/>
  <c r="Y2" i="18"/>
  <c r="L2" i="18"/>
  <c r="J2" i="18"/>
  <c r="K2" i="18"/>
  <c r="E2" i="18"/>
  <c r="U2" i="18"/>
  <c r="T2" i="18"/>
  <c r="S2" i="18"/>
  <c r="O2" i="18"/>
  <c r="I2" i="18"/>
  <c r="F2" i="18"/>
  <c r="AB2" i="18"/>
  <c r="AA2" i="18"/>
  <c r="Z2" i="18"/>
  <c r="P2" i="18"/>
  <c r="D2" i="18"/>
  <c r="M2" i="18"/>
  <c r="V2" i="18"/>
  <c r="N2" i="18"/>
  <c r="C2" i="18"/>
  <c r="X2" i="18"/>
  <c r="W2" i="18"/>
  <c r="R2" i="18"/>
  <c r="Q2" i="18"/>
  <c r="F6" i="22"/>
  <c r="Q6" i="22"/>
  <c r="N6" i="22"/>
  <c r="Y6" i="22"/>
  <c r="E6" i="22"/>
  <c r="I6" i="22"/>
  <c r="G6" i="22"/>
  <c r="C6" i="22"/>
  <c r="S6" i="22"/>
  <c r="R6" i="22"/>
  <c r="P6" i="22"/>
  <c r="V6" i="22"/>
  <c r="H6" i="22"/>
  <c r="T6" i="22"/>
  <c r="AB6" i="22"/>
  <c r="AA6" i="22"/>
  <c r="M6" i="22"/>
  <c r="L6" i="22"/>
  <c r="K6" i="22"/>
  <c r="J6" i="22"/>
  <c r="O6" i="22"/>
  <c r="D6" i="22"/>
  <c r="Z6" i="22"/>
  <c r="U6" i="22"/>
  <c r="X6" i="22"/>
  <c r="W6" i="22"/>
  <c r="Z13" i="18"/>
  <c r="C13" i="18"/>
  <c r="D13" i="18"/>
  <c r="Q13" i="18"/>
  <c r="O13" i="18"/>
  <c r="P13" i="18"/>
  <c r="AA13" i="18"/>
  <c r="Y13" i="18"/>
  <c r="X13" i="18"/>
  <c r="G13" i="18"/>
  <c r="AB13" i="18"/>
  <c r="F13" i="18"/>
  <c r="R13" i="18"/>
  <c r="I13" i="18"/>
  <c r="L13" i="18"/>
  <c r="T13" i="18"/>
  <c r="K13" i="18"/>
  <c r="J13" i="18"/>
  <c r="M13" i="18"/>
  <c r="U13" i="18"/>
  <c r="H13" i="18"/>
  <c r="E13" i="18"/>
  <c r="N13" i="18"/>
  <c r="S13" i="18"/>
  <c r="V13" i="18"/>
  <c r="W13" i="18"/>
  <c r="J8" i="22"/>
  <c r="G8" i="22"/>
  <c r="E8" i="22"/>
  <c r="D8" i="22"/>
  <c r="C8" i="22"/>
  <c r="W8" i="22"/>
  <c r="V8" i="22"/>
  <c r="U8" i="22"/>
  <c r="S8" i="22"/>
  <c r="AA8" i="22"/>
  <c r="Z8" i="22"/>
  <c r="P8" i="22"/>
  <c r="K8" i="22"/>
  <c r="O8" i="22"/>
  <c r="Y8" i="22"/>
  <c r="N8" i="22"/>
  <c r="Q8" i="22"/>
  <c r="L8" i="22"/>
  <c r="R8" i="22"/>
  <c r="AB8" i="22"/>
  <c r="F8" i="22"/>
  <c r="H8" i="22"/>
  <c r="T8" i="22"/>
  <c r="M8" i="22"/>
  <c r="X8" i="22"/>
  <c r="I8" i="22"/>
  <c r="Y13" i="22"/>
  <c r="C13" i="22"/>
  <c r="Q13" i="22"/>
  <c r="O13" i="22"/>
  <c r="N13" i="22"/>
  <c r="M13" i="22"/>
  <c r="H13" i="22"/>
  <c r="W13" i="22"/>
  <c r="P13" i="22"/>
  <c r="G13" i="22"/>
  <c r="D13" i="22"/>
  <c r="Z13" i="22"/>
  <c r="V13" i="22"/>
  <c r="U13" i="22"/>
  <c r="L13" i="22"/>
  <c r="T13" i="22"/>
  <c r="J13" i="22"/>
  <c r="S13" i="22"/>
  <c r="F13" i="22"/>
  <c r="X13" i="22"/>
  <c r="K13" i="22"/>
  <c r="I13" i="22"/>
  <c r="AB13" i="22"/>
  <c r="E13" i="22"/>
  <c r="R13" i="22"/>
  <c r="AA13" i="22"/>
  <c r="F3" i="18"/>
  <c r="E3" i="18"/>
  <c r="W3" i="18"/>
  <c r="Q3" i="18"/>
  <c r="R3" i="18"/>
  <c r="N3" i="18"/>
  <c r="K3" i="18"/>
  <c r="I3" i="18"/>
  <c r="G3" i="18"/>
  <c r="T3" i="18"/>
  <c r="D3" i="18"/>
  <c r="P3" i="18"/>
  <c r="O3" i="18"/>
  <c r="Z3" i="18"/>
  <c r="S3" i="18"/>
  <c r="AB3" i="18"/>
  <c r="U3" i="18"/>
  <c r="C3" i="18"/>
  <c r="Y3" i="18"/>
  <c r="AA3" i="18"/>
  <c r="X3" i="18"/>
  <c r="V3" i="18"/>
  <c r="H3" i="18"/>
  <c r="M3" i="18"/>
  <c r="J3" i="18"/>
  <c r="L3" i="18"/>
  <c r="S2" i="21"/>
  <c r="K2" i="21"/>
  <c r="M2" i="21"/>
  <c r="P2" i="21"/>
  <c r="X2" i="21"/>
  <c r="R2" i="21"/>
  <c r="O2" i="21"/>
  <c r="L2" i="21"/>
  <c r="D2" i="21"/>
  <c r="AA2" i="21"/>
  <c r="Z2" i="21"/>
  <c r="C2" i="21"/>
  <c r="Q2" i="21"/>
  <c r="J2" i="21"/>
  <c r="V2" i="21"/>
  <c r="N2" i="21"/>
  <c r="I2" i="21"/>
  <c r="W2" i="21"/>
  <c r="T2" i="21"/>
  <c r="H2" i="21"/>
  <c r="U2" i="21"/>
  <c r="F2" i="21"/>
  <c r="E2" i="21"/>
  <c r="G2" i="21"/>
  <c r="Y2" i="21"/>
  <c r="AB2" i="21"/>
  <c r="X14" i="22"/>
  <c r="U14" i="22"/>
  <c r="O14" i="22"/>
  <c r="J14" i="22"/>
  <c r="N14" i="22"/>
  <c r="G14" i="22"/>
  <c r="H14" i="22"/>
  <c r="AB14" i="22"/>
  <c r="I14" i="22"/>
  <c r="F14" i="22"/>
  <c r="C14" i="22"/>
  <c r="AA14" i="22"/>
  <c r="K14" i="22"/>
  <c r="E14" i="22"/>
  <c r="Z14" i="22"/>
  <c r="D14" i="22"/>
  <c r="W14" i="22"/>
  <c r="V14" i="22"/>
  <c r="T14" i="22"/>
  <c r="S14" i="22"/>
  <c r="P14" i="22"/>
  <c r="M14" i="22"/>
  <c r="L14" i="22"/>
  <c r="R14" i="22"/>
  <c r="Q14" i="22"/>
  <c r="Y14" i="22"/>
  <c r="E12" i="22"/>
  <c r="D12" i="22"/>
  <c r="C12" i="22"/>
  <c r="AB12" i="22"/>
  <c r="AA12" i="22"/>
  <c r="Z12" i="22"/>
  <c r="Y12" i="22"/>
  <c r="U12" i="22"/>
  <c r="G12" i="22"/>
  <c r="X12" i="22"/>
  <c r="L12" i="22"/>
  <c r="M12" i="22"/>
  <c r="I12" i="22"/>
  <c r="F12" i="22"/>
  <c r="Q12" i="22"/>
  <c r="T12" i="22"/>
  <c r="O12" i="22"/>
  <c r="R12" i="22"/>
  <c r="J12" i="22"/>
  <c r="P12" i="22"/>
  <c r="N12" i="22"/>
  <c r="K12" i="22"/>
  <c r="H12" i="22"/>
  <c r="V12" i="22"/>
  <c r="S12" i="22"/>
  <c r="W12" i="22"/>
  <c r="E15" i="18"/>
  <c r="C15" i="18"/>
  <c r="V15" i="18"/>
  <c r="AB15" i="18"/>
  <c r="D15" i="18"/>
  <c r="T15" i="18"/>
  <c r="F15" i="18"/>
  <c r="Z15" i="18"/>
  <c r="Q15" i="18"/>
  <c r="M15" i="18"/>
  <c r="G15" i="18"/>
  <c r="W15" i="18"/>
  <c r="Y15" i="18"/>
  <c r="P15" i="18"/>
  <c r="I15" i="18"/>
  <c r="X15" i="18"/>
  <c r="U15" i="18"/>
  <c r="J15" i="18"/>
  <c r="S15" i="18"/>
  <c r="R15" i="18"/>
  <c r="L15" i="18"/>
  <c r="K15" i="18"/>
  <c r="AA15" i="18"/>
  <c r="N15" i="18"/>
  <c r="O15" i="18"/>
  <c r="H15" i="18"/>
  <c r="AB7" i="22"/>
  <c r="AA7" i="22"/>
  <c r="Z7" i="22"/>
  <c r="V7" i="22"/>
  <c r="W7" i="22"/>
  <c r="O7" i="22"/>
  <c r="X7" i="22"/>
  <c r="U7" i="22"/>
  <c r="L7" i="22"/>
  <c r="J7" i="22"/>
  <c r="G7" i="22"/>
  <c r="F7" i="22"/>
  <c r="T7" i="22"/>
  <c r="E7" i="22"/>
  <c r="S7" i="22"/>
  <c r="P7" i="22"/>
  <c r="R7" i="22"/>
  <c r="I7" i="22"/>
  <c r="N7" i="22"/>
  <c r="Q7" i="22"/>
  <c r="M7" i="22"/>
  <c r="K7" i="22"/>
  <c r="Y7" i="22"/>
  <c r="D7" i="22"/>
  <c r="H7" i="22"/>
  <c r="C7" i="22"/>
  <c r="Z6" i="12"/>
  <c r="M6" i="12"/>
  <c r="O6" i="12"/>
  <c r="R6" i="12"/>
  <c r="P6" i="12"/>
  <c r="K8" i="18"/>
  <c r="D8" i="18"/>
  <c r="AA8" i="18"/>
  <c r="Z8" i="18"/>
  <c r="U8" i="18"/>
  <c r="J8" i="18"/>
  <c r="H8" i="18"/>
  <c r="I8" i="18"/>
  <c r="F8" i="18"/>
  <c r="G8" i="18"/>
  <c r="AB8" i="18"/>
  <c r="T8" i="18"/>
  <c r="Y8" i="18"/>
  <c r="M8" i="18"/>
  <c r="X8" i="18"/>
  <c r="S8" i="18"/>
  <c r="W8" i="18"/>
  <c r="V8" i="18"/>
  <c r="L8" i="18"/>
  <c r="P8" i="18"/>
  <c r="N8" i="18"/>
  <c r="C8" i="18"/>
  <c r="O8" i="18"/>
  <c r="E8" i="18"/>
  <c r="R8" i="18"/>
  <c r="Q8" i="18"/>
  <c r="AB13" i="13"/>
  <c r="F13" i="13"/>
  <c r="AA13" i="13"/>
  <c r="E13" i="13"/>
  <c r="Y13" i="13"/>
  <c r="C13" i="13"/>
  <c r="Z13" i="13"/>
  <c r="N13" i="13"/>
  <c r="M13" i="13"/>
  <c r="L13" i="13"/>
  <c r="G13" i="13"/>
  <c r="O13" i="13"/>
  <c r="K13" i="13"/>
  <c r="J13" i="13"/>
  <c r="X13" i="13"/>
  <c r="W13" i="13"/>
  <c r="R13" i="13"/>
  <c r="Q13" i="13"/>
  <c r="P13" i="13"/>
  <c r="I13" i="13"/>
  <c r="H13" i="13"/>
  <c r="D13" i="13"/>
  <c r="T13" i="13"/>
  <c r="S13" i="13"/>
  <c r="V13" i="13"/>
  <c r="U13" i="13"/>
  <c r="W14" i="14"/>
  <c r="V14" i="14"/>
  <c r="U14" i="14"/>
  <c r="T14" i="14"/>
  <c r="K14" i="14"/>
  <c r="J14" i="14"/>
  <c r="I14" i="14"/>
  <c r="AA14" i="14"/>
  <c r="M14" i="14"/>
  <c r="L14" i="14"/>
  <c r="H14" i="14"/>
  <c r="C14" i="14"/>
  <c r="X14" i="14"/>
  <c r="S14" i="14"/>
  <c r="Q14" i="14"/>
  <c r="P14" i="14"/>
  <c r="Z14" i="14"/>
  <c r="Y14" i="14"/>
  <c r="R14" i="14"/>
  <c r="E14" i="14"/>
  <c r="D14" i="14"/>
  <c r="G14" i="14"/>
  <c r="F14" i="14"/>
  <c r="AB14" i="14"/>
  <c r="O14" i="14"/>
  <c r="N14" i="14"/>
  <c r="R15" i="13"/>
  <c r="Q15" i="13"/>
  <c r="O15" i="13"/>
  <c r="Y15" i="13"/>
  <c r="X15" i="13"/>
  <c r="N15" i="13"/>
  <c r="M15" i="13"/>
  <c r="L15" i="13"/>
  <c r="G15" i="13"/>
  <c r="AB15" i="13"/>
  <c r="AA15" i="13"/>
  <c r="Z15" i="13"/>
  <c r="P15" i="13"/>
  <c r="K15" i="13"/>
  <c r="I15" i="13"/>
  <c r="H15" i="13"/>
  <c r="W15" i="13"/>
  <c r="J15" i="13"/>
  <c r="F15" i="13"/>
  <c r="E15" i="13"/>
  <c r="D15" i="13"/>
  <c r="C15" i="13"/>
  <c r="U15" i="13"/>
  <c r="T15" i="13"/>
  <c r="S15" i="13"/>
  <c r="V15" i="13"/>
  <c r="H17" i="13"/>
  <c r="G17" i="13"/>
  <c r="AA17" i="13"/>
  <c r="E17" i="13"/>
  <c r="U17" i="13"/>
  <c r="T17" i="13"/>
  <c r="K17" i="13"/>
  <c r="S17" i="13"/>
  <c r="R17" i="13"/>
  <c r="Q17" i="13"/>
  <c r="L17" i="13"/>
  <c r="I17" i="13"/>
  <c r="F17" i="13"/>
  <c r="D17" i="13"/>
  <c r="AB17" i="13"/>
  <c r="Z17" i="13"/>
  <c r="Y17" i="13"/>
  <c r="X17" i="13"/>
  <c r="W17" i="13"/>
  <c r="M17" i="13"/>
  <c r="J17" i="13"/>
  <c r="C17" i="13"/>
  <c r="P17" i="13"/>
  <c r="O17" i="13"/>
  <c r="N17" i="13"/>
  <c r="V17" i="13"/>
  <c r="L3" i="14"/>
  <c r="K3" i="14"/>
  <c r="J3" i="14"/>
  <c r="I3" i="14"/>
  <c r="N3" i="14"/>
  <c r="M3" i="14"/>
  <c r="Z3" i="14"/>
  <c r="P3" i="14"/>
  <c r="O3" i="14"/>
  <c r="H3" i="14"/>
  <c r="C3" i="14"/>
  <c r="Q3" i="14"/>
  <c r="G3" i="14"/>
  <c r="F3" i="14"/>
  <c r="AB3" i="14"/>
  <c r="X3" i="14"/>
  <c r="W3" i="14"/>
  <c r="V3" i="14"/>
  <c r="E3" i="14"/>
  <c r="D3" i="14"/>
  <c r="AA3" i="14"/>
  <c r="Y3" i="14"/>
  <c r="U3" i="14"/>
  <c r="S3" i="14"/>
  <c r="T3" i="14"/>
  <c r="R3" i="14"/>
  <c r="K12" i="14"/>
  <c r="J12" i="14"/>
  <c r="I12" i="14"/>
  <c r="H12" i="14"/>
  <c r="M12" i="14"/>
  <c r="L12" i="14"/>
  <c r="G12" i="14"/>
  <c r="Y12" i="14"/>
  <c r="AB12" i="14"/>
  <c r="V12" i="14"/>
  <c r="N12" i="14"/>
  <c r="F12" i="14"/>
  <c r="E12" i="14"/>
  <c r="AA12" i="14"/>
  <c r="Z12" i="14"/>
  <c r="S12" i="14"/>
  <c r="R12" i="14"/>
  <c r="Q12" i="14"/>
  <c r="X12" i="14"/>
  <c r="T12" i="14"/>
  <c r="P12" i="14"/>
  <c r="O12" i="14"/>
  <c r="D12" i="14"/>
  <c r="C12" i="14"/>
  <c r="W12" i="14"/>
  <c r="U12" i="14"/>
  <c r="I8" i="14"/>
  <c r="H8" i="14"/>
  <c r="G8" i="14"/>
  <c r="AB8" i="14"/>
  <c r="F8" i="14"/>
  <c r="M8" i="14"/>
  <c r="L8" i="14"/>
  <c r="K8" i="14"/>
  <c r="Y8" i="14"/>
  <c r="J8" i="14"/>
  <c r="E8" i="14"/>
  <c r="D8" i="14"/>
  <c r="V8" i="14"/>
  <c r="U8" i="14"/>
  <c r="S8" i="14"/>
  <c r="R8" i="14"/>
  <c r="N8" i="14"/>
  <c r="C8" i="14"/>
  <c r="X8" i="14"/>
  <c r="Q8" i="14"/>
  <c r="P8" i="14"/>
  <c r="O8" i="14"/>
  <c r="AA8" i="14"/>
  <c r="Z8" i="14"/>
  <c r="W8" i="14"/>
  <c r="T8" i="14"/>
  <c r="P17" i="14"/>
  <c r="I17" i="14"/>
  <c r="H17" i="14"/>
  <c r="G17" i="14"/>
  <c r="F17" i="14"/>
  <c r="M17" i="14"/>
  <c r="L17" i="14"/>
  <c r="K17" i="14"/>
  <c r="Z17" i="14"/>
  <c r="AB17" i="14"/>
  <c r="AA17" i="14"/>
  <c r="U17" i="14"/>
  <c r="V17" i="14"/>
  <c r="T17" i="14"/>
  <c r="R17" i="14"/>
  <c r="Q17" i="14"/>
  <c r="C17" i="14"/>
  <c r="Y17" i="14"/>
  <c r="X17" i="14"/>
  <c r="W17" i="14"/>
  <c r="S17" i="14"/>
  <c r="O17" i="14"/>
  <c r="E17" i="14"/>
  <c r="N17" i="14"/>
  <c r="J17" i="14"/>
  <c r="D17" i="14"/>
  <c r="Q2" i="14"/>
  <c r="P2" i="14"/>
  <c r="O2" i="14"/>
  <c r="N2" i="14"/>
  <c r="K2" i="14"/>
  <c r="J2" i="14"/>
  <c r="AA2" i="14"/>
  <c r="H2" i="14"/>
  <c r="G2" i="14"/>
  <c r="F2" i="14"/>
  <c r="Y2" i="14"/>
  <c r="X2" i="14"/>
  <c r="V2" i="14"/>
  <c r="U2" i="14"/>
  <c r="AB2" i="14"/>
  <c r="Z2" i="14"/>
  <c r="W2" i="14"/>
  <c r="T2" i="14"/>
  <c r="I2" i="14"/>
  <c r="E2" i="14"/>
  <c r="D2" i="14"/>
  <c r="C2" i="14"/>
  <c r="R2" i="14"/>
  <c r="M2" i="14"/>
  <c r="L2" i="14"/>
  <c r="S2" i="14"/>
  <c r="N7" i="14"/>
  <c r="M7" i="14"/>
  <c r="L7" i="14"/>
  <c r="K7" i="14"/>
  <c r="J7" i="14"/>
  <c r="I7" i="14"/>
  <c r="H7" i="14"/>
  <c r="Z7" i="14"/>
  <c r="C7" i="14"/>
  <c r="Y7" i="14"/>
  <c r="W7" i="14"/>
  <c r="V7" i="14"/>
  <c r="U7" i="14"/>
  <c r="O7" i="14"/>
  <c r="G7" i="14"/>
  <c r="E7" i="14"/>
  <c r="D7" i="14"/>
  <c r="S7" i="14"/>
  <c r="R7" i="14"/>
  <c r="Q7" i="14"/>
  <c r="P7" i="14"/>
  <c r="F7" i="14"/>
  <c r="AB7" i="14"/>
  <c r="AA7" i="14"/>
  <c r="X7" i="14"/>
  <c r="T7" i="14"/>
  <c r="AB13" i="14"/>
  <c r="F13" i="14"/>
  <c r="AA13" i="14"/>
  <c r="E13" i="14"/>
  <c r="Z13" i="14"/>
  <c r="D13" i="14"/>
  <c r="Y13" i="14"/>
  <c r="C13" i="14"/>
  <c r="L13" i="14"/>
  <c r="K13" i="14"/>
  <c r="J13" i="14"/>
  <c r="X13" i="14"/>
  <c r="G13" i="14"/>
  <c r="U13" i="14"/>
  <c r="T13" i="14"/>
  <c r="S13" i="14"/>
  <c r="M13" i="14"/>
  <c r="I13" i="14"/>
  <c r="W13" i="14"/>
  <c r="V13" i="14"/>
  <c r="R13" i="14"/>
  <c r="Q13" i="14"/>
  <c r="P13" i="14"/>
  <c r="O13" i="14"/>
  <c r="N13" i="14"/>
  <c r="H13" i="14"/>
  <c r="S6" i="14"/>
  <c r="R6" i="14"/>
  <c r="Q6" i="14"/>
  <c r="P6" i="14"/>
  <c r="K6" i="14"/>
  <c r="J6" i="14"/>
  <c r="I6" i="14"/>
  <c r="AA6" i="14"/>
  <c r="AB6" i="14"/>
  <c r="V6" i="14"/>
  <c r="L6" i="14"/>
  <c r="H6" i="14"/>
  <c r="G6" i="14"/>
  <c r="E6" i="14"/>
  <c r="D6" i="14"/>
  <c r="C6" i="14"/>
  <c r="Z6" i="14"/>
  <c r="Y6" i="14"/>
  <c r="M6" i="14"/>
  <c r="F6" i="14"/>
  <c r="X6" i="14"/>
  <c r="W6" i="14"/>
  <c r="U6" i="14"/>
  <c r="T6" i="14"/>
  <c r="O6" i="14"/>
  <c r="N6" i="14"/>
  <c r="I8" i="13"/>
  <c r="H8" i="13"/>
  <c r="AB8" i="13"/>
  <c r="F8" i="13"/>
  <c r="K8" i="13"/>
  <c r="J8" i="13"/>
  <c r="G8" i="13"/>
  <c r="E8" i="13"/>
  <c r="D8" i="13"/>
  <c r="Z8" i="13"/>
  <c r="N8" i="13"/>
  <c r="M8" i="13"/>
  <c r="L8" i="13"/>
  <c r="Y8" i="13"/>
  <c r="X8" i="13"/>
  <c r="R8" i="13"/>
  <c r="Q8" i="13"/>
  <c r="P8" i="13"/>
  <c r="AA8" i="13"/>
  <c r="U8" i="13"/>
  <c r="T8" i="13"/>
  <c r="S8" i="13"/>
  <c r="O8" i="13"/>
  <c r="C8" i="13"/>
  <c r="W8" i="13"/>
  <c r="V8" i="13"/>
  <c r="B15" i="15"/>
  <c r="B3" i="15"/>
  <c r="B8" i="15"/>
  <c r="B17" i="15"/>
  <c r="B7" i="15"/>
  <c r="B6" i="15"/>
  <c r="B14" i="15"/>
  <c r="B12" i="15"/>
  <c r="B2" i="15"/>
  <c r="B13" i="15"/>
  <c r="S6" i="13"/>
  <c r="R6" i="13"/>
  <c r="P6" i="13"/>
  <c r="L6" i="13"/>
  <c r="K6" i="13"/>
  <c r="F6" i="13"/>
  <c r="E6" i="13"/>
  <c r="D6" i="13"/>
  <c r="Z6" i="13"/>
  <c r="AB6" i="13"/>
  <c r="AA6" i="13"/>
  <c r="T6" i="13"/>
  <c r="Q6" i="13"/>
  <c r="N6" i="13"/>
  <c r="V6" i="13"/>
  <c r="U6" i="13"/>
  <c r="O6" i="13"/>
  <c r="G6" i="13"/>
  <c r="C6" i="13"/>
  <c r="X6" i="13"/>
  <c r="W6" i="13"/>
  <c r="M6" i="13"/>
  <c r="J6" i="13"/>
  <c r="Y6" i="13"/>
  <c r="I6" i="13"/>
  <c r="H6" i="13"/>
  <c r="N7" i="13"/>
  <c r="M7" i="13"/>
  <c r="K7" i="13"/>
  <c r="J7" i="13"/>
  <c r="I7" i="13"/>
  <c r="F7" i="13"/>
  <c r="E7" i="13"/>
  <c r="D7" i="13"/>
  <c r="Z7" i="13"/>
  <c r="X7" i="13"/>
  <c r="W7" i="13"/>
  <c r="U7" i="13"/>
  <c r="T7" i="13"/>
  <c r="AA7" i="13"/>
  <c r="Y7" i="13"/>
  <c r="V7" i="13"/>
  <c r="S7" i="13"/>
  <c r="R7" i="13"/>
  <c r="Q7" i="13"/>
  <c r="P7" i="13"/>
  <c r="AB7" i="13"/>
  <c r="O7" i="13"/>
  <c r="L7" i="13"/>
  <c r="H7" i="13"/>
  <c r="G7" i="13"/>
  <c r="C7" i="13"/>
  <c r="L3" i="13"/>
  <c r="K3" i="13"/>
  <c r="I3" i="13"/>
  <c r="R3" i="13"/>
  <c r="Q3" i="13"/>
  <c r="C3" i="13"/>
  <c r="AB3" i="13"/>
  <c r="W3" i="13"/>
  <c r="H3" i="13"/>
  <c r="G3" i="13"/>
  <c r="F3" i="13"/>
  <c r="AA3" i="13"/>
  <c r="Y3" i="13"/>
  <c r="J3" i="13"/>
  <c r="E3" i="13"/>
  <c r="D3" i="13"/>
  <c r="Z3" i="13"/>
  <c r="X3" i="13"/>
  <c r="P3" i="13"/>
  <c r="O3" i="13"/>
  <c r="N3" i="13"/>
  <c r="M3" i="13"/>
  <c r="U3" i="13"/>
  <c r="T3" i="13"/>
  <c r="S3" i="13"/>
  <c r="V3" i="13"/>
  <c r="W14" i="13"/>
  <c r="V14" i="13"/>
  <c r="T14" i="13"/>
  <c r="AA14" i="13"/>
  <c r="Z14" i="13"/>
  <c r="N14" i="13"/>
  <c r="M14" i="13"/>
  <c r="L14" i="13"/>
  <c r="G14" i="13"/>
  <c r="S14" i="13"/>
  <c r="R14" i="13"/>
  <c r="Q14" i="13"/>
  <c r="H14" i="13"/>
  <c r="F14" i="13"/>
  <c r="D14" i="13"/>
  <c r="C14" i="13"/>
  <c r="E14" i="13"/>
  <c r="AB14" i="13"/>
  <c r="Y14" i="13"/>
  <c r="X14" i="13"/>
  <c r="U14" i="13"/>
  <c r="P14" i="13"/>
  <c r="O14" i="13"/>
  <c r="K14" i="13"/>
  <c r="J14" i="13"/>
  <c r="I14" i="13"/>
  <c r="Q2" i="13"/>
  <c r="P2" i="13"/>
  <c r="N2" i="13"/>
  <c r="T2" i="13"/>
  <c r="S2" i="13"/>
  <c r="C2" i="13"/>
  <c r="AB2" i="13"/>
  <c r="W2" i="13"/>
  <c r="D2" i="13"/>
  <c r="X2" i="13"/>
  <c r="V2" i="13"/>
  <c r="R2" i="13"/>
  <c r="O2" i="13"/>
  <c r="M2" i="13"/>
  <c r="L2" i="13"/>
  <c r="K2" i="13"/>
  <c r="J2" i="13"/>
  <c r="I2" i="13"/>
  <c r="H2" i="13"/>
  <c r="Y2" i="13"/>
  <c r="F2" i="13"/>
  <c r="E2" i="13"/>
  <c r="AA2" i="13"/>
  <c r="Z2" i="13"/>
  <c r="U2" i="13"/>
  <c r="G2" i="13"/>
  <c r="K12" i="13"/>
  <c r="J12" i="13"/>
  <c r="H12" i="13"/>
  <c r="AB12" i="13"/>
  <c r="C12" i="13"/>
  <c r="AA12" i="13"/>
  <c r="N12" i="13"/>
  <c r="M12" i="13"/>
  <c r="L12" i="13"/>
  <c r="D12" i="13"/>
  <c r="E12" i="13"/>
  <c r="Y12" i="13"/>
  <c r="X12" i="13"/>
  <c r="V12" i="13"/>
  <c r="U12" i="13"/>
  <c r="I12" i="13"/>
  <c r="G12" i="13"/>
  <c r="F12" i="13"/>
  <c r="Z12" i="13"/>
  <c r="W12" i="13"/>
  <c r="R12" i="13"/>
  <c r="O12" i="13"/>
  <c r="T12" i="13"/>
  <c r="P12" i="13"/>
  <c r="Q12" i="13"/>
  <c r="S12" i="13"/>
  <c r="R15" i="14"/>
  <c r="Q15" i="14"/>
  <c r="P15" i="14"/>
  <c r="O15" i="14"/>
  <c r="J15" i="14"/>
  <c r="I15" i="14"/>
  <c r="H15" i="14"/>
  <c r="Z15" i="14"/>
  <c r="T15" i="14"/>
  <c r="S15" i="14"/>
  <c r="N15" i="14"/>
  <c r="F15" i="14"/>
  <c r="G15" i="14"/>
  <c r="E15" i="14"/>
  <c r="D15" i="14"/>
  <c r="AB15" i="14"/>
  <c r="AA15" i="14"/>
  <c r="Y15" i="14"/>
  <c r="X15" i="14"/>
  <c r="W15" i="14"/>
  <c r="V15" i="14"/>
  <c r="U15" i="14"/>
  <c r="M15" i="14"/>
  <c r="L15" i="14"/>
  <c r="K15" i="14"/>
  <c r="C15" i="14"/>
  <c r="J17" i="21" l="1"/>
  <c r="G3" i="21"/>
  <c r="C12" i="21"/>
  <c r="P17" i="21"/>
  <c r="O17" i="21"/>
  <c r="D3" i="21"/>
  <c r="W12" i="21"/>
  <c r="Q17" i="21"/>
  <c r="Z17" i="21"/>
  <c r="J3" i="21"/>
  <c r="R17" i="21"/>
  <c r="S17" i="21"/>
  <c r="P3" i="21"/>
  <c r="U17" i="21"/>
  <c r="E17" i="21"/>
  <c r="W3" i="21"/>
  <c r="T17" i="21"/>
  <c r="Z14" i="21"/>
  <c r="H3" i="21"/>
  <c r="AB17" i="21"/>
  <c r="Q14" i="21"/>
  <c r="Y3" i="21"/>
  <c r="W17" i="21"/>
  <c r="O14" i="21"/>
  <c r="R3" i="21"/>
  <c r="K17" i="21"/>
  <c r="N3" i="21"/>
  <c r="V17" i="21"/>
  <c r="S3" i="21"/>
  <c r="L17" i="21"/>
  <c r="H17" i="21"/>
  <c r="AA17" i="21"/>
  <c r="S15" i="10"/>
  <c r="T15" i="10"/>
  <c r="O12" i="10"/>
  <c r="J12" i="10"/>
  <c r="Q12" i="10"/>
  <c r="J15" i="10"/>
  <c r="R15" i="10"/>
  <c r="F15" i="10"/>
  <c r="K15" i="10"/>
  <c r="D15" i="10"/>
  <c r="AA15" i="10"/>
  <c r="P15" i="10"/>
  <c r="Q15" i="10"/>
  <c r="M12" i="10"/>
  <c r="X12" i="10"/>
  <c r="O15" i="10"/>
  <c r="H15" i="10"/>
  <c r="M15" i="10"/>
  <c r="AB12" i="10"/>
  <c r="Y12" i="10"/>
  <c r="T12" i="10"/>
  <c r="V12" i="10"/>
  <c r="N12" i="10"/>
  <c r="C12" i="10"/>
  <c r="Z15" i="10"/>
  <c r="D6" i="12"/>
  <c r="Y15" i="10"/>
  <c r="P12" i="10"/>
  <c r="R12" i="10"/>
  <c r="I12" i="10"/>
  <c r="H12" i="10"/>
  <c r="F12" i="10"/>
  <c r="W15" i="10"/>
  <c r="AB15" i="10"/>
  <c r="AA12" i="10"/>
  <c r="E12" i="10"/>
  <c r="V14" i="21"/>
  <c r="M14" i="21"/>
  <c r="N14" i="21"/>
  <c r="P13" i="10"/>
  <c r="P14" i="21"/>
  <c r="F14" i="21"/>
  <c r="X6" i="12"/>
  <c r="G13" i="10"/>
  <c r="W14" i="21"/>
  <c r="E14" i="21"/>
  <c r="L14" i="21"/>
  <c r="D14" i="21"/>
  <c r="J14" i="21"/>
  <c r="AA14" i="21"/>
  <c r="AB14" i="21"/>
  <c r="G14" i="21"/>
  <c r="C14" i="21"/>
  <c r="R14" i="21"/>
  <c r="I14" i="21"/>
  <c r="Y14" i="21"/>
  <c r="Z3" i="21"/>
  <c r="V3" i="21"/>
  <c r="T14" i="21"/>
  <c r="C3" i="21"/>
  <c r="S14" i="21"/>
  <c r="I3" i="21"/>
  <c r="U14" i="21"/>
  <c r="K3" i="21"/>
  <c r="H14" i="21"/>
  <c r="L3" i="21"/>
  <c r="K14" i="21"/>
  <c r="Y7" i="12"/>
  <c r="J12" i="21"/>
  <c r="M12" i="21"/>
  <c r="F12" i="21"/>
  <c r="K13" i="21"/>
  <c r="R13" i="21"/>
  <c r="H12" i="21"/>
  <c r="O12" i="21"/>
  <c r="G13" i="21"/>
  <c r="G12" i="21"/>
  <c r="X13" i="21"/>
  <c r="E12" i="21"/>
  <c r="J13" i="21"/>
  <c r="N12" i="21"/>
  <c r="W13" i="21"/>
  <c r="I12" i="21"/>
  <c r="Z13" i="21"/>
  <c r="V12" i="21"/>
  <c r="U13" i="21"/>
  <c r="AB12" i="21"/>
  <c r="L12" i="21"/>
  <c r="D12" i="21"/>
  <c r="S12" i="21"/>
  <c r="L8" i="21"/>
  <c r="P12" i="21"/>
  <c r="D7" i="21"/>
  <c r="Y13" i="21"/>
  <c r="V8" i="21"/>
  <c r="Q12" i="21"/>
  <c r="T7" i="21"/>
  <c r="F13" i="21"/>
  <c r="AB8" i="21"/>
  <c r="AA12" i="21"/>
  <c r="N7" i="21"/>
  <c r="AB13" i="21"/>
  <c r="Y8" i="21"/>
  <c r="K12" i="21"/>
  <c r="M7" i="21"/>
  <c r="Q13" i="21"/>
  <c r="F8" i="21"/>
  <c r="Z12" i="21"/>
  <c r="S7" i="21"/>
  <c r="I13" i="21"/>
  <c r="E7" i="21"/>
  <c r="R12" i="21"/>
  <c r="P7" i="21"/>
  <c r="X12" i="21"/>
  <c r="F7" i="21"/>
  <c r="Y12" i="21"/>
  <c r="T12" i="21"/>
  <c r="G7" i="21"/>
  <c r="K8" i="21"/>
  <c r="O7" i="21"/>
  <c r="F13" i="10"/>
  <c r="X8" i="21"/>
  <c r="C7" i="21"/>
  <c r="D13" i="21"/>
  <c r="I8" i="21"/>
  <c r="H7" i="21"/>
  <c r="L13" i="21"/>
  <c r="R7" i="12"/>
  <c r="P8" i="21"/>
  <c r="U7" i="21"/>
  <c r="AA13" i="21"/>
  <c r="L13" i="10"/>
  <c r="Q8" i="21"/>
  <c r="Z7" i="21"/>
  <c r="E13" i="21"/>
  <c r="AB13" i="10"/>
  <c r="U8" i="21"/>
  <c r="AA7" i="21"/>
  <c r="P13" i="21"/>
  <c r="Y13" i="10"/>
  <c r="C13" i="10"/>
  <c r="C8" i="21"/>
  <c r="AB7" i="21"/>
  <c r="S13" i="21"/>
  <c r="M13" i="10"/>
  <c r="J8" i="21"/>
  <c r="J7" i="21"/>
  <c r="T13" i="21"/>
  <c r="D8" i="21"/>
  <c r="L7" i="21"/>
  <c r="V7" i="21"/>
  <c r="V13" i="21"/>
  <c r="E8" i="21"/>
  <c r="Y7" i="21"/>
  <c r="W7" i="21"/>
  <c r="H13" i="21"/>
  <c r="G8" i="21"/>
  <c r="K7" i="21"/>
  <c r="X7" i="21"/>
  <c r="M13" i="21"/>
  <c r="J13" i="10"/>
  <c r="Z13" i="10"/>
  <c r="K13" i="10"/>
  <c r="D13" i="10"/>
  <c r="AA13" i="10"/>
  <c r="E6" i="12"/>
  <c r="H8" i="21"/>
  <c r="Q7" i="21"/>
  <c r="N13" i="21"/>
  <c r="AB6" i="12"/>
  <c r="F6" i="12"/>
  <c r="AB15" i="12"/>
  <c r="W8" i="21"/>
  <c r="I7" i="21"/>
  <c r="O13" i="21"/>
  <c r="R13" i="10"/>
  <c r="W6" i="12"/>
  <c r="T6" i="12"/>
  <c r="G6" i="12"/>
  <c r="I13" i="10"/>
  <c r="T13" i="10"/>
  <c r="Z8" i="21"/>
  <c r="M8" i="21"/>
  <c r="N8" i="21"/>
  <c r="AA8" i="21"/>
  <c r="O8" i="21"/>
  <c r="R8" i="21"/>
  <c r="S8" i="21"/>
  <c r="W13" i="10"/>
  <c r="N13" i="10"/>
  <c r="V13" i="10"/>
  <c r="H13" i="10"/>
  <c r="E13" i="10"/>
  <c r="I15" i="12"/>
  <c r="X13" i="10"/>
  <c r="S13" i="10"/>
  <c r="Q13" i="10"/>
  <c r="U13" i="10"/>
  <c r="U8" i="17"/>
  <c r="P8" i="17"/>
  <c r="V12" i="17"/>
  <c r="F12" i="17"/>
  <c r="AA12" i="17"/>
  <c r="G12" i="17"/>
  <c r="M12" i="17"/>
  <c r="Y8" i="12"/>
  <c r="E8" i="12"/>
  <c r="U12" i="17"/>
  <c r="L8" i="12"/>
  <c r="Z12" i="17"/>
  <c r="K12" i="17"/>
  <c r="C12" i="17"/>
  <c r="S12" i="17"/>
  <c r="H12" i="17"/>
  <c r="R12" i="17"/>
  <c r="I12" i="17"/>
  <c r="E17" i="12"/>
  <c r="N3" i="12"/>
  <c r="T12" i="17"/>
  <c r="Y12" i="17"/>
  <c r="F17" i="12"/>
  <c r="P3" i="12"/>
  <c r="L12" i="17"/>
  <c r="J17" i="12"/>
  <c r="J12" i="17"/>
  <c r="Z15" i="12"/>
  <c r="AB8" i="12"/>
  <c r="X15" i="12"/>
  <c r="S8" i="12"/>
  <c r="C15" i="12"/>
  <c r="G8" i="12"/>
  <c r="H8" i="12"/>
  <c r="U6" i="12"/>
  <c r="R8" i="12"/>
  <c r="I8" i="12"/>
  <c r="J8" i="12"/>
  <c r="W8" i="12"/>
  <c r="K8" i="12"/>
  <c r="G3" i="17"/>
  <c r="O8" i="12"/>
  <c r="P14" i="12"/>
  <c r="AA8" i="12"/>
  <c r="T8" i="12"/>
  <c r="C8" i="12"/>
  <c r="D8" i="12"/>
  <c r="M8" i="12"/>
  <c r="I6" i="12"/>
  <c r="J6" i="12"/>
  <c r="L6" i="12"/>
  <c r="P8" i="12"/>
  <c r="Y6" i="12"/>
  <c r="F8" i="12"/>
  <c r="O15" i="12"/>
  <c r="AA6" i="12"/>
  <c r="K6" i="12"/>
  <c r="S6" i="12"/>
  <c r="C6" i="12"/>
  <c r="L15" i="12"/>
  <c r="X7" i="12"/>
  <c r="K7" i="12"/>
  <c r="W7" i="12"/>
  <c r="C7" i="12"/>
  <c r="M12" i="12"/>
  <c r="E7" i="12"/>
  <c r="N12" i="12"/>
  <c r="Z8" i="12"/>
  <c r="AB12" i="17"/>
  <c r="R12" i="12"/>
  <c r="W12" i="12"/>
  <c r="O12" i="12"/>
  <c r="S12" i="12"/>
  <c r="T17" i="12"/>
  <c r="E12" i="12"/>
  <c r="N14" i="12"/>
  <c r="AB17" i="12"/>
  <c r="T12" i="12"/>
  <c r="T14" i="12"/>
  <c r="Q7" i="12"/>
  <c r="Z7" i="12"/>
  <c r="S7" i="12"/>
  <c r="G12" i="12"/>
  <c r="Q14" i="12"/>
  <c r="N8" i="12"/>
  <c r="P12" i="17"/>
  <c r="U7" i="12"/>
  <c r="U12" i="12"/>
  <c r="AA14" i="12"/>
  <c r="Q8" i="12"/>
  <c r="D12" i="17"/>
  <c r="V8" i="12"/>
  <c r="X12" i="17"/>
  <c r="N3" i="17"/>
  <c r="X8" i="12"/>
  <c r="AA3" i="17"/>
  <c r="N12" i="17"/>
  <c r="G7" i="12"/>
  <c r="H7" i="12"/>
  <c r="P7" i="12"/>
  <c r="P12" i="12"/>
  <c r="F3" i="17"/>
  <c r="E12" i="17"/>
  <c r="T3" i="17"/>
  <c r="O12" i="17"/>
  <c r="W12" i="17"/>
  <c r="H17" i="12"/>
  <c r="L13" i="12"/>
  <c r="X17" i="12"/>
  <c r="Q13" i="12"/>
  <c r="M17" i="12"/>
  <c r="AB13" i="12"/>
  <c r="V6" i="12"/>
  <c r="L17" i="12"/>
  <c r="O13" i="12"/>
  <c r="D12" i="12"/>
  <c r="AB6" i="11"/>
  <c r="Q8" i="17"/>
  <c r="N17" i="12"/>
  <c r="W17" i="12"/>
  <c r="O17" i="12"/>
  <c r="V17" i="12"/>
  <c r="H6" i="12"/>
  <c r="Q17" i="12"/>
  <c r="G15" i="12"/>
  <c r="O14" i="12"/>
  <c r="R17" i="12"/>
  <c r="S17" i="12"/>
  <c r="H3" i="12"/>
  <c r="S15" i="12"/>
  <c r="U14" i="12"/>
  <c r="D15" i="12"/>
  <c r="Y15" i="12"/>
  <c r="C17" i="12"/>
  <c r="U17" i="12"/>
  <c r="X12" i="12"/>
  <c r="E15" i="12"/>
  <c r="J6" i="17"/>
  <c r="G17" i="12"/>
  <c r="K17" i="12"/>
  <c r="I17" i="12"/>
  <c r="P17" i="12"/>
  <c r="Z17" i="12"/>
  <c r="F15" i="12"/>
  <c r="AA17" i="12"/>
  <c r="D17" i="12"/>
  <c r="Q12" i="12"/>
  <c r="Q6" i="12"/>
  <c r="AB12" i="12"/>
  <c r="W15" i="12"/>
  <c r="P3" i="17"/>
  <c r="S3" i="12"/>
  <c r="I13" i="12"/>
  <c r="L7" i="12"/>
  <c r="O7" i="12"/>
  <c r="J13" i="12"/>
  <c r="AA12" i="12"/>
  <c r="M14" i="12"/>
  <c r="R13" i="12"/>
  <c r="X13" i="12"/>
  <c r="G13" i="12"/>
  <c r="F12" i="12"/>
  <c r="G14" i="12"/>
  <c r="D13" i="12"/>
  <c r="Z12" i="12"/>
  <c r="H14" i="12"/>
  <c r="S13" i="12"/>
  <c r="J12" i="12"/>
  <c r="I14" i="12"/>
  <c r="R14" i="12"/>
  <c r="W8" i="11"/>
  <c r="V12" i="12"/>
  <c r="D14" i="12"/>
  <c r="F12" i="11"/>
  <c r="E8" i="11"/>
  <c r="E14" i="12"/>
  <c r="G2" i="11"/>
  <c r="AA8" i="11"/>
  <c r="C14" i="12"/>
  <c r="AA3" i="12"/>
  <c r="O2" i="11"/>
  <c r="L14" i="11"/>
  <c r="H13" i="12"/>
  <c r="V13" i="12"/>
  <c r="V7" i="12"/>
  <c r="F7" i="12"/>
  <c r="E13" i="12"/>
  <c r="M7" i="12"/>
  <c r="AA13" i="12"/>
  <c r="V14" i="12"/>
  <c r="L3" i="12"/>
  <c r="H2" i="11"/>
  <c r="J14" i="11"/>
  <c r="T7" i="12"/>
  <c r="F13" i="12"/>
  <c r="AA7" i="12"/>
  <c r="Y13" i="12"/>
  <c r="AB7" i="12"/>
  <c r="C12" i="12"/>
  <c r="I7" i="12"/>
  <c r="Z13" i="12"/>
  <c r="K12" i="12"/>
  <c r="Y12" i="12"/>
  <c r="S14" i="12"/>
  <c r="C3" i="12"/>
  <c r="Y2" i="11"/>
  <c r="G14" i="17"/>
  <c r="M13" i="12"/>
  <c r="D7" i="12"/>
  <c r="C13" i="12"/>
  <c r="N7" i="12"/>
  <c r="T13" i="12"/>
  <c r="H12" i="12"/>
  <c r="U13" i="12"/>
  <c r="L12" i="12"/>
  <c r="AB14" i="12"/>
  <c r="G3" i="12"/>
  <c r="AA7" i="11"/>
  <c r="H3" i="17"/>
  <c r="H15" i="12"/>
  <c r="R15" i="12"/>
  <c r="Z14" i="12"/>
  <c r="O3" i="12"/>
  <c r="P7" i="11"/>
  <c r="I14" i="11"/>
  <c r="I3" i="17"/>
  <c r="P13" i="12"/>
  <c r="W13" i="12"/>
  <c r="U15" i="12"/>
  <c r="U3" i="12"/>
  <c r="S6" i="11"/>
  <c r="T14" i="11"/>
  <c r="Q15" i="12"/>
  <c r="V3" i="12"/>
  <c r="U17" i="11"/>
  <c r="W14" i="11"/>
  <c r="J15" i="12"/>
  <c r="Q14" i="11"/>
  <c r="V15" i="12"/>
  <c r="U14" i="11"/>
  <c r="K15" i="12"/>
  <c r="F14" i="11"/>
  <c r="F14" i="12"/>
  <c r="Z14" i="11"/>
  <c r="T15" i="12"/>
  <c r="J14" i="12"/>
  <c r="M14" i="11"/>
  <c r="AA15" i="12"/>
  <c r="X14" i="12"/>
  <c r="K14" i="12"/>
  <c r="X3" i="12"/>
  <c r="R14" i="17"/>
  <c r="W14" i="12"/>
  <c r="L14" i="12"/>
  <c r="Y3" i="12"/>
  <c r="S14" i="17"/>
  <c r="E3" i="12"/>
  <c r="Z14" i="17"/>
  <c r="K13" i="12"/>
  <c r="M15" i="12"/>
  <c r="D3" i="12"/>
  <c r="N15" i="12"/>
  <c r="Z3" i="12"/>
  <c r="O3" i="17"/>
  <c r="M3" i="12"/>
  <c r="E6" i="17"/>
  <c r="T8" i="11"/>
  <c r="AB8" i="11"/>
  <c r="U6" i="17"/>
  <c r="I6" i="17"/>
  <c r="V15" i="17"/>
  <c r="Q6" i="17"/>
  <c r="W6" i="17"/>
  <c r="G6" i="17"/>
  <c r="M6" i="17"/>
  <c r="T6" i="11"/>
  <c r="R6" i="11"/>
  <c r="Y6" i="17"/>
  <c r="T6" i="17"/>
  <c r="L6" i="17"/>
  <c r="K6" i="17"/>
  <c r="C6" i="17"/>
  <c r="S6" i="17"/>
  <c r="H6" i="17"/>
  <c r="O6" i="17"/>
  <c r="V6" i="17"/>
  <c r="R6" i="17"/>
  <c r="N6" i="17"/>
  <c r="AB6" i="17"/>
  <c r="X8" i="17"/>
  <c r="Z6" i="17"/>
  <c r="P6" i="17"/>
  <c r="AA6" i="17"/>
  <c r="X6" i="17"/>
  <c r="F6" i="17"/>
  <c r="AA2" i="11"/>
  <c r="P14" i="17"/>
  <c r="W14" i="17"/>
  <c r="O14" i="17"/>
  <c r="H14" i="17"/>
  <c r="T14" i="17"/>
  <c r="I14" i="17"/>
  <c r="U14" i="17"/>
  <c r="L15" i="17"/>
  <c r="D14" i="17"/>
  <c r="Q15" i="17"/>
  <c r="E14" i="17"/>
  <c r="V14" i="17"/>
  <c r="T3" i="12"/>
  <c r="J14" i="17"/>
  <c r="I3" i="12"/>
  <c r="Y14" i="17"/>
  <c r="N2" i="17"/>
  <c r="W3" i="12"/>
  <c r="P2" i="11"/>
  <c r="AA14" i="17"/>
  <c r="AB3" i="12"/>
  <c r="X2" i="11"/>
  <c r="F14" i="17"/>
  <c r="J3" i="12"/>
  <c r="Z2" i="11"/>
  <c r="K14" i="17"/>
  <c r="K3" i="12"/>
  <c r="C2" i="11"/>
  <c r="M14" i="17"/>
  <c r="X14" i="17"/>
  <c r="R3" i="12"/>
  <c r="M2" i="11"/>
  <c r="C14" i="17"/>
  <c r="N14" i="17"/>
  <c r="F3" i="12"/>
  <c r="N2" i="11"/>
  <c r="Q14" i="17"/>
  <c r="AB14" i="17"/>
  <c r="L6" i="11"/>
  <c r="Q8" i="11"/>
  <c r="D3" i="17"/>
  <c r="O17" i="11"/>
  <c r="P17" i="11"/>
  <c r="E13" i="11"/>
  <c r="J17" i="11"/>
  <c r="M13" i="11"/>
  <c r="E17" i="11"/>
  <c r="V8" i="11"/>
  <c r="C8" i="11"/>
  <c r="L8" i="11"/>
  <c r="T17" i="11"/>
  <c r="K8" i="11"/>
  <c r="C14" i="11"/>
  <c r="U8" i="11"/>
  <c r="L17" i="11"/>
  <c r="M8" i="11"/>
  <c r="K14" i="11"/>
  <c r="C17" i="11"/>
  <c r="H8" i="11"/>
  <c r="D14" i="11"/>
  <c r="W17" i="11"/>
  <c r="D8" i="11"/>
  <c r="N8" i="11"/>
  <c r="O14" i="11"/>
  <c r="Q12" i="11"/>
  <c r="Z7" i="11"/>
  <c r="V17" i="11"/>
  <c r="F8" i="11"/>
  <c r="Y8" i="11"/>
  <c r="E14" i="11"/>
  <c r="W2" i="17"/>
  <c r="Q17" i="11"/>
  <c r="G8" i="11"/>
  <c r="Z8" i="11"/>
  <c r="V14" i="11"/>
  <c r="Z2" i="17"/>
  <c r="AB12" i="11"/>
  <c r="F7" i="11"/>
  <c r="AB17" i="11"/>
  <c r="S8" i="11"/>
  <c r="R8" i="11"/>
  <c r="Y14" i="11"/>
  <c r="AB8" i="17"/>
  <c r="Y8" i="17"/>
  <c r="R12" i="11"/>
  <c r="C7" i="11"/>
  <c r="X17" i="11"/>
  <c r="X8" i="11"/>
  <c r="AB14" i="11"/>
  <c r="H14" i="11"/>
  <c r="V2" i="17"/>
  <c r="W12" i="11"/>
  <c r="K7" i="11"/>
  <c r="N17" i="11"/>
  <c r="I8" i="11"/>
  <c r="G14" i="11"/>
  <c r="X14" i="11"/>
  <c r="Q2" i="17"/>
  <c r="O12" i="11"/>
  <c r="G6" i="11"/>
  <c r="H17" i="11"/>
  <c r="J8" i="11"/>
  <c r="N14" i="11"/>
  <c r="R14" i="11"/>
  <c r="G2" i="17"/>
  <c r="W13" i="11"/>
  <c r="Y6" i="11"/>
  <c r="F17" i="11"/>
  <c r="O8" i="11"/>
  <c r="P14" i="11"/>
  <c r="S14" i="11"/>
  <c r="Z17" i="17"/>
  <c r="C13" i="11"/>
  <c r="J6" i="11"/>
  <c r="G12" i="9"/>
  <c r="R8" i="17"/>
  <c r="K13" i="17"/>
  <c r="S17" i="11"/>
  <c r="H15" i="17"/>
  <c r="G17" i="11"/>
  <c r="Y17" i="11"/>
  <c r="H2" i="17"/>
  <c r="Y2" i="17"/>
  <c r="R15" i="17"/>
  <c r="Y13" i="17"/>
  <c r="K17" i="11"/>
  <c r="AA17" i="11"/>
  <c r="Z15" i="17"/>
  <c r="D17" i="11"/>
  <c r="C15" i="17"/>
  <c r="M17" i="11"/>
  <c r="D2" i="17"/>
  <c r="I17" i="11"/>
  <c r="S15" i="17"/>
  <c r="Z17" i="11"/>
  <c r="W15" i="17"/>
  <c r="R13" i="11"/>
  <c r="M6" i="11"/>
  <c r="N6" i="11"/>
  <c r="L2" i="17"/>
  <c r="U13" i="11"/>
  <c r="Z6" i="11"/>
  <c r="P15" i="11"/>
  <c r="I2" i="17"/>
  <c r="W6" i="11"/>
  <c r="K15" i="11"/>
  <c r="P2" i="17"/>
  <c r="AA6" i="11"/>
  <c r="M15" i="11"/>
  <c r="C2" i="17"/>
  <c r="F6" i="11"/>
  <c r="Z15" i="11"/>
  <c r="AA2" i="17"/>
  <c r="J15" i="11"/>
  <c r="I6" i="11"/>
  <c r="AA15" i="11"/>
  <c r="G15" i="17"/>
  <c r="E2" i="17"/>
  <c r="C15" i="11"/>
  <c r="O15" i="11"/>
  <c r="N13" i="11"/>
  <c r="H6" i="11"/>
  <c r="F12" i="9"/>
  <c r="T15" i="17"/>
  <c r="T2" i="17"/>
  <c r="Z13" i="11"/>
  <c r="V6" i="11"/>
  <c r="AB2" i="17"/>
  <c r="M2" i="17"/>
  <c r="J2" i="17"/>
  <c r="G13" i="11"/>
  <c r="C6" i="11"/>
  <c r="O2" i="17"/>
  <c r="F2" i="17"/>
  <c r="X2" i="17"/>
  <c r="Y13" i="11"/>
  <c r="X6" i="11"/>
  <c r="R2" i="17"/>
  <c r="D13" i="11"/>
  <c r="D6" i="11"/>
  <c r="P15" i="17"/>
  <c r="D15" i="17"/>
  <c r="P6" i="11"/>
  <c r="T13" i="11"/>
  <c r="O6" i="11"/>
  <c r="V13" i="11"/>
  <c r="U6" i="11"/>
  <c r="E6" i="11"/>
  <c r="S2" i="17"/>
  <c r="I15" i="17"/>
  <c r="S13" i="11"/>
  <c r="K6" i="11"/>
  <c r="U2" i="17"/>
  <c r="E15" i="17"/>
  <c r="Y17" i="17"/>
  <c r="W17" i="17"/>
  <c r="X17" i="17"/>
  <c r="H17" i="17"/>
  <c r="V17" i="17"/>
  <c r="D17" i="17"/>
  <c r="S12" i="11"/>
  <c r="O7" i="11"/>
  <c r="H15" i="11"/>
  <c r="I15" i="11"/>
  <c r="AB3" i="17"/>
  <c r="I12" i="11"/>
  <c r="AB7" i="11"/>
  <c r="N15" i="11"/>
  <c r="AB15" i="11"/>
  <c r="M3" i="17"/>
  <c r="O17" i="17"/>
  <c r="K12" i="11"/>
  <c r="N7" i="11"/>
  <c r="L15" i="11"/>
  <c r="C3" i="17"/>
  <c r="S8" i="17"/>
  <c r="F17" i="17"/>
  <c r="N12" i="11"/>
  <c r="Q7" i="11"/>
  <c r="Q15" i="11"/>
  <c r="E3" i="17"/>
  <c r="T8" i="17"/>
  <c r="O8" i="17"/>
  <c r="T17" i="17"/>
  <c r="P12" i="11"/>
  <c r="H7" i="11"/>
  <c r="V15" i="11"/>
  <c r="L3" i="17"/>
  <c r="M8" i="17"/>
  <c r="K17" i="17"/>
  <c r="AA17" i="17"/>
  <c r="I17" i="17"/>
  <c r="G8" i="17"/>
  <c r="V12" i="11"/>
  <c r="I2" i="11"/>
  <c r="W7" i="11"/>
  <c r="W15" i="11"/>
  <c r="Q3" i="17"/>
  <c r="N8" i="17"/>
  <c r="X13" i="17"/>
  <c r="W8" i="17"/>
  <c r="I8" i="17"/>
  <c r="C12" i="11"/>
  <c r="L2" i="11"/>
  <c r="I7" i="11"/>
  <c r="X15" i="11"/>
  <c r="K3" i="17"/>
  <c r="D8" i="17"/>
  <c r="V13" i="17"/>
  <c r="Q17" i="17"/>
  <c r="X12" i="11"/>
  <c r="J2" i="11"/>
  <c r="S7" i="11"/>
  <c r="Y15" i="11"/>
  <c r="X3" i="17"/>
  <c r="Z8" i="17"/>
  <c r="C13" i="17"/>
  <c r="AB17" i="17"/>
  <c r="L17" i="17"/>
  <c r="AA12" i="11"/>
  <c r="F2" i="11"/>
  <c r="V2" i="11"/>
  <c r="G7" i="11"/>
  <c r="R15" i="11"/>
  <c r="U3" i="17"/>
  <c r="F13" i="17"/>
  <c r="E17" i="17"/>
  <c r="C17" i="17"/>
  <c r="M12" i="11"/>
  <c r="R2" i="11"/>
  <c r="AB2" i="11"/>
  <c r="J7" i="11"/>
  <c r="F15" i="11"/>
  <c r="W3" i="17"/>
  <c r="W13" i="17"/>
  <c r="M17" i="17"/>
  <c r="V8" i="17"/>
  <c r="Y12" i="11"/>
  <c r="Q2" i="11"/>
  <c r="D2" i="11"/>
  <c r="D7" i="11"/>
  <c r="G15" i="11"/>
  <c r="J17" i="17"/>
  <c r="Y3" i="17"/>
  <c r="O15" i="17"/>
  <c r="AB13" i="17"/>
  <c r="K8" i="17"/>
  <c r="D12" i="11"/>
  <c r="E2" i="11"/>
  <c r="K2" i="11"/>
  <c r="L7" i="11"/>
  <c r="D15" i="11"/>
  <c r="M13" i="17"/>
  <c r="S3" i="17"/>
  <c r="M15" i="17"/>
  <c r="I13" i="17"/>
  <c r="N13" i="17"/>
  <c r="AA8" i="17"/>
  <c r="S17" i="17"/>
  <c r="T12" i="11"/>
  <c r="Z12" i="11"/>
  <c r="S2" i="11"/>
  <c r="E7" i="11"/>
  <c r="T7" i="11"/>
  <c r="S15" i="11"/>
  <c r="U17" i="17"/>
  <c r="Z3" i="17"/>
  <c r="K15" i="17"/>
  <c r="L8" i="17"/>
  <c r="H12" i="11"/>
  <c r="U12" i="11"/>
  <c r="T2" i="11"/>
  <c r="V7" i="11"/>
  <c r="M7" i="11"/>
  <c r="E15" i="11"/>
  <c r="AB15" i="17"/>
  <c r="V3" i="17"/>
  <c r="X15" i="17"/>
  <c r="N15" i="17"/>
  <c r="N17" i="17"/>
  <c r="C8" i="17"/>
  <c r="L12" i="11"/>
  <c r="G12" i="11"/>
  <c r="U2" i="11"/>
  <c r="X7" i="11"/>
  <c r="U7" i="11"/>
  <c r="U15" i="11"/>
  <c r="R3" i="17"/>
  <c r="J15" i="17"/>
  <c r="U15" i="17"/>
  <c r="AA15" i="17"/>
  <c r="H8" i="17"/>
  <c r="R17" i="17"/>
  <c r="E12" i="11"/>
  <c r="Y7" i="11"/>
  <c r="F15" i="17"/>
  <c r="P17" i="17"/>
  <c r="E8" i="17"/>
  <c r="F8" i="17"/>
  <c r="F13" i="11"/>
  <c r="Z13" i="17"/>
  <c r="H13" i="17"/>
  <c r="I13" i="11"/>
  <c r="Q13" i="17"/>
  <c r="AA13" i="11"/>
  <c r="J13" i="11"/>
  <c r="AA13" i="17"/>
  <c r="P13" i="17"/>
  <c r="L13" i="17"/>
  <c r="J13" i="17"/>
  <c r="U13" i="17"/>
  <c r="O13" i="17"/>
  <c r="R13" i="17"/>
  <c r="E13" i="17"/>
  <c r="S13" i="17"/>
  <c r="D13" i="17"/>
  <c r="T13" i="17"/>
  <c r="O13" i="11"/>
  <c r="AB13" i="11"/>
  <c r="H13" i="11"/>
  <c r="L13" i="11"/>
  <c r="X13" i="11"/>
  <c r="K13" i="11"/>
  <c r="P13" i="11"/>
  <c r="AB12" i="9"/>
  <c r="S12" i="9"/>
  <c r="H12" i="9"/>
  <c r="AA12" i="9"/>
  <c r="D12" i="9"/>
  <c r="J12" i="9"/>
  <c r="U12" i="9"/>
  <c r="R12" i="9"/>
  <c r="W12" i="9"/>
  <c r="H6" i="9"/>
  <c r="I12" i="9"/>
  <c r="C12" i="9"/>
  <c r="E12" i="9"/>
  <c r="L12" i="9"/>
  <c r="W6" i="9"/>
  <c r="Y8" i="9"/>
  <c r="N6" i="9"/>
  <c r="U6" i="9"/>
  <c r="X12" i="9"/>
  <c r="Z12" i="9"/>
  <c r="K12" i="9"/>
  <c r="P6" i="9"/>
  <c r="J6" i="9"/>
  <c r="Q6" i="9"/>
  <c r="T6" i="9"/>
  <c r="M6" i="9"/>
  <c r="I6" i="9"/>
  <c r="Z6" i="9"/>
  <c r="N12" i="9"/>
  <c r="T12" i="9"/>
  <c r="Y12" i="9"/>
  <c r="S6" i="9"/>
  <c r="E6" i="9"/>
  <c r="G6" i="9"/>
  <c r="F6" i="9"/>
  <c r="O6" i="9"/>
  <c r="P12" i="9"/>
  <c r="Y6" i="9"/>
  <c r="V12" i="9"/>
  <c r="C6" i="9"/>
  <c r="D6" i="9"/>
  <c r="F2" i="9"/>
  <c r="X6" i="9"/>
  <c r="Q12" i="9"/>
  <c r="O12" i="9"/>
  <c r="Z2" i="9"/>
  <c r="AB6" i="9"/>
  <c r="F13" i="9"/>
  <c r="AB13" i="9"/>
  <c r="V6" i="9"/>
  <c r="AA6" i="9"/>
  <c r="L6" i="9"/>
  <c r="Y13" i="9"/>
  <c r="AA13" i="9"/>
  <c r="O3" i="9"/>
  <c r="T13" i="9"/>
  <c r="P13" i="9"/>
  <c r="R2" i="9"/>
  <c r="X13" i="9"/>
  <c r="V3" i="9"/>
  <c r="G3" i="9"/>
  <c r="K6" i="9"/>
  <c r="X2" i="9"/>
  <c r="U2" i="9"/>
  <c r="F3" i="9"/>
  <c r="D15" i="9"/>
  <c r="P3" i="9"/>
  <c r="Q3" i="9"/>
  <c r="N3" i="9"/>
  <c r="E13" i="9"/>
  <c r="M3" i="9"/>
  <c r="O13" i="9"/>
  <c r="L3" i="9"/>
  <c r="G15" i="9"/>
  <c r="AB3" i="9"/>
  <c r="Z13" i="9"/>
  <c r="G13" i="9"/>
  <c r="D3" i="9"/>
  <c r="H3" i="9"/>
  <c r="S8" i="9"/>
  <c r="C8" i="9"/>
  <c r="W8" i="9"/>
  <c r="AB8" i="9"/>
  <c r="O8" i="9"/>
  <c r="AA3" i="9"/>
  <c r="X8" i="9"/>
  <c r="K3" i="9"/>
  <c r="G8" i="9"/>
  <c r="V8" i="9"/>
  <c r="S15" i="9"/>
  <c r="X3" i="9"/>
  <c r="E3" i="9"/>
  <c r="J3" i="9"/>
  <c r="AB2" i="9"/>
  <c r="Z3" i="9"/>
  <c r="M2" i="9"/>
  <c r="W2" i="9"/>
  <c r="I3" i="9"/>
  <c r="T3" i="9"/>
  <c r="P8" i="9"/>
  <c r="Y3" i="9"/>
  <c r="C3" i="9"/>
  <c r="P15" i="9"/>
  <c r="N8" i="9"/>
  <c r="Q8" i="9"/>
  <c r="F8" i="9"/>
  <c r="U13" i="9"/>
  <c r="V13" i="9"/>
  <c r="N13" i="9"/>
  <c r="W3" i="9"/>
  <c r="J8" i="9"/>
  <c r="S3" i="9"/>
  <c r="L8" i="9"/>
  <c r="R3" i="9"/>
  <c r="T17" i="9"/>
  <c r="C17" i="9"/>
  <c r="S17" i="9"/>
  <c r="U17" i="9"/>
  <c r="P14" i="9"/>
  <c r="F15" i="9"/>
  <c r="J14" i="9"/>
  <c r="H8" i="9"/>
  <c r="D8" i="9"/>
  <c r="K2" i="9"/>
  <c r="L17" i="9"/>
  <c r="Q17" i="9"/>
  <c r="AB17" i="9"/>
  <c r="P17" i="9"/>
  <c r="F17" i="9"/>
  <c r="X17" i="9"/>
  <c r="J15" i="9"/>
  <c r="R14" i="9"/>
  <c r="E17" i="9"/>
  <c r="N2" i="9"/>
  <c r="H17" i="9"/>
  <c r="L2" i="9"/>
  <c r="M8" i="9"/>
  <c r="N17" i="9"/>
  <c r="H15" i="9"/>
  <c r="T2" i="9"/>
  <c r="H2" i="9"/>
  <c r="AA17" i="9"/>
  <c r="O15" i="9"/>
  <c r="E2" i="9"/>
  <c r="I8" i="9"/>
  <c r="R13" i="9"/>
  <c r="AA14" i="9"/>
  <c r="K17" i="9"/>
  <c r="C2" i="9"/>
  <c r="E8" i="9"/>
  <c r="I17" i="9"/>
  <c r="R8" i="9"/>
  <c r="O14" i="9"/>
  <c r="I14" i="9"/>
  <c r="W13" i="9"/>
  <c r="O17" i="9"/>
  <c r="E15" i="9"/>
  <c r="G17" i="9"/>
  <c r="P2" i="9"/>
  <c r="C15" i="9"/>
  <c r="S14" i="9"/>
  <c r="H14" i="9"/>
  <c r="T14" i="9"/>
  <c r="N14" i="9"/>
  <c r="Z14" i="9"/>
  <c r="X15" i="9"/>
  <c r="R15" i="9"/>
  <c r="Q14" i="9"/>
  <c r="G14" i="9"/>
  <c r="W15" i="9"/>
  <c r="L14" i="9"/>
  <c r="V15" i="9"/>
  <c r="N15" i="9"/>
  <c r="J2" i="9"/>
  <c r="D2" i="9"/>
  <c r="L15" i="9"/>
  <c r="AB15" i="9"/>
  <c r="E14" i="9"/>
  <c r="M13" i="9"/>
  <c r="K14" i="9"/>
  <c r="Y2" i="9"/>
  <c r="K15" i="9"/>
  <c r="G2" i="9"/>
  <c r="Z17" i="9"/>
  <c r="D13" i="9"/>
  <c r="Q13" i="9"/>
  <c r="Y14" i="9"/>
  <c r="C14" i="9"/>
  <c r="V2" i="9"/>
  <c r="I15" i="9"/>
  <c r="M15" i="9"/>
  <c r="Y15" i="9"/>
  <c r="K8" i="9"/>
  <c r="Z8" i="9"/>
  <c r="U8" i="9"/>
  <c r="T8" i="9"/>
  <c r="D17" i="9"/>
  <c r="I2" i="9"/>
  <c r="K13" i="9"/>
  <c r="X14" i="9"/>
  <c r="AB14" i="9"/>
  <c r="S13" i="9"/>
  <c r="J13" i="9"/>
  <c r="R17" i="9"/>
  <c r="V14" i="9"/>
  <c r="W17" i="9"/>
  <c r="Y17" i="9"/>
  <c r="Z15" i="9"/>
  <c r="C13" i="9"/>
  <c r="U14" i="9"/>
  <c r="F14" i="9"/>
  <c r="U15" i="9"/>
  <c r="AA15" i="9"/>
  <c r="T15" i="9"/>
  <c r="J17" i="9"/>
  <c r="O2" i="9"/>
  <c r="S2" i="9"/>
  <c r="I13" i="9"/>
  <c r="M14" i="9"/>
  <c r="V17" i="9"/>
  <c r="Q2" i="9"/>
  <c r="W14" i="9"/>
  <c r="L13" i="9"/>
  <c r="Y12" i="16"/>
  <c r="AA12" i="16"/>
  <c r="P12" i="16"/>
  <c r="F12" i="16"/>
  <c r="X12" i="16"/>
  <c r="W12" i="16"/>
  <c r="H12" i="16"/>
  <c r="G12" i="16"/>
  <c r="O12" i="16"/>
  <c r="Z12" i="16"/>
  <c r="E12" i="16"/>
  <c r="C12" i="16"/>
  <c r="V12" i="16"/>
  <c r="L12" i="16"/>
  <c r="AB12" i="16"/>
  <c r="M12" i="16"/>
  <c r="U12" i="16"/>
  <c r="S12" i="16"/>
  <c r="D12" i="16"/>
  <c r="R12" i="16"/>
  <c r="K12" i="16"/>
  <c r="T12" i="16"/>
  <c r="J12" i="16"/>
  <c r="Q12" i="16"/>
  <c r="I12" i="16"/>
  <c r="N12" i="16"/>
  <c r="C7" i="16"/>
  <c r="Q7" i="16"/>
  <c r="E7" i="16"/>
  <c r="G7" i="16"/>
  <c r="AB7" i="16"/>
  <c r="Z7" i="16"/>
  <c r="R7" i="16"/>
  <c r="P7" i="16"/>
  <c r="S7" i="16"/>
  <c r="H7" i="16"/>
  <c r="T7" i="16"/>
  <c r="U7" i="16"/>
  <c r="D7" i="16"/>
  <c r="M7" i="16"/>
  <c r="V7" i="16"/>
  <c r="AA7" i="16"/>
  <c r="J7" i="16"/>
  <c r="I7" i="16"/>
  <c r="X7" i="16"/>
  <c r="K7" i="16"/>
  <c r="W7" i="16"/>
  <c r="O7" i="16"/>
  <c r="N7" i="16"/>
  <c r="Y7" i="16"/>
  <c r="L7" i="16"/>
  <c r="F7" i="16"/>
  <c r="E2" i="16"/>
  <c r="V2" i="16"/>
  <c r="R2" i="16"/>
  <c r="AA2" i="16"/>
  <c r="X2" i="16"/>
  <c r="S2" i="16"/>
  <c r="C2" i="16"/>
  <c r="Y2" i="16"/>
  <c r="T2" i="16"/>
  <c r="F2" i="16"/>
  <c r="W2" i="16"/>
  <c r="Q2" i="16"/>
  <c r="O2" i="16"/>
  <c r="U2" i="16"/>
  <c r="Z2" i="16"/>
  <c r="M2" i="16"/>
  <c r="L2" i="16"/>
  <c r="G2" i="16"/>
  <c r="N2" i="16"/>
  <c r="J2" i="16"/>
  <c r="AB2" i="16"/>
  <c r="K2" i="16"/>
  <c r="D2" i="16"/>
  <c r="I2" i="16"/>
  <c r="P2" i="16"/>
  <c r="H2" i="16"/>
  <c r="C13" i="16"/>
  <c r="N13" i="16"/>
  <c r="F13" i="16"/>
  <c r="I13" i="16"/>
  <c r="T13" i="16"/>
  <c r="X13" i="16"/>
  <c r="Y13" i="16"/>
  <c r="E13" i="16"/>
  <c r="H13" i="16"/>
  <c r="O13" i="16"/>
  <c r="G13" i="16"/>
  <c r="U13" i="16"/>
  <c r="L13" i="16"/>
  <c r="W13" i="16"/>
  <c r="J13" i="16"/>
  <c r="S13" i="16"/>
  <c r="V13" i="16"/>
  <c r="K13" i="16"/>
  <c r="R13" i="16"/>
  <c r="Z13" i="16"/>
  <c r="Q13" i="16"/>
  <c r="AA13" i="16"/>
  <c r="P13" i="16"/>
  <c r="D13" i="16"/>
  <c r="AB13" i="16"/>
  <c r="M13" i="16"/>
  <c r="T3" i="16"/>
  <c r="N3" i="16"/>
  <c r="U3" i="16"/>
  <c r="O3" i="16"/>
  <c r="G3" i="16"/>
  <c r="S3" i="16"/>
  <c r="P3" i="16"/>
  <c r="K3" i="16"/>
  <c r="Q3" i="16"/>
  <c r="J3" i="16"/>
  <c r="I3" i="16"/>
  <c r="Y3" i="16"/>
  <c r="C3" i="16"/>
  <c r="X3" i="16"/>
  <c r="H3" i="16"/>
  <c r="W3" i="16"/>
  <c r="D3" i="16"/>
  <c r="Z3" i="16"/>
  <c r="M3" i="16"/>
  <c r="E3" i="16"/>
  <c r="V3" i="16"/>
  <c r="AB3" i="16"/>
  <c r="R3" i="16"/>
  <c r="F3" i="16"/>
  <c r="AA3" i="16"/>
  <c r="L3" i="16"/>
  <c r="M15" i="16"/>
  <c r="E15" i="16"/>
  <c r="L15" i="16"/>
  <c r="I15" i="16"/>
  <c r="D15" i="16"/>
  <c r="AB15" i="16"/>
  <c r="N15" i="16"/>
  <c r="H15" i="16"/>
  <c r="F15" i="16"/>
  <c r="AA15" i="16"/>
  <c r="X15" i="16"/>
  <c r="G15" i="16"/>
  <c r="U15" i="16"/>
  <c r="Y15" i="16"/>
  <c r="Z15" i="16"/>
  <c r="T15" i="16"/>
  <c r="W15" i="16"/>
  <c r="V15" i="16"/>
  <c r="S15" i="16"/>
  <c r="P15" i="16"/>
  <c r="K15" i="16"/>
  <c r="Q15" i="16"/>
  <c r="C15" i="16"/>
  <c r="O15" i="16"/>
  <c r="J15" i="16"/>
  <c r="R15" i="16"/>
  <c r="W14" i="16"/>
  <c r="J14" i="16"/>
  <c r="H14" i="16"/>
  <c r="E14" i="16"/>
  <c r="F14" i="16"/>
  <c r="S14" i="16"/>
  <c r="D14" i="16"/>
  <c r="AB14" i="16"/>
  <c r="M14" i="16"/>
  <c r="Y14" i="16"/>
  <c r="V14" i="16"/>
  <c r="L14" i="16"/>
  <c r="I14" i="16"/>
  <c r="K14" i="16"/>
  <c r="R14" i="16"/>
  <c r="G14" i="16"/>
  <c r="Z14" i="16"/>
  <c r="Q14" i="16"/>
  <c r="X14" i="16"/>
  <c r="AA14" i="16"/>
  <c r="T14" i="16"/>
  <c r="C14" i="16"/>
  <c r="U14" i="16"/>
  <c r="P14" i="16"/>
  <c r="O14" i="16"/>
  <c r="N14" i="16"/>
  <c r="O17" i="16"/>
  <c r="J17" i="16"/>
  <c r="C17" i="16"/>
  <c r="Z17" i="16"/>
  <c r="L17" i="16"/>
  <c r="G17" i="16"/>
  <c r="E17" i="16"/>
  <c r="Q17" i="16"/>
  <c r="R17" i="16"/>
  <c r="P17" i="16"/>
  <c r="M17" i="16"/>
  <c r="N17" i="16"/>
  <c r="K17" i="16"/>
  <c r="W17" i="16"/>
  <c r="I17" i="16"/>
  <c r="H17" i="16"/>
  <c r="X17" i="16"/>
  <c r="S17" i="16"/>
  <c r="F17" i="16"/>
  <c r="Y17" i="16"/>
  <c r="V17" i="16"/>
  <c r="D17" i="16"/>
  <c r="U17" i="16"/>
  <c r="AA17" i="16"/>
  <c r="T17" i="16"/>
  <c r="AB17" i="16"/>
  <c r="V6" i="16"/>
  <c r="X6" i="16"/>
  <c r="J6" i="16"/>
  <c r="Z6" i="16"/>
  <c r="U6" i="16"/>
  <c r="G6" i="16"/>
  <c r="E6" i="16"/>
  <c r="D6" i="16"/>
  <c r="W6" i="16"/>
  <c r="C6" i="16"/>
  <c r="R6" i="16"/>
  <c r="S6" i="16"/>
  <c r="O6" i="16"/>
  <c r="N6" i="16"/>
  <c r="Q6" i="16"/>
  <c r="L6" i="16"/>
  <c r="AA6" i="16"/>
  <c r="AB6" i="16"/>
  <c r="I6" i="16"/>
  <c r="K6" i="16"/>
  <c r="F6" i="16"/>
  <c r="H6" i="16"/>
  <c r="P6" i="16"/>
  <c r="M6" i="16"/>
  <c r="Y6" i="16"/>
  <c r="T6" i="16"/>
  <c r="D8" i="16"/>
  <c r="P8" i="16"/>
  <c r="V8" i="16"/>
  <c r="N8" i="16"/>
  <c r="Y8" i="16"/>
  <c r="S8" i="16"/>
  <c r="AA8" i="16"/>
  <c r="C8" i="16"/>
  <c r="H8" i="16"/>
  <c r="E8" i="16"/>
  <c r="F8" i="16"/>
  <c r="G8" i="16"/>
  <c r="W8" i="16"/>
  <c r="U8" i="16"/>
  <c r="R8" i="16"/>
  <c r="Q8" i="16"/>
  <c r="T8" i="16"/>
  <c r="O8" i="16"/>
  <c r="M8" i="16"/>
  <c r="L8" i="16"/>
  <c r="Z8" i="16"/>
  <c r="K8" i="16"/>
  <c r="J8" i="16"/>
  <c r="I8" i="16"/>
  <c r="X8" i="16"/>
  <c r="AB8" i="16"/>
  <c r="Z2" i="15"/>
  <c r="D2" i="15"/>
  <c r="Y2" i="15"/>
  <c r="C2" i="15"/>
  <c r="W2" i="15"/>
  <c r="O2" i="15"/>
  <c r="N2" i="15"/>
  <c r="M2" i="15"/>
  <c r="L2" i="15"/>
  <c r="S2" i="15"/>
  <c r="AA2" i="15"/>
  <c r="X2" i="15"/>
  <c r="V2" i="15"/>
  <c r="P2" i="15"/>
  <c r="AB2" i="15"/>
  <c r="J2" i="15"/>
  <c r="I2" i="15"/>
  <c r="G2" i="15"/>
  <c r="F2" i="15"/>
  <c r="H2" i="15"/>
  <c r="E2" i="15"/>
  <c r="U2" i="15"/>
  <c r="T2" i="15"/>
  <c r="R2" i="15"/>
  <c r="Q2" i="15"/>
  <c r="K2" i="15"/>
  <c r="T12" i="15"/>
  <c r="S12" i="15"/>
  <c r="Q12" i="15"/>
  <c r="Z12" i="15"/>
  <c r="Y12" i="15"/>
  <c r="X12" i="15"/>
  <c r="W12" i="15"/>
  <c r="L12" i="15"/>
  <c r="J12" i="15"/>
  <c r="O12" i="15"/>
  <c r="E12" i="15"/>
  <c r="D12" i="15"/>
  <c r="C12" i="15"/>
  <c r="R12" i="15"/>
  <c r="P12" i="15"/>
  <c r="N12" i="15"/>
  <c r="F12" i="15"/>
  <c r="U12" i="15"/>
  <c r="M12" i="15"/>
  <c r="K12" i="15"/>
  <c r="I12" i="15"/>
  <c r="H12" i="15"/>
  <c r="G12" i="15"/>
  <c r="AB12" i="15"/>
  <c r="AA12" i="15"/>
  <c r="V12" i="15"/>
  <c r="J14" i="15"/>
  <c r="I14" i="15"/>
  <c r="H14" i="15"/>
  <c r="G14" i="15"/>
  <c r="X14" i="15"/>
  <c r="W14" i="15"/>
  <c r="V14" i="15"/>
  <c r="U14" i="15"/>
  <c r="M14" i="15"/>
  <c r="K14" i="15"/>
  <c r="P14" i="15"/>
  <c r="O14" i="15"/>
  <c r="N14" i="15"/>
  <c r="AA14" i="15"/>
  <c r="Y14" i="15"/>
  <c r="T14" i="15"/>
  <c r="S14" i="15"/>
  <c r="R14" i="15"/>
  <c r="C14" i="15"/>
  <c r="AB14" i="15"/>
  <c r="D14" i="15"/>
  <c r="Q14" i="15"/>
  <c r="E14" i="15"/>
  <c r="Z14" i="15"/>
  <c r="L14" i="15"/>
  <c r="F14" i="15"/>
  <c r="AB6" i="15"/>
  <c r="F6" i="15"/>
  <c r="AA6" i="15"/>
  <c r="E6" i="15"/>
  <c r="Y6" i="15"/>
  <c r="C6" i="15"/>
  <c r="J6" i="15"/>
  <c r="I6" i="15"/>
  <c r="H6" i="15"/>
  <c r="G6" i="15"/>
  <c r="U6" i="15"/>
  <c r="W6" i="15"/>
  <c r="V6" i="15"/>
  <c r="T6" i="15"/>
  <c r="L6" i="15"/>
  <c r="R6" i="15"/>
  <c r="Q6" i="15"/>
  <c r="P6" i="15"/>
  <c r="X6" i="15"/>
  <c r="S6" i="15"/>
  <c r="O6" i="15"/>
  <c r="N6" i="15"/>
  <c r="M6" i="15"/>
  <c r="K6" i="15"/>
  <c r="D6" i="15"/>
  <c r="Z6" i="15"/>
  <c r="O13" i="15"/>
  <c r="N13" i="15"/>
  <c r="M13" i="15"/>
  <c r="L13" i="15"/>
  <c r="Y13" i="15"/>
  <c r="X13" i="15"/>
  <c r="W13" i="15"/>
  <c r="V13" i="15"/>
  <c r="J13" i="15"/>
  <c r="H13" i="15"/>
  <c r="E13" i="15"/>
  <c r="D13" i="15"/>
  <c r="C13" i="15"/>
  <c r="AA13" i="15"/>
  <c r="S13" i="15"/>
  <c r="R13" i="15"/>
  <c r="Q13" i="15"/>
  <c r="I13" i="15"/>
  <c r="F13" i="15"/>
  <c r="Z13" i="15"/>
  <c r="U13" i="15"/>
  <c r="P13" i="15"/>
  <c r="K13" i="15"/>
  <c r="G13" i="15"/>
  <c r="AB13" i="15"/>
  <c r="T13" i="15"/>
  <c r="W7" i="15"/>
  <c r="V7" i="15"/>
  <c r="T7" i="15"/>
  <c r="H7" i="15"/>
  <c r="G7" i="15"/>
  <c r="F7" i="15"/>
  <c r="E7" i="15"/>
  <c r="S7" i="15"/>
  <c r="AB7" i="15"/>
  <c r="AA7" i="15"/>
  <c r="O7" i="15"/>
  <c r="M7" i="15"/>
  <c r="L7" i="15"/>
  <c r="K7" i="15"/>
  <c r="D7" i="15"/>
  <c r="Z7" i="15"/>
  <c r="Y7" i="15"/>
  <c r="U7" i="15"/>
  <c r="R7" i="15"/>
  <c r="Q7" i="15"/>
  <c r="P7" i="15"/>
  <c r="N7" i="15"/>
  <c r="X7" i="15"/>
  <c r="J7" i="15"/>
  <c r="I7" i="15"/>
  <c r="C7" i="15"/>
  <c r="Q17" i="15"/>
  <c r="P17" i="15"/>
  <c r="O17" i="15"/>
  <c r="N17" i="15"/>
  <c r="Y17" i="15"/>
  <c r="X17" i="15"/>
  <c r="W17" i="15"/>
  <c r="V17" i="15"/>
  <c r="J17" i="15"/>
  <c r="H17" i="15"/>
  <c r="G17" i="15"/>
  <c r="F17" i="15"/>
  <c r="E17" i="15"/>
  <c r="AB17" i="15"/>
  <c r="D17" i="15"/>
  <c r="C17" i="15"/>
  <c r="AA17" i="15"/>
  <c r="U17" i="15"/>
  <c r="I17" i="15"/>
  <c r="M17" i="15"/>
  <c r="K17" i="15"/>
  <c r="S17" i="15"/>
  <c r="Z17" i="15"/>
  <c r="T17" i="15"/>
  <c r="R17" i="15"/>
  <c r="L17" i="15"/>
  <c r="R8" i="15"/>
  <c r="Q8" i="15"/>
  <c r="O8" i="15"/>
  <c r="F8" i="15"/>
  <c r="E8" i="15"/>
  <c r="D8" i="15"/>
  <c r="AB8" i="15"/>
  <c r="C8" i="15"/>
  <c r="T8" i="15"/>
  <c r="V8" i="15"/>
  <c r="Y8" i="15"/>
  <c r="X8" i="15"/>
  <c r="W8" i="15"/>
  <c r="P8" i="15"/>
  <c r="M8" i="15"/>
  <c r="S8" i="15"/>
  <c r="N8" i="15"/>
  <c r="L8" i="15"/>
  <c r="AA8" i="15"/>
  <c r="Z8" i="15"/>
  <c r="J8" i="15"/>
  <c r="I8" i="15"/>
  <c r="H8" i="15"/>
  <c r="G8" i="15"/>
  <c r="K8" i="15"/>
  <c r="U8" i="15"/>
  <c r="U3" i="15"/>
  <c r="T3" i="15"/>
  <c r="R3" i="15"/>
  <c r="M3" i="15"/>
  <c r="L3" i="15"/>
  <c r="K3" i="15"/>
  <c r="J3" i="15"/>
  <c r="AA3" i="15"/>
  <c r="F3" i="15"/>
  <c r="E3" i="15"/>
  <c r="D3" i="15"/>
  <c r="Y3" i="15"/>
  <c r="AB3" i="15"/>
  <c r="G3" i="15"/>
  <c r="C3" i="15"/>
  <c r="Z3" i="15"/>
  <c r="X3" i="15"/>
  <c r="W3" i="15"/>
  <c r="V3" i="15"/>
  <c r="S3" i="15"/>
  <c r="Q3" i="15"/>
  <c r="P3" i="15"/>
  <c r="O3" i="15"/>
  <c r="I3" i="15"/>
  <c r="H3" i="15"/>
  <c r="N3" i="15"/>
  <c r="AA15" i="15"/>
  <c r="E15" i="15"/>
  <c r="Z15" i="15"/>
  <c r="D15" i="15"/>
  <c r="Y15" i="15"/>
  <c r="C15" i="15"/>
  <c r="X15" i="15"/>
  <c r="W15" i="15"/>
  <c r="V15" i="15"/>
  <c r="U15" i="15"/>
  <c r="T15" i="15"/>
  <c r="L15" i="15"/>
  <c r="J15" i="15"/>
  <c r="AB15" i="15"/>
  <c r="S15" i="15"/>
  <c r="I15" i="15"/>
  <c r="K15" i="15"/>
  <c r="H15" i="15"/>
  <c r="G15" i="15"/>
  <c r="Q15" i="15"/>
  <c r="P15" i="15"/>
  <c r="O15" i="15"/>
  <c r="N15" i="15"/>
  <c r="M15" i="15"/>
  <c r="F15" i="15"/>
  <c r="R15" i="15"/>
</calcChain>
</file>

<file path=xl/sharedStrings.xml><?xml version="1.0" encoding="utf-8"?>
<sst xmlns="http://schemas.openxmlformats.org/spreadsheetml/2006/main" count="3322" uniqueCount="681">
  <si>
    <t>HOIpTP  -  Health Outcome Incidence per Ton Pollutant (state, 2024-2050)</t>
  </si>
  <si>
    <t>Alabama</t>
  </si>
  <si>
    <t>State code (derived):</t>
  </si>
  <si>
    <t>Methodology (see docs/methodology/HOIpTP.md):</t>
  </si>
  <si>
    <t xml:space="preserve">  incidents_per_ton[outcome, sector, pollutant]</t>
  </si>
  <si>
    <t xml:space="preserve">    = SUM(avoided_incidents over active state counties)</t>
  </si>
  <si>
    <t xml:space="preserve">    / SUM(pollutant_tons_reduced over active state counties)</t>
  </si>
  <si>
    <t xml:space="preserve">  Per-state EPA COBRA runs (50% pollutant reduction in state, in-state receptors only).</t>
  </si>
  <si>
    <t>Outputs: 15 tabs (5 sectors x 3 pollutants), each 11 health outcomes x 27 years.</t>
  </si>
  <si>
    <t xml:space="preserve">  Sectors: transport, electricity, buildings, industry, LULUCF.</t>
  </si>
  <si>
    <t xml:space="preserve">  Pollutants: PM25, NOx, SO2.</t>
  </si>
  <si>
    <t xml:space="preserve">  LULUCF sector reuses Industry NOx values (legacy convention).</t>
  </si>
  <si>
    <t>Year columns = state 2024 anchor x (eps-us national year value / eps-us 2024), so the</t>
  </si>
  <si>
    <t>per-ton rate follows the national trajectory (baseline incidence and population).</t>
  </si>
  <si>
    <t>Degenerate-run substitution (2026-09-14, TODOS O77):</t>
  </si>
  <si>
    <t xml:space="preserve">  A COBRA run that reduced essentially no tonnage gives a factor that is noise over zero</t>
  </si>
  <si>
    <t xml:space="preserve">  (VT electricity SO2 reduced 1.35e-5 t and produced 0.0026 deaths = 212 deaths/ton, 34,000x</t>
  </si>
  <si>
    <t xml:space="preserve">  the eps-us rate; it swung VT to -1,600 / +7,800 avoided deaths a year). Such a state-run</t>
  </si>
  <si>
    <t xml:space="preserve">  pair is replaced, for every outcome row, by the same state's INDUSTRY factor for the same</t>
  </si>
  <si>
    <t xml:space="preserve">  pollutant -- the fix the VT model carried by hand in Dec 2022 (state repo commit 1d85e22)</t>
  </si>
  <si>
    <t xml:space="preserve">  and lost in the 4.0 file refresh. Tests and substitutes are all in-workbook:</t>
  </si>
  <si>
    <t xml:space="preserve">    Keys          constants: tons floor, max and min multiple of the eps-us national factor</t>
  </si>
  <si>
    <t xml:space="preserve">    Runs          the 12 COBRA runs and each one's substitute run</t>
  </si>
  <si>
    <t xml:space="preserve">    COBRA_aggregated  helper columns Y onward: tests and the run used, for all 48 states</t>
  </si>
  <si>
    <t xml:space="preserve">    Substitution  the active state's effective run per output tab (what the SUMIFS read)</t>
  </si>
  <si>
    <t xml:space="preserve">  Shipped constants substitute exactly three pairs: VT electricity SO2, RI electricity SO2,</t>
  </si>
  <si>
    <t xml:space="preserve">  VT electricity NO2. Filter COBRA_aggregated column "SUBSTITUTE THIS RUN?" = 1 to see them.</t>
  </si>
  <si>
    <t>Sources:</t>
  </si>
  <si>
    <t xml:space="preserve">  COBRA_aggregated:  EPA COBRA per-state runs from state-eps-models/eps-{state}/.../HOIpTP/</t>
  </si>
  <si>
    <t xml:space="preserve">    All 48 states have state-specific COBRA runs for HOIpTP (unlike FoHObDT/FoIPMbDT</t>
  </si>
  <si>
    <t xml:space="preserve">    where Michigan lacks state-specific runs).</t>
  </si>
  <si>
    <t xml:space="preserve">    EPA COBRA: https://www.epa.gov/cobra (vintage-locked at 2021)</t>
  </si>
  <si>
    <t>Known legacy bug (preserved for backward compatibility):</t>
  </si>
  <si>
    <t xml:space="preserve">  "Respiratory emergency room visits" row uses COBRA col N (HA, All Cardiovascular),</t>
  </si>
  <si>
    <t xml:space="preserve">  which is the same column as "Cardiovascular hospital admissions". COBRA col M</t>
  </si>
  <si>
    <t xml:space="preserve">  ("Emergency Room Visits, Asthma") is the actual ER column but is not used.</t>
  </si>
  <si>
    <t xml:space="preserve">  Result: rows 2 (Respiratory ER) and 10 (Cardio hospital adm) are identical.</t>
  </si>
  <si>
    <t xml:space="preserve">  See methodology doc for context.</t>
  </si>
  <si>
    <t>Per organizational guidance: framed as input for staff review.</t>
  </si>
  <si>
    <t>Build: outputs/HOIpTP/_build_hoiptp_workbook.py</t>
  </si>
  <si>
    <t>Constants used by formulas elsewhere in this workbook. Change a value here, never inside a formula.</t>
  </si>
  <si>
    <t>category</t>
  </si>
  <si>
    <t>key</t>
  </si>
  <si>
    <t>value</t>
  </si>
  <si>
    <t>description</t>
  </si>
  <si>
    <t>substitution</t>
  </si>
  <si>
    <t>denominator_floor_tons</t>
  </si>
  <si>
    <t>A COBRA run that reduced fewer tons than this has no usable denominator; its factor is replaced by the substitute run. Set low enough to catch only degenerate runs (VT electricity SO2 reduced 1.35e-5 t). 10 t would also override ten small-state pairs whose ratios are plausible.</t>
  </si>
  <si>
    <t>max_ratio_to_us</t>
  </si>
  <si>
    <t>Substitute when the state premature-mortality factor exceeds this multiple of the eps-us national factor for the same sector and pollutant. State runs count in-state receptors only, so a factor far ABOVE national is not credible.</t>
  </si>
  <si>
    <t>min_ratio_to_us</t>
  </si>
  <si>
    <t>Substitute when the state factor is below this fraction of the eps-us national factor (a run whose concentration change rounded to zero). Small-state NOx factors legitimately sit at 0.1-1% of national; this must stay below them.</t>
  </si>
  <si>
    <t>anchor_outcome</t>
  </si>
  <si>
    <t>Premature mortality</t>
  </si>
  <si>
    <t>Outcome row used for the ratio tests (the US_national_yearly key ends with it).</t>
  </si>
  <si>
    <t>anchor_year</t>
  </si>
  <si>
    <t>Year of the state anchor and of the eps-us value used in the ratio tests.</t>
  </si>
  <si>
    <t>key_separator</t>
  </si>
  <si>
    <t>|</t>
  </si>
  <si>
    <t>Separator used in US_national_yearly lookup keys and the COBRA_aggregated state|run key.</t>
  </si>
  <si>
    <t>reason_floor</t>
  </si>
  <si>
    <t xml:space="preserve">tons reduced below floor; </t>
  </si>
  <si>
    <t>Text shown on COBRA_aggregated when the floor test fires.</t>
  </si>
  <si>
    <t>reason_high</t>
  </si>
  <si>
    <t xml:space="preserve">factor above max multiple of US; </t>
  </si>
  <si>
    <t>Text shown when the upper ratio test fires.</t>
  </si>
  <si>
    <t>reason_low</t>
  </si>
  <si>
    <t xml:space="preserve">factor below min fraction of US; </t>
  </si>
  <si>
    <t>Text shown when the lower ratio test fires.</t>
  </si>
  <si>
    <t>state_fips</t>
  </si>
  <si>
    <t>state_abbr</t>
  </si>
  <si>
    <t>state_name</t>
  </si>
  <si>
    <t>division_num</t>
  </si>
  <si>
    <t>division_name</t>
  </si>
  <si>
    <t>01</t>
  </si>
  <si>
    <t>AL</t>
  </si>
  <si>
    <t>East South Central</t>
  </si>
  <si>
    <t>04</t>
  </si>
  <si>
    <t>AZ</t>
  </si>
  <si>
    <t>Arizona</t>
  </si>
  <si>
    <t>Mountain South</t>
  </si>
  <si>
    <t>05</t>
  </si>
  <si>
    <t>AR</t>
  </si>
  <si>
    <t>Arkansas</t>
  </si>
  <si>
    <t>West South Central</t>
  </si>
  <si>
    <t>06</t>
  </si>
  <si>
    <t>CA</t>
  </si>
  <si>
    <t>California</t>
  </si>
  <si>
    <t>Pacific</t>
  </si>
  <si>
    <t>08</t>
  </si>
  <si>
    <t>CO</t>
  </si>
  <si>
    <t>Colorado</t>
  </si>
  <si>
    <t>Mountain North</t>
  </si>
  <si>
    <t>09</t>
  </si>
  <si>
    <t>CT</t>
  </si>
  <si>
    <t>Connecticut</t>
  </si>
  <si>
    <t>New England</t>
  </si>
  <si>
    <t>10</t>
  </si>
  <si>
    <t>DE</t>
  </si>
  <si>
    <t>Delaware</t>
  </si>
  <si>
    <t>South Atlantic</t>
  </si>
  <si>
    <t>12</t>
  </si>
  <si>
    <t>FL</t>
  </si>
  <si>
    <t>Florida</t>
  </si>
  <si>
    <t>13</t>
  </si>
  <si>
    <t>GA</t>
  </si>
  <si>
    <t>Georgia</t>
  </si>
  <si>
    <t>16</t>
  </si>
  <si>
    <t>ID</t>
  </si>
  <si>
    <t>Idaho</t>
  </si>
  <si>
    <t>17</t>
  </si>
  <si>
    <t>IL</t>
  </si>
  <si>
    <t>Illinois</t>
  </si>
  <si>
    <t>East North Central</t>
  </si>
  <si>
    <t>18</t>
  </si>
  <si>
    <t>IN</t>
  </si>
  <si>
    <t>Indiana</t>
  </si>
  <si>
    <t>19</t>
  </si>
  <si>
    <t>IA</t>
  </si>
  <si>
    <t>Iowa</t>
  </si>
  <si>
    <t>West North Central</t>
  </si>
  <si>
    <t>20</t>
  </si>
  <si>
    <t>KS</t>
  </si>
  <si>
    <t>Kansas</t>
  </si>
  <si>
    <t>21</t>
  </si>
  <si>
    <t>KY</t>
  </si>
  <si>
    <t>Kentucky</t>
  </si>
  <si>
    <t>22</t>
  </si>
  <si>
    <t>LA</t>
  </si>
  <si>
    <t>Louisiana</t>
  </si>
  <si>
    <t>23</t>
  </si>
  <si>
    <t>ME</t>
  </si>
  <si>
    <t>Maine</t>
  </si>
  <si>
    <t>24</t>
  </si>
  <si>
    <t>MD</t>
  </si>
  <si>
    <t>Maryland</t>
  </si>
  <si>
    <t>25</t>
  </si>
  <si>
    <t>MA</t>
  </si>
  <si>
    <t>Massachusetts</t>
  </si>
  <si>
    <t>26</t>
  </si>
  <si>
    <t>MI</t>
  </si>
  <si>
    <t>Michigan</t>
  </si>
  <si>
    <t>27</t>
  </si>
  <si>
    <t>MN</t>
  </si>
  <si>
    <t>Minnesota</t>
  </si>
  <si>
    <t>28</t>
  </si>
  <si>
    <t>MS</t>
  </si>
  <si>
    <t>Mississippi</t>
  </si>
  <si>
    <t>29</t>
  </si>
  <si>
    <t>MO</t>
  </si>
  <si>
    <t>Missouri</t>
  </si>
  <si>
    <t>30</t>
  </si>
  <si>
    <t>MT</t>
  </si>
  <si>
    <t>Montana</t>
  </si>
  <si>
    <t>31</t>
  </si>
  <si>
    <t>NE</t>
  </si>
  <si>
    <t>Nebraska</t>
  </si>
  <si>
    <t>32</t>
  </si>
  <si>
    <t>NV</t>
  </si>
  <si>
    <t>Nevada</t>
  </si>
  <si>
    <t>33</t>
  </si>
  <si>
    <t>NH</t>
  </si>
  <si>
    <t>New Hampshire</t>
  </si>
  <si>
    <t>34</t>
  </si>
  <si>
    <t>NJ</t>
  </si>
  <si>
    <t>New Jersey</t>
  </si>
  <si>
    <t>Middle Atlantic</t>
  </si>
  <si>
    <t>35</t>
  </si>
  <si>
    <t>NM</t>
  </si>
  <si>
    <t>New Mexico</t>
  </si>
  <si>
    <t>36</t>
  </si>
  <si>
    <t>NY</t>
  </si>
  <si>
    <t>New York</t>
  </si>
  <si>
    <t>37</t>
  </si>
  <si>
    <t>NC</t>
  </si>
  <si>
    <t>North Carolina</t>
  </si>
  <si>
    <t>38</t>
  </si>
  <si>
    <t>ND</t>
  </si>
  <si>
    <t>North Dakota</t>
  </si>
  <si>
    <t>39</t>
  </si>
  <si>
    <t>OH</t>
  </si>
  <si>
    <t>Ohio</t>
  </si>
  <si>
    <t>40</t>
  </si>
  <si>
    <t>OK</t>
  </si>
  <si>
    <t>Oklahoma</t>
  </si>
  <si>
    <t>41</t>
  </si>
  <si>
    <t>OR</t>
  </si>
  <si>
    <t>Oregon</t>
  </si>
  <si>
    <t>42</t>
  </si>
  <si>
    <t>PA</t>
  </si>
  <si>
    <t>Pennsylvania</t>
  </si>
  <si>
    <t>44</t>
  </si>
  <si>
    <t>RI</t>
  </si>
  <si>
    <t>Rhode Island</t>
  </si>
  <si>
    <t>45</t>
  </si>
  <si>
    <t>SC</t>
  </si>
  <si>
    <t>South Carolina</t>
  </si>
  <si>
    <t>46</t>
  </si>
  <si>
    <t>SD</t>
  </si>
  <si>
    <t>South Dakota</t>
  </si>
  <si>
    <t>47</t>
  </si>
  <si>
    <t>TN</t>
  </si>
  <si>
    <t>Tennessee</t>
  </si>
  <si>
    <t>48</t>
  </si>
  <si>
    <t>TX</t>
  </si>
  <si>
    <t>Texas</t>
  </si>
  <si>
    <t>49</t>
  </si>
  <si>
    <t>UT</t>
  </si>
  <si>
    <t>Utah</t>
  </si>
  <si>
    <t>50</t>
  </si>
  <si>
    <t>VT</t>
  </si>
  <si>
    <t>Vermont</t>
  </si>
  <si>
    <t>51</t>
  </si>
  <si>
    <t>VA</t>
  </si>
  <si>
    <t>Virginia</t>
  </si>
  <si>
    <t>53</t>
  </si>
  <si>
    <t>WA</t>
  </si>
  <si>
    <t>Washington</t>
  </si>
  <si>
    <t>54</t>
  </si>
  <si>
    <t>WV</t>
  </si>
  <si>
    <t>West Virginia</t>
  </si>
  <si>
    <t>55</t>
  </si>
  <si>
    <t>WI</t>
  </si>
  <si>
    <t>Wisconsin</t>
  </si>
  <si>
    <t>56</t>
  </si>
  <si>
    <t>WY</t>
  </si>
  <si>
    <t>Wyoming</t>
  </si>
  <si>
    <t>The 12 state COBRA runs. Column E names the run whose factor replaces a degenerate run (same state, Industry sector, same pollutant). Column F is the US_national_yearly key for the ratio tests.</t>
  </si>
  <si>
    <t>run</t>
  </si>
  <si>
    <t>sector (workbook name)</t>
  </si>
  <si>
    <t>pollutant (tab suffix)</t>
  </si>
  <si>
    <t>tons-reduced column on COBRA_aggregated</t>
  </si>
  <si>
    <t>substitute run</t>
  </si>
  <si>
    <t>eps-us lookup key
sector | pollutant | anchor outcome</t>
  </si>
  <si>
    <t>transportation PM25</t>
  </si>
  <si>
    <t>transport</t>
  </si>
  <si>
    <t>PM25</t>
  </si>
  <si>
    <t>delta_PM25</t>
  </si>
  <si>
    <t>Industry PM25</t>
  </si>
  <si>
    <t>transportation NO2</t>
  </si>
  <si>
    <t>NOx</t>
  </si>
  <si>
    <t>delta_NO2</t>
  </si>
  <si>
    <t>Industry NO2</t>
  </si>
  <si>
    <t>transportation SO2</t>
  </si>
  <si>
    <t>SO2</t>
  </si>
  <si>
    <t>delta_SO2</t>
  </si>
  <si>
    <t>Industry SO2</t>
  </si>
  <si>
    <t>electricity PM25</t>
  </si>
  <si>
    <t>electricity</t>
  </si>
  <si>
    <t>electricity NO2</t>
  </si>
  <si>
    <t>electricity SO2</t>
  </si>
  <si>
    <t>buildings PM25</t>
  </si>
  <si>
    <t>buildings</t>
  </si>
  <si>
    <t>buildings NO2</t>
  </si>
  <si>
    <t>buildings SO2</t>
  </si>
  <si>
    <t>industry</t>
  </si>
  <si>
    <t>state</t>
  </si>
  <si>
    <t>n_counties</t>
  </si>
  <si>
    <t>premature_mortality</t>
  </si>
  <si>
    <t>infant_mortality</t>
  </si>
  <si>
    <t>asthma_symptoms_cough</t>
  </si>
  <si>
    <t>asthma_symptoms_short_breath</t>
  </si>
  <si>
    <t>asthma_symptoms_wheeze</t>
  </si>
  <si>
    <t>resp_hospital_adm</t>
  </si>
  <si>
    <t>nonfatal_heart_attacks</t>
  </si>
  <si>
    <t>minor_restricted_activity</t>
  </si>
  <si>
    <t>work_loss_days</t>
  </si>
  <si>
    <t>cardio_hospital_adm</t>
  </si>
  <si>
    <t>asthma_exacerbation_total</t>
  </si>
  <si>
    <t>er_visits_asthma</t>
  </si>
  <si>
    <t>ha_asthma</t>
  </si>
  <si>
    <t>ha_chronic_lung</t>
  </si>
  <si>
    <t>acute_bronchitis</t>
  </si>
  <si>
    <t>lower_resp_symptoms</t>
  </si>
  <si>
    <t>upper_resp_symptoms</t>
  </si>
  <si>
    <t>State and run key
state | run</t>
  </si>
  <si>
    <t>Tons the COBRA run actually reduced
of the run's own pollutant</t>
  </si>
  <si>
    <t>Premature deaths per ton, this run
incidents / tons reduced</t>
  </si>
  <si>
    <t>Premature deaths per ton, eps-us national
same sector and pollutant, anchor year</t>
  </si>
  <si>
    <t>State factor as a multiple of national
own / US</t>
  </si>
  <si>
    <t>TEST: too few tons reduced?
1 = below Keys floor</t>
  </si>
  <si>
    <t>TEST: factor implausibly high?
1 = above Keys max multiple of US</t>
  </si>
  <si>
    <t>TEST: factor rounded to nothing?
1 = below Keys min fraction of US</t>
  </si>
  <si>
    <t>SUBSTITUTE THIS RUN?
1 = any test fired; output tabs use the substitute</t>
  </si>
  <si>
    <t>Substitute run
same state, Industry sector, same pollutant</t>
  </si>
  <si>
    <t>RUN USED IN THE OUTPUT TABS
substitute if flagged, else own run</t>
  </si>
  <si>
    <t>Why it was substituted
blank = own run used</t>
  </si>
  <si>
    <t>CHECK: is the substitute run itself flagged?
1 = problem</t>
  </si>
  <si>
    <t>sector</t>
  </si>
  <si>
    <t>pollutant</t>
  </si>
  <si>
    <t>outcome_label</t>
  </si>
  <si>
    <t>lookup_key</t>
  </si>
  <si>
    <t>transport|NOx|Premature mortality</t>
  </si>
  <si>
    <t>Infant mortality</t>
  </si>
  <si>
    <t>transport|NOx|Infant mortality</t>
  </si>
  <si>
    <t>Asthma symptoms albuturol use</t>
  </si>
  <si>
    <t>transport|NOx|Asthma symptoms albuturol use</t>
  </si>
  <si>
    <t>Asthma symptoms chest tightness</t>
  </si>
  <si>
    <t>transport|NOx|Asthma symptoms chest tightness</t>
  </si>
  <si>
    <t>Asthma symptoms cough</t>
  </si>
  <si>
    <t>transport|NOx|Asthma symptoms cough</t>
  </si>
  <si>
    <t>Asthma symptoms shortness of breath</t>
  </si>
  <si>
    <t>transport|NOx|Asthma symptoms shortness of breath</t>
  </si>
  <si>
    <t>Asthma symptoms wheeze</t>
  </si>
  <si>
    <t>transport|NOx|Asthma symptoms wheeze</t>
  </si>
  <si>
    <t>Asthma incidence</t>
  </si>
  <si>
    <t>transport|NOx|Asthma incidence</t>
  </si>
  <si>
    <t>Hay fever rhinitis incidence</t>
  </si>
  <si>
    <t>transport|NOx|Hay fever rhinitis incidence</t>
  </si>
  <si>
    <t>Respiratory emergency room visits</t>
  </si>
  <si>
    <t>transport|NOx|Respiratory emergency room visits</t>
  </si>
  <si>
    <t>Respiratory hospital admissions</t>
  </si>
  <si>
    <t>transport|NOx|Respiratory hospital admissions</t>
  </si>
  <si>
    <t>Non-fatal heart attacks</t>
  </si>
  <si>
    <t>transport|NOx|Non-fatal heart attacks</t>
  </si>
  <si>
    <t>Minor restricted activity days</t>
  </si>
  <si>
    <t>transport|NOx|Minor restricted activity days</t>
  </si>
  <si>
    <t>Work loss days</t>
  </si>
  <si>
    <t>transport|NOx|Work loss days</t>
  </si>
  <si>
    <t>Lung cancer incidence</t>
  </si>
  <si>
    <t>transport|NOx|Lung cancer incidence</t>
  </si>
  <si>
    <t>Cardiovascular hospital admissions</t>
  </si>
  <si>
    <t>transport|NOx|Cardiovascular hospital admissions</t>
  </si>
  <si>
    <t>Alzheimers disease hospital admissions</t>
  </si>
  <si>
    <t>transport|NOx|Alzheimers disease hospital admissions</t>
  </si>
  <si>
    <t>Parkinsons disease hospital admissions</t>
  </si>
  <si>
    <t>transport|NOx|Parkinsons disease hospital admissions</t>
  </si>
  <si>
    <t>Stroke incidence</t>
  </si>
  <si>
    <t>transport|NOx|Stroke incidence</t>
  </si>
  <si>
    <t>Out of hospital cardiac arrest incidence</t>
  </si>
  <si>
    <t>transport|NOx|Out of hospital cardiac arrest incidence</t>
  </si>
  <si>
    <t>Cardiac emergency room visits</t>
  </si>
  <si>
    <t>transport|NOx|Cardiac emergency room visits</t>
  </si>
  <si>
    <t>School loss days</t>
  </si>
  <si>
    <t>transport|NOx|School loss days</t>
  </si>
  <si>
    <t>transport|PM25|Premature mortality</t>
  </si>
  <si>
    <t>transport|PM25|Infant mortality</t>
  </si>
  <si>
    <t>transport|PM25|Asthma symptoms albuturol use</t>
  </si>
  <si>
    <t>transport|PM25|Asthma symptoms chest tightness</t>
  </si>
  <si>
    <t>transport|PM25|Asthma symptoms cough</t>
  </si>
  <si>
    <t>transport|PM25|Asthma symptoms shortness of breath</t>
  </si>
  <si>
    <t>transport|PM25|Asthma symptoms wheeze</t>
  </si>
  <si>
    <t>transport|PM25|Asthma incidence</t>
  </si>
  <si>
    <t>transport|PM25|Hay fever rhinitis incidence</t>
  </si>
  <si>
    <t>transport|PM25|Respiratory emergency room visits</t>
  </si>
  <si>
    <t>transport|PM25|Respiratory hospital admissions</t>
  </si>
  <si>
    <t>transport|PM25|Non-fatal heart attacks</t>
  </si>
  <si>
    <t>transport|PM25|Minor restricted activity days</t>
  </si>
  <si>
    <t>transport|PM25|Work loss days</t>
  </si>
  <si>
    <t>transport|PM25|Lung cancer incidence</t>
  </si>
  <si>
    <t>transport|PM25|Cardiovascular hospital admissions</t>
  </si>
  <si>
    <t>transport|PM25|Alzheimers disease hospital admissions</t>
  </si>
  <si>
    <t>transport|PM25|Parkinsons disease hospital admissions</t>
  </si>
  <si>
    <t>transport|PM25|Stroke incidence</t>
  </si>
  <si>
    <t>transport|PM25|Out of hospital cardiac arrest incidence</t>
  </si>
  <si>
    <t>transport|PM25|Cardiac emergency room visits</t>
  </si>
  <si>
    <t>transport|PM25|School loss days</t>
  </si>
  <si>
    <t>transport|SO2|Premature mortality</t>
  </si>
  <si>
    <t>transport|SO2|Infant mortality</t>
  </si>
  <si>
    <t>transport|SO2|Asthma symptoms albuturol use</t>
  </si>
  <si>
    <t>transport|SO2|Asthma symptoms chest tightness</t>
  </si>
  <si>
    <t>transport|SO2|Asthma symptoms cough</t>
  </si>
  <si>
    <t>transport|SO2|Asthma symptoms shortness of breath</t>
  </si>
  <si>
    <t>transport|SO2|Asthma symptoms wheeze</t>
  </si>
  <si>
    <t>transport|SO2|Asthma incidence</t>
  </si>
  <si>
    <t>transport|SO2|Hay fever rhinitis incidence</t>
  </si>
  <si>
    <t>transport|SO2|Respiratory emergency room visits</t>
  </si>
  <si>
    <t>transport|SO2|Respiratory hospital admissions</t>
  </si>
  <si>
    <t>transport|SO2|Non-fatal heart attacks</t>
  </si>
  <si>
    <t>transport|SO2|Minor restricted activity days</t>
  </si>
  <si>
    <t>transport|SO2|Work loss days</t>
  </si>
  <si>
    <t>transport|SO2|Lung cancer incidence</t>
  </si>
  <si>
    <t>transport|SO2|Cardiovascular hospital admissions</t>
  </si>
  <si>
    <t>transport|SO2|Alzheimers disease hospital admissions</t>
  </si>
  <si>
    <t>transport|SO2|Parkinsons disease hospital admissions</t>
  </si>
  <si>
    <t>transport|SO2|Stroke incidence</t>
  </si>
  <si>
    <t>transport|SO2|Out of hospital cardiac arrest incidence</t>
  </si>
  <si>
    <t>transport|SO2|Cardiac emergency room visits</t>
  </si>
  <si>
    <t>transport|SO2|School loss days</t>
  </si>
  <si>
    <t>electricity|NOx|Premature mortality</t>
  </si>
  <si>
    <t>electricity|NOx|Infant mortality</t>
  </si>
  <si>
    <t>electricity|NOx|Asthma symptoms albuturol use</t>
  </si>
  <si>
    <t>electricity|NOx|Asthma symptoms chest tightness</t>
  </si>
  <si>
    <t>electricity|NOx|Asthma symptoms cough</t>
  </si>
  <si>
    <t>electricity|NOx|Asthma symptoms shortness of breath</t>
  </si>
  <si>
    <t>electricity|NOx|Asthma symptoms wheeze</t>
  </si>
  <si>
    <t>electricity|NOx|Asthma incidence</t>
  </si>
  <si>
    <t>electricity|NOx|Hay fever rhinitis incidence</t>
  </si>
  <si>
    <t>electricity|NOx|Respiratory emergency room visits</t>
  </si>
  <si>
    <t>electricity|NOx|Respiratory hospital admissions</t>
  </si>
  <si>
    <t>electricity|NOx|Non-fatal heart attacks</t>
  </si>
  <si>
    <t>electricity|NOx|Minor restricted activity days</t>
  </si>
  <si>
    <t>electricity|NOx|Work loss days</t>
  </si>
  <si>
    <t>electricity|NOx|Lung cancer incidence</t>
  </si>
  <si>
    <t>electricity|NOx|Cardiovascular hospital admissions</t>
  </si>
  <si>
    <t>electricity|NOx|Alzheimers disease hospital admissions</t>
  </si>
  <si>
    <t>electricity|NOx|Parkinsons disease hospital admissions</t>
  </si>
  <si>
    <t>electricity|NOx|Stroke incidence</t>
  </si>
  <si>
    <t>electricity|NOx|Out of hospital cardiac arrest incidence</t>
  </si>
  <si>
    <t>electricity|NOx|Cardiac emergency room visits</t>
  </si>
  <si>
    <t>electricity|NOx|School loss days</t>
  </si>
  <si>
    <t>electricity|PM25|Premature mortality</t>
  </si>
  <si>
    <t>electricity|PM25|Infant mortality</t>
  </si>
  <si>
    <t>electricity|PM25|Asthma symptoms albuturol use</t>
  </si>
  <si>
    <t>electricity|PM25|Asthma symptoms chest tightness</t>
  </si>
  <si>
    <t>electricity|PM25|Asthma symptoms cough</t>
  </si>
  <si>
    <t>electricity|PM25|Asthma symptoms shortness of breath</t>
  </si>
  <si>
    <t>electricity|PM25|Asthma symptoms wheeze</t>
  </si>
  <si>
    <t>electricity|PM25|Asthma incidence</t>
  </si>
  <si>
    <t>electricity|PM25|Hay fever rhinitis incidence</t>
  </si>
  <si>
    <t>electricity|PM25|Respiratory emergency room visits</t>
  </si>
  <si>
    <t>electricity|PM25|Respiratory hospital admissions</t>
  </si>
  <si>
    <t>electricity|PM25|Non-fatal heart attacks</t>
  </si>
  <si>
    <t>electricity|PM25|Minor restricted activity days</t>
  </si>
  <si>
    <t>electricity|PM25|Work loss days</t>
  </si>
  <si>
    <t>electricity|PM25|Lung cancer incidence</t>
  </si>
  <si>
    <t>electricity|PM25|Cardiovascular hospital admissions</t>
  </si>
  <si>
    <t>electricity|PM25|Alzheimers disease hospital admissions</t>
  </si>
  <si>
    <t>electricity|PM25|Parkinsons disease hospital admissions</t>
  </si>
  <si>
    <t>electricity|PM25|Stroke incidence</t>
  </si>
  <si>
    <t>electricity|PM25|Out of hospital cardiac arrest incidence</t>
  </si>
  <si>
    <t>electricity|PM25|Cardiac emergency room visits</t>
  </si>
  <si>
    <t>electricity|PM25|School loss days</t>
  </si>
  <si>
    <t>electricity|SO2|Premature mortality</t>
  </si>
  <si>
    <t>electricity|SO2|Infant mortality</t>
  </si>
  <si>
    <t>electricity|SO2|Asthma symptoms albuturol use</t>
  </si>
  <si>
    <t>electricity|SO2|Asthma symptoms chest tightness</t>
  </si>
  <si>
    <t>electricity|SO2|Asthma symptoms cough</t>
  </si>
  <si>
    <t>electricity|SO2|Asthma symptoms shortness of breath</t>
  </si>
  <si>
    <t>electricity|SO2|Asthma symptoms wheeze</t>
  </si>
  <si>
    <t>electricity|SO2|Asthma incidence</t>
  </si>
  <si>
    <t>electricity|SO2|Hay fever rhinitis incidence</t>
  </si>
  <si>
    <t>electricity|SO2|Respiratory emergency room visits</t>
  </si>
  <si>
    <t>electricity|SO2|Respiratory hospital admissions</t>
  </si>
  <si>
    <t>electricity|SO2|Non-fatal heart attacks</t>
  </si>
  <si>
    <t>electricity|SO2|Minor restricted activity days</t>
  </si>
  <si>
    <t>electricity|SO2|Work loss days</t>
  </si>
  <si>
    <t>electricity|SO2|Lung cancer incidence</t>
  </si>
  <si>
    <t>electricity|SO2|Cardiovascular hospital admissions</t>
  </si>
  <si>
    <t>electricity|SO2|Alzheimers disease hospital admissions</t>
  </si>
  <si>
    <t>electricity|SO2|Parkinsons disease hospital admissions</t>
  </si>
  <si>
    <t>electricity|SO2|Stroke incidence</t>
  </si>
  <si>
    <t>electricity|SO2|Out of hospital cardiac arrest incidence</t>
  </si>
  <si>
    <t>electricity|SO2|Cardiac emergency room visits</t>
  </si>
  <si>
    <t>electricity|SO2|School loss days</t>
  </si>
  <si>
    <t>buildings|NOx|Premature mortality</t>
  </si>
  <si>
    <t>buildings|NOx|Infant mortality</t>
  </si>
  <si>
    <t>buildings|NOx|Asthma symptoms albuturol use</t>
  </si>
  <si>
    <t>buildings|NOx|Asthma symptoms chest tightness</t>
  </si>
  <si>
    <t>buildings|NOx|Asthma symptoms cough</t>
  </si>
  <si>
    <t>buildings|NOx|Asthma symptoms shortness of breath</t>
  </si>
  <si>
    <t>buildings|NOx|Asthma symptoms wheeze</t>
  </si>
  <si>
    <t>buildings|NOx|Asthma incidence</t>
  </si>
  <si>
    <t>buildings|NOx|Hay fever rhinitis incidence</t>
  </si>
  <si>
    <t>buildings|NOx|Respiratory emergency room visits</t>
  </si>
  <si>
    <t>buildings|NOx|Respiratory hospital admissions</t>
  </si>
  <si>
    <t>buildings|NOx|Non-fatal heart attacks</t>
  </si>
  <si>
    <t>buildings|NOx|Minor restricted activity days</t>
  </si>
  <si>
    <t>buildings|NOx|Work loss days</t>
  </si>
  <si>
    <t>buildings|NOx|Lung cancer incidence</t>
  </si>
  <si>
    <t>buildings|NOx|Cardiovascular hospital admissions</t>
  </si>
  <si>
    <t>buildings|NOx|Alzheimers disease hospital admissions</t>
  </si>
  <si>
    <t>buildings|NOx|Parkinsons disease hospital admissions</t>
  </si>
  <si>
    <t>buildings|NOx|Stroke incidence</t>
  </si>
  <si>
    <t>buildings|NOx|Out of hospital cardiac arrest incidence</t>
  </si>
  <si>
    <t>buildings|NOx|Cardiac emergency room visits</t>
  </si>
  <si>
    <t>buildings|NOx|School loss days</t>
  </si>
  <si>
    <t>buildings|PM25|Premature mortality</t>
  </si>
  <si>
    <t>buildings|PM25|Infant mortality</t>
  </si>
  <si>
    <t>buildings|PM25|Asthma symptoms albuturol use</t>
  </si>
  <si>
    <t>buildings|PM25|Asthma symptoms chest tightness</t>
  </si>
  <si>
    <t>buildings|PM25|Asthma symptoms cough</t>
  </si>
  <si>
    <t>buildings|PM25|Asthma symptoms shortness of breath</t>
  </si>
  <si>
    <t>buildings|PM25|Asthma symptoms wheeze</t>
  </si>
  <si>
    <t>buildings|PM25|Asthma incidence</t>
  </si>
  <si>
    <t>buildings|PM25|Hay fever rhinitis incidence</t>
  </si>
  <si>
    <t>buildings|PM25|Respiratory emergency room visits</t>
  </si>
  <si>
    <t>buildings|PM25|Respiratory hospital admissions</t>
  </si>
  <si>
    <t>buildings|PM25|Non-fatal heart attacks</t>
  </si>
  <si>
    <t>buildings|PM25|Minor restricted activity days</t>
  </si>
  <si>
    <t>buildings|PM25|Work loss days</t>
  </si>
  <si>
    <t>buildings|PM25|Lung cancer incidence</t>
  </si>
  <si>
    <t>buildings|PM25|Cardiovascular hospital admissions</t>
  </si>
  <si>
    <t>buildings|PM25|Alzheimers disease hospital admissions</t>
  </si>
  <si>
    <t>buildings|PM25|Parkinsons disease hospital admissions</t>
  </si>
  <si>
    <t>buildings|PM25|Stroke incidence</t>
  </si>
  <si>
    <t>buildings|PM25|Out of hospital cardiac arrest incidence</t>
  </si>
  <si>
    <t>buildings|PM25|Cardiac emergency room visits</t>
  </si>
  <si>
    <t>buildings|PM25|School loss days</t>
  </si>
  <si>
    <t>buildings|SO2|Premature mortality</t>
  </si>
  <si>
    <t>buildings|SO2|Infant mortality</t>
  </si>
  <si>
    <t>buildings|SO2|Asthma symptoms albuturol use</t>
  </si>
  <si>
    <t>buildings|SO2|Asthma symptoms chest tightness</t>
  </si>
  <si>
    <t>buildings|SO2|Asthma symptoms cough</t>
  </si>
  <si>
    <t>buildings|SO2|Asthma symptoms shortness of breath</t>
  </si>
  <si>
    <t>buildings|SO2|Asthma symptoms wheeze</t>
  </si>
  <si>
    <t>buildings|SO2|Asthma incidence</t>
  </si>
  <si>
    <t>buildings|SO2|Hay fever rhinitis incidence</t>
  </si>
  <si>
    <t>buildings|SO2|Respiratory emergency room visits</t>
  </si>
  <si>
    <t>buildings|SO2|Respiratory hospital admissions</t>
  </si>
  <si>
    <t>buildings|SO2|Non-fatal heart attacks</t>
  </si>
  <si>
    <t>buildings|SO2|Minor restricted activity days</t>
  </si>
  <si>
    <t>buildings|SO2|Work loss days</t>
  </si>
  <si>
    <t>buildings|SO2|Lung cancer incidence</t>
  </si>
  <si>
    <t>buildings|SO2|Cardiovascular hospital admissions</t>
  </si>
  <si>
    <t>buildings|SO2|Alzheimers disease hospital admissions</t>
  </si>
  <si>
    <t>buildings|SO2|Parkinsons disease hospital admissions</t>
  </si>
  <si>
    <t>buildings|SO2|Stroke incidence</t>
  </si>
  <si>
    <t>buildings|SO2|Out of hospital cardiac arrest incidence</t>
  </si>
  <si>
    <t>buildings|SO2|Cardiac emergency room visits</t>
  </si>
  <si>
    <t>buildings|SO2|School loss days</t>
  </si>
  <si>
    <t>industry|NOx|Premature mortality</t>
  </si>
  <si>
    <t>industry|NOx|Infant mortality</t>
  </si>
  <si>
    <t>industry|NOx|Asthma symptoms albuturol use</t>
  </si>
  <si>
    <t>industry|NOx|Asthma symptoms chest tightness</t>
  </si>
  <si>
    <t>industry|NOx|Asthma symptoms cough</t>
  </si>
  <si>
    <t>industry|NOx|Asthma symptoms shortness of breath</t>
  </si>
  <si>
    <t>industry|NOx|Asthma symptoms wheeze</t>
  </si>
  <si>
    <t>industry|NOx|Asthma incidence</t>
  </si>
  <si>
    <t>industry|NOx|Hay fever rhinitis incidence</t>
  </si>
  <si>
    <t>industry|NOx|Respiratory emergency room visits</t>
  </si>
  <si>
    <t>industry|NOx|Respiratory hospital admissions</t>
  </si>
  <si>
    <t>industry|NOx|Non-fatal heart attacks</t>
  </si>
  <si>
    <t>industry|NOx|Minor restricted activity days</t>
  </si>
  <si>
    <t>industry|NOx|Work loss days</t>
  </si>
  <si>
    <t>industry|NOx|Lung cancer incidence</t>
  </si>
  <si>
    <t>industry|NOx|Cardiovascular hospital admissions</t>
  </si>
  <si>
    <t>industry|NOx|Alzheimers disease hospital admissions</t>
  </si>
  <si>
    <t>industry|NOx|Parkinsons disease hospital admissions</t>
  </si>
  <si>
    <t>industry|NOx|Stroke incidence</t>
  </si>
  <si>
    <t>industry|NOx|Out of hospital cardiac arrest incidence</t>
  </si>
  <si>
    <t>industry|NOx|Cardiac emergency room visits</t>
  </si>
  <si>
    <t>industry|NOx|School loss days</t>
  </si>
  <si>
    <t>industry|PM25|Premature mortality</t>
  </si>
  <si>
    <t>industry|PM25|Infant mortality</t>
  </si>
  <si>
    <t>industry|PM25|Asthma symptoms albuturol use</t>
  </si>
  <si>
    <t>industry|PM25|Asthma symptoms chest tightness</t>
  </si>
  <si>
    <t>industry|PM25|Asthma symptoms cough</t>
  </si>
  <si>
    <t>industry|PM25|Asthma symptoms shortness of breath</t>
  </si>
  <si>
    <t>industry|PM25|Asthma symptoms wheeze</t>
  </si>
  <si>
    <t>industry|PM25|Asthma incidence</t>
  </si>
  <si>
    <t>industry|PM25|Hay fever rhinitis incidence</t>
  </si>
  <si>
    <t>industry|PM25|Respiratory emergency room visits</t>
  </si>
  <si>
    <t>industry|PM25|Respiratory hospital admissions</t>
  </si>
  <si>
    <t>industry|PM25|Non-fatal heart attacks</t>
  </si>
  <si>
    <t>industry|PM25|Minor restricted activity days</t>
  </si>
  <si>
    <t>industry|PM25|Work loss days</t>
  </si>
  <si>
    <t>industry|PM25|Lung cancer incidence</t>
  </si>
  <si>
    <t>industry|PM25|Cardiovascular hospital admissions</t>
  </si>
  <si>
    <t>industry|PM25|Alzheimers disease hospital admissions</t>
  </si>
  <si>
    <t>industry|PM25|Parkinsons disease hospital admissions</t>
  </si>
  <si>
    <t>industry|PM25|Stroke incidence</t>
  </si>
  <si>
    <t>industry|PM25|Out of hospital cardiac arrest incidence</t>
  </si>
  <si>
    <t>industry|PM25|Cardiac emergency room visits</t>
  </si>
  <si>
    <t>industry|PM25|School loss days</t>
  </si>
  <si>
    <t>industry|SO2|Premature mortality</t>
  </si>
  <si>
    <t>industry|SO2|Infant mortality</t>
  </si>
  <si>
    <t>industry|SO2|Asthma symptoms albuturol use</t>
  </si>
  <si>
    <t>industry|SO2|Asthma symptoms chest tightness</t>
  </si>
  <si>
    <t>industry|SO2|Asthma symptoms cough</t>
  </si>
  <si>
    <t>industry|SO2|Asthma symptoms shortness of breath</t>
  </si>
  <si>
    <t>industry|SO2|Asthma symptoms wheeze</t>
  </si>
  <si>
    <t>industry|SO2|Asthma incidence</t>
  </si>
  <si>
    <t>industry|SO2|Hay fever rhinitis incidence</t>
  </si>
  <si>
    <t>industry|SO2|Respiratory emergency room visits</t>
  </si>
  <si>
    <t>industry|SO2|Respiratory hospital admissions</t>
  </si>
  <si>
    <t>industry|SO2|Non-fatal heart attacks</t>
  </si>
  <si>
    <t>industry|SO2|Minor restricted activity days</t>
  </si>
  <si>
    <t>industry|SO2|Work loss days</t>
  </si>
  <si>
    <t>industry|SO2|Lung cancer incidence</t>
  </si>
  <si>
    <t>industry|SO2|Cardiovascular hospital admissions</t>
  </si>
  <si>
    <t>industry|SO2|Alzheimers disease hospital admissions</t>
  </si>
  <si>
    <t>industry|SO2|Parkinsons disease hospital admissions</t>
  </si>
  <si>
    <t>industry|SO2|Stroke incidence</t>
  </si>
  <si>
    <t>industry|SO2|Out of hospital cardiac arrest incidence</t>
  </si>
  <si>
    <t>industry|SO2|Cardiac emergency room visits</t>
  </si>
  <si>
    <t>industry|SO2|School loss days</t>
  </si>
  <si>
    <t>LULUCF</t>
  </si>
  <si>
    <t>LULUCF|NOx|Premature mortality</t>
  </si>
  <si>
    <t>LULUCF|NOx|Infant mortality</t>
  </si>
  <si>
    <t>LULUCF|NOx|Asthma symptoms albuturol use</t>
  </si>
  <si>
    <t>LULUCF|NOx|Asthma symptoms chest tightness</t>
  </si>
  <si>
    <t>LULUCF|NOx|Asthma symptoms cough</t>
  </si>
  <si>
    <t>LULUCF|NOx|Asthma symptoms shortness of breath</t>
  </si>
  <si>
    <t>LULUCF|NOx|Asthma symptoms wheeze</t>
  </si>
  <si>
    <t>LULUCF|NOx|Asthma incidence</t>
  </si>
  <si>
    <t>LULUCF|NOx|Hay fever rhinitis incidence</t>
  </si>
  <si>
    <t>LULUCF|NOx|Respiratory emergency room visits</t>
  </si>
  <si>
    <t>LULUCF|NOx|Respiratory hospital admissions</t>
  </si>
  <si>
    <t>LULUCF|NOx|Non-fatal heart attacks</t>
  </si>
  <si>
    <t>LULUCF|NOx|Minor restricted activity days</t>
  </si>
  <si>
    <t>LULUCF|NOx|Work loss days</t>
  </si>
  <si>
    <t>LULUCF|NOx|Lung cancer incidence</t>
  </si>
  <si>
    <t>LULUCF|NOx|Cardiovascular hospital admissions</t>
  </si>
  <si>
    <t>LULUCF|NOx|Alzheimers disease hospital admissions</t>
  </si>
  <si>
    <t>LULUCF|NOx|Parkinsons disease hospital admissions</t>
  </si>
  <si>
    <t>LULUCF|NOx|Stroke incidence</t>
  </si>
  <si>
    <t>LULUCF|NOx|Out of hospital cardiac arrest incidence</t>
  </si>
  <si>
    <t>LULUCF|NOx|Cardiac emergency room visits</t>
  </si>
  <si>
    <t>LULUCF|NOx|School loss days</t>
  </si>
  <si>
    <t>LULUCF|PM25|Premature mortality</t>
  </si>
  <si>
    <t>LULUCF|PM25|Infant mortality</t>
  </si>
  <si>
    <t>LULUCF|PM25|Asthma symptoms albuturol use</t>
  </si>
  <si>
    <t>LULUCF|PM25|Asthma symptoms chest tightness</t>
  </si>
  <si>
    <t>LULUCF|PM25|Asthma symptoms cough</t>
  </si>
  <si>
    <t>LULUCF|PM25|Asthma symptoms shortness of breath</t>
  </si>
  <si>
    <t>LULUCF|PM25|Asthma symptoms wheeze</t>
  </si>
  <si>
    <t>LULUCF|PM25|Asthma incidence</t>
  </si>
  <si>
    <t>LULUCF|PM25|Hay fever rhinitis incidence</t>
  </si>
  <si>
    <t>LULUCF|PM25|Respiratory emergency room visits</t>
  </si>
  <si>
    <t>LULUCF|PM25|Respiratory hospital admissions</t>
  </si>
  <si>
    <t>LULUCF|PM25|Non-fatal heart attacks</t>
  </si>
  <si>
    <t>LULUCF|PM25|Minor restricted activity days</t>
  </si>
  <si>
    <t>LULUCF|PM25|Work loss days</t>
  </si>
  <si>
    <t>LULUCF|PM25|Lung cancer incidence</t>
  </si>
  <si>
    <t>LULUCF|PM25|Cardiovascular hospital admissions</t>
  </si>
  <si>
    <t>LULUCF|PM25|Alzheimers disease hospital admissions</t>
  </si>
  <si>
    <t>LULUCF|PM25|Parkinsons disease hospital admissions</t>
  </si>
  <si>
    <t>LULUCF|PM25|Stroke incidence</t>
  </si>
  <si>
    <t>LULUCF|PM25|Out of hospital cardiac arrest incidence</t>
  </si>
  <si>
    <t>LULUCF|PM25|Cardiac emergency room visits</t>
  </si>
  <si>
    <t>LULUCF|PM25|School loss days</t>
  </si>
  <si>
    <t>LULUCF|SO2|Premature mortality</t>
  </si>
  <si>
    <t>LULUCF|SO2|Infant mortality</t>
  </si>
  <si>
    <t>LULUCF|SO2|Asthma symptoms albuturol use</t>
  </si>
  <si>
    <t>LULUCF|SO2|Asthma symptoms chest tightness</t>
  </si>
  <si>
    <t>LULUCF|SO2|Asthma symptoms cough</t>
  </si>
  <si>
    <t>LULUCF|SO2|Asthma symptoms shortness of breath</t>
  </si>
  <si>
    <t>LULUCF|SO2|Asthma symptoms wheeze</t>
  </si>
  <si>
    <t>LULUCF|SO2|Asthma incidence</t>
  </si>
  <si>
    <t>LULUCF|SO2|Hay fever rhinitis incidence</t>
  </si>
  <si>
    <t>LULUCF|SO2|Respiratory emergency room visits</t>
  </si>
  <si>
    <t>LULUCF|SO2|Respiratory hospital admissions</t>
  </si>
  <si>
    <t>LULUCF|SO2|Non-fatal heart attacks</t>
  </si>
  <si>
    <t>LULUCF|SO2|Minor restricted activity days</t>
  </si>
  <si>
    <t>LULUCF|SO2|Work loss days</t>
  </si>
  <si>
    <t>LULUCF|SO2|Lung cancer incidence</t>
  </si>
  <si>
    <t>LULUCF|SO2|Cardiovascular hospital admissions</t>
  </si>
  <si>
    <t>LULUCF|SO2|Alzheimers disease hospital admissions</t>
  </si>
  <si>
    <t>LULUCF|SO2|Parkinsons disease hospital admissions</t>
  </si>
  <si>
    <t>LULUCF|SO2|Stroke incidence</t>
  </si>
  <si>
    <t>LULUCF|SO2|Out of hospital cardiac arrest incidence</t>
  </si>
  <si>
    <t>LULUCF|SO2|Cardiac emergency room visits</t>
  </si>
  <si>
    <t>LULUCF|SO2|School loss days</t>
  </si>
  <si>
    <t>Which COBRA run feeds each output tab for the state selected on About!B1?</t>
  </si>
  <si>
    <t>Column G is the answer: the run whose incidents and tons the output tab divides. It equals the tab's own run (column D) unless COBRA_aggregated flagged that run as degenerate for this state (column E = 1), in which case it is the substitute in column F. Columns H-J are comparison only. Column L must be 0 in every row.</t>
  </si>
  <si>
    <t>Sector
workbook name</t>
  </si>
  <si>
    <t>Pollutant
tab suffix</t>
  </si>
  <si>
    <t>Output tab</t>
  </si>
  <si>
    <t>Own COBRA run
sector pollutant</t>
  </si>
  <si>
    <t>Flagged for this state?
1 = substituted</t>
  </si>
  <si>
    <t>Substitute run
same state, Industry, same pollutant</t>
  </si>
  <si>
    <t>RUN USED IN THE OUTPUT FILE</t>
  </si>
  <si>
    <t>Own factor, premature deaths per ton
comparison only</t>
  </si>
  <si>
    <t>eps-us national factor, anchor year
comparison only</t>
  </si>
  <si>
    <t>Own factor as a multiple of national
comparison only</t>
  </si>
  <si>
    <t>Why substituted
blank = own run</t>
  </si>
  <si>
    <t>CHECK: is the substitute itself flagged?
1 = problem</t>
  </si>
  <si>
    <t>US_national_yearly key prefix for this tab
sector | pollutant | (outcome label follows)</t>
  </si>
  <si>
    <t>HOIpTP-transport-PM25</t>
  </si>
  <si>
    <t>HOIpTP-transport-NOx</t>
  </si>
  <si>
    <t>HOIpTP-transport-SO2</t>
  </si>
  <si>
    <t>HOIpTP-electricity-PM25</t>
  </si>
  <si>
    <t>HOIpTP-electricity-NOx</t>
  </si>
  <si>
    <t>HOIpTP-electricity-SO2</t>
  </si>
  <si>
    <t>HOIpTP-buildings-PM25</t>
  </si>
  <si>
    <t>HOIpTP-buildings-NOx</t>
  </si>
  <si>
    <t>HOIpTP-buildings-SO2</t>
  </si>
  <si>
    <t>HOIpTP-industry-PM25</t>
  </si>
  <si>
    <t>HOIpTP-industry-NOx</t>
  </si>
  <si>
    <t>HOIpTP-industry-SO2</t>
  </si>
  <si>
    <t>HOIpTP-LULUCF-PM25</t>
  </si>
  <si>
    <t>HOIpTP-LULUCF-NOx</t>
  </si>
  <si>
    <t>HOIpTP-LULUCF-SO2</t>
  </si>
  <si>
    <t>Tabs substituted for this state</t>
  </si>
  <si>
    <t>CHECK: substitutes that are themselves flagged (must be 0)</t>
  </si>
  <si>
    <t>All 48 states: state-run pairs substituted</t>
  </si>
  <si>
    <t>All 48 states: CHECK substitutes themselves flagged (must be 0)</t>
  </si>
  <si>
    <t>Unit: incidents / ton pollutant</t>
  </si>
  <si>
    <t>Data for lookup functions (based on sheet name)</t>
  </si>
  <si>
    <t>sector pollutant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</si>
</sst>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E+00"/>
    <numFmt numFmtId="165" formatCode="0.000"/>
  </numFmts>
  <fonts count="5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2"/>
      <name val="Calibri"/>
    </font>
    <font>
      <i/>
      <sz val="11"/>
      <color rgb="FF666666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59D"/>
        <bgColor rgb="FFFFF59D"/>
      </patternFill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4" fillId="3" borderId="0" xfId="0" applyFont="1" applyFill="1"/>
    <xf numFmtId="0" fontId="0" fillId="2" borderId="0" xfId="0" applyFill="1"/>
    <xf numFmtId="0" fontId="4" fillId="3" borderId="0" xfId="0" applyFont="1" applyFill="1" applyAlignment="1">
      <alignment vertical="top" wrapText="1"/>
    </xf>
    <xf numFmtId="164" fontId="0" fillId="0" borderId="0" xfId="0" applyNumberFormat="1"/>
    <xf numFmtId="0" fontId="2" fillId="0" borderId="0" xfId="0" applyFont="1"/>
    <xf numFmtId="0" fontId="4" fillId="2" borderId="0" xfId="0" applyFont="1" applyFill="1"/>
    <xf numFmtId="165" fontId="0" fillId="0" borderId="0" xfId="0" applyNumberFormat="1"/>
    <xf numFmtId="11" fontId="0" fillId="0" borderId="0" xfId="0" applyNumberFormat="1"/>
    <xf numFmtId="0" fontId="0" fillId="0" borderId="0" xfId="0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8"/>
  <sheetViews>
    <sheetView tabSelected="1" workbookViewId="0"/>
  </sheetViews>
  <sheetFormatPr defaultRowHeight="15" x14ac:dyDescent="0.25"/>
  <cols>
    <col min="1" max="1" width="100" customWidth="1"/>
    <col min="2" max="2" width="24" customWidth="1"/>
  </cols>
  <sheetData>
    <row r="1" spans="1:2" ht="18.75" x14ac:dyDescent="0.3">
      <c r="A1" s="1" t="s">
        <v>0</v>
      </c>
      <c r="B1" s="2" t="s">
        <v>190</v>
      </c>
    </row>
    <row r="2" spans="1:2" x14ac:dyDescent="0.25">
      <c r="A2" s="3" t="s">
        <v>2</v>
      </c>
      <c r="B2" s="4" t="str">
        <f>IFERROR(INDEX(Geography!B:B, MATCH($B$1, Geography!C:C, 0)), "")</f>
        <v>PA</v>
      </c>
    </row>
    <row r="5" spans="1:2" x14ac:dyDescent="0.25">
      <c r="A5" t="s">
        <v>3</v>
      </c>
    </row>
    <row r="6" spans="1:2" x14ac:dyDescent="0.25">
      <c r="A6" t="s">
        <v>4</v>
      </c>
    </row>
    <row r="7" spans="1:2" x14ac:dyDescent="0.25">
      <c r="A7" t="s">
        <v>5</v>
      </c>
    </row>
    <row r="8" spans="1:2" x14ac:dyDescent="0.25">
      <c r="A8" t="s">
        <v>6</v>
      </c>
    </row>
    <row r="9" spans="1:2" x14ac:dyDescent="0.25">
      <c r="A9" t="s">
        <v>7</v>
      </c>
    </row>
    <row r="11" spans="1:2" x14ac:dyDescent="0.25">
      <c r="A11" t="s">
        <v>8</v>
      </c>
    </row>
    <row r="12" spans="1:2" x14ac:dyDescent="0.25">
      <c r="A12" t="s">
        <v>9</v>
      </c>
    </row>
    <row r="13" spans="1:2" x14ac:dyDescent="0.25">
      <c r="A13" t="s">
        <v>10</v>
      </c>
    </row>
    <row r="14" spans="1:2" x14ac:dyDescent="0.25">
      <c r="A14" t="s">
        <v>11</v>
      </c>
    </row>
    <row r="16" spans="1:2" x14ac:dyDescent="0.25">
      <c r="A16" t="s">
        <v>12</v>
      </c>
    </row>
    <row r="17" spans="1:1" x14ac:dyDescent="0.25">
      <c r="A17" t="s">
        <v>13</v>
      </c>
    </row>
    <row r="19" spans="1:1" x14ac:dyDescent="0.25">
      <c r="A19" t="s">
        <v>14</v>
      </c>
    </row>
    <row r="20" spans="1:1" x14ac:dyDescent="0.25">
      <c r="A20" t="s">
        <v>15</v>
      </c>
    </row>
    <row r="21" spans="1:1" x14ac:dyDescent="0.25">
      <c r="A21" t="s">
        <v>16</v>
      </c>
    </row>
    <row r="22" spans="1:1" x14ac:dyDescent="0.25">
      <c r="A22" t="s">
        <v>17</v>
      </c>
    </row>
    <row r="23" spans="1:1" x14ac:dyDescent="0.25">
      <c r="A23" t="s">
        <v>18</v>
      </c>
    </row>
    <row r="24" spans="1:1" x14ac:dyDescent="0.25">
      <c r="A24" t="s">
        <v>19</v>
      </c>
    </row>
    <row r="25" spans="1:1" x14ac:dyDescent="0.25">
      <c r="A25" t="s">
        <v>20</v>
      </c>
    </row>
    <row r="26" spans="1:1" x14ac:dyDescent="0.25">
      <c r="A26" t="s">
        <v>21</v>
      </c>
    </row>
    <row r="27" spans="1:1" x14ac:dyDescent="0.25">
      <c r="A27" t="s">
        <v>22</v>
      </c>
    </row>
    <row r="28" spans="1:1" x14ac:dyDescent="0.25">
      <c r="A28" t="s">
        <v>23</v>
      </c>
    </row>
    <row r="29" spans="1:1" x14ac:dyDescent="0.25">
      <c r="A29" t="s">
        <v>24</v>
      </c>
    </row>
    <row r="30" spans="1:1" x14ac:dyDescent="0.25">
      <c r="A30" t="s">
        <v>25</v>
      </c>
    </row>
    <row r="31" spans="1:1" x14ac:dyDescent="0.25">
      <c r="A31" t="s">
        <v>26</v>
      </c>
    </row>
    <row r="33" spans="1:1" x14ac:dyDescent="0.25">
      <c r="A33" t="s">
        <v>27</v>
      </c>
    </row>
    <row r="34" spans="1:1" x14ac:dyDescent="0.25">
      <c r="A34" t="s">
        <v>28</v>
      </c>
    </row>
    <row r="35" spans="1:1" x14ac:dyDescent="0.25">
      <c r="A35" t="s">
        <v>29</v>
      </c>
    </row>
    <row r="36" spans="1:1" x14ac:dyDescent="0.25">
      <c r="A36" t="s">
        <v>30</v>
      </c>
    </row>
    <row r="37" spans="1:1" x14ac:dyDescent="0.25">
      <c r="A37" t="s">
        <v>31</v>
      </c>
    </row>
    <row r="39" spans="1:1" x14ac:dyDescent="0.25">
      <c r="A39" t="s">
        <v>32</v>
      </c>
    </row>
    <row r="40" spans="1:1" x14ac:dyDescent="0.25">
      <c r="A40" t="s">
        <v>33</v>
      </c>
    </row>
    <row r="41" spans="1:1" x14ac:dyDescent="0.25">
      <c r="A41" t="s">
        <v>34</v>
      </c>
    </row>
    <row r="42" spans="1:1" x14ac:dyDescent="0.25">
      <c r="A42" t="s">
        <v>35</v>
      </c>
    </row>
    <row r="43" spans="1:1" x14ac:dyDescent="0.25">
      <c r="A43" t="s">
        <v>36</v>
      </c>
    </row>
    <row r="44" spans="1:1" x14ac:dyDescent="0.25">
      <c r="A44" t="s">
        <v>37</v>
      </c>
    </row>
    <row r="46" spans="1:1" x14ac:dyDescent="0.25">
      <c r="A46" t="s">
        <v>38</v>
      </c>
    </row>
    <row r="48" spans="1:1" x14ac:dyDescent="0.25">
      <c r="A48" t="s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workbookViewId="0"/>
  </sheetViews>
  <sheetFormatPr defaultRowHeight="15" x14ac:dyDescent="0.25"/>
  <cols>
    <col min="1" max="1" width="14" customWidth="1"/>
    <col min="2" max="2" width="26" customWidth="1"/>
    <col min="3" max="3" width="22" customWidth="1"/>
    <col min="4" max="4" width="110" customWidth="1"/>
  </cols>
  <sheetData>
    <row r="1" spans="1:4" x14ac:dyDescent="0.25">
      <c r="A1" s="4" t="s">
        <v>40</v>
      </c>
    </row>
    <row r="2" spans="1:4" x14ac:dyDescent="0.25">
      <c r="A2" s="5" t="s">
        <v>41</v>
      </c>
      <c r="B2" s="5" t="s">
        <v>42</v>
      </c>
      <c r="C2" s="5" t="s">
        <v>43</v>
      </c>
      <c r="D2" s="5" t="s">
        <v>44</v>
      </c>
    </row>
    <row r="3" spans="1:4" x14ac:dyDescent="0.25">
      <c r="A3" t="s">
        <v>45</v>
      </c>
      <c r="B3" s="4" t="s">
        <v>46</v>
      </c>
      <c r="C3" s="6">
        <v>1</v>
      </c>
      <c r="D3" t="s">
        <v>47</v>
      </c>
    </row>
    <row r="4" spans="1:4" x14ac:dyDescent="0.25">
      <c r="A4" t="s">
        <v>45</v>
      </c>
      <c r="B4" s="4" t="s">
        <v>48</v>
      </c>
      <c r="C4" s="6">
        <v>20</v>
      </c>
      <c r="D4" t="s">
        <v>49</v>
      </c>
    </row>
    <row r="5" spans="1:4" x14ac:dyDescent="0.25">
      <c r="A5" t="s">
        <v>45</v>
      </c>
      <c r="B5" s="4" t="s">
        <v>50</v>
      </c>
      <c r="C5" s="6">
        <v>1E-4</v>
      </c>
      <c r="D5" t="s">
        <v>51</v>
      </c>
    </row>
    <row r="6" spans="1:4" x14ac:dyDescent="0.25">
      <c r="A6" t="s">
        <v>45</v>
      </c>
      <c r="B6" s="4" t="s">
        <v>52</v>
      </c>
      <c r="C6" s="6" t="s">
        <v>53</v>
      </c>
      <c r="D6" t="s">
        <v>54</v>
      </c>
    </row>
    <row r="7" spans="1:4" x14ac:dyDescent="0.25">
      <c r="A7" t="s">
        <v>45</v>
      </c>
      <c r="B7" s="4" t="s">
        <v>55</v>
      </c>
      <c r="C7" s="6">
        <v>2024</v>
      </c>
      <c r="D7" t="s">
        <v>56</v>
      </c>
    </row>
    <row r="8" spans="1:4" x14ac:dyDescent="0.25">
      <c r="A8" t="s">
        <v>45</v>
      </c>
      <c r="B8" s="4" t="s">
        <v>57</v>
      </c>
      <c r="C8" s="6" t="s">
        <v>58</v>
      </c>
      <c r="D8" t="s">
        <v>59</v>
      </c>
    </row>
    <row r="9" spans="1:4" x14ac:dyDescent="0.25">
      <c r="A9" t="s">
        <v>45</v>
      </c>
      <c r="B9" s="4" t="s">
        <v>60</v>
      </c>
      <c r="C9" s="6" t="s">
        <v>61</v>
      </c>
      <c r="D9" t="s">
        <v>62</v>
      </c>
    </row>
    <row r="10" spans="1:4" x14ac:dyDescent="0.25">
      <c r="A10" t="s">
        <v>45</v>
      </c>
      <c r="B10" s="4" t="s">
        <v>63</v>
      </c>
      <c r="C10" s="6" t="s">
        <v>64</v>
      </c>
      <c r="D10" t="s">
        <v>65</v>
      </c>
    </row>
    <row r="11" spans="1:4" x14ac:dyDescent="0.25">
      <c r="A11" t="s">
        <v>45</v>
      </c>
      <c r="B11" s="4" t="s">
        <v>66</v>
      </c>
      <c r="C11" s="6" t="s">
        <v>67</v>
      </c>
      <c r="D11" t="s">
        <v>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9"/>
  <sheetViews>
    <sheetView workbookViewId="0"/>
  </sheetViews>
  <sheetFormatPr defaultRowHeight="15" x14ac:dyDescent="0.25"/>
  <cols>
    <col min="1" max="2" width="10" customWidth="1"/>
    <col min="3" max="3" width="22" customWidth="1"/>
    <col min="4" max="4" width="14" customWidth="1"/>
    <col min="5" max="5" width="22" customWidth="1"/>
  </cols>
  <sheetData>
    <row r="1" spans="1:5" x14ac:dyDescent="0.25">
      <c r="A1" s="5" t="s">
        <v>69</v>
      </c>
      <c r="B1" s="5" t="s">
        <v>70</v>
      </c>
      <c r="C1" s="5" t="s">
        <v>71</v>
      </c>
      <c r="D1" s="5" t="s">
        <v>72</v>
      </c>
      <c r="E1" s="5" t="s">
        <v>73</v>
      </c>
    </row>
    <row r="2" spans="1:5" x14ac:dyDescent="0.25">
      <c r="A2" t="s">
        <v>74</v>
      </c>
      <c r="B2" t="s">
        <v>75</v>
      </c>
      <c r="C2" t="s">
        <v>1</v>
      </c>
      <c r="D2">
        <v>6</v>
      </c>
      <c r="E2" t="s">
        <v>76</v>
      </c>
    </row>
    <row r="3" spans="1:5" x14ac:dyDescent="0.25">
      <c r="A3" t="s">
        <v>77</v>
      </c>
      <c r="B3" t="s">
        <v>78</v>
      </c>
      <c r="C3" t="s">
        <v>79</v>
      </c>
      <c r="D3">
        <v>9</v>
      </c>
      <c r="E3" t="s">
        <v>80</v>
      </c>
    </row>
    <row r="4" spans="1:5" x14ac:dyDescent="0.25">
      <c r="A4" t="s">
        <v>81</v>
      </c>
      <c r="B4" t="s">
        <v>82</v>
      </c>
      <c r="C4" t="s">
        <v>83</v>
      </c>
      <c r="D4">
        <v>7</v>
      </c>
      <c r="E4" t="s">
        <v>84</v>
      </c>
    </row>
    <row r="5" spans="1:5" x14ac:dyDescent="0.25">
      <c r="A5" t="s">
        <v>85</v>
      </c>
      <c r="B5" t="s">
        <v>86</v>
      </c>
      <c r="C5" t="s">
        <v>87</v>
      </c>
      <c r="D5">
        <v>10</v>
      </c>
      <c r="E5" t="s">
        <v>88</v>
      </c>
    </row>
    <row r="6" spans="1:5" x14ac:dyDescent="0.25">
      <c r="A6" t="s">
        <v>89</v>
      </c>
      <c r="B6" t="s">
        <v>90</v>
      </c>
      <c r="C6" t="s">
        <v>91</v>
      </c>
      <c r="D6">
        <v>8</v>
      </c>
      <c r="E6" t="s">
        <v>92</v>
      </c>
    </row>
    <row r="7" spans="1:5" x14ac:dyDescent="0.25">
      <c r="A7" t="s">
        <v>93</v>
      </c>
      <c r="B7" t="s">
        <v>94</v>
      </c>
      <c r="C7" t="s">
        <v>95</v>
      </c>
      <c r="D7">
        <v>1</v>
      </c>
      <c r="E7" t="s">
        <v>96</v>
      </c>
    </row>
    <row r="8" spans="1:5" x14ac:dyDescent="0.25">
      <c r="A8" t="s">
        <v>97</v>
      </c>
      <c r="B8" t="s">
        <v>98</v>
      </c>
      <c r="C8" t="s">
        <v>99</v>
      </c>
      <c r="D8">
        <v>5</v>
      </c>
      <c r="E8" t="s">
        <v>100</v>
      </c>
    </row>
    <row r="9" spans="1:5" x14ac:dyDescent="0.25">
      <c r="A9" t="s">
        <v>101</v>
      </c>
      <c r="B9" t="s">
        <v>102</v>
      </c>
      <c r="C9" t="s">
        <v>103</v>
      </c>
      <c r="D9">
        <v>5</v>
      </c>
      <c r="E9" t="s">
        <v>100</v>
      </c>
    </row>
    <row r="10" spans="1:5" x14ac:dyDescent="0.25">
      <c r="A10" t="s">
        <v>104</v>
      </c>
      <c r="B10" t="s">
        <v>105</v>
      </c>
      <c r="C10" t="s">
        <v>106</v>
      </c>
      <c r="D10">
        <v>5</v>
      </c>
      <c r="E10" t="s">
        <v>100</v>
      </c>
    </row>
    <row r="11" spans="1:5" x14ac:dyDescent="0.25">
      <c r="A11" t="s">
        <v>107</v>
      </c>
      <c r="B11" t="s">
        <v>108</v>
      </c>
      <c r="C11" t="s">
        <v>109</v>
      </c>
      <c r="D11">
        <v>8</v>
      </c>
      <c r="E11" t="s">
        <v>92</v>
      </c>
    </row>
    <row r="12" spans="1:5" x14ac:dyDescent="0.25">
      <c r="A12" t="s">
        <v>110</v>
      </c>
      <c r="B12" t="s">
        <v>111</v>
      </c>
      <c r="C12" t="s">
        <v>112</v>
      </c>
      <c r="D12">
        <v>3</v>
      </c>
      <c r="E12" t="s">
        <v>113</v>
      </c>
    </row>
    <row r="13" spans="1:5" x14ac:dyDescent="0.25">
      <c r="A13" t="s">
        <v>114</v>
      </c>
      <c r="B13" t="s">
        <v>115</v>
      </c>
      <c r="C13" t="s">
        <v>116</v>
      </c>
      <c r="D13">
        <v>3</v>
      </c>
      <c r="E13" t="s">
        <v>113</v>
      </c>
    </row>
    <row r="14" spans="1:5" x14ac:dyDescent="0.25">
      <c r="A14" t="s">
        <v>117</v>
      </c>
      <c r="B14" t="s">
        <v>118</v>
      </c>
      <c r="C14" t="s">
        <v>119</v>
      </c>
      <c r="D14">
        <v>4</v>
      </c>
      <c r="E14" t="s">
        <v>120</v>
      </c>
    </row>
    <row r="15" spans="1:5" x14ac:dyDescent="0.25">
      <c r="A15" t="s">
        <v>121</v>
      </c>
      <c r="B15" t="s">
        <v>122</v>
      </c>
      <c r="C15" t="s">
        <v>123</v>
      </c>
      <c r="D15">
        <v>4</v>
      </c>
      <c r="E15" t="s">
        <v>120</v>
      </c>
    </row>
    <row r="16" spans="1:5" x14ac:dyDescent="0.25">
      <c r="A16" t="s">
        <v>124</v>
      </c>
      <c r="B16" t="s">
        <v>125</v>
      </c>
      <c r="C16" t="s">
        <v>126</v>
      </c>
      <c r="D16">
        <v>6</v>
      </c>
      <c r="E16" t="s">
        <v>76</v>
      </c>
    </row>
    <row r="17" spans="1:5" x14ac:dyDescent="0.25">
      <c r="A17" t="s">
        <v>127</v>
      </c>
      <c r="B17" t="s">
        <v>128</v>
      </c>
      <c r="C17" t="s">
        <v>129</v>
      </c>
      <c r="D17">
        <v>7</v>
      </c>
      <c r="E17" t="s">
        <v>84</v>
      </c>
    </row>
    <row r="18" spans="1:5" x14ac:dyDescent="0.25">
      <c r="A18" t="s">
        <v>130</v>
      </c>
      <c r="B18" t="s">
        <v>131</v>
      </c>
      <c r="C18" t="s">
        <v>132</v>
      </c>
      <c r="D18">
        <v>1</v>
      </c>
      <c r="E18" t="s">
        <v>96</v>
      </c>
    </row>
    <row r="19" spans="1:5" x14ac:dyDescent="0.25">
      <c r="A19" t="s">
        <v>133</v>
      </c>
      <c r="B19" t="s">
        <v>134</v>
      </c>
      <c r="C19" t="s">
        <v>135</v>
      </c>
      <c r="D19">
        <v>5</v>
      </c>
      <c r="E19" t="s">
        <v>100</v>
      </c>
    </row>
    <row r="20" spans="1:5" x14ac:dyDescent="0.25">
      <c r="A20" t="s">
        <v>136</v>
      </c>
      <c r="B20" t="s">
        <v>137</v>
      </c>
      <c r="C20" t="s">
        <v>138</v>
      </c>
      <c r="D20">
        <v>1</v>
      </c>
      <c r="E20" t="s">
        <v>96</v>
      </c>
    </row>
    <row r="21" spans="1:5" x14ac:dyDescent="0.25">
      <c r="A21" t="s">
        <v>139</v>
      </c>
      <c r="B21" t="s">
        <v>140</v>
      </c>
      <c r="C21" t="s">
        <v>141</v>
      </c>
      <c r="D21">
        <v>3</v>
      </c>
      <c r="E21" t="s">
        <v>113</v>
      </c>
    </row>
    <row r="22" spans="1:5" x14ac:dyDescent="0.25">
      <c r="A22" t="s">
        <v>142</v>
      </c>
      <c r="B22" t="s">
        <v>143</v>
      </c>
      <c r="C22" t="s">
        <v>144</v>
      </c>
      <c r="D22">
        <v>4</v>
      </c>
      <c r="E22" t="s">
        <v>120</v>
      </c>
    </row>
    <row r="23" spans="1:5" x14ac:dyDescent="0.25">
      <c r="A23" t="s">
        <v>145</v>
      </c>
      <c r="B23" t="s">
        <v>146</v>
      </c>
      <c r="C23" t="s">
        <v>147</v>
      </c>
      <c r="D23">
        <v>6</v>
      </c>
      <c r="E23" t="s">
        <v>76</v>
      </c>
    </row>
    <row r="24" spans="1:5" x14ac:dyDescent="0.25">
      <c r="A24" t="s">
        <v>148</v>
      </c>
      <c r="B24" t="s">
        <v>149</v>
      </c>
      <c r="C24" t="s">
        <v>150</v>
      </c>
      <c r="D24">
        <v>4</v>
      </c>
      <c r="E24" t="s">
        <v>120</v>
      </c>
    </row>
    <row r="25" spans="1:5" x14ac:dyDescent="0.25">
      <c r="A25" t="s">
        <v>151</v>
      </c>
      <c r="B25" t="s">
        <v>152</v>
      </c>
      <c r="C25" t="s">
        <v>153</v>
      </c>
      <c r="D25">
        <v>8</v>
      </c>
      <c r="E25" t="s">
        <v>92</v>
      </c>
    </row>
    <row r="26" spans="1:5" x14ac:dyDescent="0.25">
      <c r="A26" t="s">
        <v>154</v>
      </c>
      <c r="B26" t="s">
        <v>155</v>
      </c>
      <c r="C26" t="s">
        <v>156</v>
      </c>
      <c r="D26">
        <v>4</v>
      </c>
      <c r="E26" t="s">
        <v>120</v>
      </c>
    </row>
    <row r="27" spans="1:5" x14ac:dyDescent="0.25">
      <c r="A27" t="s">
        <v>157</v>
      </c>
      <c r="B27" t="s">
        <v>158</v>
      </c>
      <c r="C27" t="s">
        <v>159</v>
      </c>
      <c r="D27">
        <v>9</v>
      </c>
      <c r="E27" t="s">
        <v>80</v>
      </c>
    </row>
    <row r="28" spans="1:5" x14ac:dyDescent="0.25">
      <c r="A28" t="s">
        <v>160</v>
      </c>
      <c r="B28" t="s">
        <v>161</v>
      </c>
      <c r="C28" t="s">
        <v>162</v>
      </c>
      <c r="D28">
        <v>1</v>
      </c>
      <c r="E28" t="s">
        <v>96</v>
      </c>
    </row>
    <row r="29" spans="1:5" x14ac:dyDescent="0.25">
      <c r="A29" t="s">
        <v>163</v>
      </c>
      <c r="B29" t="s">
        <v>164</v>
      </c>
      <c r="C29" t="s">
        <v>165</v>
      </c>
      <c r="D29">
        <v>2</v>
      </c>
      <c r="E29" t="s">
        <v>166</v>
      </c>
    </row>
    <row r="30" spans="1:5" x14ac:dyDescent="0.25">
      <c r="A30" t="s">
        <v>167</v>
      </c>
      <c r="B30" t="s">
        <v>168</v>
      </c>
      <c r="C30" t="s">
        <v>169</v>
      </c>
      <c r="D30">
        <v>9</v>
      </c>
      <c r="E30" t="s">
        <v>80</v>
      </c>
    </row>
    <row r="31" spans="1:5" x14ac:dyDescent="0.25">
      <c r="A31" t="s">
        <v>170</v>
      </c>
      <c r="B31" t="s">
        <v>171</v>
      </c>
      <c r="C31" t="s">
        <v>172</v>
      </c>
      <c r="D31">
        <v>2</v>
      </c>
      <c r="E31" t="s">
        <v>166</v>
      </c>
    </row>
    <row r="32" spans="1:5" x14ac:dyDescent="0.25">
      <c r="A32" t="s">
        <v>173</v>
      </c>
      <c r="B32" t="s">
        <v>174</v>
      </c>
      <c r="C32" t="s">
        <v>175</v>
      </c>
      <c r="D32">
        <v>5</v>
      </c>
      <c r="E32" t="s">
        <v>100</v>
      </c>
    </row>
    <row r="33" spans="1:5" x14ac:dyDescent="0.25">
      <c r="A33" t="s">
        <v>176</v>
      </c>
      <c r="B33" t="s">
        <v>177</v>
      </c>
      <c r="C33" t="s">
        <v>178</v>
      </c>
      <c r="D33">
        <v>4</v>
      </c>
      <c r="E33" t="s">
        <v>120</v>
      </c>
    </row>
    <row r="34" spans="1:5" x14ac:dyDescent="0.25">
      <c r="A34" t="s">
        <v>179</v>
      </c>
      <c r="B34" t="s">
        <v>180</v>
      </c>
      <c r="C34" t="s">
        <v>181</v>
      </c>
      <c r="D34">
        <v>3</v>
      </c>
      <c r="E34" t="s">
        <v>113</v>
      </c>
    </row>
    <row r="35" spans="1:5" x14ac:dyDescent="0.25">
      <c r="A35" t="s">
        <v>182</v>
      </c>
      <c r="B35" t="s">
        <v>183</v>
      </c>
      <c r="C35" t="s">
        <v>184</v>
      </c>
      <c r="D35">
        <v>7</v>
      </c>
      <c r="E35" t="s">
        <v>84</v>
      </c>
    </row>
    <row r="36" spans="1:5" x14ac:dyDescent="0.25">
      <c r="A36" t="s">
        <v>185</v>
      </c>
      <c r="B36" t="s">
        <v>186</v>
      </c>
      <c r="C36" t="s">
        <v>187</v>
      </c>
      <c r="D36">
        <v>10</v>
      </c>
      <c r="E36" t="s">
        <v>88</v>
      </c>
    </row>
    <row r="37" spans="1:5" x14ac:dyDescent="0.25">
      <c r="A37" t="s">
        <v>188</v>
      </c>
      <c r="B37" t="s">
        <v>189</v>
      </c>
      <c r="C37" t="s">
        <v>190</v>
      </c>
      <c r="D37">
        <v>2</v>
      </c>
      <c r="E37" t="s">
        <v>166</v>
      </c>
    </row>
    <row r="38" spans="1:5" x14ac:dyDescent="0.25">
      <c r="A38" t="s">
        <v>191</v>
      </c>
      <c r="B38" t="s">
        <v>192</v>
      </c>
      <c r="C38" t="s">
        <v>193</v>
      </c>
      <c r="D38">
        <v>1</v>
      </c>
      <c r="E38" t="s">
        <v>96</v>
      </c>
    </row>
    <row r="39" spans="1:5" x14ac:dyDescent="0.25">
      <c r="A39" t="s">
        <v>194</v>
      </c>
      <c r="B39" t="s">
        <v>195</v>
      </c>
      <c r="C39" t="s">
        <v>196</v>
      </c>
      <c r="D39">
        <v>5</v>
      </c>
      <c r="E39" t="s">
        <v>100</v>
      </c>
    </row>
    <row r="40" spans="1:5" x14ac:dyDescent="0.25">
      <c r="A40" t="s">
        <v>197</v>
      </c>
      <c r="B40" t="s">
        <v>198</v>
      </c>
      <c r="C40" t="s">
        <v>199</v>
      </c>
      <c r="D40">
        <v>4</v>
      </c>
      <c r="E40" t="s">
        <v>120</v>
      </c>
    </row>
    <row r="41" spans="1:5" x14ac:dyDescent="0.25">
      <c r="A41" t="s">
        <v>200</v>
      </c>
      <c r="B41" t="s">
        <v>201</v>
      </c>
      <c r="C41" t="s">
        <v>202</v>
      </c>
      <c r="D41">
        <v>6</v>
      </c>
      <c r="E41" t="s">
        <v>76</v>
      </c>
    </row>
    <row r="42" spans="1:5" x14ac:dyDescent="0.25">
      <c r="A42" t="s">
        <v>203</v>
      </c>
      <c r="B42" t="s">
        <v>204</v>
      </c>
      <c r="C42" t="s">
        <v>205</v>
      </c>
      <c r="D42">
        <v>7</v>
      </c>
      <c r="E42" t="s">
        <v>84</v>
      </c>
    </row>
    <row r="43" spans="1:5" x14ac:dyDescent="0.25">
      <c r="A43" t="s">
        <v>206</v>
      </c>
      <c r="B43" t="s">
        <v>207</v>
      </c>
      <c r="C43" t="s">
        <v>208</v>
      </c>
      <c r="D43">
        <v>8</v>
      </c>
      <c r="E43" t="s">
        <v>92</v>
      </c>
    </row>
    <row r="44" spans="1:5" x14ac:dyDescent="0.25">
      <c r="A44" t="s">
        <v>209</v>
      </c>
      <c r="B44" t="s">
        <v>210</v>
      </c>
      <c r="C44" t="s">
        <v>211</v>
      </c>
      <c r="D44">
        <v>1</v>
      </c>
      <c r="E44" t="s">
        <v>96</v>
      </c>
    </row>
    <row r="45" spans="1:5" x14ac:dyDescent="0.25">
      <c r="A45" t="s">
        <v>212</v>
      </c>
      <c r="B45" t="s">
        <v>213</v>
      </c>
      <c r="C45" t="s">
        <v>214</v>
      </c>
      <c r="D45">
        <v>5</v>
      </c>
      <c r="E45" t="s">
        <v>100</v>
      </c>
    </row>
    <row r="46" spans="1:5" x14ac:dyDescent="0.25">
      <c r="A46" t="s">
        <v>215</v>
      </c>
      <c r="B46" t="s">
        <v>216</v>
      </c>
      <c r="C46" t="s">
        <v>217</v>
      </c>
      <c r="D46">
        <v>10</v>
      </c>
      <c r="E46" t="s">
        <v>88</v>
      </c>
    </row>
    <row r="47" spans="1:5" x14ac:dyDescent="0.25">
      <c r="A47" t="s">
        <v>218</v>
      </c>
      <c r="B47" t="s">
        <v>219</v>
      </c>
      <c r="C47" t="s">
        <v>220</v>
      </c>
      <c r="D47">
        <v>5</v>
      </c>
      <c r="E47" t="s">
        <v>100</v>
      </c>
    </row>
    <row r="48" spans="1:5" x14ac:dyDescent="0.25">
      <c r="A48" t="s">
        <v>221</v>
      </c>
      <c r="B48" t="s">
        <v>222</v>
      </c>
      <c r="C48" t="s">
        <v>223</v>
      </c>
      <c r="D48">
        <v>3</v>
      </c>
      <c r="E48" t="s">
        <v>113</v>
      </c>
    </row>
    <row r="49" spans="1:5" x14ac:dyDescent="0.25">
      <c r="A49" t="s">
        <v>224</v>
      </c>
      <c r="B49" t="s">
        <v>225</v>
      </c>
      <c r="C49" t="s">
        <v>226</v>
      </c>
      <c r="D49">
        <v>8</v>
      </c>
      <c r="E49" t="s">
        <v>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4"/>
  <sheetViews>
    <sheetView workbookViewId="0"/>
  </sheetViews>
  <sheetFormatPr defaultRowHeight="15" x14ac:dyDescent="0.25"/>
  <cols>
    <col min="1" max="2" width="22" customWidth="1"/>
    <col min="3" max="3" width="20" customWidth="1"/>
    <col min="4" max="4" width="34" customWidth="1"/>
    <col min="5" max="5" width="18" customWidth="1"/>
    <col min="6" max="6" width="44" customWidth="1"/>
  </cols>
  <sheetData>
    <row r="1" spans="1:6" x14ac:dyDescent="0.25">
      <c r="A1" s="4" t="s">
        <v>227</v>
      </c>
    </row>
    <row r="2" spans="1:6" ht="32.1" customHeight="1" x14ac:dyDescent="0.25">
      <c r="A2" s="5" t="s">
        <v>228</v>
      </c>
      <c r="B2" s="5" t="s">
        <v>229</v>
      </c>
      <c r="C2" s="5" t="s">
        <v>230</v>
      </c>
      <c r="D2" s="5" t="s">
        <v>231</v>
      </c>
      <c r="E2" s="5" t="s">
        <v>232</v>
      </c>
      <c r="F2" s="7" t="s">
        <v>233</v>
      </c>
    </row>
    <row r="3" spans="1:6" x14ac:dyDescent="0.25">
      <c r="A3" t="s">
        <v>234</v>
      </c>
      <c r="B3" t="s">
        <v>235</v>
      </c>
      <c r="C3" t="s">
        <v>236</v>
      </c>
      <c r="D3" t="s">
        <v>237</v>
      </c>
      <c r="E3" t="s">
        <v>238</v>
      </c>
      <c r="F3" t="str">
        <f>$B3 &amp; Keys!$C$8 &amp; $C3 &amp; Keys!$C$8 &amp; Keys!$C$6</f>
        <v>transport|PM25|Premature mortality</v>
      </c>
    </row>
    <row r="4" spans="1:6" x14ac:dyDescent="0.25">
      <c r="A4" t="s">
        <v>239</v>
      </c>
      <c r="B4" t="s">
        <v>235</v>
      </c>
      <c r="C4" t="s">
        <v>240</v>
      </c>
      <c r="D4" t="s">
        <v>241</v>
      </c>
      <c r="E4" t="s">
        <v>242</v>
      </c>
      <c r="F4" t="str">
        <f>$B4 &amp; Keys!$C$8 &amp; $C4 &amp; Keys!$C$8 &amp; Keys!$C$6</f>
        <v>transport|NOx|Premature mortality</v>
      </c>
    </row>
    <row r="5" spans="1:6" x14ac:dyDescent="0.25">
      <c r="A5" t="s">
        <v>243</v>
      </c>
      <c r="B5" t="s">
        <v>235</v>
      </c>
      <c r="C5" t="s">
        <v>244</v>
      </c>
      <c r="D5" t="s">
        <v>245</v>
      </c>
      <c r="E5" t="s">
        <v>246</v>
      </c>
      <c r="F5" t="str">
        <f>$B5 &amp; Keys!$C$8 &amp; $C5 &amp; Keys!$C$8 &amp; Keys!$C$6</f>
        <v>transport|SO2|Premature mortality</v>
      </c>
    </row>
    <row r="6" spans="1:6" x14ac:dyDescent="0.25">
      <c r="A6" t="s">
        <v>247</v>
      </c>
      <c r="B6" t="s">
        <v>248</v>
      </c>
      <c r="C6" t="s">
        <v>236</v>
      </c>
      <c r="D6" t="s">
        <v>237</v>
      </c>
      <c r="E6" t="s">
        <v>238</v>
      </c>
      <c r="F6" t="str">
        <f>$B6 &amp; Keys!$C$8 &amp; $C6 &amp; Keys!$C$8 &amp; Keys!$C$6</f>
        <v>electricity|PM25|Premature mortality</v>
      </c>
    </row>
    <row r="7" spans="1:6" x14ac:dyDescent="0.25">
      <c r="A7" t="s">
        <v>249</v>
      </c>
      <c r="B7" t="s">
        <v>248</v>
      </c>
      <c r="C7" t="s">
        <v>240</v>
      </c>
      <c r="D7" t="s">
        <v>241</v>
      </c>
      <c r="E7" t="s">
        <v>242</v>
      </c>
      <c r="F7" t="str">
        <f>$B7 &amp; Keys!$C$8 &amp; $C7 &amp; Keys!$C$8 &amp; Keys!$C$6</f>
        <v>electricity|NOx|Premature mortality</v>
      </c>
    </row>
    <row r="8" spans="1:6" x14ac:dyDescent="0.25">
      <c r="A8" t="s">
        <v>250</v>
      </c>
      <c r="B8" t="s">
        <v>248</v>
      </c>
      <c r="C8" t="s">
        <v>244</v>
      </c>
      <c r="D8" t="s">
        <v>245</v>
      </c>
      <c r="E8" t="s">
        <v>246</v>
      </c>
      <c r="F8" t="str">
        <f>$B8 &amp; Keys!$C$8 &amp; $C8 &amp; Keys!$C$8 &amp; Keys!$C$6</f>
        <v>electricity|SO2|Premature mortality</v>
      </c>
    </row>
    <row r="9" spans="1:6" x14ac:dyDescent="0.25">
      <c r="A9" t="s">
        <v>251</v>
      </c>
      <c r="B9" t="s">
        <v>252</v>
      </c>
      <c r="C9" t="s">
        <v>236</v>
      </c>
      <c r="D9" t="s">
        <v>237</v>
      </c>
      <c r="E9" t="s">
        <v>238</v>
      </c>
      <c r="F9" t="str">
        <f>$B9 &amp; Keys!$C$8 &amp; $C9 &amp; Keys!$C$8 &amp; Keys!$C$6</f>
        <v>buildings|PM25|Premature mortality</v>
      </c>
    </row>
    <row r="10" spans="1:6" x14ac:dyDescent="0.25">
      <c r="A10" t="s">
        <v>253</v>
      </c>
      <c r="B10" t="s">
        <v>252</v>
      </c>
      <c r="C10" t="s">
        <v>240</v>
      </c>
      <c r="D10" t="s">
        <v>241</v>
      </c>
      <c r="E10" t="s">
        <v>242</v>
      </c>
      <c r="F10" t="str">
        <f>$B10 &amp; Keys!$C$8 &amp; $C10 &amp; Keys!$C$8 &amp; Keys!$C$6</f>
        <v>buildings|NOx|Premature mortality</v>
      </c>
    </row>
    <row r="11" spans="1:6" x14ac:dyDescent="0.25">
      <c r="A11" t="s">
        <v>254</v>
      </c>
      <c r="B11" t="s">
        <v>252</v>
      </c>
      <c r="C11" t="s">
        <v>244</v>
      </c>
      <c r="D11" t="s">
        <v>245</v>
      </c>
      <c r="E11" t="s">
        <v>246</v>
      </c>
      <c r="F11" t="str">
        <f>$B11 &amp; Keys!$C$8 &amp; $C11 &amp; Keys!$C$8 &amp; Keys!$C$6</f>
        <v>buildings|SO2|Premature mortality</v>
      </c>
    </row>
    <row r="12" spans="1:6" x14ac:dyDescent="0.25">
      <c r="A12" t="s">
        <v>238</v>
      </c>
      <c r="B12" t="s">
        <v>255</v>
      </c>
      <c r="C12" t="s">
        <v>236</v>
      </c>
      <c r="D12" t="s">
        <v>237</v>
      </c>
      <c r="E12" t="s">
        <v>238</v>
      </c>
      <c r="F12" t="str">
        <f>$B12 &amp; Keys!$C$8 &amp; $C12 &amp; Keys!$C$8 &amp; Keys!$C$6</f>
        <v>industry|PM25|Premature mortality</v>
      </c>
    </row>
    <row r="13" spans="1:6" x14ac:dyDescent="0.25">
      <c r="A13" t="s">
        <v>242</v>
      </c>
      <c r="B13" t="s">
        <v>255</v>
      </c>
      <c r="C13" t="s">
        <v>240</v>
      </c>
      <c r="D13" t="s">
        <v>241</v>
      </c>
      <c r="E13" t="s">
        <v>242</v>
      </c>
      <c r="F13" t="str">
        <f>$B13 &amp; Keys!$C$8 &amp; $C13 &amp; Keys!$C$8 &amp; Keys!$C$6</f>
        <v>industry|NOx|Premature mortality</v>
      </c>
    </row>
    <row r="14" spans="1:6" x14ac:dyDescent="0.25">
      <c r="A14" t="s">
        <v>246</v>
      </c>
      <c r="B14" t="s">
        <v>255</v>
      </c>
      <c r="C14" t="s">
        <v>244</v>
      </c>
      <c r="D14" t="s">
        <v>245</v>
      </c>
      <c r="E14" t="s">
        <v>246</v>
      </c>
      <c r="F14" t="str">
        <f>$B14 &amp; Keys!$C$8 &amp; $C14 &amp; Keys!$C$8 &amp; Keys!$C$6</f>
        <v>industry|SO2|Premature mortality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577"/>
  <sheetViews>
    <sheetView workbookViewId="0"/>
  </sheetViews>
  <sheetFormatPr defaultRowHeight="15" x14ac:dyDescent="0.25"/>
  <cols>
    <col min="1" max="23" width="14" customWidth="1"/>
    <col min="25" max="37" width="22" customWidth="1"/>
  </cols>
  <sheetData>
    <row r="1" spans="1:37" ht="72" customHeight="1" x14ac:dyDescent="0.25">
      <c r="A1" s="5" t="s">
        <v>256</v>
      </c>
      <c r="B1" s="5" t="s">
        <v>228</v>
      </c>
      <c r="C1" s="5" t="s">
        <v>257</v>
      </c>
      <c r="D1" s="5" t="s">
        <v>258</v>
      </c>
      <c r="E1" s="5" t="s">
        <v>259</v>
      </c>
      <c r="F1" s="5" t="s">
        <v>260</v>
      </c>
      <c r="G1" s="5" t="s">
        <v>261</v>
      </c>
      <c r="H1" s="5" t="s">
        <v>262</v>
      </c>
      <c r="I1" s="5" t="s">
        <v>263</v>
      </c>
      <c r="J1" s="5" t="s">
        <v>264</v>
      </c>
      <c r="K1" s="5" t="s">
        <v>265</v>
      </c>
      <c r="L1" s="5" t="s">
        <v>266</v>
      </c>
      <c r="M1" s="5" t="s">
        <v>267</v>
      </c>
      <c r="N1" s="5" t="s">
        <v>268</v>
      </c>
      <c r="O1" s="5" t="s">
        <v>269</v>
      </c>
      <c r="P1" s="5" t="s">
        <v>270</v>
      </c>
      <c r="Q1" s="5" t="s">
        <v>271</v>
      </c>
      <c r="R1" s="5" t="s">
        <v>272</v>
      </c>
      <c r="S1" s="5" t="s">
        <v>273</v>
      </c>
      <c r="T1" s="5" t="s">
        <v>274</v>
      </c>
      <c r="U1" s="5" t="s">
        <v>237</v>
      </c>
      <c r="V1" s="5" t="s">
        <v>245</v>
      </c>
      <c r="W1" s="5" t="s">
        <v>241</v>
      </c>
      <c r="Y1" s="7" t="s">
        <v>275</v>
      </c>
      <c r="Z1" s="7" t="s">
        <v>276</v>
      </c>
      <c r="AA1" s="7" t="s">
        <v>277</v>
      </c>
      <c r="AB1" s="7" t="s">
        <v>278</v>
      </c>
      <c r="AC1" s="7" t="s">
        <v>279</v>
      </c>
      <c r="AD1" s="7" t="s">
        <v>280</v>
      </c>
      <c r="AE1" s="7" t="s">
        <v>281</v>
      </c>
      <c r="AF1" s="7" t="s">
        <v>282</v>
      </c>
      <c r="AG1" s="7" t="s">
        <v>283</v>
      </c>
      <c r="AH1" s="7" t="s">
        <v>284</v>
      </c>
      <c r="AI1" s="7" t="s">
        <v>285</v>
      </c>
      <c r="AJ1" s="7" t="s">
        <v>286</v>
      </c>
      <c r="AK1" s="7" t="s">
        <v>287</v>
      </c>
    </row>
    <row r="2" spans="1:37" x14ac:dyDescent="0.25">
      <c r="A2" t="s">
        <v>1</v>
      </c>
      <c r="B2" t="s">
        <v>242</v>
      </c>
      <c r="C2">
        <v>67</v>
      </c>
      <c r="D2">
        <v>48.182544694000008</v>
      </c>
      <c r="E2">
        <v>0.145672524</v>
      </c>
      <c r="F2">
        <v>104.34874496</v>
      </c>
      <c r="G2">
        <v>140.51735121199999</v>
      </c>
      <c r="H2">
        <v>214.69873392699989</v>
      </c>
      <c r="I2">
        <v>4.2299062340000004</v>
      </c>
      <c r="J2">
        <v>25.30984561299999</v>
      </c>
      <c r="K2">
        <v>12800.531261186001</v>
      </c>
      <c r="L2">
        <v>2161.6572684849998</v>
      </c>
      <c r="M2">
        <v>5.3347775270000009</v>
      </c>
      <c r="N2">
        <v>459.56483009899989</v>
      </c>
      <c r="O2">
        <v>10.145233132</v>
      </c>
      <c r="P2">
        <v>0.34378306299999989</v>
      </c>
      <c r="Q2">
        <v>1.3581583150000009</v>
      </c>
      <c r="R2">
        <v>24.394175145000009</v>
      </c>
      <c r="S2">
        <v>310.15320762599998</v>
      </c>
      <c r="T2">
        <v>441.33509727999979</v>
      </c>
      <c r="U2">
        <v>0</v>
      </c>
      <c r="V2">
        <v>0</v>
      </c>
      <c r="W2">
        <v>59735.957059338012</v>
      </c>
      <c r="Y2" t="str">
        <f>$A2 &amp; Keys!$C$8 &amp; $B2</f>
        <v>Alabama|Industry NO2</v>
      </c>
      <c r="Z2" s="8">
        <f>IFERROR(INDEX($U2:$W2, MATCH(INDEX(Runs!$D:$D, MATCH($B2, Runs!$A:$A, 0)), $U$1:$W$1, 0)), 0)</f>
        <v>59735.957059338012</v>
      </c>
      <c r="AA2" s="8">
        <f t="shared" ref="AA2:AA65" si="0">IFERROR($D2/$Z2, 0)</f>
        <v>8.065919935984024E-4</v>
      </c>
      <c r="AB2" s="8">
        <f>IFERROR(VLOOKUP(INDEX(Runs!$F:$F, MATCH($B2, Runs!$A:$A, 0)), US_national_yearly!$D:$AM, MATCH(Keys!$C$7, US_national_yearly!$D$1:$AM$1, 0), FALSE), 0)</f>
        <v>5.8012217057786938E-3</v>
      </c>
      <c r="AC2" s="8">
        <f t="shared" ref="AC2:AC65" si="1">IFERROR($AA2/$AB2, 0)</f>
        <v>0.13903829822517258</v>
      </c>
      <c r="AD2">
        <f>IF($Z2&lt;Keys!$C$3, 1, 0)</f>
        <v>0</v>
      </c>
      <c r="AE2">
        <f>IF($AC2&gt;Keys!$C$4, 1, 0)</f>
        <v>0</v>
      </c>
      <c r="AF2">
        <f>IF($AC2&lt;Keys!$C$5, 1, 0)</f>
        <v>0</v>
      </c>
      <c r="AG2">
        <f t="shared" ref="AG2:AG65" si="2">IF($AD2+$AE2+$AF2&gt;0, 1, 0)</f>
        <v>0</v>
      </c>
      <c r="AH2" t="str">
        <f>IFERROR(INDEX(Runs!$E:$E, MATCH($B2, Runs!$A:$A, 0)), $B2)</f>
        <v>Industry NO2</v>
      </c>
      <c r="AI2" t="str">
        <f t="shared" ref="AI2:AI65" si="3">IF($AG2=1, $AH2, $B2)</f>
        <v>Industry NO2</v>
      </c>
      <c r="AJ2" t="str">
        <f>IF($AG2=1, IF($AD2=1, Keys!$C$9, "") &amp; IF($AE2=1, Keys!$C$10, "") &amp; IF($AF2=1, Keys!$C$11, ""), "")</f>
        <v/>
      </c>
      <c r="AK2">
        <f>IF($AG2=1, IFERROR(INDEX($AG$2:$AG$577, MATCH($A2 &amp; Keys!$C$8 &amp; $AH2, $Y$2:$Y$577, 0)), 1), 0)</f>
        <v>0</v>
      </c>
    </row>
    <row r="3" spans="1:37" x14ac:dyDescent="0.25">
      <c r="A3" t="s">
        <v>1</v>
      </c>
      <c r="B3" t="s">
        <v>238</v>
      </c>
      <c r="C3">
        <v>67</v>
      </c>
      <c r="D3">
        <v>121.277116101</v>
      </c>
      <c r="E3">
        <v>0.385126629</v>
      </c>
      <c r="F3">
        <v>263.131271352</v>
      </c>
      <c r="G3">
        <v>354.31879933799979</v>
      </c>
      <c r="H3">
        <v>541.43042580400004</v>
      </c>
      <c r="I3">
        <v>10.513268178000001</v>
      </c>
      <c r="J3">
        <v>62.860315946999989</v>
      </c>
      <c r="K3">
        <v>31993.697763679989</v>
      </c>
      <c r="L3">
        <v>5407.5227891410004</v>
      </c>
      <c r="M3">
        <v>13.278714373</v>
      </c>
      <c r="N3">
        <v>1158.880496494</v>
      </c>
      <c r="O3">
        <v>25.433111302</v>
      </c>
      <c r="P3">
        <v>0.86805550999999992</v>
      </c>
      <c r="Q3">
        <v>3.3879153489999991</v>
      </c>
      <c r="R3">
        <v>61.534206738000009</v>
      </c>
      <c r="S3">
        <v>782.73584339999991</v>
      </c>
      <c r="T3">
        <v>1115.464224197</v>
      </c>
      <c r="U3">
        <v>11808.200921214</v>
      </c>
      <c r="V3">
        <v>0</v>
      </c>
      <c r="W3">
        <v>0</v>
      </c>
      <c r="Y3" t="str">
        <f>$A3 &amp; Keys!$C$8 &amp; $B3</f>
        <v>Alabama|Industry PM25</v>
      </c>
      <c r="Z3" s="8">
        <f>IFERROR(INDEX($U3:$W3, MATCH(INDEX(Runs!$D:$D, MATCH($B3, Runs!$A:$A, 0)), $U$1:$W$1, 0)), 0)</f>
        <v>11808.200921214</v>
      </c>
      <c r="AA3" s="8">
        <f t="shared" si="0"/>
        <v>1.0270583716366126E-2</v>
      </c>
      <c r="AB3" s="8">
        <f>IFERROR(VLOOKUP(INDEX(Runs!$F:$F, MATCH($B3, Runs!$A:$A, 0)), US_national_yearly!$D:$AM, MATCH(Keys!$C$7, US_national_yearly!$D$1:$AM$1, 0), FALSE), 0)</f>
        <v>2.6833191881203179E-2</v>
      </c>
      <c r="AC3" s="8">
        <f t="shared" si="1"/>
        <v>0.38275669036454568</v>
      </c>
      <c r="AD3">
        <f>IF($Z3&lt;Keys!$C$3, 1, 0)</f>
        <v>0</v>
      </c>
      <c r="AE3">
        <f>IF($AC3&gt;Keys!$C$4, 1, 0)</f>
        <v>0</v>
      </c>
      <c r="AF3">
        <f>IF($AC3&lt;Keys!$C$5, 1, 0)</f>
        <v>0</v>
      </c>
      <c r="AG3">
        <f t="shared" si="2"/>
        <v>0</v>
      </c>
      <c r="AH3" t="str">
        <f>IFERROR(INDEX(Runs!$E:$E, MATCH($B3, Runs!$A:$A, 0)), $B3)</f>
        <v>Industry PM25</v>
      </c>
      <c r="AI3" t="str">
        <f t="shared" si="3"/>
        <v>Industry PM25</v>
      </c>
      <c r="AJ3" t="str">
        <f>IF($AG3=1, IF($AD3=1, Keys!$C$9, "") &amp; IF($AE3=1, Keys!$C$10, "") &amp; IF($AF3=1, Keys!$C$11, ""), "")</f>
        <v/>
      </c>
      <c r="AK3">
        <f>IF($AG3=1, IFERROR(INDEX($AG$2:$AG$577, MATCH($A3 &amp; Keys!$C$8 &amp; $AH3, $Y$2:$Y$577, 0)), 1), 0)</f>
        <v>0</v>
      </c>
    </row>
    <row r="4" spans="1:37" x14ac:dyDescent="0.25">
      <c r="A4" t="s">
        <v>1</v>
      </c>
      <c r="B4" t="s">
        <v>246</v>
      </c>
      <c r="C4">
        <v>67</v>
      </c>
      <c r="D4">
        <v>22.746683722</v>
      </c>
      <c r="E4">
        <v>6.9964680099999982E-2</v>
      </c>
      <c r="F4">
        <v>49.571931802000009</v>
      </c>
      <c r="G4">
        <v>66.755004286999991</v>
      </c>
      <c r="H4">
        <v>101.99316836600001</v>
      </c>
      <c r="I4">
        <v>1.9758509539999991</v>
      </c>
      <c r="J4">
        <v>11.83545794</v>
      </c>
      <c r="K4">
        <v>6068.6855579839976</v>
      </c>
      <c r="L4">
        <v>1025.6236702389999</v>
      </c>
      <c r="M4">
        <v>2.4946669380000008</v>
      </c>
      <c r="N4">
        <v>218.32010445500001</v>
      </c>
      <c r="O4">
        <v>4.8070263950000003</v>
      </c>
      <c r="P4">
        <v>0.16306079700000001</v>
      </c>
      <c r="Q4">
        <v>0.63680330799999996</v>
      </c>
      <c r="R4">
        <v>11.54994043300001</v>
      </c>
      <c r="S4">
        <v>146.820702138</v>
      </c>
      <c r="T4">
        <v>208.81721505200011</v>
      </c>
      <c r="U4">
        <v>0</v>
      </c>
      <c r="V4">
        <v>30764.72210244001</v>
      </c>
      <c r="W4">
        <v>0</v>
      </c>
      <c r="Y4" t="str">
        <f>$A4 &amp; Keys!$C$8 &amp; $B4</f>
        <v>Alabama|Industry SO2</v>
      </c>
      <c r="Z4" s="8">
        <f>IFERROR(INDEX($U4:$W4, MATCH(INDEX(Runs!$D:$D, MATCH($B4, Runs!$A:$A, 0)), $U$1:$W$1, 0)), 0)</f>
        <v>30764.72210244001</v>
      </c>
      <c r="AA4" s="8">
        <f t="shared" si="0"/>
        <v>7.3937556290150645E-4</v>
      </c>
      <c r="AB4" s="8">
        <f>IFERROR(VLOOKUP(INDEX(Runs!$F:$F, MATCH($B4, Runs!$A:$A, 0)), US_national_yearly!$D:$AM, MATCH(Keys!$C$7, US_national_yearly!$D$1:$AM$1, 0), FALSE), 0)</f>
        <v>5.3000351638639942E-3</v>
      </c>
      <c r="AC4" s="8">
        <f t="shared" si="1"/>
        <v>0.13950389762366486</v>
      </c>
      <c r="AD4">
        <f>IF($Z4&lt;Keys!$C$3, 1, 0)</f>
        <v>0</v>
      </c>
      <c r="AE4">
        <f>IF($AC4&gt;Keys!$C$4, 1, 0)</f>
        <v>0</v>
      </c>
      <c r="AF4">
        <f>IF($AC4&lt;Keys!$C$5, 1, 0)</f>
        <v>0</v>
      </c>
      <c r="AG4">
        <f t="shared" si="2"/>
        <v>0</v>
      </c>
      <c r="AH4" t="str">
        <f>IFERROR(INDEX(Runs!$E:$E, MATCH($B4, Runs!$A:$A, 0)), $B4)</f>
        <v>Industry SO2</v>
      </c>
      <c r="AI4" t="str">
        <f t="shared" si="3"/>
        <v>Industry SO2</v>
      </c>
      <c r="AJ4" t="str">
        <f>IF($AG4=1, IF($AD4=1, Keys!$C$9, "") &amp; IF($AE4=1, Keys!$C$10, "") &amp; IF($AF4=1, Keys!$C$11, ""), "")</f>
        <v/>
      </c>
      <c r="AK4">
        <f>IF($AG4=1, IFERROR(INDEX($AG$2:$AG$577, MATCH($A4 &amp; Keys!$C$8 &amp; $AH4, $Y$2:$Y$577, 0)), 1), 0)</f>
        <v>0</v>
      </c>
    </row>
    <row r="5" spans="1:37" x14ac:dyDescent="0.25">
      <c r="A5" t="s">
        <v>1</v>
      </c>
      <c r="B5" t="s">
        <v>253</v>
      </c>
      <c r="C5">
        <v>67</v>
      </c>
      <c r="D5">
        <v>1.464179643</v>
      </c>
      <c r="E5">
        <v>4.7150749999999974E-3</v>
      </c>
      <c r="F5">
        <v>3.195799488</v>
      </c>
      <c r="G5">
        <v>4.3036093680000018</v>
      </c>
      <c r="H5">
        <v>6.5751799260000006</v>
      </c>
      <c r="I5">
        <v>0.12668288720000001</v>
      </c>
      <c r="J5">
        <v>0.76115558200000011</v>
      </c>
      <c r="K5">
        <v>388.54101233800009</v>
      </c>
      <c r="L5">
        <v>65.66860432899999</v>
      </c>
      <c r="M5">
        <v>0.1603213752999999</v>
      </c>
      <c r="N5">
        <v>14.074588781999999</v>
      </c>
      <c r="O5">
        <v>0.30865664199999998</v>
      </c>
      <c r="P5">
        <v>1.0547296859999999E-2</v>
      </c>
      <c r="Q5">
        <v>4.1051972900000011E-2</v>
      </c>
      <c r="R5">
        <v>0.74981273799999981</v>
      </c>
      <c r="S5">
        <v>9.5299034140000014</v>
      </c>
      <c r="T5">
        <v>13.547898909000001</v>
      </c>
      <c r="U5">
        <v>0</v>
      </c>
      <c r="V5">
        <v>0</v>
      </c>
      <c r="W5">
        <v>2300.010957079</v>
      </c>
      <c r="Y5" t="str">
        <f>$A5 &amp; Keys!$C$8 &amp; $B5</f>
        <v>Alabama|buildings NO2</v>
      </c>
      <c r="Z5" s="8">
        <f>IFERROR(INDEX($U5:$W5, MATCH(INDEX(Runs!$D:$D, MATCH($B5, Runs!$A:$A, 0)), $U$1:$W$1, 0)), 0)</f>
        <v>2300.010957079</v>
      </c>
      <c r="AA5" s="8">
        <f t="shared" si="0"/>
        <v>6.3659681206888654E-4</v>
      </c>
      <c r="AB5" s="8">
        <f>IFERROR(VLOOKUP(INDEX(Runs!$F:$F, MATCH($B5, Runs!$A:$A, 0)), US_national_yearly!$D:$AM, MATCH(Keys!$C$7, US_national_yearly!$D$1:$AM$1, 0), FALSE), 0)</f>
        <v>5.6784740124662739E-3</v>
      </c>
      <c r="AC5" s="8">
        <f t="shared" si="1"/>
        <v>0.11210702218084113</v>
      </c>
      <c r="AD5">
        <f>IF($Z5&lt;Keys!$C$3, 1, 0)</f>
        <v>0</v>
      </c>
      <c r="AE5">
        <f>IF($AC5&gt;Keys!$C$4, 1, 0)</f>
        <v>0</v>
      </c>
      <c r="AF5">
        <f>IF($AC5&lt;Keys!$C$5, 1, 0)</f>
        <v>0</v>
      </c>
      <c r="AG5">
        <f t="shared" si="2"/>
        <v>0</v>
      </c>
      <c r="AH5" t="str">
        <f>IFERROR(INDEX(Runs!$E:$E, MATCH($B5, Runs!$A:$A, 0)), $B5)</f>
        <v>Industry NO2</v>
      </c>
      <c r="AI5" t="str">
        <f t="shared" si="3"/>
        <v>buildings NO2</v>
      </c>
      <c r="AJ5" t="str">
        <f>IF($AG5=1, IF($AD5=1, Keys!$C$9, "") &amp; IF($AE5=1, Keys!$C$10, "") &amp; IF($AF5=1, Keys!$C$11, ""), "")</f>
        <v/>
      </c>
      <c r="AK5">
        <f>IF($AG5=1, IFERROR(INDEX($AG$2:$AG$577, MATCH($A5 &amp; Keys!$C$8 &amp; $AH5, $Y$2:$Y$577, 0)), 1), 0)</f>
        <v>0</v>
      </c>
    </row>
    <row r="6" spans="1:37" x14ac:dyDescent="0.25">
      <c r="A6" t="s">
        <v>1</v>
      </c>
      <c r="B6" t="s">
        <v>251</v>
      </c>
      <c r="C6">
        <v>67</v>
      </c>
      <c r="D6">
        <v>0.20434763140000001</v>
      </c>
      <c r="E6">
        <v>7.0041113859999971E-4</v>
      </c>
      <c r="F6">
        <v>0.45240917040000012</v>
      </c>
      <c r="G6">
        <v>0.60923528349999978</v>
      </c>
      <c r="H6">
        <v>0.930805828</v>
      </c>
      <c r="I6">
        <v>1.768428444E-2</v>
      </c>
      <c r="J6">
        <v>0.1065189738</v>
      </c>
      <c r="K6">
        <v>54.736665326000001</v>
      </c>
      <c r="L6">
        <v>9.2608898119999985</v>
      </c>
      <c r="M6">
        <v>2.2443026839999991E-2</v>
      </c>
      <c r="N6">
        <v>1.9924502819000001</v>
      </c>
      <c r="O6">
        <v>4.354752789E-2</v>
      </c>
      <c r="P6">
        <v>1.497239233E-3</v>
      </c>
      <c r="Q6">
        <v>5.7722425799999998E-3</v>
      </c>
      <c r="R6">
        <v>0.1065598819</v>
      </c>
      <c r="S6">
        <v>1.3542552649999999</v>
      </c>
      <c r="T6">
        <v>1.925001328</v>
      </c>
      <c r="U6">
        <v>13.831645567000001</v>
      </c>
      <c r="V6">
        <v>0</v>
      </c>
      <c r="W6">
        <v>0</v>
      </c>
      <c r="Y6" t="str">
        <f>$A6 &amp; Keys!$C$8 &amp; $B6</f>
        <v>Alabama|buildings PM25</v>
      </c>
      <c r="Z6" s="8">
        <f>IFERROR(INDEX($U6:$W6, MATCH(INDEX(Runs!$D:$D, MATCH($B6, Runs!$A:$A, 0)), $U$1:$W$1, 0)), 0)</f>
        <v>13.831645567000001</v>
      </c>
      <c r="AA6" s="8">
        <f t="shared" si="0"/>
        <v>1.4773920457269335E-2</v>
      </c>
      <c r="AB6" s="8">
        <f>IFERROR(VLOOKUP(INDEX(Runs!$F:$F, MATCH($B6, Runs!$A:$A, 0)), US_national_yearly!$D:$AM, MATCH(Keys!$C$7, US_national_yearly!$D$1:$AM$1, 0), FALSE), 0)</f>
        <v>2.7627705191843259E-2</v>
      </c>
      <c r="AC6" s="8">
        <f t="shared" si="1"/>
        <v>0.5347501848119891</v>
      </c>
      <c r="AD6">
        <f>IF($Z6&lt;Keys!$C$3, 1, 0)</f>
        <v>0</v>
      </c>
      <c r="AE6">
        <f>IF($AC6&gt;Keys!$C$4, 1, 0)</f>
        <v>0</v>
      </c>
      <c r="AF6">
        <f>IF($AC6&lt;Keys!$C$5, 1, 0)</f>
        <v>0</v>
      </c>
      <c r="AG6">
        <f t="shared" si="2"/>
        <v>0</v>
      </c>
      <c r="AH6" t="str">
        <f>IFERROR(INDEX(Runs!$E:$E, MATCH($B6, Runs!$A:$A, 0)), $B6)</f>
        <v>Industry PM25</v>
      </c>
      <c r="AI6" t="str">
        <f t="shared" si="3"/>
        <v>buildings PM25</v>
      </c>
      <c r="AJ6" t="str">
        <f>IF($AG6=1, IF($AD6=1, Keys!$C$9, "") &amp; IF($AE6=1, Keys!$C$10, "") &amp; IF($AF6=1, Keys!$C$11, ""), "")</f>
        <v/>
      </c>
      <c r="AK6">
        <f>IF($AG6=1, IFERROR(INDEX($AG$2:$AG$577, MATCH($A6 &amp; Keys!$C$8 &amp; $AH6, $Y$2:$Y$577, 0)), 1), 0)</f>
        <v>0</v>
      </c>
    </row>
    <row r="7" spans="1:37" x14ac:dyDescent="0.25">
      <c r="A7" t="s">
        <v>1</v>
      </c>
      <c r="B7" t="s">
        <v>254</v>
      </c>
      <c r="C7">
        <v>67</v>
      </c>
      <c r="D7">
        <v>4.9671378799999999E-2</v>
      </c>
      <c r="E7">
        <v>1.6121821839999999E-4</v>
      </c>
      <c r="F7">
        <v>0.10779244559999999</v>
      </c>
      <c r="G7">
        <v>0.14515835160000001</v>
      </c>
      <c r="H7">
        <v>0.221776695</v>
      </c>
      <c r="I7">
        <v>4.2865387899999989E-3</v>
      </c>
      <c r="J7">
        <v>2.57415304E-2</v>
      </c>
      <c r="K7">
        <v>13.105916859000001</v>
      </c>
      <c r="L7">
        <v>2.2151746230000011</v>
      </c>
      <c r="M7">
        <v>5.4219734200000001E-3</v>
      </c>
      <c r="N7">
        <v>0.47472749219999999</v>
      </c>
      <c r="O7">
        <v>1.041455723E-2</v>
      </c>
      <c r="P7">
        <v>3.5598533900000012E-4</v>
      </c>
      <c r="Q7">
        <v>1.386800647999999E-3</v>
      </c>
      <c r="R7">
        <v>2.5319684699999991E-2</v>
      </c>
      <c r="S7">
        <v>0.32179767899999989</v>
      </c>
      <c r="T7">
        <v>0.45744838999999993</v>
      </c>
      <c r="U7">
        <v>0</v>
      </c>
      <c r="V7">
        <v>20.374251052999991</v>
      </c>
      <c r="W7">
        <v>0</v>
      </c>
      <c r="Y7" t="str">
        <f>$A7 &amp; Keys!$C$8 &amp; $B7</f>
        <v>Alabama|buildings SO2</v>
      </c>
      <c r="Z7" s="8">
        <f>IFERROR(INDEX($U7:$W7, MATCH(INDEX(Runs!$D:$D, MATCH($B7, Runs!$A:$A, 0)), $U$1:$W$1, 0)), 0)</f>
        <v>20.374251052999991</v>
      </c>
      <c r="AA7" s="8">
        <f t="shared" si="0"/>
        <v>2.4379486966558299E-3</v>
      </c>
      <c r="AB7" s="8">
        <f>IFERROR(VLOOKUP(INDEX(Runs!$F:$F, MATCH($B7, Runs!$A:$A, 0)), US_national_yearly!$D:$AM, MATCH(Keys!$C$7, US_national_yearly!$D$1:$AM$1, 0), FALSE), 0)</f>
        <v>5.1581943281164694E-3</v>
      </c>
      <c r="AC7" s="8">
        <f t="shared" si="1"/>
        <v>0.47263607021685328</v>
      </c>
      <c r="AD7">
        <f>IF($Z7&lt;Keys!$C$3, 1, 0)</f>
        <v>0</v>
      </c>
      <c r="AE7">
        <f>IF($AC7&gt;Keys!$C$4, 1, 0)</f>
        <v>0</v>
      </c>
      <c r="AF7">
        <f>IF($AC7&lt;Keys!$C$5, 1, 0)</f>
        <v>0</v>
      </c>
      <c r="AG7">
        <f t="shared" si="2"/>
        <v>0</v>
      </c>
      <c r="AH7" t="str">
        <f>IFERROR(INDEX(Runs!$E:$E, MATCH($B7, Runs!$A:$A, 0)), $B7)</f>
        <v>Industry SO2</v>
      </c>
      <c r="AI7" t="str">
        <f t="shared" si="3"/>
        <v>buildings SO2</v>
      </c>
      <c r="AJ7" t="str">
        <f>IF($AG7=1, IF($AD7=1, Keys!$C$9, "") &amp; IF($AE7=1, Keys!$C$10, "") &amp; IF($AF7=1, Keys!$C$11, ""), "")</f>
        <v/>
      </c>
      <c r="AK7">
        <f>IF($AG7=1, IFERROR(INDEX($AG$2:$AG$577, MATCH($A7 &amp; Keys!$C$8 &amp; $AH7, $Y$2:$Y$577, 0)), 1), 0)</f>
        <v>0</v>
      </c>
    </row>
    <row r="8" spans="1:37" x14ac:dyDescent="0.25">
      <c r="A8" t="s">
        <v>1</v>
      </c>
      <c r="B8" t="s">
        <v>249</v>
      </c>
      <c r="C8">
        <v>67</v>
      </c>
      <c r="D8">
        <v>2.816928222</v>
      </c>
      <c r="E8">
        <v>8.4258762099999988E-3</v>
      </c>
      <c r="F8">
        <v>5.9137788770000013</v>
      </c>
      <c r="G8">
        <v>7.9637609010000023</v>
      </c>
      <c r="H8">
        <v>12.167278694</v>
      </c>
      <c r="I8">
        <v>0.24311330599999989</v>
      </c>
      <c r="J8">
        <v>1.447632225</v>
      </c>
      <c r="K8">
        <v>719.7561555860002</v>
      </c>
      <c r="L8">
        <v>121.461692939</v>
      </c>
      <c r="M8">
        <v>0.30486755300000012</v>
      </c>
      <c r="N8">
        <v>26.04481847200001</v>
      </c>
      <c r="O8">
        <v>0.5729668</v>
      </c>
      <c r="P8">
        <v>1.9475293000000001E-2</v>
      </c>
      <c r="Q8">
        <v>7.6787423799999976E-2</v>
      </c>
      <c r="R8">
        <v>1.386901487</v>
      </c>
      <c r="S8">
        <v>17.628431765000009</v>
      </c>
      <c r="T8">
        <v>25.064213657</v>
      </c>
      <c r="U8">
        <v>0</v>
      </c>
      <c r="V8">
        <v>0</v>
      </c>
      <c r="W8">
        <v>9758.9193649330009</v>
      </c>
      <c r="Y8" t="str">
        <f>$A8 &amp; Keys!$C$8 &amp; $B8</f>
        <v>Alabama|electricity NO2</v>
      </c>
      <c r="Z8" s="8">
        <f>IFERROR(INDEX($U8:$W8, MATCH(INDEX(Runs!$D:$D, MATCH($B8, Runs!$A:$A, 0)), $U$1:$W$1, 0)), 0)</f>
        <v>9758.9193649330009</v>
      </c>
      <c r="AA8" s="8">
        <f t="shared" si="0"/>
        <v>2.8865165462091505E-4</v>
      </c>
      <c r="AB8" s="8">
        <f>IFERROR(VLOOKUP(INDEX(Runs!$F:$F, MATCH($B8, Runs!$A:$A, 0)), US_national_yearly!$D:$AM, MATCH(Keys!$C$7, US_national_yearly!$D$1:$AM$1, 0), FALSE), 0)</f>
        <v>6.1439221592658041E-3</v>
      </c>
      <c r="AC8" s="8">
        <f t="shared" si="1"/>
        <v>4.6981658806596729E-2</v>
      </c>
      <c r="AD8">
        <f>IF($Z8&lt;Keys!$C$3, 1, 0)</f>
        <v>0</v>
      </c>
      <c r="AE8">
        <f>IF($AC8&gt;Keys!$C$4, 1, 0)</f>
        <v>0</v>
      </c>
      <c r="AF8">
        <f>IF($AC8&lt;Keys!$C$5, 1, 0)</f>
        <v>0</v>
      </c>
      <c r="AG8">
        <f t="shared" si="2"/>
        <v>0</v>
      </c>
      <c r="AH8" t="str">
        <f>IFERROR(INDEX(Runs!$E:$E, MATCH($B8, Runs!$A:$A, 0)), $B8)</f>
        <v>Industry NO2</v>
      </c>
      <c r="AI8" t="str">
        <f t="shared" si="3"/>
        <v>electricity NO2</v>
      </c>
      <c r="AJ8" t="str">
        <f>IF($AG8=1, IF($AD8=1, Keys!$C$9, "") &amp; IF($AE8=1, Keys!$C$10, "") &amp; IF($AF8=1, Keys!$C$11, ""), "")</f>
        <v/>
      </c>
      <c r="AK8">
        <f>IF($AG8=1, IFERROR(INDEX($AG$2:$AG$577, MATCH($A8 &amp; Keys!$C$8 &amp; $AH8, $Y$2:$Y$577, 0)), 1), 0)</f>
        <v>0</v>
      </c>
    </row>
    <row r="9" spans="1:37" x14ac:dyDescent="0.25">
      <c r="A9" t="s">
        <v>1</v>
      </c>
      <c r="B9" t="s">
        <v>247</v>
      </c>
      <c r="C9">
        <v>67</v>
      </c>
      <c r="D9">
        <v>4.8850515530000003</v>
      </c>
      <c r="E9">
        <v>1.4866662330000001E-2</v>
      </c>
      <c r="F9">
        <v>10.762432136999999</v>
      </c>
      <c r="G9">
        <v>14.493132984000001</v>
      </c>
      <c r="H9">
        <v>22.143206356</v>
      </c>
      <c r="I9">
        <v>0.41767571700000022</v>
      </c>
      <c r="J9">
        <v>2.5302703399999991</v>
      </c>
      <c r="K9">
        <v>1324.6842244259999</v>
      </c>
      <c r="L9">
        <v>223.433805769</v>
      </c>
      <c r="M9">
        <v>0.53259319799999993</v>
      </c>
      <c r="N9">
        <v>47.398771476999997</v>
      </c>
      <c r="O9">
        <v>1.0443722769999999</v>
      </c>
      <c r="P9">
        <v>3.5344163220000002E-2</v>
      </c>
      <c r="Q9">
        <v>0.13846963989999991</v>
      </c>
      <c r="R9">
        <v>2.494105341</v>
      </c>
      <c r="S9">
        <v>31.699670373</v>
      </c>
      <c r="T9">
        <v>45.067712454000002</v>
      </c>
      <c r="U9">
        <v>860.88973361100011</v>
      </c>
      <c r="V9">
        <v>0</v>
      </c>
      <c r="W9">
        <v>0</v>
      </c>
      <c r="Y9" t="str">
        <f>$A9 &amp; Keys!$C$8 &amp; $B9</f>
        <v>Alabama|electricity PM25</v>
      </c>
      <c r="Z9" s="8">
        <f>IFERROR(INDEX($U9:$W9, MATCH(INDEX(Runs!$D:$D, MATCH($B9, Runs!$A:$A, 0)), $U$1:$W$1, 0)), 0)</f>
        <v>860.88973361100011</v>
      </c>
      <c r="AA9" s="8">
        <f t="shared" si="0"/>
        <v>5.6744218943228213E-3</v>
      </c>
      <c r="AB9" s="8">
        <f>IFERROR(VLOOKUP(INDEX(Runs!$F:$F, MATCH($B9, Runs!$A:$A, 0)), US_national_yearly!$D:$AM, MATCH(Keys!$C$7, US_national_yearly!$D$1:$AM$1, 0), FALSE), 0)</f>
        <v>2.4252978284752182E-2</v>
      </c>
      <c r="AC9" s="8">
        <f t="shared" si="1"/>
        <v>0.23396804415935685</v>
      </c>
      <c r="AD9">
        <f>IF($Z9&lt;Keys!$C$3, 1, 0)</f>
        <v>0</v>
      </c>
      <c r="AE9">
        <f>IF($AC9&gt;Keys!$C$4, 1, 0)</f>
        <v>0</v>
      </c>
      <c r="AF9">
        <f>IF($AC9&lt;Keys!$C$5, 1, 0)</f>
        <v>0</v>
      </c>
      <c r="AG9">
        <f t="shared" si="2"/>
        <v>0</v>
      </c>
      <c r="AH9" t="str">
        <f>IFERROR(INDEX(Runs!$E:$E, MATCH($B9, Runs!$A:$A, 0)), $B9)</f>
        <v>Industry PM25</v>
      </c>
      <c r="AI9" t="str">
        <f t="shared" si="3"/>
        <v>electricity PM25</v>
      </c>
      <c r="AJ9" t="str">
        <f>IF($AG9=1, IF($AD9=1, Keys!$C$9, "") &amp; IF($AE9=1, Keys!$C$10, "") &amp; IF($AF9=1, Keys!$C$11, ""), "")</f>
        <v/>
      </c>
      <c r="AK9">
        <f>IF($AG9=1, IFERROR(INDEX($AG$2:$AG$577, MATCH($A9 &amp; Keys!$C$8 &amp; $AH9, $Y$2:$Y$577, 0)), 1), 0)</f>
        <v>0</v>
      </c>
    </row>
    <row r="10" spans="1:37" x14ac:dyDescent="0.25">
      <c r="A10" t="s">
        <v>1</v>
      </c>
      <c r="B10" t="s">
        <v>250</v>
      </c>
      <c r="C10">
        <v>67</v>
      </c>
      <c r="D10">
        <v>2.5527379749999999</v>
      </c>
      <c r="E10">
        <v>8.1284011000000034E-3</v>
      </c>
      <c r="F10">
        <v>5.5009900719999996</v>
      </c>
      <c r="G10">
        <v>7.4078795259999994</v>
      </c>
      <c r="H10">
        <v>11.317990976999999</v>
      </c>
      <c r="I10">
        <v>0.21864577199999999</v>
      </c>
      <c r="J10">
        <v>1.3109717219999999</v>
      </c>
      <c r="K10">
        <v>666.09382122500017</v>
      </c>
      <c r="L10">
        <v>112.52043048500001</v>
      </c>
      <c r="M10">
        <v>0.27611159000000002</v>
      </c>
      <c r="N10">
        <v>24.226860575</v>
      </c>
      <c r="O10">
        <v>0.53017982099999994</v>
      </c>
      <c r="P10">
        <v>1.81379409E-2</v>
      </c>
      <c r="Q10">
        <v>7.0445359900000004E-2</v>
      </c>
      <c r="R10">
        <v>1.290480061</v>
      </c>
      <c r="S10">
        <v>16.402113946</v>
      </c>
      <c r="T10">
        <v>23.318931850000009</v>
      </c>
      <c r="U10">
        <v>0</v>
      </c>
      <c r="V10">
        <v>4713.4684795390003</v>
      </c>
      <c r="W10">
        <v>0</v>
      </c>
      <c r="Y10" t="str">
        <f>$A10 &amp; Keys!$C$8 &amp; $B10</f>
        <v>Alabama|electricity SO2</v>
      </c>
      <c r="Z10" s="8">
        <f>IFERROR(INDEX($U10:$W10, MATCH(INDEX(Runs!$D:$D, MATCH($B10, Runs!$A:$A, 0)), $U$1:$W$1, 0)), 0)</f>
        <v>4713.4684795390003</v>
      </c>
      <c r="AA10" s="8">
        <f t="shared" si="0"/>
        <v>5.4158375855940159E-4</v>
      </c>
      <c r="AB10" s="8">
        <f>IFERROR(VLOOKUP(INDEX(Runs!$F:$F, MATCH($B10, Runs!$A:$A, 0)), US_national_yearly!$D:$AM, MATCH(Keys!$C$7, US_national_yearly!$D$1:$AM$1, 0), FALSE), 0)</f>
        <v>5.7032329662362116E-3</v>
      </c>
      <c r="AC10" s="8">
        <f t="shared" si="1"/>
        <v>9.4960833927991206E-2</v>
      </c>
      <c r="AD10">
        <f>IF($Z10&lt;Keys!$C$3, 1, 0)</f>
        <v>0</v>
      </c>
      <c r="AE10">
        <f>IF($AC10&gt;Keys!$C$4, 1, 0)</f>
        <v>0</v>
      </c>
      <c r="AF10">
        <f>IF($AC10&lt;Keys!$C$5, 1, 0)</f>
        <v>0</v>
      </c>
      <c r="AG10">
        <f t="shared" si="2"/>
        <v>0</v>
      </c>
      <c r="AH10" t="str">
        <f>IFERROR(INDEX(Runs!$E:$E, MATCH($B10, Runs!$A:$A, 0)), $B10)</f>
        <v>Industry SO2</v>
      </c>
      <c r="AI10" t="str">
        <f t="shared" si="3"/>
        <v>electricity SO2</v>
      </c>
      <c r="AJ10" t="str">
        <f>IF($AG10=1, IF($AD10=1, Keys!$C$9, "") &amp; IF($AE10=1, Keys!$C$10, "") &amp; IF($AF10=1, Keys!$C$11, ""), "")</f>
        <v/>
      </c>
      <c r="AK10">
        <f>IF($AG10=1, IFERROR(INDEX($AG$2:$AG$577, MATCH($A10 &amp; Keys!$C$8 &amp; $AH10, $Y$2:$Y$577, 0)), 1), 0)</f>
        <v>0</v>
      </c>
    </row>
    <row r="11" spans="1:37" x14ac:dyDescent="0.25">
      <c r="A11" t="s">
        <v>1</v>
      </c>
      <c r="B11" t="s">
        <v>239</v>
      </c>
      <c r="C11">
        <v>67</v>
      </c>
      <c r="D11">
        <v>41.292153894999998</v>
      </c>
      <c r="E11">
        <v>0.12609375010000001</v>
      </c>
      <c r="F11">
        <v>88.548936916999963</v>
      </c>
      <c r="G11">
        <v>119.241719215</v>
      </c>
      <c r="H11">
        <v>182.18924461300011</v>
      </c>
      <c r="I11">
        <v>3.586007961</v>
      </c>
      <c r="J11">
        <v>21.452482899</v>
      </c>
      <c r="K11">
        <v>10818.397044642999</v>
      </c>
      <c r="L11">
        <v>1826.5705092999999</v>
      </c>
      <c r="M11">
        <v>4.5206815079999991</v>
      </c>
      <c r="N11">
        <v>389.97990074500001</v>
      </c>
      <c r="O11">
        <v>8.5878612969999999</v>
      </c>
      <c r="P11">
        <v>0.29177466299999988</v>
      </c>
      <c r="Q11">
        <v>1.149704032</v>
      </c>
      <c r="R11">
        <v>20.719883479999989</v>
      </c>
      <c r="S11">
        <v>263.40671762599999</v>
      </c>
      <c r="T11">
        <v>374.71764681500002</v>
      </c>
      <c r="U11">
        <v>0</v>
      </c>
      <c r="V11">
        <v>0</v>
      </c>
      <c r="W11">
        <v>78155.864875300016</v>
      </c>
      <c r="Y11" t="str">
        <f>$A11 &amp; Keys!$C$8 &amp; $B11</f>
        <v>Alabama|transportation NO2</v>
      </c>
      <c r="Z11" s="8">
        <f>IFERROR(INDEX($U11:$W11, MATCH(INDEX(Runs!$D:$D, MATCH($B11, Runs!$A:$A, 0)), $U$1:$W$1, 0)), 0)</f>
        <v>78155.864875300016</v>
      </c>
      <c r="AA11" s="8">
        <f t="shared" si="0"/>
        <v>5.2833084197689893E-4</v>
      </c>
      <c r="AB11" s="8">
        <f>IFERROR(VLOOKUP(INDEX(Runs!$F:$F, MATCH($B11, Runs!$A:$A, 0)), US_national_yearly!$D:$AM, MATCH(Keys!$C$7, US_national_yearly!$D$1:$AM$1, 0), FALSE), 0)</f>
        <v>5.7148835886332216E-3</v>
      </c>
      <c r="AC11" s="8">
        <f t="shared" si="1"/>
        <v>9.2448224672106602E-2</v>
      </c>
      <c r="AD11">
        <f>IF($Z11&lt;Keys!$C$3, 1, 0)</f>
        <v>0</v>
      </c>
      <c r="AE11">
        <f>IF($AC11&gt;Keys!$C$4, 1, 0)</f>
        <v>0</v>
      </c>
      <c r="AF11">
        <f>IF($AC11&lt;Keys!$C$5, 1, 0)</f>
        <v>0</v>
      </c>
      <c r="AG11">
        <f t="shared" si="2"/>
        <v>0</v>
      </c>
      <c r="AH11" t="str">
        <f>IFERROR(INDEX(Runs!$E:$E, MATCH($B11, Runs!$A:$A, 0)), $B11)</f>
        <v>Industry NO2</v>
      </c>
      <c r="AI11" t="str">
        <f t="shared" si="3"/>
        <v>transportation NO2</v>
      </c>
      <c r="AJ11" t="str">
        <f>IF($AG11=1, IF($AD11=1, Keys!$C$9, "") &amp; IF($AE11=1, Keys!$C$10, "") &amp; IF($AF11=1, Keys!$C$11, ""), "")</f>
        <v/>
      </c>
      <c r="AK11">
        <f>IF($AG11=1, IFERROR(INDEX($AG$2:$AG$577, MATCH($A11 &amp; Keys!$C$8 &amp; $AH11, $Y$2:$Y$577, 0)), 1), 0)</f>
        <v>0</v>
      </c>
    </row>
    <row r="12" spans="1:37" x14ac:dyDescent="0.25">
      <c r="A12" t="s">
        <v>1</v>
      </c>
      <c r="B12" t="s">
        <v>234</v>
      </c>
      <c r="C12">
        <v>67</v>
      </c>
      <c r="D12">
        <v>20.189766579</v>
      </c>
      <c r="E12">
        <v>6.2471314700000002E-2</v>
      </c>
      <c r="F12">
        <v>43.715020258000003</v>
      </c>
      <c r="G12">
        <v>58.86807661000001</v>
      </c>
      <c r="H12">
        <v>89.942375294999977</v>
      </c>
      <c r="I12">
        <v>1.7622392870000001</v>
      </c>
      <c r="J12">
        <v>10.561559052</v>
      </c>
      <c r="K12">
        <v>5341.6939528470002</v>
      </c>
      <c r="L12">
        <v>902.03843099699986</v>
      </c>
      <c r="M12">
        <v>2.2247505700000012</v>
      </c>
      <c r="N12">
        <v>192.52547216299999</v>
      </c>
      <c r="O12">
        <v>4.239418660000001</v>
      </c>
      <c r="P12">
        <v>0.1441904379</v>
      </c>
      <c r="Q12">
        <v>0.56723168800000001</v>
      </c>
      <c r="R12">
        <v>10.239585885</v>
      </c>
      <c r="S12">
        <v>130.155533303</v>
      </c>
      <c r="T12">
        <v>185.088650857</v>
      </c>
      <c r="U12">
        <v>1666.9921653219999</v>
      </c>
      <c r="V12">
        <v>0</v>
      </c>
      <c r="W12">
        <v>0</v>
      </c>
      <c r="Y12" t="str">
        <f>$A12 &amp; Keys!$C$8 &amp; $B12</f>
        <v>Alabama|transportation PM25</v>
      </c>
      <c r="Z12" s="8">
        <f>IFERROR(INDEX($U12:$W12, MATCH(INDEX(Runs!$D:$D, MATCH($B12, Runs!$A:$A, 0)), $U$1:$W$1, 0)), 0)</f>
        <v>1666.9921653219999</v>
      </c>
      <c r="AA12" s="8">
        <f t="shared" si="0"/>
        <v>1.2111494582279636E-2</v>
      </c>
      <c r="AB12" s="8">
        <f>IFERROR(VLOOKUP(INDEX(Runs!$F:$F, MATCH($B12, Runs!$A:$A, 0)), US_national_yearly!$D:$AM, MATCH(Keys!$C$7, US_national_yearly!$D$1:$AM$1, 0), FALSE), 0)</f>
        <v>2.8248683697579859E-2</v>
      </c>
      <c r="AC12" s="8">
        <f t="shared" si="1"/>
        <v>0.42874544923724217</v>
      </c>
      <c r="AD12">
        <f>IF($Z12&lt;Keys!$C$3, 1, 0)</f>
        <v>0</v>
      </c>
      <c r="AE12">
        <f>IF($AC12&gt;Keys!$C$4, 1, 0)</f>
        <v>0</v>
      </c>
      <c r="AF12">
        <f>IF($AC12&lt;Keys!$C$5, 1, 0)</f>
        <v>0</v>
      </c>
      <c r="AG12">
        <f t="shared" si="2"/>
        <v>0</v>
      </c>
      <c r="AH12" t="str">
        <f>IFERROR(INDEX(Runs!$E:$E, MATCH($B12, Runs!$A:$A, 0)), $B12)</f>
        <v>Industry PM25</v>
      </c>
      <c r="AI12" t="str">
        <f t="shared" si="3"/>
        <v>transportation PM25</v>
      </c>
      <c r="AJ12" t="str">
        <f>IF($AG12=1, IF($AD12=1, Keys!$C$9, "") &amp; IF($AE12=1, Keys!$C$10, "") &amp; IF($AF12=1, Keys!$C$11, ""), "")</f>
        <v/>
      </c>
      <c r="AK12">
        <f>IF($AG12=1, IFERROR(INDEX($AG$2:$AG$577, MATCH($A12 &amp; Keys!$C$8 &amp; $AH12, $Y$2:$Y$577, 0)), 1), 0)</f>
        <v>0</v>
      </c>
    </row>
    <row r="13" spans="1:37" x14ac:dyDescent="0.25">
      <c r="A13" t="s">
        <v>1</v>
      </c>
      <c r="B13" t="s">
        <v>243</v>
      </c>
      <c r="C13">
        <v>67</v>
      </c>
      <c r="D13">
        <v>0.84778970499999995</v>
      </c>
      <c r="E13">
        <v>2.5950782300000002E-3</v>
      </c>
      <c r="F13">
        <v>1.8276556340000001</v>
      </c>
      <c r="G13">
        <v>2.4612056399999989</v>
      </c>
      <c r="H13">
        <v>3.7602975230000002</v>
      </c>
      <c r="I13">
        <v>7.4074283200000007E-2</v>
      </c>
      <c r="J13">
        <v>0.44309780900000001</v>
      </c>
      <c r="K13">
        <v>222.025455636</v>
      </c>
      <c r="L13">
        <v>37.480783969999997</v>
      </c>
      <c r="M13">
        <v>9.3303547100000023E-2</v>
      </c>
      <c r="N13">
        <v>8.0491587970000005</v>
      </c>
      <c r="O13">
        <v>0.1766569949999999</v>
      </c>
      <c r="P13">
        <v>6.0240412800000014E-3</v>
      </c>
      <c r="Q13">
        <v>2.3680927099999999E-2</v>
      </c>
      <c r="R13">
        <v>0.42899160600000003</v>
      </c>
      <c r="S13">
        <v>5.4524355719999997</v>
      </c>
      <c r="T13">
        <v>7.751417968000001</v>
      </c>
      <c r="U13">
        <v>0</v>
      </c>
      <c r="V13">
        <v>445.1580262280001</v>
      </c>
      <c r="W13">
        <v>0</v>
      </c>
      <c r="Y13" t="str">
        <f>$A13 &amp; Keys!$C$8 &amp; $B13</f>
        <v>Alabama|transportation SO2</v>
      </c>
      <c r="Z13" s="8">
        <f>IFERROR(INDEX($U13:$W13, MATCH(INDEX(Runs!$D:$D, MATCH($B13, Runs!$A:$A, 0)), $U$1:$W$1, 0)), 0)</f>
        <v>445.1580262280001</v>
      </c>
      <c r="AA13" s="8">
        <f t="shared" si="0"/>
        <v>1.9044690987235638E-3</v>
      </c>
      <c r="AB13" s="8">
        <f>IFERROR(VLOOKUP(INDEX(Runs!$F:$F, MATCH($B13, Runs!$A:$A, 0)), US_national_yearly!$D:$AM, MATCH(Keys!$C$7, US_national_yearly!$D$1:$AM$1, 0), FALSE), 0)</f>
        <v>5.1800714166247604E-3</v>
      </c>
      <c r="AC13" s="8">
        <f t="shared" si="1"/>
        <v>0.36765305833649703</v>
      </c>
      <c r="AD13">
        <f>IF($Z13&lt;Keys!$C$3, 1, 0)</f>
        <v>0</v>
      </c>
      <c r="AE13">
        <f>IF($AC13&gt;Keys!$C$4, 1, 0)</f>
        <v>0</v>
      </c>
      <c r="AF13">
        <f>IF($AC13&lt;Keys!$C$5, 1, 0)</f>
        <v>0</v>
      </c>
      <c r="AG13">
        <f t="shared" si="2"/>
        <v>0</v>
      </c>
      <c r="AH13" t="str">
        <f>IFERROR(INDEX(Runs!$E:$E, MATCH($B13, Runs!$A:$A, 0)), $B13)</f>
        <v>Industry SO2</v>
      </c>
      <c r="AI13" t="str">
        <f t="shared" si="3"/>
        <v>transportation SO2</v>
      </c>
      <c r="AJ13" t="str">
        <f>IF($AG13=1, IF($AD13=1, Keys!$C$9, "") &amp; IF($AE13=1, Keys!$C$10, "") &amp; IF($AF13=1, Keys!$C$11, ""), "")</f>
        <v/>
      </c>
      <c r="AK13">
        <f>IF($AG13=1, IFERROR(INDEX($AG$2:$AG$577, MATCH($A13 &amp; Keys!$C$8 &amp; $AH13, $Y$2:$Y$577, 0)), 1), 0)</f>
        <v>0</v>
      </c>
    </row>
    <row r="14" spans="1:37" x14ac:dyDescent="0.25">
      <c r="A14" t="s">
        <v>79</v>
      </c>
      <c r="B14" t="s">
        <v>242</v>
      </c>
      <c r="C14">
        <v>15</v>
      </c>
      <c r="D14">
        <v>2.9310304700000001</v>
      </c>
      <c r="E14">
        <v>7.9249151400000006E-3</v>
      </c>
      <c r="F14">
        <v>7.9712259160000007</v>
      </c>
      <c r="G14">
        <v>10.734414748000001</v>
      </c>
      <c r="H14">
        <v>16.40035799</v>
      </c>
      <c r="I14">
        <v>0.183142785</v>
      </c>
      <c r="J14">
        <v>1.132363477</v>
      </c>
      <c r="K14">
        <v>978.35481654600005</v>
      </c>
      <c r="L14">
        <v>166.31919586800001</v>
      </c>
      <c r="M14">
        <v>0.26705078300000001</v>
      </c>
      <c r="N14">
        <v>35.105998653999997</v>
      </c>
      <c r="O14">
        <v>0.63794718799999994</v>
      </c>
      <c r="P14">
        <v>2.387906947E-2</v>
      </c>
      <c r="Q14">
        <v>4.9859765700000003E-2</v>
      </c>
      <c r="R14">
        <v>1.8398631249999999</v>
      </c>
      <c r="S14">
        <v>23.357372725000001</v>
      </c>
      <c r="T14">
        <v>33.141637521</v>
      </c>
      <c r="U14">
        <v>0</v>
      </c>
      <c r="V14">
        <v>0</v>
      </c>
      <c r="W14">
        <v>7049.0127782349991</v>
      </c>
      <c r="Y14" t="str">
        <f>$A14 &amp; Keys!$C$8 &amp; $B14</f>
        <v>Arizona|Industry NO2</v>
      </c>
      <c r="Z14" s="8">
        <f>IFERROR(INDEX($U14:$W14, MATCH(INDEX(Runs!$D:$D, MATCH($B14, Runs!$A:$A, 0)), $U$1:$W$1, 0)), 0)</f>
        <v>7049.0127782349991</v>
      </c>
      <c r="AA14" s="8">
        <f t="shared" si="0"/>
        <v>4.158072289285735E-4</v>
      </c>
      <c r="AB14" s="8">
        <f>IFERROR(VLOOKUP(INDEX(Runs!$F:$F, MATCH($B14, Runs!$A:$A, 0)), US_national_yearly!$D:$AM, MATCH(Keys!$C$7, US_national_yearly!$D$1:$AM$1, 0), FALSE), 0)</f>
        <v>5.8012217057786938E-3</v>
      </c>
      <c r="AC14" s="8">
        <f t="shared" si="1"/>
        <v>7.1675803824973794E-2</v>
      </c>
      <c r="AD14">
        <f>IF($Z14&lt;Keys!$C$3, 1, 0)</f>
        <v>0</v>
      </c>
      <c r="AE14">
        <f>IF($AC14&gt;Keys!$C$4, 1, 0)</f>
        <v>0</v>
      </c>
      <c r="AF14">
        <f>IF($AC14&lt;Keys!$C$5, 1, 0)</f>
        <v>0</v>
      </c>
      <c r="AG14">
        <f t="shared" si="2"/>
        <v>0</v>
      </c>
      <c r="AH14" t="str">
        <f>IFERROR(INDEX(Runs!$E:$E, MATCH($B14, Runs!$A:$A, 0)), $B14)</f>
        <v>Industry NO2</v>
      </c>
      <c r="AI14" t="str">
        <f t="shared" si="3"/>
        <v>Industry NO2</v>
      </c>
      <c r="AJ14" t="str">
        <f>IF($AG14=1, IF($AD14=1, Keys!$C$9, "") &amp; IF($AE14=1, Keys!$C$10, "") &amp; IF($AF14=1, Keys!$C$11, ""), "")</f>
        <v/>
      </c>
      <c r="AK14">
        <f>IF($AG14=1, IFERROR(INDEX($AG$2:$AG$577, MATCH($A14 &amp; Keys!$C$8 &amp; $AH14, $Y$2:$Y$577, 0)), 1), 0)</f>
        <v>0</v>
      </c>
    </row>
    <row r="15" spans="1:37" x14ac:dyDescent="0.25">
      <c r="A15" t="s">
        <v>79</v>
      </c>
      <c r="B15" t="s">
        <v>238</v>
      </c>
      <c r="C15">
        <v>15</v>
      </c>
      <c r="D15">
        <v>90.664762188999987</v>
      </c>
      <c r="E15">
        <v>0.254884206</v>
      </c>
      <c r="F15">
        <v>255.95496723700001</v>
      </c>
      <c r="G15">
        <v>344.66835238800002</v>
      </c>
      <c r="H15">
        <v>526.63815414800001</v>
      </c>
      <c r="I15">
        <v>5.7962667319999994</v>
      </c>
      <c r="J15">
        <v>35.093634545999997</v>
      </c>
      <c r="K15">
        <v>31501.04627888</v>
      </c>
      <c r="L15">
        <v>5359.1366335509992</v>
      </c>
      <c r="M15">
        <v>8.4396394849999989</v>
      </c>
      <c r="N15">
        <v>1127.261473773</v>
      </c>
      <c r="O15">
        <v>20.474920540999999</v>
      </c>
      <c r="P15">
        <v>0.7716169129999999</v>
      </c>
      <c r="Q15">
        <v>1.6125457299999999</v>
      </c>
      <c r="R15">
        <v>58.967965390000003</v>
      </c>
      <c r="S15">
        <v>748.83223060300008</v>
      </c>
      <c r="T15">
        <v>1063.578685034</v>
      </c>
      <c r="U15">
        <v>7164.3513142000002</v>
      </c>
      <c r="V15">
        <v>0</v>
      </c>
      <c r="W15">
        <v>0</v>
      </c>
      <c r="Y15" t="str">
        <f>$A15 &amp; Keys!$C$8 &amp; $B15</f>
        <v>Arizona|Industry PM25</v>
      </c>
      <c r="Z15" s="8">
        <f>IFERROR(INDEX($U15:$W15, MATCH(INDEX(Runs!$D:$D, MATCH($B15, Runs!$A:$A, 0)), $U$1:$W$1, 0)), 0)</f>
        <v>7164.3513142000002</v>
      </c>
      <c r="AA15" s="8">
        <f t="shared" si="0"/>
        <v>1.2654985526644846E-2</v>
      </c>
      <c r="AB15" s="8">
        <f>IFERROR(VLOOKUP(INDEX(Runs!$F:$F, MATCH($B15, Runs!$A:$A, 0)), US_national_yearly!$D:$AM, MATCH(Keys!$C$7, US_national_yearly!$D$1:$AM$1, 0), FALSE), 0)</f>
        <v>2.6833191881203179E-2</v>
      </c>
      <c r="AC15" s="8">
        <f t="shared" si="1"/>
        <v>0.47161685358459887</v>
      </c>
      <c r="AD15">
        <f>IF($Z15&lt;Keys!$C$3, 1, 0)</f>
        <v>0</v>
      </c>
      <c r="AE15">
        <f>IF($AC15&gt;Keys!$C$4, 1, 0)</f>
        <v>0</v>
      </c>
      <c r="AF15">
        <f>IF($AC15&lt;Keys!$C$5, 1, 0)</f>
        <v>0</v>
      </c>
      <c r="AG15">
        <f t="shared" si="2"/>
        <v>0</v>
      </c>
      <c r="AH15" t="str">
        <f>IFERROR(INDEX(Runs!$E:$E, MATCH($B15, Runs!$A:$A, 0)), $B15)</f>
        <v>Industry PM25</v>
      </c>
      <c r="AI15" t="str">
        <f t="shared" si="3"/>
        <v>Industry PM25</v>
      </c>
      <c r="AJ15" t="str">
        <f>IF($AG15=1, IF($AD15=1, Keys!$C$9, "") &amp; IF($AE15=1, Keys!$C$10, "") &amp; IF($AF15=1, Keys!$C$11, ""), "")</f>
        <v/>
      </c>
      <c r="AK15">
        <f>IF($AG15=1, IFERROR(INDEX($AG$2:$AG$577, MATCH($A15 &amp; Keys!$C$8 &amp; $AH15, $Y$2:$Y$577, 0)), 1), 0)</f>
        <v>0</v>
      </c>
    </row>
    <row r="16" spans="1:37" x14ac:dyDescent="0.25">
      <c r="A16" t="s">
        <v>79</v>
      </c>
      <c r="B16" t="s">
        <v>246</v>
      </c>
      <c r="C16">
        <v>15</v>
      </c>
      <c r="D16">
        <v>8.6663961319999991</v>
      </c>
      <c r="E16">
        <v>2.394051723E-2</v>
      </c>
      <c r="F16">
        <v>24.165826900999999</v>
      </c>
      <c r="G16">
        <v>32.542720939000013</v>
      </c>
      <c r="H16">
        <v>49.720017614000007</v>
      </c>
      <c r="I16">
        <v>0.53827266939999996</v>
      </c>
      <c r="J16">
        <v>3.2751539680000001</v>
      </c>
      <c r="K16">
        <v>2982.0131511099999</v>
      </c>
      <c r="L16">
        <v>507.29969267699988</v>
      </c>
      <c r="M16">
        <v>0.79082402010000008</v>
      </c>
      <c r="N16">
        <v>106.42856545399999</v>
      </c>
      <c r="O16">
        <v>1.9366126260000001</v>
      </c>
      <c r="P16">
        <v>7.4069227269999996E-2</v>
      </c>
      <c r="Q16">
        <v>0.15031654380000001</v>
      </c>
      <c r="R16">
        <v>5.5715330949999986</v>
      </c>
      <c r="S16">
        <v>70.73207528799999</v>
      </c>
      <c r="T16">
        <v>100.36599188700001</v>
      </c>
      <c r="U16">
        <v>0</v>
      </c>
      <c r="V16">
        <v>3670.1871243099999</v>
      </c>
      <c r="W16">
        <v>0</v>
      </c>
      <c r="Y16" t="str">
        <f>$A16 &amp; Keys!$C$8 &amp; $B16</f>
        <v>Arizona|Industry SO2</v>
      </c>
      <c r="Z16" s="8">
        <f>IFERROR(INDEX($U16:$W16, MATCH(INDEX(Runs!$D:$D, MATCH($B16, Runs!$A:$A, 0)), $U$1:$W$1, 0)), 0)</f>
        <v>3670.1871243099999</v>
      </c>
      <c r="AA16" s="8">
        <f t="shared" si="0"/>
        <v>2.3612954431115806E-3</v>
      </c>
      <c r="AB16" s="8">
        <f>IFERROR(VLOOKUP(INDEX(Runs!$F:$F, MATCH($B16, Runs!$A:$A, 0)), US_national_yearly!$D:$AM, MATCH(Keys!$C$7, US_national_yearly!$D$1:$AM$1, 0), FALSE), 0)</f>
        <v>5.3000351638639942E-3</v>
      </c>
      <c r="AC16" s="8">
        <f t="shared" si="1"/>
        <v>0.44552448617908352</v>
      </c>
      <c r="AD16">
        <f>IF($Z16&lt;Keys!$C$3, 1, 0)</f>
        <v>0</v>
      </c>
      <c r="AE16">
        <f>IF($AC16&gt;Keys!$C$4, 1, 0)</f>
        <v>0</v>
      </c>
      <c r="AF16">
        <f>IF($AC16&lt;Keys!$C$5, 1, 0)</f>
        <v>0</v>
      </c>
      <c r="AG16">
        <f t="shared" si="2"/>
        <v>0</v>
      </c>
      <c r="AH16" t="str">
        <f>IFERROR(INDEX(Runs!$E:$E, MATCH($B16, Runs!$A:$A, 0)), $B16)</f>
        <v>Industry SO2</v>
      </c>
      <c r="AI16" t="str">
        <f t="shared" si="3"/>
        <v>Industry SO2</v>
      </c>
      <c r="AJ16" t="str">
        <f>IF($AG16=1, IF($AD16=1, Keys!$C$9, "") &amp; IF($AE16=1, Keys!$C$10, "") &amp; IF($AF16=1, Keys!$C$11, ""), "")</f>
        <v/>
      </c>
      <c r="AK16">
        <f>IF($AG16=1, IFERROR(INDEX($AG$2:$AG$577, MATCH($A16 &amp; Keys!$C$8 &amp; $AH16, $Y$2:$Y$577, 0)), 1), 0)</f>
        <v>0</v>
      </c>
    </row>
    <row r="17" spans="1:37" x14ac:dyDescent="0.25">
      <c r="A17" t="s">
        <v>79</v>
      </c>
      <c r="B17" t="s">
        <v>253</v>
      </c>
      <c r="C17">
        <v>15</v>
      </c>
      <c r="D17">
        <v>5.6852301700000014</v>
      </c>
      <c r="E17">
        <v>1.6209290729999999E-2</v>
      </c>
      <c r="F17">
        <v>16.214714892</v>
      </c>
      <c r="G17">
        <v>21.835442034</v>
      </c>
      <c r="H17">
        <v>33.360941855999997</v>
      </c>
      <c r="I17">
        <v>0.35684425260000002</v>
      </c>
      <c r="J17">
        <v>2.177798444</v>
      </c>
      <c r="K17">
        <v>1996.57127031</v>
      </c>
      <c r="L17">
        <v>339.71468611100011</v>
      </c>
      <c r="M17">
        <v>0.52778610149999994</v>
      </c>
      <c r="N17">
        <v>71.411098781999996</v>
      </c>
      <c r="O17">
        <v>1.3098698040000001</v>
      </c>
      <c r="P17">
        <v>4.9332563009999997E-2</v>
      </c>
      <c r="Q17">
        <v>0.10062951011</v>
      </c>
      <c r="R17">
        <v>3.743257390000001</v>
      </c>
      <c r="S17">
        <v>47.518418859999997</v>
      </c>
      <c r="T17">
        <v>67.418042195000012</v>
      </c>
      <c r="U17">
        <v>0</v>
      </c>
      <c r="V17">
        <v>0</v>
      </c>
      <c r="W17">
        <v>3552.0020903529999</v>
      </c>
      <c r="Y17" t="str">
        <f>$A17 &amp; Keys!$C$8 &amp; $B17</f>
        <v>Arizona|buildings NO2</v>
      </c>
      <c r="Z17" s="8">
        <f>IFERROR(INDEX($U17:$W17, MATCH(INDEX(Runs!$D:$D, MATCH($B17, Runs!$A:$A, 0)), $U$1:$W$1, 0)), 0)</f>
        <v>3552.0020903529999</v>
      </c>
      <c r="AA17" s="8">
        <f t="shared" si="0"/>
        <v>1.6005706149331124E-3</v>
      </c>
      <c r="AB17" s="8">
        <f>IFERROR(VLOOKUP(INDEX(Runs!$F:$F, MATCH($B17, Runs!$A:$A, 0)), US_national_yearly!$D:$AM, MATCH(Keys!$C$7, US_national_yearly!$D$1:$AM$1, 0), FALSE), 0)</f>
        <v>5.6784740124662739E-3</v>
      </c>
      <c r="AC17" s="8">
        <f t="shared" si="1"/>
        <v>0.28186632736529033</v>
      </c>
      <c r="AD17">
        <f>IF($Z17&lt;Keys!$C$3, 1, 0)</f>
        <v>0</v>
      </c>
      <c r="AE17">
        <f>IF($AC17&gt;Keys!$C$4, 1, 0)</f>
        <v>0</v>
      </c>
      <c r="AF17">
        <f>IF($AC17&lt;Keys!$C$5, 1, 0)</f>
        <v>0</v>
      </c>
      <c r="AG17">
        <f t="shared" si="2"/>
        <v>0</v>
      </c>
      <c r="AH17" t="str">
        <f>IFERROR(INDEX(Runs!$E:$E, MATCH($B17, Runs!$A:$A, 0)), $B17)</f>
        <v>Industry NO2</v>
      </c>
      <c r="AI17" t="str">
        <f t="shared" si="3"/>
        <v>buildings NO2</v>
      </c>
      <c r="AJ17" t="str">
        <f>IF($AG17=1, IF($AD17=1, Keys!$C$9, "") &amp; IF($AE17=1, Keys!$C$10, "") &amp; IF($AF17=1, Keys!$C$11, ""), "")</f>
        <v/>
      </c>
      <c r="AK17">
        <f>IF($AG17=1, IFERROR(INDEX($AG$2:$AG$577, MATCH($A17 &amp; Keys!$C$8 &amp; $AH17, $Y$2:$Y$577, 0)), 1), 0)</f>
        <v>0</v>
      </c>
    </row>
    <row r="18" spans="1:37" x14ac:dyDescent="0.25">
      <c r="A18" t="s">
        <v>79</v>
      </c>
      <c r="B18" t="s">
        <v>251</v>
      </c>
      <c r="C18">
        <v>15</v>
      </c>
      <c r="D18">
        <v>0.99717459389999996</v>
      </c>
      <c r="E18">
        <v>2.9663802469999988E-3</v>
      </c>
      <c r="F18">
        <v>2.929230932999999</v>
      </c>
      <c r="G18">
        <v>3.9446377199999998</v>
      </c>
      <c r="H18">
        <v>6.0267264129999996</v>
      </c>
      <c r="I18">
        <v>6.2843852239999998E-2</v>
      </c>
      <c r="J18">
        <v>0.38639098129999999</v>
      </c>
      <c r="K18">
        <v>360.16624148599988</v>
      </c>
      <c r="L18">
        <v>61.300472528</v>
      </c>
      <c r="M18">
        <v>9.4322078850000032E-2</v>
      </c>
      <c r="N18">
        <v>12.900595065999999</v>
      </c>
      <c r="O18">
        <v>0.24019376675000001</v>
      </c>
      <c r="P18">
        <v>8.848457714000002E-3</v>
      </c>
      <c r="Q18">
        <v>1.7960544767999999E-2</v>
      </c>
      <c r="R18">
        <v>0.67723935329999996</v>
      </c>
      <c r="S18">
        <v>8.5963475159999998</v>
      </c>
      <c r="T18">
        <v>12.194055577</v>
      </c>
      <c r="U18">
        <v>42.225409304999992</v>
      </c>
      <c r="V18">
        <v>0</v>
      </c>
      <c r="W18">
        <v>0</v>
      </c>
      <c r="Y18" t="str">
        <f>$A18 &amp; Keys!$C$8 &amp; $B18</f>
        <v>Arizona|buildings PM25</v>
      </c>
      <c r="Z18" s="8">
        <f>IFERROR(INDEX($U18:$W18, MATCH(INDEX(Runs!$D:$D, MATCH($B18, Runs!$A:$A, 0)), $U$1:$W$1, 0)), 0)</f>
        <v>42.225409304999992</v>
      </c>
      <c r="AA18" s="8">
        <f t="shared" si="0"/>
        <v>2.3615510431107239E-2</v>
      </c>
      <c r="AB18" s="8">
        <f>IFERROR(VLOOKUP(INDEX(Runs!$F:$F, MATCH($B18, Runs!$A:$A, 0)), US_national_yearly!$D:$AM, MATCH(Keys!$C$7, US_national_yearly!$D$1:$AM$1, 0), FALSE), 0)</f>
        <v>2.7627705191843259E-2</v>
      </c>
      <c r="AC18" s="8">
        <f t="shared" si="1"/>
        <v>0.85477640169982083</v>
      </c>
      <c r="AD18">
        <f>IF($Z18&lt;Keys!$C$3, 1, 0)</f>
        <v>0</v>
      </c>
      <c r="AE18">
        <f>IF($AC18&gt;Keys!$C$4, 1, 0)</f>
        <v>0</v>
      </c>
      <c r="AF18">
        <f>IF($AC18&lt;Keys!$C$5, 1, 0)</f>
        <v>0</v>
      </c>
      <c r="AG18">
        <f t="shared" si="2"/>
        <v>0</v>
      </c>
      <c r="AH18" t="str">
        <f>IFERROR(INDEX(Runs!$E:$E, MATCH($B18, Runs!$A:$A, 0)), $B18)</f>
        <v>Industry PM25</v>
      </c>
      <c r="AI18" t="str">
        <f t="shared" si="3"/>
        <v>buildings PM25</v>
      </c>
      <c r="AJ18" t="str">
        <f>IF($AG18=1, IF($AD18=1, Keys!$C$9, "") &amp; IF($AE18=1, Keys!$C$10, "") &amp; IF($AF18=1, Keys!$C$11, ""), "")</f>
        <v/>
      </c>
      <c r="AK18">
        <f>IF($AG18=1, IFERROR(INDEX($AG$2:$AG$577, MATCH($A18 &amp; Keys!$C$8 &amp; $AH18, $Y$2:$Y$577, 0)), 1), 0)</f>
        <v>0</v>
      </c>
    </row>
    <row r="19" spans="1:37" x14ac:dyDescent="0.25">
      <c r="A19" t="s">
        <v>79</v>
      </c>
      <c r="B19" t="s">
        <v>254</v>
      </c>
      <c r="C19">
        <v>15</v>
      </c>
      <c r="D19">
        <v>2.308245040000001E-2</v>
      </c>
      <c r="E19">
        <v>6.1034768499999991E-5</v>
      </c>
      <c r="F19">
        <v>6.1763984600000002E-2</v>
      </c>
      <c r="G19">
        <v>8.3174276899999983E-2</v>
      </c>
      <c r="H19">
        <v>0.1270758068</v>
      </c>
      <c r="I19">
        <v>1.4709417150000001E-3</v>
      </c>
      <c r="J19">
        <v>8.7674085399999969E-3</v>
      </c>
      <c r="K19">
        <v>7.6319439490000009</v>
      </c>
      <c r="L19">
        <v>1.297362618</v>
      </c>
      <c r="M19">
        <v>2.1212827020000002E-3</v>
      </c>
      <c r="N19">
        <v>0.27201406830000002</v>
      </c>
      <c r="O19">
        <v>4.9905555509999998E-3</v>
      </c>
      <c r="P19">
        <v>1.866666712E-4</v>
      </c>
      <c r="Q19">
        <v>4.0988930709999998E-4</v>
      </c>
      <c r="R19">
        <v>1.424984692E-2</v>
      </c>
      <c r="S19">
        <v>0.1808970422</v>
      </c>
      <c r="T19">
        <v>0.25665266689999999</v>
      </c>
      <c r="U19">
        <v>0</v>
      </c>
      <c r="V19">
        <v>20.314617551000001</v>
      </c>
      <c r="W19">
        <v>0</v>
      </c>
      <c r="Y19" t="str">
        <f>$A19 &amp; Keys!$C$8 &amp; $B19</f>
        <v>Arizona|buildings SO2</v>
      </c>
      <c r="Z19" s="8">
        <f>IFERROR(INDEX($U19:$W19, MATCH(INDEX(Runs!$D:$D, MATCH($B19, Runs!$A:$A, 0)), $U$1:$W$1, 0)), 0)</f>
        <v>20.314617551000001</v>
      </c>
      <c r="AA19" s="8">
        <f t="shared" si="0"/>
        <v>1.1362483365513203E-3</v>
      </c>
      <c r="AB19" s="8">
        <f>IFERROR(VLOOKUP(INDEX(Runs!$F:$F, MATCH($B19, Runs!$A:$A, 0)), US_national_yearly!$D:$AM, MATCH(Keys!$C$7, US_national_yearly!$D$1:$AM$1, 0), FALSE), 0)</f>
        <v>5.1581943281164694E-3</v>
      </c>
      <c r="AC19" s="8">
        <f t="shared" si="1"/>
        <v>0.22028025007856283</v>
      </c>
      <c r="AD19">
        <f>IF($Z19&lt;Keys!$C$3, 1, 0)</f>
        <v>0</v>
      </c>
      <c r="AE19">
        <f>IF($AC19&gt;Keys!$C$4, 1, 0)</f>
        <v>0</v>
      </c>
      <c r="AF19">
        <f>IF($AC19&lt;Keys!$C$5, 1, 0)</f>
        <v>0</v>
      </c>
      <c r="AG19">
        <f t="shared" si="2"/>
        <v>0</v>
      </c>
      <c r="AH19" t="str">
        <f>IFERROR(INDEX(Runs!$E:$E, MATCH($B19, Runs!$A:$A, 0)), $B19)</f>
        <v>Industry SO2</v>
      </c>
      <c r="AI19" t="str">
        <f t="shared" si="3"/>
        <v>buildings SO2</v>
      </c>
      <c r="AJ19" t="str">
        <f>IF($AG19=1, IF($AD19=1, Keys!$C$9, "") &amp; IF($AE19=1, Keys!$C$10, "") &amp; IF($AF19=1, Keys!$C$11, ""), "")</f>
        <v/>
      </c>
      <c r="AK19">
        <f>IF($AG19=1, IFERROR(INDEX($AG$2:$AG$577, MATCH($A19 &amp; Keys!$C$8 &amp; $AH19, $Y$2:$Y$577, 0)), 1), 0)</f>
        <v>0</v>
      </c>
    </row>
    <row r="20" spans="1:37" x14ac:dyDescent="0.25">
      <c r="A20" t="s">
        <v>79</v>
      </c>
      <c r="B20" t="s">
        <v>249</v>
      </c>
      <c r="C20">
        <v>15</v>
      </c>
      <c r="D20">
        <v>3.4199012600000001</v>
      </c>
      <c r="E20">
        <v>8.9933179099999996E-3</v>
      </c>
      <c r="F20">
        <v>9.1620544729999995</v>
      </c>
      <c r="G20">
        <v>12.338036665000001</v>
      </c>
      <c r="H20">
        <v>18.850425953999999</v>
      </c>
      <c r="I20">
        <v>0.214732794</v>
      </c>
      <c r="J20">
        <v>1.298462282</v>
      </c>
      <c r="K20">
        <v>1123.254969392</v>
      </c>
      <c r="L20">
        <v>190.92428101300001</v>
      </c>
      <c r="M20">
        <v>0.30613677100000009</v>
      </c>
      <c r="N20">
        <v>40.350517091999997</v>
      </c>
      <c r="O20">
        <v>0.71114132799999996</v>
      </c>
      <c r="P20">
        <v>2.7643318279999999E-2</v>
      </c>
      <c r="Q20">
        <v>5.8317658199999997E-2</v>
      </c>
      <c r="R20">
        <v>2.1102465430000001</v>
      </c>
      <c r="S20">
        <v>26.792254066999998</v>
      </c>
      <c r="T20">
        <v>38.020979171</v>
      </c>
      <c r="U20">
        <v>0</v>
      </c>
      <c r="V20">
        <v>0</v>
      </c>
      <c r="W20">
        <v>11340.244125629</v>
      </c>
      <c r="Y20" t="str">
        <f>$A20 &amp; Keys!$C$8 &amp; $B20</f>
        <v>Arizona|electricity NO2</v>
      </c>
      <c r="Z20" s="8">
        <f>IFERROR(INDEX($U20:$W20, MATCH(INDEX(Runs!$D:$D, MATCH($B20, Runs!$A:$A, 0)), $U$1:$W$1, 0)), 0)</f>
        <v>11340.244125629</v>
      </c>
      <c r="AA20" s="8">
        <f t="shared" si="0"/>
        <v>3.0157210216233426E-4</v>
      </c>
      <c r="AB20" s="8">
        <f>IFERROR(VLOOKUP(INDEX(Runs!$F:$F, MATCH($B20, Runs!$A:$A, 0)), US_national_yearly!$D:$AM, MATCH(Keys!$C$7, US_national_yearly!$D$1:$AM$1, 0), FALSE), 0)</f>
        <v>6.1439221592658041E-3</v>
      </c>
      <c r="AC20" s="8">
        <f t="shared" si="1"/>
        <v>4.9084622875230563E-2</v>
      </c>
      <c r="AD20">
        <f>IF($Z20&lt;Keys!$C$3, 1, 0)</f>
        <v>0</v>
      </c>
      <c r="AE20">
        <f>IF($AC20&gt;Keys!$C$4, 1, 0)</f>
        <v>0</v>
      </c>
      <c r="AF20">
        <f>IF($AC20&lt;Keys!$C$5, 1, 0)</f>
        <v>0</v>
      </c>
      <c r="AG20">
        <f t="shared" si="2"/>
        <v>0</v>
      </c>
      <c r="AH20" t="str">
        <f>IFERROR(INDEX(Runs!$E:$E, MATCH($B20, Runs!$A:$A, 0)), $B20)</f>
        <v>Industry NO2</v>
      </c>
      <c r="AI20" t="str">
        <f t="shared" si="3"/>
        <v>electricity NO2</v>
      </c>
      <c r="AJ20" t="str">
        <f>IF($AG20=1, IF($AD20=1, Keys!$C$9, "") &amp; IF($AE20=1, Keys!$C$10, "") &amp; IF($AF20=1, Keys!$C$11, ""), "")</f>
        <v/>
      </c>
      <c r="AK20">
        <f>IF($AG20=1, IFERROR(INDEX($AG$2:$AG$577, MATCH($A20 &amp; Keys!$C$8 &amp; $AH20, $Y$2:$Y$577, 0)), 1), 0)</f>
        <v>0</v>
      </c>
    </row>
    <row r="21" spans="1:37" x14ac:dyDescent="0.25">
      <c r="A21" t="s">
        <v>79</v>
      </c>
      <c r="B21" t="s">
        <v>247</v>
      </c>
      <c r="C21">
        <v>15</v>
      </c>
      <c r="D21">
        <v>5.291872133</v>
      </c>
      <c r="E21">
        <v>1.560460969E-2</v>
      </c>
      <c r="F21">
        <v>15.401394250999999</v>
      </c>
      <c r="G21">
        <v>20.740190141999999</v>
      </c>
      <c r="H21">
        <v>31.687574124000001</v>
      </c>
      <c r="I21">
        <v>0.33468913699999991</v>
      </c>
      <c r="J21">
        <v>2.0555837270000001</v>
      </c>
      <c r="K21">
        <v>1883.749644514</v>
      </c>
      <c r="L21">
        <v>320.52241779600001</v>
      </c>
      <c r="M21">
        <v>0.49618983499999991</v>
      </c>
      <c r="N21">
        <v>67.829158516999996</v>
      </c>
      <c r="O21">
        <v>1.242533503</v>
      </c>
      <c r="P21">
        <v>4.6123006619999997E-2</v>
      </c>
      <c r="Q21">
        <v>9.4773820800000005E-2</v>
      </c>
      <c r="R21">
        <v>3.5601366570000001</v>
      </c>
      <c r="S21">
        <v>45.192179086999992</v>
      </c>
      <c r="T21">
        <v>64.113685940000011</v>
      </c>
      <c r="U21">
        <v>1020.996572558</v>
      </c>
      <c r="V21">
        <v>0</v>
      </c>
      <c r="W21">
        <v>0</v>
      </c>
      <c r="Y21" t="str">
        <f>$A21 &amp; Keys!$C$8 &amp; $B21</f>
        <v>Arizona|electricity PM25</v>
      </c>
      <c r="Z21" s="8">
        <f>IFERROR(INDEX($U21:$W21, MATCH(INDEX(Runs!$D:$D, MATCH($B21, Runs!$A:$A, 0)), $U$1:$W$1, 0)), 0)</f>
        <v>1020.996572558</v>
      </c>
      <c r="AA21" s="8">
        <f t="shared" si="0"/>
        <v>5.1830459329963944E-3</v>
      </c>
      <c r="AB21" s="8">
        <f>IFERROR(VLOOKUP(INDEX(Runs!$F:$F, MATCH($B21, Runs!$A:$A, 0)), US_national_yearly!$D:$AM, MATCH(Keys!$C$7, US_national_yearly!$D$1:$AM$1, 0), FALSE), 0)</f>
        <v>2.4252978284752182E-2</v>
      </c>
      <c r="AC21" s="8">
        <f t="shared" si="1"/>
        <v>0.21370760622232401</v>
      </c>
      <c r="AD21">
        <f>IF($Z21&lt;Keys!$C$3, 1, 0)</f>
        <v>0</v>
      </c>
      <c r="AE21">
        <f>IF($AC21&gt;Keys!$C$4, 1, 0)</f>
        <v>0</v>
      </c>
      <c r="AF21">
        <f>IF($AC21&lt;Keys!$C$5, 1, 0)</f>
        <v>0</v>
      </c>
      <c r="AG21">
        <f t="shared" si="2"/>
        <v>0</v>
      </c>
      <c r="AH21" t="str">
        <f>IFERROR(INDEX(Runs!$E:$E, MATCH($B21, Runs!$A:$A, 0)), $B21)</f>
        <v>Industry PM25</v>
      </c>
      <c r="AI21" t="str">
        <f t="shared" si="3"/>
        <v>electricity PM25</v>
      </c>
      <c r="AJ21" t="str">
        <f>IF($AG21=1, IF($AD21=1, Keys!$C$9, "") &amp; IF($AE21=1, Keys!$C$10, "") &amp; IF($AF21=1, Keys!$C$11, ""), "")</f>
        <v/>
      </c>
      <c r="AK21">
        <f>IF($AG21=1, IFERROR(INDEX($AG$2:$AG$577, MATCH($A21 &amp; Keys!$C$8 &amp; $AH21, $Y$2:$Y$577, 0)), 1), 0)</f>
        <v>0</v>
      </c>
    </row>
    <row r="22" spans="1:37" x14ac:dyDescent="0.25">
      <c r="A22" t="s">
        <v>79</v>
      </c>
      <c r="B22" t="s">
        <v>250</v>
      </c>
      <c r="C22">
        <v>15</v>
      </c>
      <c r="D22">
        <v>6.7556002870000009</v>
      </c>
      <c r="E22">
        <v>1.95843066E-2</v>
      </c>
      <c r="F22">
        <v>19.449664720000001</v>
      </c>
      <c r="G22">
        <v>26.191752964999999</v>
      </c>
      <c r="H22">
        <v>40.016712376000001</v>
      </c>
      <c r="I22">
        <v>0.42498437899999991</v>
      </c>
      <c r="J22">
        <v>2.6085043460000001</v>
      </c>
      <c r="K22">
        <v>2384.4059982859999</v>
      </c>
      <c r="L22">
        <v>405.70715856700002</v>
      </c>
      <c r="M22">
        <v>0.63016121400000014</v>
      </c>
      <c r="N22">
        <v>85.658130061000008</v>
      </c>
      <c r="O22">
        <v>1.5708163209999999</v>
      </c>
      <c r="P22">
        <v>5.8557263700000008E-2</v>
      </c>
      <c r="Q22">
        <v>0.1199780911</v>
      </c>
      <c r="R22">
        <v>4.4933845669999988</v>
      </c>
      <c r="S22">
        <v>57.041201006999991</v>
      </c>
      <c r="T22">
        <v>80.930208429000018</v>
      </c>
      <c r="U22">
        <v>0</v>
      </c>
      <c r="V22">
        <v>7545.3637244500014</v>
      </c>
      <c r="W22">
        <v>0</v>
      </c>
      <c r="Y22" t="str">
        <f>$A22 &amp; Keys!$C$8 &amp; $B22</f>
        <v>Arizona|electricity SO2</v>
      </c>
      <c r="Z22" s="8">
        <f>IFERROR(INDEX($U22:$W22, MATCH(INDEX(Runs!$D:$D, MATCH($B22, Runs!$A:$A, 0)), $U$1:$W$1, 0)), 0)</f>
        <v>7545.3637244500014</v>
      </c>
      <c r="AA22" s="8">
        <f t="shared" si="0"/>
        <v>8.9533129663572734E-4</v>
      </c>
      <c r="AB22" s="8">
        <f>IFERROR(VLOOKUP(INDEX(Runs!$F:$F, MATCH($B22, Runs!$A:$A, 0)), US_national_yearly!$D:$AM, MATCH(Keys!$C$7, US_national_yearly!$D$1:$AM$1, 0), FALSE), 0)</f>
        <v>5.7032329662362116E-3</v>
      </c>
      <c r="AC22" s="8">
        <f t="shared" si="1"/>
        <v>0.1569866252941429</v>
      </c>
      <c r="AD22">
        <f>IF($Z22&lt;Keys!$C$3, 1, 0)</f>
        <v>0</v>
      </c>
      <c r="AE22">
        <f>IF($AC22&gt;Keys!$C$4, 1, 0)</f>
        <v>0</v>
      </c>
      <c r="AF22">
        <f>IF($AC22&lt;Keys!$C$5, 1, 0)</f>
        <v>0</v>
      </c>
      <c r="AG22">
        <f t="shared" si="2"/>
        <v>0</v>
      </c>
      <c r="AH22" t="str">
        <f>IFERROR(INDEX(Runs!$E:$E, MATCH($B22, Runs!$A:$A, 0)), $B22)</f>
        <v>Industry SO2</v>
      </c>
      <c r="AI22" t="str">
        <f t="shared" si="3"/>
        <v>electricity SO2</v>
      </c>
      <c r="AJ22" t="str">
        <f>IF($AG22=1, IF($AD22=1, Keys!$C$9, "") &amp; IF($AE22=1, Keys!$C$10, "") &amp; IF($AF22=1, Keys!$C$11, ""), "")</f>
        <v/>
      </c>
      <c r="AK22">
        <f>IF($AG22=1, IFERROR(INDEX($AG$2:$AG$577, MATCH($A22 &amp; Keys!$C$8 &amp; $AH22, $Y$2:$Y$577, 0)), 1), 0)</f>
        <v>0</v>
      </c>
    </row>
    <row r="23" spans="1:37" x14ac:dyDescent="0.25">
      <c r="A23" t="s">
        <v>79</v>
      </c>
      <c r="B23" t="s">
        <v>239</v>
      </c>
      <c r="C23">
        <v>15</v>
      </c>
      <c r="D23">
        <v>105.415647605</v>
      </c>
      <c r="E23">
        <v>0.30327892729999989</v>
      </c>
      <c r="F23">
        <v>302.35489382399999</v>
      </c>
      <c r="G23">
        <v>407.146680355</v>
      </c>
      <c r="H23">
        <v>622.11549995399992</v>
      </c>
      <c r="I23">
        <v>6.6645411579999996</v>
      </c>
      <c r="J23">
        <v>40.746700758999999</v>
      </c>
      <c r="K23">
        <v>37123.839106372987</v>
      </c>
      <c r="L23">
        <v>6317.951585926</v>
      </c>
      <c r="M23">
        <v>9.8489347560000002</v>
      </c>
      <c r="N23">
        <v>1331.617074133</v>
      </c>
      <c r="O23">
        <v>24.454058073999999</v>
      </c>
      <c r="P23">
        <v>0.91053065739999983</v>
      </c>
      <c r="Q23">
        <v>1.8702585620000001</v>
      </c>
      <c r="R23">
        <v>69.71235363800001</v>
      </c>
      <c r="S23">
        <v>885.39140732400006</v>
      </c>
      <c r="T23">
        <v>1257.975751601</v>
      </c>
      <c r="U23">
        <v>0</v>
      </c>
      <c r="V23">
        <v>0</v>
      </c>
      <c r="W23">
        <v>78089.063167799992</v>
      </c>
      <c r="Y23" t="str">
        <f>$A23 &amp; Keys!$C$8 &amp; $B23</f>
        <v>Arizona|transportation NO2</v>
      </c>
      <c r="Z23" s="8">
        <f>IFERROR(INDEX($U23:$W23, MATCH(INDEX(Runs!$D:$D, MATCH($B23, Runs!$A:$A, 0)), $U$1:$W$1, 0)), 0)</f>
        <v>78089.063167799992</v>
      </c>
      <c r="AA23" s="8">
        <f t="shared" si="0"/>
        <v>1.3499412507802773E-3</v>
      </c>
      <c r="AB23" s="8">
        <f>IFERROR(VLOOKUP(INDEX(Runs!$F:$F, MATCH($B23, Runs!$A:$A, 0)), US_national_yearly!$D:$AM, MATCH(Keys!$C$7, US_national_yearly!$D$1:$AM$1, 0), FALSE), 0)</f>
        <v>5.7148835886332216E-3</v>
      </c>
      <c r="AC23" s="8">
        <f t="shared" si="1"/>
        <v>0.23621500418053676</v>
      </c>
      <c r="AD23">
        <f>IF($Z23&lt;Keys!$C$3, 1, 0)</f>
        <v>0</v>
      </c>
      <c r="AE23">
        <f>IF($AC23&gt;Keys!$C$4, 1, 0)</f>
        <v>0</v>
      </c>
      <c r="AF23">
        <f>IF($AC23&lt;Keys!$C$5, 1, 0)</f>
        <v>0</v>
      </c>
      <c r="AG23">
        <f t="shared" si="2"/>
        <v>0</v>
      </c>
      <c r="AH23" t="str">
        <f>IFERROR(INDEX(Runs!$E:$E, MATCH($B23, Runs!$A:$A, 0)), $B23)</f>
        <v>Industry NO2</v>
      </c>
      <c r="AI23" t="str">
        <f t="shared" si="3"/>
        <v>transportation NO2</v>
      </c>
      <c r="AJ23" t="str">
        <f>IF($AG23=1, IF($AD23=1, Keys!$C$9, "") &amp; IF($AE23=1, Keys!$C$10, "") &amp; IF($AF23=1, Keys!$C$11, ""), "")</f>
        <v/>
      </c>
      <c r="AK23">
        <f>IF($AG23=1, IFERROR(INDEX($AG$2:$AG$577, MATCH($A23 &amp; Keys!$C$8 &amp; $AH23, $Y$2:$Y$577, 0)), 1), 0)</f>
        <v>0</v>
      </c>
    </row>
    <row r="24" spans="1:37" x14ac:dyDescent="0.25">
      <c r="A24" t="s">
        <v>79</v>
      </c>
      <c r="B24" t="s">
        <v>234</v>
      </c>
      <c r="C24">
        <v>15</v>
      </c>
      <c r="D24">
        <v>31.517940368000001</v>
      </c>
      <c r="E24">
        <v>9.1177432799999986E-2</v>
      </c>
      <c r="F24">
        <v>90.850391823999985</v>
      </c>
      <c r="G24">
        <v>122.341694828</v>
      </c>
      <c r="H24">
        <v>186.92287004100001</v>
      </c>
      <c r="I24">
        <v>1.991585215</v>
      </c>
      <c r="J24">
        <v>12.189777257999999</v>
      </c>
      <c r="K24">
        <v>11163.121379611001</v>
      </c>
      <c r="L24">
        <v>1899.6482426140001</v>
      </c>
      <c r="M24">
        <v>2.9486410049999998</v>
      </c>
      <c r="N24">
        <v>400.11495669300001</v>
      </c>
      <c r="O24">
        <v>7.3545005459999988</v>
      </c>
      <c r="P24">
        <v>0.27413002669999997</v>
      </c>
      <c r="Q24">
        <v>0.56045342230000006</v>
      </c>
      <c r="R24">
        <v>20.975882499000001</v>
      </c>
      <c r="S24">
        <v>266.30833357900002</v>
      </c>
      <c r="T24">
        <v>377.96962897499998</v>
      </c>
      <c r="U24">
        <v>1791.3096369289999</v>
      </c>
      <c r="V24">
        <v>0</v>
      </c>
      <c r="W24">
        <v>0</v>
      </c>
      <c r="Y24" t="str">
        <f>$A24 &amp; Keys!$C$8 &amp; $B24</f>
        <v>Arizona|transportation PM25</v>
      </c>
      <c r="Z24" s="8">
        <f>IFERROR(INDEX($U24:$W24, MATCH(INDEX(Runs!$D:$D, MATCH($B24, Runs!$A:$A, 0)), $U$1:$W$1, 0)), 0)</f>
        <v>1791.3096369289999</v>
      </c>
      <c r="AA24" s="8">
        <f t="shared" si="0"/>
        <v>1.7594914758586343E-2</v>
      </c>
      <c r="AB24" s="8">
        <f>IFERROR(VLOOKUP(INDEX(Runs!$F:$F, MATCH($B24, Runs!$A:$A, 0)), US_national_yearly!$D:$AM, MATCH(Keys!$C$7, US_national_yearly!$D$1:$AM$1, 0), FALSE), 0)</f>
        <v>2.8248683697579859E-2</v>
      </c>
      <c r="AC24" s="8">
        <f t="shared" si="1"/>
        <v>0.62285786293446821</v>
      </c>
      <c r="AD24">
        <f>IF($Z24&lt;Keys!$C$3, 1, 0)</f>
        <v>0</v>
      </c>
      <c r="AE24">
        <f>IF($AC24&gt;Keys!$C$4, 1, 0)</f>
        <v>0</v>
      </c>
      <c r="AF24">
        <f>IF($AC24&lt;Keys!$C$5, 1, 0)</f>
        <v>0</v>
      </c>
      <c r="AG24">
        <f t="shared" si="2"/>
        <v>0</v>
      </c>
      <c r="AH24" t="str">
        <f>IFERROR(INDEX(Runs!$E:$E, MATCH($B24, Runs!$A:$A, 0)), $B24)</f>
        <v>Industry PM25</v>
      </c>
      <c r="AI24" t="str">
        <f t="shared" si="3"/>
        <v>transportation PM25</v>
      </c>
      <c r="AJ24" t="str">
        <f>IF($AG24=1, IF($AD24=1, Keys!$C$9, "") &amp; IF($AE24=1, Keys!$C$10, "") &amp; IF($AF24=1, Keys!$C$11, ""), "")</f>
        <v/>
      </c>
      <c r="AK24">
        <f>IF($AG24=1, IFERROR(INDEX($AG$2:$AG$577, MATCH($A24 &amp; Keys!$C$8 &amp; $AH24, $Y$2:$Y$577, 0)), 1), 0)</f>
        <v>0</v>
      </c>
    </row>
    <row r="25" spans="1:37" x14ac:dyDescent="0.25">
      <c r="A25" t="s">
        <v>79</v>
      </c>
      <c r="B25" t="s">
        <v>243</v>
      </c>
      <c r="C25">
        <v>15</v>
      </c>
      <c r="D25">
        <v>1.6871146480000001</v>
      </c>
      <c r="E25">
        <v>4.9622993399999994E-3</v>
      </c>
      <c r="F25">
        <v>4.9186264019999992</v>
      </c>
      <c r="G25">
        <v>6.6236476240000002</v>
      </c>
      <c r="H25">
        <v>10.119798676</v>
      </c>
      <c r="I25">
        <v>0.1062281373</v>
      </c>
      <c r="J25">
        <v>0.6532436652000001</v>
      </c>
      <c r="K25">
        <v>603.97139979500002</v>
      </c>
      <c r="L25">
        <v>102.791025594</v>
      </c>
      <c r="M25">
        <v>0.15866848089999999</v>
      </c>
      <c r="N25">
        <v>21.662072702</v>
      </c>
      <c r="O25">
        <v>0.40075143860000012</v>
      </c>
      <c r="P25">
        <v>1.4846489690000001E-2</v>
      </c>
      <c r="Q25">
        <v>3.016568608E-2</v>
      </c>
      <c r="R25">
        <v>1.1369621270000001</v>
      </c>
      <c r="S25">
        <v>14.432519635</v>
      </c>
      <c r="T25">
        <v>20.474775999000009</v>
      </c>
      <c r="U25">
        <v>0</v>
      </c>
      <c r="V25">
        <v>581.68930013900001</v>
      </c>
      <c r="W25">
        <v>0</v>
      </c>
      <c r="Y25" t="str">
        <f>$A25 &amp; Keys!$C$8 &amp; $B25</f>
        <v>Arizona|transportation SO2</v>
      </c>
      <c r="Z25" s="8">
        <f>IFERROR(INDEX($U25:$W25, MATCH(INDEX(Runs!$D:$D, MATCH($B25, Runs!$A:$A, 0)), $U$1:$W$1, 0)), 0)</f>
        <v>581.68930013900001</v>
      </c>
      <c r="AA25" s="8">
        <f t="shared" si="0"/>
        <v>2.9003707780027046E-3</v>
      </c>
      <c r="AB25" s="8">
        <f>IFERROR(VLOOKUP(INDEX(Runs!$F:$F, MATCH($B25, Runs!$A:$A, 0)), US_national_yearly!$D:$AM, MATCH(Keys!$C$7, US_national_yearly!$D$1:$AM$1, 0), FALSE), 0)</f>
        <v>5.1800714166247604E-3</v>
      </c>
      <c r="AC25" s="8">
        <f t="shared" si="1"/>
        <v>0.55990941914320802</v>
      </c>
      <c r="AD25">
        <f>IF($Z25&lt;Keys!$C$3, 1, 0)</f>
        <v>0</v>
      </c>
      <c r="AE25">
        <f>IF($AC25&gt;Keys!$C$4, 1, 0)</f>
        <v>0</v>
      </c>
      <c r="AF25">
        <f>IF($AC25&lt;Keys!$C$5, 1, 0)</f>
        <v>0</v>
      </c>
      <c r="AG25">
        <f t="shared" si="2"/>
        <v>0</v>
      </c>
      <c r="AH25" t="str">
        <f>IFERROR(INDEX(Runs!$E:$E, MATCH($B25, Runs!$A:$A, 0)), $B25)</f>
        <v>Industry SO2</v>
      </c>
      <c r="AI25" t="str">
        <f t="shared" si="3"/>
        <v>transportation SO2</v>
      </c>
      <c r="AJ25" t="str">
        <f>IF($AG25=1, IF($AD25=1, Keys!$C$9, "") &amp; IF($AE25=1, Keys!$C$10, "") &amp; IF($AF25=1, Keys!$C$11, ""), "")</f>
        <v/>
      </c>
      <c r="AK25">
        <f>IF($AG25=1, IFERROR(INDEX($AG$2:$AG$577, MATCH($A25 &amp; Keys!$C$8 &amp; $AH25, $Y$2:$Y$577, 0)), 1), 0)</f>
        <v>0</v>
      </c>
    </row>
    <row r="26" spans="1:37" x14ac:dyDescent="0.25">
      <c r="A26" t="s">
        <v>83</v>
      </c>
      <c r="B26" t="s">
        <v>242</v>
      </c>
      <c r="C26">
        <v>75</v>
      </c>
      <c r="D26">
        <v>3.1581747409999998</v>
      </c>
      <c r="E26">
        <v>7.796305049999998E-3</v>
      </c>
      <c r="F26">
        <v>6.5955161289999999</v>
      </c>
      <c r="G26">
        <v>8.8817875639999944</v>
      </c>
      <c r="H26">
        <v>13.569980048</v>
      </c>
      <c r="I26">
        <v>0.26963543400000012</v>
      </c>
      <c r="J26">
        <v>1.3341009989999999</v>
      </c>
      <c r="K26">
        <v>767.15123560100005</v>
      </c>
      <c r="L26">
        <v>128.56393619299999</v>
      </c>
      <c r="M26">
        <v>0.3438509079999999</v>
      </c>
      <c r="N26">
        <v>29.04728374099999</v>
      </c>
      <c r="O26">
        <v>0.48166226600000001</v>
      </c>
      <c r="P26">
        <v>1.197173296E-2</v>
      </c>
      <c r="Q26">
        <v>8.6957676000000012E-2</v>
      </c>
      <c r="R26">
        <v>1.5362991079999999</v>
      </c>
      <c r="S26">
        <v>19.616661642</v>
      </c>
      <c r="T26">
        <v>27.896941752999989</v>
      </c>
      <c r="U26">
        <v>0</v>
      </c>
      <c r="V26">
        <v>0</v>
      </c>
      <c r="W26">
        <v>24663.200313538011</v>
      </c>
      <c r="Y26" t="str">
        <f>$A26 &amp; Keys!$C$8 &amp; $B26</f>
        <v>Arkansas|Industry NO2</v>
      </c>
      <c r="Z26" s="8">
        <f>IFERROR(INDEX($U26:$W26, MATCH(INDEX(Runs!$D:$D, MATCH($B26, Runs!$A:$A, 0)), $U$1:$W$1, 0)), 0)</f>
        <v>24663.200313538011</v>
      </c>
      <c r="AA26" s="8">
        <f t="shared" si="0"/>
        <v>1.280521060061467E-4</v>
      </c>
      <c r="AB26" s="8">
        <f>IFERROR(VLOOKUP(INDEX(Runs!$F:$F, MATCH($B26, Runs!$A:$A, 0)), US_national_yearly!$D:$AM, MATCH(Keys!$C$7, US_national_yearly!$D$1:$AM$1, 0), FALSE), 0)</f>
        <v>5.8012217057786938E-3</v>
      </c>
      <c r="AC26" s="8">
        <f t="shared" si="1"/>
        <v>2.2073299815208211E-2</v>
      </c>
      <c r="AD26">
        <f>IF($Z26&lt;Keys!$C$3, 1, 0)</f>
        <v>0</v>
      </c>
      <c r="AE26">
        <f>IF($AC26&gt;Keys!$C$4, 1, 0)</f>
        <v>0</v>
      </c>
      <c r="AF26">
        <f>IF($AC26&lt;Keys!$C$5, 1, 0)</f>
        <v>0</v>
      </c>
      <c r="AG26">
        <f t="shared" si="2"/>
        <v>0</v>
      </c>
      <c r="AH26" t="str">
        <f>IFERROR(INDEX(Runs!$E:$E, MATCH($B26, Runs!$A:$A, 0)), $B26)</f>
        <v>Industry NO2</v>
      </c>
      <c r="AI26" t="str">
        <f t="shared" si="3"/>
        <v>Industry NO2</v>
      </c>
      <c r="AJ26" t="str">
        <f>IF($AG26=1, IF($AD26=1, Keys!$C$9, "") &amp; IF($AE26=1, Keys!$C$10, "") &amp; IF($AF26=1, Keys!$C$11, ""), "")</f>
        <v/>
      </c>
      <c r="AK26">
        <f>IF($AG26=1, IFERROR(INDEX($AG$2:$AG$577, MATCH($A26 &amp; Keys!$C$8 &amp; $AH26, $Y$2:$Y$577, 0)), 1), 0)</f>
        <v>0</v>
      </c>
    </row>
    <row r="27" spans="1:37" x14ac:dyDescent="0.25">
      <c r="A27" t="s">
        <v>83</v>
      </c>
      <c r="B27" t="s">
        <v>238</v>
      </c>
      <c r="C27">
        <v>75</v>
      </c>
      <c r="D27">
        <v>63.45150452899999</v>
      </c>
      <c r="E27">
        <v>0.18339434600000001</v>
      </c>
      <c r="F27">
        <v>151.05862553</v>
      </c>
      <c r="G27">
        <v>203.41120663699999</v>
      </c>
      <c r="H27">
        <v>310.81759829700002</v>
      </c>
      <c r="I27">
        <v>5.0318008779999994</v>
      </c>
      <c r="J27">
        <v>26.75495738299999</v>
      </c>
      <c r="K27">
        <v>17630.68080763</v>
      </c>
      <c r="L27">
        <v>2977.7845733489999</v>
      </c>
      <c r="M27">
        <v>7.0818912379999972</v>
      </c>
      <c r="N27">
        <v>665.28743046400007</v>
      </c>
      <c r="O27">
        <v>11.939952597</v>
      </c>
      <c r="P27">
        <v>0.29923704000000012</v>
      </c>
      <c r="Q27">
        <v>1.5833344859999989</v>
      </c>
      <c r="R27">
        <v>35.41528954599999</v>
      </c>
      <c r="S27">
        <v>451.38110465199992</v>
      </c>
      <c r="T27">
        <v>642.67722918100014</v>
      </c>
      <c r="U27">
        <v>10120.359052285999</v>
      </c>
      <c r="V27">
        <v>0</v>
      </c>
      <c r="W27">
        <v>0</v>
      </c>
      <c r="Y27" t="str">
        <f>$A27 &amp; Keys!$C$8 &amp; $B27</f>
        <v>Arkansas|Industry PM25</v>
      </c>
      <c r="Z27" s="8">
        <f>IFERROR(INDEX($U27:$W27, MATCH(INDEX(Runs!$D:$D, MATCH($B27, Runs!$A:$A, 0)), $U$1:$W$1, 0)), 0)</f>
        <v>10120.359052285999</v>
      </c>
      <c r="AA27" s="8">
        <f t="shared" si="0"/>
        <v>6.2696890694473421E-3</v>
      </c>
      <c r="AB27" s="8">
        <f>IFERROR(VLOOKUP(INDEX(Runs!$F:$F, MATCH($B27, Runs!$A:$A, 0)), US_national_yearly!$D:$AM, MATCH(Keys!$C$7, US_national_yearly!$D$1:$AM$1, 0), FALSE), 0)</f>
        <v>2.6833191881203179E-2</v>
      </c>
      <c r="AC27" s="8">
        <f t="shared" si="1"/>
        <v>0.23365424050946765</v>
      </c>
      <c r="AD27">
        <f>IF($Z27&lt;Keys!$C$3, 1, 0)</f>
        <v>0</v>
      </c>
      <c r="AE27">
        <f>IF($AC27&gt;Keys!$C$4, 1, 0)</f>
        <v>0</v>
      </c>
      <c r="AF27">
        <f>IF($AC27&lt;Keys!$C$5, 1, 0)</f>
        <v>0</v>
      </c>
      <c r="AG27">
        <f t="shared" si="2"/>
        <v>0</v>
      </c>
      <c r="AH27" t="str">
        <f>IFERROR(INDEX(Runs!$E:$E, MATCH($B27, Runs!$A:$A, 0)), $B27)</f>
        <v>Industry PM25</v>
      </c>
      <c r="AI27" t="str">
        <f t="shared" si="3"/>
        <v>Industry PM25</v>
      </c>
      <c r="AJ27" t="str">
        <f>IF($AG27=1, IF($AD27=1, Keys!$C$9, "") &amp; IF($AE27=1, Keys!$C$10, "") &amp; IF($AF27=1, Keys!$C$11, ""), "")</f>
        <v/>
      </c>
      <c r="AK27">
        <f>IF($AG27=1, IFERROR(INDEX($AG$2:$AG$577, MATCH($A27 &amp; Keys!$C$8 &amp; $AH27, $Y$2:$Y$577, 0)), 1), 0)</f>
        <v>0</v>
      </c>
    </row>
    <row r="28" spans="1:37" x14ac:dyDescent="0.25">
      <c r="A28" t="s">
        <v>83</v>
      </c>
      <c r="B28" t="s">
        <v>246</v>
      </c>
      <c r="C28">
        <v>75</v>
      </c>
      <c r="D28">
        <v>4.5506380290000008</v>
      </c>
      <c r="E28">
        <v>1.1774808669999999E-2</v>
      </c>
      <c r="F28">
        <v>9.8958679780000018</v>
      </c>
      <c r="G28">
        <v>13.326194149000001</v>
      </c>
      <c r="H28">
        <v>20.360266141</v>
      </c>
      <c r="I28">
        <v>0.36504728800000003</v>
      </c>
      <c r="J28">
        <v>1.875986197</v>
      </c>
      <c r="K28">
        <v>1159.065090563</v>
      </c>
      <c r="L28">
        <v>194.0354848719999</v>
      </c>
      <c r="M28">
        <v>0.48513660300000011</v>
      </c>
      <c r="N28">
        <v>43.582328267999998</v>
      </c>
      <c r="O28">
        <v>0.73674087600000004</v>
      </c>
      <c r="P28">
        <v>1.82361851E-2</v>
      </c>
      <c r="Q28">
        <v>0.1117827199999999</v>
      </c>
      <c r="R28">
        <v>2.3007791979999999</v>
      </c>
      <c r="S28">
        <v>29.448171721000008</v>
      </c>
      <c r="T28">
        <v>41.868292212000007</v>
      </c>
      <c r="U28">
        <v>0</v>
      </c>
      <c r="V28">
        <v>5670.730411851001</v>
      </c>
      <c r="W28">
        <v>0</v>
      </c>
      <c r="Y28" t="str">
        <f>$A28 &amp; Keys!$C$8 &amp; $B28</f>
        <v>Arkansas|Industry SO2</v>
      </c>
      <c r="Z28" s="8">
        <f>IFERROR(INDEX($U28:$W28, MATCH(INDEX(Runs!$D:$D, MATCH($B28, Runs!$A:$A, 0)), $U$1:$W$1, 0)), 0)</f>
        <v>5670.730411851001</v>
      </c>
      <c r="AA28" s="8">
        <f t="shared" si="0"/>
        <v>8.0247828736309341E-4</v>
      </c>
      <c r="AB28" s="8">
        <f>IFERROR(VLOOKUP(INDEX(Runs!$F:$F, MATCH($B28, Runs!$A:$A, 0)), US_national_yearly!$D:$AM, MATCH(Keys!$C$7, US_national_yearly!$D$1:$AM$1, 0), FALSE), 0)</f>
        <v>5.3000351638639942E-3</v>
      </c>
      <c r="AC28" s="8">
        <f t="shared" si="1"/>
        <v>0.15140999305711136</v>
      </c>
      <c r="AD28">
        <f>IF($Z28&lt;Keys!$C$3, 1, 0)</f>
        <v>0</v>
      </c>
      <c r="AE28">
        <f>IF($AC28&gt;Keys!$C$4, 1, 0)</f>
        <v>0</v>
      </c>
      <c r="AF28">
        <f>IF($AC28&lt;Keys!$C$5, 1, 0)</f>
        <v>0</v>
      </c>
      <c r="AG28">
        <f t="shared" si="2"/>
        <v>0</v>
      </c>
      <c r="AH28" t="str">
        <f>IFERROR(INDEX(Runs!$E:$E, MATCH($B28, Runs!$A:$A, 0)), $B28)</f>
        <v>Industry SO2</v>
      </c>
      <c r="AI28" t="str">
        <f t="shared" si="3"/>
        <v>Industry SO2</v>
      </c>
      <c r="AJ28" t="str">
        <f>IF($AG28=1, IF($AD28=1, Keys!$C$9, "") &amp; IF($AE28=1, Keys!$C$10, "") &amp; IF($AF28=1, Keys!$C$11, ""), "")</f>
        <v/>
      </c>
      <c r="AK28">
        <f>IF($AG28=1, IFERROR(INDEX($AG$2:$AG$577, MATCH($A28 &amp; Keys!$C$8 &amp; $AH28, $Y$2:$Y$577, 0)), 1), 0)</f>
        <v>0</v>
      </c>
    </row>
    <row r="29" spans="1:37" x14ac:dyDescent="0.25">
      <c r="A29" t="s">
        <v>83</v>
      </c>
      <c r="B29" t="s">
        <v>253</v>
      </c>
      <c r="C29">
        <v>75</v>
      </c>
      <c r="D29">
        <v>1.0976918090000001</v>
      </c>
      <c r="E29">
        <v>3.1267128099999992E-3</v>
      </c>
      <c r="F29">
        <v>2.5613988929999998</v>
      </c>
      <c r="G29">
        <v>3.4492961710000012</v>
      </c>
      <c r="H29">
        <v>5.269936780000001</v>
      </c>
      <c r="I29">
        <v>8.7646403999999997E-2</v>
      </c>
      <c r="J29">
        <v>0.44159501400000012</v>
      </c>
      <c r="K29">
        <v>299.80893955699997</v>
      </c>
      <c r="L29">
        <v>50.620452131</v>
      </c>
      <c r="M29">
        <v>0.1230117153</v>
      </c>
      <c r="N29">
        <v>11.280631844</v>
      </c>
      <c r="O29">
        <v>0.20794238300000001</v>
      </c>
      <c r="P29">
        <v>5.0903669699999994E-3</v>
      </c>
      <c r="Q29">
        <v>2.6779581E-2</v>
      </c>
      <c r="R29">
        <v>0.60168734999999973</v>
      </c>
      <c r="S29">
        <v>7.6643464360000024</v>
      </c>
      <c r="T29">
        <v>10.895340112</v>
      </c>
      <c r="U29">
        <v>0</v>
      </c>
      <c r="V29">
        <v>0</v>
      </c>
      <c r="W29">
        <v>3882.4781552429999</v>
      </c>
      <c r="Y29" t="str">
        <f>$A29 &amp; Keys!$C$8 &amp; $B29</f>
        <v>Arkansas|buildings NO2</v>
      </c>
      <c r="Z29" s="8">
        <f>IFERROR(INDEX($U29:$W29, MATCH(INDEX(Runs!$D:$D, MATCH($B29, Runs!$A:$A, 0)), $U$1:$W$1, 0)), 0)</f>
        <v>3882.4781552429999</v>
      </c>
      <c r="AA29" s="8">
        <f t="shared" si="0"/>
        <v>2.8272968065967051E-4</v>
      </c>
      <c r="AB29" s="8">
        <f>IFERROR(VLOOKUP(INDEX(Runs!$F:$F, MATCH($B29, Runs!$A:$A, 0)), US_national_yearly!$D:$AM, MATCH(Keys!$C$7, US_national_yearly!$D$1:$AM$1, 0), FALSE), 0)</f>
        <v>5.6784740124662739E-3</v>
      </c>
      <c r="AC29" s="8">
        <f t="shared" si="1"/>
        <v>4.9789728726234918E-2</v>
      </c>
      <c r="AD29">
        <f>IF($Z29&lt;Keys!$C$3, 1, 0)</f>
        <v>0</v>
      </c>
      <c r="AE29">
        <f>IF($AC29&gt;Keys!$C$4, 1, 0)</f>
        <v>0</v>
      </c>
      <c r="AF29">
        <f>IF($AC29&lt;Keys!$C$5, 1, 0)</f>
        <v>0</v>
      </c>
      <c r="AG29">
        <f t="shared" si="2"/>
        <v>0</v>
      </c>
      <c r="AH29" t="str">
        <f>IFERROR(INDEX(Runs!$E:$E, MATCH($B29, Runs!$A:$A, 0)), $B29)</f>
        <v>Industry NO2</v>
      </c>
      <c r="AI29" t="str">
        <f t="shared" si="3"/>
        <v>buildings NO2</v>
      </c>
      <c r="AJ29" t="str">
        <f>IF($AG29=1, IF($AD29=1, Keys!$C$9, "") &amp; IF($AE29=1, Keys!$C$10, "") &amp; IF($AF29=1, Keys!$C$11, ""), "")</f>
        <v/>
      </c>
      <c r="AK29">
        <f>IF($AG29=1, IFERROR(INDEX($AG$2:$AG$577, MATCH($A29 &amp; Keys!$C$8 &amp; $AH29, $Y$2:$Y$577, 0)), 1), 0)</f>
        <v>0</v>
      </c>
    </row>
    <row r="30" spans="1:37" x14ac:dyDescent="0.25">
      <c r="A30" t="s">
        <v>83</v>
      </c>
      <c r="B30" t="s">
        <v>251</v>
      </c>
      <c r="C30">
        <v>75</v>
      </c>
      <c r="D30">
        <v>6.8605561299999979E-2</v>
      </c>
      <c r="E30">
        <v>2.0134407520000001E-4</v>
      </c>
      <c r="F30">
        <v>0.16343229870000001</v>
      </c>
      <c r="G30">
        <v>0.220085578</v>
      </c>
      <c r="H30">
        <v>0.33625249499999987</v>
      </c>
      <c r="I30">
        <v>5.4534144699999992E-3</v>
      </c>
      <c r="J30">
        <v>2.7607172700000009E-2</v>
      </c>
      <c r="K30">
        <v>19.111534942000009</v>
      </c>
      <c r="L30">
        <v>3.2319577019999999</v>
      </c>
      <c r="M30">
        <v>7.7916447700000007E-3</v>
      </c>
      <c r="N30">
        <v>0.71977037169999991</v>
      </c>
      <c r="O30">
        <v>1.367170017E-2</v>
      </c>
      <c r="P30">
        <v>3.3056525400000002E-4</v>
      </c>
      <c r="Q30">
        <v>1.6589658569999999E-3</v>
      </c>
      <c r="R30">
        <v>3.8493652199999999E-2</v>
      </c>
      <c r="S30">
        <v>0.49002805500000002</v>
      </c>
      <c r="T30">
        <v>0.69656311700000006</v>
      </c>
      <c r="U30">
        <v>9.8764085159999979</v>
      </c>
      <c r="V30">
        <v>0</v>
      </c>
      <c r="W30">
        <v>0</v>
      </c>
      <c r="Y30" t="str">
        <f>$A30 &amp; Keys!$C$8 &amp; $B30</f>
        <v>Arkansas|buildings PM25</v>
      </c>
      <c r="Z30" s="8">
        <f>IFERROR(INDEX($U30:$W30, MATCH(INDEX(Runs!$D:$D, MATCH($B30, Runs!$A:$A, 0)), $U$1:$W$1, 0)), 0)</f>
        <v>9.8764085159999979</v>
      </c>
      <c r="AA30" s="8">
        <f t="shared" si="0"/>
        <v>6.9464078150329109E-3</v>
      </c>
      <c r="AB30" s="8">
        <f>IFERROR(VLOOKUP(INDEX(Runs!$F:$F, MATCH($B30, Runs!$A:$A, 0)), US_national_yearly!$D:$AM, MATCH(Keys!$C$7, US_national_yearly!$D$1:$AM$1, 0), FALSE), 0)</f>
        <v>2.7627705191843259E-2</v>
      </c>
      <c r="AC30" s="8">
        <f t="shared" si="1"/>
        <v>0.25142905524718545</v>
      </c>
      <c r="AD30">
        <f>IF($Z30&lt;Keys!$C$3, 1, 0)</f>
        <v>0</v>
      </c>
      <c r="AE30">
        <f>IF($AC30&gt;Keys!$C$4, 1, 0)</f>
        <v>0</v>
      </c>
      <c r="AF30">
        <f>IF($AC30&lt;Keys!$C$5, 1, 0)</f>
        <v>0</v>
      </c>
      <c r="AG30">
        <f t="shared" si="2"/>
        <v>0</v>
      </c>
      <c r="AH30" t="str">
        <f>IFERROR(INDEX(Runs!$E:$E, MATCH($B30, Runs!$A:$A, 0)), $B30)</f>
        <v>Industry PM25</v>
      </c>
      <c r="AI30" t="str">
        <f t="shared" si="3"/>
        <v>buildings PM25</v>
      </c>
      <c r="AJ30" t="str">
        <f>IF($AG30=1, IF($AD30=1, Keys!$C$9, "") &amp; IF($AE30=1, Keys!$C$10, "") &amp; IF($AF30=1, Keys!$C$11, ""), "")</f>
        <v/>
      </c>
      <c r="AK30">
        <f>IF($AG30=1, IFERROR(INDEX($AG$2:$AG$577, MATCH($A30 &amp; Keys!$C$8 &amp; $AH30, $Y$2:$Y$577, 0)), 1), 0)</f>
        <v>0</v>
      </c>
    </row>
    <row r="31" spans="1:37" x14ac:dyDescent="0.25">
      <c r="A31" t="s">
        <v>83</v>
      </c>
      <c r="B31" t="s">
        <v>254</v>
      </c>
      <c r="C31">
        <v>75</v>
      </c>
      <c r="D31">
        <v>1.6689231400000001E-2</v>
      </c>
      <c r="E31">
        <v>4.7367298099999989E-5</v>
      </c>
      <c r="F31">
        <v>3.8818590999999993E-2</v>
      </c>
      <c r="G31">
        <v>5.2274932599999997E-2</v>
      </c>
      <c r="H31">
        <v>7.9866998600000016E-2</v>
      </c>
      <c r="I31">
        <v>1.340740094E-3</v>
      </c>
      <c r="J31">
        <v>6.7279979599999991E-3</v>
      </c>
      <c r="K31">
        <v>4.5403883120000001</v>
      </c>
      <c r="L31">
        <v>0.766492756</v>
      </c>
      <c r="M31">
        <v>1.869198050000001E-3</v>
      </c>
      <c r="N31">
        <v>0.17096052219999999</v>
      </c>
      <c r="O31">
        <v>3.1555659500000009E-3</v>
      </c>
      <c r="P31">
        <v>7.7135696100000015E-5</v>
      </c>
      <c r="Q31">
        <v>4.1005719600000021E-4</v>
      </c>
      <c r="R31">
        <v>9.1230248300000014E-3</v>
      </c>
      <c r="S31">
        <v>0.11620978899999999</v>
      </c>
      <c r="T31">
        <v>0.16519644650000009</v>
      </c>
      <c r="U31">
        <v>0</v>
      </c>
      <c r="V31">
        <v>15.826576994</v>
      </c>
      <c r="W31">
        <v>0</v>
      </c>
      <c r="Y31" t="str">
        <f>$A31 &amp; Keys!$C$8 &amp; $B31</f>
        <v>Arkansas|buildings SO2</v>
      </c>
      <c r="Z31" s="8">
        <f>IFERROR(INDEX($U31:$W31, MATCH(INDEX(Runs!$D:$D, MATCH($B31, Runs!$A:$A, 0)), $U$1:$W$1, 0)), 0)</f>
        <v>15.826576994</v>
      </c>
      <c r="AA31" s="8">
        <f t="shared" si="0"/>
        <v>1.0545066950564889E-3</v>
      </c>
      <c r="AB31" s="8">
        <f>IFERROR(VLOOKUP(INDEX(Runs!$F:$F, MATCH($B31, Runs!$A:$A, 0)), US_national_yearly!$D:$AM, MATCH(Keys!$C$7, US_national_yearly!$D$1:$AM$1, 0), FALSE), 0)</f>
        <v>5.1581943281164694E-3</v>
      </c>
      <c r="AC31" s="8">
        <f t="shared" si="1"/>
        <v>0.20443330126368955</v>
      </c>
      <c r="AD31">
        <f>IF($Z31&lt;Keys!$C$3, 1, 0)</f>
        <v>0</v>
      </c>
      <c r="AE31">
        <f>IF($AC31&gt;Keys!$C$4, 1, 0)</f>
        <v>0</v>
      </c>
      <c r="AF31">
        <f>IF($AC31&lt;Keys!$C$5, 1, 0)</f>
        <v>0</v>
      </c>
      <c r="AG31">
        <f t="shared" si="2"/>
        <v>0</v>
      </c>
      <c r="AH31" t="str">
        <f>IFERROR(INDEX(Runs!$E:$E, MATCH($B31, Runs!$A:$A, 0)), $B31)</f>
        <v>Industry SO2</v>
      </c>
      <c r="AI31" t="str">
        <f t="shared" si="3"/>
        <v>buildings SO2</v>
      </c>
      <c r="AJ31" t="str">
        <f>IF($AG31=1, IF($AD31=1, Keys!$C$9, "") &amp; IF($AE31=1, Keys!$C$10, "") &amp; IF($AF31=1, Keys!$C$11, ""), "")</f>
        <v/>
      </c>
      <c r="AK31">
        <f>IF($AG31=1, IFERROR(INDEX($AG$2:$AG$577, MATCH($A31 &amp; Keys!$C$8 &amp; $AH31, $Y$2:$Y$577, 0)), 1), 0)</f>
        <v>0</v>
      </c>
    </row>
    <row r="32" spans="1:37" x14ac:dyDescent="0.25">
      <c r="A32" t="s">
        <v>83</v>
      </c>
      <c r="B32" t="s">
        <v>249</v>
      </c>
      <c r="C32">
        <v>75</v>
      </c>
      <c r="D32">
        <v>1.1903816570000001</v>
      </c>
      <c r="E32">
        <v>3.0914489900000001E-3</v>
      </c>
      <c r="F32">
        <v>2.5563766270000001</v>
      </c>
      <c r="G32">
        <v>3.442533491999999</v>
      </c>
      <c r="H32">
        <v>5.2596026599999997</v>
      </c>
      <c r="I32">
        <v>9.9536962100000015E-2</v>
      </c>
      <c r="J32">
        <v>0.47359278999999999</v>
      </c>
      <c r="K32">
        <v>297.52462335199999</v>
      </c>
      <c r="L32">
        <v>50.082449690999987</v>
      </c>
      <c r="M32">
        <v>0.12878996400000001</v>
      </c>
      <c r="N32">
        <v>11.258512779</v>
      </c>
      <c r="O32">
        <v>0.20155223799999991</v>
      </c>
      <c r="P32">
        <v>4.8138322900000002E-3</v>
      </c>
      <c r="Q32">
        <v>3.11150977E-2</v>
      </c>
      <c r="R32">
        <v>0.59910652300000033</v>
      </c>
      <c r="S32">
        <v>7.6290741319999977</v>
      </c>
      <c r="T32">
        <v>10.847159661999999</v>
      </c>
      <c r="U32">
        <v>0</v>
      </c>
      <c r="V32">
        <v>0</v>
      </c>
      <c r="W32">
        <v>11684.066456570001</v>
      </c>
      <c r="Y32" t="str">
        <f>$A32 &amp; Keys!$C$8 &amp; $B32</f>
        <v>Arkansas|electricity NO2</v>
      </c>
      <c r="Z32" s="8">
        <f>IFERROR(INDEX($U32:$W32, MATCH(INDEX(Runs!$D:$D, MATCH($B32, Runs!$A:$A, 0)), $U$1:$W$1, 0)), 0)</f>
        <v>11684.066456570001</v>
      </c>
      <c r="AA32" s="8">
        <f t="shared" si="0"/>
        <v>1.0188076740445475E-4</v>
      </c>
      <c r="AB32" s="8">
        <f>IFERROR(VLOOKUP(INDEX(Runs!$F:$F, MATCH($B32, Runs!$A:$A, 0)), US_national_yearly!$D:$AM, MATCH(Keys!$C$7, US_national_yearly!$D$1:$AM$1, 0), FALSE), 0)</f>
        <v>6.1439221592658041E-3</v>
      </c>
      <c r="AC32" s="8">
        <f t="shared" si="1"/>
        <v>1.6582366241539338E-2</v>
      </c>
      <c r="AD32">
        <f>IF($Z32&lt;Keys!$C$3, 1, 0)</f>
        <v>0</v>
      </c>
      <c r="AE32">
        <f>IF($AC32&gt;Keys!$C$4, 1, 0)</f>
        <v>0</v>
      </c>
      <c r="AF32">
        <f>IF($AC32&lt;Keys!$C$5, 1, 0)</f>
        <v>0</v>
      </c>
      <c r="AG32">
        <f t="shared" si="2"/>
        <v>0</v>
      </c>
      <c r="AH32" t="str">
        <f>IFERROR(INDEX(Runs!$E:$E, MATCH($B32, Runs!$A:$A, 0)), $B32)</f>
        <v>Industry NO2</v>
      </c>
      <c r="AI32" t="str">
        <f t="shared" si="3"/>
        <v>electricity NO2</v>
      </c>
      <c r="AJ32" t="str">
        <f>IF($AG32=1, IF($AD32=1, Keys!$C$9, "") &amp; IF($AE32=1, Keys!$C$10, "") &amp; IF($AF32=1, Keys!$C$11, ""), "")</f>
        <v/>
      </c>
      <c r="AK32">
        <f>IF($AG32=1, IFERROR(INDEX($AG$2:$AG$577, MATCH($A32 &amp; Keys!$C$8 &amp; $AH32, $Y$2:$Y$577, 0)), 1), 0)</f>
        <v>0</v>
      </c>
    </row>
    <row r="33" spans="1:37" x14ac:dyDescent="0.25">
      <c r="A33" t="s">
        <v>83</v>
      </c>
      <c r="B33" t="s">
        <v>247</v>
      </c>
      <c r="C33">
        <v>75</v>
      </c>
      <c r="D33">
        <v>0.80826581099999983</v>
      </c>
      <c r="E33">
        <v>2.142818119999999E-3</v>
      </c>
      <c r="F33">
        <v>1.770103006</v>
      </c>
      <c r="G33">
        <v>2.3837013539999998</v>
      </c>
      <c r="H33">
        <v>3.641888797</v>
      </c>
      <c r="I33">
        <v>6.6429416099999986E-2</v>
      </c>
      <c r="J33">
        <v>0.31755674399999989</v>
      </c>
      <c r="K33">
        <v>207.96470973999999</v>
      </c>
      <c r="L33">
        <v>35.066766981999997</v>
      </c>
      <c r="M33">
        <v>9.1632279600000033E-2</v>
      </c>
      <c r="N33">
        <v>7.7956931569999988</v>
      </c>
      <c r="O33">
        <v>0.1528800954</v>
      </c>
      <c r="P33">
        <v>3.39422007E-3</v>
      </c>
      <c r="Q33">
        <v>2.1000998400000009E-2</v>
      </c>
      <c r="R33">
        <v>0.41529537900000002</v>
      </c>
      <c r="S33">
        <v>5.288074507000001</v>
      </c>
      <c r="T33">
        <v>7.5187851920000011</v>
      </c>
      <c r="U33">
        <v>307.65452886600002</v>
      </c>
      <c r="V33">
        <v>0</v>
      </c>
      <c r="W33">
        <v>0</v>
      </c>
      <c r="Y33" t="str">
        <f>$A33 &amp; Keys!$C$8 &amp; $B33</f>
        <v>Arkansas|electricity PM25</v>
      </c>
      <c r="Z33" s="8">
        <f>IFERROR(INDEX($U33:$W33, MATCH(INDEX(Runs!$D:$D, MATCH($B33, Runs!$A:$A, 0)), $U$1:$W$1, 0)), 0)</f>
        <v>307.65452886600002</v>
      </c>
      <c r="AA33" s="8">
        <f t="shared" si="0"/>
        <v>2.6271864548174512E-3</v>
      </c>
      <c r="AB33" s="8">
        <f>IFERROR(VLOOKUP(INDEX(Runs!$F:$F, MATCH($B33, Runs!$A:$A, 0)), US_national_yearly!$D:$AM, MATCH(Keys!$C$7, US_national_yearly!$D$1:$AM$1, 0), FALSE), 0)</f>
        <v>2.4252978284752182E-2</v>
      </c>
      <c r="AC33" s="8">
        <f t="shared" si="1"/>
        <v>0.10832428182517939</v>
      </c>
      <c r="AD33">
        <f>IF($Z33&lt;Keys!$C$3, 1, 0)</f>
        <v>0</v>
      </c>
      <c r="AE33">
        <f>IF($AC33&gt;Keys!$C$4, 1, 0)</f>
        <v>0</v>
      </c>
      <c r="AF33">
        <f>IF($AC33&lt;Keys!$C$5, 1, 0)</f>
        <v>0</v>
      </c>
      <c r="AG33">
        <f t="shared" si="2"/>
        <v>0</v>
      </c>
      <c r="AH33" t="str">
        <f>IFERROR(INDEX(Runs!$E:$E, MATCH($B33, Runs!$A:$A, 0)), $B33)</f>
        <v>Industry PM25</v>
      </c>
      <c r="AI33" t="str">
        <f t="shared" si="3"/>
        <v>electricity PM25</v>
      </c>
      <c r="AJ33" t="str">
        <f>IF($AG33=1, IF($AD33=1, Keys!$C$9, "") &amp; IF($AE33=1, Keys!$C$10, "") &amp; IF($AF33=1, Keys!$C$11, ""), "")</f>
        <v/>
      </c>
      <c r="AK33">
        <f>IF($AG33=1, IFERROR(INDEX($AG$2:$AG$577, MATCH($A33 &amp; Keys!$C$8 &amp; $AH33, $Y$2:$Y$577, 0)), 1), 0)</f>
        <v>0</v>
      </c>
    </row>
    <row r="34" spans="1:37" x14ac:dyDescent="0.25">
      <c r="A34" t="s">
        <v>83</v>
      </c>
      <c r="B34" t="s">
        <v>250</v>
      </c>
      <c r="C34">
        <v>75</v>
      </c>
      <c r="D34">
        <v>0.90755431999999991</v>
      </c>
      <c r="E34">
        <v>2.38477337E-3</v>
      </c>
      <c r="F34">
        <v>1.994805645</v>
      </c>
      <c r="G34">
        <v>2.6862969310000002</v>
      </c>
      <c r="H34">
        <v>4.1042004920000004</v>
      </c>
      <c r="I34">
        <v>7.3935936799999991E-2</v>
      </c>
      <c r="J34">
        <v>0.36965814800000002</v>
      </c>
      <c r="K34">
        <v>232.75237533399999</v>
      </c>
      <c r="L34">
        <v>39.188650729999999</v>
      </c>
      <c r="M34">
        <v>0.1002222448</v>
      </c>
      <c r="N34">
        <v>8.785303068000001</v>
      </c>
      <c r="O34">
        <v>0.16049026199999991</v>
      </c>
      <c r="P34">
        <v>3.76994376E-3</v>
      </c>
      <c r="Q34">
        <v>2.30387365E-2</v>
      </c>
      <c r="R34">
        <v>0.46747982599999999</v>
      </c>
      <c r="S34">
        <v>5.9570452179999984</v>
      </c>
      <c r="T34">
        <v>8.4695271879999972</v>
      </c>
      <c r="U34">
        <v>0</v>
      </c>
      <c r="V34">
        <v>5665.026481128999</v>
      </c>
      <c r="W34">
        <v>0</v>
      </c>
      <c r="Y34" t="str">
        <f>$A34 &amp; Keys!$C$8 &amp; $B34</f>
        <v>Arkansas|electricity SO2</v>
      </c>
      <c r="Z34" s="8">
        <f>IFERROR(INDEX($U34:$W34, MATCH(INDEX(Runs!$D:$D, MATCH($B34, Runs!$A:$A, 0)), $U$1:$W$1, 0)), 0)</f>
        <v>5665.026481128999</v>
      </c>
      <c r="AA34" s="8">
        <f t="shared" si="0"/>
        <v>1.6020301458840328E-4</v>
      </c>
      <c r="AB34" s="8">
        <f>IFERROR(VLOOKUP(INDEX(Runs!$F:$F, MATCH($B34, Runs!$A:$A, 0)), US_national_yearly!$D:$AM, MATCH(Keys!$C$7, US_national_yearly!$D$1:$AM$1, 0), FALSE), 0)</f>
        <v>5.7032329662362116E-3</v>
      </c>
      <c r="AC34" s="8">
        <f t="shared" si="1"/>
        <v>2.8089859828070038E-2</v>
      </c>
      <c r="AD34">
        <f>IF($Z34&lt;Keys!$C$3, 1, 0)</f>
        <v>0</v>
      </c>
      <c r="AE34">
        <f>IF($AC34&gt;Keys!$C$4, 1, 0)</f>
        <v>0</v>
      </c>
      <c r="AF34">
        <f>IF($AC34&lt;Keys!$C$5, 1, 0)</f>
        <v>0</v>
      </c>
      <c r="AG34">
        <f t="shared" si="2"/>
        <v>0</v>
      </c>
      <c r="AH34" t="str">
        <f>IFERROR(INDEX(Runs!$E:$E, MATCH($B34, Runs!$A:$A, 0)), $B34)</f>
        <v>Industry SO2</v>
      </c>
      <c r="AI34" t="str">
        <f t="shared" si="3"/>
        <v>electricity SO2</v>
      </c>
      <c r="AJ34" t="str">
        <f>IF($AG34=1, IF($AD34=1, Keys!$C$9, "") &amp; IF($AE34=1, Keys!$C$10, "") &amp; IF($AF34=1, Keys!$C$11, ""), "")</f>
        <v/>
      </c>
      <c r="AK34">
        <f>IF($AG34=1, IFERROR(INDEX($AG$2:$AG$577, MATCH($A34 &amp; Keys!$C$8 &amp; $AH34, $Y$2:$Y$577, 0)), 1), 0)</f>
        <v>0</v>
      </c>
    </row>
    <row r="35" spans="1:37" x14ac:dyDescent="0.25">
      <c r="A35" t="s">
        <v>83</v>
      </c>
      <c r="B35" t="s">
        <v>239</v>
      </c>
      <c r="C35">
        <v>75</v>
      </c>
      <c r="D35">
        <v>13.826474934</v>
      </c>
      <c r="E35">
        <v>3.8901262599999993E-2</v>
      </c>
      <c r="F35">
        <v>31.689110460000009</v>
      </c>
      <c r="G35">
        <v>42.673512622999993</v>
      </c>
      <c r="H35">
        <v>65.199581490999989</v>
      </c>
      <c r="I35">
        <v>1.1112414669999999</v>
      </c>
      <c r="J35">
        <v>5.4991524750000007</v>
      </c>
      <c r="K35">
        <v>3699.9289626710001</v>
      </c>
      <c r="L35">
        <v>623.89931512800013</v>
      </c>
      <c r="M35">
        <v>1.518382590000001</v>
      </c>
      <c r="N35">
        <v>139.56220457399999</v>
      </c>
      <c r="O35">
        <v>2.5848841869999988</v>
      </c>
      <c r="P35">
        <v>6.1790240899999987E-2</v>
      </c>
      <c r="Q35">
        <v>0.34318594600000002</v>
      </c>
      <c r="R35">
        <v>7.4412808750000012</v>
      </c>
      <c r="S35">
        <v>94.856776472000021</v>
      </c>
      <c r="T35">
        <v>134.91271824399999</v>
      </c>
      <c r="U35">
        <v>0</v>
      </c>
      <c r="V35">
        <v>0</v>
      </c>
      <c r="W35">
        <v>52093.530954799993</v>
      </c>
      <c r="Y35" t="str">
        <f>$A35 &amp; Keys!$C$8 &amp; $B35</f>
        <v>Arkansas|transportation NO2</v>
      </c>
      <c r="Z35" s="8">
        <f>IFERROR(INDEX($U35:$W35, MATCH(INDEX(Runs!$D:$D, MATCH($B35, Runs!$A:$A, 0)), $U$1:$W$1, 0)), 0)</f>
        <v>52093.530954799993</v>
      </c>
      <c r="AA35" s="8">
        <f t="shared" si="0"/>
        <v>2.6541635171547156E-4</v>
      </c>
      <c r="AB35" s="8">
        <f>IFERROR(VLOOKUP(INDEX(Runs!$F:$F, MATCH($B35, Runs!$A:$A, 0)), US_national_yearly!$D:$AM, MATCH(Keys!$C$7, US_national_yearly!$D$1:$AM$1, 0), FALSE), 0)</f>
        <v>5.7148835886332216E-3</v>
      </c>
      <c r="AC35" s="8">
        <f t="shared" si="1"/>
        <v>4.6443002311259474E-2</v>
      </c>
      <c r="AD35">
        <f>IF($Z35&lt;Keys!$C$3, 1, 0)</f>
        <v>0</v>
      </c>
      <c r="AE35">
        <f>IF($AC35&gt;Keys!$C$4, 1, 0)</f>
        <v>0</v>
      </c>
      <c r="AF35">
        <f>IF($AC35&lt;Keys!$C$5, 1, 0)</f>
        <v>0</v>
      </c>
      <c r="AG35">
        <f t="shared" si="2"/>
        <v>0</v>
      </c>
      <c r="AH35" t="str">
        <f>IFERROR(INDEX(Runs!$E:$E, MATCH($B35, Runs!$A:$A, 0)), $B35)</f>
        <v>Industry NO2</v>
      </c>
      <c r="AI35" t="str">
        <f t="shared" si="3"/>
        <v>transportation NO2</v>
      </c>
      <c r="AJ35" t="str">
        <f>IF($AG35=1, IF($AD35=1, Keys!$C$9, "") &amp; IF($AE35=1, Keys!$C$10, "") &amp; IF($AF35=1, Keys!$C$11, ""), "")</f>
        <v/>
      </c>
      <c r="AK35">
        <f>IF($AG35=1, IFERROR(INDEX($AG$2:$AG$577, MATCH($A35 &amp; Keys!$C$8 &amp; $AH35, $Y$2:$Y$577, 0)), 1), 0)</f>
        <v>0</v>
      </c>
    </row>
    <row r="36" spans="1:37" x14ac:dyDescent="0.25">
      <c r="A36" t="s">
        <v>83</v>
      </c>
      <c r="B36" t="s">
        <v>234</v>
      </c>
      <c r="C36">
        <v>75</v>
      </c>
      <c r="D36">
        <v>8.2148733140000019</v>
      </c>
      <c r="E36">
        <v>2.397825973E-2</v>
      </c>
      <c r="F36">
        <v>19.354937955</v>
      </c>
      <c r="G36">
        <v>26.064044192000001</v>
      </c>
      <c r="H36">
        <v>39.822113704999992</v>
      </c>
      <c r="I36">
        <v>0.6545516720000002</v>
      </c>
      <c r="J36">
        <v>3.2832645799999991</v>
      </c>
      <c r="K36">
        <v>2260.7232898729999</v>
      </c>
      <c r="L36">
        <v>381.852430228</v>
      </c>
      <c r="M36">
        <v>0.91440664700000007</v>
      </c>
      <c r="N36">
        <v>85.241095852000001</v>
      </c>
      <c r="O36">
        <v>1.5985901280000001</v>
      </c>
      <c r="P36">
        <v>3.8623783699999997E-2</v>
      </c>
      <c r="Q36">
        <v>0.20212036500000011</v>
      </c>
      <c r="R36">
        <v>4.556619995000001</v>
      </c>
      <c r="S36">
        <v>58.049489985999998</v>
      </c>
      <c r="T36">
        <v>82.544227263999986</v>
      </c>
      <c r="U36">
        <v>1177.896883854</v>
      </c>
      <c r="V36">
        <v>0</v>
      </c>
      <c r="W36">
        <v>0</v>
      </c>
      <c r="Y36" t="str">
        <f>$A36 &amp; Keys!$C$8 &amp; $B36</f>
        <v>Arkansas|transportation PM25</v>
      </c>
      <c r="Z36" s="8">
        <f>IFERROR(INDEX($U36:$W36, MATCH(INDEX(Runs!$D:$D, MATCH($B36, Runs!$A:$A, 0)), $U$1:$W$1, 0)), 0)</f>
        <v>1177.896883854</v>
      </c>
      <c r="AA36" s="8">
        <f t="shared" si="0"/>
        <v>6.9741871522076577E-3</v>
      </c>
      <c r="AB36" s="8">
        <f>IFERROR(VLOOKUP(INDEX(Runs!$F:$F, MATCH($B36, Runs!$A:$A, 0)), US_national_yearly!$D:$AM, MATCH(Keys!$C$7, US_national_yearly!$D$1:$AM$1, 0), FALSE), 0)</f>
        <v>2.8248683697579859E-2</v>
      </c>
      <c r="AC36" s="8">
        <f t="shared" si="1"/>
        <v>0.24688538506327484</v>
      </c>
      <c r="AD36">
        <f>IF($Z36&lt;Keys!$C$3, 1, 0)</f>
        <v>0</v>
      </c>
      <c r="AE36">
        <f>IF($AC36&gt;Keys!$C$4, 1, 0)</f>
        <v>0</v>
      </c>
      <c r="AF36">
        <f>IF($AC36&lt;Keys!$C$5, 1, 0)</f>
        <v>0</v>
      </c>
      <c r="AG36">
        <f t="shared" si="2"/>
        <v>0</v>
      </c>
      <c r="AH36" t="str">
        <f>IFERROR(INDEX(Runs!$E:$E, MATCH($B36, Runs!$A:$A, 0)), $B36)</f>
        <v>Industry PM25</v>
      </c>
      <c r="AI36" t="str">
        <f t="shared" si="3"/>
        <v>transportation PM25</v>
      </c>
      <c r="AJ36" t="str">
        <f>IF($AG36=1, IF($AD36=1, Keys!$C$9, "") &amp; IF($AE36=1, Keys!$C$10, "") &amp; IF($AF36=1, Keys!$C$11, ""), "")</f>
        <v/>
      </c>
      <c r="AK36">
        <f>IF($AG36=1, IFERROR(INDEX($AG$2:$AG$577, MATCH($A36 &amp; Keys!$C$8 &amp; $AH36, $Y$2:$Y$577, 0)), 1), 0)</f>
        <v>0</v>
      </c>
    </row>
    <row r="37" spans="1:37" x14ac:dyDescent="0.25">
      <c r="A37" t="s">
        <v>83</v>
      </c>
      <c r="B37" t="s">
        <v>243</v>
      </c>
      <c r="C37">
        <v>75</v>
      </c>
      <c r="D37">
        <v>0.23864178899999999</v>
      </c>
      <c r="E37">
        <v>7.1561210000000016E-4</v>
      </c>
      <c r="F37">
        <v>0.57267125800000007</v>
      </c>
      <c r="G37">
        <v>0.77118571300000016</v>
      </c>
      <c r="H37">
        <v>1.178238356</v>
      </c>
      <c r="I37">
        <v>1.8769007300000001E-2</v>
      </c>
      <c r="J37">
        <v>9.4706534800000033E-2</v>
      </c>
      <c r="K37">
        <v>66.921987108000025</v>
      </c>
      <c r="L37">
        <v>11.311759422</v>
      </c>
      <c r="M37">
        <v>2.7334869880000001E-2</v>
      </c>
      <c r="N37">
        <v>2.5220953270000011</v>
      </c>
      <c r="O37">
        <v>4.9979049299999988E-2</v>
      </c>
      <c r="P37">
        <v>1.1755512709999999E-3</v>
      </c>
      <c r="Q37">
        <v>5.6725000200000004E-3</v>
      </c>
      <c r="R37">
        <v>0.13530078740000001</v>
      </c>
      <c r="S37">
        <v>1.723634814</v>
      </c>
      <c r="T37">
        <v>2.4504809220000001</v>
      </c>
      <c r="U37">
        <v>0</v>
      </c>
      <c r="V37">
        <v>172.05208179100001</v>
      </c>
      <c r="W37">
        <v>0</v>
      </c>
      <c r="Y37" t="str">
        <f>$A37 &amp; Keys!$C$8 &amp; $B37</f>
        <v>Arkansas|transportation SO2</v>
      </c>
      <c r="Z37" s="8">
        <f>IFERROR(INDEX($U37:$W37, MATCH(INDEX(Runs!$D:$D, MATCH($B37, Runs!$A:$A, 0)), $U$1:$W$1, 0)), 0)</f>
        <v>172.05208179100001</v>
      </c>
      <c r="AA37" s="8">
        <f t="shared" si="0"/>
        <v>1.3870322667172939E-3</v>
      </c>
      <c r="AB37" s="8">
        <f>IFERROR(VLOOKUP(INDEX(Runs!$F:$F, MATCH($B37, Runs!$A:$A, 0)), US_national_yearly!$D:$AM, MATCH(Keys!$C$7, US_national_yearly!$D$1:$AM$1, 0), FALSE), 0)</f>
        <v>5.1800714166247604E-3</v>
      </c>
      <c r="AC37" s="8">
        <f t="shared" si="1"/>
        <v>0.26776315520782118</v>
      </c>
      <c r="AD37">
        <f>IF($Z37&lt;Keys!$C$3, 1, 0)</f>
        <v>0</v>
      </c>
      <c r="AE37">
        <f>IF($AC37&gt;Keys!$C$4, 1, 0)</f>
        <v>0</v>
      </c>
      <c r="AF37">
        <f>IF($AC37&lt;Keys!$C$5, 1, 0)</f>
        <v>0</v>
      </c>
      <c r="AG37">
        <f t="shared" si="2"/>
        <v>0</v>
      </c>
      <c r="AH37" t="str">
        <f>IFERROR(INDEX(Runs!$E:$E, MATCH($B37, Runs!$A:$A, 0)), $B37)</f>
        <v>Industry SO2</v>
      </c>
      <c r="AI37" t="str">
        <f t="shared" si="3"/>
        <v>transportation SO2</v>
      </c>
      <c r="AJ37" t="str">
        <f>IF($AG37=1, IF($AD37=1, Keys!$C$9, "") &amp; IF($AE37=1, Keys!$C$10, "") &amp; IF($AF37=1, Keys!$C$11, ""), "")</f>
        <v/>
      </c>
      <c r="AK37">
        <f>IF($AG37=1, IFERROR(INDEX($AG$2:$AG$577, MATCH($A37 &amp; Keys!$C$8 &amp; $AH37, $Y$2:$Y$577, 0)), 1), 0)</f>
        <v>0</v>
      </c>
    </row>
    <row r="38" spans="1:37" x14ac:dyDescent="0.25">
      <c r="A38" t="s">
        <v>87</v>
      </c>
      <c r="B38" t="s">
        <v>242</v>
      </c>
      <c r="C38">
        <v>58</v>
      </c>
      <c r="D38">
        <v>252.15404946099989</v>
      </c>
      <c r="E38">
        <v>0.58677280565000001</v>
      </c>
      <c r="F38">
        <v>832.15717349599981</v>
      </c>
      <c r="G38">
        <v>1120.5893338569999</v>
      </c>
      <c r="H38">
        <v>1712.1812986089999</v>
      </c>
      <c r="I38">
        <v>20.710393837000002</v>
      </c>
      <c r="J38">
        <v>59.87628646600001</v>
      </c>
      <c r="K38">
        <v>106241.67337664501</v>
      </c>
      <c r="L38">
        <v>18061.473264121989</v>
      </c>
      <c r="M38">
        <v>22.099949781999999</v>
      </c>
      <c r="N38">
        <v>3664.9278059619992</v>
      </c>
      <c r="O38">
        <v>45.095967904000013</v>
      </c>
      <c r="P38">
        <v>1.0848448928600001</v>
      </c>
      <c r="Q38">
        <v>3.4575631588999989</v>
      </c>
      <c r="R38">
        <v>194.17986785599999</v>
      </c>
      <c r="S38">
        <v>2470.1999202470001</v>
      </c>
      <c r="T38">
        <v>3518.3985343890008</v>
      </c>
      <c r="U38">
        <v>0</v>
      </c>
      <c r="V38">
        <v>0</v>
      </c>
      <c r="W38">
        <v>46570.392481076007</v>
      </c>
      <c r="Y38" t="str">
        <f>$A38 &amp; Keys!$C$8 &amp; $B38</f>
        <v>California|Industry NO2</v>
      </c>
      <c r="Z38" s="8">
        <f>IFERROR(INDEX($U38:$W38, MATCH(INDEX(Runs!$D:$D, MATCH($B38, Runs!$A:$A, 0)), $U$1:$W$1, 0)), 0)</f>
        <v>46570.392481076007</v>
      </c>
      <c r="AA38" s="8">
        <f t="shared" si="0"/>
        <v>5.4144712128733575E-3</v>
      </c>
      <c r="AB38" s="8">
        <f>IFERROR(VLOOKUP(INDEX(Runs!$F:$F, MATCH($B38, Runs!$A:$A, 0)), US_national_yearly!$D:$AM, MATCH(Keys!$C$7, US_national_yearly!$D$1:$AM$1, 0), FALSE), 0)</f>
        <v>5.8012217057786938E-3</v>
      </c>
      <c r="AC38" s="8">
        <f t="shared" si="1"/>
        <v>0.93333292321510697</v>
      </c>
      <c r="AD38">
        <f>IF($Z38&lt;Keys!$C$3, 1, 0)</f>
        <v>0</v>
      </c>
      <c r="AE38">
        <f>IF($AC38&gt;Keys!$C$4, 1, 0)</f>
        <v>0</v>
      </c>
      <c r="AF38">
        <f>IF($AC38&lt;Keys!$C$5, 1, 0)</f>
        <v>0</v>
      </c>
      <c r="AG38">
        <f t="shared" si="2"/>
        <v>0</v>
      </c>
      <c r="AH38" t="str">
        <f>IFERROR(INDEX(Runs!$E:$E, MATCH($B38, Runs!$A:$A, 0)), $B38)</f>
        <v>Industry NO2</v>
      </c>
      <c r="AI38" t="str">
        <f t="shared" si="3"/>
        <v>Industry NO2</v>
      </c>
      <c r="AJ38" t="str">
        <f>IF($AG38=1, IF($AD38=1, Keys!$C$9, "") &amp; IF($AE38=1, Keys!$C$10, "") &amp; IF($AF38=1, Keys!$C$11, ""), "")</f>
        <v/>
      </c>
      <c r="AK38">
        <f>IF($AG38=1, IFERROR(INDEX($AG$2:$AG$577, MATCH($A38 &amp; Keys!$C$8 &amp; $AH38, $Y$2:$Y$577, 0)), 1), 0)</f>
        <v>0</v>
      </c>
    </row>
    <row r="39" spans="1:37" x14ac:dyDescent="0.25">
      <c r="A39" t="s">
        <v>87</v>
      </c>
      <c r="B39" t="s">
        <v>238</v>
      </c>
      <c r="C39">
        <v>58</v>
      </c>
      <c r="D39">
        <v>2338.309715342999</v>
      </c>
      <c r="E39">
        <v>5.0850915243000019</v>
      </c>
      <c r="F39">
        <v>7586.1703956920028</v>
      </c>
      <c r="G39">
        <v>10213.546092447001</v>
      </c>
      <c r="H39">
        <v>15612.864014733999</v>
      </c>
      <c r="I39">
        <v>196.1624860230001</v>
      </c>
      <c r="J39">
        <v>630.7633083310003</v>
      </c>
      <c r="K39">
        <v>990902.93174678588</v>
      </c>
      <c r="L39">
        <v>168653.0960297061</v>
      </c>
      <c r="M39">
        <v>220.305543551</v>
      </c>
      <c r="N39">
        <v>33412.58050287301</v>
      </c>
      <c r="O39">
        <v>472.31044216500021</v>
      </c>
      <c r="P39">
        <v>10.481867627</v>
      </c>
      <c r="Q39">
        <v>36.390404052000001</v>
      </c>
      <c r="R39">
        <v>1752.3607834950001</v>
      </c>
      <c r="S39">
        <v>22342.436545625991</v>
      </c>
      <c r="T39">
        <v>32033.913269214001</v>
      </c>
      <c r="U39">
        <v>23799.942859489001</v>
      </c>
      <c r="V39">
        <v>0</v>
      </c>
      <c r="W39">
        <v>0</v>
      </c>
      <c r="Y39" t="str">
        <f>$A39 &amp; Keys!$C$8 &amp; $B39</f>
        <v>California|Industry PM25</v>
      </c>
      <c r="Z39" s="8">
        <f>IFERROR(INDEX($U39:$W39, MATCH(INDEX(Runs!$D:$D, MATCH($B39, Runs!$A:$A, 0)), $U$1:$W$1, 0)), 0)</f>
        <v>23799.942859489001</v>
      </c>
      <c r="AA39" s="8">
        <f t="shared" si="0"/>
        <v>9.8248543248527942E-2</v>
      </c>
      <c r="AB39" s="8">
        <f>IFERROR(VLOOKUP(INDEX(Runs!$F:$F, MATCH($B39, Runs!$A:$A, 0)), US_national_yearly!$D:$AM, MATCH(Keys!$C$7, US_national_yearly!$D$1:$AM$1, 0), FALSE), 0)</f>
        <v>2.6833191881203179E-2</v>
      </c>
      <c r="AC39" s="8">
        <f t="shared" si="1"/>
        <v>3.6614556957479096</v>
      </c>
      <c r="AD39">
        <f>IF($Z39&lt;Keys!$C$3, 1, 0)</f>
        <v>0</v>
      </c>
      <c r="AE39">
        <f>IF($AC39&gt;Keys!$C$4, 1, 0)</f>
        <v>0</v>
      </c>
      <c r="AF39">
        <f>IF($AC39&lt;Keys!$C$5, 1, 0)</f>
        <v>0</v>
      </c>
      <c r="AG39">
        <f t="shared" si="2"/>
        <v>0</v>
      </c>
      <c r="AH39" t="str">
        <f>IFERROR(INDEX(Runs!$E:$E, MATCH($B39, Runs!$A:$A, 0)), $B39)</f>
        <v>Industry PM25</v>
      </c>
      <c r="AI39" t="str">
        <f t="shared" si="3"/>
        <v>Industry PM25</v>
      </c>
      <c r="AJ39" t="str">
        <f>IF($AG39=1, IF($AD39=1, Keys!$C$9, "") &amp; IF($AE39=1, Keys!$C$10, "") &amp; IF($AF39=1, Keys!$C$11, ""), "")</f>
        <v/>
      </c>
      <c r="AK39">
        <f>IF($AG39=1, IFERROR(INDEX($AG$2:$AG$577, MATCH($A39 &amp; Keys!$C$8 &amp; $AH39, $Y$2:$Y$577, 0)), 1), 0)</f>
        <v>0</v>
      </c>
    </row>
    <row r="40" spans="1:37" x14ac:dyDescent="0.25">
      <c r="A40" t="s">
        <v>87</v>
      </c>
      <c r="B40" t="s">
        <v>246</v>
      </c>
      <c r="C40">
        <v>58</v>
      </c>
      <c r="D40">
        <v>243.5771070079999</v>
      </c>
      <c r="E40">
        <v>0.5827913443499998</v>
      </c>
      <c r="F40">
        <v>814.72737032400005</v>
      </c>
      <c r="G40">
        <v>1097.122693380999</v>
      </c>
      <c r="H40">
        <v>1676.310006635</v>
      </c>
      <c r="I40">
        <v>20.383160832000002</v>
      </c>
      <c r="J40">
        <v>59.383282492999982</v>
      </c>
      <c r="K40">
        <v>103654.410787466</v>
      </c>
      <c r="L40">
        <v>17629.169693624001</v>
      </c>
      <c r="M40">
        <v>22.029345858999999</v>
      </c>
      <c r="N40">
        <v>3588.1600703399999</v>
      </c>
      <c r="O40">
        <v>44.488425559000007</v>
      </c>
      <c r="P40">
        <v>1.0261290885000001</v>
      </c>
      <c r="Q40">
        <v>3.4746672884000009</v>
      </c>
      <c r="R40">
        <v>190.06124105399999</v>
      </c>
      <c r="S40">
        <v>2417.5542374090001</v>
      </c>
      <c r="T40">
        <v>3442.6150745270002</v>
      </c>
      <c r="U40">
        <v>0</v>
      </c>
      <c r="V40">
        <v>7696.7631156040025</v>
      </c>
      <c r="W40">
        <v>0</v>
      </c>
      <c r="Y40" t="str">
        <f>$A40 &amp; Keys!$C$8 &amp; $B40</f>
        <v>California|Industry SO2</v>
      </c>
      <c r="Z40" s="8">
        <f>IFERROR(INDEX($U40:$W40, MATCH(INDEX(Runs!$D:$D, MATCH($B40, Runs!$A:$A, 0)), $U$1:$W$1, 0)), 0)</f>
        <v>7696.7631156040025</v>
      </c>
      <c r="AA40" s="8">
        <f t="shared" si="0"/>
        <v>3.164669398674682E-2</v>
      </c>
      <c r="AB40" s="8">
        <f>IFERROR(VLOOKUP(INDEX(Runs!$F:$F, MATCH($B40, Runs!$A:$A, 0)), US_national_yearly!$D:$AM, MATCH(Keys!$C$7, US_national_yearly!$D$1:$AM$1, 0), FALSE), 0)</f>
        <v>5.3000351638639942E-3</v>
      </c>
      <c r="AC40" s="8">
        <f t="shared" si="1"/>
        <v>5.9710347211498078</v>
      </c>
      <c r="AD40">
        <f>IF($Z40&lt;Keys!$C$3, 1, 0)</f>
        <v>0</v>
      </c>
      <c r="AE40">
        <f>IF($AC40&gt;Keys!$C$4, 1, 0)</f>
        <v>0</v>
      </c>
      <c r="AF40">
        <f>IF($AC40&lt;Keys!$C$5, 1, 0)</f>
        <v>0</v>
      </c>
      <c r="AG40">
        <f t="shared" si="2"/>
        <v>0</v>
      </c>
      <c r="AH40" t="str">
        <f>IFERROR(INDEX(Runs!$E:$E, MATCH($B40, Runs!$A:$A, 0)), $B40)</f>
        <v>Industry SO2</v>
      </c>
      <c r="AI40" t="str">
        <f t="shared" si="3"/>
        <v>Industry SO2</v>
      </c>
      <c r="AJ40" t="str">
        <f>IF($AG40=1, IF($AD40=1, Keys!$C$9, "") &amp; IF($AE40=1, Keys!$C$10, "") &amp; IF($AF40=1, Keys!$C$11, ""), "")</f>
        <v/>
      </c>
      <c r="AK40">
        <f>IF($AG40=1, IFERROR(INDEX($AG$2:$AG$577, MATCH($A40 &amp; Keys!$C$8 &amp; $AH40, $Y$2:$Y$577, 0)), 1), 0)</f>
        <v>0</v>
      </c>
    </row>
    <row r="41" spans="1:37" x14ac:dyDescent="0.25">
      <c r="A41" t="s">
        <v>87</v>
      </c>
      <c r="B41" t="s">
        <v>253</v>
      </c>
      <c r="C41">
        <v>58</v>
      </c>
      <c r="D41">
        <v>170.945324696</v>
      </c>
      <c r="E41">
        <v>0.38699899051999981</v>
      </c>
      <c r="F41">
        <v>560.05050020200008</v>
      </c>
      <c r="G41">
        <v>754.17743024000004</v>
      </c>
      <c r="H41">
        <v>1152.2975010519999</v>
      </c>
      <c r="I41">
        <v>14.068012929</v>
      </c>
      <c r="J41">
        <v>42.022568404999987</v>
      </c>
      <c r="K41">
        <v>72438.217497861013</v>
      </c>
      <c r="L41">
        <v>12318.923681859989</v>
      </c>
      <c r="M41">
        <v>15.547694516999989</v>
      </c>
      <c r="N41">
        <v>2466.5254314939998</v>
      </c>
      <c r="O41">
        <v>32.786694361000002</v>
      </c>
      <c r="P41">
        <v>0.70614045084999977</v>
      </c>
      <c r="Q41">
        <v>2.4768323175999991</v>
      </c>
      <c r="R41">
        <v>130.660442523</v>
      </c>
      <c r="S41">
        <v>1661.979723014</v>
      </c>
      <c r="T41">
        <v>2366.395281475001</v>
      </c>
      <c r="U41">
        <v>0</v>
      </c>
      <c r="V41">
        <v>0</v>
      </c>
      <c r="W41">
        <v>22544.453281859998</v>
      </c>
      <c r="Y41" t="str">
        <f>$A41 &amp; Keys!$C$8 &amp; $B41</f>
        <v>California|buildings NO2</v>
      </c>
      <c r="Z41" s="8">
        <f>IFERROR(INDEX($U41:$W41, MATCH(INDEX(Runs!$D:$D, MATCH($B41, Runs!$A:$A, 0)), $U$1:$W$1, 0)), 0)</f>
        <v>22544.453281859998</v>
      </c>
      <c r="AA41" s="8">
        <f t="shared" si="0"/>
        <v>7.5825890545568554E-3</v>
      </c>
      <c r="AB41" s="8">
        <f>IFERROR(VLOOKUP(INDEX(Runs!$F:$F, MATCH($B41, Runs!$A:$A, 0)), US_national_yearly!$D:$AM, MATCH(Keys!$C$7, US_national_yearly!$D$1:$AM$1, 0), FALSE), 0)</f>
        <v>5.6784740124662739E-3</v>
      </c>
      <c r="AC41" s="8">
        <f t="shared" si="1"/>
        <v>1.3353216089235189</v>
      </c>
      <c r="AD41">
        <f>IF($Z41&lt;Keys!$C$3, 1, 0)</f>
        <v>0</v>
      </c>
      <c r="AE41">
        <f>IF($AC41&gt;Keys!$C$4, 1, 0)</f>
        <v>0</v>
      </c>
      <c r="AF41">
        <f>IF($AC41&lt;Keys!$C$5, 1, 0)</f>
        <v>0</v>
      </c>
      <c r="AG41">
        <f t="shared" si="2"/>
        <v>0</v>
      </c>
      <c r="AH41" t="str">
        <f>IFERROR(INDEX(Runs!$E:$E, MATCH($B41, Runs!$A:$A, 0)), $B41)</f>
        <v>Industry NO2</v>
      </c>
      <c r="AI41" t="str">
        <f t="shared" si="3"/>
        <v>buildings NO2</v>
      </c>
      <c r="AJ41" t="str">
        <f>IF($AG41=1, IF($AD41=1, Keys!$C$9, "") &amp; IF($AE41=1, Keys!$C$10, "") &amp; IF($AF41=1, Keys!$C$11, ""), "")</f>
        <v/>
      </c>
      <c r="AK41">
        <f>IF($AG41=1, IFERROR(INDEX($AG$2:$AG$577, MATCH($A41 &amp; Keys!$C$8 &amp; $AH41, $Y$2:$Y$577, 0)), 1), 0)</f>
        <v>0</v>
      </c>
    </row>
    <row r="42" spans="1:37" x14ac:dyDescent="0.25">
      <c r="A42" t="s">
        <v>87</v>
      </c>
      <c r="B42" t="s">
        <v>251</v>
      </c>
      <c r="C42">
        <v>58</v>
      </c>
      <c r="D42">
        <v>153.157356561</v>
      </c>
      <c r="E42">
        <v>0.33346579244300001</v>
      </c>
      <c r="F42">
        <v>494.99929982800012</v>
      </c>
      <c r="G42">
        <v>666.57881699400025</v>
      </c>
      <c r="H42">
        <v>1018.453581576</v>
      </c>
      <c r="I42">
        <v>12.8356675042</v>
      </c>
      <c r="J42">
        <v>39.258218142999993</v>
      </c>
      <c r="K42">
        <v>65131.603789639012</v>
      </c>
      <c r="L42">
        <v>11074.717225054001</v>
      </c>
      <c r="M42">
        <v>14.1953633177</v>
      </c>
      <c r="N42">
        <v>2180.0316983980001</v>
      </c>
      <c r="O42">
        <v>29.503391683000011</v>
      </c>
      <c r="P42">
        <v>0.65315189587</v>
      </c>
      <c r="Q42">
        <v>2.2918544176999989</v>
      </c>
      <c r="R42">
        <v>115.4789713199999</v>
      </c>
      <c r="S42">
        <v>1468.853495697</v>
      </c>
      <c r="T42">
        <v>2091.3254150050002</v>
      </c>
      <c r="U42">
        <v>1386.5877319890001</v>
      </c>
      <c r="V42">
        <v>0</v>
      </c>
      <c r="W42">
        <v>0</v>
      </c>
      <c r="Y42" t="str">
        <f>$A42 &amp; Keys!$C$8 &amp; $B42</f>
        <v>California|buildings PM25</v>
      </c>
      <c r="Z42" s="8">
        <f>IFERROR(INDEX($U42:$W42, MATCH(INDEX(Runs!$D:$D, MATCH($B42, Runs!$A:$A, 0)), $U$1:$W$1, 0)), 0)</f>
        <v>1386.5877319890001</v>
      </c>
      <c r="AA42" s="8">
        <f t="shared" si="0"/>
        <v>0.11045630437051566</v>
      </c>
      <c r="AB42" s="8">
        <f>IFERROR(VLOOKUP(INDEX(Runs!$F:$F, MATCH($B42, Runs!$A:$A, 0)), US_national_yearly!$D:$AM, MATCH(Keys!$C$7, US_national_yearly!$D$1:$AM$1, 0), FALSE), 0)</f>
        <v>2.7627705191843259E-2</v>
      </c>
      <c r="AC42" s="8">
        <f t="shared" si="1"/>
        <v>3.9980267490014527</v>
      </c>
      <c r="AD42">
        <f>IF($Z42&lt;Keys!$C$3, 1, 0)</f>
        <v>0</v>
      </c>
      <c r="AE42">
        <f>IF($AC42&gt;Keys!$C$4, 1, 0)</f>
        <v>0</v>
      </c>
      <c r="AF42">
        <f>IF($AC42&lt;Keys!$C$5, 1, 0)</f>
        <v>0</v>
      </c>
      <c r="AG42">
        <f t="shared" si="2"/>
        <v>0</v>
      </c>
      <c r="AH42" t="str">
        <f>IFERROR(INDEX(Runs!$E:$E, MATCH($B42, Runs!$A:$A, 0)), $B42)</f>
        <v>Industry PM25</v>
      </c>
      <c r="AI42" t="str">
        <f t="shared" si="3"/>
        <v>buildings PM25</v>
      </c>
      <c r="AJ42" t="str">
        <f>IF($AG42=1, IF($AD42=1, Keys!$C$9, "") &amp; IF($AE42=1, Keys!$C$10, "") &amp; IF($AF42=1, Keys!$C$11, ""), "")</f>
        <v/>
      </c>
      <c r="AK42">
        <f>IF($AG42=1, IFERROR(INDEX($AG$2:$AG$577, MATCH($A42 &amp; Keys!$C$8 &amp; $AH42, $Y$2:$Y$577, 0)), 1), 0)</f>
        <v>0</v>
      </c>
    </row>
    <row r="43" spans="1:37" x14ac:dyDescent="0.25">
      <c r="A43" t="s">
        <v>87</v>
      </c>
      <c r="B43" t="s">
        <v>254</v>
      </c>
      <c r="C43">
        <v>58</v>
      </c>
      <c r="D43">
        <v>20.679083874999989</v>
      </c>
      <c r="E43">
        <v>4.7264096158E-2</v>
      </c>
      <c r="F43">
        <v>67.874575367999967</v>
      </c>
      <c r="G43">
        <v>91.402872125999963</v>
      </c>
      <c r="H43">
        <v>139.64842803100001</v>
      </c>
      <c r="I43">
        <v>1.741031989200001</v>
      </c>
      <c r="J43">
        <v>4.9144932138000001</v>
      </c>
      <c r="K43">
        <v>8817.8407981399996</v>
      </c>
      <c r="L43">
        <v>1499.686912504</v>
      </c>
      <c r="M43">
        <v>1.9045594483999999</v>
      </c>
      <c r="N43">
        <v>298.92587552499992</v>
      </c>
      <c r="O43">
        <v>3.7744264474999989</v>
      </c>
      <c r="P43">
        <v>8.4482387899999997E-2</v>
      </c>
      <c r="Q43">
        <v>0.28893088613000001</v>
      </c>
      <c r="R43">
        <v>15.866343216100001</v>
      </c>
      <c r="S43">
        <v>201.78331969000001</v>
      </c>
      <c r="T43">
        <v>287.16657719800003</v>
      </c>
      <c r="U43">
        <v>0</v>
      </c>
      <c r="V43">
        <v>669.3382474419999</v>
      </c>
      <c r="W43">
        <v>0</v>
      </c>
      <c r="Y43" t="str">
        <f>$A43 &amp; Keys!$C$8 &amp; $B43</f>
        <v>California|buildings SO2</v>
      </c>
      <c r="Z43" s="8">
        <f>IFERROR(INDEX($U43:$W43, MATCH(INDEX(Runs!$D:$D, MATCH($B43, Runs!$A:$A, 0)), $U$1:$W$1, 0)), 0)</f>
        <v>669.3382474419999</v>
      </c>
      <c r="AA43" s="8">
        <f t="shared" si="0"/>
        <v>3.0894818806528595E-2</v>
      </c>
      <c r="AB43" s="8">
        <f>IFERROR(VLOOKUP(INDEX(Runs!$F:$F, MATCH($B43, Runs!$A:$A, 0)), US_national_yearly!$D:$AM, MATCH(Keys!$C$7, US_national_yearly!$D$1:$AM$1, 0), FALSE), 0)</f>
        <v>5.1581943281164694E-3</v>
      </c>
      <c r="AC43" s="8">
        <f t="shared" si="1"/>
        <v>5.9894639172715953</v>
      </c>
      <c r="AD43">
        <f>IF($Z43&lt;Keys!$C$3, 1, 0)</f>
        <v>0</v>
      </c>
      <c r="AE43">
        <f>IF($AC43&gt;Keys!$C$4, 1, 0)</f>
        <v>0</v>
      </c>
      <c r="AF43">
        <f>IF($AC43&lt;Keys!$C$5, 1, 0)</f>
        <v>0</v>
      </c>
      <c r="AG43">
        <f t="shared" si="2"/>
        <v>0</v>
      </c>
      <c r="AH43" t="str">
        <f>IFERROR(INDEX(Runs!$E:$E, MATCH($B43, Runs!$A:$A, 0)), $B43)</f>
        <v>Industry SO2</v>
      </c>
      <c r="AI43" t="str">
        <f t="shared" si="3"/>
        <v>buildings SO2</v>
      </c>
      <c r="AJ43" t="str">
        <f>IF($AG43=1, IF($AD43=1, Keys!$C$9, "") &amp; IF($AE43=1, Keys!$C$10, "") &amp; IF($AF43=1, Keys!$C$11, ""), "")</f>
        <v/>
      </c>
      <c r="AK43">
        <f>IF($AG43=1, IFERROR(INDEX($AG$2:$AG$577, MATCH($A43 &amp; Keys!$C$8 &amp; $AH43, $Y$2:$Y$577, 0)), 1), 0)</f>
        <v>0</v>
      </c>
    </row>
    <row r="44" spans="1:37" x14ac:dyDescent="0.25">
      <c r="A44" t="s">
        <v>87</v>
      </c>
      <c r="B44" t="s">
        <v>249</v>
      </c>
      <c r="C44">
        <v>58</v>
      </c>
      <c r="D44">
        <v>29.918463156000001</v>
      </c>
      <c r="E44">
        <v>6.9514412257000002E-2</v>
      </c>
      <c r="F44">
        <v>95.187480053999948</v>
      </c>
      <c r="G44">
        <v>128.18280623999999</v>
      </c>
      <c r="H44">
        <v>195.8449841150001</v>
      </c>
      <c r="I44">
        <v>2.2881836403999989</v>
      </c>
      <c r="J44">
        <v>7.897371012999999</v>
      </c>
      <c r="K44">
        <v>11813.070280033</v>
      </c>
      <c r="L44">
        <v>2005.8156162480011</v>
      </c>
      <c r="M44">
        <v>2.3255600062999999</v>
      </c>
      <c r="N44">
        <v>419.21527040900003</v>
      </c>
      <c r="O44">
        <v>5.3488370159000018</v>
      </c>
      <c r="P44">
        <v>0.16124026588500001</v>
      </c>
      <c r="Q44">
        <v>0.4211377067</v>
      </c>
      <c r="R44">
        <v>22.194901498299991</v>
      </c>
      <c r="S44">
        <v>282.24029407099999</v>
      </c>
      <c r="T44">
        <v>401.63860565399989</v>
      </c>
      <c r="U44">
        <v>0</v>
      </c>
      <c r="V44">
        <v>0</v>
      </c>
      <c r="W44">
        <v>8812.4363067249978</v>
      </c>
      <c r="Y44" t="str">
        <f>$A44 &amp; Keys!$C$8 &amp; $B44</f>
        <v>California|electricity NO2</v>
      </c>
      <c r="Z44" s="8">
        <f>IFERROR(INDEX($U44:$W44, MATCH(INDEX(Runs!$D:$D, MATCH($B44, Runs!$A:$A, 0)), $U$1:$W$1, 0)), 0)</f>
        <v>8812.4363067249978</v>
      </c>
      <c r="AA44" s="8">
        <f t="shared" si="0"/>
        <v>3.3950274492388047E-3</v>
      </c>
      <c r="AB44" s="8">
        <f>IFERROR(VLOOKUP(INDEX(Runs!$F:$F, MATCH($B44, Runs!$A:$A, 0)), US_national_yearly!$D:$AM, MATCH(Keys!$C$7, US_national_yearly!$D$1:$AM$1, 0), FALSE), 0)</f>
        <v>6.1439221592658041E-3</v>
      </c>
      <c r="AC44" s="8">
        <f t="shared" si="1"/>
        <v>0.55258308312364901</v>
      </c>
      <c r="AD44">
        <f>IF($Z44&lt;Keys!$C$3, 1, 0)</f>
        <v>0</v>
      </c>
      <c r="AE44">
        <f>IF($AC44&gt;Keys!$C$4, 1, 0)</f>
        <v>0</v>
      </c>
      <c r="AF44">
        <f>IF($AC44&lt;Keys!$C$5, 1, 0)</f>
        <v>0</v>
      </c>
      <c r="AG44">
        <f t="shared" si="2"/>
        <v>0</v>
      </c>
      <c r="AH44" t="str">
        <f>IFERROR(INDEX(Runs!$E:$E, MATCH($B44, Runs!$A:$A, 0)), $B44)</f>
        <v>Industry NO2</v>
      </c>
      <c r="AI44" t="str">
        <f t="shared" si="3"/>
        <v>electricity NO2</v>
      </c>
      <c r="AJ44" t="str">
        <f>IF($AG44=1, IF($AD44=1, Keys!$C$9, "") &amp; IF($AE44=1, Keys!$C$10, "") &amp; IF($AF44=1, Keys!$C$11, ""), "")</f>
        <v/>
      </c>
      <c r="AK44">
        <f>IF($AG44=1, IFERROR(INDEX($AG$2:$AG$577, MATCH($A44 &amp; Keys!$C$8 &amp; $AH44, $Y$2:$Y$577, 0)), 1), 0)</f>
        <v>0</v>
      </c>
    </row>
    <row r="45" spans="1:37" x14ac:dyDescent="0.25">
      <c r="A45" t="s">
        <v>87</v>
      </c>
      <c r="B45" t="s">
        <v>247</v>
      </c>
      <c r="C45">
        <v>58</v>
      </c>
      <c r="D45">
        <v>177.57503098199999</v>
      </c>
      <c r="E45">
        <v>0.40671872995199998</v>
      </c>
      <c r="F45">
        <v>581.49597025199978</v>
      </c>
      <c r="G45">
        <v>783.05626963500015</v>
      </c>
      <c r="H45">
        <v>1196.4216055950001</v>
      </c>
      <c r="I45">
        <v>14.514601993699999</v>
      </c>
      <c r="J45">
        <v>48.441788447</v>
      </c>
      <c r="K45">
        <v>74177.162032616019</v>
      </c>
      <c r="L45">
        <v>12611.547719640999</v>
      </c>
      <c r="M45">
        <v>16.174878905</v>
      </c>
      <c r="N45">
        <v>2560.9738454819999</v>
      </c>
      <c r="O45">
        <v>34.496384231999997</v>
      </c>
      <c r="P45">
        <v>0.80970870530000005</v>
      </c>
      <c r="Q45">
        <v>2.6687885123999999</v>
      </c>
      <c r="R45">
        <v>135.59214215399999</v>
      </c>
      <c r="S45">
        <v>1724.5892908369999</v>
      </c>
      <c r="T45">
        <v>2455.2588795660008</v>
      </c>
      <c r="U45">
        <v>2458.562383778999</v>
      </c>
      <c r="V45">
        <v>0</v>
      </c>
      <c r="W45">
        <v>0</v>
      </c>
      <c r="Y45" t="str">
        <f>$A45 &amp; Keys!$C$8 &amp; $B45</f>
        <v>California|electricity PM25</v>
      </c>
      <c r="Z45" s="8">
        <f>IFERROR(INDEX($U45:$W45, MATCH(INDEX(Runs!$D:$D, MATCH($B45, Runs!$A:$A, 0)), $U$1:$W$1, 0)), 0)</f>
        <v>2458.562383778999</v>
      </c>
      <c r="AA45" s="8">
        <f t="shared" si="0"/>
        <v>7.2227181280246203E-2</v>
      </c>
      <c r="AB45" s="8">
        <f>IFERROR(VLOOKUP(INDEX(Runs!$F:$F, MATCH($B45, Runs!$A:$A, 0)), US_national_yearly!$D:$AM, MATCH(Keys!$C$7, US_national_yearly!$D$1:$AM$1, 0), FALSE), 0)</f>
        <v>2.4252978284752182E-2</v>
      </c>
      <c r="AC45" s="8">
        <f t="shared" si="1"/>
        <v>2.9780747103400222</v>
      </c>
      <c r="AD45">
        <f>IF($Z45&lt;Keys!$C$3, 1, 0)</f>
        <v>0</v>
      </c>
      <c r="AE45">
        <f>IF($AC45&gt;Keys!$C$4, 1, 0)</f>
        <v>0</v>
      </c>
      <c r="AF45">
        <f>IF($AC45&lt;Keys!$C$5, 1, 0)</f>
        <v>0</v>
      </c>
      <c r="AG45">
        <f t="shared" si="2"/>
        <v>0</v>
      </c>
      <c r="AH45" t="str">
        <f>IFERROR(INDEX(Runs!$E:$E, MATCH($B45, Runs!$A:$A, 0)), $B45)</f>
        <v>Industry PM25</v>
      </c>
      <c r="AI45" t="str">
        <f t="shared" si="3"/>
        <v>electricity PM25</v>
      </c>
      <c r="AJ45" t="str">
        <f>IF($AG45=1, IF($AD45=1, Keys!$C$9, "") &amp; IF($AE45=1, Keys!$C$10, "") &amp; IF($AF45=1, Keys!$C$11, ""), "")</f>
        <v/>
      </c>
      <c r="AK45">
        <f>IF($AG45=1, IFERROR(INDEX($AG$2:$AG$577, MATCH($A45 &amp; Keys!$C$8 &amp; $AH45, $Y$2:$Y$577, 0)), 1), 0)</f>
        <v>0</v>
      </c>
    </row>
    <row r="46" spans="1:37" x14ac:dyDescent="0.25">
      <c r="A46" t="s">
        <v>87</v>
      </c>
      <c r="B46" t="s">
        <v>250</v>
      </c>
      <c r="C46">
        <v>58</v>
      </c>
      <c r="D46">
        <v>54.291738428000009</v>
      </c>
      <c r="E46">
        <v>0.124554285783</v>
      </c>
      <c r="F46">
        <v>177.21956436500011</v>
      </c>
      <c r="G46">
        <v>238.65096771699999</v>
      </c>
      <c r="H46">
        <v>364.62141126</v>
      </c>
      <c r="I46">
        <v>4.3984487523999993</v>
      </c>
      <c r="J46">
        <v>14.226828537999999</v>
      </c>
      <c r="K46">
        <v>22614.697045885991</v>
      </c>
      <c r="L46">
        <v>3845.1374277680002</v>
      </c>
      <c r="M46">
        <v>4.898598003700001</v>
      </c>
      <c r="N46">
        <v>780.49194334200001</v>
      </c>
      <c r="O46">
        <v>10.519296240999999</v>
      </c>
      <c r="P46">
        <v>0.23759538174</v>
      </c>
      <c r="Q46">
        <v>0.79926222189999996</v>
      </c>
      <c r="R46">
        <v>41.357613752000013</v>
      </c>
      <c r="S46">
        <v>525.96220296399997</v>
      </c>
      <c r="T46">
        <v>748.52146783100011</v>
      </c>
      <c r="U46">
        <v>0</v>
      </c>
      <c r="V46">
        <v>1054.167976706</v>
      </c>
      <c r="W46">
        <v>0</v>
      </c>
      <c r="Y46" t="str">
        <f>$A46 &amp; Keys!$C$8 &amp; $B46</f>
        <v>California|electricity SO2</v>
      </c>
      <c r="Z46" s="8">
        <f>IFERROR(INDEX($U46:$W46, MATCH(INDEX(Runs!$D:$D, MATCH($B46, Runs!$A:$A, 0)), $U$1:$W$1, 0)), 0)</f>
        <v>1054.167976706</v>
      </c>
      <c r="AA46" s="8">
        <f t="shared" si="0"/>
        <v>5.1501980355775495E-2</v>
      </c>
      <c r="AB46" s="8">
        <f>IFERROR(VLOOKUP(INDEX(Runs!$F:$F, MATCH($B46, Runs!$A:$A, 0)), US_national_yearly!$D:$AM, MATCH(Keys!$C$7, US_national_yearly!$D$1:$AM$1, 0), FALSE), 0)</f>
        <v>5.7032329662362116E-3</v>
      </c>
      <c r="AC46" s="8">
        <f t="shared" si="1"/>
        <v>9.0303132733088542</v>
      </c>
      <c r="AD46">
        <f>IF($Z46&lt;Keys!$C$3, 1, 0)</f>
        <v>0</v>
      </c>
      <c r="AE46">
        <f>IF($AC46&gt;Keys!$C$4, 1, 0)</f>
        <v>0</v>
      </c>
      <c r="AF46">
        <f>IF($AC46&lt;Keys!$C$5, 1, 0)</f>
        <v>0</v>
      </c>
      <c r="AG46">
        <f t="shared" si="2"/>
        <v>0</v>
      </c>
      <c r="AH46" t="str">
        <f>IFERROR(INDEX(Runs!$E:$E, MATCH($B46, Runs!$A:$A, 0)), $B46)</f>
        <v>Industry SO2</v>
      </c>
      <c r="AI46" t="str">
        <f t="shared" si="3"/>
        <v>electricity SO2</v>
      </c>
      <c r="AJ46" t="str">
        <f>IF($AG46=1, IF($AD46=1, Keys!$C$9, "") &amp; IF($AE46=1, Keys!$C$10, "") &amp; IF($AF46=1, Keys!$C$11, ""), "")</f>
        <v/>
      </c>
      <c r="AK46">
        <f>IF($AG46=1, IFERROR(INDEX($AG$2:$AG$577, MATCH($A46 &amp; Keys!$C$8 &amp; $AH46, $Y$2:$Y$577, 0)), 1), 0)</f>
        <v>0</v>
      </c>
    </row>
    <row r="47" spans="1:37" x14ac:dyDescent="0.25">
      <c r="A47" t="s">
        <v>87</v>
      </c>
      <c r="B47" t="s">
        <v>239</v>
      </c>
      <c r="C47">
        <v>58</v>
      </c>
      <c r="D47">
        <v>1795.887385907</v>
      </c>
      <c r="E47">
        <v>4.1036208940700014</v>
      </c>
      <c r="F47">
        <v>5904.9306388610012</v>
      </c>
      <c r="G47">
        <v>7950.4717009059959</v>
      </c>
      <c r="H47">
        <v>12151.863711905</v>
      </c>
      <c r="I47">
        <v>150.017758845</v>
      </c>
      <c r="J47">
        <v>461.49032508800008</v>
      </c>
      <c r="K47">
        <v>764247.05322803895</v>
      </c>
      <c r="L47">
        <v>130120.683623652</v>
      </c>
      <c r="M47">
        <v>168.31472419900001</v>
      </c>
      <c r="N47">
        <v>26007.266051671999</v>
      </c>
      <c r="O47">
        <v>348.15938647000007</v>
      </c>
      <c r="P47">
        <v>7.7120254280000022</v>
      </c>
      <c r="Q47">
        <v>26.991629833000001</v>
      </c>
      <c r="R47">
        <v>1369.621151907</v>
      </c>
      <c r="S47">
        <v>17451.108385021009</v>
      </c>
      <c r="T47">
        <v>24974.089163114</v>
      </c>
      <c r="U47">
        <v>0</v>
      </c>
      <c r="V47">
        <v>0</v>
      </c>
      <c r="W47">
        <v>241358.469805</v>
      </c>
      <c r="Y47" t="str">
        <f>$A47 &amp; Keys!$C$8 &amp; $B47</f>
        <v>California|transportation NO2</v>
      </c>
      <c r="Z47" s="8">
        <f>IFERROR(INDEX($U47:$W47, MATCH(INDEX(Runs!$D:$D, MATCH($B47, Runs!$A:$A, 0)), $U$1:$W$1, 0)), 0)</f>
        <v>241358.469805</v>
      </c>
      <c r="AA47" s="8">
        <f t="shared" si="0"/>
        <v>7.4407473139763676E-3</v>
      </c>
      <c r="AB47" s="8">
        <f>IFERROR(VLOOKUP(INDEX(Runs!$F:$F, MATCH($B47, Runs!$A:$A, 0)), US_national_yearly!$D:$AM, MATCH(Keys!$C$7, US_national_yearly!$D$1:$AM$1, 0), FALSE), 0)</f>
        <v>5.7148835886332216E-3</v>
      </c>
      <c r="AC47" s="8">
        <f t="shared" si="1"/>
        <v>1.3019945548455005</v>
      </c>
      <c r="AD47">
        <f>IF($Z47&lt;Keys!$C$3, 1, 0)</f>
        <v>0</v>
      </c>
      <c r="AE47">
        <f>IF($AC47&gt;Keys!$C$4, 1, 0)</f>
        <v>0</v>
      </c>
      <c r="AF47">
        <f>IF($AC47&lt;Keys!$C$5, 1, 0)</f>
        <v>0</v>
      </c>
      <c r="AG47">
        <f t="shared" si="2"/>
        <v>0</v>
      </c>
      <c r="AH47" t="str">
        <f>IFERROR(INDEX(Runs!$E:$E, MATCH($B47, Runs!$A:$A, 0)), $B47)</f>
        <v>Industry NO2</v>
      </c>
      <c r="AI47" t="str">
        <f t="shared" si="3"/>
        <v>transportation NO2</v>
      </c>
      <c r="AJ47" t="str">
        <f>IF($AG47=1, IF($AD47=1, Keys!$C$9, "") &amp; IF($AE47=1, Keys!$C$10, "") &amp; IF($AF47=1, Keys!$C$11, ""), "")</f>
        <v/>
      </c>
      <c r="AK47">
        <f>IF($AG47=1, IFERROR(INDEX($AG$2:$AG$577, MATCH($A47 &amp; Keys!$C$8 &amp; $AH47, $Y$2:$Y$577, 0)), 1), 0)</f>
        <v>0</v>
      </c>
    </row>
    <row r="48" spans="1:37" x14ac:dyDescent="0.25">
      <c r="A48" t="s">
        <v>87</v>
      </c>
      <c r="B48" t="s">
        <v>234</v>
      </c>
      <c r="C48">
        <v>58</v>
      </c>
      <c r="D48">
        <v>767.63787853299982</v>
      </c>
      <c r="E48">
        <v>1.68226657373</v>
      </c>
      <c r="F48">
        <v>2484.5349377840012</v>
      </c>
      <c r="G48">
        <v>3345.540675587999</v>
      </c>
      <c r="H48">
        <v>5112.2962507490001</v>
      </c>
      <c r="I48">
        <v>63.701175307</v>
      </c>
      <c r="J48">
        <v>207.35400806099989</v>
      </c>
      <c r="K48">
        <v>325065.19108871301</v>
      </c>
      <c r="L48">
        <v>55300.742324439023</v>
      </c>
      <c r="M48">
        <v>72.333221559999998</v>
      </c>
      <c r="N48">
        <v>10942.371864121</v>
      </c>
      <c r="O48">
        <v>155.07070570999991</v>
      </c>
      <c r="P48">
        <v>3.4281471864000008</v>
      </c>
      <c r="Q48">
        <v>11.9159055072</v>
      </c>
      <c r="R48">
        <v>578.00600648600005</v>
      </c>
      <c r="S48">
        <v>7356.7321467989987</v>
      </c>
      <c r="T48">
        <v>10494.348927387</v>
      </c>
      <c r="U48">
        <v>7517.8219883889988</v>
      </c>
      <c r="V48">
        <v>0</v>
      </c>
      <c r="W48">
        <v>0</v>
      </c>
      <c r="Y48" t="str">
        <f>$A48 &amp; Keys!$C$8 &amp; $B48</f>
        <v>California|transportation PM25</v>
      </c>
      <c r="Z48" s="8">
        <f>IFERROR(INDEX($U48:$W48, MATCH(INDEX(Runs!$D:$D, MATCH($B48, Runs!$A:$A, 0)), $U$1:$W$1, 0)), 0)</f>
        <v>7517.8219883889988</v>
      </c>
      <c r="AA48" s="8">
        <f t="shared" si="0"/>
        <v>0.10210907889526893</v>
      </c>
      <c r="AB48" s="8">
        <f>IFERROR(VLOOKUP(INDEX(Runs!$F:$F, MATCH($B48, Runs!$A:$A, 0)), US_national_yearly!$D:$AM, MATCH(Keys!$C$7, US_national_yearly!$D$1:$AM$1, 0), FALSE), 0)</f>
        <v>2.8248683697579859E-2</v>
      </c>
      <c r="AC48" s="8">
        <f t="shared" si="1"/>
        <v>3.6146490926236288</v>
      </c>
      <c r="AD48">
        <f>IF($Z48&lt;Keys!$C$3, 1, 0)</f>
        <v>0</v>
      </c>
      <c r="AE48">
        <f>IF($AC48&gt;Keys!$C$4, 1, 0)</f>
        <v>0</v>
      </c>
      <c r="AF48">
        <f>IF($AC48&lt;Keys!$C$5, 1, 0)</f>
        <v>0</v>
      </c>
      <c r="AG48">
        <f t="shared" si="2"/>
        <v>0</v>
      </c>
      <c r="AH48" t="str">
        <f>IFERROR(INDEX(Runs!$E:$E, MATCH($B48, Runs!$A:$A, 0)), $B48)</f>
        <v>Industry PM25</v>
      </c>
      <c r="AI48" t="str">
        <f t="shared" si="3"/>
        <v>transportation PM25</v>
      </c>
      <c r="AJ48" t="str">
        <f>IF($AG48=1, IF($AD48=1, Keys!$C$9, "") &amp; IF($AE48=1, Keys!$C$10, "") &amp; IF($AF48=1, Keys!$C$11, ""), "")</f>
        <v/>
      </c>
      <c r="AK48">
        <f>IF($AG48=1, IFERROR(INDEX($AG$2:$AG$577, MATCH($A48 &amp; Keys!$C$8 &amp; $AH48, $Y$2:$Y$577, 0)), 1), 0)</f>
        <v>0</v>
      </c>
    </row>
    <row r="49" spans="1:37" x14ac:dyDescent="0.25">
      <c r="A49" t="s">
        <v>87</v>
      </c>
      <c r="B49" t="s">
        <v>243</v>
      </c>
      <c r="C49">
        <v>58</v>
      </c>
      <c r="D49">
        <v>137.49691604200001</v>
      </c>
      <c r="E49">
        <v>0.30660880873699992</v>
      </c>
      <c r="F49">
        <v>453.5132703650001</v>
      </c>
      <c r="G49">
        <v>610.71222868600012</v>
      </c>
      <c r="H49">
        <v>933.09758123799986</v>
      </c>
      <c r="I49">
        <v>11.696191689400001</v>
      </c>
      <c r="J49">
        <v>33.901761289</v>
      </c>
      <c r="K49">
        <v>59414.014201890997</v>
      </c>
      <c r="L49">
        <v>10103.367624127</v>
      </c>
      <c r="M49">
        <v>13.0326589107</v>
      </c>
      <c r="N49">
        <v>1997.323080289</v>
      </c>
      <c r="O49">
        <v>25.288157215999991</v>
      </c>
      <c r="P49">
        <v>0.54079587110999994</v>
      </c>
      <c r="Q49">
        <v>1.9556137415699999</v>
      </c>
      <c r="R49">
        <v>105.99378172</v>
      </c>
      <c r="S49">
        <v>1348.2348737560001</v>
      </c>
      <c r="T49">
        <v>1919.681918635999</v>
      </c>
      <c r="U49">
        <v>0</v>
      </c>
      <c r="V49">
        <v>2904.3481214950011</v>
      </c>
      <c r="W49">
        <v>0</v>
      </c>
      <c r="Y49" t="str">
        <f>$A49 &amp; Keys!$C$8 &amp; $B49</f>
        <v>California|transportation SO2</v>
      </c>
      <c r="Z49" s="8">
        <f>IFERROR(INDEX($U49:$W49, MATCH(INDEX(Runs!$D:$D, MATCH($B49, Runs!$A:$A, 0)), $U$1:$W$1, 0)), 0)</f>
        <v>2904.3481214950011</v>
      </c>
      <c r="AA49" s="8">
        <f t="shared" si="0"/>
        <v>4.7341747714190696E-2</v>
      </c>
      <c r="AB49" s="8">
        <f>IFERROR(VLOOKUP(INDEX(Runs!$F:$F, MATCH($B49, Runs!$A:$A, 0)), US_national_yearly!$D:$AM, MATCH(Keys!$C$7, US_national_yearly!$D$1:$AM$1, 0), FALSE), 0)</f>
        <v>5.1800714166247604E-3</v>
      </c>
      <c r="AC49" s="8">
        <f t="shared" si="1"/>
        <v>9.1392075333659619</v>
      </c>
      <c r="AD49">
        <f>IF($Z49&lt;Keys!$C$3, 1, 0)</f>
        <v>0</v>
      </c>
      <c r="AE49">
        <f>IF($AC49&gt;Keys!$C$4, 1, 0)</f>
        <v>0</v>
      </c>
      <c r="AF49">
        <f>IF($AC49&lt;Keys!$C$5, 1, 0)</f>
        <v>0</v>
      </c>
      <c r="AG49">
        <f t="shared" si="2"/>
        <v>0</v>
      </c>
      <c r="AH49" t="str">
        <f>IFERROR(INDEX(Runs!$E:$E, MATCH($B49, Runs!$A:$A, 0)), $B49)</f>
        <v>Industry SO2</v>
      </c>
      <c r="AI49" t="str">
        <f t="shared" si="3"/>
        <v>transportation SO2</v>
      </c>
      <c r="AJ49" t="str">
        <f>IF($AG49=1, IF($AD49=1, Keys!$C$9, "") &amp; IF($AE49=1, Keys!$C$10, "") &amp; IF($AF49=1, Keys!$C$11, ""), "")</f>
        <v/>
      </c>
      <c r="AK49">
        <f>IF($AG49=1, IFERROR(INDEX($AG$2:$AG$577, MATCH($A49 &amp; Keys!$C$8 &amp; $AH49, $Y$2:$Y$577, 0)), 1), 0)</f>
        <v>0</v>
      </c>
    </row>
    <row r="50" spans="1:37" x14ac:dyDescent="0.25">
      <c r="A50" t="s">
        <v>91</v>
      </c>
      <c r="B50" t="s">
        <v>242</v>
      </c>
      <c r="C50">
        <v>64</v>
      </c>
      <c r="D50">
        <v>1.7485176346</v>
      </c>
      <c r="E50">
        <v>4.9538426290000022E-3</v>
      </c>
      <c r="F50">
        <v>5.9409259640999998</v>
      </c>
      <c r="G50">
        <v>8.0003185856000005</v>
      </c>
      <c r="H50">
        <v>12.2231319206</v>
      </c>
      <c r="I50">
        <v>0.1511306692400001</v>
      </c>
      <c r="J50">
        <v>0.89483201519999955</v>
      </c>
      <c r="K50">
        <v>742.644360044</v>
      </c>
      <c r="L50">
        <v>126.77861185099999</v>
      </c>
      <c r="M50">
        <v>0.18176237832</v>
      </c>
      <c r="N50">
        <v>26.164376470299999</v>
      </c>
      <c r="O50">
        <v>0.49564884039000012</v>
      </c>
      <c r="P50">
        <v>1.1132943350999999E-2</v>
      </c>
      <c r="Q50">
        <v>3.769047354099999E-2</v>
      </c>
      <c r="R50">
        <v>1.3841350288200001</v>
      </c>
      <c r="S50">
        <v>17.570825244000002</v>
      </c>
      <c r="T50">
        <v>24.928839858</v>
      </c>
      <c r="U50">
        <v>0</v>
      </c>
      <c r="V50">
        <v>0</v>
      </c>
      <c r="W50">
        <v>62162.292714031973</v>
      </c>
      <c r="Y50" t="str">
        <f>$A50 &amp; Keys!$C$8 &amp; $B50</f>
        <v>Colorado|Industry NO2</v>
      </c>
      <c r="Z50" s="8">
        <f>IFERROR(INDEX($U50:$W50, MATCH(INDEX(Runs!$D:$D, MATCH($B50, Runs!$A:$A, 0)), $U$1:$W$1, 0)), 0)</f>
        <v>62162.292714031973</v>
      </c>
      <c r="AA50" s="8">
        <f t="shared" si="0"/>
        <v>2.8128268090814884E-5</v>
      </c>
      <c r="AB50" s="8">
        <f>IFERROR(VLOOKUP(INDEX(Runs!$F:$F, MATCH($B50, Runs!$A:$A, 0)), US_national_yearly!$D:$AM, MATCH(Keys!$C$7, US_national_yearly!$D$1:$AM$1, 0), FALSE), 0)</f>
        <v>5.8012217057786938E-3</v>
      </c>
      <c r="AC50" s="8">
        <f t="shared" si="1"/>
        <v>4.8486800741981374E-3</v>
      </c>
      <c r="AD50">
        <f>IF($Z50&lt;Keys!$C$3, 1, 0)</f>
        <v>0</v>
      </c>
      <c r="AE50">
        <f>IF($AC50&gt;Keys!$C$4, 1, 0)</f>
        <v>0</v>
      </c>
      <c r="AF50">
        <f>IF($AC50&lt;Keys!$C$5, 1, 0)</f>
        <v>0</v>
      </c>
      <c r="AG50">
        <f t="shared" si="2"/>
        <v>0</v>
      </c>
      <c r="AH50" t="str">
        <f>IFERROR(INDEX(Runs!$E:$E, MATCH($B50, Runs!$A:$A, 0)), $B50)</f>
        <v>Industry NO2</v>
      </c>
      <c r="AI50" t="str">
        <f t="shared" si="3"/>
        <v>Industry NO2</v>
      </c>
      <c r="AJ50" t="str">
        <f>IF($AG50=1, IF($AD50=1, Keys!$C$9, "") &amp; IF($AE50=1, Keys!$C$10, "") &amp; IF($AF50=1, Keys!$C$11, ""), "")</f>
        <v/>
      </c>
      <c r="AK50">
        <f>IF($AG50=1, IFERROR(INDEX($AG$2:$AG$577, MATCH($A50 &amp; Keys!$C$8 &amp; $AH50, $Y$2:$Y$577, 0)), 1), 0)</f>
        <v>0</v>
      </c>
    </row>
    <row r="51" spans="1:37" x14ac:dyDescent="0.25">
      <c r="A51" t="s">
        <v>91</v>
      </c>
      <c r="B51" t="s">
        <v>238</v>
      </c>
      <c r="C51">
        <v>64</v>
      </c>
      <c r="D51">
        <v>77.224062665999952</v>
      </c>
      <c r="E51">
        <v>0.23795230752400001</v>
      </c>
      <c r="F51">
        <v>266.69365294400001</v>
      </c>
      <c r="G51">
        <v>359.11858752799998</v>
      </c>
      <c r="H51">
        <v>548.754712563</v>
      </c>
      <c r="I51">
        <v>5.6863723055000017</v>
      </c>
      <c r="J51">
        <v>35.914857892000008</v>
      </c>
      <c r="K51">
        <v>34357.760576563996</v>
      </c>
      <c r="L51">
        <v>5889.310708582002</v>
      </c>
      <c r="M51">
        <v>7.0017100080999981</v>
      </c>
      <c r="N51">
        <v>1174.5669530350001</v>
      </c>
      <c r="O51">
        <v>21.97164386859999</v>
      </c>
      <c r="P51">
        <v>0.5411248838099999</v>
      </c>
      <c r="Q51">
        <v>1.3727191715999989</v>
      </c>
      <c r="R51">
        <v>62.181790941000003</v>
      </c>
      <c r="S51">
        <v>789.63601743599997</v>
      </c>
      <c r="T51">
        <v>1121.9733577310001</v>
      </c>
      <c r="U51">
        <v>4571.3962662590002</v>
      </c>
      <c r="V51">
        <v>0</v>
      </c>
      <c r="W51">
        <v>0</v>
      </c>
      <c r="Y51" t="str">
        <f>$A51 &amp; Keys!$C$8 &amp; $B51</f>
        <v>Colorado|Industry PM25</v>
      </c>
      <c r="Z51" s="8">
        <f>IFERROR(INDEX($U51:$W51, MATCH(INDEX(Runs!$D:$D, MATCH($B51, Runs!$A:$A, 0)), $U$1:$W$1, 0)), 0)</f>
        <v>4571.3962662590002</v>
      </c>
      <c r="AA51" s="8">
        <f t="shared" si="0"/>
        <v>1.6892883086067755E-2</v>
      </c>
      <c r="AB51" s="8">
        <f>IFERROR(VLOOKUP(INDEX(Runs!$F:$F, MATCH($B51, Runs!$A:$A, 0)), US_national_yearly!$D:$AM, MATCH(Keys!$C$7, US_national_yearly!$D$1:$AM$1, 0), FALSE), 0)</f>
        <v>2.6833191881203179E-2</v>
      </c>
      <c r="AC51" s="8">
        <f t="shared" si="1"/>
        <v>0.62955175667719676</v>
      </c>
      <c r="AD51">
        <f>IF($Z51&lt;Keys!$C$3, 1, 0)</f>
        <v>0</v>
      </c>
      <c r="AE51">
        <f>IF($AC51&gt;Keys!$C$4, 1, 0)</f>
        <v>0</v>
      </c>
      <c r="AF51">
        <f>IF($AC51&lt;Keys!$C$5, 1, 0)</f>
        <v>0</v>
      </c>
      <c r="AG51">
        <f t="shared" si="2"/>
        <v>0</v>
      </c>
      <c r="AH51" t="str">
        <f>IFERROR(INDEX(Runs!$E:$E, MATCH($B51, Runs!$A:$A, 0)), $B51)</f>
        <v>Industry PM25</v>
      </c>
      <c r="AI51" t="str">
        <f t="shared" si="3"/>
        <v>Industry PM25</v>
      </c>
      <c r="AJ51" t="str">
        <f>IF($AG51=1, IF($AD51=1, Keys!$C$9, "") &amp; IF($AE51=1, Keys!$C$10, "") &amp; IF($AF51=1, Keys!$C$11, ""), "")</f>
        <v/>
      </c>
      <c r="AK51">
        <f>IF($AG51=1, IFERROR(INDEX($AG$2:$AG$577, MATCH($A51 &amp; Keys!$C$8 &amp; $AH51, $Y$2:$Y$577, 0)), 1), 0)</f>
        <v>0</v>
      </c>
    </row>
    <row r="52" spans="1:37" x14ac:dyDescent="0.25">
      <c r="A52" t="s">
        <v>91</v>
      </c>
      <c r="B52" t="s">
        <v>246</v>
      </c>
      <c r="C52">
        <v>64</v>
      </c>
      <c r="D52">
        <v>24.343625797000009</v>
      </c>
      <c r="E52">
        <v>7.0632133289000004E-2</v>
      </c>
      <c r="F52">
        <v>84.703390202999998</v>
      </c>
      <c r="G52">
        <v>114.06280427599999</v>
      </c>
      <c r="H52">
        <v>174.27790915</v>
      </c>
      <c r="I52">
        <v>1.8114288638</v>
      </c>
      <c r="J52">
        <v>11.347075368</v>
      </c>
      <c r="K52">
        <v>10305.557362926</v>
      </c>
      <c r="L52">
        <v>1755.1942317959999</v>
      </c>
      <c r="M52">
        <v>2.195343829700001</v>
      </c>
      <c r="N52">
        <v>373.04410362900001</v>
      </c>
      <c r="O52">
        <v>6.7550779989999983</v>
      </c>
      <c r="P52">
        <v>0.17079152569</v>
      </c>
      <c r="Q52">
        <v>0.42674530300000002</v>
      </c>
      <c r="R52">
        <v>19.551215561999999</v>
      </c>
      <c r="S52">
        <v>248.28685616499999</v>
      </c>
      <c r="T52">
        <v>352.59869873499991</v>
      </c>
      <c r="U52">
        <v>0</v>
      </c>
      <c r="V52">
        <v>1633.4555848559989</v>
      </c>
      <c r="W52">
        <v>0</v>
      </c>
      <c r="Y52" t="str">
        <f>$A52 &amp; Keys!$C$8 &amp; $B52</f>
        <v>Colorado|Industry SO2</v>
      </c>
      <c r="Z52" s="8">
        <f>IFERROR(INDEX($U52:$W52, MATCH(INDEX(Runs!$D:$D, MATCH($B52, Runs!$A:$A, 0)), $U$1:$W$1, 0)), 0)</f>
        <v>1633.4555848559989</v>
      </c>
      <c r="AA52" s="8">
        <f t="shared" si="0"/>
        <v>1.4903145223349356E-2</v>
      </c>
      <c r="AB52" s="8">
        <f>IFERROR(VLOOKUP(INDEX(Runs!$F:$F, MATCH($B52, Runs!$A:$A, 0)), US_national_yearly!$D:$AM, MATCH(Keys!$C$7, US_national_yearly!$D$1:$AM$1, 0), FALSE), 0)</f>
        <v>5.3000351638639942E-3</v>
      </c>
      <c r="AC52" s="8">
        <f t="shared" si="1"/>
        <v>2.8118955370258729</v>
      </c>
      <c r="AD52">
        <f>IF($Z52&lt;Keys!$C$3, 1, 0)</f>
        <v>0</v>
      </c>
      <c r="AE52">
        <f>IF($AC52&gt;Keys!$C$4, 1, 0)</f>
        <v>0</v>
      </c>
      <c r="AF52">
        <f>IF($AC52&lt;Keys!$C$5, 1, 0)</f>
        <v>0</v>
      </c>
      <c r="AG52">
        <f t="shared" si="2"/>
        <v>0</v>
      </c>
      <c r="AH52" t="str">
        <f>IFERROR(INDEX(Runs!$E:$E, MATCH($B52, Runs!$A:$A, 0)), $B52)</f>
        <v>Industry SO2</v>
      </c>
      <c r="AI52" t="str">
        <f t="shared" si="3"/>
        <v>Industry SO2</v>
      </c>
      <c r="AJ52" t="str">
        <f>IF($AG52=1, IF($AD52=1, Keys!$C$9, "") &amp; IF($AE52=1, Keys!$C$10, "") &amp; IF($AF52=1, Keys!$C$11, ""), "")</f>
        <v/>
      </c>
      <c r="AK52">
        <f>IF($AG52=1, IFERROR(INDEX($AG$2:$AG$577, MATCH($A52 &amp; Keys!$C$8 &amp; $AH52, $Y$2:$Y$577, 0)), 1), 0)</f>
        <v>0</v>
      </c>
    </row>
    <row r="53" spans="1:37" x14ac:dyDescent="0.25">
      <c r="A53" t="s">
        <v>91</v>
      </c>
      <c r="B53" t="s">
        <v>253</v>
      </c>
      <c r="C53">
        <v>64</v>
      </c>
      <c r="D53">
        <v>10.7902468852</v>
      </c>
      <c r="E53">
        <v>3.2163447775900002E-2</v>
      </c>
      <c r="F53">
        <v>37.07175619600001</v>
      </c>
      <c r="G53">
        <v>49.922162576000012</v>
      </c>
      <c r="H53">
        <v>76.273803712000017</v>
      </c>
      <c r="I53">
        <v>0.8025913499999997</v>
      </c>
      <c r="J53">
        <v>5.063028612400001</v>
      </c>
      <c r="K53">
        <v>4749.5579277210018</v>
      </c>
      <c r="L53">
        <v>812.92731532900018</v>
      </c>
      <c r="M53">
        <v>0.98584083711000003</v>
      </c>
      <c r="N53">
        <v>163.26772248399999</v>
      </c>
      <c r="O53">
        <v>3.0520287734000009</v>
      </c>
      <c r="P53">
        <v>7.4548649641999989E-2</v>
      </c>
      <c r="Q53">
        <v>0.19427177858</v>
      </c>
      <c r="R53">
        <v>8.6524513105999983</v>
      </c>
      <c r="S53">
        <v>109.82150606099999</v>
      </c>
      <c r="T53">
        <v>155.78595705899991</v>
      </c>
      <c r="U53">
        <v>0</v>
      </c>
      <c r="V53">
        <v>0</v>
      </c>
      <c r="W53">
        <v>8556.6598695140001</v>
      </c>
      <c r="Y53" t="str">
        <f>$A53 &amp; Keys!$C$8 &amp; $B53</f>
        <v>Colorado|buildings NO2</v>
      </c>
      <c r="Z53" s="8">
        <f>IFERROR(INDEX($U53:$W53, MATCH(INDEX(Runs!$D:$D, MATCH($B53, Runs!$A:$A, 0)), $U$1:$W$1, 0)), 0)</f>
        <v>8556.6598695140001</v>
      </c>
      <c r="AA53" s="8">
        <f t="shared" si="0"/>
        <v>1.2610349189692476E-3</v>
      </c>
      <c r="AB53" s="8">
        <f>IFERROR(VLOOKUP(INDEX(Runs!$F:$F, MATCH($B53, Runs!$A:$A, 0)), US_national_yearly!$D:$AM, MATCH(Keys!$C$7, US_national_yearly!$D$1:$AM$1, 0), FALSE), 0)</f>
        <v>5.6784740124662739E-3</v>
      </c>
      <c r="AC53" s="8">
        <f t="shared" si="1"/>
        <v>0.22207285200228558</v>
      </c>
      <c r="AD53">
        <f>IF($Z53&lt;Keys!$C$3, 1, 0)</f>
        <v>0</v>
      </c>
      <c r="AE53">
        <f>IF($AC53&gt;Keys!$C$4, 1, 0)</f>
        <v>0</v>
      </c>
      <c r="AF53">
        <f>IF($AC53&lt;Keys!$C$5, 1, 0)</f>
        <v>0</v>
      </c>
      <c r="AG53">
        <f t="shared" si="2"/>
        <v>0</v>
      </c>
      <c r="AH53" t="str">
        <f>IFERROR(INDEX(Runs!$E:$E, MATCH($B53, Runs!$A:$A, 0)), $B53)</f>
        <v>Industry NO2</v>
      </c>
      <c r="AI53" t="str">
        <f t="shared" si="3"/>
        <v>buildings NO2</v>
      </c>
      <c r="AJ53" t="str">
        <f>IF($AG53=1, IF($AD53=1, Keys!$C$9, "") &amp; IF($AE53=1, Keys!$C$10, "") &amp; IF($AF53=1, Keys!$C$11, ""), "")</f>
        <v/>
      </c>
      <c r="AK53">
        <f>IF($AG53=1, IFERROR(INDEX($AG$2:$AG$577, MATCH($A53 &amp; Keys!$C$8 &amp; $AH53, $Y$2:$Y$577, 0)), 1), 0)</f>
        <v>0</v>
      </c>
    </row>
    <row r="54" spans="1:37" x14ac:dyDescent="0.25">
      <c r="A54" t="s">
        <v>91</v>
      </c>
      <c r="B54" t="s">
        <v>251</v>
      </c>
      <c r="C54">
        <v>64</v>
      </c>
      <c r="D54">
        <v>1.99603103338</v>
      </c>
      <c r="E54">
        <v>6.3603102874400007E-3</v>
      </c>
      <c r="F54">
        <v>7.02803754358</v>
      </c>
      <c r="G54">
        <v>9.4642674718999977</v>
      </c>
      <c r="H54">
        <v>14.459814156</v>
      </c>
      <c r="I54">
        <v>0.16233093742599999</v>
      </c>
      <c r="J54">
        <v>0.98871802206000026</v>
      </c>
      <c r="K54">
        <v>898.89459145900014</v>
      </c>
      <c r="L54">
        <v>154.126439637</v>
      </c>
      <c r="M54">
        <v>0.197771485031</v>
      </c>
      <c r="N54">
        <v>30.95211917148</v>
      </c>
      <c r="O54">
        <v>0.58473816375999998</v>
      </c>
      <c r="P54">
        <v>1.3724020795900011E-2</v>
      </c>
      <c r="Q54">
        <v>4.0519370177099993E-2</v>
      </c>
      <c r="R54">
        <v>1.6427441619400001</v>
      </c>
      <c r="S54">
        <v>20.8448894651</v>
      </c>
      <c r="T54">
        <v>29.55309086310001</v>
      </c>
      <c r="U54">
        <v>109.7999078149999</v>
      </c>
      <c r="V54">
        <v>0</v>
      </c>
      <c r="W54">
        <v>0</v>
      </c>
      <c r="Y54" t="str">
        <f>$A54 &amp; Keys!$C$8 &amp; $B54</f>
        <v>Colorado|buildings PM25</v>
      </c>
      <c r="Z54" s="8">
        <f>IFERROR(INDEX($U54:$W54, MATCH(INDEX(Runs!$D:$D, MATCH($B54, Runs!$A:$A, 0)), $U$1:$W$1, 0)), 0)</f>
        <v>109.7999078149999</v>
      </c>
      <c r="AA54" s="8">
        <f t="shared" si="0"/>
        <v>1.8178804273160962E-2</v>
      </c>
      <c r="AB54" s="8">
        <f>IFERROR(VLOOKUP(INDEX(Runs!$F:$F, MATCH($B54, Runs!$A:$A, 0)), US_national_yearly!$D:$AM, MATCH(Keys!$C$7, US_national_yearly!$D$1:$AM$1, 0), FALSE), 0)</f>
        <v>2.7627705191843259E-2</v>
      </c>
      <c r="AC54" s="8">
        <f t="shared" si="1"/>
        <v>0.65799182910522847</v>
      </c>
      <c r="AD54">
        <f>IF($Z54&lt;Keys!$C$3, 1, 0)</f>
        <v>0</v>
      </c>
      <c r="AE54">
        <f>IF($AC54&gt;Keys!$C$4, 1, 0)</f>
        <v>0</v>
      </c>
      <c r="AF54">
        <f>IF($AC54&lt;Keys!$C$5, 1, 0)</f>
        <v>0</v>
      </c>
      <c r="AG54">
        <f t="shared" si="2"/>
        <v>0</v>
      </c>
      <c r="AH54" t="str">
        <f>IFERROR(INDEX(Runs!$E:$E, MATCH($B54, Runs!$A:$A, 0)), $B54)</f>
        <v>Industry PM25</v>
      </c>
      <c r="AI54" t="str">
        <f t="shared" si="3"/>
        <v>buildings PM25</v>
      </c>
      <c r="AJ54" t="str">
        <f>IF($AG54=1, IF($AD54=1, Keys!$C$9, "") &amp; IF($AE54=1, Keys!$C$10, "") &amp; IF($AF54=1, Keys!$C$11, ""), "")</f>
        <v/>
      </c>
      <c r="AK54">
        <f>IF($AG54=1, IFERROR(INDEX($AG$2:$AG$577, MATCH($A54 &amp; Keys!$C$8 &amp; $AH54, $Y$2:$Y$577, 0)), 1), 0)</f>
        <v>0</v>
      </c>
    </row>
    <row r="55" spans="1:37" x14ac:dyDescent="0.25">
      <c r="A55" t="s">
        <v>91</v>
      </c>
      <c r="B55" t="s">
        <v>254</v>
      </c>
      <c r="C55">
        <v>64</v>
      </c>
      <c r="D55">
        <v>0.25676044021</v>
      </c>
      <c r="E55">
        <v>7.9576381187999987E-4</v>
      </c>
      <c r="F55">
        <v>0.9017623926799998</v>
      </c>
      <c r="G55">
        <v>1.21435525148</v>
      </c>
      <c r="H55">
        <v>1.8553242336900011</v>
      </c>
      <c r="I55">
        <v>2.3143923109999999E-2</v>
      </c>
      <c r="J55">
        <v>0.13472638649999999</v>
      </c>
      <c r="K55">
        <v>113.42825093499999</v>
      </c>
      <c r="L55">
        <v>19.423430644</v>
      </c>
      <c r="M55">
        <v>2.7643771766000021E-2</v>
      </c>
      <c r="N55">
        <v>3.9714418778499998</v>
      </c>
      <c r="O55">
        <v>7.5665005588999995E-2</v>
      </c>
      <c r="P55">
        <v>1.680323395600001E-3</v>
      </c>
      <c r="Q55">
        <v>5.8377287399000027E-3</v>
      </c>
      <c r="R55">
        <v>0.21049102470799999</v>
      </c>
      <c r="S55">
        <v>2.671221467900001</v>
      </c>
      <c r="T55">
        <v>3.7877541880999992</v>
      </c>
      <c r="U55">
        <v>0</v>
      </c>
      <c r="V55">
        <v>192.58128319999989</v>
      </c>
      <c r="W55">
        <v>0</v>
      </c>
      <c r="Y55" t="str">
        <f>$A55 &amp; Keys!$C$8 &amp; $B55</f>
        <v>Colorado|buildings SO2</v>
      </c>
      <c r="Z55" s="8">
        <f>IFERROR(INDEX($U55:$W55, MATCH(INDEX(Runs!$D:$D, MATCH($B55, Runs!$A:$A, 0)), $U$1:$W$1, 0)), 0)</f>
        <v>192.58128319999989</v>
      </c>
      <c r="AA55" s="8">
        <f t="shared" si="0"/>
        <v>1.3332575001244989E-3</v>
      </c>
      <c r="AB55" s="8">
        <f>IFERROR(VLOOKUP(INDEX(Runs!$F:$F, MATCH($B55, Runs!$A:$A, 0)), US_national_yearly!$D:$AM, MATCH(Keys!$C$7, US_national_yearly!$D$1:$AM$1, 0), FALSE), 0)</f>
        <v>5.1581943281164694E-3</v>
      </c>
      <c r="AC55" s="8">
        <f t="shared" si="1"/>
        <v>0.2584736858123261</v>
      </c>
      <c r="AD55">
        <f>IF($Z55&lt;Keys!$C$3, 1, 0)</f>
        <v>0</v>
      </c>
      <c r="AE55">
        <f>IF($AC55&gt;Keys!$C$4, 1, 0)</f>
        <v>0</v>
      </c>
      <c r="AF55">
        <f>IF($AC55&lt;Keys!$C$5, 1, 0)</f>
        <v>0</v>
      </c>
      <c r="AG55">
        <f t="shared" si="2"/>
        <v>0</v>
      </c>
      <c r="AH55" t="str">
        <f>IFERROR(INDEX(Runs!$E:$E, MATCH($B55, Runs!$A:$A, 0)), $B55)</f>
        <v>Industry SO2</v>
      </c>
      <c r="AI55" t="str">
        <f t="shared" si="3"/>
        <v>buildings SO2</v>
      </c>
      <c r="AJ55" t="str">
        <f>IF($AG55=1, IF($AD55=1, Keys!$C$9, "") &amp; IF($AE55=1, Keys!$C$10, "") &amp; IF($AF55=1, Keys!$C$11, ""), "")</f>
        <v/>
      </c>
      <c r="AK55">
        <f>IF($AG55=1, IFERROR(INDEX($AG$2:$AG$577, MATCH($A55 &amp; Keys!$C$8 &amp; $AH55, $Y$2:$Y$577, 0)), 1), 0)</f>
        <v>0</v>
      </c>
    </row>
    <row r="56" spans="1:37" x14ac:dyDescent="0.25">
      <c r="A56" t="s">
        <v>91</v>
      </c>
      <c r="B56" t="s">
        <v>249</v>
      </c>
      <c r="C56">
        <v>64</v>
      </c>
      <c r="D56">
        <v>2.7495567562000001</v>
      </c>
      <c r="E56">
        <v>7.2695979731999972E-3</v>
      </c>
      <c r="F56">
        <v>9.0422898899999975</v>
      </c>
      <c r="G56">
        <v>12.176750538</v>
      </c>
      <c r="H56">
        <v>18.604028535000001</v>
      </c>
      <c r="I56">
        <v>0.18716984545000001</v>
      </c>
      <c r="J56">
        <v>1.1921733558000001</v>
      </c>
      <c r="K56">
        <v>1141.3594606050001</v>
      </c>
      <c r="L56">
        <v>194.54666551099999</v>
      </c>
      <c r="M56">
        <v>0.22470395829000001</v>
      </c>
      <c r="N56">
        <v>39.823068962999997</v>
      </c>
      <c r="O56">
        <v>0.72795924259999989</v>
      </c>
      <c r="P56">
        <v>1.8905977649000011E-2</v>
      </c>
      <c r="Q56">
        <v>4.0915183970000019E-2</v>
      </c>
      <c r="R56">
        <v>2.0999458628999998</v>
      </c>
      <c r="S56">
        <v>26.6613644</v>
      </c>
      <c r="T56">
        <v>37.835224524000019</v>
      </c>
      <c r="U56">
        <v>0</v>
      </c>
      <c r="V56">
        <v>0</v>
      </c>
      <c r="W56">
        <v>17814.858545285999</v>
      </c>
      <c r="Y56" t="str">
        <f>$A56 &amp; Keys!$C$8 &amp; $B56</f>
        <v>Colorado|electricity NO2</v>
      </c>
      <c r="Z56" s="8">
        <f>IFERROR(INDEX($U56:$W56, MATCH(INDEX(Runs!$D:$D, MATCH($B56, Runs!$A:$A, 0)), $U$1:$W$1, 0)), 0)</f>
        <v>17814.858545285999</v>
      </c>
      <c r="AA56" s="8">
        <f t="shared" si="0"/>
        <v>1.5434064487295982E-4</v>
      </c>
      <c r="AB56" s="8">
        <f>IFERROR(VLOOKUP(INDEX(Runs!$F:$F, MATCH($B56, Runs!$A:$A, 0)), US_national_yearly!$D:$AM, MATCH(Keys!$C$7, US_national_yearly!$D$1:$AM$1, 0), FALSE), 0)</f>
        <v>6.1439221592658041E-3</v>
      </c>
      <c r="AC56" s="8">
        <f t="shared" si="1"/>
        <v>2.5120865934180951E-2</v>
      </c>
      <c r="AD56">
        <f>IF($Z56&lt;Keys!$C$3, 1, 0)</f>
        <v>0</v>
      </c>
      <c r="AE56">
        <f>IF($AC56&gt;Keys!$C$4, 1, 0)</f>
        <v>0</v>
      </c>
      <c r="AF56">
        <f>IF($AC56&lt;Keys!$C$5, 1, 0)</f>
        <v>0</v>
      </c>
      <c r="AG56">
        <f t="shared" si="2"/>
        <v>0</v>
      </c>
      <c r="AH56" t="str">
        <f>IFERROR(INDEX(Runs!$E:$E, MATCH($B56, Runs!$A:$A, 0)), $B56)</f>
        <v>Industry NO2</v>
      </c>
      <c r="AI56" t="str">
        <f t="shared" si="3"/>
        <v>electricity NO2</v>
      </c>
      <c r="AJ56" t="str">
        <f>IF($AG56=1, IF($AD56=1, Keys!$C$9, "") &amp; IF($AE56=1, Keys!$C$10, "") &amp; IF($AF56=1, Keys!$C$11, ""), "")</f>
        <v/>
      </c>
      <c r="AK56">
        <f>IF($AG56=1, IFERROR(INDEX($AG$2:$AG$577, MATCH($A56 &amp; Keys!$C$8 &amp; $AH56, $Y$2:$Y$577, 0)), 1), 0)</f>
        <v>0</v>
      </c>
    </row>
    <row r="57" spans="1:37" x14ac:dyDescent="0.25">
      <c r="A57" t="s">
        <v>91</v>
      </c>
      <c r="B57" t="s">
        <v>247</v>
      </c>
      <c r="C57">
        <v>64</v>
      </c>
      <c r="D57">
        <v>4.2958987924999992</v>
      </c>
      <c r="E57">
        <v>1.22869594558E-2</v>
      </c>
      <c r="F57">
        <v>14.8171270559</v>
      </c>
      <c r="G57">
        <v>19.953372094100001</v>
      </c>
      <c r="H57">
        <v>30.485511912999989</v>
      </c>
      <c r="I57">
        <v>0.35773020623000018</v>
      </c>
      <c r="J57">
        <v>2.1467229630000002</v>
      </c>
      <c r="K57">
        <v>1834.539105245</v>
      </c>
      <c r="L57">
        <v>313.10413866699997</v>
      </c>
      <c r="M57">
        <v>0.43277356362000002</v>
      </c>
      <c r="N57">
        <v>65.256011062999988</v>
      </c>
      <c r="O57">
        <v>1.2195252217300001</v>
      </c>
      <c r="P57">
        <v>2.80771998726E-2</v>
      </c>
      <c r="Q57">
        <v>8.9094055194000044E-2</v>
      </c>
      <c r="R57">
        <v>3.4438043454399998</v>
      </c>
      <c r="S57">
        <v>43.721421548000002</v>
      </c>
      <c r="T57">
        <v>62.042154312000008</v>
      </c>
      <c r="U57">
        <v>507.99006669399989</v>
      </c>
      <c r="V57">
        <v>0</v>
      </c>
      <c r="W57">
        <v>0</v>
      </c>
      <c r="Y57" t="str">
        <f>$A57 &amp; Keys!$C$8 &amp; $B57</f>
        <v>Colorado|electricity PM25</v>
      </c>
      <c r="Z57" s="8">
        <f>IFERROR(INDEX($U57:$W57, MATCH(INDEX(Runs!$D:$D, MATCH($B57, Runs!$A:$A, 0)), $U$1:$W$1, 0)), 0)</f>
        <v>507.99006669399989</v>
      </c>
      <c r="AA57" s="8">
        <f t="shared" si="0"/>
        <v>8.4566590454370795E-3</v>
      </c>
      <c r="AB57" s="8">
        <f>IFERROR(VLOOKUP(INDEX(Runs!$F:$F, MATCH($B57, Runs!$A:$A, 0)), US_national_yearly!$D:$AM, MATCH(Keys!$C$7, US_national_yearly!$D$1:$AM$1, 0), FALSE), 0)</f>
        <v>2.4252978284752182E-2</v>
      </c>
      <c r="AC57" s="8">
        <f t="shared" si="1"/>
        <v>0.34868538396184401</v>
      </c>
      <c r="AD57">
        <f>IF($Z57&lt;Keys!$C$3, 1, 0)</f>
        <v>0</v>
      </c>
      <c r="AE57">
        <f>IF($AC57&gt;Keys!$C$4, 1, 0)</f>
        <v>0</v>
      </c>
      <c r="AF57">
        <f>IF($AC57&lt;Keys!$C$5, 1, 0)</f>
        <v>0</v>
      </c>
      <c r="AG57">
        <f t="shared" si="2"/>
        <v>0</v>
      </c>
      <c r="AH57" t="str">
        <f>IFERROR(INDEX(Runs!$E:$E, MATCH($B57, Runs!$A:$A, 0)), $B57)</f>
        <v>Industry PM25</v>
      </c>
      <c r="AI57" t="str">
        <f t="shared" si="3"/>
        <v>electricity PM25</v>
      </c>
      <c r="AJ57" t="str">
        <f>IF($AG57=1, IF($AD57=1, Keys!$C$9, "") &amp; IF($AE57=1, Keys!$C$10, "") &amp; IF($AF57=1, Keys!$C$11, ""), "")</f>
        <v/>
      </c>
      <c r="AK57">
        <f>IF($AG57=1, IFERROR(INDEX($AG$2:$AG$577, MATCH($A57 &amp; Keys!$C$8 &amp; $AH57, $Y$2:$Y$577, 0)), 1), 0)</f>
        <v>0</v>
      </c>
    </row>
    <row r="58" spans="1:37" x14ac:dyDescent="0.25">
      <c r="A58" t="s">
        <v>91</v>
      </c>
      <c r="B58" t="s">
        <v>250</v>
      </c>
      <c r="C58">
        <v>64</v>
      </c>
      <c r="D58">
        <v>6.7017575069999999</v>
      </c>
      <c r="E58">
        <v>1.8030912404E-2</v>
      </c>
      <c r="F58">
        <v>22.224406427000002</v>
      </c>
      <c r="G58">
        <v>29.928285259999999</v>
      </c>
      <c r="H58">
        <v>45.725714624000013</v>
      </c>
      <c r="I58">
        <v>0.45032578188999989</v>
      </c>
      <c r="J58">
        <v>2.9008058144</v>
      </c>
      <c r="K58">
        <v>2780.4634665909998</v>
      </c>
      <c r="L58">
        <v>474.15460788299998</v>
      </c>
      <c r="M58">
        <v>0.54634157952000029</v>
      </c>
      <c r="N58">
        <v>97.87840631100002</v>
      </c>
      <c r="O58">
        <v>1.7805525771999999</v>
      </c>
      <c r="P58">
        <v>4.6226531026999987E-2</v>
      </c>
      <c r="Q58">
        <v>0.10127771605999999</v>
      </c>
      <c r="R58">
        <v>5.1710718906000013</v>
      </c>
      <c r="S58">
        <v>65.655119353999964</v>
      </c>
      <c r="T58">
        <v>93.180337293000008</v>
      </c>
      <c r="U58">
        <v>0</v>
      </c>
      <c r="V58">
        <v>5704.5904445389997</v>
      </c>
      <c r="W58">
        <v>0</v>
      </c>
      <c r="Y58" t="str">
        <f>$A58 &amp; Keys!$C$8 &amp; $B58</f>
        <v>Colorado|electricity SO2</v>
      </c>
      <c r="Z58" s="8">
        <f>IFERROR(INDEX($U58:$W58, MATCH(INDEX(Runs!$D:$D, MATCH($B58, Runs!$A:$A, 0)), $U$1:$W$1, 0)), 0)</f>
        <v>5704.5904445389997</v>
      </c>
      <c r="AA58" s="8">
        <f t="shared" si="0"/>
        <v>1.1748008156160601E-3</v>
      </c>
      <c r="AB58" s="8">
        <f>IFERROR(VLOOKUP(INDEX(Runs!$F:$F, MATCH($B58, Runs!$A:$A, 0)), US_national_yearly!$D:$AM, MATCH(Keys!$C$7, US_national_yearly!$D$1:$AM$1, 0), FALSE), 0)</f>
        <v>5.7032329662362116E-3</v>
      </c>
      <c r="AC58" s="8">
        <f t="shared" si="1"/>
        <v>0.20598857219598335</v>
      </c>
      <c r="AD58">
        <f>IF($Z58&lt;Keys!$C$3, 1, 0)</f>
        <v>0</v>
      </c>
      <c r="AE58">
        <f>IF($AC58&gt;Keys!$C$4, 1, 0)</f>
        <v>0</v>
      </c>
      <c r="AF58">
        <f>IF($AC58&lt;Keys!$C$5, 1, 0)</f>
        <v>0</v>
      </c>
      <c r="AG58">
        <f t="shared" si="2"/>
        <v>0</v>
      </c>
      <c r="AH58" t="str">
        <f>IFERROR(INDEX(Runs!$E:$E, MATCH($B58, Runs!$A:$A, 0)), $B58)</f>
        <v>Industry SO2</v>
      </c>
      <c r="AI58" t="str">
        <f t="shared" si="3"/>
        <v>electricity SO2</v>
      </c>
      <c r="AJ58" t="str">
        <f>IF($AG58=1, IF($AD58=1, Keys!$C$9, "") &amp; IF($AE58=1, Keys!$C$10, "") &amp; IF($AF58=1, Keys!$C$11, ""), "")</f>
        <v/>
      </c>
      <c r="AK58">
        <f>IF($AG58=1, IFERROR(INDEX($AG$2:$AG$577, MATCH($A58 &amp; Keys!$C$8 &amp; $AH58, $Y$2:$Y$577, 0)), 1), 0)</f>
        <v>0</v>
      </c>
    </row>
    <row r="59" spans="1:37" x14ac:dyDescent="0.25">
      <c r="A59" t="s">
        <v>91</v>
      </c>
      <c r="B59" t="s">
        <v>239</v>
      </c>
      <c r="C59">
        <v>64</v>
      </c>
      <c r="D59">
        <v>62.810846782999967</v>
      </c>
      <c r="E59">
        <v>0.193595112869</v>
      </c>
      <c r="F59">
        <v>216.05037773399999</v>
      </c>
      <c r="G59">
        <v>290.92813222400008</v>
      </c>
      <c r="H59">
        <v>444.5425258950001</v>
      </c>
      <c r="I59">
        <v>4.568959168700002</v>
      </c>
      <c r="J59">
        <v>28.865043173</v>
      </c>
      <c r="K59">
        <v>27927.071718214011</v>
      </c>
      <c r="L59">
        <v>4788.3149432790015</v>
      </c>
      <c r="M59">
        <v>5.586523481499996</v>
      </c>
      <c r="N59">
        <v>951.52103585300028</v>
      </c>
      <c r="O59">
        <v>17.794745736999989</v>
      </c>
      <c r="P59">
        <v>0.44188795316000012</v>
      </c>
      <c r="Q59">
        <v>1.0900551222599999</v>
      </c>
      <c r="R59">
        <v>50.387657107000031</v>
      </c>
      <c r="S59">
        <v>639.73827311799982</v>
      </c>
      <c r="T59">
        <v>908.52453295700002</v>
      </c>
      <c r="U59">
        <v>0</v>
      </c>
      <c r="V59">
        <v>0</v>
      </c>
      <c r="W59">
        <v>55196.838671259989</v>
      </c>
      <c r="Y59" t="str">
        <f>$A59 &amp; Keys!$C$8 &amp; $B59</f>
        <v>Colorado|transportation NO2</v>
      </c>
      <c r="Z59" s="8">
        <f>IFERROR(INDEX($U59:$W59, MATCH(INDEX(Runs!$D:$D, MATCH($B59, Runs!$A:$A, 0)), $U$1:$W$1, 0)), 0)</f>
        <v>55196.838671259989</v>
      </c>
      <c r="AA59" s="8">
        <f t="shared" si="0"/>
        <v>1.1379428296081828E-3</v>
      </c>
      <c r="AB59" s="8">
        <f>IFERROR(VLOOKUP(INDEX(Runs!$F:$F, MATCH($B59, Runs!$A:$A, 0)), US_national_yearly!$D:$AM, MATCH(Keys!$C$7, US_national_yearly!$D$1:$AM$1, 0), FALSE), 0)</f>
        <v>5.7148835886332216E-3</v>
      </c>
      <c r="AC59" s="8">
        <f t="shared" si="1"/>
        <v>0.19911916173962427</v>
      </c>
      <c r="AD59">
        <f>IF($Z59&lt;Keys!$C$3, 1, 0)</f>
        <v>0</v>
      </c>
      <c r="AE59">
        <f>IF($AC59&gt;Keys!$C$4, 1, 0)</f>
        <v>0</v>
      </c>
      <c r="AF59">
        <f>IF($AC59&lt;Keys!$C$5, 1, 0)</f>
        <v>0</v>
      </c>
      <c r="AG59">
        <f t="shared" si="2"/>
        <v>0</v>
      </c>
      <c r="AH59" t="str">
        <f>IFERROR(INDEX(Runs!$E:$E, MATCH($B59, Runs!$A:$A, 0)), $B59)</f>
        <v>Industry NO2</v>
      </c>
      <c r="AI59" t="str">
        <f t="shared" si="3"/>
        <v>transportation NO2</v>
      </c>
      <c r="AJ59" t="str">
        <f>IF($AG59=1, IF($AD59=1, Keys!$C$9, "") &amp; IF($AE59=1, Keys!$C$10, "") &amp; IF($AF59=1, Keys!$C$11, ""), "")</f>
        <v/>
      </c>
      <c r="AK59">
        <f>IF($AG59=1, IFERROR(INDEX($AG$2:$AG$577, MATCH($A59 &amp; Keys!$C$8 &amp; $AH59, $Y$2:$Y$577, 0)), 1), 0)</f>
        <v>0</v>
      </c>
    </row>
    <row r="60" spans="1:37" x14ac:dyDescent="0.25">
      <c r="A60" t="s">
        <v>91</v>
      </c>
      <c r="B60" t="s">
        <v>234</v>
      </c>
      <c r="C60">
        <v>64</v>
      </c>
      <c r="D60">
        <v>40.841242817999998</v>
      </c>
      <c r="E60">
        <v>0.12839517539299999</v>
      </c>
      <c r="F60">
        <v>141.13506057399991</v>
      </c>
      <c r="G60">
        <v>190.051448652</v>
      </c>
      <c r="H60">
        <v>290.39274744199992</v>
      </c>
      <c r="I60">
        <v>3.0107248450999999</v>
      </c>
      <c r="J60">
        <v>19.02314613599999</v>
      </c>
      <c r="K60">
        <v>18428.172199632008</v>
      </c>
      <c r="L60">
        <v>3162.8861267870002</v>
      </c>
      <c r="M60">
        <v>3.7034856715999989</v>
      </c>
      <c r="N60">
        <v>621.57925666799997</v>
      </c>
      <c r="O60">
        <v>11.715748234799999</v>
      </c>
      <c r="P60">
        <v>0.28719696984999982</v>
      </c>
      <c r="Q60">
        <v>0.72926267986999993</v>
      </c>
      <c r="R60">
        <v>33.001951015000003</v>
      </c>
      <c r="S60">
        <v>418.90300000900032</v>
      </c>
      <c r="T60">
        <v>594.5574953119999</v>
      </c>
      <c r="U60">
        <v>1506.8900508200011</v>
      </c>
      <c r="V60">
        <v>0</v>
      </c>
      <c r="W60">
        <v>0</v>
      </c>
      <c r="Y60" t="str">
        <f>$A60 &amp; Keys!$C$8 &amp; $B60</f>
        <v>Colorado|transportation PM25</v>
      </c>
      <c r="Z60" s="8">
        <f>IFERROR(INDEX($U60:$W60, MATCH(INDEX(Runs!$D:$D, MATCH($B60, Runs!$A:$A, 0)), $U$1:$W$1, 0)), 0)</f>
        <v>1506.8900508200011</v>
      </c>
      <c r="AA60" s="8">
        <f t="shared" si="0"/>
        <v>2.7103001175019709E-2</v>
      </c>
      <c r="AB60" s="8">
        <f>IFERROR(VLOOKUP(INDEX(Runs!$F:$F, MATCH($B60, Runs!$A:$A, 0)), US_national_yearly!$D:$AM, MATCH(Keys!$C$7, US_national_yearly!$D$1:$AM$1, 0), FALSE), 0)</f>
        <v>2.8248683697579859E-2</v>
      </c>
      <c r="AC60" s="8">
        <f t="shared" si="1"/>
        <v>0.95944297671263512</v>
      </c>
      <c r="AD60">
        <f>IF($Z60&lt;Keys!$C$3, 1, 0)</f>
        <v>0</v>
      </c>
      <c r="AE60">
        <f>IF($AC60&gt;Keys!$C$4, 1, 0)</f>
        <v>0</v>
      </c>
      <c r="AF60">
        <f>IF($AC60&lt;Keys!$C$5, 1, 0)</f>
        <v>0</v>
      </c>
      <c r="AG60">
        <f t="shared" si="2"/>
        <v>0</v>
      </c>
      <c r="AH60" t="str">
        <f>IFERROR(INDEX(Runs!$E:$E, MATCH($B60, Runs!$A:$A, 0)), $B60)</f>
        <v>Industry PM25</v>
      </c>
      <c r="AI60" t="str">
        <f t="shared" si="3"/>
        <v>transportation PM25</v>
      </c>
      <c r="AJ60" t="str">
        <f>IF($AG60=1, IF($AD60=1, Keys!$C$9, "") &amp; IF($AE60=1, Keys!$C$10, "") &amp; IF($AF60=1, Keys!$C$11, ""), "")</f>
        <v/>
      </c>
      <c r="AK60">
        <f>IF($AG60=1, IFERROR(INDEX($AG$2:$AG$577, MATCH($A60 &amp; Keys!$C$8 &amp; $AH60, $Y$2:$Y$577, 0)), 1), 0)</f>
        <v>0</v>
      </c>
    </row>
    <row r="61" spans="1:37" x14ac:dyDescent="0.25">
      <c r="A61" t="s">
        <v>91</v>
      </c>
      <c r="B61" t="s">
        <v>243</v>
      </c>
      <c r="C61">
        <v>64</v>
      </c>
      <c r="D61">
        <v>1.5248468628</v>
      </c>
      <c r="E61">
        <v>5.1900259395399953E-3</v>
      </c>
      <c r="F61">
        <v>5.2508309747999977</v>
      </c>
      <c r="G61">
        <v>7.0709963652000001</v>
      </c>
      <c r="H61">
        <v>10.803317854399999</v>
      </c>
      <c r="I61">
        <v>0.100577687768</v>
      </c>
      <c r="J61">
        <v>0.65661884532000003</v>
      </c>
      <c r="K61">
        <v>706.54157903000009</v>
      </c>
      <c r="L61">
        <v>121.791028404</v>
      </c>
      <c r="M61">
        <v>0.122487102909</v>
      </c>
      <c r="N61">
        <v>23.125145194400002</v>
      </c>
      <c r="O61">
        <v>0.43582836784000001</v>
      </c>
      <c r="P61">
        <v>1.1287051821599999E-2</v>
      </c>
      <c r="Q61">
        <v>2.329502203920001E-2</v>
      </c>
      <c r="R61">
        <v>1.2334021830299999</v>
      </c>
      <c r="S61">
        <v>15.639739934</v>
      </c>
      <c r="T61">
        <v>22.1474786864</v>
      </c>
      <c r="U61">
        <v>0</v>
      </c>
      <c r="V61">
        <v>524.44615426899998</v>
      </c>
      <c r="W61">
        <v>0</v>
      </c>
      <c r="Y61" t="str">
        <f>$A61 &amp; Keys!$C$8 &amp; $B61</f>
        <v>Colorado|transportation SO2</v>
      </c>
      <c r="Z61" s="8">
        <f>IFERROR(INDEX($U61:$W61, MATCH(INDEX(Runs!$D:$D, MATCH($B61, Runs!$A:$A, 0)), $U$1:$W$1, 0)), 0)</f>
        <v>524.44615426899998</v>
      </c>
      <c r="AA61" s="8">
        <f t="shared" si="0"/>
        <v>2.9075375048281363E-3</v>
      </c>
      <c r="AB61" s="8">
        <f>IFERROR(VLOOKUP(INDEX(Runs!$F:$F, MATCH($B61, Runs!$A:$A, 0)), US_national_yearly!$D:$AM, MATCH(Keys!$C$7, US_national_yearly!$D$1:$AM$1, 0), FALSE), 0)</f>
        <v>5.1800714166247604E-3</v>
      </c>
      <c r="AC61" s="8">
        <f t="shared" si="1"/>
        <v>0.56129293806582969</v>
      </c>
      <c r="AD61">
        <f>IF($Z61&lt;Keys!$C$3, 1, 0)</f>
        <v>0</v>
      </c>
      <c r="AE61">
        <f>IF($AC61&gt;Keys!$C$4, 1, 0)</f>
        <v>0</v>
      </c>
      <c r="AF61">
        <f>IF($AC61&lt;Keys!$C$5, 1, 0)</f>
        <v>0</v>
      </c>
      <c r="AG61">
        <f t="shared" si="2"/>
        <v>0</v>
      </c>
      <c r="AH61" t="str">
        <f>IFERROR(INDEX(Runs!$E:$E, MATCH($B61, Runs!$A:$A, 0)), $B61)</f>
        <v>Industry SO2</v>
      </c>
      <c r="AI61" t="str">
        <f t="shared" si="3"/>
        <v>transportation SO2</v>
      </c>
      <c r="AJ61" t="str">
        <f>IF($AG61=1, IF($AD61=1, Keys!$C$9, "") &amp; IF($AE61=1, Keys!$C$10, "") &amp; IF($AF61=1, Keys!$C$11, ""), "")</f>
        <v/>
      </c>
      <c r="AK61">
        <f>IF($AG61=1, IFERROR(INDEX($AG$2:$AG$577, MATCH($A61 &amp; Keys!$C$8 &amp; $AH61, $Y$2:$Y$577, 0)), 1), 0)</f>
        <v>0</v>
      </c>
    </row>
    <row r="62" spans="1:37" x14ac:dyDescent="0.25">
      <c r="A62" t="s">
        <v>95</v>
      </c>
      <c r="B62" t="s">
        <v>242</v>
      </c>
      <c r="C62">
        <v>8</v>
      </c>
      <c r="D62">
        <v>1.225868628</v>
      </c>
      <c r="E62">
        <v>2.1179858E-3</v>
      </c>
      <c r="F62">
        <v>2.9481547570000002</v>
      </c>
      <c r="G62">
        <v>3.9701196529999998</v>
      </c>
      <c r="H62">
        <v>6.0656647100000001</v>
      </c>
      <c r="I62">
        <v>9.3980769999999977E-2</v>
      </c>
      <c r="J62">
        <v>0.49413166699999989</v>
      </c>
      <c r="K62">
        <v>397.81750249200002</v>
      </c>
      <c r="L62">
        <v>67.019432507000019</v>
      </c>
      <c r="M62">
        <v>0.11272156999999999</v>
      </c>
      <c r="N62">
        <v>12.98393912</v>
      </c>
      <c r="O62">
        <v>0.34024888800000003</v>
      </c>
      <c r="P62">
        <v>1.0154246E-2</v>
      </c>
      <c r="Q62">
        <v>2.2430142E-2</v>
      </c>
      <c r="R62">
        <v>0.67506714800000001</v>
      </c>
      <c r="S62">
        <v>8.5859984709999999</v>
      </c>
      <c r="T62">
        <v>12.220532655</v>
      </c>
      <c r="U62">
        <v>0</v>
      </c>
      <c r="V62">
        <v>0</v>
      </c>
      <c r="W62">
        <v>4295.8626636899999</v>
      </c>
      <c r="Y62" t="str">
        <f>$A62 &amp; Keys!$C$8 &amp; $B62</f>
        <v>Connecticut|Industry NO2</v>
      </c>
      <c r="Z62" s="8">
        <f>IFERROR(INDEX($U62:$W62, MATCH(INDEX(Runs!$D:$D, MATCH($B62, Runs!$A:$A, 0)), $U$1:$W$1, 0)), 0)</f>
        <v>4295.8626636899999</v>
      </c>
      <c r="AA62" s="8">
        <f t="shared" si="0"/>
        <v>2.8536029290727381E-4</v>
      </c>
      <c r="AB62" s="8">
        <f>IFERROR(VLOOKUP(INDEX(Runs!$F:$F, MATCH($B62, Runs!$A:$A, 0)), US_national_yearly!$D:$AM, MATCH(Keys!$C$7, US_national_yearly!$D$1:$AM$1, 0), FALSE), 0)</f>
        <v>5.8012217057786938E-3</v>
      </c>
      <c r="AC62" s="8">
        <f t="shared" si="1"/>
        <v>4.9189689237875818E-2</v>
      </c>
      <c r="AD62">
        <f>IF($Z62&lt;Keys!$C$3, 1, 0)</f>
        <v>0</v>
      </c>
      <c r="AE62">
        <f>IF($AC62&gt;Keys!$C$4, 1, 0)</f>
        <v>0</v>
      </c>
      <c r="AF62">
        <f>IF($AC62&lt;Keys!$C$5, 1, 0)</f>
        <v>0</v>
      </c>
      <c r="AG62">
        <f t="shared" si="2"/>
        <v>0</v>
      </c>
      <c r="AH62" t="str">
        <f>IFERROR(INDEX(Runs!$E:$E, MATCH($B62, Runs!$A:$A, 0)), $B62)</f>
        <v>Industry NO2</v>
      </c>
      <c r="AI62" t="str">
        <f t="shared" si="3"/>
        <v>Industry NO2</v>
      </c>
      <c r="AJ62" t="str">
        <f>IF($AG62=1, IF($AD62=1, Keys!$C$9, "") &amp; IF($AE62=1, Keys!$C$10, "") &amp; IF($AF62=1, Keys!$C$11, ""), "")</f>
        <v/>
      </c>
      <c r="AK62">
        <f>IF($AG62=1, IFERROR(INDEX($AG$2:$AG$577, MATCH($A62 &amp; Keys!$C$8 &amp; $AH62, $Y$2:$Y$577, 0)), 1), 0)</f>
        <v>0</v>
      </c>
    </row>
    <row r="63" spans="1:37" x14ac:dyDescent="0.25">
      <c r="A63" t="s">
        <v>95</v>
      </c>
      <c r="B63" t="s">
        <v>238</v>
      </c>
      <c r="C63">
        <v>8</v>
      </c>
      <c r="D63">
        <v>50.534568919000009</v>
      </c>
      <c r="E63">
        <v>8.6422867000000014E-2</v>
      </c>
      <c r="F63">
        <v>117.065137812</v>
      </c>
      <c r="G63">
        <v>157.639961414</v>
      </c>
      <c r="H63">
        <v>240.86580463499999</v>
      </c>
      <c r="I63">
        <v>3.7831235560000001</v>
      </c>
      <c r="J63">
        <v>20.633071695000002</v>
      </c>
      <c r="K63">
        <v>15996.9200624</v>
      </c>
      <c r="L63">
        <v>2696.2185470300001</v>
      </c>
      <c r="M63">
        <v>4.8763893410000012</v>
      </c>
      <c r="N63">
        <v>515.57090386100003</v>
      </c>
      <c r="O63">
        <v>14.474605881</v>
      </c>
      <c r="P63">
        <v>0.43383117100000002</v>
      </c>
      <c r="Q63">
        <v>1.0010857529999999</v>
      </c>
      <c r="R63">
        <v>26.583776267000001</v>
      </c>
      <c r="S63">
        <v>338.19609204800003</v>
      </c>
      <c r="T63">
        <v>481.78763132199998</v>
      </c>
      <c r="U63">
        <v>1453.98114278</v>
      </c>
      <c r="V63">
        <v>0</v>
      </c>
      <c r="W63">
        <v>0</v>
      </c>
      <c r="Y63" t="str">
        <f>$A63 &amp; Keys!$C$8 &amp; $B63</f>
        <v>Connecticut|Industry PM25</v>
      </c>
      <c r="Z63" s="8">
        <f>IFERROR(INDEX($U63:$W63, MATCH(INDEX(Runs!$D:$D, MATCH($B63, Runs!$A:$A, 0)), $U$1:$W$1, 0)), 0)</f>
        <v>1453.98114278</v>
      </c>
      <c r="AA63" s="8">
        <f t="shared" si="0"/>
        <v>3.4756000220455628E-2</v>
      </c>
      <c r="AB63" s="8">
        <f>IFERROR(VLOOKUP(INDEX(Runs!$F:$F, MATCH($B63, Runs!$A:$A, 0)), US_national_yearly!$D:$AM, MATCH(Keys!$C$7, US_national_yearly!$D$1:$AM$1, 0), FALSE), 0)</f>
        <v>2.6833191881203179E-2</v>
      </c>
      <c r="AC63" s="8">
        <f t="shared" si="1"/>
        <v>1.2952614945821048</v>
      </c>
      <c r="AD63">
        <f>IF($Z63&lt;Keys!$C$3, 1, 0)</f>
        <v>0</v>
      </c>
      <c r="AE63">
        <f>IF($AC63&gt;Keys!$C$4, 1, 0)</f>
        <v>0</v>
      </c>
      <c r="AF63">
        <f>IF($AC63&lt;Keys!$C$5, 1, 0)</f>
        <v>0</v>
      </c>
      <c r="AG63">
        <f t="shared" si="2"/>
        <v>0</v>
      </c>
      <c r="AH63" t="str">
        <f>IFERROR(INDEX(Runs!$E:$E, MATCH($B63, Runs!$A:$A, 0)), $B63)</f>
        <v>Industry PM25</v>
      </c>
      <c r="AI63" t="str">
        <f t="shared" si="3"/>
        <v>Industry PM25</v>
      </c>
      <c r="AJ63" t="str">
        <f>IF($AG63=1, IF($AD63=1, Keys!$C$9, "") &amp; IF($AE63=1, Keys!$C$10, "") &amp; IF($AF63=1, Keys!$C$11, ""), "")</f>
        <v/>
      </c>
      <c r="AK63">
        <f>IF($AG63=1, IFERROR(INDEX($AG$2:$AG$577, MATCH($A63 &amp; Keys!$C$8 &amp; $AH63, $Y$2:$Y$577, 0)), 1), 0)</f>
        <v>0</v>
      </c>
    </row>
    <row r="64" spans="1:37" x14ac:dyDescent="0.25">
      <c r="A64" t="s">
        <v>95</v>
      </c>
      <c r="B64" t="s">
        <v>246</v>
      </c>
      <c r="C64">
        <v>8</v>
      </c>
      <c r="D64">
        <v>4.9029462869999989</v>
      </c>
      <c r="E64">
        <v>8.4935969999999986E-3</v>
      </c>
      <c r="F64">
        <v>11.701916491</v>
      </c>
      <c r="G64">
        <v>15.758291606</v>
      </c>
      <c r="H64">
        <v>24.076130720999998</v>
      </c>
      <c r="I64">
        <v>0.37354391599999998</v>
      </c>
      <c r="J64">
        <v>1.9823310780000001</v>
      </c>
      <c r="K64">
        <v>1582.81025705</v>
      </c>
      <c r="L64">
        <v>266.708631744</v>
      </c>
      <c r="M64">
        <v>0.45613467200000002</v>
      </c>
      <c r="N64">
        <v>51.536338817999997</v>
      </c>
      <c r="O64">
        <v>1.3729698910000001</v>
      </c>
      <c r="P64">
        <v>4.1058862999999987E-2</v>
      </c>
      <c r="Q64">
        <v>9.1546817000000003E-2</v>
      </c>
      <c r="R64">
        <v>2.676436877</v>
      </c>
      <c r="S64">
        <v>34.041003882000012</v>
      </c>
      <c r="T64">
        <v>48.453042281999991</v>
      </c>
      <c r="U64">
        <v>0</v>
      </c>
      <c r="V64">
        <v>303.80182521699999</v>
      </c>
      <c r="W64">
        <v>0</v>
      </c>
      <c r="Y64" t="str">
        <f>$A64 &amp; Keys!$C$8 &amp; $B64</f>
        <v>Connecticut|Industry SO2</v>
      </c>
      <c r="Z64" s="8">
        <f>IFERROR(INDEX($U64:$W64, MATCH(INDEX(Runs!$D:$D, MATCH($B64, Runs!$A:$A, 0)), $U$1:$W$1, 0)), 0)</f>
        <v>303.80182521699999</v>
      </c>
      <c r="AA64" s="8">
        <f t="shared" si="0"/>
        <v>1.6138633411757534E-2</v>
      </c>
      <c r="AB64" s="8">
        <f>IFERROR(VLOOKUP(INDEX(Runs!$F:$F, MATCH($B64, Runs!$A:$A, 0)), US_national_yearly!$D:$AM, MATCH(Keys!$C$7, US_national_yearly!$D$1:$AM$1, 0), FALSE), 0)</f>
        <v>5.3000351638639942E-3</v>
      </c>
      <c r="AC64" s="8">
        <f t="shared" si="1"/>
        <v>3.0450049693616847</v>
      </c>
      <c r="AD64">
        <f>IF($Z64&lt;Keys!$C$3, 1, 0)</f>
        <v>0</v>
      </c>
      <c r="AE64">
        <f>IF($AC64&gt;Keys!$C$4, 1, 0)</f>
        <v>0</v>
      </c>
      <c r="AF64">
        <f>IF($AC64&lt;Keys!$C$5, 1, 0)</f>
        <v>0</v>
      </c>
      <c r="AG64">
        <f t="shared" si="2"/>
        <v>0</v>
      </c>
      <c r="AH64" t="str">
        <f>IFERROR(INDEX(Runs!$E:$E, MATCH($B64, Runs!$A:$A, 0)), $B64)</f>
        <v>Industry SO2</v>
      </c>
      <c r="AI64" t="str">
        <f t="shared" si="3"/>
        <v>Industry SO2</v>
      </c>
      <c r="AJ64" t="str">
        <f>IF($AG64=1, IF($AD64=1, Keys!$C$9, "") &amp; IF($AE64=1, Keys!$C$10, "") &amp; IF($AF64=1, Keys!$C$11, ""), "")</f>
        <v/>
      </c>
      <c r="AK64">
        <f>IF($AG64=1, IFERROR(INDEX($AG$2:$AG$577, MATCH($A64 &amp; Keys!$C$8 &amp; $AH64, $Y$2:$Y$577, 0)), 1), 0)</f>
        <v>0</v>
      </c>
    </row>
    <row r="65" spans="1:37" x14ac:dyDescent="0.25">
      <c r="A65" t="s">
        <v>95</v>
      </c>
      <c r="B65" t="s">
        <v>253</v>
      </c>
      <c r="C65">
        <v>8</v>
      </c>
      <c r="D65">
        <v>11.365135200999999</v>
      </c>
      <c r="E65">
        <v>1.9860807000000001E-2</v>
      </c>
      <c r="F65">
        <v>26.438846471000002</v>
      </c>
      <c r="G65">
        <v>35.603501833000003</v>
      </c>
      <c r="H65">
        <v>54.396977614999997</v>
      </c>
      <c r="I65">
        <v>0.84803613500000008</v>
      </c>
      <c r="J65">
        <v>4.6314041420000009</v>
      </c>
      <c r="K65">
        <v>3600.7372622900002</v>
      </c>
      <c r="L65">
        <v>607.07276135200004</v>
      </c>
      <c r="M65">
        <v>1.093113977</v>
      </c>
      <c r="N65">
        <v>116.439325919</v>
      </c>
      <c r="O65">
        <v>3.2611151509999998</v>
      </c>
      <c r="P65">
        <v>9.8160776000000005E-2</v>
      </c>
      <c r="Q65">
        <v>0.224779006</v>
      </c>
      <c r="R65">
        <v>6.0291984460000014</v>
      </c>
      <c r="S65">
        <v>76.680585085000004</v>
      </c>
      <c r="T65">
        <v>109.14372578699999</v>
      </c>
      <c r="U65">
        <v>0</v>
      </c>
      <c r="V65">
        <v>0</v>
      </c>
      <c r="W65">
        <v>8486.8556292999983</v>
      </c>
      <c r="Y65" t="str">
        <f>$A65 &amp; Keys!$C$8 &amp; $B65</f>
        <v>Connecticut|buildings NO2</v>
      </c>
      <c r="Z65" s="8">
        <f>IFERROR(INDEX($U65:$W65, MATCH(INDEX(Runs!$D:$D, MATCH($B65, Runs!$A:$A, 0)), $U$1:$W$1, 0)), 0)</f>
        <v>8486.8556292999983</v>
      </c>
      <c r="AA65" s="8">
        <f t="shared" si="0"/>
        <v>1.3391455796376501E-3</v>
      </c>
      <c r="AB65" s="8">
        <f>IFERROR(VLOOKUP(INDEX(Runs!$F:$F, MATCH($B65, Runs!$A:$A, 0)), US_national_yearly!$D:$AM, MATCH(Keys!$C$7, US_national_yearly!$D$1:$AM$1, 0), FALSE), 0)</f>
        <v>5.6784740124662739E-3</v>
      </c>
      <c r="AC65" s="8">
        <f t="shared" si="1"/>
        <v>0.23582842444955254</v>
      </c>
      <c r="AD65">
        <f>IF($Z65&lt;Keys!$C$3, 1, 0)</f>
        <v>0</v>
      </c>
      <c r="AE65">
        <f>IF($AC65&gt;Keys!$C$4, 1, 0)</f>
        <v>0</v>
      </c>
      <c r="AF65">
        <f>IF($AC65&lt;Keys!$C$5, 1, 0)</f>
        <v>0</v>
      </c>
      <c r="AG65">
        <f t="shared" si="2"/>
        <v>0</v>
      </c>
      <c r="AH65" t="str">
        <f>IFERROR(INDEX(Runs!$E:$E, MATCH($B65, Runs!$A:$A, 0)), $B65)</f>
        <v>Industry NO2</v>
      </c>
      <c r="AI65" t="str">
        <f t="shared" si="3"/>
        <v>buildings NO2</v>
      </c>
      <c r="AJ65" t="str">
        <f>IF($AG65=1, IF($AD65=1, Keys!$C$9, "") &amp; IF($AE65=1, Keys!$C$10, "") &amp; IF($AF65=1, Keys!$C$11, ""), "")</f>
        <v/>
      </c>
      <c r="AK65">
        <f>IF($AG65=1, IFERROR(INDEX($AG$2:$AG$577, MATCH($A65 &amp; Keys!$C$8 &amp; $AH65, $Y$2:$Y$577, 0)), 1), 0)</f>
        <v>0</v>
      </c>
    </row>
    <row r="66" spans="1:37" x14ac:dyDescent="0.25">
      <c r="A66" t="s">
        <v>95</v>
      </c>
      <c r="B66" t="s">
        <v>251</v>
      </c>
      <c r="C66">
        <v>8</v>
      </c>
      <c r="D66">
        <v>6.4611390340000003</v>
      </c>
      <c r="E66">
        <v>1.106129E-2</v>
      </c>
      <c r="F66">
        <v>14.929496509</v>
      </c>
      <c r="G66">
        <v>20.104670631000001</v>
      </c>
      <c r="H66">
        <v>30.716753308000001</v>
      </c>
      <c r="I66">
        <v>0.48166380800000003</v>
      </c>
      <c r="J66">
        <v>2.644573469</v>
      </c>
      <c r="K66">
        <v>2044.2100661500001</v>
      </c>
      <c r="L66">
        <v>344.56250497899993</v>
      </c>
      <c r="M66">
        <v>0.62702127100000005</v>
      </c>
      <c r="N66">
        <v>65.750920448000016</v>
      </c>
      <c r="O66">
        <v>1.863272442</v>
      </c>
      <c r="P66">
        <v>5.5885878999999999E-2</v>
      </c>
      <c r="Q66">
        <v>0.12938734099999999</v>
      </c>
      <c r="R66">
        <v>3.3880727560000001</v>
      </c>
      <c r="S66">
        <v>43.086770753000003</v>
      </c>
      <c r="T66">
        <v>61.316415525999993</v>
      </c>
      <c r="U66">
        <v>184.08398010799999</v>
      </c>
      <c r="V66">
        <v>0</v>
      </c>
      <c r="W66">
        <v>0</v>
      </c>
      <c r="Y66" t="str">
        <f>$A66 &amp; Keys!$C$8 &amp; $B66</f>
        <v>Connecticut|buildings PM25</v>
      </c>
      <c r="Z66" s="8">
        <f>IFERROR(INDEX($U66:$W66, MATCH(INDEX(Runs!$D:$D, MATCH($B66, Runs!$A:$A, 0)), $U$1:$W$1, 0)), 0)</f>
        <v>184.08398010799999</v>
      </c>
      <c r="AA66" s="8">
        <f t="shared" ref="AA66:AA129" si="4">IFERROR($D66/$Z66, 0)</f>
        <v>3.5098866453285742E-2</v>
      </c>
      <c r="AB66" s="8">
        <f>IFERROR(VLOOKUP(INDEX(Runs!$F:$F, MATCH($B66, Runs!$A:$A, 0)), US_national_yearly!$D:$AM, MATCH(Keys!$C$7, US_national_yearly!$D$1:$AM$1, 0), FALSE), 0)</f>
        <v>2.7627705191843259E-2</v>
      </c>
      <c r="AC66" s="8">
        <f t="shared" ref="AC66:AC129" si="5">IFERROR($AA66/$AB66, 0)</f>
        <v>1.2704227951458036</v>
      </c>
      <c r="AD66">
        <f>IF($Z66&lt;Keys!$C$3, 1, 0)</f>
        <v>0</v>
      </c>
      <c r="AE66">
        <f>IF($AC66&gt;Keys!$C$4, 1, 0)</f>
        <v>0</v>
      </c>
      <c r="AF66">
        <f>IF($AC66&lt;Keys!$C$5, 1, 0)</f>
        <v>0</v>
      </c>
      <c r="AG66">
        <f t="shared" ref="AG66:AG129" si="6">IF($AD66+$AE66+$AF66&gt;0, 1, 0)</f>
        <v>0</v>
      </c>
      <c r="AH66" t="str">
        <f>IFERROR(INDEX(Runs!$E:$E, MATCH($B66, Runs!$A:$A, 0)), $B66)</f>
        <v>Industry PM25</v>
      </c>
      <c r="AI66" t="str">
        <f t="shared" ref="AI66:AI129" si="7">IF($AG66=1, $AH66, $B66)</f>
        <v>buildings PM25</v>
      </c>
      <c r="AJ66" t="str">
        <f>IF($AG66=1, IF($AD66=1, Keys!$C$9, "") &amp; IF($AE66=1, Keys!$C$10, "") &amp; IF($AF66=1, Keys!$C$11, ""), "")</f>
        <v/>
      </c>
      <c r="AK66">
        <f>IF($AG66=1, IFERROR(INDEX($AG$2:$AG$577, MATCH($A66 &amp; Keys!$C$8 &amp; $AH66, $Y$2:$Y$577, 0)), 1), 0)</f>
        <v>0</v>
      </c>
    </row>
    <row r="67" spans="1:37" x14ac:dyDescent="0.25">
      <c r="A67" t="s">
        <v>95</v>
      </c>
      <c r="B67" t="s">
        <v>254</v>
      </c>
      <c r="C67">
        <v>8</v>
      </c>
      <c r="D67">
        <v>0.83679391700000005</v>
      </c>
      <c r="E67">
        <v>1.4426955000000001E-3</v>
      </c>
      <c r="F67">
        <v>1.921372299</v>
      </c>
      <c r="G67">
        <v>2.587408524999999</v>
      </c>
      <c r="H67">
        <v>3.953114856</v>
      </c>
      <c r="I67">
        <v>6.204921E-2</v>
      </c>
      <c r="J67">
        <v>0.34222543299999991</v>
      </c>
      <c r="K67">
        <v>262.65344384100001</v>
      </c>
      <c r="L67">
        <v>44.275425726999998</v>
      </c>
      <c r="M67">
        <v>8.1439804000000005E-2</v>
      </c>
      <c r="N67">
        <v>8.4618956799999996</v>
      </c>
      <c r="O67">
        <v>0.24139555300000001</v>
      </c>
      <c r="P67">
        <v>7.2691919999999998E-3</v>
      </c>
      <c r="Q67">
        <v>1.6849146999999998E-2</v>
      </c>
      <c r="R67">
        <v>0.43738817899999999</v>
      </c>
      <c r="S67">
        <v>5.5619959300000001</v>
      </c>
      <c r="T67">
        <v>7.9139537369999999</v>
      </c>
      <c r="U67">
        <v>0</v>
      </c>
      <c r="V67">
        <v>183.89944141000001</v>
      </c>
      <c r="W67">
        <v>0</v>
      </c>
      <c r="Y67" t="str">
        <f>$A67 &amp; Keys!$C$8 &amp; $B67</f>
        <v>Connecticut|buildings SO2</v>
      </c>
      <c r="Z67" s="8">
        <f>IFERROR(INDEX($U67:$W67, MATCH(INDEX(Runs!$D:$D, MATCH($B67, Runs!$A:$A, 0)), $U$1:$W$1, 0)), 0)</f>
        <v>183.89944141000001</v>
      </c>
      <c r="AA67" s="8">
        <f t="shared" si="4"/>
        <v>4.5502798191452108E-3</v>
      </c>
      <c r="AB67" s="8">
        <f>IFERROR(VLOOKUP(INDEX(Runs!$F:$F, MATCH($B67, Runs!$A:$A, 0)), US_national_yearly!$D:$AM, MATCH(Keys!$C$7, US_national_yearly!$D$1:$AM$1, 0), FALSE), 0)</f>
        <v>5.1581943281164694E-3</v>
      </c>
      <c r="AC67" s="8">
        <f t="shared" si="5"/>
        <v>0.8821458692128723</v>
      </c>
      <c r="AD67">
        <f>IF($Z67&lt;Keys!$C$3, 1, 0)</f>
        <v>0</v>
      </c>
      <c r="AE67">
        <f>IF($AC67&gt;Keys!$C$4, 1, 0)</f>
        <v>0</v>
      </c>
      <c r="AF67">
        <f>IF($AC67&lt;Keys!$C$5, 1, 0)</f>
        <v>0</v>
      </c>
      <c r="AG67">
        <f t="shared" si="6"/>
        <v>0</v>
      </c>
      <c r="AH67" t="str">
        <f>IFERROR(INDEX(Runs!$E:$E, MATCH($B67, Runs!$A:$A, 0)), $B67)</f>
        <v>Industry SO2</v>
      </c>
      <c r="AI67" t="str">
        <f t="shared" si="7"/>
        <v>buildings SO2</v>
      </c>
      <c r="AJ67" t="str">
        <f>IF($AG67=1, IF($AD67=1, Keys!$C$9, "") &amp; IF($AE67=1, Keys!$C$10, "") &amp; IF($AF67=1, Keys!$C$11, ""), "")</f>
        <v/>
      </c>
      <c r="AK67">
        <f>IF($AG67=1, IFERROR(INDEX($AG$2:$AG$577, MATCH($A67 &amp; Keys!$C$8 &amp; $AH67, $Y$2:$Y$577, 0)), 1), 0)</f>
        <v>0</v>
      </c>
    </row>
    <row r="68" spans="1:37" x14ac:dyDescent="0.25">
      <c r="A68" t="s">
        <v>95</v>
      </c>
      <c r="B68" t="s">
        <v>249</v>
      </c>
      <c r="C68">
        <v>8</v>
      </c>
      <c r="D68">
        <v>0.58497158900000001</v>
      </c>
      <c r="E68">
        <v>1.05708291E-3</v>
      </c>
      <c r="F68">
        <v>1.29941098</v>
      </c>
      <c r="G68">
        <v>1.749846303</v>
      </c>
      <c r="H68">
        <v>2.6734655030000001</v>
      </c>
      <c r="I68">
        <v>4.1635732000000009E-2</v>
      </c>
      <c r="J68">
        <v>0.24327236199999999</v>
      </c>
      <c r="K68">
        <v>176.55368524100001</v>
      </c>
      <c r="L68">
        <v>29.786030175</v>
      </c>
      <c r="M68">
        <v>6.0625274999999999E-2</v>
      </c>
      <c r="N68">
        <v>5.7227227860000003</v>
      </c>
      <c r="O68">
        <v>0.17769699799999999</v>
      </c>
      <c r="P68">
        <v>5.4859584999999997E-3</v>
      </c>
      <c r="Q68">
        <v>1.3059869999999999E-2</v>
      </c>
      <c r="R68">
        <v>0.29522255100000011</v>
      </c>
      <c r="S68">
        <v>3.7536170179999999</v>
      </c>
      <c r="T68">
        <v>5.3395983279999992</v>
      </c>
      <c r="U68">
        <v>0</v>
      </c>
      <c r="V68">
        <v>0</v>
      </c>
      <c r="W68">
        <v>1555.0953838</v>
      </c>
      <c r="Y68" t="str">
        <f>$A68 &amp; Keys!$C$8 &amp; $B68</f>
        <v>Connecticut|electricity NO2</v>
      </c>
      <c r="Z68" s="8">
        <f>IFERROR(INDEX($U68:$W68, MATCH(INDEX(Runs!$D:$D, MATCH($B68, Runs!$A:$A, 0)), $U$1:$W$1, 0)), 0)</f>
        <v>1555.0953838</v>
      </c>
      <c r="AA68" s="8">
        <f t="shared" si="4"/>
        <v>3.7616444309067083E-4</v>
      </c>
      <c r="AB68" s="8">
        <f>IFERROR(VLOOKUP(INDEX(Runs!$F:$F, MATCH($B68, Runs!$A:$A, 0)), US_national_yearly!$D:$AM, MATCH(Keys!$C$7, US_national_yearly!$D$1:$AM$1, 0), FALSE), 0)</f>
        <v>6.1439221592658041E-3</v>
      </c>
      <c r="AC68" s="8">
        <f t="shared" si="5"/>
        <v>6.1225457181837459E-2</v>
      </c>
      <c r="AD68">
        <f>IF($Z68&lt;Keys!$C$3, 1, 0)</f>
        <v>0</v>
      </c>
      <c r="AE68">
        <f>IF($AC68&gt;Keys!$C$4, 1, 0)</f>
        <v>0</v>
      </c>
      <c r="AF68">
        <f>IF($AC68&lt;Keys!$C$5, 1, 0)</f>
        <v>0</v>
      </c>
      <c r="AG68">
        <f t="shared" si="6"/>
        <v>0</v>
      </c>
      <c r="AH68" t="str">
        <f>IFERROR(INDEX(Runs!$E:$E, MATCH($B68, Runs!$A:$A, 0)), $B68)</f>
        <v>Industry NO2</v>
      </c>
      <c r="AI68" t="str">
        <f t="shared" si="7"/>
        <v>electricity NO2</v>
      </c>
      <c r="AJ68" t="str">
        <f>IF($AG68=1, IF($AD68=1, Keys!$C$9, "") &amp; IF($AE68=1, Keys!$C$10, "") &amp; IF($AF68=1, Keys!$C$11, ""), "")</f>
        <v/>
      </c>
      <c r="AK68">
        <f>IF($AG68=1, IFERROR(INDEX($AG$2:$AG$577, MATCH($A68 &amp; Keys!$C$8 &amp; $AH68, $Y$2:$Y$577, 0)), 1), 0)</f>
        <v>0</v>
      </c>
    </row>
    <row r="69" spans="1:37" x14ac:dyDescent="0.25">
      <c r="A69" t="s">
        <v>95</v>
      </c>
      <c r="B69" t="s">
        <v>247</v>
      </c>
      <c r="C69">
        <v>8</v>
      </c>
      <c r="D69">
        <v>7.0470389450000006</v>
      </c>
      <c r="E69">
        <v>1.24600605E-2</v>
      </c>
      <c r="F69">
        <v>16.416937441999998</v>
      </c>
      <c r="G69">
        <v>22.107695386</v>
      </c>
      <c r="H69">
        <v>33.777143723000002</v>
      </c>
      <c r="I69">
        <v>0.52531615499999995</v>
      </c>
      <c r="J69">
        <v>2.8628075489999998</v>
      </c>
      <c r="K69">
        <v>2242.528399490001</v>
      </c>
      <c r="L69">
        <v>378.29595384599997</v>
      </c>
      <c r="M69">
        <v>0.67385009799999995</v>
      </c>
      <c r="N69">
        <v>72.301776551000017</v>
      </c>
      <c r="O69">
        <v>2.01964875</v>
      </c>
      <c r="P69">
        <v>6.0719273999999997E-2</v>
      </c>
      <c r="Q69">
        <v>0.13857796</v>
      </c>
      <c r="R69">
        <v>3.7532760870000001</v>
      </c>
      <c r="S69">
        <v>47.734065859999987</v>
      </c>
      <c r="T69">
        <v>67.937981235999999</v>
      </c>
      <c r="U69">
        <v>261.706482392</v>
      </c>
      <c r="V69">
        <v>0</v>
      </c>
      <c r="W69">
        <v>0</v>
      </c>
      <c r="Y69" t="str">
        <f>$A69 &amp; Keys!$C$8 &amp; $B69</f>
        <v>Connecticut|electricity PM25</v>
      </c>
      <c r="Z69" s="8">
        <f>IFERROR(INDEX($U69:$W69, MATCH(INDEX(Runs!$D:$D, MATCH($B69, Runs!$A:$A, 0)), $U$1:$W$1, 0)), 0)</f>
        <v>261.706482392</v>
      </c>
      <c r="AA69" s="8">
        <f t="shared" si="4"/>
        <v>2.6927261719274169E-2</v>
      </c>
      <c r="AB69" s="8">
        <f>IFERROR(VLOOKUP(INDEX(Runs!$F:$F, MATCH($B69, Runs!$A:$A, 0)), US_national_yearly!$D:$AM, MATCH(Keys!$C$7, US_national_yearly!$D$1:$AM$1, 0), FALSE), 0)</f>
        <v>2.4252978284752182E-2</v>
      </c>
      <c r="AC69" s="8">
        <f t="shared" si="5"/>
        <v>1.1102661868214061</v>
      </c>
      <c r="AD69">
        <f>IF($Z69&lt;Keys!$C$3, 1, 0)</f>
        <v>0</v>
      </c>
      <c r="AE69">
        <f>IF($AC69&gt;Keys!$C$4, 1, 0)</f>
        <v>0</v>
      </c>
      <c r="AF69">
        <f>IF($AC69&lt;Keys!$C$5, 1, 0)</f>
        <v>0</v>
      </c>
      <c r="AG69">
        <f t="shared" si="6"/>
        <v>0</v>
      </c>
      <c r="AH69" t="str">
        <f>IFERROR(INDEX(Runs!$E:$E, MATCH($B69, Runs!$A:$A, 0)), $B69)</f>
        <v>Industry PM25</v>
      </c>
      <c r="AI69" t="str">
        <f t="shared" si="7"/>
        <v>electricity PM25</v>
      </c>
      <c r="AJ69" t="str">
        <f>IF($AG69=1, IF($AD69=1, Keys!$C$9, "") &amp; IF($AE69=1, Keys!$C$10, "") &amp; IF($AF69=1, Keys!$C$11, ""), "")</f>
        <v/>
      </c>
      <c r="AK69">
        <f>IF($AG69=1, IFERROR(INDEX($AG$2:$AG$577, MATCH($A69 &amp; Keys!$C$8 &amp; $AH69, $Y$2:$Y$577, 0)), 1), 0)</f>
        <v>0</v>
      </c>
    </row>
    <row r="70" spans="1:37" x14ac:dyDescent="0.25">
      <c r="A70" t="s">
        <v>95</v>
      </c>
      <c r="B70" t="s">
        <v>250</v>
      </c>
      <c r="C70">
        <v>8</v>
      </c>
      <c r="D70">
        <v>1.6687477639999999</v>
      </c>
      <c r="E70">
        <v>2.9871583999999999E-3</v>
      </c>
      <c r="F70">
        <v>3.7520254319999999</v>
      </c>
      <c r="G70">
        <v>5.0526446849999997</v>
      </c>
      <c r="H70">
        <v>7.7195918929999996</v>
      </c>
      <c r="I70">
        <v>0.12042580999999999</v>
      </c>
      <c r="J70">
        <v>0.68961086900000002</v>
      </c>
      <c r="K70">
        <v>510.87913237999999</v>
      </c>
      <c r="L70">
        <v>86.176254989</v>
      </c>
      <c r="M70">
        <v>0.16918346500000001</v>
      </c>
      <c r="N70">
        <v>16.524262010000001</v>
      </c>
      <c r="O70">
        <v>0.49816140199999998</v>
      </c>
      <c r="P70">
        <v>1.5259055000000001E-2</v>
      </c>
      <c r="Q70">
        <v>3.5981929000000003E-2</v>
      </c>
      <c r="R70">
        <v>0.853767053</v>
      </c>
      <c r="S70">
        <v>10.856087711000001</v>
      </c>
      <c r="T70">
        <v>15.445200778</v>
      </c>
      <c r="U70">
        <v>0</v>
      </c>
      <c r="V70">
        <v>129.20968124500001</v>
      </c>
      <c r="W70">
        <v>0</v>
      </c>
      <c r="Y70" t="str">
        <f>$A70 &amp; Keys!$C$8 &amp; $B70</f>
        <v>Connecticut|electricity SO2</v>
      </c>
      <c r="Z70" s="8">
        <f>IFERROR(INDEX($U70:$W70, MATCH(INDEX(Runs!$D:$D, MATCH($B70, Runs!$A:$A, 0)), $U$1:$W$1, 0)), 0)</f>
        <v>129.20968124500001</v>
      </c>
      <c r="AA70" s="8">
        <f t="shared" si="4"/>
        <v>1.2915036612742785E-2</v>
      </c>
      <c r="AB70" s="8">
        <f>IFERROR(VLOOKUP(INDEX(Runs!$F:$F, MATCH($B70, Runs!$A:$A, 0)), US_national_yearly!$D:$AM, MATCH(Keys!$C$7, US_national_yearly!$D$1:$AM$1, 0), FALSE), 0)</f>
        <v>5.7032329662362116E-3</v>
      </c>
      <c r="AC70" s="8">
        <f t="shared" si="5"/>
        <v>2.26451149535733</v>
      </c>
      <c r="AD70">
        <f>IF($Z70&lt;Keys!$C$3, 1, 0)</f>
        <v>0</v>
      </c>
      <c r="AE70">
        <f>IF($AC70&gt;Keys!$C$4, 1, 0)</f>
        <v>0</v>
      </c>
      <c r="AF70">
        <f>IF($AC70&lt;Keys!$C$5, 1, 0)</f>
        <v>0</v>
      </c>
      <c r="AG70">
        <f t="shared" si="6"/>
        <v>0</v>
      </c>
      <c r="AH70" t="str">
        <f>IFERROR(INDEX(Runs!$E:$E, MATCH($B70, Runs!$A:$A, 0)), $B70)</f>
        <v>Industry SO2</v>
      </c>
      <c r="AI70" t="str">
        <f t="shared" si="7"/>
        <v>electricity SO2</v>
      </c>
      <c r="AJ70" t="str">
        <f>IF($AG70=1, IF($AD70=1, Keys!$C$9, "") &amp; IF($AE70=1, Keys!$C$10, "") &amp; IF($AF70=1, Keys!$C$11, ""), "")</f>
        <v/>
      </c>
      <c r="AK70">
        <f>IF($AG70=1, IFERROR(INDEX($AG$2:$AG$577, MATCH($A70 &amp; Keys!$C$8 &amp; $AH70, $Y$2:$Y$577, 0)), 1), 0)</f>
        <v>0</v>
      </c>
    </row>
    <row r="71" spans="1:37" x14ac:dyDescent="0.25">
      <c r="A71" t="s">
        <v>95</v>
      </c>
      <c r="B71" t="s">
        <v>239</v>
      </c>
      <c r="C71">
        <v>8</v>
      </c>
      <c r="D71">
        <v>22.106163683999991</v>
      </c>
      <c r="E71">
        <v>3.8383735000000002E-2</v>
      </c>
      <c r="F71">
        <v>51.228662199000013</v>
      </c>
      <c r="G71">
        <v>68.985852276000003</v>
      </c>
      <c r="H71">
        <v>105.40216764500001</v>
      </c>
      <c r="I71">
        <v>1.648349861</v>
      </c>
      <c r="J71">
        <v>9.0118950899999994</v>
      </c>
      <c r="K71">
        <v>6992.4247067000006</v>
      </c>
      <c r="L71">
        <v>1178.9081063399999</v>
      </c>
      <c r="M71">
        <v>2.1303818059999999</v>
      </c>
      <c r="N71">
        <v>225.61668212000001</v>
      </c>
      <c r="O71">
        <v>6.3433453120000003</v>
      </c>
      <c r="P71">
        <v>0.19069765499999999</v>
      </c>
      <c r="Q71">
        <v>0.43838540300000001</v>
      </c>
      <c r="R71">
        <v>11.671343658</v>
      </c>
      <c r="S71">
        <v>148.448705219</v>
      </c>
      <c r="T71">
        <v>211.34152498899999</v>
      </c>
      <c r="U71">
        <v>0</v>
      </c>
      <c r="V71">
        <v>0</v>
      </c>
      <c r="W71">
        <v>16973.626203299998</v>
      </c>
      <c r="Y71" t="str">
        <f>$A71 &amp; Keys!$C$8 &amp; $B71</f>
        <v>Connecticut|transportation NO2</v>
      </c>
      <c r="Z71" s="8">
        <f>IFERROR(INDEX($U71:$W71, MATCH(INDEX(Runs!$D:$D, MATCH($B71, Runs!$A:$A, 0)), $U$1:$W$1, 0)), 0)</f>
        <v>16973.626203299998</v>
      </c>
      <c r="AA71" s="8">
        <f t="shared" si="4"/>
        <v>1.3023830865146618E-3</v>
      </c>
      <c r="AB71" s="8">
        <f>IFERROR(VLOOKUP(INDEX(Runs!$F:$F, MATCH($B71, Runs!$A:$A, 0)), US_national_yearly!$D:$AM, MATCH(Keys!$C$7, US_national_yearly!$D$1:$AM$1, 0), FALSE), 0)</f>
        <v>5.7148835886332216E-3</v>
      </c>
      <c r="AC71" s="8">
        <f t="shared" si="5"/>
        <v>0.22789319612827691</v>
      </c>
      <c r="AD71">
        <f>IF($Z71&lt;Keys!$C$3, 1, 0)</f>
        <v>0</v>
      </c>
      <c r="AE71">
        <f>IF($AC71&gt;Keys!$C$4, 1, 0)</f>
        <v>0</v>
      </c>
      <c r="AF71">
        <f>IF($AC71&lt;Keys!$C$5, 1, 0)</f>
        <v>0</v>
      </c>
      <c r="AG71">
        <f t="shared" si="6"/>
        <v>0</v>
      </c>
      <c r="AH71" t="str">
        <f>IFERROR(INDEX(Runs!$E:$E, MATCH($B71, Runs!$A:$A, 0)), $B71)</f>
        <v>Industry NO2</v>
      </c>
      <c r="AI71" t="str">
        <f t="shared" si="7"/>
        <v>transportation NO2</v>
      </c>
      <c r="AJ71" t="str">
        <f>IF($AG71=1, IF($AD71=1, Keys!$C$9, "") &amp; IF($AE71=1, Keys!$C$10, "") &amp; IF($AF71=1, Keys!$C$11, ""), "")</f>
        <v/>
      </c>
      <c r="AK71">
        <f>IF($AG71=1, IFERROR(INDEX($AG$2:$AG$577, MATCH($A71 &amp; Keys!$C$8 &amp; $AH71, $Y$2:$Y$577, 0)), 1), 0)</f>
        <v>0</v>
      </c>
    </row>
    <row r="72" spans="1:37" x14ac:dyDescent="0.25">
      <c r="A72" t="s">
        <v>95</v>
      </c>
      <c r="B72" t="s">
        <v>234</v>
      </c>
      <c r="C72">
        <v>8</v>
      </c>
      <c r="D72">
        <v>20.766476872999998</v>
      </c>
      <c r="E72">
        <v>3.5934787000000003E-2</v>
      </c>
      <c r="F72">
        <v>48.593913473000001</v>
      </c>
      <c r="G72">
        <v>65.43788578600001</v>
      </c>
      <c r="H72">
        <v>99.981101735999985</v>
      </c>
      <c r="I72">
        <v>1.5596893510000001</v>
      </c>
      <c r="J72">
        <v>8.4521627929999994</v>
      </c>
      <c r="K72">
        <v>6621.3232289699999</v>
      </c>
      <c r="L72">
        <v>1116.16806683</v>
      </c>
      <c r="M72">
        <v>1.9827899440000001</v>
      </c>
      <c r="N72">
        <v>214.012900995</v>
      </c>
      <c r="O72">
        <v>5.9254077580000004</v>
      </c>
      <c r="P72">
        <v>0.177671106</v>
      </c>
      <c r="Q72">
        <v>0.40526032899999997</v>
      </c>
      <c r="R72">
        <v>11.068414654</v>
      </c>
      <c r="S72">
        <v>140.78297889699999</v>
      </c>
      <c r="T72">
        <v>200.43280864900001</v>
      </c>
      <c r="U72">
        <v>551.18434493000007</v>
      </c>
      <c r="V72">
        <v>0</v>
      </c>
      <c r="W72">
        <v>0</v>
      </c>
      <c r="Y72" t="str">
        <f>$A72 &amp; Keys!$C$8 &amp; $B72</f>
        <v>Connecticut|transportation PM25</v>
      </c>
      <c r="Z72" s="8">
        <f>IFERROR(INDEX($U72:$W72, MATCH(INDEX(Runs!$D:$D, MATCH($B72, Runs!$A:$A, 0)), $U$1:$W$1, 0)), 0)</f>
        <v>551.18434493000007</v>
      </c>
      <c r="AA72" s="8">
        <f t="shared" si="4"/>
        <v>3.7676100680321976E-2</v>
      </c>
      <c r="AB72" s="8">
        <f>IFERROR(VLOOKUP(INDEX(Runs!$F:$F, MATCH($B72, Runs!$A:$A, 0)), US_national_yearly!$D:$AM, MATCH(Keys!$C$7, US_national_yearly!$D$1:$AM$1, 0), FALSE), 0)</f>
        <v>2.8248683697579859E-2</v>
      </c>
      <c r="AC72" s="8">
        <f t="shared" si="5"/>
        <v>1.333729425543102</v>
      </c>
      <c r="AD72">
        <f>IF($Z72&lt;Keys!$C$3, 1, 0)</f>
        <v>0</v>
      </c>
      <c r="AE72">
        <f>IF($AC72&gt;Keys!$C$4, 1, 0)</f>
        <v>0</v>
      </c>
      <c r="AF72">
        <f>IF($AC72&lt;Keys!$C$5, 1, 0)</f>
        <v>0</v>
      </c>
      <c r="AG72">
        <f t="shared" si="6"/>
        <v>0</v>
      </c>
      <c r="AH72" t="str">
        <f>IFERROR(INDEX(Runs!$E:$E, MATCH($B72, Runs!$A:$A, 0)), $B72)</f>
        <v>Industry PM25</v>
      </c>
      <c r="AI72" t="str">
        <f t="shared" si="7"/>
        <v>transportation PM25</v>
      </c>
      <c r="AJ72" t="str">
        <f>IF($AG72=1, IF($AD72=1, Keys!$C$9, "") &amp; IF($AE72=1, Keys!$C$10, "") &amp; IF($AF72=1, Keys!$C$11, ""), "")</f>
        <v/>
      </c>
      <c r="AK72">
        <f>IF($AG72=1, IFERROR(INDEX($AG$2:$AG$577, MATCH($A72 &amp; Keys!$C$8 &amp; $AH72, $Y$2:$Y$577, 0)), 1), 0)</f>
        <v>0</v>
      </c>
    </row>
    <row r="73" spans="1:37" x14ac:dyDescent="0.25">
      <c r="A73" t="s">
        <v>95</v>
      </c>
      <c r="B73" t="s">
        <v>243</v>
      </c>
      <c r="C73">
        <v>8</v>
      </c>
      <c r="D73">
        <v>0.56989629499999994</v>
      </c>
      <c r="E73">
        <v>1.0104798800000001E-3</v>
      </c>
      <c r="F73">
        <v>1.290437748</v>
      </c>
      <c r="G73">
        <v>1.737763089</v>
      </c>
      <c r="H73">
        <v>2.6550024460000001</v>
      </c>
      <c r="I73">
        <v>4.1431519999999999E-2</v>
      </c>
      <c r="J73">
        <v>0.234958681</v>
      </c>
      <c r="K73">
        <v>175.88944855599999</v>
      </c>
      <c r="L73">
        <v>29.664736631</v>
      </c>
      <c r="M73">
        <v>5.7191652000000003E-2</v>
      </c>
      <c r="N73">
        <v>5.683203283000001</v>
      </c>
      <c r="O73">
        <v>0.168854896</v>
      </c>
      <c r="P73">
        <v>5.1492326999999999E-3</v>
      </c>
      <c r="Q73">
        <v>1.2084796E-2</v>
      </c>
      <c r="R73">
        <v>0.29347355000000003</v>
      </c>
      <c r="S73">
        <v>3.7316928309999988</v>
      </c>
      <c r="T73">
        <v>5.3091331070000001</v>
      </c>
      <c r="U73">
        <v>0</v>
      </c>
      <c r="V73">
        <v>102.940469815</v>
      </c>
      <c r="W73">
        <v>0</v>
      </c>
      <c r="Y73" t="str">
        <f>$A73 &amp; Keys!$C$8 &amp; $B73</f>
        <v>Connecticut|transportation SO2</v>
      </c>
      <c r="Z73" s="8">
        <f>IFERROR(INDEX($U73:$W73, MATCH(INDEX(Runs!$D:$D, MATCH($B73, Runs!$A:$A, 0)), $U$1:$W$1, 0)), 0)</f>
        <v>102.940469815</v>
      </c>
      <c r="AA73" s="8">
        <f t="shared" si="4"/>
        <v>5.5361734410595952E-3</v>
      </c>
      <c r="AB73" s="8">
        <f>IFERROR(VLOOKUP(INDEX(Runs!$F:$F, MATCH($B73, Runs!$A:$A, 0)), US_national_yearly!$D:$AM, MATCH(Keys!$C$7, US_national_yearly!$D$1:$AM$1, 0), FALSE), 0)</f>
        <v>5.1800714166247604E-3</v>
      </c>
      <c r="AC73" s="8">
        <f t="shared" si="5"/>
        <v>1.0687446167811456</v>
      </c>
      <c r="AD73">
        <f>IF($Z73&lt;Keys!$C$3, 1, 0)</f>
        <v>0</v>
      </c>
      <c r="AE73">
        <f>IF($AC73&gt;Keys!$C$4, 1, 0)</f>
        <v>0</v>
      </c>
      <c r="AF73">
        <f>IF($AC73&lt;Keys!$C$5, 1, 0)</f>
        <v>0</v>
      </c>
      <c r="AG73">
        <f t="shared" si="6"/>
        <v>0</v>
      </c>
      <c r="AH73" t="str">
        <f>IFERROR(INDEX(Runs!$E:$E, MATCH($B73, Runs!$A:$A, 0)), $B73)</f>
        <v>Industry SO2</v>
      </c>
      <c r="AI73" t="str">
        <f t="shared" si="7"/>
        <v>transportation SO2</v>
      </c>
      <c r="AJ73" t="str">
        <f>IF($AG73=1, IF($AD73=1, Keys!$C$9, "") &amp; IF($AE73=1, Keys!$C$10, "") &amp; IF($AF73=1, Keys!$C$11, ""), "")</f>
        <v/>
      </c>
      <c r="AK73">
        <f>IF($AG73=1, IFERROR(INDEX($AG$2:$AG$577, MATCH($A73 &amp; Keys!$C$8 &amp; $AH73, $Y$2:$Y$577, 0)), 1), 0)</f>
        <v>0</v>
      </c>
    </row>
    <row r="74" spans="1:37" x14ac:dyDescent="0.25">
      <c r="A74" t="s">
        <v>99</v>
      </c>
      <c r="B74" t="s">
        <v>242</v>
      </c>
      <c r="C74">
        <v>3</v>
      </c>
      <c r="D74">
        <v>0.73363662900000004</v>
      </c>
      <c r="E74">
        <v>2.1652922000000002E-3</v>
      </c>
      <c r="F74">
        <v>1.839812403</v>
      </c>
      <c r="G74">
        <v>2.4775713150000001</v>
      </c>
      <c r="H74">
        <v>3.7853199590000002</v>
      </c>
      <c r="I74">
        <v>5.2503538000000002E-2</v>
      </c>
      <c r="J74">
        <v>0.32964138999999998</v>
      </c>
      <c r="K74">
        <v>240.73593056000001</v>
      </c>
      <c r="L74">
        <v>40.899330648999999</v>
      </c>
      <c r="M74">
        <v>8.5275099999999993E-2</v>
      </c>
      <c r="N74">
        <v>8.1027036770000009</v>
      </c>
      <c r="O74">
        <v>0.188750908</v>
      </c>
      <c r="P74">
        <v>7.8871189999999997E-3</v>
      </c>
      <c r="Q74">
        <v>1.971492E-2</v>
      </c>
      <c r="R74">
        <v>0.42924085299999998</v>
      </c>
      <c r="S74">
        <v>5.4590953000000004</v>
      </c>
      <c r="T74">
        <v>7.7694330999999996</v>
      </c>
      <c r="U74">
        <v>0</v>
      </c>
      <c r="V74">
        <v>0</v>
      </c>
      <c r="W74">
        <v>3236.8238925999999</v>
      </c>
      <c r="Y74" t="str">
        <f>$A74 &amp; Keys!$C$8 &amp; $B74</f>
        <v>Delaware|Industry NO2</v>
      </c>
      <c r="Z74" s="8">
        <f>IFERROR(INDEX($U74:$W74, MATCH(INDEX(Runs!$D:$D, MATCH($B74, Runs!$A:$A, 0)), $U$1:$W$1, 0)), 0)</f>
        <v>3236.8238925999999</v>
      </c>
      <c r="AA74" s="8">
        <f t="shared" si="4"/>
        <v>2.2665324198737968E-4</v>
      </c>
      <c r="AB74" s="8">
        <f>IFERROR(VLOOKUP(INDEX(Runs!$F:$F, MATCH($B74, Runs!$A:$A, 0)), US_national_yearly!$D:$AM, MATCH(Keys!$C$7, US_national_yearly!$D$1:$AM$1, 0), FALSE), 0)</f>
        <v>5.8012217057786938E-3</v>
      </c>
      <c r="AC74" s="8">
        <f t="shared" si="5"/>
        <v>3.9069915525139574E-2</v>
      </c>
      <c r="AD74">
        <f>IF($Z74&lt;Keys!$C$3, 1, 0)</f>
        <v>0</v>
      </c>
      <c r="AE74">
        <f>IF($AC74&gt;Keys!$C$4, 1, 0)</f>
        <v>0</v>
      </c>
      <c r="AF74">
        <f>IF($AC74&lt;Keys!$C$5, 1, 0)</f>
        <v>0</v>
      </c>
      <c r="AG74">
        <f t="shared" si="6"/>
        <v>0</v>
      </c>
      <c r="AH74" t="str">
        <f>IFERROR(INDEX(Runs!$E:$E, MATCH($B74, Runs!$A:$A, 0)), $B74)</f>
        <v>Industry NO2</v>
      </c>
      <c r="AI74" t="str">
        <f t="shared" si="7"/>
        <v>Industry NO2</v>
      </c>
      <c r="AJ74" t="str">
        <f>IF($AG74=1, IF($AD74=1, Keys!$C$9, "") &amp; IF($AE74=1, Keys!$C$10, "") &amp; IF($AF74=1, Keys!$C$11, ""), "")</f>
        <v/>
      </c>
      <c r="AK74">
        <f>IF($AG74=1, IFERROR(INDEX($AG$2:$AG$577, MATCH($A74 &amp; Keys!$C$8 &amp; $AH74, $Y$2:$Y$577, 0)), 1), 0)</f>
        <v>0</v>
      </c>
    </row>
    <row r="75" spans="1:37" x14ac:dyDescent="0.25">
      <c r="A75" t="s">
        <v>99</v>
      </c>
      <c r="B75" t="s">
        <v>238</v>
      </c>
      <c r="C75">
        <v>3</v>
      </c>
      <c r="D75">
        <v>6.2190883330000002</v>
      </c>
      <c r="E75">
        <v>1.7479333999999999E-2</v>
      </c>
      <c r="F75">
        <v>15.166028018</v>
      </c>
      <c r="G75">
        <v>20.422900356</v>
      </c>
      <c r="H75">
        <v>31.204003757999999</v>
      </c>
      <c r="I75">
        <v>0.44794308199999999</v>
      </c>
      <c r="J75">
        <v>2.7732882879999998</v>
      </c>
      <c r="K75">
        <v>1976.1227802000001</v>
      </c>
      <c r="L75">
        <v>335.46382175999997</v>
      </c>
      <c r="M75">
        <v>0.71725582099999996</v>
      </c>
      <c r="N75">
        <v>66.792932132000004</v>
      </c>
      <c r="O75">
        <v>1.5738997539999999</v>
      </c>
      <c r="P75">
        <v>6.5120398999999995E-2</v>
      </c>
      <c r="Q75">
        <v>0.162299164</v>
      </c>
      <c r="R75">
        <v>3.5412226019999999</v>
      </c>
      <c r="S75">
        <v>45.043926200000008</v>
      </c>
      <c r="T75">
        <v>64.137301781000005</v>
      </c>
      <c r="U75">
        <v>395.14546017999999</v>
      </c>
      <c r="V75">
        <v>0</v>
      </c>
      <c r="W75">
        <v>0</v>
      </c>
      <c r="Y75" t="str">
        <f>$A75 &amp; Keys!$C$8 &amp; $B75</f>
        <v>Delaware|Industry PM25</v>
      </c>
      <c r="Z75" s="8">
        <f>IFERROR(INDEX($U75:$W75, MATCH(INDEX(Runs!$D:$D, MATCH($B75, Runs!$A:$A, 0)), $U$1:$W$1, 0)), 0)</f>
        <v>395.14546017999999</v>
      </c>
      <c r="AA75" s="8">
        <f t="shared" si="4"/>
        <v>1.5738731580433769E-2</v>
      </c>
      <c r="AB75" s="8">
        <f>IFERROR(VLOOKUP(INDEX(Runs!$F:$F, MATCH($B75, Runs!$A:$A, 0)), US_national_yearly!$D:$AM, MATCH(Keys!$C$7, US_national_yearly!$D$1:$AM$1, 0), FALSE), 0)</f>
        <v>2.6833191881203179E-2</v>
      </c>
      <c r="AC75" s="8">
        <f t="shared" si="5"/>
        <v>0.58653967258583395</v>
      </c>
      <c r="AD75">
        <f>IF($Z75&lt;Keys!$C$3, 1, 0)</f>
        <v>0</v>
      </c>
      <c r="AE75">
        <f>IF($AC75&gt;Keys!$C$4, 1, 0)</f>
        <v>0</v>
      </c>
      <c r="AF75">
        <f>IF($AC75&lt;Keys!$C$5, 1, 0)</f>
        <v>0</v>
      </c>
      <c r="AG75">
        <f t="shared" si="6"/>
        <v>0</v>
      </c>
      <c r="AH75" t="str">
        <f>IFERROR(INDEX(Runs!$E:$E, MATCH($B75, Runs!$A:$A, 0)), $B75)</f>
        <v>Industry PM25</v>
      </c>
      <c r="AI75" t="str">
        <f t="shared" si="7"/>
        <v>Industry PM25</v>
      </c>
      <c r="AJ75" t="str">
        <f>IF($AG75=1, IF($AD75=1, Keys!$C$9, "") &amp; IF($AE75=1, Keys!$C$10, "") &amp; IF($AF75=1, Keys!$C$11, ""), "")</f>
        <v/>
      </c>
      <c r="AK75">
        <f>IF($AG75=1, IFERROR(INDEX($AG$2:$AG$577, MATCH($A75 &amp; Keys!$C$8 &amp; $AH75, $Y$2:$Y$577, 0)), 1), 0)</f>
        <v>0</v>
      </c>
    </row>
    <row r="76" spans="1:37" x14ac:dyDescent="0.25">
      <c r="A76" t="s">
        <v>99</v>
      </c>
      <c r="B76" t="s">
        <v>246</v>
      </c>
      <c r="C76">
        <v>3</v>
      </c>
      <c r="D76">
        <v>1.7191196</v>
      </c>
      <c r="E76">
        <v>4.4626049999999997E-3</v>
      </c>
      <c r="F76">
        <v>3.985570499</v>
      </c>
      <c r="G76">
        <v>5.3671323690000001</v>
      </c>
      <c r="H76">
        <v>8.2001279870000001</v>
      </c>
      <c r="I76">
        <v>0.12547285</v>
      </c>
      <c r="J76">
        <v>0.76133067700000001</v>
      </c>
      <c r="K76">
        <v>517.45415637999997</v>
      </c>
      <c r="L76">
        <v>87.704152483000001</v>
      </c>
      <c r="M76">
        <v>0.196721808</v>
      </c>
      <c r="N76">
        <v>17.552830855</v>
      </c>
      <c r="O76">
        <v>0.41772778900000002</v>
      </c>
      <c r="P76">
        <v>1.7145434000000001E-2</v>
      </c>
      <c r="Q76">
        <v>4.2917547E-2</v>
      </c>
      <c r="R76">
        <v>0.93386483000000009</v>
      </c>
      <c r="S76">
        <v>11.876309687999999</v>
      </c>
      <c r="T76">
        <v>16.901475438999999</v>
      </c>
      <c r="U76">
        <v>0</v>
      </c>
      <c r="V76">
        <v>389.65924301199999</v>
      </c>
      <c r="W76">
        <v>0</v>
      </c>
      <c r="Y76" t="str">
        <f>$A76 &amp; Keys!$C$8 &amp; $B76</f>
        <v>Delaware|Industry SO2</v>
      </c>
      <c r="Z76" s="8">
        <f>IFERROR(INDEX($U76:$W76, MATCH(INDEX(Runs!$D:$D, MATCH($B76, Runs!$A:$A, 0)), $U$1:$W$1, 0)), 0)</f>
        <v>389.65924301199999</v>
      </c>
      <c r="AA76" s="8">
        <f t="shared" si="4"/>
        <v>4.4118537692356442E-3</v>
      </c>
      <c r="AB76" s="8">
        <f>IFERROR(VLOOKUP(INDEX(Runs!$F:$F, MATCH($B76, Runs!$A:$A, 0)), US_national_yearly!$D:$AM, MATCH(Keys!$C$7, US_national_yearly!$D$1:$AM$1, 0), FALSE), 0)</f>
        <v>5.3000351638639942E-3</v>
      </c>
      <c r="AC76" s="8">
        <f t="shared" si="5"/>
        <v>0.83241971663055514</v>
      </c>
      <c r="AD76">
        <f>IF($Z76&lt;Keys!$C$3, 1, 0)</f>
        <v>0</v>
      </c>
      <c r="AE76">
        <f>IF($AC76&gt;Keys!$C$4, 1, 0)</f>
        <v>0</v>
      </c>
      <c r="AF76">
        <f>IF($AC76&lt;Keys!$C$5, 1, 0)</f>
        <v>0</v>
      </c>
      <c r="AG76">
        <f t="shared" si="6"/>
        <v>0</v>
      </c>
      <c r="AH76" t="str">
        <f>IFERROR(INDEX(Runs!$E:$E, MATCH($B76, Runs!$A:$A, 0)), $B76)</f>
        <v>Industry SO2</v>
      </c>
      <c r="AI76" t="str">
        <f t="shared" si="7"/>
        <v>Industry SO2</v>
      </c>
      <c r="AJ76" t="str">
        <f>IF($AG76=1, IF($AD76=1, Keys!$C$9, "") &amp; IF($AE76=1, Keys!$C$10, "") &amp; IF($AF76=1, Keys!$C$11, ""), "")</f>
        <v/>
      </c>
      <c r="AK76">
        <f>IF($AG76=1, IFERROR(INDEX($AG$2:$AG$577, MATCH($A76 &amp; Keys!$C$8 &amp; $AH76, $Y$2:$Y$577, 0)), 1), 0)</f>
        <v>0</v>
      </c>
    </row>
    <row r="77" spans="1:37" x14ac:dyDescent="0.25">
      <c r="A77" t="s">
        <v>99</v>
      </c>
      <c r="B77" t="s">
        <v>253</v>
      </c>
      <c r="C77">
        <v>3</v>
      </c>
      <c r="D77">
        <v>0.96049843300000004</v>
      </c>
      <c r="E77">
        <v>2.697882E-3</v>
      </c>
      <c r="F77">
        <v>2.3536981350000001</v>
      </c>
      <c r="G77">
        <v>3.1695913130000002</v>
      </c>
      <c r="H77">
        <v>4.842615329</v>
      </c>
      <c r="I77">
        <v>6.8871386999999992E-2</v>
      </c>
      <c r="J77">
        <v>0.42686020200000002</v>
      </c>
      <c r="K77">
        <v>305.92654551999999</v>
      </c>
      <c r="L77">
        <v>51.931482361</v>
      </c>
      <c r="M77">
        <v>0.110219018</v>
      </c>
      <c r="N77">
        <v>10.365904777000001</v>
      </c>
      <c r="O77">
        <v>0.24627149100000001</v>
      </c>
      <c r="P77">
        <v>1.0114723000000001E-2</v>
      </c>
      <c r="Q77">
        <v>2.4997377000000001E-2</v>
      </c>
      <c r="R77">
        <v>0.54975359199999996</v>
      </c>
      <c r="S77">
        <v>6.9914117440000014</v>
      </c>
      <c r="T77">
        <v>9.9494027159999998</v>
      </c>
      <c r="U77">
        <v>0</v>
      </c>
      <c r="V77">
        <v>0</v>
      </c>
      <c r="W77">
        <v>1435.2944697999999</v>
      </c>
      <c r="Y77" t="str">
        <f>$A77 &amp; Keys!$C$8 &amp; $B77</f>
        <v>Delaware|buildings NO2</v>
      </c>
      <c r="Z77" s="8">
        <f>IFERROR(INDEX($U77:$W77, MATCH(INDEX(Runs!$D:$D, MATCH($B77, Runs!$A:$A, 0)), $U$1:$W$1, 0)), 0)</f>
        <v>1435.2944697999999</v>
      </c>
      <c r="AA77" s="8">
        <f t="shared" si="4"/>
        <v>6.6919956372007766E-4</v>
      </c>
      <c r="AB77" s="8">
        <f>IFERROR(VLOOKUP(INDEX(Runs!$F:$F, MATCH($B77, Runs!$A:$A, 0)), US_national_yearly!$D:$AM, MATCH(Keys!$C$7, US_national_yearly!$D$1:$AM$1, 0), FALSE), 0)</f>
        <v>5.6784740124662739E-3</v>
      </c>
      <c r="AC77" s="8">
        <f t="shared" si="5"/>
        <v>0.11784848574651327</v>
      </c>
      <c r="AD77">
        <f>IF($Z77&lt;Keys!$C$3, 1, 0)</f>
        <v>0</v>
      </c>
      <c r="AE77">
        <f>IF($AC77&gt;Keys!$C$4, 1, 0)</f>
        <v>0</v>
      </c>
      <c r="AF77">
        <f>IF($AC77&lt;Keys!$C$5, 1, 0)</f>
        <v>0</v>
      </c>
      <c r="AG77">
        <f t="shared" si="6"/>
        <v>0</v>
      </c>
      <c r="AH77" t="str">
        <f>IFERROR(INDEX(Runs!$E:$E, MATCH($B77, Runs!$A:$A, 0)), $B77)</f>
        <v>Industry NO2</v>
      </c>
      <c r="AI77" t="str">
        <f t="shared" si="7"/>
        <v>buildings NO2</v>
      </c>
      <c r="AJ77" t="str">
        <f>IF($AG77=1, IF($AD77=1, Keys!$C$9, "") &amp; IF($AE77=1, Keys!$C$10, "") &amp; IF($AF77=1, Keys!$C$11, ""), "")</f>
        <v/>
      </c>
      <c r="AK77">
        <f>IF($AG77=1, IFERROR(INDEX($AG$2:$AG$577, MATCH($A77 &amp; Keys!$C$8 &amp; $AH77, $Y$2:$Y$577, 0)), 1), 0)</f>
        <v>0</v>
      </c>
    </row>
    <row r="78" spans="1:37" x14ac:dyDescent="0.25">
      <c r="A78" t="s">
        <v>99</v>
      </c>
      <c r="B78" t="s">
        <v>251</v>
      </c>
      <c r="C78">
        <v>3</v>
      </c>
      <c r="D78">
        <v>0.343295448</v>
      </c>
      <c r="E78">
        <v>9.9139699999999998E-4</v>
      </c>
      <c r="F78">
        <v>0.85319801400000006</v>
      </c>
      <c r="G78">
        <v>1.148955191</v>
      </c>
      <c r="H78">
        <v>1.7554078769999999</v>
      </c>
      <c r="I78">
        <v>2.4563953999999999E-2</v>
      </c>
      <c r="J78">
        <v>0.15337304099999999</v>
      </c>
      <c r="K78">
        <v>111.2467826</v>
      </c>
      <c r="L78">
        <v>18.893200118999999</v>
      </c>
      <c r="M78">
        <v>3.9631802000000001E-2</v>
      </c>
      <c r="N78">
        <v>3.7575610820000001</v>
      </c>
      <c r="O78">
        <v>8.8463797000000011E-2</v>
      </c>
      <c r="P78">
        <v>3.6621879999999998E-3</v>
      </c>
      <c r="Q78">
        <v>9.090842E-3</v>
      </c>
      <c r="R78">
        <v>0.199151783</v>
      </c>
      <c r="S78">
        <v>2.5327022050000001</v>
      </c>
      <c r="T78">
        <v>3.6042164809999999</v>
      </c>
      <c r="U78">
        <v>15.797851911</v>
      </c>
      <c r="V78">
        <v>0</v>
      </c>
      <c r="W78">
        <v>0</v>
      </c>
      <c r="Y78" t="str">
        <f>$A78 &amp; Keys!$C$8 &amp; $B78</f>
        <v>Delaware|buildings PM25</v>
      </c>
      <c r="Z78" s="8">
        <f>IFERROR(INDEX($U78:$W78, MATCH(INDEX(Runs!$D:$D, MATCH($B78, Runs!$A:$A, 0)), $U$1:$W$1, 0)), 0)</f>
        <v>15.797851911</v>
      </c>
      <c r="AA78" s="8">
        <f t="shared" si="4"/>
        <v>2.1730514372081455E-2</v>
      </c>
      <c r="AB78" s="8">
        <f>IFERROR(VLOOKUP(INDEX(Runs!$F:$F, MATCH($B78, Runs!$A:$A, 0)), US_national_yearly!$D:$AM, MATCH(Keys!$C$7, US_national_yearly!$D$1:$AM$1, 0), FALSE), 0)</f>
        <v>2.7627705191843259E-2</v>
      </c>
      <c r="AC78" s="8">
        <f t="shared" si="5"/>
        <v>0.78654793154869496</v>
      </c>
      <c r="AD78">
        <f>IF($Z78&lt;Keys!$C$3, 1, 0)</f>
        <v>0</v>
      </c>
      <c r="AE78">
        <f>IF($AC78&gt;Keys!$C$4, 1, 0)</f>
        <v>0</v>
      </c>
      <c r="AF78">
        <f>IF($AC78&lt;Keys!$C$5, 1, 0)</f>
        <v>0</v>
      </c>
      <c r="AG78">
        <f t="shared" si="6"/>
        <v>0</v>
      </c>
      <c r="AH78" t="str">
        <f>IFERROR(INDEX(Runs!$E:$E, MATCH($B78, Runs!$A:$A, 0)), $B78)</f>
        <v>Industry PM25</v>
      </c>
      <c r="AI78" t="str">
        <f t="shared" si="7"/>
        <v>buildings PM25</v>
      </c>
      <c r="AJ78" t="str">
        <f>IF($AG78=1, IF($AD78=1, Keys!$C$9, "") &amp; IF($AE78=1, Keys!$C$10, "") &amp; IF($AF78=1, Keys!$C$11, ""), "")</f>
        <v/>
      </c>
      <c r="AK78">
        <f>IF($AG78=1, IFERROR(INDEX($AG$2:$AG$577, MATCH($A78 &amp; Keys!$C$8 &amp; $AH78, $Y$2:$Y$577, 0)), 1), 0)</f>
        <v>0</v>
      </c>
    </row>
    <row r="79" spans="1:37" x14ac:dyDescent="0.25">
      <c r="A79" t="s">
        <v>99</v>
      </c>
      <c r="B79" t="s">
        <v>254</v>
      </c>
      <c r="C79">
        <v>3</v>
      </c>
      <c r="D79">
        <v>1.2073406E-2</v>
      </c>
      <c r="E79">
        <v>3.3802250000000003E-5</v>
      </c>
      <c r="F79">
        <v>2.9505238999999999E-2</v>
      </c>
      <c r="G79">
        <v>3.9733137999999987E-2</v>
      </c>
      <c r="H79">
        <v>6.0705317000000002E-2</v>
      </c>
      <c r="I79">
        <v>8.6658249999999992E-4</v>
      </c>
      <c r="J79">
        <v>5.3665740000000007E-3</v>
      </c>
      <c r="K79">
        <v>3.8356759349999998</v>
      </c>
      <c r="L79">
        <v>0.6510598219999999</v>
      </c>
      <c r="M79">
        <v>1.3856770000000001E-3</v>
      </c>
      <c r="N79">
        <v>0.129943694</v>
      </c>
      <c r="O79">
        <v>3.0856249999999998E-3</v>
      </c>
      <c r="P79">
        <v>1.267939E-4</v>
      </c>
      <c r="Q79">
        <v>3.1370930000000001E-4</v>
      </c>
      <c r="R79">
        <v>6.8934449999999998E-3</v>
      </c>
      <c r="S79">
        <v>8.7663710999999991E-2</v>
      </c>
      <c r="T79">
        <v>0.124742005</v>
      </c>
      <c r="U79">
        <v>0</v>
      </c>
      <c r="V79">
        <v>4.5407839729999999</v>
      </c>
      <c r="W79">
        <v>0</v>
      </c>
      <c r="Y79" t="str">
        <f>$A79 &amp; Keys!$C$8 &amp; $B79</f>
        <v>Delaware|buildings SO2</v>
      </c>
      <c r="Z79" s="8">
        <f>IFERROR(INDEX($U79:$W79, MATCH(INDEX(Runs!$D:$D, MATCH($B79, Runs!$A:$A, 0)), $U$1:$W$1, 0)), 0)</f>
        <v>4.5407839729999999</v>
      </c>
      <c r="AA79" s="8">
        <f t="shared" si="4"/>
        <v>2.6588813895991963E-3</v>
      </c>
      <c r="AB79" s="8">
        <f>IFERROR(VLOOKUP(INDEX(Runs!$F:$F, MATCH($B79, Runs!$A:$A, 0)), US_national_yearly!$D:$AM, MATCH(Keys!$C$7, US_national_yearly!$D$1:$AM$1, 0), FALSE), 0)</f>
        <v>5.1581943281164694E-3</v>
      </c>
      <c r="AC79" s="8">
        <f t="shared" si="5"/>
        <v>0.51546747184495767</v>
      </c>
      <c r="AD79">
        <f>IF($Z79&lt;Keys!$C$3, 1, 0)</f>
        <v>0</v>
      </c>
      <c r="AE79">
        <f>IF($AC79&gt;Keys!$C$4, 1, 0)</f>
        <v>0</v>
      </c>
      <c r="AF79">
        <f>IF($AC79&lt;Keys!$C$5, 1, 0)</f>
        <v>0</v>
      </c>
      <c r="AG79">
        <f t="shared" si="6"/>
        <v>0</v>
      </c>
      <c r="AH79" t="str">
        <f>IFERROR(INDEX(Runs!$E:$E, MATCH($B79, Runs!$A:$A, 0)), $B79)</f>
        <v>Industry SO2</v>
      </c>
      <c r="AI79" t="str">
        <f t="shared" si="7"/>
        <v>buildings SO2</v>
      </c>
      <c r="AJ79" t="str">
        <f>IF($AG79=1, IF($AD79=1, Keys!$C$9, "") &amp; IF($AE79=1, Keys!$C$10, "") &amp; IF($AF79=1, Keys!$C$11, ""), "")</f>
        <v/>
      </c>
      <c r="AK79">
        <f>IF($AG79=1, IFERROR(INDEX($AG$2:$AG$577, MATCH($A79 &amp; Keys!$C$8 &amp; $AH79, $Y$2:$Y$577, 0)), 1), 0)</f>
        <v>0</v>
      </c>
    </row>
    <row r="80" spans="1:37" x14ac:dyDescent="0.25">
      <c r="A80" t="s">
        <v>99</v>
      </c>
      <c r="B80" t="s">
        <v>249</v>
      </c>
      <c r="C80">
        <v>3</v>
      </c>
      <c r="D80">
        <v>7.9149866000000013E-2</v>
      </c>
      <c r="E80">
        <v>1.8275710000000001E-4</v>
      </c>
      <c r="F80">
        <v>0.16973080199999999</v>
      </c>
      <c r="G80">
        <v>0.228567414</v>
      </c>
      <c r="H80">
        <v>0.34921134300000001</v>
      </c>
      <c r="I80">
        <v>5.9052360000000003E-3</v>
      </c>
      <c r="J80">
        <v>3.4850643000000001E-2</v>
      </c>
      <c r="K80">
        <v>21.979575563000001</v>
      </c>
      <c r="L80">
        <v>3.7164790669999999</v>
      </c>
      <c r="M80">
        <v>9.0086539999999996E-3</v>
      </c>
      <c r="N80">
        <v>0.74750955900000005</v>
      </c>
      <c r="O80">
        <v>1.7887252999999999E-2</v>
      </c>
      <c r="P80">
        <v>7.3154779999999998E-4</v>
      </c>
      <c r="Q80">
        <v>1.861318E-3</v>
      </c>
      <c r="R80">
        <v>3.9969117999999998E-2</v>
      </c>
      <c r="S80">
        <v>0.50826203300000006</v>
      </c>
      <c r="T80">
        <v>0.72318132800000012</v>
      </c>
      <c r="U80">
        <v>0</v>
      </c>
      <c r="V80">
        <v>0</v>
      </c>
      <c r="W80">
        <v>350.07241240000002</v>
      </c>
      <c r="Y80" t="str">
        <f>$A80 &amp; Keys!$C$8 &amp; $B80</f>
        <v>Delaware|electricity NO2</v>
      </c>
      <c r="Z80" s="8">
        <f>IFERROR(INDEX($U80:$W80, MATCH(INDEX(Runs!$D:$D, MATCH($B80, Runs!$A:$A, 0)), $U$1:$W$1, 0)), 0)</f>
        <v>350.07241240000002</v>
      </c>
      <c r="AA80" s="8">
        <f t="shared" si="4"/>
        <v>2.2609569676562154E-4</v>
      </c>
      <c r="AB80" s="8">
        <f>IFERROR(VLOOKUP(INDEX(Runs!$F:$F, MATCH($B80, Runs!$A:$A, 0)), US_national_yearly!$D:$AM, MATCH(Keys!$C$7, US_national_yearly!$D$1:$AM$1, 0), FALSE), 0)</f>
        <v>6.1439221592658041E-3</v>
      </c>
      <c r="AC80" s="8">
        <f t="shared" si="5"/>
        <v>3.6799896044360021E-2</v>
      </c>
      <c r="AD80">
        <f>IF($Z80&lt;Keys!$C$3, 1, 0)</f>
        <v>0</v>
      </c>
      <c r="AE80">
        <f>IF($AC80&gt;Keys!$C$4, 1, 0)</f>
        <v>0</v>
      </c>
      <c r="AF80">
        <f>IF($AC80&lt;Keys!$C$5, 1, 0)</f>
        <v>0</v>
      </c>
      <c r="AG80">
        <f t="shared" si="6"/>
        <v>0</v>
      </c>
      <c r="AH80" t="str">
        <f>IFERROR(INDEX(Runs!$E:$E, MATCH($B80, Runs!$A:$A, 0)), $B80)</f>
        <v>Industry NO2</v>
      </c>
      <c r="AI80" t="str">
        <f t="shared" si="7"/>
        <v>electricity NO2</v>
      </c>
      <c r="AJ80" t="str">
        <f>IF($AG80=1, IF($AD80=1, Keys!$C$9, "") &amp; IF($AE80=1, Keys!$C$10, "") &amp; IF($AF80=1, Keys!$C$11, ""), "")</f>
        <v/>
      </c>
      <c r="AK80">
        <f>IF($AG80=1, IFERROR(INDEX($AG$2:$AG$577, MATCH($A80 &amp; Keys!$C$8 &amp; $AH80, $Y$2:$Y$577, 0)), 1), 0)</f>
        <v>0</v>
      </c>
    </row>
    <row r="81" spans="1:37" x14ac:dyDescent="0.25">
      <c r="A81" t="s">
        <v>99</v>
      </c>
      <c r="B81" t="s">
        <v>247</v>
      </c>
      <c r="C81">
        <v>3</v>
      </c>
      <c r="D81">
        <v>0.94993779300000014</v>
      </c>
      <c r="E81">
        <v>2.7320679999999998E-3</v>
      </c>
      <c r="F81">
        <v>2.3688561809999999</v>
      </c>
      <c r="G81">
        <v>3.1900034430000002</v>
      </c>
      <c r="H81">
        <v>4.8738029529999993</v>
      </c>
      <c r="I81">
        <v>6.7697904000000003E-2</v>
      </c>
      <c r="J81">
        <v>0.422451411</v>
      </c>
      <c r="K81">
        <v>307.90668691000002</v>
      </c>
      <c r="L81">
        <v>52.291488307999998</v>
      </c>
      <c r="M81">
        <v>0.109047005</v>
      </c>
      <c r="N81">
        <v>10.432662577</v>
      </c>
      <c r="O81">
        <v>0.24795246700000001</v>
      </c>
      <c r="P81">
        <v>1.0177594E-2</v>
      </c>
      <c r="Q81">
        <v>2.5034443E-2</v>
      </c>
      <c r="R81">
        <v>0.55274231299999999</v>
      </c>
      <c r="S81">
        <v>7.0294474199999986</v>
      </c>
      <c r="T81">
        <v>10.003610843000001</v>
      </c>
      <c r="U81">
        <v>80.396959620000004</v>
      </c>
      <c r="V81">
        <v>0</v>
      </c>
      <c r="W81">
        <v>0</v>
      </c>
      <c r="Y81" t="str">
        <f>$A81 &amp; Keys!$C$8 &amp; $B81</f>
        <v>Delaware|electricity PM25</v>
      </c>
      <c r="Z81" s="8">
        <f>IFERROR(INDEX($U81:$W81, MATCH(INDEX(Runs!$D:$D, MATCH($B81, Runs!$A:$A, 0)), $U$1:$W$1, 0)), 0)</f>
        <v>80.396959620000004</v>
      </c>
      <c r="AA81" s="8">
        <f t="shared" si="4"/>
        <v>1.181559349370829E-2</v>
      </c>
      <c r="AB81" s="8">
        <f>IFERROR(VLOOKUP(INDEX(Runs!$F:$F, MATCH($B81, Runs!$A:$A, 0)), US_national_yearly!$D:$AM, MATCH(Keys!$C$7, US_national_yearly!$D$1:$AM$1, 0), FALSE), 0)</f>
        <v>2.4252978284752182E-2</v>
      </c>
      <c r="AC81" s="8">
        <f t="shared" si="5"/>
        <v>0.48718113523965589</v>
      </c>
      <c r="AD81">
        <f>IF($Z81&lt;Keys!$C$3, 1, 0)</f>
        <v>0</v>
      </c>
      <c r="AE81">
        <f>IF($AC81&gt;Keys!$C$4, 1, 0)</f>
        <v>0</v>
      </c>
      <c r="AF81">
        <f>IF($AC81&lt;Keys!$C$5, 1, 0)</f>
        <v>0</v>
      </c>
      <c r="AG81">
        <f t="shared" si="6"/>
        <v>0</v>
      </c>
      <c r="AH81" t="str">
        <f>IFERROR(INDEX(Runs!$E:$E, MATCH($B81, Runs!$A:$A, 0)), $B81)</f>
        <v>Industry PM25</v>
      </c>
      <c r="AI81" t="str">
        <f t="shared" si="7"/>
        <v>electricity PM25</v>
      </c>
      <c r="AJ81" t="str">
        <f>IF($AG81=1, IF($AD81=1, Keys!$C$9, "") &amp; IF($AE81=1, Keys!$C$10, "") &amp; IF($AF81=1, Keys!$C$11, ""), "")</f>
        <v/>
      </c>
      <c r="AK81">
        <f>IF($AG81=1, IFERROR(INDEX($AG$2:$AG$577, MATCH($A81 &amp; Keys!$C$8 &amp; $AH81, $Y$2:$Y$577, 0)), 1), 0)</f>
        <v>0</v>
      </c>
    </row>
    <row r="82" spans="1:37" x14ac:dyDescent="0.25">
      <c r="A82" t="s">
        <v>99</v>
      </c>
      <c r="B82" t="s">
        <v>250</v>
      </c>
      <c r="C82">
        <v>3</v>
      </c>
      <c r="D82">
        <v>0.11115746899999999</v>
      </c>
      <c r="E82">
        <v>2.9048879999999999E-4</v>
      </c>
      <c r="F82">
        <v>0.262058654</v>
      </c>
      <c r="G82">
        <v>0.35290037299999999</v>
      </c>
      <c r="H82">
        <v>0.53917064199999998</v>
      </c>
      <c r="I82">
        <v>8.027625E-3</v>
      </c>
      <c r="J82">
        <v>4.8852795999999997E-2</v>
      </c>
      <c r="K82">
        <v>33.829916443000002</v>
      </c>
      <c r="L82">
        <v>5.7352072009999997</v>
      </c>
      <c r="M82">
        <v>1.2593369E-2</v>
      </c>
      <c r="N82">
        <v>1.154129669</v>
      </c>
      <c r="O82">
        <v>2.7952307999999999E-2</v>
      </c>
      <c r="P82">
        <v>1.129187E-3</v>
      </c>
      <c r="Q82">
        <v>2.770682E-3</v>
      </c>
      <c r="R82">
        <v>6.1343203999999998E-2</v>
      </c>
      <c r="S82">
        <v>0.78005534799999998</v>
      </c>
      <c r="T82">
        <v>1.1098865410000001</v>
      </c>
      <c r="U82">
        <v>0</v>
      </c>
      <c r="V82">
        <v>52.313859119999996</v>
      </c>
      <c r="W82">
        <v>0</v>
      </c>
      <c r="Y82" t="str">
        <f>$A82 &amp; Keys!$C$8 &amp; $B82</f>
        <v>Delaware|electricity SO2</v>
      </c>
      <c r="Z82" s="8">
        <f>IFERROR(INDEX($U82:$W82, MATCH(INDEX(Runs!$D:$D, MATCH($B82, Runs!$A:$A, 0)), $U$1:$W$1, 0)), 0)</f>
        <v>52.313859119999996</v>
      </c>
      <c r="AA82" s="8">
        <f t="shared" si="4"/>
        <v>2.1248187549119967E-3</v>
      </c>
      <c r="AB82" s="8">
        <f>IFERROR(VLOOKUP(INDEX(Runs!$F:$F, MATCH($B82, Runs!$A:$A, 0)), US_national_yearly!$D:$AM, MATCH(Keys!$C$7, US_national_yearly!$D$1:$AM$1, 0), FALSE), 0)</f>
        <v>5.7032329662362116E-3</v>
      </c>
      <c r="AC82" s="8">
        <f t="shared" si="5"/>
        <v>0.37256390673345552</v>
      </c>
      <c r="AD82">
        <f>IF($Z82&lt;Keys!$C$3, 1, 0)</f>
        <v>0</v>
      </c>
      <c r="AE82">
        <f>IF($AC82&gt;Keys!$C$4, 1, 0)</f>
        <v>0</v>
      </c>
      <c r="AF82">
        <f>IF($AC82&lt;Keys!$C$5, 1, 0)</f>
        <v>0</v>
      </c>
      <c r="AG82">
        <f t="shared" si="6"/>
        <v>0</v>
      </c>
      <c r="AH82" t="str">
        <f>IFERROR(INDEX(Runs!$E:$E, MATCH($B82, Runs!$A:$A, 0)), $B82)</f>
        <v>Industry SO2</v>
      </c>
      <c r="AI82" t="str">
        <f t="shared" si="7"/>
        <v>electricity SO2</v>
      </c>
      <c r="AJ82" t="str">
        <f>IF($AG82=1, IF($AD82=1, Keys!$C$9, "") &amp; IF($AE82=1, Keys!$C$10, "") &amp; IF($AF82=1, Keys!$C$11, ""), "")</f>
        <v/>
      </c>
      <c r="AK82">
        <f>IF($AG82=1, IFERROR(INDEX($AG$2:$AG$577, MATCH($A82 &amp; Keys!$C$8 &amp; $AH82, $Y$2:$Y$577, 0)), 1), 0)</f>
        <v>0</v>
      </c>
    </row>
    <row r="83" spans="1:37" x14ac:dyDescent="0.25">
      <c r="A83" t="s">
        <v>99</v>
      </c>
      <c r="B83" t="s">
        <v>239</v>
      </c>
      <c r="C83">
        <v>3</v>
      </c>
      <c r="D83">
        <v>6.1072209089999996</v>
      </c>
      <c r="E83">
        <v>1.4832453000000001E-2</v>
      </c>
      <c r="F83">
        <v>13.718335202</v>
      </c>
      <c r="G83">
        <v>18.473495621000001</v>
      </c>
      <c r="H83">
        <v>28.225202619000001</v>
      </c>
      <c r="I83">
        <v>0.44755842099999998</v>
      </c>
      <c r="J83">
        <v>2.6728783420000002</v>
      </c>
      <c r="K83">
        <v>1767.180443</v>
      </c>
      <c r="L83">
        <v>299.17852025000002</v>
      </c>
      <c r="M83">
        <v>0.68964517700000005</v>
      </c>
      <c r="N83">
        <v>60.417033441999997</v>
      </c>
      <c r="O83">
        <v>1.4695851369999999</v>
      </c>
      <c r="P83">
        <v>5.9183899999999998E-2</v>
      </c>
      <c r="Q83">
        <v>0.14655201600000001</v>
      </c>
      <c r="R83">
        <v>3.2186999649999999</v>
      </c>
      <c r="S83">
        <v>40.935149045999999</v>
      </c>
      <c r="T83">
        <v>58.267837839999999</v>
      </c>
      <c r="U83">
        <v>0</v>
      </c>
      <c r="V83">
        <v>0</v>
      </c>
      <c r="W83">
        <v>10124.309201</v>
      </c>
      <c r="Y83" t="str">
        <f>$A83 &amp; Keys!$C$8 &amp; $B83</f>
        <v>Delaware|transportation NO2</v>
      </c>
      <c r="Z83" s="8">
        <f>IFERROR(INDEX($U83:$W83, MATCH(INDEX(Runs!$D:$D, MATCH($B83, Runs!$A:$A, 0)), $U$1:$W$1, 0)), 0)</f>
        <v>10124.309201</v>
      </c>
      <c r="AA83" s="8">
        <f t="shared" si="4"/>
        <v>6.0322346816479844E-4</v>
      </c>
      <c r="AB83" s="8">
        <f>IFERROR(VLOOKUP(INDEX(Runs!$F:$F, MATCH($B83, Runs!$A:$A, 0)), US_national_yearly!$D:$AM, MATCH(Keys!$C$7, US_national_yearly!$D$1:$AM$1, 0), FALSE), 0)</f>
        <v>5.7148835886332216E-3</v>
      </c>
      <c r="AC83" s="8">
        <f t="shared" si="5"/>
        <v>0.10555306312181</v>
      </c>
      <c r="AD83">
        <f>IF($Z83&lt;Keys!$C$3, 1, 0)</f>
        <v>0</v>
      </c>
      <c r="AE83">
        <f>IF($AC83&gt;Keys!$C$4, 1, 0)</f>
        <v>0</v>
      </c>
      <c r="AF83">
        <f>IF($AC83&lt;Keys!$C$5, 1, 0)</f>
        <v>0</v>
      </c>
      <c r="AG83">
        <f t="shared" si="6"/>
        <v>0</v>
      </c>
      <c r="AH83" t="str">
        <f>IFERROR(INDEX(Runs!$E:$E, MATCH($B83, Runs!$A:$A, 0)), $B83)</f>
        <v>Industry NO2</v>
      </c>
      <c r="AI83" t="str">
        <f t="shared" si="7"/>
        <v>transportation NO2</v>
      </c>
      <c r="AJ83" t="str">
        <f>IF($AG83=1, IF($AD83=1, Keys!$C$9, "") &amp; IF($AE83=1, Keys!$C$10, "") &amp; IF($AF83=1, Keys!$C$11, ""), "")</f>
        <v/>
      </c>
      <c r="AK83">
        <f>IF($AG83=1, IFERROR(INDEX($AG$2:$AG$577, MATCH($A83 &amp; Keys!$C$8 &amp; $AH83, $Y$2:$Y$577, 0)), 1), 0)</f>
        <v>0</v>
      </c>
    </row>
    <row r="84" spans="1:37" x14ac:dyDescent="0.25">
      <c r="A84" t="s">
        <v>99</v>
      </c>
      <c r="B84" t="s">
        <v>234</v>
      </c>
      <c r="C84">
        <v>3</v>
      </c>
      <c r="D84">
        <v>4.7735017529999997</v>
      </c>
      <c r="E84">
        <v>1.2713026000000001E-2</v>
      </c>
      <c r="F84">
        <v>11.305623174999999</v>
      </c>
      <c r="G84">
        <v>15.224490984999999</v>
      </c>
      <c r="H84">
        <v>23.261052315000001</v>
      </c>
      <c r="I84">
        <v>0.34564680199999998</v>
      </c>
      <c r="J84">
        <v>2.1111872859999998</v>
      </c>
      <c r="K84">
        <v>1465.8217657</v>
      </c>
      <c r="L84">
        <v>248.58834924999999</v>
      </c>
      <c r="M84">
        <v>0.545254146</v>
      </c>
      <c r="N84">
        <v>49.791166474999997</v>
      </c>
      <c r="O84">
        <v>1.1901954079999999</v>
      </c>
      <c r="P84">
        <v>4.8641375000000001E-2</v>
      </c>
      <c r="Q84">
        <v>0.120613795</v>
      </c>
      <c r="R84">
        <v>2.6446796269999999</v>
      </c>
      <c r="S84">
        <v>33.636206033000001</v>
      </c>
      <c r="T84">
        <v>47.880761038999999</v>
      </c>
      <c r="U84">
        <v>240.20381092</v>
      </c>
      <c r="V84">
        <v>0</v>
      </c>
      <c r="W84">
        <v>0</v>
      </c>
      <c r="Y84" t="str">
        <f>$A84 &amp; Keys!$C$8 &amp; $B84</f>
        <v>Delaware|transportation PM25</v>
      </c>
      <c r="Z84" s="8">
        <f>IFERROR(INDEX($U84:$W84, MATCH(INDEX(Runs!$D:$D, MATCH($B84, Runs!$A:$A, 0)), $U$1:$W$1, 0)), 0)</f>
        <v>240.20381092</v>
      </c>
      <c r="AA84" s="8">
        <f t="shared" si="4"/>
        <v>1.9872714486573309E-2</v>
      </c>
      <c r="AB84" s="8">
        <f>IFERROR(VLOOKUP(INDEX(Runs!$F:$F, MATCH($B84, Runs!$A:$A, 0)), US_national_yearly!$D:$AM, MATCH(Keys!$C$7, US_national_yearly!$D$1:$AM$1, 0), FALSE), 0)</f>
        <v>2.8248683697579859E-2</v>
      </c>
      <c r="AC84" s="8">
        <f t="shared" si="5"/>
        <v>0.70349169891678376</v>
      </c>
      <c r="AD84">
        <f>IF($Z84&lt;Keys!$C$3, 1, 0)</f>
        <v>0</v>
      </c>
      <c r="AE84">
        <f>IF($AC84&gt;Keys!$C$4, 1, 0)</f>
        <v>0</v>
      </c>
      <c r="AF84">
        <f>IF($AC84&lt;Keys!$C$5, 1, 0)</f>
        <v>0</v>
      </c>
      <c r="AG84">
        <f t="shared" si="6"/>
        <v>0</v>
      </c>
      <c r="AH84" t="str">
        <f>IFERROR(INDEX(Runs!$E:$E, MATCH($B84, Runs!$A:$A, 0)), $B84)</f>
        <v>Industry PM25</v>
      </c>
      <c r="AI84" t="str">
        <f t="shared" si="7"/>
        <v>transportation PM25</v>
      </c>
      <c r="AJ84" t="str">
        <f>IF($AG84=1, IF($AD84=1, Keys!$C$9, "") &amp; IF($AE84=1, Keys!$C$10, "") &amp; IF($AF84=1, Keys!$C$11, ""), "")</f>
        <v/>
      </c>
      <c r="AK84">
        <f>IF($AG84=1, IFERROR(INDEX($AG$2:$AG$577, MATCH($A84 &amp; Keys!$C$8 &amp; $AH84, $Y$2:$Y$577, 0)), 1), 0)</f>
        <v>0</v>
      </c>
    </row>
    <row r="85" spans="1:37" x14ac:dyDescent="0.25">
      <c r="A85" t="s">
        <v>99</v>
      </c>
      <c r="B85" t="s">
        <v>243</v>
      </c>
      <c r="C85">
        <v>3</v>
      </c>
      <c r="D85">
        <v>0.17313640499999999</v>
      </c>
      <c r="E85">
        <v>4.1871680000000002E-4</v>
      </c>
      <c r="F85">
        <v>0.39010067599999998</v>
      </c>
      <c r="G85">
        <v>0.52532765700000006</v>
      </c>
      <c r="H85">
        <v>0.80260988</v>
      </c>
      <c r="I85">
        <v>1.2640455E-2</v>
      </c>
      <c r="J85">
        <v>7.5492246999999998E-2</v>
      </c>
      <c r="K85">
        <v>50.110667405999997</v>
      </c>
      <c r="L85">
        <v>8.4828429760000006</v>
      </c>
      <c r="M85">
        <v>1.9447567999999998E-2</v>
      </c>
      <c r="N85">
        <v>1.718038213</v>
      </c>
      <c r="O85">
        <v>4.2155954000000002E-2</v>
      </c>
      <c r="P85">
        <v>1.6845390000000001E-3</v>
      </c>
      <c r="Q85">
        <v>4.1348849999999996E-3</v>
      </c>
      <c r="R85">
        <v>9.1555319999999996E-2</v>
      </c>
      <c r="S85">
        <v>1.1641897969999999</v>
      </c>
      <c r="T85">
        <v>1.6563277160000001</v>
      </c>
      <c r="U85">
        <v>0</v>
      </c>
      <c r="V85">
        <v>83.43695151</v>
      </c>
      <c r="W85">
        <v>0</v>
      </c>
      <c r="Y85" t="str">
        <f>$A85 &amp; Keys!$C$8 &amp; $B85</f>
        <v>Delaware|transportation SO2</v>
      </c>
      <c r="Z85" s="8">
        <f>IFERROR(INDEX($U85:$W85, MATCH(INDEX(Runs!$D:$D, MATCH($B85, Runs!$A:$A, 0)), $U$1:$W$1, 0)), 0)</f>
        <v>83.43695151</v>
      </c>
      <c r="AA85" s="8">
        <f t="shared" si="4"/>
        <v>2.0750566969030431E-3</v>
      </c>
      <c r="AB85" s="8">
        <f>IFERROR(VLOOKUP(INDEX(Runs!$F:$F, MATCH($B85, Runs!$A:$A, 0)), US_national_yearly!$D:$AM, MATCH(Keys!$C$7, US_national_yearly!$D$1:$AM$1, 0), FALSE), 0)</f>
        <v>5.1800714166247604E-3</v>
      </c>
      <c r="AC85" s="8">
        <f t="shared" si="5"/>
        <v>0.40058457307044465</v>
      </c>
      <c r="AD85">
        <f>IF($Z85&lt;Keys!$C$3, 1, 0)</f>
        <v>0</v>
      </c>
      <c r="AE85">
        <f>IF($AC85&gt;Keys!$C$4, 1, 0)</f>
        <v>0</v>
      </c>
      <c r="AF85">
        <f>IF($AC85&lt;Keys!$C$5, 1, 0)</f>
        <v>0</v>
      </c>
      <c r="AG85">
        <f t="shared" si="6"/>
        <v>0</v>
      </c>
      <c r="AH85" t="str">
        <f>IFERROR(INDEX(Runs!$E:$E, MATCH($B85, Runs!$A:$A, 0)), $B85)</f>
        <v>Industry SO2</v>
      </c>
      <c r="AI85" t="str">
        <f t="shared" si="7"/>
        <v>transportation SO2</v>
      </c>
      <c r="AJ85" t="str">
        <f>IF($AG85=1, IF($AD85=1, Keys!$C$9, "") &amp; IF($AE85=1, Keys!$C$10, "") &amp; IF($AF85=1, Keys!$C$11, ""), "")</f>
        <v/>
      </c>
      <c r="AK85">
        <f>IF($AG85=1, IFERROR(INDEX($AG$2:$AG$577, MATCH($A85 &amp; Keys!$C$8 &amp; $AH85, $Y$2:$Y$577, 0)), 1), 0)</f>
        <v>0</v>
      </c>
    </row>
    <row r="86" spans="1:37" x14ac:dyDescent="0.25">
      <c r="A86" t="s">
        <v>103</v>
      </c>
      <c r="B86" t="s">
        <v>242</v>
      </c>
      <c r="C86">
        <v>67</v>
      </c>
      <c r="D86">
        <v>142.81616502200001</v>
      </c>
      <c r="E86">
        <v>0.30623371059999999</v>
      </c>
      <c r="F86">
        <v>295.08628137199992</v>
      </c>
      <c r="G86">
        <v>397.36680152500003</v>
      </c>
      <c r="H86">
        <v>607.143694127</v>
      </c>
      <c r="I86">
        <v>12.654079983000001</v>
      </c>
      <c r="J86">
        <v>74.493344053999976</v>
      </c>
      <c r="K86">
        <v>40648.432907695002</v>
      </c>
      <c r="L86">
        <v>6870.886986636001</v>
      </c>
      <c r="M86">
        <v>19.022242947999999</v>
      </c>
      <c r="N86">
        <v>1299.5967770239999</v>
      </c>
      <c r="O86">
        <v>33.849101040000001</v>
      </c>
      <c r="P86">
        <v>0.94928826380000009</v>
      </c>
      <c r="Q86">
        <v>5.5283242559999994</v>
      </c>
      <c r="R86">
        <v>68.954169734999965</v>
      </c>
      <c r="S86">
        <v>876.65930446799985</v>
      </c>
      <c r="T86">
        <v>1247.3597798660001</v>
      </c>
      <c r="U86">
        <v>0</v>
      </c>
      <c r="V86">
        <v>0</v>
      </c>
      <c r="W86">
        <v>32076.885473904</v>
      </c>
      <c r="Y86" t="str">
        <f>$A86 &amp; Keys!$C$8 &amp; $B86</f>
        <v>Florida|Industry NO2</v>
      </c>
      <c r="Z86" s="8">
        <f>IFERROR(INDEX($U86:$W86, MATCH(INDEX(Runs!$D:$D, MATCH($B86, Runs!$A:$A, 0)), $U$1:$W$1, 0)), 0)</f>
        <v>32076.885473904</v>
      </c>
      <c r="AA86" s="8">
        <f t="shared" si="4"/>
        <v>4.4523077260162133E-3</v>
      </c>
      <c r="AB86" s="8">
        <f>IFERROR(VLOOKUP(INDEX(Runs!$F:$F, MATCH($B86, Runs!$A:$A, 0)), US_national_yearly!$D:$AM, MATCH(Keys!$C$7, US_national_yearly!$D$1:$AM$1, 0), FALSE), 0)</f>
        <v>5.8012217057786938E-3</v>
      </c>
      <c r="AC86" s="8">
        <f t="shared" si="5"/>
        <v>0.76747760244729057</v>
      </c>
      <c r="AD86">
        <f>IF($Z86&lt;Keys!$C$3, 1, 0)</f>
        <v>0</v>
      </c>
      <c r="AE86">
        <f>IF($AC86&gt;Keys!$C$4, 1, 0)</f>
        <v>0</v>
      </c>
      <c r="AF86">
        <f>IF($AC86&lt;Keys!$C$5, 1, 0)</f>
        <v>0</v>
      </c>
      <c r="AG86">
        <f t="shared" si="6"/>
        <v>0</v>
      </c>
      <c r="AH86" t="str">
        <f>IFERROR(INDEX(Runs!$E:$E, MATCH($B86, Runs!$A:$A, 0)), $B86)</f>
        <v>Industry NO2</v>
      </c>
      <c r="AI86" t="str">
        <f t="shared" si="7"/>
        <v>Industry NO2</v>
      </c>
      <c r="AJ86" t="str">
        <f>IF($AG86=1, IF($AD86=1, Keys!$C$9, "") &amp; IF($AE86=1, Keys!$C$10, "") &amp; IF($AF86=1, Keys!$C$11, ""), "")</f>
        <v/>
      </c>
      <c r="AK86">
        <f>IF($AG86=1, IFERROR(INDEX($AG$2:$AG$577, MATCH($A86 &amp; Keys!$C$8 &amp; $AH86, $Y$2:$Y$577, 0)), 1), 0)</f>
        <v>0</v>
      </c>
    </row>
    <row r="87" spans="1:37" x14ac:dyDescent="0.25">
      <c r="A87" t="s">
        <v>103</v>
      </c>
      <c r="B87" t="s">
        <v>238</v>
      </c>
      <c r="C87">
        <v>67</v>
      </c>
      <c r="D87">
        <v>1414.6401814010001</v>
      </c>
      <c r="E87">
        <v>2.7595959170000008</v>
      </c>
      <c r="F87">
        <v>2923.7790253020012</v>
      </c>
      <c r="G87">
        <v>3936.598019507001</v>
      </c>
      <c r="H87">
        <v>6016.9269203989998</v>
      </c>
      <c r="I87">
        <v>132.99858164700001</v>
      </c>
      <c r="J87">
        <v>753.69893077500001</v>
      </c>
      <c r="K87">
        <v>414575.16761832999</v>
      </c>
      <c r="L87">
        <v>70116.949415564013</v>
      </c>
      <c r="M87">
        <v>195.67046007799999</v>
      </c>
      <c r="N87">
        <v>12877.303965208001</v>
      </c>
      <c r="O87">
        <v>317.81878645199998</v>
      </c>
      <c r="P87">
        <v>9.0934123039999992</v>
      </c>
      <c r="Q87">
        <v>56.872339988999997</v>
      </c>
      <c r="R87">
        <v>679.36360462400012</v>
      </c>
      <c r="S87">
        <v>8654.2873777019995</v>
      </c>
      <c r="T87">
        <v>12381.248137281</v>
      </c>
      <c r="U87">
        <v>25342.95042604001</v>
      </c>
      <c r="V87">
        <v>0</v>
      </c>
      <c r="W87">
        <v>0</v>
      </c>
      <c r="Y87" t="str">
        <f>$A87 &amp; Keys!$C$8 &amp; $B87</f>
        <v>Florida|Industry PM25</v>
      </c>
      <c r="Z87" s="8">
        <f>IFERROR(INDEX($U87:$W87, MATCH(INDEX(Runs!$D:$D, MATCH($B87, Runs!$A:$A, 0)), $U$1:$W$1, 0)), 0)</f>
        <v>25342.95042604001</v>
      </c>
      <c r="AA87" s="8">
        <f t="shared" si="4"/>
        <v>5.5819869337212218E-2</v>
      </c>
      <c r="AB87" s="8">
        <f>IFERROR(VLOOKUP(INDEX(Runs!$F:$F, MATCH($B87, Runs!$A:$A, 0)), US_national_yearly!$D:$AM, MATCH(Keys!$C$7, US_national_yearly!$D$1:$AM$1, 0), FALSE), 0)</f>
        <v>2.6833191881203179E-2</v>
      </c>
      <c r="AC87" s="8">
        <f t="shared" si="5"/>
        <v>2.0802545438626847</v>
      </c>
      <c r="AD87">
        <f>IF($Z87&lt;Keys!$C$3, 1, 0)</f>
        <v>0</v>
      </c>
      <c r="AE87">
        <f>IF($AC87&gt;Keys!$C$4, 1, 0)</f>
        <v>0</v>
      </c>
      <c r="AF87">
        <f>IF($AC87&lt;Keys!$C$5, 1, 0)</f>
        <v>0</v>
      </c>
      <c r="AG87">
        <f t="shared" si="6"/>
        <v>0</v>
      </c>
      <c r="AH87" t="str">
        <f>IFERROR(INDEX(Runs!$E:$E, MATCH($B87, Runs!$A:$A, 0)), $B87)</f>
        <v>Industry PM25</v>
      </c>
      <c r="AI87" t="str">
        <f t="shared" si="7"/>
        <v>Industry PM25</v>
      </c>
      <c r="AJ87" t="str">
        <f>IF($AG87=1, IF($AD87=1, Keys!$C$9, "") &amp; IF($AE87=1, Keys!$C$10, "") &amp; IF($AF87=1, Keys!$C$11, ""), "")</f>
        <v/>
      </c>
      <c r="AK87">
        <f>IF($AG87=1, IFERROR(INDEX($AG$2:$AG$577, MATCH($A87 &amp; Keys!$C$8 &amp; $AH87, $Y$2:$Y$577, 0)), 1), 0)</f>
        <v>0</v>
      </c>
    </row>
    <row r="88" spans="1:37" x14ac:dyDescent="0.25">
      <c r="A88" t="s">
        <v>103</v>
      </c>
      <c r="B88" t="s">
        <v>246</v>
      </c>
      <c r="C88">
        <v>67</v>
      </c>
      <c r="D88">
        <v>51.185937398999997</v>
      </c>
      <c r="E88">
        <v>9.5700637899999996E-2</v>
      </c>
      <c r="F88">
        <v>104.49834150300001</v>
      </c>
      <c r="G88">
        <v>140.721366523</v>
      </c>
      <c r="H88">
        <v>215.00130061799999</v>
      </c>
      <c r="I88">
        <v>4.897016573000001</v>
      </c>
      <c r="J88">
        <v>27.107542596999998</v>
      </c>
      <c r="K88">
        <v>14771.744973511</v>
      </c>
      <c r="L88">
        <v>2495.7719141339999</v>
      </c>
      <c r="M88">
        <v>7.0002155490000026</v>
      </c>
      <c r="N88">
        <v>460.22100864399999</v>
      </c>
      <c r="O88">
        <v>12.623778307</v>
      </c>
      <c r="P88">
        <v>0.35537768679999998</v>
      </c>
      <c r="Q88">
        <v>1.974753261</v>
      </c>
      <c r="R88">
        <v>24.423234050000001</v>
      </c>
      <c r="S88">
        <v>310.56528231600009</v>
      </c>
      <c r="T88">
        <v>441.9089044719999</v>
      </c>
      <c r="U88">
        <v>0</v>
      </c>
      <c r="V88">
        <v>17909.795820844989</v>
      </c>
      <c r="W88">
        <v>0</v>
      </c>
      <c r="Y88" t="str">
        <f>$A88 &amp; Keys!$C$8 &amp; $B88</f>
        <v>Florida|Industry SO2</v>
      </c>
      <c r="Z88" s="8">
        <f>IFERROR(INDEX($U88:$W88, MATCH(INDEX(Runs!$D:$D, MATCH($B88, Runs!$A:$A, 0)), $U$1:$W$1, 0)), 0)</f>
        <v>17909.795820844989</v>
      </c>
      <c r="AA88" s="8">
        <f t="shared" si="4"/>
        <v>2.8579855354590542E-3</v>
      </c>
      <c r="AB88" s="8">
        <f>IFERROR(VLOOKUP(INDEX(Runs!$F:$F, MATCH($B88, Runs!$A:$A, 0)), US_national_yearly!$D:$AM, MATCH(Keys!$C$7, US_national_yearly!$D$1:$AM$1, 0), FALSE), 0)</f>
        <v>5.3000351638639942E-3</v>
      </c>
      <c r="AC88" s="8">
        <f t="shared" si="5"/>
        <v>0.53923897617604444</v>
      </c>
      <c r="AD88">
        <f>IF($Z88&lt;Keys!$C$3, 1, 0)</f>
        <v>0</v>
      </c>
      <c r="AE88">
        <f>IF($AC88&gt;Keys!$C$4, 1, 0)</f>
        <v>0</v>
      </c>
      <c r="AF88">
        <f>IF($AC88&lt;Keys!$C$5, 1, 0)</f>
        <v>0</v>
      </c>
      <c r="AG88">
        <f t="shared" si="6"/>
        <v>0</v>
      </c>
      <c r="AH88" t="str">
        <f>IFERROR(INDEX(Runs!$E:$E, MATCH($B88, Runs!$A:$A, 0)), $B88)</f>
        <v>Industry SO2</v>
      </c>
      <c r="AI88" t="str">
        <f t="shared" si="7"/>
        <v>Industry SO2</v>
      </c>
      <c r="AJ88" t="str">
        <f>IF($AG88=1, IF($AD88=1, Keys!$C$9, "") &amp; IF($AE88=1, Keys!$C$10, "") &amp; IF($AF88=1, Keys!$C$11, ""), "")</f>
        <v/>
      </c>
      <c r="AK88">
        <f>IF($AG88=1, IFERROR(INDEX($AG$2:$AG$577, MATCH($A88 &amp; Keys!$C$8 &amp; $AH88, $Y$2:$Y$577, 0)), 1), 0)</f>
        <v>0</v>
      </c>
    </row>
    <row r="89" spans="1:37" x14ac:dyDescent="0.25">
      <c r="A89" t="s">
        <v>103</v>
      </c>
      <c r="B89" t="s">
        <v>253</v>
      </c>
      <c r="C89">
        <v>67</v>
      </c>
      <c r="D89">
        <v>10.073450283</v>
      </c>
      <c r="E89">
        <v>1.9369711120000001E-2</v>
      </c>
      <c r="F89">
        <v>20.760450758000001</v>
      </c>
      <c r="G89">
        <v>27.95696122</v>
      </c>
      <c r="H89">
        <v>42.713492135999978</v>
      </c>
      <c r="I89">
        <v>0.9440450588</v>
      </c>
      <c r="J89">
        <v>5.3540519109999991</v>
      </c>
      <c r="K89">
        <v>2950.618548502001</v>
      </c>
      <c r="L89">
        <v>498.53296811100012</v>
      </c>
      <c r="M89">
        <v>1.3857305986999999</v>
      </c>
      <c r="N89">
        <v>91.430904113999986</v>
      </c>
      <c r="O89">
        <v>2.2754630999999992</v>
      </c>
      <c r="P89">
        <v>6.4891797539999976E-2</v>
      </c>
      <c r="Q89">
        <v>0.39850675039999989</v>
      </c>
      <c r="R89">
        <v>4.8578352820000026</v>
      </c>
      <c r="S89">
        <v>61.763816679999998</v>
      </c>
      <c r="T89">
        <v>87.857771750999987</v>
      </c>
      <c r="U89">
        <v>0</v>
      </c>
      <c r="V89">
        <v>0</v>
      </c>
      <c r="W89">
        <v>3641.3541777209998</v>
      </c>
      <c r="Y89" t="str">
        <f>$A89 &amp; Keys!$C$8 &amp; $B89</f>
        <v>Florida|buildings NO2</v>
      </c>
      <c r="Z89" s="8">
        <f>IFERROR(INDEX($U89:$W89, MATCH(INDEX(Runs!$D:$D, MATCH($B89, Runs!$A:$A, 0)), $U$1:$W$1, 0)), 0)</f>
        <v>3641.3541777209998</v>
      </c>
      <c r="AA89" s="8">
        <f t="shared" si="4"/>
        <v>2.7664022205345132E-3</v>
      </c>
      <c r="AB89" s="8">
        <f>IFERROR(VLOOKUP(INDEX(Runs!$F:$F, MATCH($B89, Runs!$A:$A, 0)), US_national_yearly!$D:$AM, MATCH(Keys!$C$7, US_national_yearly!$D$1:$AM$1, 0), FALSE), 0)</f>
        <v>5.6784740124662739E-3</v>
      </c>
      <c r="AC89" s="8">
        <f t="shared" si="5"/>
        <v>0.48717352839183109</v>
      </c>
      <c r="AD89">
        <f>IF($Z89&lt;Keys!$C$3, 1, 0)</f>
        <v>0</v>
      </c>
      <c r="AE89">
        <f>IF($AC89&gt;Keys!$C$4, 1, 0)</f>
        <v>0</v>
      </c>
      <c r="AF89">
        <f>IF($AC89&lt;Keys!$C$5, 1, 0)</f>
        <v>0</v>
      </c>
      <c r="AG89">
        <f t="shared" si="6"/>
        <v>0</v>
      </c>
      <c r="AH89" t="str">
        <f>IFERROR(INDEX(Runs!$E:$E, MATCH($B89, Runs!$A:$A, 0)), $B89)</f>
        <v>Industry NO2</v>
      </c>
      <c r="AI89" t="str">
        <f t="shared" si="7"/>
        <v>buildings NO2</v>
      </c>
      <c r="AJ89" t="str">
        <f>IF($AG89=1, IF($AD89=1, Keys!$C$9, "") &amp; IF($AE89=1, Keys!$C$10, "") &amp; IF($AF89=1, Keys!$C$11, ""), "")</f>
        <v/>
      </c>
      <c r="AK89">
        <f>IF($AG89=1, IFERROR(INDEX($AG$2:$AG$577, MATCH($A89 &amp; Keys!$C$8 &amp; $AH89, $Y$2:$Y$577, 0)), 1), 0)</f>
        <v>0</v>
      </c>
    </row>
    <row r="90" spans="1:37" x14ac:dyDescent="0.25">
      <c r="A90" t="s">
        <v>103</v>
      </c>
      <c r="B90" t="s">
        <v>251</v>
      </c>
      <c r="C90">
        <v>67</v>
      </c>
      <c r="D90">
        <v>1.1947033847999999</v>
      </c>
      <c r="E90">
        <v>2.4771334600000002E-3</v>
      </c>
      <c r="F90">
        <v>2.6266848760000001</v>
      </c>
      <c r="G90">
        <v>3.5372163779999992</v>
      </c>
      <c r="H90">
        <v>5.4042527160000002</v>
      </c>
      <c r="I90">
        <v>0.10634397826</v>
      </c>
      <c r="J90">
        <v>0.62156619050000006</v>
      </c>
      <c r="K90">
        <v>372.24827683699988</v>
      </c>
      <c r="L90">
        <v>62.992996011000017</v>
      </c>
      <c r="M90">
        <v>0.15927864050000001</v>
      </c>
      <c r="N90">
        <v>11.568153969999999</v>
      </c>
      <c r="O90">
        <v>0.27484807789999999</v>
      </c>
      <c r="P90">
        <v>8.2781517830000026E-3</v>
      </c>
      <c r="Q90">
        <v>4.8041780809999997E-2</v>
      </c>
      <c r="R90">
        <v>0.6138127497000001</v>
      </c>
      <c r="S90">
        <v>7.8039613909999987</v>
      </c>
      <c r="T90">
        <v>11.100286935</v>
      </c>
      <c r="U90">
        <v>34.271402349000013</v>
      </c>
      <c r="V90">
        <v>0</v>
      </c>
      <c r="W90">
        <v>0</v>
      </c>
      <c r="Y90" t="str">
        <f>$A90 &amp; Keys!$C$8 &amp; $B90</f>
        <v>Florida|buildings PM25</v>
      </c>
      <c r="Z90" s="8">
        <f>IFERROR(INDEX($U90:$W90, MATCH(INDEX(Runs!$D:$D, MATCH($B90, Runs!$A:$A, 0)), $U$1:$W$1, 0)), 0)</f>
        <v>34.271402349000013</v>
      </c>
      <c r="AA90" s="8">
        <f t="shared" si="4"/>
        <v>3.4860067079655395E-2</v>
      </c>
      <c r="AB90" s="8">
        <f>IFERROR(VLOOKUP(INDEX(Runs!$F:$F, MATCH($B90, Runs!$A:$A, 0)), US_national_yearly!$D:$AM, MATCH(Keys!$C$7, US_national_yearly!$D$1:$AM$1, 0), FALSE), 0)</f>
        <v>2.7627705191843259E-2</v>
      </c>
      <c r="AC90" s="8">
        <f t="shared" si="5"/>
        <v>1.2617793203449776</v>
      </c>
      <c r="AD90">
        <f>IF($Z90&lt;Keys!$C$3, 1, 0)</f>
        <v>0</v>
      </c>
      <c r="AE90">
        <f>IF($AC90&gt;Keys!$C$4, 1, 0)</f>
        <v>0</v>
      </c>
      <c r="AF90">
        <f>IF($AC90&lt;Keys!$C$5, 1, 0)</f>
        <v>0</v>
      </c>
      <c r="AG90">
        <f t="shared" si="6"/>
        <v>0</v>
      </c>
      <c r="AH90" t="str">
        <f>IFERROR(INDEX(Runs!$E:$E, MATCH($B90, Runs!$A:$A, 0)), $B90)</f>
        <v>Industry PM25</v>
      </c>
      <c r="AI90" t="str">
        <f t="shared" si="7"/>
        <v>buildings PM25</v>
      </c>
      <c r="AJ90" t="str">
        <f>IF($AG90=1, IF($AD90=1, Keys!$C$9, "") &amp; IF($AE90=1, Keys!$C$10, "") &amp; IF($AF90=1, Keys!$C$11, ""), "")</f>
        <v/>
      </c>
      <c r="AK90">
        <f>IF($AG90=1, IFERROR(INDEX($AG$2:$AG$577, MATCH($A90 &amp; Keys!$C$8 &amp; $AH90, $Y$2:$Y$577, 0)), 1), 0)</f>
        <v>0</v>
      </c>
    </row>
    <row r="91" spans="1:37" x14ac:dyDescent="0.25">
      <c r="A91" t="s">
        <v>103</v>
      </c>
      <c r="B91" t="s">
        <v>254</v>
      </c>
      <c r="C91">
        <v>67</v>
      </c>
      <c r="D91">
        <v>0.70165259850000006</v>
      </c>
      <c r="E91">
        <v>1.461594612E-3</v>
      </c>
      <c r="F91">
        <v>1.590384553</v>
      </c>
      <c r="G91">
        <v>2.1416860230000001</v>
      </c>
      <c r="H91">
        <v>3.2721245309999998</v>
      </c>
      <c r="I91">
        <v>5.9807128590000008E-2</v>
      </c>
      <c r="J91">
        <v>0.32137778979999992</v>
      </c>
      <c r="K91">
        <v>224.54739690800011</v>
      </c>
      <c r="L91">
        <v>37.997967843000012</v>
      </c>
      <c r="M91">
        <v>8.7545974180000027E-2</v>
      </c>
      <c r="N91">
        <v>7.0041951070000001</v>
      </c>
      <c r="O91">
        <v>0.13997337679999999</v>
      </c>
      <c r="P91">
        <v>4.693992182000002E-3</v>
      </c>
      <c r="Q91">
        <v>2.5522780080000002E-2</v>
      </c>
      <c r="R91">
        <v>0.37446984080000012</v>
      </c>
      <c r="S91">
        <v>4.7620274480000004</v>
      </c>
      <c r="T91">
        <v>6.7759686199999978</v>
      </c>
      <c r="U91">
        <v>0</v>
      </c>
      <c r="V91">
        <v>80.457855229000018</v>
      </c>
      <c r="W91">
        <v>0</v>
      </c>
      <c r="Y91" t="str">
        <f>$A91 &amp; Keys!$C$8 &amp; $B91</f>
        <v>Florida|buildings SO2</v>
      </c>
      <c r="Z91" s="8">
        <f>IFERROR(INDEX($U91:$W91, MATCH(INDEX(Runs!$D:$D, MATCH($B91, Runs!$A:$A, 0)), $U$1:$W$1, 0)), 0)</f>
        <v>80.457855229000018</v>
      </c>
      <c r="AA91" s="8">
        <f t="shared" si="4"/>
        <v>8.7207469861450924E-3</v>
      </c>
      <c r="AB91" s="8">
        <f>IFERROR(VLOOKUP(INDEX(Runs!$F:$F, MATCH($B91, Runs!$A:$A, 0)), US_national_yearly!$D:$AM, MATCH(Keys!$C$7, US_national_yearly!$D$1:$AM$1, 0), FALSE), 0)</f>
        <v>5.1581943281164694E-3</v>
      </c>
      <c r="AC91" s="8">
        <f t="shared" si="5"/>
        <v>1.690658868474523</v>
      </c>
      <c r="AD91">
        <f>IF($Z91&lt;Keys!$C$3, 1, 0)</f>
        <v>0</v>
      </c>
      <c r="AE91">
        <f>IF($AC91&gt;Keys!$C$4, 1, 0)</f>
        <v>0</v>
      </c>
      <c r="AF91">
        <f>IF($AC91&lt;Keys!$C$5, 1, 0)</f>
        <v>0</v>
      </c>
      <c r="AG91">
        <f t="shared" si="6"/>
        <v>0</v>
      </c>
      <c r="AH91" t="str">
        <f>IFERROR(INDEX(Runs!$E:$E, MATCH($B91, Runs!$A:$A, 0)), $B91)</f>
        <v>Industry SO2</v>
      </c>
      <c r="AI91" t="str">
        <f t="shared" si="7"/>
        <v>buildings SO2</v>
      </c>
      <c r="AJ91" t="str">
        <f>IF($AG91=1, IF($AD91=1, Keys!$C$9, "") &amp; IF($AE91=1, Keys!$C$10, "") &amp; IF($AF91=1, Keys!$C$11, ""), "")</f>
        <v/>
      </c>
      <c r="AK91">
        <f>IF($AG91=1, IFERROR(INDEX($AG$2:$AG$577, MATCH($A91 &amp; Keys!$C$8 &amp; $AH91, $Y$2:$Y$577, 0)), 1), 0)</f>
        <v>0</v>
      </c>
    </row>
    <row r="92" spans="1:37" x14ac:dyDescent="0.25">
      <c r="A92" t="s">
        <v>103</v>
      </c>
      <c r="B92" t="s">
        <v>249</v>
      </c>
      <c r="C92">
        <v>67</v>
      </c>
      <c r="D92">
        <v>22.462965410999999</v>
      </c>
      <c r="E92">
        <v>4.1582908639999999E-2</v>
      </c>
      <c r="F92">
        <v>44.869440804000007</v>
      </c>
      <c r="G92">
        <v>60.423122724000017</v>
      </c>
      <c r="H92">
        <v>92.316612548000009</v>
      </c>
      <c r="I92">
        <v>2.0699040000000002</v>
      </c>
      <c r="J92">
        <v>11.624099369</v>
      </c>
      <c r="K92">
        <v>6368.0973427969993</v>
      </c>
      <c r="L92">
        <v>1075.148997457</v>
      </c>
      <c r="M92">
        <v>3.0143248210000002</v>
      </c>
      <c r="N92">
        <v>197.60917607600001</v>
      </c>
      <c r="O92">
        <v>5.1155999090000011</v>
      </c>
      <c r="P92">
        <v>0.14757290179999999</v>
      </c>
      <c r="Q92">
        <v>0.84112557300000013</v>
      </c>
      <c r="R92">
        <v>10.487364252000001</v>
      </c>
      <c r="S92">
        <v>133.34472919800001</v>
      </c>
      <c r="T92">
        <v>189.697625265</v>
      </c>
      <c r="U92">
        <v>0</v>
      </c>
      <c r="V92">
        <v>0</v>
      </c>
      <c r="W92">
        <v>30195.069464405999</v>
      </c>
      <c r="Y92" t="str">
        <f>$A92 &amp; Keys!$C$8 &amp; $B92</f>
        <v>Florida|electricity NO2</v>
      </c>
      <c r="Z92" s="8">
        <f>IFERROR(INDEX($U92:$W92, MATCH(INDEX(Runs!$D:$D, MATCH($B92, Runs!$A:$A, 0)), $U$1:$W$1, 0)), 0)</f>
        <v>30195.069464405999</v>
      </c>
      <c r="AA92" s="8">
        <f t="shared" si="4"/>
        <v>7.4392825747526044E-4</v>
      </c>
      <c r="AB92" s="8">
        <f>IFERROR(VLOOKUP(INDEX(Runs!$F:$F, MATCH($B92, Runs!$A:$A, 0)), US_national_yearly!$D:$AM, MATCH(Keys!$C$7, US_national_yearly!$D$1:$AM$1, 0), FALSE), 0)</f>
        <v>6.1439221592658041E-3</v>
      </c>
      <c r="AC92" s="8">
        <f t="shared" si="5"/>
        <v>0.12108360721226318</v>
      </c>
      <c r="AD92">
        <f>IF($Z92&lt;Keys!$C$3, 1, 0)</f>
        <v>0</v>
      </c>
      <c r="AE92">
        <f>IF($AC92&gt;Keys!$C$4, 1, 0)</f>
        <v>0</v>
      </c>
      <c r="AF92">
        <f>IF($AC92&lt;Keys!$C$5, 1, 0)</f>
        <v>0</v>
      </c>
      <c r="AG92">
        <f t="shared" si="6"/>
        <v>0</v>
      </c>
      <c r="AH92" t="str">
        <f>IFERROR(INDEX(Runs!$E:$E, MATCH($B92, Runs!$A:$A, 0)), $B92)</f>
        <v>Industry NO2</v>
      </c>
      <c r="AI92" t="str">
        <f t="shared" si="7"/>
        <v>electricity NO2</v>
      </c>
      <c r="AJ92" t="str">
        <f>IF($AG92=1, IF($AD92=1, Keys!$C$9, "") &amp; IF($AE92=1, Keys!$C$10, "") &amp; IF($AF92=1, Keys!$C$11, ""), "")</f>
        <v/>
      </c>
      <c r="AK92">
        <f>IF($AG92=1, IFERROR(INDEX($AG$2:$AG$577, MATCH($A92 &amp; Keys!$C$8 &amp; $AH92, $Y$2:$Y$577, 0)), 1), 0)</f>
        <v>0</v>
      </c>
    </row>
    <row r="93" spans="1:37" x14ac:dyDescent="0.25">
      <c r="A93" t="s">
        <v>103</v>
      </c>
      <c r="B93" t="s">
        <v>247</v>
      </c>
      <c r="C93">
        <v>67</v>
      </c>
      <c r="D93">
        <v>137.08015862800011</v>
      </c>
      <c r="E93">
        <v>0.2474555755</v>
      </c>
      <c r="F93">
        <v>265.40414194499988</v>
      </c>
      <c r="G93">
        <v>357.39954581500012</v>
      </c>
      <c r="H93">
        <v>546.06605808399991</v>
      </c>
      <c r="I93">
        <v>13.398989690000001</v>
      </c>
      <c r="J93">
        <v>72.91556890199999</v>
      </c>
      <c r="K93">
        <v>37364.01969869098</v>
      </c>
      <c r="L93">
        <v>6303.5351095219976</v>
      </c>
      <c r="M93">
        <v>19.058024297999999</v>
      </c>
      <c r="N93">
        <v>1168.8697458439999</v>
      </c>
      <c r="O93">
        <v>32.364238161999999</v>
      </c>
      <c r="P93">
        <v>0.87924900709999998</v>
      </c>
      <c r="Q93">
        <v>5.1826317309999999</v>
      </c>
      <c r="R93">
        <v>61.993891078000011</v>
      </c>
      <c r="S93">
        <v>788.32270196799993</v>
      </c>
      <c r="T93">
        <v>1121.900909021</v>
      </c>
      <c r="U93">
        <v>4740.1797608979996</v>
      </c>
      <c r="V93">
        <v>0</v>
      </c>
      <c r="W93">
        <v>0</v>
      </c>
      <c r="Y93" t="str">
        <f>$A93 &amp; Keys!$C$8 &amp; $B93</f>
        <v>Florida|electricity PM25</v>
      </c>
      <c r="Z93" s="8">
        <f>IFERROR(INDEX($U93:$W93, MATCH(INDEX(Runs!$D:$D, MATCH($B93, Runs!$A:$A, 0)), $U$1:$W$1, 0)), 0)</f>
        <v>4740.1797608979996</v>
      </c>
      <c r="AA93" s="8">
        <f t="shared" si="4"/>
        <v>2.8918767967152172E-2</v>
      </c>
      <c r="AB93" s="8">
        <f>IFERROR(VLOOKUP(INDEX(Runs!$F:$F, MATCH($B93, Runs!$A:$A, 0)), US_national_yearly!$D:$AM, MATCH(Keys!$C$7, US_national_yearly!$D$1:$AM$1, 0), FALSE), 0)</f>
        <v>2.4252978284752182E-2</v>
      </c>
      <c r="AC93" s="8">
        <f t="shared" si="5"/>
        <v>1.1923800709182744</v>
      </c>
      <c r="AD93">
        <f>IF($Z93&lt;Keys!$C$3, 1, 0)</f>
        <v>0</v>
      </c>
      <c r="AE93">
        <f>IF($AC93&gt;Keys!$C$4, 1, 0)</f>
        <v>0</v>
      </c>
      <c r="AF93">
        <f>IF($AC93&lt;Keys!$C$5, 1, 0)</f>
        <v>0</v>
      </c>
      <c r="AG93">
        <f t="shared" si="6"/>
        <v>0</v>
      </c>
      <c r="AH93" t="str">
        <f>IFERROR(INDEX(Runs!$E:$E, MATCH($B93, Runs!$A:$A, 0)), $B93)</f>
        <v>Industry PM25</v>
      </c>
      <c r="AI93" t="str">
        <f t="shared" si="7"/>
        <v>electricity PM25</v>
      </c>
      <c r="AJ93" t="str">
        <f>IF($AG93=1, IF($AD93=1, Keys!$C$9, "") &amp; IF($AE93=1, Keys!$C$10, "") &amp; IF($AF93=1, Keys!$C$11, ""), "")</f>
        <v/>
      </c>
      <c r="AK93">
        <f>IF($AG93=1, IFERROR(INDEX($AG$2:$AG$577, MATCH($A93 &amp; Keys!$C$8 &amp; $AH93, $Y$2:$Y$577, 0)), 1), 0)</f>
        <v>0</v>
      </c>
    </row>
    <row r="94" spans="1:37" x14ac:dyDescent="0.25">
      <c r="A94" t="s">
        <v>103</v>
      </c>
      <c r="B94" t="s">
        <v>250</v>
      </c>
      <c r="C94">
        <v>67</v>
      </c>
      <c r="D94">
        <v>56.556815398999987</v>
      </c>
      <c r="E94">
        <v>0.10309817947</v>
      </c>
      <c r="F94">
        <v>113.765412574</v>
      </c>
      <c r="G94">
        <v>153.20064952600001</v>
      </c>
      <c r="H94">
        <v>234.06814664299989</v>
      </c>
      <c r="I94">
        <v>5.1419767529999998</v>
      </c>
      <c r="J94">
        <v>28.709225705999991</v>
      </c>
      <c r="K94">
        <v>16188.560925100999</v>
      </c>
      <c r="L94">
        <v>2731.7724357509992</v>
      </c>
      <c r="M94">
        <v>7.5212422670000016</v>
      </c>
      <c r="N94">
        <v>501.03420874299991</v>
      </c>
      <c r="O94">
        <v>12.444717295</v>
      </c>
      <c r="P94">
        <v>0.359531086</v>
      </c>
      <c r="Q94">
        <v>2.069221234</v>
      </c>
      <c r="R94">
        <v>26.678244250999999</v>
      </c>
      <c r="S94">
        <v>339.24814660200002</v>
      </c>
      <c r="T94">
        <v>482.74642022900002</v>
      </c>
      <c r="U94">
        <v>0</v>
      </c>
      <c r="V94">
        <v>5745.2092315869986</v>
      </c>
      <c r="W94">
        <v>0</v>
      </c>
      <c r="Y94" t="str">
        <f>$A94 &amp; Keys!$C$8 &amp; $B94</f>
        <v>Florida|electricity SO2</v>
      </c>
      <c r="Z94" s="8">
        <f>IFERROR(INDEX($U94:$W94, MATCH(INDEX(Runs!$D:$D, MATCH($B94, Runs!$A:$A, 0)), $U$1:$W$1, 0)), 0)</f>
        <v>5745.2092315869986</v>
      </c>
      <c r="AA94" s="8">
        <f t="shared" si="4"/>
        <v>9.8441698325018711E-3</v>
      </c>
      <c r="AB94" s="8">
        <f>IFERROR(VLOOKUP(INDEX(Runs!$F:$F, MATCH($B94, Runs!$A:$A, 0)), US_national_yearly!$D:$AM, MATCH(Keys!$C$7, US_national_yearly!$D$1:$AM$1, 0), FALSE), 0)</f>
        <v>5.7032329662362116E-3</v>
      </c>
      <c r="AC94" s="8">
        <f t="shared" si="5"/>
        <v>1.7260683354126469</v>
      </c>
      <c r="AD94">
        <f>IF($Z94&lt;Keys!$C$3, 1, 0)</f>
        <v>0</v>
      </c>
      <c r="AE94">
        <f>IF($AC94&gt;Keys!$C$4, 1, 0)</f>
        <v>0</v>
      </c>
      <c r="AF94">
        <f>IF($AC94&lt;Keys!$C$5, 1, 0)</f>
        <v>0</v>
      </c>
      <c r="AG94">
        <f t="shared" si="6"/>
        <v>0</v>
      </c>
      <c r="AH94" t="str">
        <f>IFERROR(INDEX(Runs!$E:$E, MATCH($B94, Runs!$A:$A, 0)), $B94)</f>
        <v>Industry SO2</v>
      </c>
      <c r="AI94" t="str">
        <f t="shared" si="7"/>
        <v>electricity SO2</v>
      </c>
      <c r="AJ94" t="str">
        <f>IF($AG94=1, IF($AD94=1, Keys!$C$9, "") &amp; IF($AE94=1, Keys!$C$10, "") &amp; IF($AF94=1, Keys!$C$11, ""), "")</f>
        <v/>
      </c>
      <c r="AK94">
        <f>IF($AG94=1, IFERROR(INDEX($AG$2:$AG$577, MATCH($A94 &amp; Keys!$C$8 &amp; $AH94, $Y$2:$Y$577, 0)), 1), 0)</f>
        <v>0</v>
      </c>
    </row>
    <row r="95" spans="1:37" x14ac:dyDescent="0.25">
      <c r="A95" t="s">
        <v>103</v>
      </c>
      <c r="B95" t="s">
        <v>239</v>
      </c>
      <c r="C95">
        <v>67</v>
      </c>
      <c r="D95">
        <v>478.889337211</v>
      </c>
      <c r="E95">
        <v>0.91062835240000017</v>
      </c>
      <c r="F95">
        <v>987.59245645600004</v>
      </c>
      <c r="G95">
        <v>1329.8573850079999</v>
      </c>
      <c r="H95">
        <v>2032.0788512460001</v>
      </c>
      <c r="I95">
        <v>44.947839553000009</v>
      </c>
      <c r="J95">
        <v>250.53706786999999</v>
      </c>
      <c r="K95">
        <v>140207.54642571</v>
      </c>
      <c r="L95">
        <v>23688.89282674099</v>
      </c>
      <c r="M95">
        <v>65.578447738000023</v>
      </c>
      <c r="N95">
        <v>4349.5286927099996</v>
      </c>
      <c r="O95">
        <v>106.888120974</v>
      </c>
      <c r="P95">
        <v>3.0682472340000002</v>
      </c>
      <c r="Q95">
        <v>18.462167008000002</v>
      </c>
      <c r="R95">
        <v>230.692180498</v>
      </c>
      <c r="S95">
        <v>2935.1538054470011</v>
      </c>
      <c r="T95">
        <v>4183.6740524069992</v>
      </c>
      <c r="U95">
        <v>0</v>
      </c>
      <c r="V95">
        <v>0</v>
      </c>
      <c r="W95">
        <v>170924.11352029999</v>
      </c>
      <c r="Y95" t="str">
        <f>$A95 &amp; Keys!$C$8 &amp; $B95</f>
        <v>Florida|transportation NO2</v>
      </c>
      <c r="Z95" s="8">
        <f>IFERROR(INDEX($U95:$W95, MATCH(INDEX(Runs!$D:$D, MATCH($B95, Runs!$A:$A, 0)), $U$1:$W$1, 0)), 0)</f>
        <v>170924.11352029999</v>
      </c>
      <c r="AA95" s="8">
        <f t="shared" si="4"/>
        <v>2.8017658090947139E-3</v>
      </c>
      <c r="AB95" s="8">
        <f>IFERROR(VLOOKUP(INDEX(Runs!$F:$F, MATCH($B95, Runs!$A:$A, 0)), US_national_yearly!$D:$AM, MATCH(Keys!$C$7, US_national_yearly!$D$1:$AM$1, 0), FALSE), 0)</f>
        <v>5.7148835886332216E-3</v>
      </c>
      <c r="AC95" s="8">
        <f t="shared" si="5"/>
        <v>0.49025772190134631</v>
      </c>
      <c r="AD95">
        <f>IF($Z95&lt;Keys!$C$3, 1, 0)</f>
        <v>0</v>
      </c>
      <c r="AE95">
        <f>IF($AC95&gt;Keys!$C$4, 1, 0)</f>
        <v>0</v>
      </c>
      <c r="AF95">
        <f>IF($AC95&lt;Keys!$C$5, 1, 0)</f>
        <v>0</v>
      </c>
      <c r="AG95">
        <f t="shared" si="6"/>
        <v>0</v>
      </c>
      <c r="AH95" t="str">
        <f>IFERROR(INDEX(Runs!$E:$E, MATCH($B95, Runs!$A:$A, 0)), $B95)</f>
        <v>Industry NO2</v>
      </c>
      <c r="AI95" t="str">
        <f t="shared" si="7"/>
        <v>transportation NO2</v>
      </c>
      <c r="AJ95" t="str">
        <f>IF($AG95=1, IF($AD95=1, Keys!$C$9, "") &amp; IF($AE95=1, Keys!$C$10, "") &amp; IF($AF95=1, Keys!$C$11, ""), "")</f>
        <v/>
      </c>
      <c r="AK95">
        <f>IF($AG95=1, IFERROR(INDEX($AG$2:$AG$577, MATCH($A95 &amp; Keys!$C$8 &amp; $AH95, $Y$2:$Y$577, 0)), 1), 0)</f>
        <v>0</v>
      </c>
    </row>
    <row r="96" spans="1:37" x14ac:dyDescent="0.25">
      <c r="A96" t="s">
        <v>103</v>
      </c>
      <c r="B96" t="s">
        <v>234</v>
      </c>
      <c r="C96">
        <v>67</v>
      </c>
      <c r="D96">
        <v>306.69240939400021</v>
      </c>
      <c r="E96">
        <v>0.58163076829999971</v>
      </c>
      <c r="F96">
        <v>630.63436520999983</v>
      </c>
      <c r="G96">
        <v>849.20864134400006</v>
      </c>
      <c r="H96">
        <v>1297.561110073</v>
      </c>
      <c r="I96">
        <v>29.021932824</v>
      </c>
      <c r="J96">
        <v>163.5842539649999</v>
      </c>
      <c r="K96">
        <v>89745.279718029007</v>
      </c>
      <c r="L96">
        <v>15162.450164111</v>
      </c>
      <c r="M96">
        <v>42.416764907000001</v>
      </c>
      <c r="N96">
        <v>2777.4041166269999</v>
      </c>
      <c r="O96">
        <v>68.993665972999977</v>
      </c>
      <c r="P96">
        <v>1.9563258278</v>
      </c>
      <c r="Q96">
        <v>12.005160248999999</v>
      </c>
      <c r="R96">
        <v>147.43942003800001</v>
      </c>
      <c r="S96">
        <v>1875.420524461</v>
      </c>
      <c r="T96">
        <v>2671.1737105560001</v>
      </c>
      <c r="U96">
        <v>5108.501897418002</v>
      </c>
      <c r="V96">
        <v>0</v>
      </c>
      <c r="W96">
        <v>0</v>
      </c>
      <c r="Y96" t="str">
        <f>$A96 &amp; Keys!$C$8 &amp; $B96</f>
        <v>Florida|transportation PM25</v>
      </c>
      <c r="Z96" s="8">
        <f>IFERROR(INDEX($U96:$W96, MATCH(INDEX(Runs!$D:$D, MATCH($B96, Runs!$A:$A, 0)), $U$1:$W$1, 0)), 0)</f>
        <v>5108.501897418002</v>
      </c>
      <c r="AA96" s="8">
        <f t="shared" si="4"/>
        <v>6.0035684737439803E-2</v>
      </c>
      <c r="AB96" s="8">
        <f>IFERROR(VLOOKUP(INDEX(Runs!$F:$F, MATCH($B96, Runs!$A:$A, 0)), US_national_yearly!$D:$AM, MATCH(Keys!$C$7, US_national_yearly!$D$1:$AM$1, 0), FALSE), 0)</f>
        <v>2.8248683697579859E-2</v>
      </c>
      <c r="AC96" s="8">
        <f t="shared" si="5"/>
        <v>2.125256007683757</v>
      </c>
      <c r="AD96">
        <f>IF($Z96&lt;Keys!$C$3, 1, 0)</f>
        <v>0</v>
      </c>
      <c r="AE96">
        <f>IF($AC96&gt;Keys!$C$4, 1, 0)</f>
        <v>0</v>
      </c>
      <c r="AF96">
        <f>IF($AC96&lt;Keys!$C$5, 1, 0)</f>
        <v>0</v>
      </c>
      <c r="AG96">
        <f t="shared" si="6"/>
        <v>0</v>
      </c>
      <c r="AH96" t="str">
        <f>IFERROR(INDEX(Runs!$E:$E, MATCH($B96, Runs!$A:$A, 0)), $B96)</f>
        <v>Industry PM25</v>
      </c>
      <c r="AI96" t="str">
        <f t="shared" si="7"/>
        <v>transportation PM25</v>
      </c>
      <c r="AJ96" t="str">
        <f>IF($AG96=1, IF($AD96=1, Keys!$C$9, "") &amp; IF($AE96=1, Keys!$C$10, "") &amp; IF($AF96=1, Keys!$C$11, ""), "")</f>
        <v/>
      </c>
      <c r="AK96">
        <f>IF($AG96=1, IFERROR(INDEX($AG$2:$AG$577, MATCH($A96 &amp; Keys!$C$8 &amp; $AH96, $Y$2:$Y$577, 0)), 1), 0)</f>
        <v>0</v>
      </c>
    </row>
    <row r="97" spans="1:37" x14ac:dyDescent="0.25">
      <c r="A97" t="s">
        <v>103</v>
      </c>
      <c r="B97" t="s">
        <v>243</v>
      </c>
      <c r="C97">
        <v>67</v>
      </c>
      <c r="D97">
        <v>26.684186414999999</v>
      </c>
      <c r="E97">
        <v>5.3201399230000022E-2</v>
      </c>
      <c r="F97">
        <v>59.217660229999993</v>
      </c>
      <c r="G97">
        <v>79.744908180999985</v>
      </c>
      <c r="H97">
        <v>121.83764674</v>
      </c>
      <c r="I97">
        <v>2.4842899965999998</v>
      </c>
      <c r="J97">
        <v>14.264601082</v>
      </c>
      <c r="K97">
        <v>8440.6765132439996</v>
      </c>
      <c r="L97">
        <v>1427.8464641190001</v>
      </c>
      <c r="M97">
        <v>3.692462978</v>
      </c>
      <c r="N97">
        <v>260.80021515099997</v>
      </c>
      <c r="O97">
        <v>6.1378892539999992</v>
      </c>
      <c r="P97">
        <v>0.17516106764</v>
      </c>
      <c r="Q97">
        <v>1.0842015746</v>
      </c>
      <c r="R97">
        <v>13.892312741</v>
      </c>
      <c r="S97">
        <v>176.66073749099999</v>
      </c>
      <c r="T97">
        <v>251.38020718899989</v>
      </c>
      <c r="U97">
        <v>0</v>
      </c>
      <c r="V97">
        <v>2068.2299694869998</v>
      </c>
      <c r="W97">
        <v>0</v>
      </c>
      <c r="Y97" t="str">
        <f>$A97 &amp; Keys!$C$8 &amp; $B97</f>
        <v>Florida|transportation SO2</v>
      </c>
      <c r="Z97" s="8">
        <f>IFERROR(INDEX($U97:$W97, MATCH(INDEX(Runs!$D:$D, MATCH($B97, Runs!$A:$A, 0)), $U$1:$W$1, 0)), 0)</f>
        <v>2068.2299694869998</v>
      </c>
      <c r="AA97" s="8">
        <f t="shared" si="4"/>
        <v>1.2901943598476477E-2</v>
      </c>
      <c r="AB97" s="8">
        <f>IFERROR(VLOOKUP(INDEX(Runs!$F:$F, MATCH($B97, Runs!$A:$A, 0)), US_national_yearly!$D:$AM, MATCH(Keys!$C$7, US_national_yearly!$D$1:$AM$1, 0), FALSE), 0)</f>
        <v>5.1800714166247604E-3</v>
      </c>
      <c r="AC97" s="8">
        <f t="shared" si="5"/>
        <v>2.4906883633050656</v>
      </c>
      <c r="AD97">
        <f>IF($Z97&lt;Keys!$C$3, 1, 0)</f>
        <v>0</v>
      </c>
      <c r="AE97">
        <f>IF($AC97&gt;Keys!$C$4, 1, 0)</f>
        <v>0</v>
      </c>
      <c r="AF97">
        <f>IF($AC97&lt;Keys!$C$5, 1, 0)</f>
        <v>0</v>
      </c>
      <c r="AG97">
        <f t="shared" si="6"/>
        <v>0</v>
      </c>
      <c r="AH97" t="str">
        <f>IFERROR(INDEX(Runs!$E:$E, MATCH($B97, Runs!$A:$A, 0)), $B97)</f>
        <v>Industry SO2</v>
      </c>
      <c r="AI97" t="str">
        <f t="shared" si="7"/>
        <v>transportation SO2</v>
      </c>
      <c r="AJ97" t="str">
        <f>IF($AG97=1, IF($AD97=1, Keys!$C$9, "") &amp; IF($AE97=1, Keys!$C$10, "") &amp; IF($AF97=1, Keys!$C$11, ""), "")</f>
        <v/>
      </c>
      <c r="AK97">
        <f>IF($AG97=1, IFERROR(INDEX($AG$2:$AG$577, MATCH($A97 &amp; Keys!$C$8 &amp; $AH97, $Y$2:$Y$577, 0)), 1), 0)</f>
        <v>0</v>
      </c>
    </row>
    <row r="98" spans="1:37" x14ac:dyDescent="0.25">
      <c r="A98" t="s">
        <v>106</v>
      </c>
      <c r="B98" t="s">
        <v>242</v>
      </c>
      <c r="C98">
        <v>159</v>
      </c>
      <c r="D98">
        <v>23.402602776000009</v>
      </c>
      <c r="E98">
        <v>7.6613738239999937E-2</v>
      </c>
      <c r="F98">
        <v>68.826918118999984</v>
      </c>
      <c r="G98">
        <v>92.684771238999971</v>
      </c>
      <c r="H98">
        <v>141.60898042599999</v>
      </c>
      <c r="I98">
        <v>1.520319860000001</v>
      </c>
      <c r="J98">
        <v>10.300490262000009</v>
      </c>
      <c r="K98">
        <v>8651.265460582008</v>
      </c>
      <c r="L98">
        <v>1471.8558176869999</v>
      </c>
      <c r="M98">
        <v>2.6569168950000002</v>
      </c>
      <c r="N98">
        <v>303.12066978399997</v>
      </c>
      <c r="O98">
        <v>6.6879258299999984</v>
      </c>
      <c r="P98">
        <v>0.29748717569999977</v>
      </c>
      <c r="Q98">
        <v>0.68810212309999996</v>
      </c>
      <c r="R98">
        <v>16.027472239000009</v>
      </c>
      <c r="S98">
        <v>203.739091371</v>
      </c>
      <c r="T98">
        <v>289.75281555500032</v>
      </c>
      <c r="U98">
        <v>0</v>
      </c>
      <c r="V98">
        <v>0</v>
      </c>
      <c r="W98">
        <v>34375.174247921997</v>
      </c>
      <c r="Y98" t="str">
        <f>$A98 &amp; Keys!$C$8 &amp; $B98</f>
        <v>Georgia|Industry NO2</v>
      </c>
      <c r="Z98" s="8">
        <f>IFERROR(INDEX($U98:$W98, MATCH(INDEX(Runs!$D:$D, MATCH($B98, Runs!$A:$A, 0)), $U$1:$W$1, 0)), 0)</f>
        <v>34375.174247921997</v>
      </c>
      <c r="AA98" s="8">
        <f t="shared" si="4"/>
        <v>6.8079953885367462E-4</v>
      </c>
      <c r="AB98" s="8">
        <f>IFERROR(VLOOKUP(INDEX(Runs!$F:$F, MATCH($B98, Runs!$A:$A, 0)), US_national_yearly!$D:$AM, MATCH(Keys!$C$7, US_national_yearly!$D$1:$AM$1, 0), FALSE), 0)</f>
        <v>5.8012217057786938E-3</v>
      </c>
      <c r="AC98" s="8">
        <f t="shared" si="5"/>
        <v>0.1173545114084364</v>
      </c>
      <c r="AD98">
        <f>IF($Z98&lt;Keys!$C$3, 1, 0)</f>
        <v>0</v>
      </c>
      <c r="AE98">
        <f>IF($AC98&gt;Keys!$C$4, 1, 0)</f>
        <v>0</v>
      </c>
      <c r="AF98">
        <f>IF($AC98&lt;Keys!$C$5, 1, 0)</f>
        <v>0</v>
      </c>
      <c r="AG98">
        <f t="shared" si="6"/>
        <v>0</v>
      </c>
      <c r="AH98" t="str">
        <f>IFERROR(INDEX(Runs!$E:$E, MATCH($B98, Runs!$A:$A, 0)), $B98)</f>
        <v>Industry NO2</v>
      </c>
      <c r="AI98" t="str">
        <f t="shared" si="7"/>
        <v>Industry NO2</v>
      </c>
      <c r="AJ98" t="str">
        <f>IF($AG98=1, IF($AD98=1, Keys!$C$9, "") &amp; IF($AE98=1, Keys!$C$10, "") &amp; IF($AF98=1, Keys!$C$11, ""), "")</f>
        <v/>
      </c>
      <c r="AK98">
        <f>IF($AG98=1, IFERROR(INDEX($AG$2:$AG$577, MATCH($A98 &amp; Keys!$C$8 &amp; $AH98, $Y$2:$Y$577, 0)), 1), 0)</f>
        <v>0</v>
      </c>
    </row>
    <row r="99" spans="1:37" x14ac:dyDescent="0.25">
      <c r="A99" t="s">
        <v>106</v>
      </c>
      <c r="B99" t="s">
        <v>238</v>
      </c>
      <c r="C99">
        <v>159</v>
      </c>
      <c r="D99">
        <v>267.66019865499987</v>
      </c>
      <c r="E99">
        <v>0.85929647860000014</v>
      </c>
      <c r="F99">
        <v>778.10619441799986</v>
      </c>
      <c r="G99">
        <v>1047.756658943</v>
      </c>
      <c r="H99">
        <v>1601.066295095</v>
      </c>
      <c r="I99">
        <v>17.425719352000009</v>
      </c>
      <c r="J99">
        <v>117.21865604</v>
      </c>
      <c r="K99">
        <v>97585.031555261012</v>
      </c>
      <c r="L99">
        <v>16587.085207689011</v>
      </c>
      <c r="M99">
        <v>30.30564215999998</v>
      </c>
      <c r="N99">
        <v>3426.9291484559999</v>
      </c>
      <c r="O99">
        <v>75.491216869000056</v>
      </c>
      <c r="P99">
        <v>3.3513346940000002</v>
      </c>
      <c r="Q99">
        <v>7.8127906680000034</v>
      </c>
      <c r="R99">
        <v>180.20215108799999</v>
      </c>
      <c r="S99">
        <v>2292.6213834919999</v>
      </c>
      <c r="T99">
        <v>3268.1137586119989</v>
      </c>
      <c r="U99">
        <v>20235.809913289999</v>
      </c>
      <c r="V99">
        <v>0</v>
      </c>
      <c r="W99">
        <v>0</v>
      </c>
      <c r="Y99" t="str">
        <f>$A99 &amp; Keys!$C$8 &amp; $B99</f>
        <v>Georgia|Industry PM25</v>
      </c>
      <c r="Z99" s="8">
        <f>IFERROR(INDEX($U99:$W99, MATCH(INDEX(Runs!$D:$D, MATCH($B99, Runs!$A:$A, 0)), $U$1:$W$1, 0)), 0)</f>
        <v>20235.809913289999</v>
      </c>
      <c r="AA99" s="8">
        <f t="shared" si="4"/>
        <v>1.3227056381825978E-2</v>
      </c>
      <c r="AB99" s="8">
        <f>IFERROR(VLOOKUP(INDEX(Runs!$F:$F, MATCH($B99, Runs!$A:$A, 0)), US_national_yearly!$D:$AM, MATCH(Keys!$C$7, US_national_yearly!$D$1:$AM$1, 0), FALSE), 0)</f>
        <v>2.6833191881203179E-2</v>
      </c>
      <c r="AC99" s="8">
        <f t="shared" si="5"/>
        <v>0.49293637672272655</v>
      </c>
      <c r="AD99">
        <f>IF($Z99&lt;Keys!$C$3, 1, 0)</f>
        <v>0</v>
      </c>
      <c r="AE99">
        <f>IF($AC99&gt;Keys!$C$4, 1, 0)</f>
        <v>0</v>
      </c>
      <c r="AF99">
        <f>IF($AC99&lt;Keys!$C$5, 1, 0)</f>
        <v>0</v>
      </c>
      <c r="AG99">
        <f t="shared" si="6"/>
        <v>0</v>
      </c>
      <c r="AH99" t="str">
        <f>IFERROR(INDEX(Runs!$E:$E, MATCH($B99, Runs!$A:$A, 0)), $B99)</f>
        <v>Industry PM25</v>
      </c>
      <c r="AI99" t="str">
        <f t="shared" si="7"/>
        <v>Industry PM25</v>
      </c>
      <c r="AJ99" t="str">
        <f>IF($AG99=1, IF($AD99=1, Keys!$C$9, "") &amp; IF($AE99=1, Keys!$C$10, "") &amp; IF($AF99=1, Keys!$C$11, ""), "")</f>
        <v/>
      </c>
      <c r="AK99">
        <f>IF($AG99=1, IFERROR(INDEX($AG$2:$AG$577, MATCH($A99 &amp; Keys!$C$8 &amp; $AH99, $Y$2:$Y$577, 0)), 1), 0)</f>
        <v>0</v>
      </c>
    </row>
    <row r="100" spans="1:37" x14ac:dyDescent="0.25">
      <c r="A100" t="s">
        <v>106</v>
      </c>
      <c r="B100" t="s">
        <v>246</v>
      </c>
      <c r="C100">
        <v>159</v>
      </c>
      <c r="D100">
        <v>16.598073422000009</v>
      </c>
      <c r="E100">
        <v>5.304826474999999E-2</v>
      </c>
      <c r="F100">
        <v>46.425740881000003</v>
      </c>
      <c r="G100">
        <v>62.518765828999989</v>
      </c>
      <c r="H100">
        <v>95.518902131999909</v>
      </c>
      <c r="I100">
        <v>1.0603785779999999</v>
      </c>
      <c r="J100">
        <v>7.0850997420000006</v>
      </c>
      <c r="K100">
        <v>5777.0963647729996</v>
      </c>
      <c r="L100">
        <v>981.08133036099991</v>
      </c>
      <c r="M100">
        <v>1.8269142390000011</v>
      </c>
      <c r="N100">
        <v>204.46340884199989</v>
      </c>
      <c r="O100">
        <v>4.4911098729999992</v>
      </c>
      <c r="P100">
        <v>0.19991236009999999</v>
      </c>
      <c r="Q100">
        <v>0.46383357269999997</v>
      </c>
      <c r="R100">
        <v>10.78126609399999</v>
      </c>
      <c r="S100">
        <v>137.05155271399991</v>
      </c>
      <c r="T100">
        <v>194.90546803300001</v>
      </c>
      <c r="U100">
        <v>0</v>
      </c>
      <c r="V100">
        <v>10295.616501168999</v>
      </c>
      <c r="W100">
        <v>0</v>
      </c>
      <c r="Y100" t="str">
        <f>$A100 &amp; Keys!$C$8 &amp; $B100</f>
        <v>Georgia|Industry SO2</v>
      </c>
      <c r="Z100" s="8">
        <f>IFERROR(INDEX($U100:$W100, MATCH(INDEX(Runs!$D:$D, MATCH($B100, Runs!$A:$A, 0)), $U$1:$W$1, 0)), 0)</f>
        <v>10295.616501168999</v>
      </c>
      <c r="AA100" s="8">
        <f t="shared" si="4"/>
        <v>1.6121495415175389E-3</v>
      </c>
      <c r="AB100" s="8">
        <f>IFERROR(VLOOKUP(INDEX(Runs!$F:$F, MATCH($B100, Runs!$A:$A, 0)), US_national_yearly!$D:$AM, MATCH(Keys!$C$7, US_national_yearly!$D$1:$AM$1, 0), FALSE), 0)</f>
        <v>5.3000351638639942E-3</v>
      </c>
      <c r="AC100" s="8">
        <f t="shared" si="5"/>
        <v>0.30417714065545937</v>
      </c>
      <c r="AD100">
        <f>IF($Z100&lt;Keys!$C$3, 1, 0)</f>
        <v>0</v>
      </c>
      <c r="AE100">
        <f>IF($AC100&gt;Keys!$C$4, 1, 0)</f>
        <v>0</v>
      </c>
      <c r="AF100">
        <f>IF($AC100&lt;Keys!$C$5, 1, 0)</f>
        <v>0</v>
      </c>
      <c r="AG100">
        <f t="shared" si="6"/>
        <v>0</v>
      </c>
      <c r="AH100" t="str">
        <f>IFERROR(INDEX(Runs!$E:$E, MATCH($B100, Runs!$A:$A, 0)), $B100)</f>
        <v>Industry SO2</v>
      </c>
      <c r="AI100" t="str">
        <f t="shared" si="7"/>
        <v>Industry SO2</v>
      </c>
      <c r="AJ100" t="str">
        <f>IF($AG100=1, IF($AD100=1, Keys!$C$9, "") &amp; IF($AE100=1, Keys!$C$10, "") &amp; IF($AF100=1, Keys!$C$11, ""), "")</f>
        <v/>
      </c>
      <c r="AK100">
        <f>IF($AG100=1, IFERROR(INDEX($AG$2:$AG$577, MATCH($A100 &amp; Keys!$C$8 &amp; $AH100, $Y$2:$Y$577, 0)), 1), 0)</f>
        <v>0</v>
      </c>
    </row>
    <row r="101" spans="1:37" x14ac:dyDescent="0.25">
      <c r="A101" t="s">
        <v>106</v>
      </c>
      <c r="B101" t="s">
        <v>253</v>
      </c>
      <c r="C101">
        <v>159</v>
      </c>
      <c r="D101">
        <v>16.981198260000021</v>
      </c>
      <c r="E101">
        <v>5.8419740209999967E-2</v>
      </c>
      <c r="F101">
        <v>55.773496032000011</v>
      </c>
      <c r="G101">
        <v>75.106614953000005</v>
      </c>
      <c r="H101">
        <v>114.751928115</v>
      </c>
      <c r="I101">
        <v>1.160954453799999</v>
      </c>
      <c r="J101">
        <v>8.1531527900000018</v>
      </c>
      <c r="K101">
        <v>7207.2156381399964</v>
      </c>
      <c r="L101">
        <v>1227.1112484220009</v>
      </c>
      <c r="M101">
        <v>2.1007422330999992</v>
      </c>
      <c r="N101">
        <v>245.63203909999999</v>
      </c>
      <c r="O101">
        <v>5.4853133266</v>
      </c>
      <c r="P101">
        <v>0.2414578323099999</v>
      </c>
      <c r="Q101">
        <v>0.56974171793999973</v>
      </c>
      <c r="R101">
        <v>12.95497799</v>
      </c>
      <c r="S101">
        <v>164.68762499299999</v>
      </c>
      <c r="T101">
        <v>234.22618447599999</v>
      </c>
      <c r="U101">
        <v>0</v>
      </c>
      <c r="V101">
        <v>0</v>
      </c>
      <c r="W101">
        <v>9429.828089675002</v>
      </c>
      <c r="Y101" t="str">
        <f>$A101 &amp; Keys!$C$8 &amp; $B101</f>
        <v>Georgia|buildings NO2</v>
      </c>
      <c r="Z101" s="8">
        <f>IFERROR(INDEX($U101:$W101, MATCH(INDEX(Runs!$D:$D, MATCH($B101, Runs!$A:$A, 0)), $U$1:$W$1, 0)), 0)</f>
        <v>9429.828089675002</v>
      </c>
      <c r="AA101" s="8">
        <f t="shared" si="4"/>
        <v>1.8007961649474011E-3</v>
      </c>
      <c r="AB101" s="8">
        <f>IFERROR(VLOOKUP(INDEX(Runs!$F:$F, MATCH($B101, Runs!$A:$A, 0)), US_national_yearly!$D:$AM, MATCH(Keys!$C$7, US_national_yearly!$D$1:$AM$1, 0), FALSE), 0)</f>
        <v>5.6784740124662739E-3</v>
      </c>
      <c r="AC101" s="8">
        <f t="shared" si="5"/>
        <v>0.31712677754516649</v>
      </c>
      <c r="AD101">
        <f>IF($Z101&lt;Keys!$C$3, 1, 0)</f>
        <v>0</v>
      </c>
      <c r="AE101">
        <f>IF($AC101&gt;Keys!$C$4, 1, 0)</f>
        <v>0</v>
      </c>
      <c r="AF101">
        <f>IF($AC101&lt;Keys!$C$5, 1, 0)</f>
        <v>0</v>
      </c>
      <c r="AG101">
        <f t="shared" si="6"/>
        <v>0</v>
      </c>
      <c r="AH101" t="str">
        <f>IFERROR(INDEX(Runs!$E:$E, MATCH($B101, Runs!$A:$A, 0)), $B101)</f>
        <v>Industry NO2</v>
      </c>
      <c r="AI101" t="str">
        <f t="shared" si="7"/>
        <v>buildings NO2</v>
      </c>
      <c r="AJ101" t="str">
        <f>IF($AG101=1, IF($AD101=1, Keys!$C$9, "") &amp; IF($AE101=1, Keys!$C$10, "") &amp; IF($AF101=1, Keys!$C$11, ""), "")</f>
        <v/>
      </c>
      <c r="AK101">
        <f>IF($AG101=1, IFERROR(INDEX($AG$2:$AG$577, MATCH($A101 &amp; Keys!$C$8 &amp; $AH101, $Y$2:$Y$577, 0)), 1), 0)</f>
        <v>0</v>
      </c>
    </row>
    <row r="102" spans="1:37" x14ac:dyDescent="0.25">
      <c r="A102" t="s">
        <v>106</v>
      </c>
      <c r="B102" t="s">
        <v>251</v>
      </c>
      <c r="C102">
        <v>159</v>
      </c>
      <c r="D102">
        <v>0.9833670498999999</v>
      </c>
      <c r="E102">
        <v>3.458056669300001E-3</v>
      </c>
      <c r="F102">
        <v>3.2562207849000009</v>
      </c>
      <c r="G102">
        <v>4.3849775699999993</v>
      </c>
      <c r="H102">
        <v>6.6994890579000019</v>
      </c>
      <c r="I102">
        <v>6.7166900479999972E-2</v>
      </c>
      <c r="J102">
        <v>0.47248073049999989</v>
      </c>
      <c r="K102">
        <v>419.19039005299982</v>
      </c>
      <c r="L102">
        <v>71.406138857999991</v>
      </c>
      <c r="M102">
        <v>0.12170772818</v>
      </c>
      <c r="N102">
        <v>14.340687412799999</v>
      </c>
      <c r="O102">
        <v>0.31946700213000012</v>
      </c>
      <c r="P102">
        <v>1.411026935500001E-2</v>
      </c>
      <c r="Q102">
        <v>3.3066195521999978E-2</v>
      </c>
      <c r="R102">
        <v>0.7584805935600003</v>
      </c>
      <c r="S102">
        <v>9.6413791099999955</v>
      </c>
      <c r="T102">
        <v>13.709400143</v>
      </c>
      <c r="U102">
        <v>31.436440081000011</v>
      </c>
      <c r="V102">
        <v>0</v>
      </c>
      <c r="W102">
        <v>0</v>
      </c>
      <c r="Y102" t="str">
        <f>$A102 &amp; Keys!$C$8 &amp; $B102</f>
        <v>Georgia|buildings PM25</v>
      </c>
      <c r="Z102" s="8">
        <f>IFERROR(INDEX($U102:$W102, MATCH(INDEX(Runs!$D:$D, MATCH($B102, Runs!$A:$A, 0)), $U$1:$W$1, 0)), 0)</f>
        <v>31.436440081000011</v>
      </c>
      <c r="AA102" s="8">
        <f t="shared" si="4"/>
        <v>3.1281119852191556E-2</v>
      </c>
      <c r="AB102" s="8">
        <f>IFERROR(VLOOKUP(INDEX(Runs!$F:$F, MATCH($B102, Runs!$A:$A, 0)), US_national_yearly!$D:$AM, MATCH(Keys!$C$7, US_national_yearly!$D$1:$AM$1, 0), FALSE), 0)</f>
        <v>2.7627705191843259E-2</v>
      </c>
      <c r="AC102" s="8">
        <f t="shared" si="5"/>
        <v>1.1322373550383376</v>
      </c>
      <c r="AD102">
        <f>IF($Z102&lt;Keys!$C$3, 1, 0)</f>
        <v>0</v>
      </c>
      <c r="AE102">
        <f>IF($AC102&gt;Keys!$C$4, 1, 0)</f>
        <v>0</v>
      </c>
      <c r="AF102">
        <f>IF($AC102&lt;Keys!$C$5, 1, 0)</f>
        <v>0</v>
      </c>
      <c r="AG102">
        <f t="shared" si="6"/>
        <v>0</v>
      </c>
      <c r="AH102" t="str">
        <f>IFERROR(INDEX(Runs!$E:$E, MATCH($B102, Runs!$A:$A, 0)), $B102)</f>
        <v>Industry PM25</v>
      </c>
      <c r="AI102" t="str">
        <f t="shared" si="7"/>
        <v>buildings PM25</v>
      </c>
      <c r="AJ102" t="str">
        <f>IF($AG102=1, IF($AD102=1, Keys!$C$9, "") &amp; IF($AE102=1, Keys!$C$10, "") &amp; IF($AF102=1, Keys!$C$11, ""), "")</f>
        <v/>
      </c>
      <c r="AK102">
        <f>IF($AG102=1, IFERROR(INDEX($AG$2:$AG$577, MATCH($A102 &amp; Keys!$C$8 &amp; $AH102, $Y$2:$Y$577, 0)), 1), 0)</f>
        <v>0</v>
      </c>
    </row>
    <row r="103" spans="1:37" x14ac:dyDescent="0.25">
      <c r="A103" t="s">
        <v>106</v>
      </c>
      <c r="B103" t="s">
        <v>254</v>
      </c>
      <c r="C103">
        <v>159</v>
      </c>
      <c r="D103">
        <v>0.30783504199999978</v>
      </c>
      <c r="E103">
        <v>1.0332590611E-3</v>
      </c>
      <c r="F103">
        <v>0.96573318829999988</v>
      </c>
      <c r="G103">
        <v>1.3005014422000001</v>
      </c>
      <c r="H103">
        <v>1.9869401997000009</v>
      </c>
      <c r="I103">
        <v>2.0719432549999979E-2</v>
      </c>
      <c r="J103">
        <v>0.14285290349999991</v>
      </c>
      <c r="K103">
        <v>123.63945377100001</v>
      </c>
      <c r="L103">
        <v>21.054240012000029</v>
      </c>
      <c r="M103">
        <v>3.6833298480000033E-2</v>
      </c>
      <c r="N103">
        <v>4.2531748302000008</v>
      </c>
      <c r="O103">
        <v>9.4687971389999959E-2</v>
      </c>
      <c r="P103">
        <v>4.1821182410000006E-3</v>
      </c>
      <c r="Q103">
        <v>9.7645579229999994E-3</v>
      </c>
      <c r="R103">
        <v>0.22484990903999999</v>
      </c>
      <c r="S103">
        <v>2.8580053029999992</v>
      </c>
      <c r="T103">
        <v>4.0634917469999996</v>
      </c>
      <c r="U103">
        <v>0</v>
      </c>
      <c r="V103">
        <v>129.55596099999991</v>
      </c>
      <c r="W103">
        <v>0</v>
      </c>
      <c r="Y103" t="str">
        <f>$A103 &amp; Keys!$C$8 &amp; $B103</f>
        <v>Georgia|buildings SO2</v>
      </c>
      <c r="Z103" s="8">
        <f>IFERROR(INDEX($U103:$W103, MATCH(INDEX(Runs!$D:$D, MATCH($B103, Runs!$A:$A, 0)), $U$1:$W$1, 0)), 0)</f>
        <v>129.55596099999991</v>
      </c>
      <c r="AA103" s="8">
        <f t="shared" si="4"/>
        <v>2.3760777939040565E-3</v>
      </c>
      <c r="AB103" s="8">
        <f>IFERROR(VLOOKUP(INDEX(Runs!$F:$F, MATCH($B103, Runs!$A:$A, 0)), US_national_yearly!$D:$AM, MATCH(Keys!$C$7, US_national_yearly!$D$1:$AM$1, 0), FALSE), 0)</f>
        <v>5.1581943281164694E-3</v>
      </c>
      <c r="AC103" s="8">
        <f t="shared" si="5"/>
        <v>0.4606413878113213</v>
      </c>
      <c r="AD103">
        <f>IF($Z103&lt;Keys!$C$3, 1, 0)</f>
        <v>0</v>
      </c>
      <c r="AE103">
        <f>IF($AC103&gt;Keys!$C$4, 1, 0)</f>
        <v>0</v>
      </c>
      <c r="AF103">
        <f>IF($AC103&lt;Keys!$C$5, 1, 0)</f>
        <v>0</v>
      </c>
      <c r="AG103">
        <f t="shared" si="6"/>
        <v>0</v>
      </c>
      <c r="AH103" t="str">
        <f>IFERROR(INDEX(Runs!$E:$E, MATCH($B103, Runs!$A:$A, 0)), $B103)</f>
        <v>Industry SO2</v>
      </c>
      <c r="AI103" t="str">
        <f t="shared" si="7"/>
        <v>buildings SO2</v>
      </c>
      <c r="AJ103" t="str">
        <f>IF($AG103=1, IF($AD103=1, Keys!$C$9, "") &amp; IF($AE103=1, Keys!$C$10, "") &amp; IF($AF103=1, Keys!$C$11, ""), "")</f>
        <v/>
      </c>
      <c r="AK103">
        <f>IF($AG103=1, IFERROR(INDEX($AG$2:$AG$577, MATCH($A103 &amp; Keys!$C$8 &amp; $AH103, $Y$2:$Y$577, 0)), 1), 0)</f>
        <v>0</v>
      </c>
    </row>
    <row r="104" spans="1:37" x14ac:dyDescent="0.25">
      <c r="A104" t="s">
        <v>106</v>
      </c>
      <c r="B104" t="s">
        <v>249</v>
      </c>
      <c r="C104">
        <v>159</v>
      </c>
      <c r="D104">
        <v>6.7956924419999991</v>
      </c>
      <c r="E104">
        <v>2.100777257999999E-2</v>
      </c>
      <c r="F104">
        <v>19.27314758499999</v>
      </c>
      <c r="G104">
        <v>25.954074822999988</v>
      </c>
      <c r="H104">
        <v>39.653481299999967</v>
      </c>
      <c r="I104">
        <v>0.44531956080000012</v>
      </c>
      <c r="J104">
        <v>2.9850726870000002</v>
      </c>
      <c r="K104">
        <v>2428.1507508090008</v>
      </c>
      <c r="L104">
        <v>411.96920929399982</v>
      </c>
      <c r="M104">
        <v>0.76924903300000014</v>
      </c>
      <c r="N104">
        <v>84.880703707999942</v>
      </c>
      <c r="O104">
        <v>1.8785232999999999</v>
      </c>
      <c r="P104">
        <v>8.2972773289999954E-2</v>
      </c>
      <c r="Q104">
        <v>0.19604589959999991</v>
      </c>
      <c r="R104">
        <v>4.4671046310000024</v>
      </c>
      <c r="S104">
        <v>56.784544270999987</v>
      </c>
      <c r="T104">
        <v>80.748400667999974</v>
      </c>
      <c r="U104">
        <v>0</v>
      </c>
      <c r="V104">
        <v>0</v>
      </c>
      <c r="W104">
        <v>14288.71179296799</v>
      </c>
      <c r="Y104" t="str">
        <f>$A104 &amp; Keys!$C$8 &amp; $B104</f>
        <v>Georgia|electricity NO2</v>
      </c>
      <c r="Z104" s="8">
        <f>IFERROR(INDEX($U104:$W104, MATCH(INDEX(Runs!$D:$D, MATCH($B104, Runs!$A:$A, 0)), $U$1:$W$1, 0)), 0)</f>
        <v>14288.71179296799</v>
      </c>
      <c r="AA104" s="8">
        <f t="shared" si="4"/>
        <v>4.7559867820585577E-4</v>
      </c>
      <c r="AB104" s="8">
        <f>IFERROR(VLOOKUP(INDEX(Runs!$F:$F, MATCH($B104, Runs!$A:$A, 0)), US_national_yearly!$D:$AM, MATCH(Keys!$C$7, US_national_yearly!$D$1:$AM$1, 0), FALSE), 0)</f>
        <v>6.1439221592658041E-3</v>
      </c>
      <c r="AC104" s="8">
        <f t="shared" si="5"/>
        <v>7.7409619763589191E-2</v>
      </c>
      <c r="AD104">
        <f>IF($Z104&lt;Keys!$C$3, 1, 0)</f>
        <v>0</v>
      </c>
      <c r="AE104">
        <f>IF($AC104&gt;Keys!$C$4, 1, 0)</f>
        <v>0</v>
      </c>
      <c r="AF104">
        <f>IF($AC104&lt;Keys!$C$5, 1, 0)</f>
        <v>0</v>
      </c>
      <c r="AG104">
        <f t="shared" si="6"/>
        <v>0</v>
      </c>
      <c r="AH104" t="str">
        <f>IFERROR(INDEX(Runs!$E:$E, MATCH($B104, Runs!$A:$A, 0)), $B104)</f>
        <v>Industry NO2</v>
      </c>
      <c r="AI104" t="str">
        <f t="shared" si="7"/>
        <v>electricity NO2</v>
      </c>
      <c r="AJ104" t="str">
        <f>IF($AG104=1, IF($AD104=1, Keys!$C$9, "") &amp; IF($AE104=1, Keys!$C$10, "") &amp; IF($AF104=1, Keys!$C$11, ""), "")</f>
        <v/>
      </c>
      <c r="AK104">
        <f>IF($AG104=1, IFERROR(INDEX($AG$2:$AG$577, MATCH($A104 &amp; Keys!$C$8 &amp; $AH104, $Y$2:$Y$577, 0)), 1), 0)</f>
        <v>0</v>
      </c>
    </row>
    <row r="105" spans="1:37" x14ac:dyDescent="0.25">
      <c r="A105" t="s">
        <v>106</v>
      </c>
      <c r="B105" t="s">
        <v>247</v>
      </c>
      <c r="C105">
        <v>159</v>
      </c>
      <c r="D105">
        <v>18.51606082999999</v>
      </c>
      <c r="E105">
        <v>5.9553858209999998E-2</v>
      </c>
      <c r="F105">
        <v>57.964729327000008</v>
      </c>
      <c r="G105">
        <v>78.057207450999982</v>
      </c>
      <c r="H105">
        <v>119.26072175</v>
      </c>
      <c r="I105">
        <v>1.2601787995999989</v>
      </c>
      <c r="J105">
        <v>8.7280178710000094</v>
      </c>
      <c r="K105">
        <v>7496.6777687799986</v>
      </c>
      <c r="L105">
        <v>1275.060636087999</v>
      </c>
      <c r="M105">
        <v>2.2486768223000011</v>
      </c>
      <c r="N105">
        <v>255.28265852800001</v>
      </c>
      <c r="O105">
        <v>5.7175358370000016</v>
      </c>
      <c r="P105">
        <v>0.25077873135000012</v>
      </c>
      <c r="Q105">
        <v>0.59876189660000001</v>
      </c>
      <c r="R105">
        <v>13.499164433000001</v>
      </c>
      <c r="S105">
        <v>171.61446450099999</v>
      </c>
      <c r="T105">
        <v>244.108291726</v>
      </c>
      <c r="U105">
        <v>1730.002682217</v>
      </c>
      <c r="V105">
        <v>0</v>
      </c>
      <c r="W105">
        <v>0</v>
      </c>
      <c r="Y105" t="str">
        <f>$A105 &amp; Keys!$C$8 &amp; $B105</f>
        <v>Georgia|electricity PM25</v>
      </c>
      <c r="Z105" s="8">
        <f>IFERROR(INDEX($U105:$W105, MATCH(INDEX(Runs!$D:$D, MATCH($B105, Runs!$A:$A, 0)), $U$1:$W$1, 0)), 0)</f>
        <v>1730.002682217</v>
      </c>
      <c r="AA105" s="8">
        <f t="shared" si="4"/>
        <v>1.0702908741315732E-2</v>
      </c>
      <c r="AB105" s="8">
        <f>IFERROR(VLOOKUP(INDEX(Runs!$F:$F, MATCH($B105, Runs!$A:$A, 0)), US_national_yearly!$D:$AM, MATCH(Keys!$C$7, US_national_yearly!$D$1:$AM$1, 0), FALSE), 0)</f>
        <v>2.4252978284752182E-2</v>
      </c>
      <c r="AC105" s="8">
        <f t="shared" si="5"/>
        <v>0.44130286250429862</v>
      </c>
      <c r="AD105">
        <f>IF($Z105&lt;Keys!$C$3, 1, 0)</f>
        <v>0</v>
      </c>
      <c r="AE105">
        <f>IF($AC105&gt;Keys!$C$4, 1, 0)</f>
        <v>0</v>
      </c>
      <c r="AF105">
        <f>IF($AC105&lt;Keys!$C$5, 1, 0)</f>
        <v>0</v>
      </c>
      <c r="AG105">
        <f t="shared" si="6"/>
        <v>0</v>
      </c>
      <c r="AH105" t="str">
        <f>IFERROR(INDEX(Runs!$E:$E, MATCH($B105, Runs!$A:$A, 0)), $B105)</f>
        <v>Industry PM25</v>
      </c>
      <c r="AI105" t="str">
        <f t="shared" si="7"/>
        <v>electricity PM25</v>
      </c>
      <c r="AJ105" t="str">
        <f>IF($AG105=1, IF($AD105=1, Keys!$C$9, "") &amp; IF($AE105=1, Keys!$C$10, "") &amp; IF($AF105=1, Keys!$C$11, ""), "")</f>
        <v/>
      </c>
      <c r="AK105">
        <f>IF($AG105=1, IFERROR(INDEX($AG$2:$AG$577, MATCH($A105 &amp; Keys!$C$8 &amp; $AH105, $Y$2:$Y$577, 0)), 1), 0)</f>
        <v>0</v>
      </c>
    </row>
    <row r="106" spans="1:37" x14ac:dyDescent="0.25">
      <c r="A106" t="s">
        <v>106</v>
      </c>
      <c r="B106" t="s">
        <v>250</v>
      </c>
      <c r="C106">
        <v>159</v>
      </c>
      <c r="D106">
        <v>3.9609556579999978</v>
      </c>
      <c r="E106">
        <v>1.233901026E-2</v>
      </c>
      <c r="F106">
        <v>11.388805151000019</v>
      </c>
      <c r="G106">
        <v>15.33668229099999</v>
      </c>
      <c r="H106">
        <v>23.431838531</v>
      </c>
      <c r="I106">
        <v>0.26038505969999998</v>
      </c>
      <c r="J106">
        <v>1.7520682229999991</v>
      </c>
      <c r="K106">
        <v>1438.3927834189999</v>
      </c>
      <c r="L106">
        <v>244.16427858500001</v>
      </c>
      <c r="M106">
        <v>0.45154464379999998</v>
      </c>
      <c r="N106">
        <v>50.157325973000013</v>
      </c>
      <c r="O106">
        <v>1.1108749990000011</v>
      </c>
      <c r="P106">
        <v>4.903929877000001E-2</v>
      </c>
      <c r="Q106">
        <v>0.11570795439999999</v>
      </c>
      <c r="R106">
        <v>2.639511344000002</v>
      </c>
      <c r="S106">
        <v>33.552652515999981</v>
      </c>
      <c r="T106">
        <v>47.71165590100005</v>
      </c>
      <c r="U106">
        <v>0</v>
      </c>
      <c r="V106">
        <v>7288.073134645002</v>
      </c>
      <c r="W106">
        <v>0</v>
      </c>
      <c r="Y106" t="str">
        <f>$A106 &amp; Keys!$C$8 &amp; $B106</f>
        <v>Georgia|electricity SO2</v>
      </c>
      <c r="Z106" s="8">
        <f>IFERROR(INDEX($U106:$W106, MATCH(INDEX(Runs!$D:$D, MATCH($B106, Runs!$A:$A, 0)), $U$1:$W$1, 0)), 0)</f>
        <v>7288.073134645002</v>
      </c>
      <c r="AA106" s="8">
        <f t="shared" si="4"/>
        <v>5.4348461998425513E-4</v>
      </c>
      <c r="AB106" s="8">
        <f>IFERROR(VLOOKUP(INDEX(Runs!$F:$F, MATCH($B106, Runs!$A:$A, 0)), US_national_yearly!$D:$AM, MATCH(Keys!$C$7, US_national_yearly!$D$1:$AM$1, 0), FALSE), 0)</f>
        <v>5.7032329662362116E-3</v>
      </c>
      <c r="AC106" s="8">
        <f t="shared" si="5"/>
        <v>9.5294129347642989E-2</v>
      </c>
      <c r="AD106">
        <f>IF($Z106&lt;Keys!$C$3, 1, 0)</f>
        <v>0</v>
      </c>
      <c r="AE106">
        <f>IF($AC106&gt;Keys!$C$4, 1, 0)</f>
        <v>0</v>
      </c>
      <c r="AF106">
        <f>IF($AC106&lt;Keys!$C$5, 1, 0)</f>
        <v>0</v>
      </c>
      <c r="AG106">
        <f t="shared" si="6"/>
        <v>0</v>
      </c>
      <c r="AH106" t="str">
        <f>IFERROR(INDEX(Runs!$E:$E, MATCH($B106, Runs!$A:$A, 0)), $B106)</f>
        <v>Industry SO2</v>
      </c>
      <c r="AI106" t="str">
        <f t="shared" si="7"/>
        <v>electricity SO2</v>
      </c>
      <c r="AJ106" t="str">
        <f>IF($AG106=1, IF($AD106=1, Keys!$C$9, "") &amp; IF($AE106=1, Keys!$C$10, "") &amp; IF($AF106=1, Keys!$C$11, ""), "")</f>
        <v/>
      </c>
      <c r="AK106">
        <f>IF($AG106=1, IFERROR(INDEX($AG$2:$AG$577, MATCH($A106 &amp; Keys!$C$8 &amp; $AH106, $Y$2:$Y$577, 0)), 1), 0)</f>
        <v>0</v>
      </c>
    </row>
    <row r="107" spans="1:37" x14ac:dyDescent="0.25">
      <c r="A107" t="s">
        <v>106</v>
      </c>
      <c r="B107" t="s">
        <v>239</v>
      </c>
      <c r="C107">
        <v>159</v>
      </c>
      <c r="D107">
        <v>127.7732199230001</v>
      </c>
      <c r="E107">
        <v>0.42549707060000008</v>
      </c>
      <c r="F107">
        <v>400.59294758000021</v>
      </c>
      <c r="G107">
        <v>539.43196035900007</v>
      </c>
      <c r="H107">
        <v>824.24820303700074</v>
      </c>
      <c r="I107">
        <v>8.5595677969999979</v>
      </c>
      <c r="J107">
        <v>59.179084636000027</v>
      </c>
      <c r="K107">
        <v>51157.705618857981</v>
      </c>
      <c r="L107">
        <v>8703.134568980995</v>
      </c>
      <c r="M107">
        <v>15.272638613</v>
      </c>
      <c r="N107">
        <v>1764.2731109760009</v>
      </c>
      <c r="O107">
        <v>39.186891358999993</v>
      </c>
      <c r="P107">
        <v>1.7317794543</v>
      </c>
      <c r="Q107">
        <v>4.0683501420000017</v>
      </c>
      <c r="R107">
        <v>92.818975375999997</v>
      </c>
      <c r="S107">
        <v>1180.5023536679989</v>
      </c>
      <c r="T107">
        <v>1681.2270179629991</v>
      </c>
      <c r="U107">
        <v>0</v>
      </c>
      <c r="V107">
        <v>0</v>
      </c>
      <c r="W107">
        <v>107749.19860665999</v>
      </c>
      <c r="Y107" t="str">
        <f>$A107 &amp; Keys!$C$8 &amp; $B107</f>
        <v>Georgia|transportation NO2</v>
      </c>
      <c r="Z107" s="8">
        <f>IFERROR(INDEX($U107:$W107, MATCH(INDEX(Runs!$D:$D, MATCH($B107, Runs!$A:$A, 0)), $U$1:$W$1, 0)), 0)</f>
        <v>107749.19860665999</v>
      </c>
      <c r="AA107" s="8">
        <f t="shared" si="4"/>
        <v>1.1858391670219106E-3</v>
      </c>
      <c r="AB107" s="8">
        <f>IFERROR(VLOOKUP(INDEX(Runs!$F:$F, MATCH($B107, Runs!$A:$A, 0)), US_national_yearly!$D:$AM, MATCH(Keys!$C$7, US_national_yearly!$D$1:$AM$1, 0), FALSE), 0)</f>
        <v>5.7148835886332216E-3</v>
      </c>
      <c r="AC107" s="8">
        <f t="shared" si="5"/>
        <v>0.20750014390153435</v>
      </c>
      <c r="AD107">
        <f>IF($Z107&lt;Keys!$C$3, 1, 0)</f>
        <v>0</v>
      </c>
      <c r="AE107">
        <f>IF($AC107&gt;Keys!$C$4, 1, 0)</f>
        <v>0</v>
      </c>
      <c r="AF107">
        <f>IF($AC107&lt;Keys!$C$5, 1, 0)</f>
        <v>0</v>
      </c>
      <c r="AG107">
        <f t="shared" si="6"/>
        <v>0</v>
      </c>
      <c r="AH107" t="str">
        <f>IFERROR(INDEX(Runs!$E:$E, MATCH($B107, Runs!$A:$A, 0)), $B107)</f>
        <v>Industry NO2</v>
      </c>
      <c r="AI107" t="str">
        <f t="shared" si="7"/>
        <v>transportation NO2</v>
      </c>
      <c r="AJ107" t="str">
        <f>IF($AG107=1, IF($AD107=1, Keys!$C$9, "") &amp; IF($AE107=1, Keys!$C$10, "") &amp; IF($AF107=1, Keys!$C$11, ""), "")</f>
        <v/>
      </c>
      <c r="AK107">
        <f>IF($AG107=1, IFERROR(INDEX($AG$2:$AG$577, MATCH($A107 &amp; Keys!$C$8 &amp; $AH107, $Y$2:$Y$577, 0)), 1), 0)</f>
        <v>0</v>
      </c>
    </row>
    <row r="108" spans="1:37" x14ac:dyDescent="0.25">
      <c r="A108" t="s">
        <v>106</v>
      </c>
      <c r="B108" t="s">
        <v>234</v>
      </c>
      <c r="C108">
        <v>159</v>
      </c>
      <c r="D108">
        <v>101.599776836</v>
      </c>
      <c r="E108">
        <v>0.35105160597000001</v>
      </c>
      <c r="F108">
        <v>334.00600607500007</v>
      </c>
      <c r="G108">
        <v>449.76808633500019</v>
      </c>
      <c r="H108">
        <v>687.23880675899977</v>
      </c>
      <c r="I108">
        <v>6.9424302189999976</v>
      </c>
      <c r="J108">
        <v>48.627493004999991</v>
      </c>
      <c r="K108">
        <v>42977.484742660003</v>
      </c>
      <c r="L108">
        <v>7318.4273951470022</v>
      </c>
      <c r="M108">
        <v>12.547857446</v>
      </c>
      <c r="N108">
        <v>1471.0128991690001</v>
      </c>
      <c r="O108">
        <v>32.77276582799999</v>
      </c>
      <c r="P108">
        <v>1.446512255999999</v>
      </c>
      <c r="Q108">
        <v>3.398438275999998</v>
      </c>
      <c r="R108">
        <v>77.522948387000028</v>
      </c>
      <c r="S108">
        <v>985.93090727000049</v>
      </c>
      <c r="T108">
        <v>1404.006482968</v>
      </c>
      <c r="U108">
        <v>2610.7691169140012</v>
      </c>
      <c r="V108">
        <v>0</v>
      </c>
      <c r="W108">
        <v>0</v>
      </c>
      <c r="Y108" t="str">
        <f>$A108 &amp; Keys!$C$8 &amp; $B108</f>
        <v>Georgia|transportation PM25</v>
      </c>
      <c r="Z108" s="8">
        <f>IFERROR(INDEX($U108:$W108, MATCH(INDEX(Runs!$D:$D, MATCH($B108, Runs!$A:$A, 0)), $U$1:$W$1, 0)), 0)</f>
        <v>2610.7691169140012</v>
      </c>
      <c r="AA108" s="8">
        <f t="shared" si="4"/>
        <v>3.8915649866462974E-2</v>
      </c>
      <c r="AB108" s="8">
        <f>IFERROR(VLOOKUP(INDEX(Runs!$F:$F, MATCH($B108, Runs!$A:$A, 0)), US_national_yearly!$D:$AM, MATCH(Keys!$C$7, US_national_yearly!$D$1:$AM$1, 0), FALSE), 0)</f>
        <v>2.8248683697579859E-2</v>
      </c>
      <c r="AC108" s="8">
        <f t="shared" si="5"/>
        <v>1.3776093174138582</v>
      </c>
      <c r="AD108">
        <f>IF($Z108&lt;Keys!$C$3, 1, 0)</f>
        <v>0</v>
      </c>
      <c r="AE108">
        <f>IF($AC108&gt;Keys!$C$4, 1, 0)</f>
        <v>0</v>
      </c>
      <c r="AF108">
        <f>IF($AC108&lt;Keys!$C$5, 1, 0)</f>
        <v>0</v>
      </c>
      <c r="AG108">
        <f t="shared" si="6"/>
        <v>0</v>
      </c>
      <c r="AH108" t="str">
        <f>IFERROR(INDEX(Runs!$E:$E, MATCH($B108, Runs!$A:$A, 0)), $B108)</f>
        <v>Industry PM25</v>
      </c>
      <c r="AI108" t="str">
        <f t="shared" si="7"/>
        <v>transportation PM25</v>
      </c>
      <c r="AJ108" t="str">
        <f>IF($AG108=1, IF($AD108=1, Keys!$C$9, "") &amp; IF($AE108=1, Keys!$C$10, "") &amp; IF($AF108=1, Keys!$C$11, ""), "")</f>
        <v/>
      </c>
      <c r="AK108">
        <f>IF($AG108=1, IFERROR(INDEX($AG$2:$AG$577, MATCH($A108 &amp; Keys!$C$8 &amp; $AH108, $Y$2:$Y$577, 0)), 1), 0)</f>
        <v>0</v>
      </c>
    </row>
    <row r="109" spans="1:37" x14ac:dyDescent="0.25">
      <c r="A109" t="s">
        <v>106</v>
      </c>
      <c r="B109" t="s">
        <v>243</v>
      </c>
      <c r="C109">
        <v>159</v>
      </c>
      <c r="D109">
        <v>6.3866575299999981</v>
      </c>
      <c r="E109">
        <v>2.151851368E-2</v>
      </c>
      <c r="F109">
        <v>20.355824664000011</v>
      </c>
      <c r="G109">
        <v>27.411927670000029</v>
      </c>
      <c r="H109">
        <v>41.881293231999983</v>
      </c>
      <c r="I109">
        <v>0.4208326019000001</v>
      </c>
      <c r="J109">
        <v>2.9551382797999981</v>
      </c>
      <c r="K109">
        <v>2588.209972001001</v>
      </c>
      <c r="L109">
        <v>440.20670556899978</v>
      </c>
      <c r="M109">
        <v>0.76048636959999971</v>
      </c>
      <c r="N109">
        <v>89.649045566000012</v>
      </c>
      <c r="O109">
        <v>1.982030511999999</v>
      </c>
      <c r="P109">
        <v>8.8075869808000001E-2</v>
      </c>
      <c r="Q109">
        <v>0.20608581342000001</v>
      </c>
      <c r="R109">
        <v>4.7239424256000033</v>
      </c>
      <c r="S109">
        <v>60.068820161000041</v>
      </c>
      <c r="T109">
        <v>85.470694366000018</v>
      </c>
      <c r="U109">
        <v>0</v>
      </c>
      <c r="V109">
        <v>1021.745022347999</v>
      </c>
      <c r="W109">
        <v>0</v>
      </c>
      <c r="Y109" t="str">
        <f>$A109 &amp; Keys!$C$8 &amp; $B109</f>
        <v>Georgia|transportation SO2</v>
      </c>
      <c r="Z109" s="8">
        <f>IFERROR(INDEX($U109:$W109, MATCH(INDEX(Runs!$D:$D, MATCH($B109, Runs!$A:$A, 0)), $U$1:$W$1, 0)), 0)</f>
        <v>1021.745022347999</v>
      </c>
      <c r="AA109" s="8">
        <f t="shared" si="4"/>
        <v>6.250735154376655E-3</v>
      </c>
      <c r="AB109" s="8">
        <f>IFERROR(VLOOKUP(INDEX(Runs!$F:$F, MATCH($B109, Runs!$A:$A, 0)), US_national_yearly!$D:$AM, MATCH(Keys!$C$7, US_national_yearly!$D$1:$AM$1, 0), FALSE), 0)</f>
        <v>5.1800714166247604E-3</v>
      </c>
      <c r="AC109" s="8">
        <f t="shared" si="5"/>
        <v>1.2066889916451229</v>
      </c>
      <c r="AD109">
        <f>IF($Z109&lt;Keys!$C$3, 1, 0)</f>
        <v>0</v>
      </c>
      <c r="AE109">
        <f>IF($AC109&gt;Keys!$C$4, 1, 0)</f>
        <v>0</v>
      </c>
      <c r="AF109">
        <f>IF($AC109&lt;Keys!$C$5, 1, 0)</f>
        <v>0</v>
      </c>
      <c r="AG109">
        <f t="shared" si="6"/>
        <v>0</v>
      </c>
      <c r="AH109" t="str">
        <f>IFERROR(INDEX(Runs!$E:$E, MATCH($B109, Runs!$A:$A, 0)), $B109)</f>
        <v>Industry SO2</v>
      </c>
      <c r="AI109" t="str">
        <f t="shared" si="7"/>
        <v>transportation SO2</v>
      </c>
      <c r="AJ109" t="str">
        <f>IF($AG109=1, IF($AD109=1, Keys!$C$9, "") &amp; IF($AE109=1, Keys!$C$10, "") &amp; IF($AF109=1, Keys!$C$11, ""), "")</f>
        <v/>
      </c>
      <c r="AK109">
        <f>IF($AG109=1, IFERROR(INDEX($AG$2:$AG$577, MATCH($A109 &amp; Keys!$C$8 &amp; $AH109, $Y$2:$Y$577, 0)), 1), 0)</f>
        <v>0</v>
      </c>
    </row>
    <row r="110" spans="1:37" x14ac:dyDescent="0.25">
      <c r="A110" t="s">
        <v>109</v>
      </c>
      <c r="B110" t="s">
        <v>242</v>
      </c>
      <c r="C110">
        <v>44</v>
      </c>
      <c r="D110">
        <v>0.38678567600000002</v>
      </c>
      <c r="E110">
        <v>1.175173274E-3</v>
      </c>
      <c r="F110">
        <v>1.2145816149999999</v>
      </c>
      <c r="G110">
        <v>1.6356113029999999</v>
      </c>
      <c r="H110">
        <v>2.4989336080000002</v>
      </c>
      <c r="I110">
        <v>2.5209474320000001E-2</v>
      </c>
      <c r="J110">
        <v>0.14611568450000001</v>
      </c>
      <c r="K110">
        <v>124.66006210499999</v>
      </c>
      <c r="L110">
        <v>21.136619906</v>
      </c>
      <c r="M110">
        <v>3.4305862999999992E-2</v>
      </c>
      <c r="N110">
        <v>5.3491265260000009</v>
      </c>
      <c r="O110">
        <v>9.0817475100000031E-2</v>
      </c>
      <c r="P110">
        <v>3.7091112810000021E-3</v>
      </c>
      <c r="Q110">
        <v>7.0861477199999998E-3</v>
      </c>
      <c r="R110">
        <v>0.28540397039999987</v>
      </c>
      <c r="S110">
        <v>3.622508458</v>
      </c>
      <c r="T110">
        <v>5.1381594789999987</v>
      </c>
      <c r="U110">
        <v>0</v>
      </c>
      <c r="V110">
        <v>0</v>
      </c>
      <c r="W110">
        <v>7512.0963307840002</v>
      </c>
      <c r="Y110" t="str">
        <f>$A110 &amp; Keys!$C$8 &amp; $B110</f>
        <v>Idaho|Industry NO2</v>
      </c>
      <c r="Z110" s="8">
        <f>IFERROR(INDEX($U110:$W110, MATCH(INDEX(Runs!$D:$D, MATCH($B110, Runs!$A:$A, 0)), $U$1:$W$1, 0)), 0)</f>
        <v>7512.0963307840002</v>
      </c>
      <c r="AA110" s="8">
        <f t="shared" si="4"/>
        <v>5.1488380735345695E-5</v>
      </c>
      <c r="AB110" s="8">
        <f>IFERROR(VLOOKUP(INDEX(Runs!$F:$F, MATCH($B110, Runs!$A:$A, 0)), US_national_yearly!$D:$AM, MATCH(Keys!$C$7, US_national_yearly!$D$1:$AM$1, 0), FALSE), 0)</f>
        <v>5.8012217057786938E-3</v>
      </c>
      <c r="AC110" s="8">
        <f t="shared" si="5"/>
        <v>8.8754375106983516E-3</v>
      </c>
      <c r="AD110">
        <f>IF($Z110&lt;Keys!$C$3, 1, 0)</f>
        <v>0</v>
      </c>
      <c r="AE110">
        <f>IF($AC110&gt;Keys!$C$4, 1, 0)</f>
        <v>0</v>
      </c>
      <c r="AF110">
        <f>IF($AC110&lt;Keys!$C$5, 1, 0)</f>
        <v>0</v>
      </c>
      <c r="AG110">
        <f t="shared" si="6"/>
        <v>0</v>
      </c>
      <c r="AH110" t="str">
        <f>IFERROR(INDEX(Runs!$E:$E, MATCH($B110, Runs!$A:$A, 0)), $B110)</f>
        <v>Industry NO2</v>
      </c>
      <c r="AI110" t="str">
        <f t="shared" si="7"/>
        <v>Industry NO2</v>
      </c>
      <c r="AJ110" t="str">
        <f>IF($AG110=1, IF($AD110=1, Keys!$C$9, "") &amp; IF($AE110=1, Keys!$C$10, "") &amp; IF($AF110=1, Keys!$C$11, ""), "")</f>
        <v/>
      </c>
      <c r="AK110">
        <f>IF($AG110=1, IFERROR(INDEX($AG$2:$AG$577, MATCH($A110 &amp; Keys!$C$8 &amp; $AH110, $Y$2:$Y$577, 0)), 1), 0)</f>
        <v>0</v>
      </c>
    </row>
    <row r="111" spans="1:37" x14ac:dyDescent="0.25">
      <c r="A111" t="s">
        <v>109</v>
      </c>
      <c r="B111" t="s">
        <v>238</v>
      </c>
      <c r="C111">
        <v>44</v>
      </c>
      <c r="D111">
        <v>25.670536327000011</v>
      </c>
      <c r="E111">
        <v>7.5479901180000017E-2</v>
      </c>
      <c r="F111">
        <v>80.878322432999965</v>
      </c>
      <c r="G111">
        <v>108.907165237</v>
      </c>
      <c r="H111">
        <v>166.41746334699991</v>
      </c>
      <c r="I111">
        <v>1.7923649699999999</v>
      </c>
      <c r="J111">
        <v>10.756124712</v>
      </c>
      <c r="K111">
        <v>8984.2293238310031</v>
      </c>
      <c r="L111">
        <v>1524.396420352</v>
      </c>
      <c r="M111">
        <v>2.6221988980000011</v>
      </c>
      <c r="N111">
        <v>356.2029510169998</v>
      </c>
      <c r="O111">
        <v>6.6407320179999987</v>
      </c>
      <c r="P111">
        <v>0.27632261109999989</v>
      </c>
      <c r="Q111">
        <v>0.57475010390000025</v>
      </c>
      <c r="R111">
        <v>18.730655171999999</v>
      </c>
      <c r="S111">
        <v>237.968354256</v>
      </c>
      <c r="T111">
        <v>338.39655597000012</v>
      </c>
      <c r="U111">
        <v>2771.0308362449991</v>
      </c>
      <c r="V111">
        <v>0</v>
      </c>
      <c r="W111">
        <v>0</v>
      </c>
      <c r="Y111" t="str">
        <f>$A111 &amp; Keys!$C$8 &amp; $B111</f>
        <v>Idaho|Industry PM25</v>
      </c>
      <c r="Z111" s="8">
        <f>IFERROR(INDEX($U111:$W111, MATCH(INDEX(Runs!$D:$D, MATCH($B111, Runs!$A:$A, 0)), $U$1:$W$1, 0)), 0)</f>
        <v>2771.0308362449991</v>
      </c>
      <c r="AA111" s="8">
        <f t="shared" si="4"/>
        <v>9.2638941404874237E-3</v>
      </c>
      <c r="AB111" s="8">
        <f>IFERROR(VLOOKUP(INDEX(Runs!$F:$F, MATCH($B111, Runs!$A:$A, 0)), US_national_yearly!$D:$AM, MATCH(Keys!$C$7, US_national_yearly!$D$1:$AM$1, 0), FALSE), 0)</f>
        <v>2.6833191881203179E-2</v>
      </c>
      <c r="AC111" s="8">
        <f t="shared" si="5"/>
        <v>0.34524011088583317</v>
      </c>
      <c r="AD111">
        <f>IF($Z111&lt;Keys!$C$3, 1, 0)</f>
        <v>0</v>
      </c>
      <c r="AE111">
        <f>IF($AC111&gt;Keys!$C$4, 1, 0)</f>
        <v>0</v>
      </c>
      <c r="AF111">
        <f>IF($AC111&lt;Keys!$C$5, 1, 0)</f>
        <v>0</v>
      </c>
      <c r="AG111">
        <f t="shared" si="6"/>
        <v>0</v>
      </c>
      <c r="AH111" t="str">
        <f>IFERROR(INDEX(Runs!$E:$E, MATCH($B111, Runs!$A:$A, 0)), $B111)</f>
        <v>Industry PM25</v>
      </c>
      <c r="AI111" t="str">
        <f t="shared" si="7"/>
        <v>Industry PM25</v>
      </c>
      <c r="AJ111" t="str">
        <f>IF($AG111=1, IF($AD111=1, Keys!$C$9, "") &amp; IF($AE111=1, Keys!$C$10, "") &amp; IF($AF111=1, Keys!$C$11, ""), "")</f>
        <v/>
      </c>
      <c r="AK111">
        <f>IF($AG111=1, IFERROR(INDEX($AG$2:$AG$577, MATCH($A111 &amp; Keys!$C$8 &amp; $AH111, $Y$2:$Y$577, 0)), 1), 0)</f>
        <v>0</v>
      </c>
    </row>
    <row r="112" spans="1:37" x14ac:dyDescent="0.25">
      <c r="A112" t="s">
        <v>109</v>
      </c>
      <c r="B112" t="s">
        <v>246</v>
      </c>
      <c r="C112">
        <v>44</v>
      </c>
      <c r="D112">
        <v>1.745791727999999</v>
      </c>
      <c r="E112">
        <v>5.2479371149999994E-3</v>
      </c>
      <c r="F112">
        <v>5.4684242689999989</v>
      </c>
      <c r="G112">
        <v>7.364012631999997</v>
      </c>
      <c r="H112">
        <v>11.251013713000001</v>
      </c>
      <c r="I112">
        <v>0.1159033872</v>
      </c>
      <c r="J112">
        <v>0.67875322300000007</v>
      </c>
      <c r="K112">
        <v>575.16131617000008</v>
      </c>
      <c r="L112">
        <v>97.531508187999989</v>
      </c>
      <c r="M112">
        <v>0.16103614420000001</v>
      </c>
      <c r="N112">
        <v>24.083450614</v>
      </c>
      <c r="O112">
        <v>0.42042060140000009</v>
      </c>
      <c r="P112">
        <v>1.724749049E-2</v>
      </c>
      <c r="Q112">
        <v>3.3857140980000013E-2</v>
      </c>
      <c r="R112">
        <v>1.281579486</v>
      </c>
      <c r="S112">
        <v>16.26709670599999</v>
      </c>
      <c r="T112">
        <v>23.075377266000011</v>
      </c>
      <c r="U112">
        <v>0</v>
      </c>
      <c r="V112">
        <v>1347.4722735339999</v>
      </c>
      <c r="W112">
        <v>0</v>
      </c>
      <c r="Y112" t="str">
        <f>$A112 &amp; Keys!$C$8 &amp; $B112</f>
        <v>Idaho|Industry SO2</v>
      </c>
      <c r="Z112" s="8">
        <f>IFERROR(INDEX($U112:$W112, MATCH(INDEX(Runs!$D:$D, MATCH($B112, Runs!$A:$A, 0)), $U$1:$W$1, 0)), 0)</f>
        <v>1347.4722735339999</v>
      </c>
      <c r="AA112" s="8">
        <f t="shared" si="4"/>
        <v>1.2956049354702723E-3</v>
      </c>
      <c r="AB112" s="8">
        <f>IFERROR(VLOOKUP(INDEX(Runs!$F:$F, MATCH($B112, Runs!$A:$A, 0)), US_national_yearly!$D:$AM, MATCH(Keys!$C$7, US_national_yearly!$D$1:$AM$1, 0), FALSE), 0)</f>
        <v>5.3000351638639942E-3</v>
      </c>
      <c r="AC112" s="8">
        <f t="shared" si="5"/>
        <v>0.24445213954499703</v>
      </c>
      <c r="AD112">
        <f>IF($Z112&lt;Keys!$C$3, 1, 0)</f>
        <v>0</v>
      </c>
      <c r="AE112">
        <f>IF($AC112&gt;Keys!$C$4, 1, 0)</f>
        <v>0</v>
      </c>
      <c r="AF112">
        <f>IF($AC112&lt;Keys!$C$5, 1, 0)</f>
        <v>0</v>
      </c>
      <c r="AG112">
        <f t="shared" si="6"/>
        <v>0</v>
      </c>
      <c r="AH112" t="str">
        <f>IFERROR(INDEX(Runs!$E:$E, MATCH($B112, Runs!$A:$A, 0)), $B112)</f>
        <v>Industry SO2</v>
      </c>
      <c r="AI112" t="str">
        <f t="shared" si="7"/>
        <v>Industry SO2</v>
      </c>
      <c r="AJ112" t="str">
        <f>IF($AG112=1, IF($AD112=1, Keys!$C$9, "") &amp; IF($AE112=1, Keys!$C$10, "") &amp; IF($AF112=1, Keys!$C$11, ""), "")</f>
        <v/>
      </c>
      <c r="AK112">
        <f>IF($AG112=1, IFERROR(INDEX($AG$2:$AG$577, MATCH($A112 &amp; Keys!$C$8 &amp; $AH112, $Y$2:$Y$577, 0)), 1), 0)</f>
        <v>0</v>
      </c>
    </row>
    <row r="113" spans="1:37" x14ac:dyDescent="0.25">
      <c r="A113" t="s">
        <v>109</v>
      </c>
      <c r="B113" t="s">
        <v>253</v>
      </c>
      <c r="C113">
        <v>44</v>
      </c>
      <c r="D113">
        <v>1.4954046119999991</v>
      </c>
      <c r="E113">
        <v>4.1901462760000011E-3</v>
      </c>
      <c r="F113">
        <v>4.6510396739999997</v>
      </c>
      <c r="G113">
        <v>6.2632838639999999</v>
      </c>
      <c r="H113">
        <v>9.569293134999997</v>
      </c>
      <c r="I113">
        <v>0.10622455016</v>
      </c>
      <c r="J113">
        <v>0.64408623310000024</v>
      </c>
      <c r="K113">
        <v>526.58044584800007</v>
      </c>
      <c r="L113">
        <v>89.330176226999981</v>
      </c>
      <c r="M113">
        <v>0.15846827350000001</v>
      </c>
      <c r="N113">
        <v>20.483616673</v>
      </c>
      <c r="O113">
        <v>0.39371984799999998</v>
      </c>
      <c r="P113">
        <v>1.6571977501999999E-2</v>
      </c>
      <c r="Q113">
        <v>3.5129206170000003E-2</v>
      </c>
      <c r="R113">
        <v>1.0797480601</v>
      </c>
      <c r="S113">
        <v>13.70787256</v>
      </c>
      <c r="T113">
        <v>19.451462830000011</v>
      </c>
      <c r="U113">
        <v>0</v>
      </c>
      <c r="V113">
        <v>0</v>
      </c>
      <c r="W113">
        <v>2417.598242732</v>
      </c>
      <c r="Y113" t="str">
        <f>$A113 &amp; Keys!$C$8 &amp; $B113</f>
        <v>Idaho|buildings NO2</v>
      </c>
      <c r="Z113" s="8">
        <f>IFERROR(INDEX($U113:$W113, MATCH(INDEX(Runs!$D:$D, MATCH($B113, Runs!$A:$A, 0)), $U$1:$W$1, 0)), 0)</f>
        <v>2417.598242732</v>
      </c>
      <c r="AA113" s="8">
        <f t="shared" si="4"/>
        <v>6.1854967693479189E-4</v>
      </c>
      <c r="AB113" s="8">
        <f>IFERROR(VLOOKUP(INDEX(Runs!$F:$F, MATCH($B113, Runs!$A:$A, 0)), US_national_yearly!$D:$AM, MATCH(Keys!$C$7, US_national_yearly!$D$1:$AM$1, 0), FALSE), 0)</f>
        <v>5.6784740124662739E-3</v>
      </c>
      <c r="AC113" s="8">
        <f t="shared" si="5"/>
        <v>0.10892885581176473</v>
      </c>
      <c r="AD113">
        <f>IF($Z113&lt;Keys!$C$3, 1, 0)</f>
        <v>0</v>
      </c>
      <c r="AE113">
        <f>IF($AC113&gt;Keys!$C$4, 1, 0)</f>
        <v>0</v>
      </c>
      <c r="AF113">
        <f>IF($AC113&lt;Keys!$C$5, 1, 0)</f>
        <v>0</v>
      </c>
      <c r="AG113">
        <f t="shared" si="6"/>
        <v>0</v>
      </c>
      <c r="AH113" t="str">
        <f>IFERROR(INDEX(Runs!$E:$E, MATCH($B113, Runs!$A:$A, 0)), $B113)</f>
        <v>Industry NO2</v>
      </c>
      <c r="AI113" t="str">
        <f t="shared" si="7"/>
        <v>buildings NO2</v>
      </c>
      <c r="AJ113" t="str">
        <f>IF($AG113=1, IF($AD113=1, Keys!$C$9, "") &amp; IF($AE113=1, Keys!$C$10, "") &amp; IF($AF113=1, Keys!$C$11, ""), "")</f>
        <v/>
      </c>
      <c r="AK113">
        <f>IF($AG113=1, IFERROR(INDEX($AG$2:$AG$577, MATCH($A113 &amp; Keys!$C$8 &amp; $AH113, $Y$2:$Y$577, 0)), 1), 0)</f>
        <v>0</v>
      </c>
    </row>
    <row r="114" spans="1:37" x14ac:dyDescent="0.25">
      <c r="A114" t="s">
        <v>109</v>
      </c>
      <c r="B114" t="s">
        <v>251</v>
      </c>
      <c r="C114">
        <v>44</v>
      </c>
      <c r="D114">
        <v>0.10719177129</v>
      </c>
      <c r="E114">
        <v>3.2185441539999999E-4</v>
      </c>
      <c r="F114">
        <v>0.34493895120000001</v>
      </c>
      <c r="G114">
        <v>0.46451083549999989</v>
      </c>
      <c r="H114">
        <v>0.70969209970000002</v>
      </c>
      <c r="I114">
        <v>7.5103641870000008E-3</v>
      </c>
      <c r="J114">
        <v>4.5435511150000003E-2</v>
      </c>
      <c r="K114">
        <v>38.271747461000032</v>
      </c>
      <c r="L114">
        <v>6.494819334999999</v>
      </c>
      <c r="M114">
        <v>1.1089601861E-2</v>
      </c>
      <c r="N114">
        <v>1.5191418863999999</v>
      </c>
      <c r="O114">
        <v>2.8374944110000008E-2</v>
      </c>
      <c r="P114">
        <v>1.1884805445E-3</v>
      </c>
      <c r="Q114">
        <v>2.4516885499999991E-3</v>
      </c>
      <c r="R114">
        <v>8.0053933299999977E-2</v>
      </c>
      <c r="S114">
        <v>1.0160500728999999</v>
      </c>
      <c r="T114">
        <v>1.441059001</v>
      </c>
      <c r="U114">
        <v>10.855261446</v>
      </c>
      <c r="V114">
        <v>0</v>
      </c>
      <c r="W114">
        <v>0</v>
      </c>
      <c r="Y114" t="str">
        <f>$A114 &amp; Keys!$C$8 &amp; $B114</f>
        <v>Idaho|buildings PM25</v>
      </c>
      <c r="Z114" s="8">
        <f>IFERROR(INDEX($U114:$W114, MATCH(INDEX(Runs!$D:$D, MATCH($B114, Runs!$A:$A, 0)), $U$1:$W$1, 0)), 0)</f>
        <v>10.855261446</v>
      </c>
      <c r="AA114" s="8">
        <f t="shared" si="4"/>
        <v>9.8746374579028271E-3</v>
      </c>
      <c r="AB114" s="8">
        <f>IFERROR(VLOOKUP(INDEX(Runs!$F:$F, MATCH($B114, Runs!$A:$A, 0)), US_national_yearly!$D:$AM, MATCH(Keys!$C$7, US_national_yearly!$D$1:$AM$1, 0), FALSE), 0)</f>
        <v>2.7627705191843259E-2</v>
      </c>
      <c r="AC114" s="8">
        <f t="shared" si="5"/>
        <v>0.35741793932339311</v>
      </c>
      <c r="AD114">
        <f>IF($Z114&lt;Keys!$C$3, 1, 0)</f>
        <v>0</v>
      </c>
      <c r="AE114">
        <f>IF($AC114&gt;Keys!$C$4, 1, 0)</f>
        <v>0</v>
      </c>
      <c r="AF114">
        <f>IF($AC114&lt;Keys!$C$5, 1, 0)</f>
        <v>0</v>
      </c>
      <c r="AG114">
        <f t="shared" si="6"/>
        <v>0</v>
      </c>
      <c r="AH114" t="str">
        <f>IFERROR(INDEX(Runs!$E:$E, MATCH($B114, Runs!$A:$A, 0)), $B114)</f>
        <v>Industry PM25</v>
      </c>
      <c r="AI114" t="str">
        <f t="shared" si="7"/>
        <v>buildings PM25</v>
      </c>
      <c r="AJ114" t="str">
        <f>IF($AG114=1, IF($AD114=1, Keys!$C$9, "") &amp; IF($AE114=1, Keys!$C$10, "") &amp; IF($AF114=1, Keys!$C$11, ""), "")</f>
        <v/>
      </c>
      <c r="AK114">
        <f>IF($AG114=1, IFERROR(INDEX($AG$2:$AG$577, MATCH($A114 &amp; Keys!$C$8 &amp; $AH114, $Y$2:$Y$577, 0)), 1), 0)</f>
        <v>0</v>
      </c>
    </row>
    <row r="115" spans="1:37" x14ac:dyDescent="0.25">
      <c r="A115" t="s">
        <v>109</v>
      </c>
      <c r="B115" t="s">
        <v>254</v>
      </c>
      <c r="C115">
        <v>44</v>
      </c>
      <c r="D115">
        <v>3.3383561519999987E-2</v>
      </c>
      <c r="E115">
        <v>9.6010340800000007E-5</v>
      </c>
      <c r="F115">
        <v>0.1010874167</v>
      </c>
      <c r="G115">
        <v>0.1361290483</v>
      </c>
      <c r="H115">
        <v>0.20798150260000001</v>
      </c>
      <c r="I115">
        <v>2.254954758E-3</v>
      </c>
      <c r="J115">
        <v>1.3238669329999999E-2</v>
      </c>
      <c r="K115">
        <v>11.02859201399999</v>
      </c>
      <c r="L115">
        <v>1.8689138359999999</v>
      </c>
      <c r="M115">
        <v>3.1567384939999998E-3</v>
      </c>
      <c r="N115">
        <v>0.44519796760000002</v>
      </c>
      <c r="O115">
        <v>8.0227937699999998E-3</v>
      </c>
      <c r="P115">
        <v>3.2587702269999989E-4</v>
      </c>
      <c r="Q115">
        <v>6.6609827500000026E-4</v>
      </c>
      <c r="R115">
        <v>2.3532108029999992E-2</v>
      </c>
      <c r="S115">
        <v>0.29873304010000001</v>
      </c>
      <c r="T115">
        <v>0.42383797179999988</v>
      </c>
      <c r="U115">
        <v>0</v>
      </c>
      <c r="V115">
        <v>71.524933662999985</v>
      </c>
      <c r="W115">
        <v>0</v>
      </c>
      <c r="Y115" t="str">
        <f>$A115 &amp; Keys!$C$8 &amp; $B115</f>
        <v>Idaho|buildings SO2</v>
      </c>
      <c r="Z115" s="8">
        <f>IFERROR(INDEX($U115:$W115, MATCH(INDEX(Runs!$D:$D, MATCH($B115, Runs!$A:$A, 0)), $U$1:$W$1, 0)), 0)</f>
        <v>71.524933662999985</v>
      </c>
      <c r="AA115" s="8">
        <f t="shared" si="4"/>
        <v>4.6674019548611454E-4</v>
      </c>
      <c r="AB115" s="8">
        <f>IFERROR(VLOOKUP(INDEX(Runs!$F:$F, MATCH($B115, Runs!$A:$A, 0)), US_national_yearly!$D:$AM, MATCH(Keys!$C$7, US_national_yearly!$D$1:$AM$1, 0), FALSE), 0)</f>
        <v>5.1581943281164694E-3</v>
      </c>
      <c r="AC115" s="8">
        <f t="shared" si="5"/>
        <v>9.0485190319796682E-2</v>
      </c>
      <c r="AD115">
        <f>IF($Z115&lt;Keys!$C$3, 1, 0)</f>
        <v>0</v>
      </c>
      <c r="AE115">
        <f>IF($AC115&gt;Keys!$C$4, 1, 0)</f>
        <v>0</v>
      </c>
      <c r="AF115">
        <f>IF($AC115&lt;Keys!$C$5, 1, 0)</f>
        <v>0</v>
      </c>
      <c r="AG115">
        <f t="shared" si="6"/>
        <v>0</v>
      </c>
      <c r="AH115" t="str">
        <f>IFERROR(INDEX(Runs!$E:$E, MATCH($B115, Runs!$A:$A, 0)), $B115)</f>
        <v>Industry SO2</v>
      </c>
      <c r="AI115" t="str">
        <f t="shared" si="7"/>
        <v>buildings SO2</v>
      </c>
      <c r="AJ115" t="str">
        <f>IF($AG115=1, IF($AD115=1, Keys!$C$9, "") &amp; IF($AE115=1, Keys!$C$10, "") &amp; IF($AF115=1, Keys!$C$11, ""), "")</f>
        <v/>
      </c>
      <c r="AK115">
        <f>IF($AG115=1, IFERROR(INDEX($AG$2:$AG$577, MATCH($A115 &amp; Keys!$C$8 &amp; $AH115, $Y$2:$Y$577, 0)), 1), 0)</f>
        <v>0</v>
      </c>
    </row>
    <row r="116" spans="1:37" x14ac:dyDescent="0.25">
      <c r="A116" t="s">
        <v>109</v>
      </c>
      <c r="B116" t="s">
        <v>249</v>
      </c>
      <c r="C116">
        <v>44</v>
      </c>
      <c r="D116">
        <v>8.791978850000005E-3</v>
      </c>
      <c r="E116">
        <v>2.013281823000001E-5</v>
      </c>
      <c r="F116">
        <v>2.4083942559999998E-2</v>
      </c>
      <c r="G116">
        <v>3.2432564769999998E-2</v>
      </c>
      <c r="H116">
        <v>4.9551311639999998E-2</v>
      </c>
      <c r="I116">
        <v>6.2263658290000006E-4</v>
      </c>
      <c r="J116">
        <v>3.6948665760000001E-3</v>
      </c>
      <c r="K116">
        <v>2.860438298</v>
      </c>
      <c r="L116">
        <v>0.4843404318999997</v>
      </c>
      <c r="M116">
        <v>9.0345299819999988E-4</v>
      </c>
      <c r="N116">
        <v>0.10606781897000001</v>
      </c>
      <c r="O116">
        <v>2.1137166973999992E-3</v>
      </c>
      <c r="P116">
        <v>8.6375968090000036E-5</v>
      </c>
      <c r="Q116">
        <v>1.9379820914000001E-4</v>
      </c>
      <c r="R116">
        <v>5.5875306010000009E-3</v>
      </c>
      <c r="S116">
        <v>7.0960549560000002E-2</v>
      </c>
      <c r="T116">
        <v>0.10074574081</v>
      </c>
      <c r="U116">
        <v>0</v>
      </c>
      <c r="V116">
        <v>0</v>
      </c>
      <c r="W116">
        <v>259.91068028799998</v>
      </c>
      <c r="Y116" t="str">
        <f>$A116 &amp; Keys!$C$8 &amp; $B116</f>
        <v>Idaho|electricity NO2</v>
      </c>
      <c r="Z116" s="8">
        <f>IFERROR(INDEX($U116:$W116, MATCH(INDEX(Runs!$D:$D, MATCH($B116, Runs!$A:$A, 0)), $U$1:$W$1, 0)), 0)</f>
        <v>259.91068028799998</v>
      </c>
      <c r="AA116" s="8">
        <f t="shared" si="4"/>
        <v>3.382692408121841E-5</v>
      </c>
      <c r="AB116" s="8">
        <f>IFERROR(VLOOKUP(INDEX(Runs!$F:$F, MATCH($B116, Runs!$A:$A, 0)), US_national_yearly!$D:$AM, MATCH(Keys!$C$7, US_national_yearly!$D$1:$AM$1, 0), FALSE), 0)</f>
        <v>6.1439221592658041E-3</v>
      </c>
      <c r="AC116" s="8">
        <f t="shared" si="5"/>
        <v>5.5057540125574627E-3</v>
      </c>
      <c r="AD116">
        <f>IF($Z116&lt;Keys!$C$3, 1, 0)</f>
        <v>0</v>
      </c>
      <c r="AE116">
        <f>IF($AC116&gt;Keys!$C$4, 1, 0)</f>
        <v>0</v>
      </c>
      <c r="AF116">
        <f>IF($AC116&lt;Keys!$C$5, 1, 0)</f>
        <v>0</v>
      </c>
      <c r="AG116">
        <f t="shared" si="6"/>
        <v>0</v>
      </c>
      <c r="AH116" t="str">
        <f>IFERROR(INDEX(Runs!$E:$E, MATCH($B116, Runs!$A:$A, 0)), $B116)</f>
        <v>Industry NO2</v>
      </c>
      <c r="AI116" t="str">
        <f t="shared" si="7"/>
        <v>electricity NO2</v>
      </c>
      <c r="AJ116" t="str">
        <f>IF($AG116=1, IF($AD116=1, Keys!$C$9, "") &amp; IF($AE116=1, Keys!$C$10, "") &amp; IF($AF116=1, Keys!$C$11, ""), "")</f>
        <v/>
      </c>
      <c r="AK116">
        <f>IF($AG116=1, IFERROR(INDEX($AG$2:$AG$577, MATCH($A116 &amp; Keys!$C$8 &amp; $AH116, $Y$2:$Y$577, 0)), 1), 0)</f>
        <v>0</v>
      </c>
    </row>
    <row r="117" spans="1:37" x14ac:dyDescent="0.25">
      <c r="A117" t="s">
        <v>109</v>
      </c>
      <c r="B117" t="s">
        <v>247</v>
      </c>
      <c r="C117">
        <v>44</v>
      </c>
      <c r="D117">
        <v>0.57737505336000017</v>
      </c>
      <c r="E117">
        <v>1.3358778439000001E-3</v>
      </c>
      <c r="F117">
        <v>1.5291726029999999</v>
      </c>
      <c r="G117">
        <v>2.0592512140000001</v>
      </c>
      <c r="H117">
        <v>3.1461925116999998</v>
      </c>
      <c r="I117">
        <v>3.9087456156999982E-2</v>
      </c>
      <c r="J117">
        <v>0.22547168077999999</v>
      </c>
      <c r="K117">
        <v>176.15699284200011</v>
      </c>
      <c r="L117">
        <v>29.761861539000002</v>
      </c>
      <c r="M117">
        <v>5.3470411260000003E-2</v>
      </c>
      <c r="N117">
        <v>6.7346163286999996</v>
      </c>
      <c r="O117">
        <v>0.12622366062000001</v>
      </c>
      <c r="P117">
        <v>4.941972997000001E-3</v>
      </c>
      <c r="Q117">
        <v>1.0933308262999999E-2</v>
      </c>
      <c r="R117">
        <v>0.35582814706999988</v>
      </c>
      <c r="S117">
        <v>4.5191288276999986</v>
      </c>
      <c r="T117">
        <v>6.4166211099999986</v>
      </c>
      <c r="U117">
        <v>84.261584861999992</v>
      </c>
      <c r="V117">
        <v>0</v>
      </c>
      <c r="W117">
        <v>0</v>
      </c>
      <c r="Y117" t="str">
        <f>$A117 &amp; Keys!$C$8 &amp; $B117</f>
        <v>Idaho|electricity PM25</v>
      </c>
      <c r="Z117" s="8">
        <f>IFERROR(INDEX($U117:$W117, MATCH(INDEX(Runs!$D:$D, MATCH($B117, Runs!$A:$A, 0)), $U$1:$W$1, 0)), 0)</f>
        <v>84.261584861999992</v>
      </c>
      <c r="AA117" s="8">
        <f t="shared" si="4"/>
        <v>6.8521741468024868E-3</v>
      </c>
      <c r="AB117" s="8">
        <f>IFERROR(VLOOKUP(INDEX(Runs!$F:$F, MATCH($B117, Runs!$A:$A, 0)), US_national_yearly!$D:$AM, MATCH(Keys!$C$7, US_national_yearly!$D$1:$AM$1, 0), FALSE), 0)</f>
        <v>2.4252978284752182E-2</v>
      </c>
      <c r="AC117" s="8">
        <f t="shared" si="5"/>
        <v>0.28252918327603666</v>
      </c>
      <c r="AD117">
        <f>IF($Z117&lt;Keys!$C$3, 1, 0)</f>
        <v>0</v>
      </c>
      <c r="AE117">
        <f>IF($AC117&gt;Keys!$C$4, 1, 0)</f>
        <v>0</v>
      </c>
      <c r="AF117">
        <f>IF($AC117&lt;Keys!$C$5, 1, 0)</f>
        <v>0</v>
      </c>
      <c r="AG117">
        <f t="shared" si="6"/>
        <v>0</v>
      </c>
      <c r="AH117" t="str">
        <f>IFERROR(INDEX(Runs!$E:$E, MATCH($B117, Runs!$A:$A, 0)), $B117)</f>
        <v>Industry PM25</v>
      </c>
      <c r="AI117" t="str">
        <f t="shared" si="7"/>
        <v>electricity PM25</v>
      </c>
      <c r="AJ117" t="str">
        <f>IF($AG117=1, IF($AD117=1, Keys!$C$9, "") &amp; IF($AE117=1, Keys!$C$10, "") &amp; IF($AF117=1, Keys!$C$11, ""), "")</f>
        <v/>
      </c>
      <c r="AK117">
        <f>IF($AG117=1, IFERROR(INDEX($AG$2:$AG$577, MATCH($A117 &amp; Keys!$C$8 &amp; $AH117, $Y$2:$Y$577, 0)), 1), 0)</f>
        <v>0</v>
      </c>
    </row>
    <row r="118" spans="1:37" x14ac:dyDescent="0.25">
      <c r="A118" t="s">
        <v>109</v>
      </c>
      <c r="B118" t="s">
        <v>250</v>
      </c>
      <c r="C118">
        <v>44</v>
      </c>
      <c r="D118">
        <v>9.9835148959999981E-2</v>
      </c>
      <c r="E118">
        <v>2.3237584079999999E-4</v>
      </c>
      <c r="F118">
        <v>0.27069898650000002</v>
      </c>
      <c r="G118">
        <v>0.36453586889999989</v>
      </c>
      <c r="H118">
        <v>0.55694759200000021</v>
      </c>
      <c r="I118">
        <v>6.8682187029999991E-3</v>
      </c>
      <c r="J118">
        <v>4.0181973650000001E-2</v>
      </c>
      <c r="K118">
        <v>31.449636117000001</v>
      </c>
      <c r="L118">
        <v>5.3230874909999999</v>
      </c>
      <c r="M118">
        <v>9.6855272610000039E-3</v>
      </c>
      <c r="N118">
        <v>1.1921824474</v>
      </c>
      <c r="O118">
        <v>2.2938781729999989E-2</v>
      </c>
      <c r="P118">
        <v>9.2187957380000015E-4</v>
      </c>
      <c r="Q118">
        <v>2.0312267009999999E-3</v>
      </c>
      <c r="R118">
        <v>6.2962046219999998E-2</v>
      </c>
      <c r="S118">
        <v>0.79955924469999995</v>
      </c>
      <c r="T118">
        <v>1.1350610963000001</v>
      </c>
      <c r="U118">
        <v>0</v>
      </c>
      <c r="V118">
        <v>10.380089193</v>
      </c>
      <c r="W118">
        <v>0</v>
      </c>
      <c r="Y118" t="str">
        <f>$A118 &amp; Keys!$C$8 &amp; $B118</f>
        <v>Idaho|electricity SO2</v>
      </c>
      <c r="Z118" s="8">
        <f>IFERROR(INDEX($U118:$W118, MATCH(INDEX(Runs!$D:$D, MATCH($B118, Runs!$A:$A, 0)), $U$1:$W$1, 0)), 0)</f>
        <v>10.380089193</v>
      </c>
      <c r="AA118" s="8">
        <f t="shared" si="4"/>
        <v>9.6179471200811655E-3</v>
      </c>
      <c r="AB118" s="8">
        <f>IFERROR(VLOOKUP(INDEX(Runs!$F:$F, MATCH($B118, Runs!$A:$A, 0)), US_national_yearly!$D:$AM, MATCH(Keys!$C$7, US_national_yearly!$D$1:$AM$1, 0), FALSE), 0)</f>
        <v>5.7032329662362116E-3</v>
      </c>
      <c r="AC118" s="8">
        <f t="shared" si="5"/>
        <v>1.6864026381213089</v>
      </c>
      <c r="AD118">
        <f>IF($Z118&lt;Keys!$C$3, 1, 0)</f>
        <v>0</v>
      </c>
      <c r="AE118">
        <f>IF($AC118&gt;Keys!$C$4, 1, 0)</f>
        <v>0</v>
      </c>
      <c r="AF118">
        <f>IF($AC118&lt;Keys!$C$5, 1, 0)</f>
        <v>0</v>
      </c>
      <c r="AG118">
        <f t="shared" si="6"/>
        <v>0</v>
      </c>
      <c r="AH118" t="str">
        <f>IFERROR(INDEX(Runs!$E:$E, MATCH($B118, Runs!$A:$A, 0)), $B118)</f>
        <v>Industry SO2</v>
      </c>
      <c r="AI118" t="str">
        <f t="shared" si="7"/>
        <v>electricity SO2</v>
      </c>
      <c r="AJ118" t="str">
        <f>IF($AG118=1, IF($AD118=1, Keys!$C$9, "") &amp; IF($AE118=1, Keys!$C$10, "") &amp; IF($AF118=1, Keys!$C$11, ""), "")</f>
        <v/>
      </c>
      <c r="AK118">
        <f>IF($AG118=1, IFERROR(INDEX($AG$2:$AG$577, MATCH($A118 &amp; Keys!$C$8 &amp; $AH118, $Y$2:$Y$577, 0)), 1), 0)</f>
        <v>0</v>
      </c>
    </row>
    <row r="119" spans="1:37" x14ac:dyDescent="0.25">
      <c r="A119" t="s">
        <v>109</v>
      </c>
      <c r="B119" t="s">
        <v>239</v>
      </c>
      <c r="C119">
        <v>44</v>
      </c>
      <c r="D119">
        <v>11.786156009999999</v>
      </c>
      <c r="E119">
        <v>3.305782661E-2</v>
      </c>
      <c r="F119">
        <v>35.691735644000012</v>
      </c>
      <c r="G119">
        <v>48.063062238999997</v>
      </c>
      <c r="H119">
        <v>73.435917984999989</v>
      </c>
      <c r="I119">
        <v>0.81123540700000019</v>
      </c>
      <c r="J119">
        <v>4.8056662990000012</v>
      </c>
      <c r="K119">
        <v>3953.442315927</v>
      </c>
      <c r="L119">
        <v>670.18218287700006</v>
      </c>
      <c r="M119">
        <v>1.1596514419999999</v>
      </c>
      <c r="N119">
        <v>157.19071586800001</v>
      </c>
      <c r="O119">
        <v>2.905720963999999</v>
      </c>
      <c r="P119">
        <v>0.11945271640000001</v>
      </c>
      <c r="Q119">
        <v>0.24854195849999999</v>
      </c>
      <c r="R119">
        <v>8.3037872759999996</v>
      </c>
      <c r="S119">
        <v>105.44078817400001</v>
      </c>
      <c r="T119">
        <v>149.70958761099999</v>
      </c>
      <c r="U119">
        <v>0</v>
      </c>
      <c r="V119">
        <v>0</v>
      </c>
      <c r="W119">
        <v>32242.640858269999</v>
      </c>
      <c r="Y119" t="str">
        <f>$A119 &amp; Keys!$C$8 &amp; $B119</f>
        <v>Idaho|transportation NO2</v>
      </c>
      <c r="Z119" s="8">
        <f>IFERROR(INDEX($U119:$W119, MATCH(INDEX(Runs!$D:$D, MATCH($B119, Runs!$A:$A, 0)), $U$1:$W$1, 0)), 0)</f>
        <v>32242.640858269999</v>
      </c>
      <c r="AA119" s="8">
        <f t="shared" si="4"/>
        <v>3.6554561587584527E-4</v>
      </c>
      <c r="AB119" s="8">
        <f>IFERROR(VLOOKUP(INDEX(Runs!$F:$F, MATCH($B119, Runs!$A:$A, 0)), US_national_yearly!$D:$AM, MATCH(Keys!$C$7, US_national_yearly!$D$1:$AM$1, 0), FALSE), 0)</f>
        <v>5.7148835886332216E-3</v>
      </c>
      <c r="AC119" s="8">
        <f t="shared" si="5"/>
        <v>6.3963790374121962E-2</v>
      </c>
      <c r="AD119">
        <f>IF($Z119&lt;Keys!$C$3, 1, 0)</f>
        <v>0</v>
      </c>
      <c r="AE119">
        <f>IF($AC119&gt;Keys!$C$4, 1, 0)</f>
        <v>0</v>
      </c>
      <c r="AF119">
        <f>IF($AC119&lt;Keys!$C$5, 1, 0)</f>
        <v>0</v>
      </c>
      <c r="AG119">
        <f t="shared" si="6"/>
        <v>0</v>
      </c>
      <c r="AH119" t="str">
        <f>IFERROR(INDEX(Runs!$E:$E, MATCH($B119, Runs!$A:$A, 0)), $B119)</f>
        <v>Industry NO2</v>
      </c>
      <c r="AI119" t="str">
        <f t="shared" si="7"/>
        <v>transportation NO2</v>
      </c>
      <c r="AJ119" t="str">
        <f>IF($AG119=1, IF($AD119=1, Keys!$C$9, "") &amp; IF($AE119=1, Keys!$C$10, "") &amp; IF($AF119=1, Keys!$C$11, ""), "")</f>
        <v/>
      </c>
      <c r="AK119">
        <f>IF($AG119=1, IFERROR(INDEX($AG$2:$AG$577, MATCH($A119 &amp; Keys!$C$8 &amp; $AH119, $Y$2:$Y$577, 0)), 1), 0)</f>
        <v>0</v>
      </c>
    </row>
    <row r="120" spans="1:37" x14ac:dyDescent="0.25">
      <c r="A120" t="s">
        <v>109</v>
      </c>
      <c r="B120" t="s">
        <v>234</v>
      </c>
      <c r="C120">
        <v>44</v>
      </c>
      <c r="D120">
        <v>5.7517615609999986</v>
      </c>
      <c r="E120">
        <v>1.660987261E-2</v>
      </c>
      <c r="F120">
        <v>17.889523147999991</v>
      </c>
      <c r="G120">
        <v>24.090538293999991</v>
      </c>
      <c r="H120">
        <v>36.807331342999987</v>
      </c>
      <c r="I120">
        <v>0.40101272819999989</v>
      </c>
      <c r="J120">
        <v>2.4041724540000011</v>
      </c>
      <c r="K120">
        <v>1992.648432924</v>
      </c>
      <c r="L120">
        <v>337.933622845</v>
      </c>
      <c r="M120">
        <v>0.58421606989999997</v>
      </c>
      <c r="N120">
        <v>78.78739278499998</v>
      </c>
      <c r="O120">
        <v>1.4717709539999999</v>
      </c>
      <c r="P120">
        <v>6.1087642409999997E-2</v>
      </c>
      <c r="Q120">
        <v>0.1274547315</v>
      </c>
      <c r="R120">
        <v>4.1544199370000001</v>
      </c>
      <c r="S120">
        <v>52.747704886999998</v>
      </c>
      <c r="T120">
        <v>74.872592802999961</v>
      </c>
      <c r="U120">
        <v>732.23177105900015</v>
      </c>
      <c r="V120">
        <v>0</v>
      </c>
      <c r="W120">
        <v>0</v>
      </c>
      <c r="Y120" t="str">
        <f>$A120 &amp; Keys!$C$8 &amp; $B120</f>
        <v>Idaho|transportation PM25</v>
      </c>
      <c r="Z120" s="8">
        <f>IFERROR(INDEX($U120:$W120, MATCH(INDEX(Runs!$D:$D, MATCH($B120, Runs!$A:$A, 0)), $U$1:$W$1, 0)), 0)</f>
        <v>732.23177105900015</v>
      </c>
      <c r="AA120" s="8">
        <f t="shared" si="4"/>
        <v>7.8551106197992954E-3</v>
      </c>
      <c r="AB120" s="8">
        <f>IFERROR(VLOOKUP(INDEX(Runs!$F:$F, MATCH($B120, Runs!$A:$A, 0)), US_national_yearly!$D:$AM, MATCH(Keys!$C$7, US_national_yearly!$D$1:$AM$1, 0), FALSE), 0)</f>
        <v>2.8248683697579859E-2</v>
      </c>
      <c r="AC120" s="8">
        <f t="shared" si="5"/>
        <v>0.27806996969817266</v>
      </c>
      <c r="AD120">
        <f>IF($Z120&lt;Keys!$C$3, 1, 0)</f>
        <v>0</v>
      </c>
      <c r="AE120">
        <f>IF($AC120&gt;Keys!$C$4, 1, 0)</f>
        <v>0</v>
      </c>
      <c r="AF120">
        <f>IF($AC120&lt;Keys!$C$5, 1, 0)</f>
        <v>0</v>
      </c>
      <c r="AG120">
        <f t="shared" si="6"/>
        <v>0</v>
      </c>
      <c r="AH120" t="str">
        <f>IFERROR(INDEX(Runs!$E:$E, MATCH($B120, Runs!$A:$A, 0)), $B120)</f>
        <v>Industry PM25</v>
      </c>
      <c r="AI120" t="str">
        <f t="shared" si="7"/>
        <v>transportation PM25</v>
      </c>
      <c r="AJ120" t="str">
        <f>IF($AG120=1, IF($AD120=1, Keys!$C$9, "") &amp; IF($AE120=1, Keys!$C$10, "") &amp; IF($AF120=1, Keys!$C$11, ""), "")</f>
        <v/>
      </c>
      <c r="AK120">
        <f>IF($AG120=1, IFERROR(INDEX($AG$2:$AG$577, MATCH($A120 &amp; Keys!$C$8 &amp; $AH120, $Y$2:$Y$577, 0)), 1), 0)</f>
        <v>0</v>
      </c>
    </row>
    <row r="121" spans="1:37" x14ac:dyDescent="0.25">
      <c r="A121" t="s">
        <v>109</v>
      </c>
      <c r="B121" t="s">
        <v>243</v>
      </c>
      <c r="C121">
        <v>44</v>
      </c>
      <c r="D121">
        <v>9.0123198860000031E-2</v>
      </c>
      <c r="E121">
        <v>2.4463623120000002E-4</v>
      </c>
      <c r="F121">
        <v>0.27825925950000008</v>
      </c>
      <c r="G121">
        <v>0.37471687429999989</v>
      </c>
      <c r="H121">
        <v>0.57250244850000021</v>
      </c>
      <c r="I121">
        <v>6.518550031E-3</v>
      </c>
      <c r="J121">
        <v>3.9807069570000013E-2</v>
      </c>
      <c r="K121">
        <v>32.011600816999987</v>
      </c>
      <c r="L121">
        <v>5.4301525219999993</v>
      </c>
      <c r="M121">
        <v>9.8825012840000025E-3</v>
      </c>
      <c r="N121">
        <v>1.2254785823000001</v>
      </c>
      <c r="O121">
        <v>2.4157426530000001E-2</v>
      </c>
      <c r="P121">
        <v>1.0259049055000001E-3</v>
      </c>
      <c r="Q121">
        <v>2.2116798470000012E-3</v>
      </c>
      <c r="R121">
        <v>6.4558972480000004E-2</v>
      </c>
      <c r="S121">
        <v>0.81962637940000027</v>
      </c>
      <c r="T121">
        <v>1.1630429090000001</v>
      </c>
      <c r="U121">
        <v>0</v>
      </c>
      <c r="V121">
        <v>94.920009075999999</v>
      </c>
      <c r="W121">
        <v>0</v>
      </c>
      <c r="Y121" t="str">
        <f>$A121 &amp; Keys!$C$8 &amp; $B121</f>
        <v>Idaho|transportation SO2</v>
      </c>
      <c r="Z121" s="8">
        <f>IFERROR(INDEX($U121:$W121, MATCH(INDEX(Runs!$D:$D, MATCH($B121, Runs!$A:$A, 0)), $U$1:$W$1, 0)), 0)</f>
        <v>94.920009075999999</v>
      </c>
      <c r="AA121" s="8">
        <f t="shared" si="4"/>
        <v>9.4946470967823774E-4</v>
      </c>
      <c r="AB121" s="8">
        <f>IFERROR(VLOOKUP(INDEX(Runs!$F:$F, MATCH($B121, Runs!$A:$A, 0)), US_national_yearly!$D:$AM, MATCH(Keys!$C$7, US_national_yearly!$D$1:$AM$1, 0), FALSE), 0)</f>
        <v>5.1800714166247604E-3</v>
      </c>
      <c r="AC121" s="8">
        <f t="shared" si="5"/>
        <v>0.18329181845467521</v>
      </c>
      <c r="AD121">
        <f>IF($Z121&lt;Keys!$C$3, 1, 0)</f>
        <v>0</v>
      </c>
      <c r="AE121">
        <f>IF($AC121&gt;Keys!$C$4, 1, 0)</f>
        <v>0</v>
      </c>
      <c r="AF121">
        <f>IF($AC121&lt;Keys!$C$5, 1, 0)</f>
        <v>0</v>
      </c>
      <c r="AG121">
        <f t="shared" si="6"/>
        <v>0</v>
      </c>
      <c r="AH121" t="str">
        <f>IFERROR(INDEX(Runs!$E:$E, MATCH($B121, Runs!$A:$A, 0)), $B121)</f>
        <v>Industry SO2</v>
      </c>
      <c r="AI121" t="str">
        <f t="shared" si="7"/>
        <v>transportation SO2</v>
      </c>
      <c r="AJ121" t="str">
        <f>IF($AG121=1, IF($AD121=1, Keys!$C$9, "") &amp; IF($AE121=1, Keys!$C$10, "") &amp; IF($AF121=1, Keys!$C$11, ""), "")</f>
        <v/>
      </c>
      <c r="AK121">
        <f>IF($AG121=1, IFERROR(INDEX($AG$2:$AG$577, MATCH($A121 &amp; Keys!$C$8 &amp; $AH121, $Y$2:$Y$577, 0)), 1), 0)</f>
        <v>0</v>
      </c>
    </row>
    <row r="122" spans="1:37" x14ac:dyDescent="0.25">
      <c r="A122" t="s">
        <v>112</v>
      </c>
      <c r="B122" t="s">
        <v>242</v>
      </c>
      <c r="C122">
        <v>102</v>
      </c>
      <c r="D122">
        <v>33.628624842999997</v>
      </c>
      <c r="E122">
        <v>9.0281375940000061E-2</v>
      </c>
      <c r="F122">
        <v>89.72403368400002</v>
      </c>
      <c r="G122">
        <v>120.825650502</v>
      </c>
      <c r="H122">
        <v>184.60389965600021</v>
      </c>
      <c r="I122">
        <v>2.584286418</v>
      </c>
      <c r="J122">
        <v>15.837875033</v>
      </c>
      <c r="K122">
        <v>11439.282188618999</v>
      </c>
      <c r="L122">
        <v>1940.9630125369999</v>
      </c>
      <c r="M122">
        <v>3.9902354190000011</v>
      </c>
      <c r="N122">
        <v>395.15358384200022</v>
      </c>
      <c r="O122">
        <v>10.228302093</v>
      </c>
      <c r="P122">
        <v>0.41580534489999987</v>
      </c>
      <c r="Q122">
        <v>0.9651948878999993</v>
      </c>
      <c r="R122">
        <v>20.926913956</v>
      </c>
      <c r="S122">
        <v>266.06123088100009</v>
      </c>
      <c r="T122">
        <v>378.47997372899999</v>
      </c>
      <c r="U122">
        <v>0</v>
      </c>
      <c r="V122">
        <v>0</v>
      </c>
      <c r="W122">
        <v>52717.969115059983</v>
      </c>
      <c r="Y122" t="str">
        <f>$A122 &amp; Keys!$C$8 &amp; $B122</f>
        <v>Illinois|Industry NO2</v>
      </c>
      <c r="Z122" s="8">
        <f>IFERROR(INDEX($U122:$W122, MATCH(INDEX(Runs!$D:$D, MATCH($B122, Runs!$A:$A, 0)), $U$1:$W$1, 0)), 0)</f>
        <v>52717.969115059983</v>
      </c>
      <c r="AA122" s="8">
        <f t="shared" si="4"/>
        <v>6.3789681976564002E-4</v>
      </c>
      <c r="AB122" s="8">
        <f>IFERROR(VLOOKUP(INDEX(Runs!$F:$F, MATCH($B122, Runs!$A:$A, 0)), US_national_yearly!$D:$AM, MATCH(Keys!$C$7, US_national_yearly!$D$1:$AM$1, 0), FALSE), 0)</f>
        <v>5.8012217057786938E-3</v>
      </c>
      <c r="AC122" s="8">
        <f t="shared" si="5"/>
        <v>0.10995904864835977</v>
      </c>
      <c r="AD122">
        <f>IF($Z122&lt;Keys!$C$3, 1, 0)</f>
        <v>0</v>
      </c>
      <c r="AE122">
        <f>IF($AC122&gt;Keys!$C$4, 1, 0)</f>
        <v>0</v>
      </c>
      <c r="AF122">
        <f>IF($AC122&lt;Keys!$C$5, 1, 0)</f>
        <v>0</v>
      </c>
      <c r="AG122">
        <f t="shared" si="6"/>
        <v>0</v>
      </c>
      <c r="AH122" t="str">
        <f>IFERROR(INDEX(Runs!$E:$E, MATCH($B122, Runs!$A:$A, 0)), $B122)</f>
        <v>Industry NO2</v>
      </c>
      <c r="AI122" t="str">
        <f t="shared" si="7"/>
        <v>Industry NO2</v>
      </c>
      <c r="AJ122" t="str">
        <f>IF($AG122=1, IF($AD122=1, Keys!$C$9, "") &amp; IF($AE122=1, Keys!$C$10, "") &amp; IF($AF122=1, Keys!$C$11, ""), "")</f>
        <v/>
      </c>
      <c r="AK122">
        <f>IF($AG122=1, IFERROR(INDEX($AG$2:$AG$577, MATCH($A122 &amp; Keys!$C$8 &amp; $AH122, $Y$2:$Y$577, 0)), 1), 0)</f>
        <v>0</v>
      </c>
    </row>
    <row r="123" spans="1:37" x14ac:dyDescent="0.25">
      <c r="A123" t="s">
        <v>112</v>
      </c>
      <c r="B123" t="s">
        <v>238</v>
      </c>
      <c r="C123">
        <v>102</v>
      </c>
      <c r="D123">
        <v>337.51651973199989</v>
      </c>
      <c r="E123">
        <v>0.9537019495000002</v>
      </c>
      <c r="F123">
        <v>946.7417999569999</v>
      </c>
      <c r="G123">
        <v>1274.8180047789999</v>
      </c>
      <c r="H123">
        <v>1948.087848009</v>
      </c>
      <c r="I123">
        <v>26.472982494</v>
      </c>
      <c r="J123">
        <v>163.532011203</v>
      </c>
      <c r="K123">
        <v>121307.9196525469</v>
      </c>
      <c r="L123">
        <v>20619.114793285011</v>
      </c>
      <c r="M123">
        <v>41.346403928999997</v>
      </c>
      <c r="N123">
        <v>4169.6476527450013</v>
      </c>
      <c r="O123">
        <v>108.09643468599999</v>
      </c>
      <c r="P123">
        <v>4.3996474790000004</v>
      </c>
      <c r="Q123">
        <v>10.18311737000001</v>
      </c>
      <c r="R123">
        <v>220.59700012199991</v>
      </c>
      <c r="S123">
        <v>2807.136857609999</v>
      </c>
      <c r="T123">
        <v>4003.6144799299991</v>
      </c>
      <c r="U123">
        <v>10065.702951655991</v>
      </c>
      <c r="V123">
        <v>0</v>
      </c>
      <c r="W123">
        <v>0</v>
      </c>
      <c r="Y123" t="str">
        <f>$A123 &amp; Keys!$C$8 &amp; $B123</f>
        <v>Illinois|Industry PM25</v>
      </c>
      <c r="Z123" s="8">
        <f>IFERROR(INDEX($U123:$W123, MATCH(INDEX(Runs!$D:$D, MATCH($B123, Runs!$A:$A, 0)), $U$1:$W$1, 0)), 0)</f>
        <v>10065.702951655991</v>
      </c>
      <c r="AA123" s="8">
        <f t="shared" si="4"/>
        <v>3.3531341164451146E-2</v>
      </c>
      <c r="AB123" s="8">
        <f>IFERROR(VLOOKUP(INDEX(Runs!$F:$F, MATCH($B123, Runs!$A:$A, 0)), US_national_yearly!$D:$AM, MATCH(Keys!$C$7, US_national_yearly!$D$1:$AM$1, 0), FALSE), 0)</f>
        <v>2.6833191881203179E-2</v>
      </c>
      <c r="AC123" s="8">
        <f t="shared" si="5"/>
        <v>1.2496217860663854</v>
      </c>
      <c r="AD123">
        <f>IF($Z123&lt;Keys!$C$3, 1, 0)</f>
        <v>0</v>
      </c>
      <c r="AE123">
        <f>IF($AC123&gt;Keys!$C$4, 1, 0)</f>
        <v>0</v>
      </c>
      <c r="AF123">
        <f>IF($AC123&lt;Keys!$C$5, 1, 0)</f>
        <v>0</v>
      </c>
      <c r="AG123">
        <f t="shared" si="6"/>
        <v>0</v>
      </c>
      <c r="AH123" t="str">
        <f>IFERROR(INDEX(Runs!$E:$E, MATCH($B123, Runs!$A:$A, 0)), $B123)</f>
        <v>Industry PM25</v>
      </c>
      <c r="AI123" t="str">
        <f t="shared" si="7"/>
        <v>Industry PM25</v>
      </c>
      <c r="AJ123" t="str">
        <f>IF($AG123=1, IF($AD123=1, Keys!$C$9, "") &amp; IF($AE123=1, Keys!$C$10, "") &amp; IF($AF123=1, Keys!$C$11, ""), "")</f>
        <v/>
      </c>
      <c r="AK123">
        <f>IF($AG123=1, IFERROR(INDEX($AG$2:$AG$577, MATCH($A123 &amp; Keys!$C$8 &amp; $AH123, $Y$2:$Y$577, 0)), 1), 0)</f>
        <v>0</v>
      </c>
    </row>
    <row r="124" spans="1:37" x14ac:dyDescent="0.25">
      <c r="A124" t="s">
        <v>112</v>
      </c>
      <c r="B124" t="s">
        <v>246</v>
      </c>
      <c r="C124">
        <v>102</v>
      </c>
      <c r="D124">
        <v>45.328897325</v>
      </c>
      <c r="E124">
        <v>0.12301585351</v>
      </c>
      <c r="F124">
        <v>123.04676731399999</v>
      </c>
      <c r="G124">
        <v>165.698901549</v>
      </c>
      <c r="H124">
        <v>253.16492297800011</v>
      </c>
      <c r="I124">
        <v>3.5229684739999998</v>
      </c>
      <c r="J124">
        <v>21.643015542000011</v>
      </c>
      <c r="K124">
        <v>15700.166747882</v>
      </c>
      <c r="L124">
        <v>2663.4733737530009</v>
      </c>
      <c r="M124">
        <v>5.4531988209999982</v>
      </c>
      <c r="N124">
        <v>541.91059184100004</v>
      </c>
      <c r="O124">
        <v>14.02862775499999</v>
      </c>
      <c r="P124">
        <v>0.57028182819999995</v>
      </c>
      <c r="Q124">
        <v>1.3245423589</v>
      </c>
      <c r="R124">
        <v>28.658236050999989</v>
      </c>
      <c r="S124">
        <v>364.36705632599973</v>
      </c>
      <c r="T124">
        <v>518.36510922999992</v>
      </c>
      <c r="U124">
        <v>0</v>
      </c>
      <c r="V124">
        <v>10310.723713171001</v>
      </c>
      <c r="W124">
        <v>0</v>
      </c>
      <c r="Y124" t="str">
        <f>$A124 &amp; Keys!$C$8 &amp; $B124</f>
        <v>Illinois|Industry SO2</v>
      </c>
      <c r="Z124" s="8">
        <f>IFERROR(INDEX($U124:$W124, MATCH(INDEX(Runs!$D:$D, MATCH($B124, Runs!$A:$A, 0)), $U$1:$W$1, 0)), 0)</f>
        <v>10310.723713171001</v>
      </c>
      <c r="AA124" s="8">
        <f t="shared" si="4"/>
        <v>4.3962866803516909E-3</v>
      </c>
      <c r="AB124" s="8">
        <f>IFERROR(VLOOKUP(INDEX(Runs!$F:$F, MATCH($B124, Runs!$A:$A, 0)), US_national_yearly!$D:$AM, MATCH(Keys!$C$7, US_national_yearly!$D$1:$AM$1, 0), FALSE), 0)</f>
        <v>5.3000351638639942E-3</v>
      </c>
      <c r="AC124" s="8">
        <f t="shared" si="5"/>
        <v>0.82948254953587419</v>
      </c>
      <c r="AD124">
        <f>IF($Z124&lt;Keys!$C$3, 1, 0)</f>
        <v>0</v>
      </c>
      <c r="AE124">
        <f>IF($AC124&gt;Keys!$C$4, 1, 0)</f>
        <v>0</v>
      </c>
      <c r="AF124">
        <f>IF($AC124&lt;Keys!$C$5, 1, 0)</f>
        <v>0</v>
      </c>
      <c r="AG124">
        <f t="shared" si="6"/>
        <v>0</v>
      </c>
      <c r="AH124" t="str">
        <f>IFERROR(INDEX(Runs!$E:$E, MATCH($B124, Runs!$A:$A, 0)), $B124)</f>
        <v>Industry SO2</v>
      </c>
      <c r="AI124" t="str">
        <f t="shared" si="7"/>
        <v>Industry SO2</v>
      </c>
      <c r="AJ124" t="str">
        <f>IF($AG124=1, IF($AD124=1, Keys!$C$9, "") &amp; IF($AE124=1, Keys!$C$10, "") &amp; IF($AF124=1, Keys!$C$11, ""), "")</f>
        <v/>
      </c>
      <c r="AK124">
        <f>IF($AG124=1, IFERROR(INDEX($AG$2:$AG$577, MATCH($A124 &amp; Keys!$C$8 &amp; $AH124, $Y$2:$Y$577, 0)), 1), 0)</f>
        <v>0</v>
      </c>
    </row>
    <row r="125" spans="1:37" x14ac:dyDescent="0.25">
      <c r="A125" t="s">
        <v>112</v>
      </c>
      <c r="B125" t="s">
        <v>253</v>
      </c>
      <c r="C125">
        <v>102</v>
      </c>
      <c r="D125">
        <v>79.231149347999974</v>
      </c>
      <c r="E125">
        <v>0.23064202062</v>
      </c>
      <c r="F125">
        <v>226.26788585700001</v>
      </c>
      <c r="G125">
        <v>304.69576561900021</v>
      </c>
      <c r="H125">
        <v>465.54765125199992</v>
      </c>
      <c r="I125">
        <v>6.2156202789999986</v>
      </c>
      <c r="J125">
        <v>38.733285135000003</v>
      </c>
      <c r="K125">
        <v>29157.238451392001</v>
      </c>
      <c r="L125">
        <v>4961.2358316690024</v>
      </c>
      <c r="M125">
        <v>9.772505350000003</v>
      </c>
      <c r="N125">
        <v>996.51130272800015</v>
      </c>
      <c r="O125">
        <v>25.900402218000011</v>
      </c>
      <c r="P125">
        <v>1.0538404132000001</v>
      </c>
      <c r="Q125">
        <v>2.431771526199999</v>
      </c>
      <c r="R125">
        <v>52.990749684000008</v>
      </c>
      <c r="S125">
        <v>673.84651661999987</v>
      </c>
      <c r="T125">
        <v>959.09412004500007</v>
      </c>
      <c r="U125">
        <v>0</v>
      </c>
      <c r="V125">
        <v>0</v>
      </c>
      <c r="W125">
        <v>37131.737992083014</v>
      </c>
      <c r="Y125" t="str">
        <f>$A125 &amp; Keys!$C$8 &amp; $B125</f>
        <v>Illinois|buildings NO2</v>
      </c>
      <c r="Z125" s="8">
        <f>IFERROR(INDEX($U125:$W125, MATCH(INDEX(Runs!$D:$D, MATCH($B125, Runs!$A:$A, 0)), $U$1:$W$1, 0)), 0)</f>
        <v>37131.737992083014</v>
      </c>
      <c r="AA125" s="8">
        <f t="shared" si="4"/>
        <v>2.1337851022457696E-3</v>
      </c>
      <c r="AB125" s="8">
        <f>IFERROR(VLOOKUP(INDEX(Runs!$F:$F, MATCH($B125, Runs!$A:$A, 0)), US_national_yearly!$D:$AM, MATCH(Keys!$C$7, US_national_yearly!$D$1:$AM$1, 0), FALSE), 0)</f>
        <v>5.6784740124662739E-3</v>
      </c>
      <c r="AC125" s="8">
        <f t="shared" si="5"/>
        <v>0.37576734481153756</v>
      </c>
      <c r="AD125">
        <f>IF($Z125&lt;Keys!$C$3, 1, 0)</f>
        <v>0</v>
      </c>
      <c r="AE125">
        <f>IF($AC125&gt;Keys!$C$4, 1, 0)</f>
        <v>0</v>
      </c>
      <c r="AF125">
        <f>IF($AC125&lt;Keys!$C$5, 1, 0)</f>
        <v>0</v>
      </c>
      <c r="AG125">
        <f t="shared" si="6"/>
        <v>0</v>
      </c>
      <c r="AH125" t="str">
        <f>IFERROR(INDEX(Runs!$E:$E, MATCH($B125, Runs!$A:$A, 0)), $B125)</f>
        <v>Industry NO2</v>
      </c>
      <c r="AI125" t="str">
        <f t="shared" si="7"/>
        <v>buildings NO2</v>
      </c>
      <c r="AJ125" t="str">
        <f>IF($AG125=1, IF($AD125=1, Keys!$C$9, "") &amp; IF($AE125=1, Keys!$C$10, "") &amp; IF($AF125=1, Keys!$C$11, ""), "")</f>
        <v/>
      </c>
      <c r="AK125">
        <f>IF($AG125=1, IFERROR(INDEX($AG$2:$AG$577, MATCH($A125 &amp; Keys!$C$8 &amp; $AH125, $Y$2:$Y$577, 0)), 1), 0)</f>
        <v>0</v>
      </c>
    </row>
    <row r="126" spans="1:37" x14ac:dyDescent="0.25">
      <c r="A126" t="s">
        <v>112</v>
      </c>
      <c r="B126" t="s">
        <v>251</v>
      </c>
      <c r="C126">
        <v>102</v>
      </c>
      <c r="D126">
        <v>37.334955772999997</v>
      </c>
      <c r="E126">
        <v>0.10848522697100001</v>
      </c>
      <c r="F126">
        <v>107.108759445</v>
      </c>
      <c r="G126">
        <v>144.235979077</v>
      </c>
      <c r="H126">
        <v>220.37350792399991</v>
      </c>
      <c r="I126">
        <v>2.948214145400001</v>
      </c>
      <c r="J126">
        <v>18.378088911999999</v>
      </c>
      <c r="K126">
        <v>13838.228577948999</v>
      </c>
      <c r="L126">
        <v>2355.2577792359998</v>
      </c>
      <c r="M126">
        <v>4.6355845606000026</v>
      </c>
      <c r="N126">
        <v>471.71824644599991</v>
      </c>
      <c r="O126">
        <v>12.281882788000001</v>
      </c>
      <c r="P126">
        <v>0.49910146037000008</v>
      </c>
      <c r="Q126">
        <v>1.1533827565000001</v>
      </c>
      <c r="R126">
        <v>25.122710624</v>
      </c>
      <c r="S126">
        <v>319.43800141199978</v>
      </c>
      <c r="T126">
        <v>454.51234115599988</v>
      </c>
      <c r="U126">
        <v>613.40513459399972</v>
      </c>
      <c r="V126">
        <v>0</v>
      </c>
      <c r="W126">
        <v>0</v>
      </c>
      <c r="Y126" t="str">
        <f>$A126 &amp; Keys!$C$8 &amp; $B126</f>
        <v>Illinois|buildings PM25</v>
      </c>
      <c r="Z126" s="8">
        <f>IFERROR(INDEX($U126:$W126, MATCH(INDEX(Runs!$D:$D, MATCH($B126, Runs!$A:$A, 0)), $U$1:$W$1, 0)), 0)</f>
        <v>613.40513459399972</v>
      </c>
      <c r="AA126" s="8">
        <f t="shared" si="4"/>
        <v>6.0865085189923035E-2</v>
      </c>
      <c r="AB126" s="8">
        <f>IFERROR(VLOOKUP(INDEX(Runs!$F:$F, MATCH($B126, Runs!$A:$A, 0)), US_national_yearly!$D:$AM, MATCH(Keys!$C$7, US_national_yearly!$D$1:$AM$1, 0), FALSE), 0)</f>
        <v>2.7627705191843259E-2</v>
      </c>
      <c r="AC126" s="8">
        <f t="shared" si="5"/>
        <v>2.2030452680482746</v>
      </c>
      <c r="AD126">
        <f>IF($Z126&lt;Keys!$C$3, 1, 0)</f>
        <v>0</v>
      </c>
      <c r="AE126">
        <f>IF($AC126&gt;Keys!$C$4, 1, 0)</f>
        <v>0</v>
      </c>
      <c r="AF126">
        <f>IF($AC126&lt;Keys!$C$5, 1, 0)</f>
        <v>0</v>
      </c>
      <c r="AG126">
        <f t="shared" si="6"/>
        <v>0</v>
      </c>
      <c r="AH126" t="str">
        <f>IFERROR(INDEX(Runs!$E:$E, MATCH($B126, Runs!$A:$A, 0)), $B126)</f>
        <v>Industry PM25</v>
      </c>
      <c r="AI126" t="str">
        <f t="shared" si="7"/>
        <v>buildings PM25</v>
      </c>
      <c r="AJ126" t="str">
        <f>IF($AG126=1, IF($AD126=1, Keys!$C$9, "") &amp; IF($AE126=1, Keys!$C$10, "") &amp; IF($AF126=1, Keys!$C$11, ""), "")</f>
        <v/>
      </c>
      <c r="AK126">
        <f>IF($AG126=1, IFERROR(INDEX($AG$2:$AG$577, MATCH($A126 &amp; Keys!$C$8 &amp; $AH126, $Y$2:$Y$577, 0)), 1), 0)</f>
        <v>0</v>
      </c>
    </row>
    <row r="127" spans="1:37" x14ac:dyDescent="0.25">
      <c r="A127" t="s">
        <v>112</v>
      </c>
      <c r="B127" t="s">
        <v>254</v>
      </c>
      <c r="C127">
        <v>102</v>
      </c>
      <c r="D127">
        <v>11.995364786</v>
      </c>
      <c r="E127">
        <v>3.4558963409999997E-2</v>
      </c>
      <c r="F127">
        <v>33.559182935999978</v>
      </c>
      <c r="G127">
        <v>45.192218157999967</v>
      </c>
      <c r="H127">
        <v>69.046375812999997</v>
      </c>
      <c r="I127">
        <v>0.93224084890000047</v>
      </c>
      <c r="J127">
        <v>5.7841699610000008</v>
      </c>
      <c r="K127">
        <v>4323.0220884979999</v>
      </c>
      <c r="L127">
        <v>735.40656422300003</v>
      </c>
      <c r="M127">
        <v>1.457862324000001</v>
      </c>
      <c r="N127">
        <v>147.79777690700001</v>
      </c>
      <c r="O127">
        <v>3.839896546999999</v>
      </c>
      <c r="P127">
        <v>0.15598287014000001</v>
      </c>
      <c r="Q127">
        <v>0.35994757420000012</v>
      </c>
      <c r="R127">
        <v>7.8613249699999956</v>
      </c>
      <c r="S127">
        <v>99.941664941000042</v>
      </c>
      <c r="T127">
        <v>142.14700504999999</v>
      </c>
      <c r="U127">
        <v>0</v>
      </c>
      <c r="V127">
        <v>2144.0452129</v>
      </c>
      <c r="W127">
        <v>0</v>
      </c>
      <c r="Y127" t="str">
        <f>$A127 &amp; Keys!$C$8 &amp; $B127</f>
        <v>Illinois|buildings SO2</v>
      </c>
      <c r="Z127" s="8">
        <f>IFERROR(INDEX($U127:$W127, MATCH(INDEX(Runs!$D:$D, MATCH($B127, Runs!$A:$A, 0)), $U$1:$W$1, 0)), 0)</f>
        <v>2144.0452129</v>
      </c>
      <c r="AA127" s="8">
        <f t="shared" si="4"/>
        <v>5.5947349961782142E-3</v>
      </c>
      <c r="AB127" s="8">
        <f>IFERROR(VLOOKUP(INDEX(Runs!$F:$F, MATCH($B127, Runs!$A:$A, 0)), US_national_yearly!$D:$AM, MATCH(Keys!$C$7, US_national_yearly!$D$1:$AM$1, 0), FALSE), 0)</f>
        <v>5.1581943281164694E-3</v>
      </c>
      <c r="AC127" s="8">
        <f t="shared" si="5"/>
        <v>1.0846305199635915</v>
      </c>
      <c r="AD127">
        <f>IF($Z127&lt;Keys!$C$3, 1, 0)</f>
        <v>0</v>
      </c>
      <c r="AE127">
        <f>IF($AC127&gt;Keys!$C$4, 1, 0)</f>
        <v>0</v>
      </c>
      <c r="AF127">
        <f>IF($AC127&lt;Keys!$C$5, 1, 0)</f>
        <v>0</v>
      </c>
      <c r="AG127">
        <f t="shared" si="6"/>
        <v>0</v>
      </c>
      <c r="AH127" t="str">
        <f>IFERROR(INDEX(Runs!$E:$E, MATCH($B127, Runs!$A:$A, 0)), $B127)</f>
        <v>Industry SO2</v>
      </c>
      <c r="AI127" t="str">
        <f t="shared" si="7"/>
        <v>buildings SO2</v>
      </c>
      <c r="AJ127" t="str">
        <f>IF($AG127=1, IF($AD127=1, Keys!$C$9, "") &amp; IF($AE127=1, Keys!$C$10, "") &amp; IF($AF127=1, Keys!$C$11, ""), "")</f>
        <v/>
      </c>
      <c r="AK127">
        <f>IF($AG127=1, IFERROR(INDEX($AG$2:$AG$577, MATCH($A127 &amp; Keys!$C$8 &amp; $AH127, $Y$2:$Y$577, 0)), 1), 0)</f>
        <v>0</v>
      </c>
    </row>
    <row r="128" spans="1:37" x14ac:dyDescent="0.25">
      <c r="A128" t="s">
        <v>112</v>
      </c>
      <c r="B128" t="s">
        <v>249</v>
      </c>
      <c r="C128">
        <v>102</v>
      </c>
      <c r="D128">
        <v>40.418758044999983</v>
      </c>
      <c r="E128">
        <v>0.1052501926</v>
      </c>
      <c r="F128">
        <v>97.196185199999988</v>
      </c>
      <c r="G128">
        <v>130.886721053</v>
      </c>
      <c r="H128">
        <v>199.98002231500001</v>
      </c>
      <c r="I128">
        <v>3.0139825260000008</v>
      </c>
      <c r="J128">
        <v>17.925792264999991</v>
      </c>
      <c r="K128">
        <v>12051.086754702999</v>
      </c>
      <c r="L128">
        <v>2036.661753094</v>
      </c>
      <c r="M128">
        <v>4.514079393000002</v>
      </c>
      <c r="N128">
        <v>428.06292856800002</v>
      </c>
      <c r="O128">
        <v>10.955366542000011</v>
      </c>
      <c r="P128">
        <v>0.44807019839999979</v>
      </c>
      <c r="Q128">
        <v>1.0369360009999999</v>
      </c>
      <c r="R128">
        <v>22.595780552000001</v>
      </c>
      <c r="S128">
        <v>287.300062088</v>
      </c>
      <c r="T128">
        <v>408.79722184499991</v>
      </c>
      <c r="U128">
        <v>0</v>
      </c>
      <c r="V128">
        <v>0</v>
      </c>
      <c r="W128">
        <v>32047.049707472012</v>
      </c>
      <c r="Y128" t="str">
        <f>$A128 &amp; Keys!$C$8 &amp; $B128</f>
        <v>Illinois|electricity NO2</v>
      </c>
      <c r="Z128" s="8">
        <f>IFERROR(INDEX($U128:$W128, MATCH(INDEX(Runs!$D:$D, MATCH($B128, Runs!$A:$A, 0)), $U$1:$W$1, 0)), 0)</f>
        <v>32047.049707472012</v>
      </c>
      <c r="AA128" s="8">
        <f t="shared" si="4"/>
        <v>1.2612317955613881E-3</v>
      </c>
      <c r="AB128" s="8">
        <f>IFERROR(VLOOKUP(INDEX(Runs!$F:$F, MATCH($B128, Runs!$A:$A, 0)), US_national_yearly!$D:$AM, MATCH(Keys!$C$7, US_national_yearly!$D$1:$AM$1, 0), FALSE), 0)</f>
        <v>6.1439221592658041E-3</v>
      </c>
      <c r="AC128" s="8">
        <f t="shared" si="5"/>
        <v>0.20528121334663926</v>
      </c>
      <c r="AD128">
        <f>IF($Z128&lt;Keys!$C$3, 1, 0)</f>
        <v>0</v>
      </c>
      <c r="AE128">
        <f>IF($AC128&gt;Keys!$C$4, 1, 0)</f>
        <v>0</v>
      </c>
      <c r="AF128">
        <f>IF($AC128&lt;Keys!$C$5, 1, 0)</f>
        <v>0</v>
      </c>
      <c r="AG128">
        <f t="shared" si="6"/>
        <v>0</v>
      </c>
      <c r="AH128" t="str">
        <f>IFERROR(INDEX(Runs!$E:$E, MATCH($B128, Runs!$A:$A, 0)), $B128)</f>
        <v>Industry NO2</v>
      </c>
      <c r="AI128" t="str">
        <f t="shared" si="7"/>
        <v>electricity NO2</v>
      </c>
      <c r="AJ128" t="str">
        <f>IF($AG128=1, IF($AD128=1, Keys!$C$9, "") &amp; IF($AE128=1, Keys!$C$10, "") &amp; IF($AF128=1, Keys!$C$11, ""), "")</f>
        <v/>
      </c>
      <c r="AK128">
        <f>IF($AG128=1, IFERROR(INDEX($AG$2:$AG$577, MATCH($A128 &amp; Keys!$C$8 &amp; $AH128, $Y$2:$Y$577, 0)), 1), 0)</f>
        <v>0</v>
      </c>
    </row>
    <row r="129" spans="1:37" x14ac:dyDescent="0.25">
      <c r="A129" t="s">
        <v>112</v>
      </c>
      <c r="B129" t="s">
        <v>247</v>
      </c>
      <c r="C129">
        <v>102</v>
      </c>
      <c r="D129">
        <v>17.659021200000002</v>
      </c>
      <c r="E129">
        <v>4.7006350739999987E-2</v>
      </c>
      <c r="F129">
        <v>46.592212992999968</v>
      </c>
      <c r="G129">
        <v>62.74291833300002</v>
      </c>
      <c r="H129">
        <v>95.861463120000025</v>
      </c>
      <c r="I129">
        <v>1.364580326</v>
      </c>
      <c r="J129">
        <v>8.3010116460000027</v>
      </c>
      <c r="K129">
        <v>5822.7370280600007</v>
      </c>
      <c r="L129">
        <v>985.02452513900027</v>
      </c>
      <c r="M129">
        <v>2.088923368000001</v>
      </c>
      <c r="N129">
        <v>205.19659444600001</v>
      </c>
      <c r="O129">
        <v>5.2549694980000021</v>
      </c>
      <c r="P129">
        <v>0.21533166819999999</v>
      </c>
      <c r="Q129">
        <v>0.49831988430000002</v>
      </c>
      <c r="R129">
        <v>10.83365871399999</v>
      </c>
      <c r="S129">
        <v>137.739422236</v>
      </c>
      <c r="T129">
        <v>195.93689161300011</v>
      </c>
      <c r="U129">
        <v>1347.5848270450001</v>
      </c>
      <c r="V129">
        <v>0</v>
      </c>
      <c r="W129">
        <v>0</v>
      </c>
      <c r="Y129" t="str">
        <f>$A129 &amp; Keys!$C$8 &amp; $B129</f>
        <v>Illinois|electricity PM25</v>
      </c>
      <c r="Z129" s="8">
        <f>IFERROR(INDEX($U129:$W129, MATCH(INDEX(Runs!$D:$D, MATCH($B129, Runs!$A:$A, 0)), $U$1:$W$1, 0)), 0)</f>
        <v>1347.5848270450001</v>
      </c>
      <c r="AA129" s="8">
        <f t="shared" si="4"/>
        <v>1.3104200081209664E-2</v>
      </c>
      <c r="AB129" s="8">
        <f>IFERROR(VLOOKUP(INDEX(Runs!$F:$F, MATCH($B129, Runs!$A:$A, 0)), US_national_yearly!$D:$AM, MATCH(Keys!$C$7, US_national_yearly!$D$1:$AM$1, 0), FALSE), 0)</f>
        <v>2.4252978284752182E-2</v>
      </c>
      <c r="AC129" s="8">
        <f t="shared" si="5"/>
        <v>0.54031302577994134</v>
      </c>
      <c r="AD129">
        <f>IF($Z129&lt;Keys!$C$3, 1, 0)</f>
        <v>0</v>
      </c>
      <c r="AE129">
        <f>IF($AC129&gt;Keys!$C$4, 1, 0)</f>
        <v>0</v>
      </c>
      <c r="AF129">
        <f>IF($AC129&lt;Keys!$C$5, 1, 0)</f>
        <v>0</v>
      </c>
      <c r="AG129">
        <f t="shared" si="6"/>
        <v>0</v>
      </c>
      <c r="AH129" t="str">
        <f>IFERROR(INDEX(Runs!$E:$E, MATCH($B129, Runs!$A:$A, 0)), $B129)</f>
        <v>Industry PM25</v>
      </c>
      <c r="AI129" t="str">
        <f t="shared" si="7"/>
        <v>electricity PM25</v>
      </c>
      <c r="AJ129" t="str">
        <f>IF($AG129=1, IF($AD129=1, Keys!$C$9, "") &amp; IF($AE129=1, Keys!$C$10, "") &amp; IF($AF129=1, Keys!$C$11, ""), "")</f>
        <v/>
      </c>
      <c r="AK129">
        <f>IF($AG129=1, IFERROR(INDEX($AG$2:$AG$577, MATCH($A129 &amp; Keys!$C$8 &amp; $AH129, $Y$2:$Y$577, 0)), 1), 0)</f>
        <v>0</v>
      </c>
    </row>
    <row r="130" spans="1:37" x14ac:dyDescent="0.25">
      <c r="A130" t="s">
        <v>112</v>
      </c>
      <c r="B130" t="s">
        <v>250</v>
      </c>
      <c r="C130">
        <v>102</v>
      </c>
      <c r="D130">
        <v>15.94654657700001</v>
      </c>
      <c r="E130">
        <v>4.1552413440000019E-2</v>
      </c>
      <c r="F130">
        <v>39.898130441999989</v>
      </c>
      <c r="G130">
        <v>53.728450720000033</v>
      </c>
      <c r="H130">
        <v>82.088578047000041</v>
      </c>
      <c r="I130">
        <v>1.2079041349999999</v>
      </c>
      <c r="J130">
        <v>7.2672465769999999</v>
      </c>
      <c r="K130">
        <v>5000.476646639002</v>
      </c>
      <c r="L130">
        <v>845.7985672970002</v>
      </c>
      <c r="M130">
        <v>1.8290218060000001</v>
      </c>
      <c r="N130">
        <v>175.71515920900001</v>
      </c>
      <c r="O130">
        <v>4.5161210570000012</v>
      </c>
      <c r="P130">
        <v>0.18402559830000001</v>
      </c>
      <c r="Q130">
        <v>0.4283238008000001</v>
      </c>
      <c r="R130">
        <v>9.2761834689999958</v>
      </c>
      <c r="S130">
        <v>117.931580012</v>
      </c>
      <c r="T130">
        <v>167.74331075800001</v>
      </c>
      <c r="U130">
        <v>0</v>
      </c>
      <c r="V130">
        <v>25397.33360677</v>
      </c>
      <c r="W130">
        <v>0</v>
      </c>
      <c r="Y130" t="str">
        <f>$A130 &amp; Keys!$C$8 &amp; $B130</f>
        <v>Illinois|electricity SO2</v>
      </c>
      <c r="Z130" s="8">
        <f>IFERROR(INDEX($U130:$W130, MATCH(INDEX(Runs!$D:$D, MATCH($B130, Runs!$A:$A, 0)), $U$1:$W$1, 0)), 0)</f>
        <v>25397.33360677</v>
      </c>
      <c r="AA130" s="8">
        <f t="shared" ref="AA130:AA193" si="8">IFERROR($D130/$Z130, 0)</f>
        <v>6.2788270705509196E-4</v>
      </c>
      <c r="AB130" s="8">
        <f>IFERROR(VLOOKUP(INDEX(Runs!$F:$F, MATCH($B130, Runs!$A:$A, 0)), US_national_yearly!$D:$AM, MATCH(Keys!$C$7, US_national_yearly!$D$1:$AM$1, 0), FALSE), 0)</f>
        <v>5.7032329662362116E-3</v>
      </c>
      <c r="AC130" s="8">
        <f t="shared" ref="AC130:AC193" si="9">IFERROR($AA130/$AB130, 0)</f>
        <v>0.1100924178921375</v>
      </c>
      <c r="AD130">
        <f>IF($Z130&lt;Keys!$C$3, 1, 0)</f>
        <v>0</v>
      </c>
      <c r="AE130">
        <f>IF($AC130&gt;Keys!$C$4, 1, 0)</f>
        <v>0</v>
      </c>
      <c r="AF130">
        <f>IF($AC130&lt;Keys!$C$5, 1, 0)</f>
        <v>0</v>
      </c>
      <c r="AG130">
        <f t="shared" ref="AG130:AG193" si="10">IF($AD130+$AE130+$AF130&gt;0, 1, 0)</f>
        <v>0</v>
      </c>
      <c r="AH130" t="str">
        <f>IFERROR(INDEX(Runs!$E:$E, MATCH($B130, Runs!$A:$A, 0)), $B130)</f>
        <v>Industry SO2</v>
      </c>
      <c r="AI130" t="str">
        <f t="shared" ref="AI130:AI193" si="11">IF($AG130=1, $AH130, $B130)</f>
        <v>electricity SO2</v>
      </c>
      <c r="AJ130" t="str">
        <f>IF($AG130=1, IF($AD130=1, Keys!$C$9, "") &amp; IF($AE130=1, Keys!$C$10, "") &amp; IF($AF130=1, Keys!$C$11, ""), "")</f>
        <v/>
      </c>
      <c r="AK130">
        <f>IF($AG130=1, IFERROR(INDEX($AG$2:$AG$577, MATCH($A130 &amp; Keys!$C$8 &amp; $AH130, $Y$2:$Y$577, 0)), 1), 0)</f>
        <v>0</v>
      </c>
    </row>
    <row r="131" spans="1:37" x14ac:dyDescent="0.25">
      <c r="A131" t="s">
        <v>112</v>
      </c>
      <c r="B131" t="s">
        <v>239</v>
      </c>
      <c r="C131">
        <v>102</v>
      </c>
      <c r="D131">
        <v>217.76260199800009</v>
      </c>
      <c r="E131">
        <v>0.62299609349999974</v>
      </c>
      <c r="F131">
        <v>614.03761644799954</v>
      </c>
      <c r="G131">
        <v>826.84412664999968</v>
      </c>
      <c r="H131">
        <v>1263.443878416</v>
      </c>
      <c r="I131">
        <v>17.05174967300001</v>
      </c>
      <c r="J131">
        <v>105.690704453</v>
      </c>
      <c r="K131">
        <v>78838.329348775966</v>
      </c>
      <c r="L131">
        <v>13404.647455328</v>
      </c>
      <c r="M131">
        <v>26.695406100999989</v>
      </c>
      <c r="N131">
        <v>2704.325621514</v>
      </c>
      <c r="O131">
        <v>70.167326688999992</v>
      </c>
      <c r="P131">
        <v>2.8552187826000002</v>
      </c>
      <c r="Q131">
        <v>6.5997621130000024</v>
      </c>
      <c r="R131">
        <v>143.292721801</v>
      </c>
      <c r="S131">
        <v>1822.832941101999</v>
      </c>
      <c r="T131">
        <v>2597.3389757900009</v>
      </c>
      <c r="U131">
        <v>0</v>
      </c>
      <c r="V131">
        <v>0</v>
      </c>
      <c r="W131">
        <v>135625.01060569001</v>
      </c>
      <c r="Y131" t="str">
        <f>$A131 &amp; Keys!$C$8 &amp; $B131</f>
        <v>Illinois|transportation NO2</v>
      </c>
      <c r="Z131" s="8">
        <f>IFERROR(INDEX($U131:$W131, MATCH(INDEX(Runs!$D:$D, MATCH($B131, Runs!$A:$A, 0)), $U$1:$W$1, 0)), 0)</f>
        <v>135625.01060569001</v>
      </c>
      <c r="AA131" s="8">
        <f t="shared" si="8"/>
        <v>1.6056227463171462E-3</v>
      </c>
      <c r="AB131" s="8">
        <f>IFERROR(VLOOKUP(INDEX(Runs!$F:$F, MATCH($B131, Runs!$A:$A, 0)), US_national_yearly!$D:$AM, MATCH(Keys!$C$7, US_national_yearly!$D$1:$AM$1, 0), FALSE), 0)</f>
        <v>5.7148835886332216E-3</v>
      </c>
      <c r="AC131" s="8">
        <f t="shared" si="9"/>
        <v>0.28095458488615493</v>
      </c>
      <c r="AD131">
        <f>IF($Z131&lt;Keys!$C$3, 1, 0)</f>
        <v>0</v>
      </c>
      <c r="AE131">
        <f>IF($AC131&gt;Keys!$C$4, 1, 0)</f>
        <v>0</v>
      </c>
      <c r="AF131">
        <f>IF($AC131&lt;Keys!$C$5, 1, 0)</f>
        <v>0</v>
      </c>
      <c r="AG131">
        <f t="shared" si="10"/>
        <v>0</v>
      </c>
      <c r="AH131" t="str">
        <f>IFERROR(INDEX(Runs!$E:$E, MATCH($B131, Runs!$A:$A, 0)), $B131)</f>
        <v>Industry NO2</v>
      </c>
      <c r="AI131" t="str">
        <f t="shared" si="11"/>
        <v>transportation NO2</v>
      </c>
      <c r="AJ131" t="str">
        <f>IF($AG131=1, IF($AD131=1, Keys!$C$9, "") &amp; IF($AE131=1, Keys!$C$10, "") &amp; IF($AF131=1, Keys!$C$11, ""), "")</f>
        <v/>
      </c>
      <c r="AK131">
        <f>IF($AG131=1, IFERROR(INDEX($AG$2:$AG$577, MATCH($A131 &amp; Keys!$C$8 &amp; $AH131, $Y$2:$Y$577, 0)), 1), 0)</f>
        <v>0</v>
      </c>
    </row>
    <row r="132" spans="1:37" x14ac:dyDescent="0.25">
      <c r="A132" t="s">
        <v>112</v>
      </c>
      <c r="B132" t="s">
        <v>234</v>
      </c>
      <c r="C132">
        <v>102</v>
      </c>
      <c r="D132">
        <v>152.376339059</v>
      </c>
      <c r="E132">
        <v>0.43351875170000009</v>
      </c>
      <c r="F132">
        <v>433.28414026199988</v>
      </c>
      <c r="G132">
        <v>583.45621464799979</v>
      </c>
      <c r="H132">
        <v>891.50689162000015</v>
      </c>
      <c r="I132">
        <v>12.051706764</v>
      </c>
      <c r="J132">
        <v>74.772080260999971</v>
      </c>
      <c r="K132">
        <v>55699.508520744028</v>
      </c>
      <c r="L132">
        <v>9469.1667934409907</v>
      </c>
      <c r="M132">
        <v>18.874131040999998</v>
      </c>
      <c r="N132">
        <v>1908.24724653</v>
      </c>
      <c r="O132">
        <v>49.552888453999998</v>
      </c>
      <c r="P132">
        <v>2.015100324500001</v>
      </c>
      <c r="Q132">
        <v>4.6682169719999971</v>
      </c>
      <c r="R132">
        <v>101.2252638060001</v>
      </c>
      <c r="S132">
        <v>1287.5277314980001</v>
      </c>
      <c r="T132">
        <v>1833.789203134</v>
      </c>
      <c r="U132">
        <v>3352.556692138</v>
      </c>
      <c r="V132">
        <v>0</v>
      </c>
      <c r="W132">
        <v>0</v>
      </c>
      <c r="Y132" t="str">
        <f>$A132 &amp; Keys!$C$8 &amp; $B132</f>
        <v>Illinois|transportation PM25</v>
      </c>
      <c r="Z132" s="8">
        <f>IFERROR(INDEX($U132:$W132, MATCH(INDEX(Runs!$D:$D, MATCH($B132, Runs!$A:$A, 0)), $U$1:$W$1, 0)), 0)</f>
        <v>3352.556692138</v>
      </c>
      <c r="AA132" s="8">
        <f t="shared" si="8"/>
        <v>4.545078668358811E-2</v>
      </c>
      <c r="AB132" s="8">
        <f>IFERROR(VLOOKUP(INDEX(Runs!$F:$F, MATCH($B132, Runs!$A:$A, 0)), US_national_yearly!$D:$AM, MATCH(Keys!$C$7, US_national_yearly!$D$1:$AM$1, 0), FALSE), 0)</f>
        <v>2.8248683697579859E-2</v>
      </c>
      <c r="AC132" s="8">
        <f t="shared" si="9"/>
        <v>1.6089523735041149</v>
      </c>
      <c r="AD132">
        <f>IF($Z132&lt;Keys!$C$3, 1, 0)</f>
        <v>0</v>
      </c>
      <c r="AE132">
        <f>IF($AC132&gt;Keys!$C$4, 1, 0)</f>
        <v>0</v>
      </c>
      <c r="AF132">
        <f>IF($AC132&lt;Keys!$C$5, 1, 0)</f>
        <v>0</v>
      </c>
      <c r="AG132">
        <f t="shared" si="10"/>
        <v>0</v>
      </c>
      <c r="AH132" t="str">
        <f>IFERROR(INDEX(Runs!$E:$E, MATCH($B132, Runs!$A:$A, 0)), $B132)</f>
        <v>Industry PM25</v>
      </c>
      <c r="AI132" t="str">
        <f t="shared" si="11"/>
        <v>transportation PM25</v>
      </c>
      <c r="AJ132" t="str">
        <f>IF($AG132=1, IF($AD132=1, Keys!$C$9, "") &amp; IF($AE132=1, Keys!$C$10, "") &amp; IF($AF132=1, Keys!$C$11, ""), "")</f>
        <v/>
      </c>
      <c r="AK132">
        <f>IF($AG132=1, IFERROR(INDEX($AG$2:$AG$577, MATCH($A132 &amp; Keys!$C$8 &amp; $AH132, $Y$2:$Y$577, 0)), 1), 0)</f>
        <v>0</v>
      </c>
    </row>
    <row r="133" spans="1:37" x14ac:dyDescent="0.25">
      <c r="A133" t="s">
        <v>112</v>
      </c>
      <c r="B133" t="s">
        <v>243</v>
      </c>
      <c r="C133">
        <v>102</v>
      </c>
      <c r="D133">
        <v>12.092131192</v>
      </c>
      <c r="E133">
        <v>3.6385346595E-2</v>
      </c>
      <c r="F133">
        <v>34.633631035000043</v>
      </c>
      <c r="G133">
        <v>46.639066572000011</v>
      </c>
      <c r="H133">
        <v>71.257099988999954</v>
      </c>
      <c r="I133">
        <v>0.93737027849999977</v>
      </c>
      <c r="J133">
        <v>5.8699046619999988</v>
      </c>
      <c r="K133">
        <v>4485.8328202949997</v>
      </c>
      <c r="L133">
        <v>764.54142770899966</v>
      </c>
      <c r="M133">
        <v>1.480858110700001</v>
      </c>
      <c r="N133">
        <v>152.52979759600001</v>
      </c>
      <c r="O133">
        <v>3.9752138542000011</v>
      </c>
      <c r="P133">
        <v>0.16174605157999991</v>
      </c>
      <c r="Q133">
        <v>0.37111260552999992</v>
      </c>
      <c r="R133">
        <v>8.1455745039000007</v>
      </c>
      <c r="S133">
        <v>103.553959288</v>
      </c>
      <c r="T133">
        <v>147.283640518</v>
      </c>
      <c r="U133">
        <v>0</v>
      </c>
      <c r="V133">
        <v>1129.862323649</v>
      </c>
      <c r="W133">
        <v>0</v>
      </c>
      <c r="Y133" t="str">
        <f>$A133 &amp; Keys!$C$8 &amp; $B133</f>
        <v>Illinois|transportation SO2</v>
      </c>
      <c r="Z133" s="8">
        <f>IFERROR(INDEX($U133:$W133, MATCH(INDEX(Runs!$D:$D, MATCH($B133, Runs!$A:$A, 0)), $U$1:$W$1, 0)), 0)</f>
        <v>1129.862323649</v>
      </c>
      <c r="AA133" s="8">
        <f t="shared" si="8"/>
        <v>1.070230499672499E-2</v>
      </c>
      <c r="AB133" s="8">
        <f>IFERROR(VLOOKUP(INDEX(Runs!$F:$F, MATCH($B133, Runs!$A:$A, 0)), US_national_yearly!$D:$AM, MATCH(Keys!$C$7, US_national_yearly!$D$1:$AM$1, 0), FALSE), 0)</f>
        <v>5.1800714166247604E-3</v>
      </c>
      <c r="AC133" s="8">
        <f t="shared" si="9"/>
        <v>2.0660535610334145</v>
      </c>
      <c r="AD133">
        <f>IF($Z133&lt;Keys!$C$3, 1, 0)</f>
        <v>0</v>
      </c>
      <c r="AE133">
        <f>IF($AC133&gt;Keys!$C$4, 1, 0)</f>
        <v>0</v>
      </c>
      <c r="AF133">
        <f>IF($AC133&lt;Keys!$C$5, 1, 0)</f>
        <v>0</v>
      </c>
      <c r="AG133">
        <f t="shared" si="10"/>
        <v>0</v>
      </c>
      <c r="AH133" t="str">
        <f>IFERROR(INDEX(Runs!$E:$E, MATCH($B133, Runs!$A:$A, 0)), $B133)</f>
        <v>Industry SO2</v>
      </c>
      <c r="AI133" t="str">
        <f t="shared" si="11"/>
        <v>transportation SO2</v>
      </c>
      <c r="AJ133" t="str">
        <f>IF($AG133=1, IF($AD133=1, Keys!$C$9, "") &amp; IF($AE133=1, Keys!$C$10, "") &amp; IF($AF133=1, Keys!$C$11, ""), "")</f>
        <v/>
      </c>
      <c r="AK133">
        <f>IF($AG133=1, IFERROR(INDEX($AG$2:$AG$577, MATCH($A133 &amp; Keys!$C$8 &amp; $AH133, $Y$2:$Y$577, 0)), 1), 0)</f>
        <v>0</v>
      </c>
    </row>
    <row r="134" spans="1:37" x14ac:dyDescent="0.25">
      <c r="A134" t="s">
        <v>116</v>
      </c>
      <c r="B134" t="s">
        <v>242</v>
      </c>
      <c r="C134">
        <v>92</v>
      </c>
      <c r="D134">
        <v>32.082241014999987</v>
      </c>
      <c r="E134">
        <v>8.3964532299999978E-2</v>
      </c>
      <c r="F134">
        <v>74.528934366000001</v>
      </c>
      <c r="G134">
        <v>100.361896304</v>
      </c>
      <c r="H134">
        <v>153.34355676199999</v>
      </c>
      <c r="I134">
        <v>2.2640132830000002</v>
      </c>
      <c r="J134">
        <v>13.371164593</v>
      </c>
      <c r="K134">
        <v>8835.3616959350002</v>
      </c>
      <c r="L134">
        <v>1488.680976051</v>
      </c>
      <c r="M134">
        <v>3.366018582000001</v>
      </c>
      <c r="N134">
        <v>328.23438743200001</v>
      </c>
      <c r="O134">
        <v>5.2444956539999978</v>
      </c>
      <c r="P134">
        <v>0.34384999340000022</v>
      </c>
      <c r="Q134">
        <v>0.76397116699999967</v>
      </c>
      <c r="R134">
        <v>17.301116536999992</v>
      </c>
      <c r="S134">
        <v>219.933100747</v>
      </c>
      <c r="T134">
        <v>312.85426378499977</v>
      </c>
      <c r="U134">
        <v>0</v>
      </c>
      <c r="V134">
        <v>0</v>
      </c>
      <c r="W134">
        <v>40870.376949035002</v>
      </c>
      <c r="Y134" t="str">
        <f>$A134 &amp; Keys!$C$8 &amp; $B134</f>
        <v>Indiana|Industry NO2</v>
      </c>
      <c r="Z134" s="8">
        <f>IFERROR(INDEX($U134:$W134, MATCH(INDEX(Runs!$D:$D, MATCH($B134, Runs!$A:$A, 0)), $U$1:$W$1, 0)), 0)</f>
        <v>40870.376949035002</v>
      </c>
      <c r="AA134" s="8">
        <f t="shared" si="8"/>
        <v>7.8497541275448124E-4</v>
      </c>
      <c r="AB134" s="8">
        <f>IFERROR(VLOOKUP(INDEX(Runs!$F:$F, MATCH($B134, Runs!$A:$A, 0)), US_national_yearly!$D:$AM, MATCH(Keys!$C$7, US_national_yearly!$D$1:$AM$1, 0), FALSE), 0)</f>
        <v>5.8012217057786938E-3</v>
      </c>
      <c r="AC134" s="8">
        <f t="shared" si="9"/>
        <v>0.135312086413204</v>
      </c>
      <c r="AD134">
        <f>IF($Z134&lt;Keys!$C$3, 1, 0)</f>
        <v>0</v>
      </c>
      <c r="AE134">
        <f>IF($AC134&gt;Keys!$C$4, 1, 0)</f>
        <v>0</v>
      </c>
      <c r="AF134">
        <f>IF($AC134&lt;Keys!$C$5, 1, 0)</f>
        <v>0</v>
      </c>
      <c r="AG134">
        <f t="shared" si="10"/>
        <v>0</v>
      </c>
      <c r="AH134" t="str">
        <f>IFERROR(INDEX(Runs!$E:$E, MATCH($B134, Runs!$A:$A, 0)), $B134)</f>
        <v>Industry NO2</v>
      </c>
      <c r="AI134" t="str">
        <f t="shared" si="11"/>
        <v>Industry NO2</v>
      </c>
      <c r="AJ134" t="str">
        <f>IF($AG134=1, IF($AD134=1, Keys!$C$9, "") &amp; IF($AE134=1, Keys!$C$10, "") &amp; IF($AF134=1, Keys!$C$11, ""), "")</f>
        <v/>
      </c>
      <c r="AK134">
        <f>IF($AG134=1, IFERROR(INDEX($AG$2:$AG$577, MATCH($A134 &amp; Keys!$C$8 &amp; $AH134, $Y$2:$Y$577, 0)), 1), 0)</f>
        <v>0</v>
      </c>
    </row>
    <row r="135" spans="1:37" x14ac:dyDescent="0.25">
      <c r="A135" t="s">
        <v>116</v>
      </c>
      <c r="B135" t="s">
        <v>238</v>
      </c>
      <c r="C135">
        <v>92</v>
      </c>
      <c r="D135">
        <v>200.597073905</v>
      </c>
      <c r="E135">
        <v>0.57080944199999983</v>
      </c>
      <c r="F135">
        <v>493.65037405299978</v>
      </c>
      <c r="G135">
        <v>664.71123587500063</v>
      </c>
      <c r="H135">
        <v>1015.782042929</v>
      </c>
      <c r="I135">
        <v>14.059211454</v>
      </c>
      <c r="J135">
        <v>83.913454990999966</v>
      </c>
      <c r="K135">
        <v>57754.409878319988</v>
      </c>
      <c r="L135">
        <v>9761.2792295929958</v>
      </c>
      <c r="M135">
        <v>21.19041756399999</v>
      </c>
      <c r="N135">
        <v>2174.1436528570011</v>
      </c>
      <c r="O135">
        <v>29.887701865</v>
      </c>
      <c r="P135">
        <v>2.292651267000001</v>
      </c>
      <c r="Q135">
        <v>4.9285463399999987</v>
      </c>
      <c r="R135">
        <v>114.834624203</v>
      </c>
      <c r="S135">
        <v>1460.684337293</v>
      </c>
      <c r="T135">
        <v>2082.025973708</v>
      </c>
      <c r="U135">
        <v>12317.011543146</v>
      </c>
      <c r="V135">
        <v>0</v>
      </c>
      <c r="W135">
        <v>0</v>
      </c>
      <c r="Y135" t="str">
        <f>$A135 &amp; Keys!$C$8 &amp; $B135</f>
        <v>Indiana|Industry PM25</v>
      </c>
      <c r="Z135" s="8">
        <f>IFERROR(INDEX($U135:$W135, MATCH(INDEX(Runs!$D:$D, MATCH($B135, Runs!$A:$A, 0)), $U$1:$W$1, 0)), 0)</f>
        <v>12317.011543146</v>
      </c>
      <c r="AA135" s="8">
        <f t="shared" si="8"/>
        <v>1.6286180556242598E-2</v>
      </c>
      <c r="AB135" s="8">
        <f>IFERROR(VLOOKUP(INDEX(Runs!$F:$F, MATCH($B135, Runs!$A:$A, 0)), US_national_yearly!$D:$AM, MATCH(Keys!$C$7, US_national_yearly!$D$1:$AM$1, 0), FALSE), 0)</f>
        <v>2.6833191881203179E-2</v>
      </c>
      <c r="AC135" s="8">
        <f t="shared" si="9"/>
        <v>0.6069416053202068</v>
      </c>
      <c r="AD135">
        <f>IF($Z135&lt;Keys!$C$3, 1, 0)</f>
        <v>0</v>
      </c>
      <c r="AE135">
        <f>IF($AC135&gt;Keys!$C$4, 1, 0)</f>
        <v>0</v>
      </c>
      <c r="AF135">
        <f>IF($AC135&lt;Keys!$C$5, 1, 0)</f>
        <v>0</v>
      </c>
      <c r="AG135">
        <f t="shared" si="10"/>
        <v>0</v>
      </c>
      <c r="AH135" t="str">
        <f>IFERROR(INDEX(Runs!$E:$E, MATCH($B135, Runs!$A:$A, 0)), $B135)</f>
        <v>Industry PM25</v>
      </c>
      <c r="AI135" t="str">
        <f t="shared" si="11"/>
        <v>Industry PM25</v>
      </c>
      <c r="AJ135" t="str">
        <f>IF($AG135=1, IF($AD135=1, Keys!$C$9, "") &amp; IF($AE135=1, Keys!$C$10, "") &amp; IF($AF135=1, Keys!$C$11, ""), "")</f>
        <v/>
      </c>
      <c r="AK135">
        <f>IF($AG135=1, IFERROR(INDEX($AG$2:$AG$577, MATCH($A135 &amp; Keys!$C$8 &amp; $AH135, $Y$2:$Y$577, 0)), 1), 0)</f>
        <v>0</v>
      </c>
    </row>
    <row r="136" spans="1:37" x14ac:dyDescent="0.25">
      <c r="A136" t="s">
        <v>116</v>
      </c>
      <c r="B136" t="s">
        <v>246</v>
      </c>
      <c r="C136">
        <v>92</v>
      </c>
      <c r="D136">
        <v>21.53771497</v>
      </c>
      <c r="E136">
        <v>6.0341269599999997E-2</v>
      </c>
      <c r="F136">
        <v>52.06767135800002</v>
      </c>
      <c r="G136">
        <v>70.116067427000004</v>
      </c>
      <c r="H136">
        <v>107.12763398</v>
      </c>
      <c r="I136">
        <v>1.506719806</v>
      </c>
      <c r="J136">
        <v>8.9692268609999992</v>
      </c>
      <c r="K136">
        <v>6067.5716130999981</v>
      </c>
      <c r="L136">
        <v>1024.2662783200001</v>
      </c>
      <c r="M136">
        <v>2.2571732879999988</v>
      </c>
      <c r="N136">
        <v>229.3113727650001</v>
      </c>
      <c r="O136">
        <v>3.3608310370000001</v>
      </c>
      <c r="P136">
        <v>0.2417012895</v>
      </c>
      <c r="Q136">
        <v>0.51943181899999991</v>
      </c>
      <c r="R136">
        <v>12.155046312</v>
      </c>
      <c r="S136">
        <v>154.46584269900001</v>
      </c>
      <c r="T136">
        <v>219.56912703099999</v>
      </c>
      <c r="U136">
        <v>0</v>
      </c>
      <c r="V136">
        <v>19205.193195440988</v>
      </c>
      <c r="W136">
        <v>0</v>
      </c>
      <c r="Y136" t="str">
        <f>$A136 &amp; Keys!$C$8 &amp; $B136</f>
        <v>Indiana|Industry SO2</v>
      </c>
      <c r="Z136" s="8">
        <f>IFERROR(INDEX($U136:$W136, MATCH(INDEX(Runs!$D:$D, MATCH($B136, Runs!$A:$A, 0)), $U$1:$W$1, 0)), 0)</f>
        <v>19205.193195440988</v>
      </c>
      <c r="AA136" s="8">
        <f t="shared" si="8"/>
        <v>1.1214526587065374E-3</v>
      </c>
      <c r="AB136" s="8">
        <f>IFERROR(VLOOKUP(INDEX(Runs!$F:$F, MATCH($B136, Runs!$A:$A, 0)), US_national_yearly!$D:$AM, MATCH(Keys!$C$7, US_national_yearly!$D$1:$AM$1, 0), FALSE), 0)</f>
        <v>5.3000351638639942E-3</v>
      </c>
      <c r="AC136" s="8">
        <f t="shared" si="9"/>
        <v>0.21159343740824196</v>
      </c>
      <c r="AD136">
        <f>IF($Z136&lt;Keys!$C$3, 1, 0)</f>
        <v>0</v>
      </c>
      <c r="AE136">
        <f>IF($AC136&gt;Keys!$C$4, 1, 0)</f>
        <v>0</v>
      </c>
      <c r="AF136">
        <f>IF($AC136&lt;Keys!$C$5, 1, 0)</f>
        <v>0</v>
      </c>
      <c r="AG136">
        <f t="shared" si="10"/>
        <v>0</v>
      </c>
      <c r="AH136" t="str">
        <f>IFERROR(INDEX(Runs!$E:$E, MATCH($B136, Runs!$A:$A, 0)), $B136)</f>
        <v>Industry SO2</v>
      </c>
      <c r="AI136" t="str">
        <f t="shared" si="11"/>
        <v>Industry SO2</v>
      </c>
      <c r="AJ136" t="str">
        <f>IF($AG136=1, IF($AD136=1, Keys!$C$9, "") &amp; IF($AE136=1, Keys!$C$10, "") &amp; IF($AF136=1, Keys!$C$11, ""), "")</f>
        <v/>
      </c>
      <c r="AK136">
        <f>IF($AG136=1, IFERROR(INDEX($AG$2:$AG$577, MATCH($A136 &amp; Keys!$C$8 &amp; $AH136, $Y$2:$Y$577, 0)), 1), 0)</f>
        <v>0</v>
      </c>
    </row>
    <row r="137" spans="1:37" x14ac:dyDescent="0.25">
      <c r="A137" t="s">
        <v>116</v>
      </c>
      <c r="B137" t="s">
        <v>253</v>
      </c>
      <c r="C137">
        <v>92</v>
      </c>
      <c r="D137">
        <v>13.153060205999999</v>
      </c>
      <c r="E137">
        <v>4.1883960279999993E-2</v>
      </c>
      <c r="F137">
        <v>35.189931267000013</v>
      </c>
      <c r="G137">
        <v>47.38806321500001</v>
      </c>
      <c r="H137">
        <v>72.401947541000013</v>
      </c>
      <c r="I137">
        <v>0.91014893499999983</v>
      </c>
      <c r="J137">
        <v>5.5733400900000003</v>
      </c>
      <c r="K137">
        <v>4065.2712812880009</v>
      </c>
      <c r="L137">
        <v>689.69031030999997</v>
      </c>
      <c r="M137">
        <v>1.402708944</v>
      </c>
      <c r="N137">
        <v>154.97994202300001</v>
      </c>
      <c r="O137">
        <v>1.5656691810000001</v>
      </c>
      <c r="P137">
        <v>0.1649638839</v>
      </c>
      <c r="Q137">
        <v>0.33904189650000011</v>
      </c>
      <c r="R137">
        <v>8.2652014120000015</v>
      </c>
      <c r="S137">
        <v>105.012066606</v>
      </c>
      <c r="T137">
        <v>149.214499045</v>
      </c>
      <c r="U137">
        <v>0</v>
      </c>
      <c r="V137">
        <v>0</v>
      </c>
      <c r="W137">
        <v>11615.981279688</v>
      </c>
      <c r="Y137" t="str">
        <f>$A137 &amp; Keys!$C$8 &amp; $B137</f>
        <v>Indiana|buildings NO2</v>
      </c>
      <c r="Z137" s="8">
        <f>IFERROR(INDEX($U137:$W137, MATCH(INDEX(Runs!$D:$D, MATCH($B137, Runs!$A:$A, 0)), $U$1:$W$1, 0)), 0)</f>
        <v>11615.981279688</v>
      </c>
      <c r="AA137" s="8">
        <f t="shared" si="8"/>
        <v>1.1323245009872542E-3</v>
      </c>
      <c r="AB137" s="8">
        <f>IFERROR(VLOOKUP(INDEX(Runs!$F:$F, MATCH($B137, Runs!$A:$A, 0)), US_national_yearly!$D:$AM, MATCH(Keys!$C$7, US_national_yearly!$D$1:$AM$1, 0), FALSE), 0)</f>
        <v>5.6784740124662739E-3</v>
      </c>
      <c r="AC137" s="8">
        <f t="shared" si="9"/>
        <v>0.1994064776032079</v>
      </c>
      <c r="AD137">
        <f>IF($Z137&lt;Keys!$C$3, 1, 0)</f>
        <v>0</v>
      </c>
      <c r="AE137">
        <f>IF($AC137&gt;Keys!$C$4, 1, 0)</f>
        <v>0</v>
      </c>
      <c r="AF137">
        <f>IF($AC137&lt;Keys!$C$5, 1, 0)</f>
        <v>0</v>
      </c>
      <c r="AG137">
        <f t="shared" si="10"/>
        <v>0</v>
      </c>
      <c r="AH137" t="str">
        <f>IFERROR(INDEX(Runs!$E:$E, MATCH($B137, Runs!$A:$A, 0)), $B137)</f>
        <v>Industry NO2</v>
      </c>
      <c r="AI137" t="str">
        <f t="shared" si="11"/>
        <v>buildings NO2</v>
      </c>
      <c r="AJ137" t="str">
        <f>IF($AG137=1, IF($AD137=1, Keys!$C$9, "") &amp; IF($AE137=1, Keys!$C$10, "") &amp; IF($AF137=1, Keys!$C$11, ""), "")</f>
        <v/>
      </c>
      <c r="AK137">
        <f>IF($AG137=1, IFERROR(INDEX($AG$2:$AG$577, MATCH($A137 &amp; Keys!$C$8 &amp; $AH137, $Y$2:$Y$577, 0)), 1), 0)</f>
        <v>0</v>
      </c>
    </row>
    <row r="138" spans="1:37" x14ac:dyDescent="0.25">
      <c r="A138" t="s">
        <v>116</v>
      </c>
      <c r="B138" t="s">
        <v>251</v>
      </c>
      <c r="C138">
        <v>92</v>
      </c>
      <c r="D138">
        <v>1.7173236460000001</v>
      </c>
      <c r="E138">
        <v>5.3607433280000007E-3</v>
      </c>
      <c r="F138">
        <v>4.5471086959999996</v>
      </c>
      <c r="G138">
        <v>6.1233441819999994</v>
      </c>
      <c r="H138">
        <v>9.3554231820000009</v>
      </c>
      <c r="I138">
        <v>0.1197409609</v>
      </c>
      <c r="J138">
        <v>0.72833380599999997</v>
      </c>
      <c r="K138">
        <v>527.89742487300009</v>
      </c>
      <c r="L138">
        <v>89.463305298999956</v>
      </c>
      <c r="M138">
        <v>0.18338668799999991</v>
      </c>
      <c r="N138">
        <v>20.025876060000002</v>
      </c>
      <c r="O138">
        <v>0.23612551499000001</v>
      </c>
      <c r="P138">
        <v>2.1185894469999991E-2</v>
      </c>
      <c r="Q138">
        <v>4.3884614300000013E-2</v>
      </c>
      <c r="R138">
        <v>1.0583481450000001</v>
      </c>
      <c r="S138">
        <v>13.446951745</v>
      </c>
      <c r="T138">
        <v>19.106086711</v>
      </c>
      <c r="U138">
        <v>76.930782993999983</v>
      </c>
      <c r="V138">
        <v>0</v>
      </c>
      <c r="W138">
        <v>0</v>
      </c>
      <c r="Y138" t="str">
        <f>$A138 &amp; Keys!$C$8 &amp; $B138</f>
        <v>Indiana|buildings PM25</v>
      </c>
      <c r="Z138" s="8">
        <f>IFERROR(INDEX($U138:$W138, MATCH(INDEX(Runs!$D:$D, MATCH($B138, Runs!$A:$A, 0)), $U$1:$W$1, 0)), 0)</f>
        <v>76.930782993999983</v>
      </c>
      <c r="AA138" s="8">
        <f t="shared" si="8"/>
        <v>2.2322971106818686E-2</v>
      </c>
      <c r="AB138" s="8">
        <f>IFERROR(VLOOKUP(INDEX(Runs!$F:$F, MATCH($B138, Runs!$A:$A, 0)), US_national_yearly!$D:$AM, MATCH(Keys!$C$7, US_national_yearly!$D$1:$AM$1, 0), FALSE), 0)</f>
        <v>2.7627705191843259E-2</v>
      </c>
      <c r="AC138" s="8">
        <f t="shared" si="9"/>
        <v>0.80799222924274106</v>
      </c>
      <c r="AD138">
        <f>IF($Z138&lt;Keys!$C$3, 1, 0)</f>
        <v>0</v>
      </c>
      <c r="AE138">
        <f>IF($AC138&gt;Keys!$C$4, 1, 0)</f>
        <v>0</v>
      </c>
      <c r="AF138">
        <f>IF($AC138&lt;Keys!$C$5, 1, 0)</f>
        <v>0</v>
      </c>
      <c r="AG138">
        <f t="shared" si="10"/>
        <v>0</v>
      </c>
      <c r="AH138" t="str">
        <f>IFERROR(INDEX(Runs!$E:$E, MATCH($B138, Runs!$A:$A, 0)), $B138)</f>
        <v>Industry PM25</v>
      </c>
      <c r="AI138" t="str">
        <f t="shared" si="11"/>
        <v>buildings PM25</v>
      </c>
      <c r="AJ138" t="str">
        <f>IF($AG138=1, IF($AD138=1, Keys!$C$9, "") &amp; IF($AE138=1, Keys!$C$10, "") &amp; IF($AF138=1, Keys!$C$11, ""), "")</f>
        <v/>
      </c>
      <c r="AK138">
        <f>IF($AG138=1, IFERROR(INDEX($AG$2:$AG$577, MATCH($A138 &amp; Keys!$C$8 &amp; $AH138, $Y$2:$Y$577, 0)), 1), 0)</f>
        <v>0</v>
      </c>
    </row>
    <row r="139" spans="1:37" x14ac:dyDescent="0.25">
      <c r="A139" t="s">
        <v>116</v>
      </c>
      <c r="B139" t="s">
        <v>254</v>
      </c>
      <c r="C139">
        <v>92</v>
      </c>
      <c r="D139">
        <v>1.249182</v>
      </c>
      <c r="E139">
        <v>3.4990150600000009E-3</v>
      </c>
      <c r="F139">
        <v>3.1366540359999999</v>
      </c>
      <c r="G139">
        <v>4.2239625070000013</v>
      </c>
      <c r="H139">
        <v>6.4534892130000019</v>
      </c>
      <c r="I139">
        <v>8.8070200799999984E-2</v>
      </c>
      <c r="J139">
        <v>0.52664148699999991</v>
      </c>
      <c r="K139">
        <v>371.1051424229999</v>
      </c>
      <c r="L139">
        <v>62.732396397999977</v>
      </c>
      <c r="M139">
        <v>0.1326771075999999</v>
      </c>
      <c r="N139">
        <v>13.814105756</v>
      </c>
      <c r="O139">
        <v>0.18574926446000009</v>
      </c>
      <c r="P139">
        <v>1.4433305990000001E-2</v>
      </c>
      <c r="Q139">
        <v>3.0887520999999991E-2</v>
      </c>
      <c r="R139">
        <v>0.71683136900000033</v>
      </c>
      <c r="S139">
        <v>9.1085601860000001</v>
      </c>
      <c r="T139">
        <v>12.943711987</v>
      </c>
      <c r="U139">
        <v>0</v>
      </c>
      <c r="V139">
        <v>492.10714392300002</v>
      </c>
      <c r="W139">
        <v>0</v>
      </c>
      <c r="Y139" t="str">
        <f>$A139 &amp; Keys!$C$8 &amp; $B139</f>
        <v>Indiana|buildings SO2</v>
      </c>
      <c r="Z139" s="8">
        <f>IFERROR(INDEX($U139:$W139, MATCH(INDEX(Runs!$D:$D, MATCH($B139, Runs!$A:$A, 0)), $U$1:$W$1, 0)), 0)</f>
        <v>492.10714392300002</v>
      </c>
      <c r="AA139" s="8">
        <f t="shared" si="8"/>
        <v>2.5384350042995099E-3</v>
      </c>
      <c r="AB139" s="8">
        <f>IFERROR(VLOOKUP(INDEX(Runs!$F:$F, MATCH($B139, Runs!$A:$A, 0)), US_national_yearly!$D:$AM, MATCH(Keys!$C$7, US_national_yearly!$D$1:$AM$1, 0), FALSE), 0)</f>
        <v>5.1581943281164694E-3</v>
      </c>
      <c r="AC139" s="8">
        <f t="shared" si="9"/>
        <v>0.49211697792441006</v>
      </c>
      <c r="AD139">
        <f>IF($Z139&lt;Keys!$C$3, 1, 0)</f>
        <v>0</v>
      </c>
      <c r="AE139">
        <f>IF($AC139&gt;Keys!$C$4, 1, 0)</f>
        <v>0</v>
      </c>
      <c r="AF139">
        <f>IF($AC139&lt;Keys!$C$5, 1, 0)</f>
        <v>0</v>
      </c>
      <c r="AG139">
        <f t="shared" si="10"/>
        <v>0</v>
      </c>
      <c r="AH139" t="str">
        <f>IFERROR(INDEX(Runs!$E:$E, MATCH($B139, Runs!$A:$A, 0)), $B139)</f>
        <v>Industry SO2</v>
      </c>
      <c r="AI139" t="str">
        <f t="shared" si="11"/>
        <v>buildings SO2</v>
      </c>
      <c r="AJ139" t="str">
        <f>IF($AG139=1, IF($AD139=1, Keys!$C$9, "") &amp; IF($AE139=1, Keys!$C$10, "") &amp; IF($AF139=1, Keys!$C$11, ""), "")</f>
        <v/>
      </c>
      <c r="AK139">
        <f>IF($AG139=1, IFERROR(INDEX($AG$2:$AG$577, MATCH($A139 &amp; Keys!$C$8 &amp; $AH139, $Y$2:$Y$577, 0)), 1), 0)</f>
        <v>0</v>
      </c>
    </row>
    <row r="140" spans="1:37" x14ac:dyDescent="0.25">
      <c r="A140" t="s">
        <v>116</v>
      </c>
      <c r="B140" t="s">
        <v>249</v>
      </c>
      <c r="C140">
        <v>92</v>
      </c>
      <c r="D140">
        <v>29.823451777999999</v>
      </c>
      <c r="E140">
        <v>7.9153961599999975E-2</v>
      </c>
      <c r="F140">
        <v>73.267239429999989</v>
      </c>
      <c r="G140">
        <v>98.663698383999986</v>
      </c>
      <c r="H140">
        <v>150.74594189699999</v>
      </c>
      <c r="I140">
        <v>2.1086422709999999</v>
      </c>
      <c r="J140">
        <v>12.579637911000001</v>
      </c>
      <c r="K140">
        <v>8620.0084176669952</v>
      </c>
      <c r="L140">
        <v>1454.44459747</v>
      </c>
      <c r="M140">
        <v>3.166410451</v>
      </c>
      <c r="N140">
        <v>322.67687971100003</v>
      </c>
      <c r="O140">
        <v>4.1581501410000001</v>
      </c>
      <c r="P140">
        <v>0.33822459900000013</v>
      </c>
      <c r="Q140">
        <v>0.73239502799999978</v>
      </c>
      <c r="R140">
        <v>16.931050562999999</v>
      </c>
      <c r="S140">
        <v>215.18947159000001</v>
      </c>
      <c r="T140">
        <v>305.97663609799997</v>
      </c>
      <c r="U140">
        <v>0</v>
      </c>
      <c r="V140">
        <v>0</v>
      </c>
      <c r="W140">
        <v>44850.945069529</v>
      </c>
      <c r="Y140" t="str">
        <f>$A140 &amp; Keys!$C$8 &amp; $B140</f>
        <v>Indiana|electricity NO2</v>
      </c>
      <c r="Z140" s="8">
        <f>IFERROR(INDEX($U140:$W140, MATCH(INDEX(Runs!$D:$D, MATCH($B140, Runs!$A:$A, 0)), $U$1:$W$1, 0)), 0)</f>
        <v>44850.945069529</v>
      </c>
      <c r="AA140" s="8">
        <f t="shared" si="8"/>
        <v>6.6494589426748928E-4</v>
      </c>
      <c r="AB140" s="8">
        <f>IFERROR(VLOOKUP(INDEX(Runs!$F:$F, MATCH($B140, Runs!$A:$A, 0)), US_national_yearly!$D:$AM, MATCH(Keys!$C$7, US_national_yearly!$D$1:$AM$1, 0), FALSE), 0)</f>
        <v>6.1439221592658041E-3</v>
      </c>
      <c r="AC140" s="8">
        <f t="shared" si="9"/>
        <v>0.10822824199760858</v>
      </c>
      <c r="AD140">
        <f>IF($Z140&lt;Keys!$C$3, 1, 0)</f>
        <v>0</v>
      </c>
      <c r="AE140">
        <f>IF($AC140&gt;Keys!$C$4, 1, 0)</f>
        <v>0</v>
      </c>
      <c r="AF140">
        <f>IF($AC140&lt;Keys!$C$5, 1, 0)</f>
        <v>0</v>
      </c>
      <c r="AG140">
        <f t="shared" si="10"/>
        <v>0</v>
      </c>
      <c r="AH140" t="str">
        <f>IFERROR(INDEX(Runs!$E:$E, MATCH($B140, Runs!$A:$A, 0)), $B140)</f>
        <v>Industry NO2</v>
      </c>
      <c r="AI140" t="str">
        <f t="shared" si="11"/>
        <v>electricity NO2</v>
      </c>
      <c r="AJ140" t="str">
        <f>IF($AG140=1, IF($AD140=1, Keys!$C$9, "") &amp; IF($AE140=1, Keys!$C$10, "") &amp; IF($AF140=1, Keys!$C$11, ""), "")</f>
        <v/>
      </c>
      <c r="AK140">
        <f>IF($AG140=1, IFERROR(INDEX($AG$2:$AG$577, MATCH($A140 &amp; Keys!$C$8 &amp; $AH140, $Y$2:$Y$577, 0)), 1), 0)</f>
        <v>0</v>
      </c>
    </row>
    <row r="141" spans="1:37" x14ac:dyDescent="0.25">
      <c r="A141" t="s">
        <v>116</v>
      </c>
      <c r="B141" t="s">
        <v>247</v>
      </c>
      <c r="C141">
        <v>92</v>
      </c>
      <c r="D141">
        <v>22.863722384999988</v>
      </c>
      <c r="E141">
        <v>6.1857402299999989E-2</v>
      </c>
      <c r="F141">
        <v>54.828465645999991</v>
      </c>
      <c r="G141">
        <v>73.833386471000011</v>
      </c>
      <c r="H141">
        <v>112.808817179</v>
      </c>
      <c r="I141">
        <v>1.6226763609999999</v>
      </c>
      <c r="J141">
        <v>9.6273860470000017</v>
      </c>
      <c r="K141">
        <v>6435.2201324600001</v>
      </c>
      <c r="L141">
        <v>1085.133756213</v>
      </c>
      <c r="M141">
        <v>2.4220660440000001</v>
      </c>
      <c r="N141">
        <v>241.47066929600001</v>
      </c>
      <c r="O141">
        <v>3.516993100000001</v>
      </c>
      <c r="P141">
        <v>0.25355813349999989</v>
      </c>
      <c r="Q141">
        <v>0.5538400349999999</v>
      </c>
      <c r="R141">
        <v>12.750466753</v>
      </c>
      <c r="S141">
        <v>162.064972614</v>
      </c>
      <c r="T141">
        <v>230.46924419800001</v>
      </c>
      <c r="U141">
        <v>4315.6637735069999</v>
      </c>
      <c r="V141">
        <v>0</v>
      </c>
      <c r="W141">
        <v>0</v>
      </c>
      <c r="Y141" t="str">
        <f>$A141 &amp; Keys!$C$8 &amp; $B141</f>
        <v>Indiana|electricity PM25</v>
      </c>
      <c r="Z141" s="8">
        <f>IFERROR(INDEX($U141:$W141, MATCH(INDEX(Runs!$D:$D, MATCH($B141, Runs!$A:$A, 0)), $U$1:$W$1, 0)), 0)</f>
        <v>4315.6637735069999</v>
      </c>
      <c r="AA141" s="8">
        <f t="shared" si="8"/>
        <v>5.2978460753490171E-3</v>
      </c>
      <c r="AB141" s="8">
        <f>IFERROR(VLOOKUP(INDEX(Runs!$F:$F, MATCH($B141, Runs!$A:$A, 0)), US_national_yearly!$D:$AM, MATCH(Keys!$C$7, US_national_yearly!$D$1:$AM$1, 0), FALSE), 0)</f>
        <v>2.4252978284752182E-2</v>
      </c>
      <c r="AC141" s="8">
        <f t="shared" si="9"/>
        <v>0.21844105136892678</v>
      </c>
      <c r="AD141">
        <f>IF($Z141&lt;Keys!$C$3, 1, 0)</f>
        <v>0</v>
      </c>
      <c r="AE141">
        <f>IF($AC141&gt;Keys!$C$4, 1, 0)</f>
        <v>0</v>
      </c>
      <c r="AF141">
        <f>IF($AC141&lt;Keys!$C$5, 1, 0)</f>
        <v>0</v>
      </c>
      <c r="AG141">
        <f t="shared" si="10"/>
        <v>0</v>
      </c>
      <c r="AH141" t="str">
        <f>IFERROR(INDEX(Runs!$E:$E, MATCH($B141, Runs!$A:$A, 0)), $B141)</f>
        <v>Industry PM25</v>
      </c>
      <c r="AI141" t="str">
        <f t="shared" si="11"/>
        <v>electricity PM25</v>
      </c>
      <c r="AJ141" t="str">
        <f>IF($AG141=1, IF($AD141=1, Keys!$C$9, "") &amp; IF($AE141=1, Keys!$C$10, "") &amp; IF($AF141=1, Keys!$C$11, ""), "")</f>
        <v/>
      </c>
      <c r="AK141">
        <f>IF($AG141=1, IFERROR(INDEX($AG$2:$AG$577, MATCH($A141 &amp; Keys!$C$8 &amp; $AH141, $Y$2:$Y$577, 0)), 1), 0)</f>
        <v>0</v>
      </c>
    </row>
    <row r="142" spans="1:37" x14ac:dyDescent="0.25">
      <c r="A142" t="s">
        <v>116</v>
      </c>
      <c r="B142" t="s">
        <v>250</v>
      </c>
      <c r="C142">
        <v>92</v>
      </c>
      <c r="D142">
        <v>9.3148424179999996</v>
      </c>
      <c r="E142">
        <v>2.4951241989999991E-2</v>
      </c>
      <c r="F142">
        <v>22.54169807200001</v>
      </c>
      <c r="G142">
        <v>30.355569859999999</v>
      </c>
      <c r="H142">
        <v>46.378513960999989</v>
      </c>
      <c r="I142">
        <v>0.660041027</v>
      </c>
      <c r="J142">
        <v>3.9276201270000008</v>
      </c>
      <c r="K142">
        <v>2645.2870860499988</v>
      </c>
      <c r="L142">
        <v>446.19582139100009</v>
      </c>
      <c r="M142">
        <v>0.98769689300000008</v>
      </c>
      <c r="N142">
        <v>99.275781893000001</v>
      </c>
      <c r="O142">
        <v>1.3527871144000001</v>
      </c>
      <c r="P142">
        <v>0.1043446083</v>
      </c>
      <c r="Q142">
        <v>0.22691154499999999</v>
      </c>
      <c r="R142">
        <v>5.2412312869999989</v>
      </c>
      <c r="S142">
        <v>66.606217975999996</v>
      </c>
      <c r="T142">
        <v>94.673738724999993</v>
      </c>
      <c r="U142">
        <v>0</v>
      </c>
      <c r="V142">
        <v>35028.410570720007</v>
      </c>
      <c r="W142">
        <v>0</v>
      </c>
      <c r="Y142" t="str">
        <f>$A142 &amp; Keys!$C$8 &amp; $B142</f>
        <v>Indiana|electricity SO2</v>
      </c>
      <c r="Z142" s="8">
        <f>IFERROR(INDEX($U142:$W142, MATCH(INDEX(Runs!$D:$D, MATCH($B142, Runs!$A:$A, 0)), $U$1:$W$1, 0)), 0)</f>
        <v>35028.410570720007</v>
      </c>
      <c r="AA142" s="8">
        <f t="shared" si="8"/>
        <v>2.659224973737806E-4</v>
      </c>
      <c r="AB142" s="8">
        <f>IFERROR(VLOOKUP(INDEX(Runs!$F:$F, MATCH($B142, Runs!$A:$A, 0)), US_national_yearly!$D:$AM, MATCH(Keys!$C$7, US_national_yearly!$D$1:$AM$1, 0), FALSE), 0)</f>
        <v>5.7032329662362116E-3</v>
      </c>
      <c r="AC142" s="8">
        <f t="shared" si="9"/>
        <v>4.6626623697133197E-2</v>
      </c>
      <c r="AD142">
        <f>IF($Z142&lt;Keys!$C$3, 1, 0)</f>
        <v>0</v>
      </c>
      <c r="AE142">
        <f>IF($AC142&gt;Keys!$C$4, 1, 0)</f>
        <v>0</v>
      </c>
      <c r="AF142">
        <f>IF($AC142&lt;Keys!$C$5, 1, 0)</f>
        <v>0</v>
      </c>
      <c r="AG142">
        <f t="shared" si="10"/>
        <v>0</v>
      </c>
      <c r="AH142" t="str">
        <f>IFERROR(INDEX(Runs!$E:$E, MATCH($B142, Runs!$A:$A, 0)), $B142)</f>
        <v>Industry SO2</v>
      </c>
      <c r="AI142" t="str">
        <f t="shared" si="11"/>
        <v>electricity SO2</v>
      </c>
      <c r="AJ142" t="str">
        <f>IF($AG142=1, IF($AD142=1, Keys!$C$9, "") &amp; IF($AE142=1, Keys!$C$10, "") &amp; IF($AF142=1, Keys!$C$11, ""), "")</f>
        <v/>
      </c>
      <c r="AK142">
        <f>IF($AG142=1, IFERROR(INDEX($AG$2:$AG$577, MATCH($A142 &amp; Keys!$C$8 &amp; $AH142, $Y$2:$Y$577, 0)), 1), 0)</f>
        <v>0</v>
      </c>
    </row>
    <row r="143" spans="1:37" x14ac:dyDescent="0.25">
      <c r="A143" t="s">
        <v>116</v>
      </c>
      <c r="B143" t="s">
        <v>239</v>
      </c>
      <c r="C143">
        <v>92</v>
      </c>
      <c r="D143">
        <v>90.296902523999989</v>
      </c>
      <c r="E143">
        <v>0.27907576569999992</v>
      </c>
      <c r="F143">
        <v>237.740720587</v>
      </c>
      <c r="G143">
        <v>320.13837200800009</v>
      </c>
      <c r="H143">
        <v>489.16710046899982</v>
      </c>
      <c r="I143">
        <v>6.262633563999997</v>
      </c>
      <c r="J143">
        <v>38.124529922000008</v>
      </c>
      <c r="K143">
        <v>27487.486601252011</v>
      </c>
      <c r="L143">
        <v>4660.0620536739998</v>
      </c>
      <c r="M143">
        <v>9.6075178940000008</v>
      </c>
      <c r="N143">
        <v>1047.0461930639999</v>
      </c>
      <c r="O143">
        <v>10.992106336000001</v>
      </c>
      <c r="P143">
        <v>1.112526185000001</v>
      </c>
      <c r="Q143">
        <v>2.3042256049999992</v>
      </c>
      <c r="R143">
        <v>55.684824990000003</v>
      </c>
      <c r="S143">
        <v>707.81586698399997</v>
      </c>
      <c r="T143">
        <v>1007.0637691760001</v>
      </c>
      <c r="U143">
        <v>0</v>
      </c>
      <c r="V143">
        <v>0</v>
      </c>
      <c r="W143">
        <v>90687.962098869975</v>
      </c>
      <c r="Y143" t="str">
        <f>$A143 &amp; Keys!$C$8 &amp; $B143</f>
        <v>Indiana|transportation NO2</v>
      </c>
      <c r="Z143" s="8">
        <f>IFERROR(INDEX($U143:$W143, MATCH(INDEX(Runs!$D:$D, MATCH($B143, Runs!$A:$A, 0)), $U$1:$W$1, 0)), 0)</f>
        <v>90687.962098869975</v>
      </c>
      <c r="AA143" s="8">
        <f t="shared" si="8"/>
        <v>9.9568785574381249E-4</v>
      </c>
      <c r="AB143" s="8">
        <f>IFERROR(VLOOKUP(INDEX(Runs!$F:$F, MATCH($B143, Runs!$A:$A, 0)), US_national_yearly!$D:$AM, MATCH(Keys!$C$7, US_national_yearly!$D$1:$AM$1, 0), FALSE), 0)</f>
        <v>5.7148835886332216E-3</v>
      </c>
      <c r="AC143" s="8">
        <f t="shared" si="9"/>
        <v>0.1742271457154812</v>
      </c>
      <c r="AD143">
        <f>IF($Z143&lt;Keys!$C$3, 1, 0)</f>
        <v>0</v>
      </c>
      <c r="AE143">
        <f>IF($AC143&gt;Keys!$C$4, 1, 0)</f>
        <v>0</v>
      </c>
      <c r="AF143">
        <f>IF($AC143&lt;Keys!$C$5, 1, 0)</f>
        <v>0</v>
      </c>
      <c r="AG143">
        <f t="shared" si="10"/>
        <v>0</v>
      </c>
      <c r="AH143" t="str">
        <f>IFERROR(INDEX(Runs!$E:$E, MATCH($B143, Runs!$A:$A, 0)), $B143)</f>
        <v>Industry NO2</v>
      </c>
      <c r="AI143" t="str">
        <f t="shared" si="11"/>
        <v>transportation NO2</v>
      </c>
      <c r="AJ143" t="str">
        <f>IF($AG143=1, IF($AD143=1, Keys!$C$9, "") &amp; IF($AE143=1, Keys!$C$10, "") &amp; IF($AF143=1, Keys!$C$11, ""), "")</f>
        <v/>
      </c>
      <c r="AK143">
        <f>IF($AG143=1, IFERROR(INDEX($AG$2:$AG$577, MATCH($A143 &amp; Keys!$C$8 &amp; $AH143, $Y$2:$Y$577, 0)), 1), 0)</f>
        <v>0</v>
      </c>
    </row>
    <row r="144" spans="1:37" x14ac:dyDescent="0.25">
      <c r="A144" t="s">
        <v>116</v>
      </c>
      <c r="B144" t="s">
        <v>234</v>
      </c>
      <c r="C144">
        <v>92</v>
      </c>
      <c r="D144">
        <v>65.058267645000015</v>
      </c>
      <c r="E144">
        <v>0.2079114896</v>
      </c>
      <c r="F144">
        <v>175.17898067099989</v>
      </c>
      <c r="G144">
        <v>235.89535728199999</v>
      </c>
      <c r="H144">
        <v>360.43864085400008</v>
      </c>
      <c r="I144">
        <v>4.5055524689999986</v>
      </c>
      <c r="J144">
        <v>27.613035886999999</v>
      </c>
      <c r="K144">
        <v>20228.680186776</v>
      </c>
      <c r="L144">
        <v>3433.135211401001</v>
      </c>
      <c r="M144">
        <v>6.9568242220000034</v>
      </c>
      <c r="N144">
        <v>771.51297880700008</v>
      </c>
      <c r="O144">
        <v>7.6230913259999991</v>
      </c>
      <c r="P144">
        <v>0.82181041099999985</v>
      </c>
      <c r="Q144">
        <v>1.686605747</v>
      </c>
      <c r="R144">
        <v>41.131087927999992</v>
      </c>
      <c r="S144">
        <v>522.76014649300009</v>
      </c>
      <c r="T144">
        <v>743.54525625799988</v>
      </c>
      <c r="U144">
        <v>2266.698246727</v>
      </c>
      <c r="V144">
        <v>0</v>
      </c>
      <c r="W144">
        <v>0</v>
      </c>
      <c r="Y144" t="str">
        <f>$A144 &amp; Keys!$C$8 &amp; $B144</f>
        <v>Indiana|transportation PM25</v>
      </c>
      <c r="Z144" s="8">
        <f>IFERROR(INDEX($U144:$W144, MATCH(INDEX(Runs!$D:$D, MATCH($B144, Runs!$A:$A, 0)), $U$1:$W$1, 0)), 0)</f>
        <v>2266.698246727</v>
      </c>
      <c r="AA144" s="8">
        <f t="shared" si="8"/>
        <v>2.8701777018154458E-2</v>
      </c>
      <c r="AB144" s="8">
        <f>IFERROR(VLOOKUP(INDEX(Runs!$F:$F, MATCH($B144, Runs!$A:$A, 0)), US_national_yearly!$D:$AM, MATCH(Keys!$C$7, US_national_yearly!$D$1:$AM$1, 0), FALSE), 0)</f>
        <v>2.8248683697579859E-2</v>
      </c>
      <c r="AC144" s="8">
        <f t="shared" si="9"/>
        <v>1.0160394489677909</v>
      </c>
      <c r="AD144">
        <f>IF($Z144&lt;Keys!$C$3, 1, 0)</f>
        <v>0</v>
      </c>
      <c r="AE144">
        <f>IF($AC144&gt;Keys!$C$4, 1, 0)</f>
        <v>0</v>
      </c>
      <c r="AF144">
        <f>IF($AC144&lt;Keys!$C$5, 1, 0)</f>
        <v>0</v>
      </c>
      <c r="AG144">
        <f t="shared" si="10"/>
        <v>0</v>
      </c>
      <c r="AH144" t="str">
        <f>IFERROR(INDEX(Runs!$E:$E, MATCH($B144, Runs!$A:$A, 0)), $B144)</f>
        <v>Industry PM25</v>
      </c>
      <c r="AI144" t="str">
        <f t="shared" si="11"/>
        <v>transportation PM25</v>
      </c>
      <c r="AJ144" t="str">
        <f>IF($AG144=1, IF($AD144=1, Keys!$C$9, "") &amp; IF($AE144=1, Keys!$C$10, "") &amp; IF($AF144=1, Keys!$C$11, ""), "")</f>
        <v/>
      </c>
      <c r="AK144">
        <f>IF($AG144=1, IFERROR(INDEX($AG$2:$AG$577, MATCH($A144 &amp; Keys!$C$8 &amp; $AH144, $Y$2:$Y$577, 0)), 1), 0)</f>
        <v>0</v>
      </c>
    </row>
    <row r="145" spans="1:37" x14ac:dyDescent="0.25">
      <c r="A145" t="s">
        <v>116</v>
      </c>
      <c r="B145" t="s">
        <v>243</v>
      </c>
      <c r="C145">
        <v>92</v>
      </c>
      <c r="D145">
        <v>2.1471177039999998</v>
      </c>
      <c r="E145">
        <v>7.5496966610000011E-3</v>
      </c>
      <c r="F145">
        <v>6.0512772079999992</v>
      </c>
      <c r="G145">
        <v>8.1489164390000006</v>
      </c>
      <c r="H145">
        <v>12.450186077</v>
      </c>
      <c r="I145">
        <v>0.14555392359999991</v>
      </c>
      <c r="J145">
        <v>0.90996223200000015</v>
      </c>
      <c r="K145">
        <v>695.72034219699992</v>
      </c>
      <c r="L145">
        <v>118.438298565</v>
      </c>
      <c r="M145">
        <v>0.2289341468000001</v>
      </c>
      <c r="N145">
        <v>26.650379724</v>
      </c>
      <c r="O145">
        <v>0.18539734971999999</v>
      </c>
      <c r="P145">
        <v>2.8595476019999989E-2</v>
      </c>
      <c r="Q145">
        <v>5.7178463999999991E-2</v>
      </c>
      <c r="R145">
        <v>1.4335503839999999</v>
      </c>
      <c r="S145">
        <v>18.210429189999999</v>
      </c>
      <c r="T145">
        <v>25.865910550999999</v>
      </c>
      <c r="U145">
        <v>0</v>
      </c>
      <c r="V145">
        <v>351.37335802899997</v>
      </c>
      <c r="W145">
        <v>0</v>
      </c>
      <c r="Y145" t="str">
        <f>$A145 &amp; Keys!$C$8 &amp; $B145</f>
        <v>Indiana|transportation SO2</v>
      </c>
      <c r="Z145" s="8">
        <f>IFERROR(INDEX($U145:$W145, MATCH(INDEX(Runs!$D:$D, MATCH($B145, Runs!$A:$A, 0)), $U$1:$W$1, 0)), 0)</f>
        <v>351.37335802899997</v>
      </c>
      <c r="AA145" s="8">
        <f t="shared" si="8"/>
        <v>6.1106445748877504E-3</v>
      </c>
      <c r="AB145" s="8">
        <f>IFERROR(VLOOKUP(INDEX(Runs!$F:$F, MATCH($B145, Runs!$A:$A, 0)), US_national_yearly!$D:$AM, MATCH(Keys!$C$7, US_national_yearly!$D$1:$AM$1, 0), FALSE), 0)</f>
        <v>5.1800714166247604E-3</v>
      </c>
      <c r="AC145" s="8">
        <f t="shared" si="9"/>
        <v>1.1796448510876583</v>
      </c>
      <c r="AD145">
        <f>IF($Z145&lt;Keys!$C$3, 1, 0)</f>
        <v>0</v>
      </c>
      <c r="AE145">
        <f>IF($AC145&gt;Keys!$C$4, 1, 0)</f>
        <v>0</v>
      </c>
      <c r="AF145">
        <f>IF($AC145&lt;Keys!$C$5, 1, 0)</f>
        <v>0</v>
      </c>
      <c r="AG145">
        <f t="shared" si="10"/>
        <v>0</v>
      </c>
      <c r="AH145" t="str">
        <f>IFERROR(INDEX(Runs!$E:$E, MATCH($B145, Runs!$A:$A, 0)), $B145)</f>
        <v>Industry SO2</v>
      </c>
      <c r="AI145" t="str">
        <f t="shared" si="11"/>
        <v>transportation SO2</v>
      </c>
      <c r="AJ145" t="str">
        <f>IF($AG145=1, IF($AD145=1, Keys!$C$9, "") &amp; IF($AE145=1, Keys!$C$10, "") &amp; IF($AF145=1, Keys!$C$11, ""), "")</f>
        <v/>
      </c>
      <c r="AK145">
        <f>IF($AG145=1, IFERROR(INDEX($AG$2:$AG$577, MATCH($A145 &amp; Keys!$C$8 &amp; $AH145, $Y$2:$Y$577, 0)), 1), 0)</f>
        <v>0</v>
      </c>
    </row>
    <row r="146" spans="1:37" x14ac:dyDescent="0.25">
      <c r="A146" t="s">
        <v>119</v>
      </c>
      <c r="B146" t="s">
        <v>242</v>
      </c>
      <c r="C146">
        <v>99</v>
      </c>
      <c r="D146">
        <v>2.0107746720000002</v>
      </c>
      <c r="E146">
        <v>3.8145386239999998E-3</v>
      </c>
      <c r="F146">
        <v>4.9675447339999979</v>
      </c>
      <c r="G146">
        <v>6.6895111620000032</v>
      </c>
      <c r="H146">
        <v>10.220470153000001</v>
      </c>
      <c r="I146">
        <v>0.19229901890000001</v>
      </c>
      <c r="J146">
        <v>0.85013178400000033</v>
      </c>
      <c r="K146">
        <v>576.96674710399975</v>
      </c>
      <c r="L146">
        <v>97.344173760999993</v>
      </c>
      <c r="M146">
        <v>0.1622088294</v>
      </c>
      <c r="N146">
        <v>21.877526049</v>
      </c>
      <c r="O146">
        <v>0.27586971910000008</v>
      </c>
      <c r="P146">
        <v>9.9785460199999978E-3</v>
      </c>
      <c r="Q146">
        <v>2.613901112E-2</v>
      </c>
      <c r="R146">
        <v>1.1626370690000001</v>
      </c>
      <c r="S146">
        <v>14.768059295</v>
      </c>
      <c r="T146">
        <v>20.974286418999991</v>
      </c>
      <c r="U146">
        <v>0</v>
      </c>
      <c r="V146">
        <v>0</v>
      </c>
      <c r="W146">
        <v>15401.805538809</v>
      </c>
      <c r="Y146" t="str">
        <f>$A146 &amp; Keys!$C$8 &amp; $B146</f>
        <v>Iowa|Industry NO2</v>
      </c>
      <c r="Z146" s="8">
        <f>IFERROR(INDEX($U146:$W146, MATCH(INDEX(Runs!$D:$D, MATCH($B146, Runs!$A:$A, 0)), $U$1:$W$1, 0)), 0)</f>
        <v>15401.805538809</v>
      </c>
      <c r="AA146" s="8">
        <f t="shared" si="8"/>
        <v>1.3055447732626617E-4</v>
      </c>
      <c r="AB146" s="8">
        <f>IFERROR(VLOOKUP(INDEX(Runs!$F:$F, MATCH($B146, Runs!$A:$A, 0)), US_national_yearly!$D:$AM, MATCH(Keys!$C$7, US_national_yearly!$D$1:$AM$1, 0), FALSE), 0)</f>
        <v>5.8012217057786938E-3</v>
      </c>
      <c r="AC146" s="8">
        <f t="shared" si="9"/>
        <v>2.2504652286641395E-2</v>
      </c>
      <c r="AD146">
        <f>IF($Z146&lt;Keys!$C$3, 1, 0)</f>
        <v>0</v>
      </c>
      <c r="AE146">
        <f>IF($AC146&gt;Keys!$C$4, 1, 0)</f>
        <v>0</v>
      </c>
      <c r="AF146">
        <f>IF($AC146&lt;Keys!$C$5, 1, 0)</f>
        <v>0</v>
      </c>
      <c r="AG146">
        <f t="shared" si="10"/>
        <v>0</v>
      </c>
      <c r="AH146" t="str">
        <f>IFERROR(INDEX(Runs!$E:$E, MATCH($B146, Runs!$A:$A, 0)), $B146)</f>
        <v>Industry NO2</v>
      </c>
      <c r="AI146" t="str">
        <f t="shared" si="11"/>
        <v>Industry NO2</v>
      </c>
      <c r="AJ146" t="str">
        <f>IF($AG146=1, IF($AD146=1, Keys!$C$9, "") &amp; IF($AE146=1, Keys!$C$10, "") &amp; IF($AF146=1, Keys!$C$11, ""), "")</f>
        <v/>
      </c>
      <c r="AK146">
        <f>IF($AG146=1, IFERROR(INDEX($AG$2:$AG$577, MATCH($A146 &amp; Keys!$C$8 &amp; $AH146, $Y$2:$Y$577, 0)), 1), 0)</f>
        <v>0</v>
      </c>
    </row>
    <row r="147" spans="1:37" x14ac:dyDescent="0.25">
      <c r="A147" t="s">
        <v>119</v>
      </c>
      <c r="B147" t="s">
        <v>238</v>
      </c>
      <c r="C147">
        <v>99</v>
      </c>
      <c r="D147">
        <v>30.34732541699999</v>
      </c>
      <c r="E147">
        <v>6.687233020000001E-2</v>
      </c>
      <c r="F147">
        <v>81.26286230300002</v>
      </c>
      <c r="G147">
        <v>109.429090151</v>
      </c>
      <c r="H147">
        <v>167.20031989799989</v>
      </c>
      <c r="I147">
        <v>2.8096478399999998</v>
      </c>
      <c r="J147">
        <v>12.980202012999991</v>
      </c>
      <c r="K147">
        <v>9436.5744017849993</v>
      </c>
      <c r="L147">
        <v>1596.8387077340001</v>
      </c>
      <c r="M147">
        <v>2.444224944000001</v>
      </c>
      <c r="N147">
        <v>357.89227235200002</v>
      </c>
      <c r="O147">
        <v>4.3543675759999987</v>
      </c>
      <c r="P147">
        <v>0.16571798200000001</v>
      </c>
      <c r="Q147">
        <v>0.41949299200000012</v>
      </c>
      <c r="R147">
        <v>18.941825776000002</v>
      </c>
      <c r="S147">
        <v>240.58926721900011</v>
      </c>
      <c r="T147">
        <v>341.79568595400019</v>
      </c>
      <c r="U147">
        <v>3909.7253284200001</v>
      </c>
      <c r="V147">
        <v>0</v>
      </c>
      <c r="W147">
        <v>0</v>
      </c>
      <c r="Y147" t="str">
        <f>$A147 &amp; Keys!$C$8 &amp; $B147</f>
        <v>Iowa|Industry PM25</v>
      </c>
      <c r="Z147" s="8">
        <f>IFERROR(INDEX($U147:$W147, MATCH(INDEX(Runs!$D:$D, MATCH($B147, Runs!$A:$A, 0)), $U$1:$W$1, 0)), 0)</f>
        <v>3909.7253284200001</v>
      </c>
      <c r="AA147" s="8">
        <f t="shared" si="8"/>
        <v>7.76200957044314E-3</v>
      </c>
      <c r="AB147" s="8">
        <f>IFERROR(VLOOKUP(INDEX(Runs!$F:$F, MATCH($B147, Runs!$A:$A, 0)), US_national_yearly!$D:$AM, MATCH(Keys!$C$7, US_national_yearly!$D$1:$AM$1, 0), FALSE), 0)</f>
        <v>2.6833191881203179E-2</v>
      </c>
      <c r="AC147" s="8">
        <f t="shared" si="9"/>
        <v>0.28926896229145505</v>
      </c>
      <c r="AD147">
        <f>IF($Z147&lt;Keys!$C$3, 1, 0)</f>
        <v>0</v>
      </c>
      <c r="AE147">
        <f>IF($AC147&gt;Keys!$C$4, 1, 0)</f>
        <v>0</v>
      </c>
      <c r="AF147">
        <f>IF($AC147&lt;Keys!$C$5, 1, 0)</f>
        <v>0</v>
      </c>
      <c r="AG147">
        <f t="shared" si="10"/>
        <v>0</v>
      </c>
      <c r="AH147" t="str">
        <f>IFERROR(INDEX(Runs!$E:$E, MATCH($B147, Runs!$A:$A, 0)), $B147)</f>
        <v>Industry PM25</v>
      </c>
      <c r="AI147" t="str">
        <f t="shared" si="11"/>
        <v>Industry PM25</v>
      </c>
      <c r="AJ147" t="str">
        <f>IF($AG147=1, IF($AD147=1, Keys!$C$9, "") &amp; IF($AE147=1, Keys!$C$10, "") &amp; IF($AF147=1, Keys!$C$11, ""), "")</f>
        <v/>
      </c>
      <c r="AK147">
        <f>IF($AG147=1, IFERROR(INDEX($AG$2:$AG$577, MATCH($A147 &amp; Keys!$C$8 &amp; $AH147, $Y$2:$Y$577, 0)), 1), 0)</f>
        <v>0</v>
      </c>
    </row>
    <row r="148" spans="1:37" x14ac:dyDescent="0.25">
      <c r="A148" t="s">
        <v>119</v>
      </c>
      <c r="B148" t="s">
        <v>246</v>
      </c>
      <c r="C148">
        <v>99</v>
      </c>
      <c r="D148">
        <v>3.5983101319999999</v>
      </c>
      <c r="E148">
        <v>7.1950627499999999E-3</v>
      </c>
      <c r="F148">
        <v>9.0448591590000014</v>
      </c>
      <c r="G148">
        <v>12.180191998</v>
      </c>
      <c r="H148">
        <v>18.609352295000001</v>
      </c>
      <c r="I148">
        <v>0.32680852300000002</v>
      </c>
      <c r="J148">
        <v>1.5070793750000011</v>
      </c>
      <c r="K148">
        <v>1047.7508826759999</v>
      </c>
      <c r="L148">
        <v>176.86265233</v>
      </c>
      <c r="M148">
        <v>0.29317137199999999</v>
      </c>
      <c r="N148">
        <v>39.834403451999997</v>
      </c>
      <c r="O148">
        <v>0.47606490099999998</v>
      </c>
      <c r="P148">
        <v>1.8590169279999999E-2</v>
      </c>
      <c r="Q148">
        <v>4.8064272999999998E-2</v>
      </c>
      <c r="R148">
        <v>2.1151583199999999</v>
      </c>
      <c r="S148">
        <v>26.865149031000001</v>
      </c>
      <c r="T148">
        <v>38.150621671000003</v>
      </c>
      <c r="U148">
        <v>0</v>
      </c>
      <c r="V148">
        <v>2740.0962505359989</v>
      </c>
      <c r="W148">
        <v>0</v>
      </c>
      <c r="Y148" t="str">
        <f>$A148 &amp; Keys!$C$8 &amp; $B148</f>
        <v>Iowa|Industry SO2</v>
      </c>
      <c r="Z148" s="8">
        <f>IFERROR(INDEX($U148:$W148, MATCH(INDEX(Runs!$D:$D, MATCH($B148, Runs!$A:$A, 0)), $U$1:$W$1, 0)), 0)</f>
        <v>2740.0962505359989</v>
      </c>
      <c r="AA148" s="8">
        <f t="shared" si="8"/>
        <v>1.3132057427895545E-3</v>
      </c>
      <c r="AB148" s="8">
        <f>IFERROR(VLOOKUP(INDEX(Runs!$F:$F, MATCH($B148, Runs!$A:$A, 0)), US_national_yearly!$D:$AM, MATCH(Keys!$C$7, US_national_yearly!$D$1:$AM$1, 0), FALSE), 0)</f>
        <v>5.3000351638639942E-3</v>
      </c>
      <c r="AC148" s="8">
        <f t="shared" si="9"/>
        <v>0.24777302455332409</v>
      </c>
      <c r="AD148">
        <f>IF($Z148&lt;Keys!$C$3, 1, 0)</f>
        <v>0</v>
      </c>
      <c r="AE148">
        <f>IF($AC148&gt;Keys!$C$4, 1, 0)</f>
        <v>0</v>
      </c>
      <c r="AF148">
        <f>IF($AC148&lt;Keys!$C$5, 1, 0)</f>
        <v>0</v>
      </c>
      <c r="AG148">
        <f t="shared" si="10"/>
        <v>0</v>
      </c>
      <c r="AH148" t="str">
        <f>IFERROR(INDEX(Runs!$E:$E, MATCH($B148, Runs!$A:$A, 0)), $B148)</f>
        <v>Industry SO2</v>
      </c>
      <c r="AI148" t="str">
        <f t="shared" si="11"/>
        <v>Industry SO2</v>
      </c>
      <c r="AJ148" t="str">
        <f>IF($AG148=1, IF($AD148=1, Keys!$C$9, "") &amp; IF($AE148=1, Keys!$C$10, "") &amp; IF($AF148=1, Keys!$C$11, ""), "")</f>
        <v/>
      </c>
      <c r="AK148">
        <f>IF($AG148=1, IFERROR(INDEX($AG$2:$AG$577, MATCH($A148 &amp; Keys!$C$8 &amp; $AH148, $Y$2:$Y$577, 0)), 1), 0)</f>
        <v>0</v>
      </c>
    </row>
    <row r="149" spans="1:37" x14ac:dyDescent="0.25">
      <c r="A149" t="s">
        <v>119</v>
      </c>
      <c r="B149" t="s">
        <v>253</v>
      </c>
      <c r="C149">
        <v>99</v>
      </c>
      <c r="D149">
        <v>2.9674380679999999</v>
      </c>
      <c r="E149">
        <v>6.7433131999999982E-3</v>
      </c>
      <c r="F149">
        <v>8.0596084890000004</v>
      </c>
      <c r="G149">
        <v>10.853412729</v>
      </c>
      <c r="H149">
        <v>16.582245109999992</v>
      </c>
      <c r="I149">
        <v>0.27123594639999998</v>
      </c>
      <c r="J149">
        <v>1.2703752930000001</v>
      </c>
      <c r="K149">
        <v>936.60623251599986</v>
      </c>
      <c r="L149">
        <v>158.54717497499999</v>
      </c>
      <c r="M149">
        <v>0.238285211</v>
      </c>
      <c r="N149">
        <v>35.495266327999992</v>
      </c>
      <c r="O149">
        <v>0.42455054399999997</v>
      </c>
      <c r="P149">
        <v>1.6428905319999999E-2</v>
      </c>
      <c r="Q149">
        <v>4.1397001099999997E-2</v>
      </c>
      <c r="R149">
        <v>1.881223485</v>
      </c>
      <c r="S149">
        <v>23.885870559000001</v>
      </c>
      <c r="T149">
        <v>33.900651336999992</v>
      </c>
      <c r="U149">
        <v>0</v>
      </c>
      <c r="V149">
        <v>0</v>
      </c>
      <c r="W149">
        <v>8444.8082900599984</v>
      </c>
      <c r="Y149" t="str">
        <f>$A149 &amp; Keys!$C$8 &amp; $B149</f>
        <v>Iowa|buildings NO2</v>
      </c>
      <c r="Z149" s="8">
        <f>IFERROR(INDEX($U149:$W149, MATCH(INDEX(Runs!$D:$D, MATCH($B149, Runs!$A:$A, 0)), $U$1:$W$1, 0)), 0)</f>
        <v>8444.8082900599984</v>
      </c>
      <c r="AA149" s="8">
        <f t="shared" si="8"/>
        <v>3.5139199921125941E-4</v>
      </c>
      <c r="AB149" s="8">
        <f>IFERROR(VLOOKUP(INDEX(Runs!$F:$F, MATCH($B149, Runs!$A:$A, 0)), US_national_yearly!$D:$AM, MATCH(Keys!$C$7, US_national_yearly!$D$1:$AM$1, 0), FALSE), 0)</f>
        <v>5.6784740124662739E-3</v>
      </c>
      <c r="AC149" s="8">
        <f t="shared" si="9"/>
        <v>6.188141364032463E-2</v>
      </c>
      <c r="AD149">
        <f>IF($Z149&lt;Keys!$C$3, 1, 0)</f>
        <v>0</v>
      </c>
      <c r="AE149">
        <f>IF($AC149&gt;Keys!$C$4, 1, 0)</f>
        <v>0</v>
      </c>
      <c r="AF149">
        <f>IF($AC149&lt;Keys!$C$5, 1, 0)</f>
        <v>0</v>
      </c>
      <c r="AG149">
        <f t="shared" si="10"/>
        <v>0</v>
      </c>
      <c r="AH149" t="str">
        <f>IFERROR(INDEX(Runs!$E:$E, MATCH($B149, Runs!$A:$A, 0)), $B149)</f>
        <v>Industry NO2</v>
      </c>
      <c r="AI149" t="str">
        <f t="shared" si="11"/>
        <v>buildings NO2</v>
      </c>
      <c r="AJ149" t="str">
        <f>IF($AG149=1, IF($AD149=1, Keys!$C$9, "") &amp; IF($AE149=1, Keys!$C$10, "") &amp; IF($AF149=1, Keys!$C$11, ""), "")</f>
        <v/>
      </c>
      <c r="AK149">
        <f>IF($AG149=1, IFERROR(INDEX($AG$2:$AG$577, MATCH($A149 &amp; Keys!$C$8 &amp; $AH149, $Y$2:$Y$577, 0)), 1), 0)</f>
        <v>0</v>
      </c>
    </row>
    <row r="150" spans="1:37" x14ac:dyDescent="0.25">
      <c r="A150" t="s">
        <v>119</v>
      </c>
      <c r="B150" t="s">
        <v>251</v>
      </c>
      <c r="C150">
        <v>99</v>
      </c>
      <c r="D150">
        <v>0.28390852760000002</v>
      </c>
      <c r="E150">
        <v>6.1529899310000004E-4</v>
      </c>
      <c r="F150">
        <v>0.75665010199999994</v>
      </c>
      <c r="G150">
        <v>1.0189401300000001</v>
      </c>
      <c r="H150">
        <v>1.556764356</v>
      </c>
      <c r="I150">
        <v>2.635865745E-2</v>
      </c>
      <c r="J150">
        <v>0.1195184153</v>
      </c>
      <c r="K150">
        <v>88.841482001999978</v>
      </c>
      <c r="L150">
        <v>15.026783474</v>
      </c>
      <c r="M150">
        <v>2.2801233569999989E-2</v>
      </c>
      <c r="N150">
        <v>3.3323545879999998</v>
      </c>
      <c r="O150">
        <v>3.8771341680000002E-2</v>
      </c>
      <c r="P150">
        <v>1.5300185499999999E-3</v>
      </c>
      <c r="Q150">
        <v>3.8815469829999991E-3</v>
      </c>
      <c r="R150">
        <v>0.17509927519999999</v>
      </c>
      <c r="S150">
        <v>2.2233433410000001</v>
      </c>
      <c r="T150">
        <v>3.1556779580000009</v>
      </c>
      <c r="U150">
        <v>38.485491654999983</v>
      </c>
      <c r="V150">
        <v>0</v>
      </c>
      <c r="W150">
        <v>0</v>
      </c>
      <c r="Y150" t="str">
        <f>$A150 &amp; Keys!$C$8 &amp; $B150</f>
        <v>Iowa|buildings PM25</v>
      </c>
      <c r="Z150" s="8">
        <f>IFERROR(INDEX($U150:$W150, MATCH(INDEX(Runs!$D:$D, MATCH($B150, Runs!$A:$A, 0)), $U$1:$W$1, 0)), 0)</f>
        <v>38.485491654999983</v>
      </c>
      <c r="AA150" s="8">
        <f t="shared" si="8"/>
        <v>7.3770274301046901E-3</v>
      </c>
      <c r="AB150" s="8">
        <f>IFERROR(VLOOKUP(INDEX(Runs!$F:$F, MATCH($B150, Runs!$A:$A, 0)), US_national_yearly!$D:$AM, MATCH(Keys!$C$7, US_national_yearly!$D$1:$AM$1, 0), FALSE), 0)</f>
        <v>2.7627705191843259E-2</v>
      </c>
      <c r="AC150" s="8">
        <f t="shared" si="9"/>
        <v>0.26701556929464654</v>
      </c>
      <c r="AD150">
        <f>IF($Z150&lt;Keys!$C$3, 1, 0)</f>
        <v>0</v>
      </c>
      <c r="AE150">
        <f>IF($AC150&gt;Keys!$C$4, 1, 0)</f>
        <v>0</v>
      </c>
      <c r="AF150">
        <f>IF($AC150&lt;Keys!$C$5, 1, 0)</f>
        <v>0</v>
      </c>
      <c r="AG150">
        <f t="shared" si="10"/>
        <v>0</v>
      </c>
      <c r="AH150" t="str">
        <f>IFERROR(INDEX(Runs!$E:$E, MATCH($B150, Runs!$A:$A, 0)), $B150)</f>
        <v>Industry PM25</v>
      </c>
      <c r="AI150" t="str">
        <f t="shared" si="11"/>
        <v>buildings PM25</v>
      </c>
      <c r="AJ150" t="str">
        <f>IF($AG150=1, IF($AD150=1, Keys!$C$9, "") &amp; IF($AE150=1, Keys!$C$10, "") &amp; IF($AF150=1, Keys!$C$11, ""), "")</f>
        <v/>
      </c>
      <c r="AK150">
        <f>IF($AG150=1, IFERROR(INDEX($AG$2:$AG$577, MATCH($A150 &amp; Keys!$C$8 &amp; $AH150, $Y$2:$Y$577, 0)), 1), 0)</f>
        <v>0</v>
      </c>
    </row>
    <row r="151" spans="1:37" x14ac:dyDescent="0.25">
      <c r="A151" t="s">
        <v>119</v>
      </c>
      <c r="B151" t="s">
        <v>254</v>
      </c>
      <c r="C151">
        <v>99</v>
      </c>
      <c r="D151">
        <v>0.50984863799999991</v>
      </c>
      <c r="E151">
        <v>1.0623129400000009E-3</v>
      </c>
      <c r="F151">
        <v>1.267268196000001</v>
      </c>
      <c r="G151">
        <v>1.706560603</v>
      </c>
      <c r="H151">
        <v>2.60733506</v>
      </c>
      <c r="I151">
        <v>4.2962268240000011E-2</v>
      </c>
      <c r="J151">
        <v>0.20654527070000001</v>
      </c>
      <c r="K151">
        <v>150.45802135900001</v>
      </c>
      <c r="L151">
        <v>25.395652900000002</v>
      </c>
      <c r="M151">
        <v>3.9923541250000021E-2</v>
      </c>
      <c r="N151">
        <v>5.5811638590000001</v>
      </c>
      <c r="O151">
        <v>6.4695215099999995E-2</v>
      </c>
      <c r="P151">
        <v>2.5132938260000008E-3</v>
      </c>
      <c r="Q151">
        <v>6.4368093200000004E-3</v>
      </c>
      <c r="R151">
        <v>0.28830683539999991</v>
      </c>
      <c r="S151">
        <v>3.661405904</v>
      </c>
      <c r="T151">
        <v>5.1982629869999988</v>
      </c>
      <c r="U151">
        <v>0</v>
      </c>
      <c r="V151">
        <v>554.72637844199971</v>
      </c>
      <c r="W151">
        <v>0</v>
      </c>
      <c r="Y151" t="str">
        <f>$A151 &amp; Keys!$C$8 &amp; $B151</f>
        <v>Iowa|buildings SO2</v>
      </c>
      <c r="Z151" s="8">
        <f>IFERROR(INDEX($U151:$W151, MATCH(INDEX(Runs!$D:$D, MATCH($B151, Runs!$A:$A, 0)), $U$1:$W$1, 0)), 0)</f>
        <v>554.72637844199971</v>
      </c>
      <c r="AA151" s="8">
        <f t="shared" si="8"/>
        <v>9.1909932142033148E-4</v>
      </c>
      <c r="AB151" s="8">
        <f>IFERROR(VLOOKUP(INDEX(Runs!$F:$F, MATCH($B151, Runs!$A:$A, 0)), US_national_yearly!$D:$AM, MATCH(Keys!$C$7, US_national_yearly!$D$1:$AM$1, 0), FALSE), 0)</f>
        <v>5.1581943281164694E-3</v>
      </c>
      <c r="AC151" s="8">
        <f t="shared" si="9"/>
        <v>0.17818237603233988</v>
      </c>
      <c r="AD151">
        <f>IF($Z151&lt;Keys!$C$3, 1, 0)</f>
        <v>0</v>
      </c>
      <c r="AE151">
        <f>IF($AC151&gt;Keys!$C$4, 1, 0)</f>
        <v>0</v>
      </c>
      <c r="AF151">
        <f>IF($AC151&lt;Keys!$C$5, 1, 0)</f>
        <v>0</v>
      </c>
      <c r="AG151">
        <f t="shared" si="10"/>
        <v>0</v>
      </c>
      <c r="AH151" t="str">
        <f>IFERROR(INDEX(Runs!$E:$E, MATCH($B151, Runs!$A:$A, 0)), $B151)</f>
        <v>Industry SO2</v>
      </c>
      <c r="AI151" t="str">
        <f t="shared" si="11"/>
        <v>buildings SO2</v>
      </c>
      <c r="AJ151" t="str">
        <f>IF($AG151=1, IF($AD151=1, Keys!$C$9, "") &amp; IF($AE151=1, Keys!$C$10, "") &amp; IF($AF151=1, Keys!$C$11, ""), "")</f>
        <v/>
      </c>
      <c r="AK151">
        <f>IF($AG151=1, IFERROR(INDEX($AG$2:$AG$577, MATCH($A151 &amp; Keys!$C$8 &amp; $AH151, $Y$2:$Y$577, 0)), 1), 0)</f>
        <v>0</v>
      </c>
    </row>
    <row r="152" spans="1:37" x14ac:dyDescent="0.25">
      <c r="A152" t="s">
        <v>119</v>
      </c>
      <c r="B152" t="s">
        <v>249</v>
      </c>
      <c r="C152">
        <v>99</v>
      </c>
      <c r="D152">
        <v>2.905841387999998</v>
      </c>
      <c r="E152">
        <v>5.366575850000002E-3</v>
      </c>
      <c r="F152">
        <v>7.1140821490000024</v>
      </c>
      <c r="G152">
        <v>9.5801162660000028</v>
      </c>
      <c r="H152">
        <v>14.636892628</v>
      </c>
      <c r="I152">
        <v>0.27890462830000001</v>
      </c>
      <c r="J152">
        <v>1.206763005</v>
      </c>
      <c r="K152">
        <v>823.78325982100034</v>
      </c>
      <c r="L152">
        <v>138.969497999</v>
      </c>
      <c r="M152">
        <v>0.2385100399999999</v>
      </c>
      <c r="N152">
        <v>31.331091043000001</v>
      </c>
      <c r="O152">
        <v>0.380321152</v>
      </c>
      <c r="P152">
        <v>1.4331315339999999E-2</v>
      </c>
      <c r="Q152">
        <v>3.7653377400000007E-2</v>
      </c>
      <c r="R152">
        <v>1.662229488000001</v>
      </c>
      <c r="S152">
        <v>21.110656941000009</v>
      </c>
      <c r="T152">
        <v>29.975071883000009</v>
      </c>
      <c r="U152">
        <v>0</v>
      </c>
      <c r="V152">
        <v>0</v>
      </c>
      <c r="W152">
        <v>24711.631983456002</v>
      </c>
      <c r="Y152" t="str">
        <f>$A152 &amp; Keys!$C$8 &amp; $B152</f>
        <v>Iowa|electricity NO2</v>
      </c>
      <c r="Z152" s="8">
        <f>IFERROR(INDEX($U152:$W152, MATCH(INDEX(Runs!$D:$D, MATCH($B152, Runs!$A:$A, 0)), $U$1:$W$1, 0)), 0)</f>
        <v>24711.631983456002</v>
      </c>
      <c r="AA152" s="8">
        <f t="shared" si="8"/>
        <v>1.1759002359477542E-4</v>
      </c>
      <c r="AB152" s="8">
        <f>IFERROR(VLOOKUP(INDEX(Runs!$F:$F, MATCH($B152, Runs!$A:$A, 0)), US_national_yearly!$D:$AM, MATCH(Keys!$C$7, US_national_yearly!$D$1:$AM$1, 0), FALSE), 0)</f>
        <v>6.1439221592658041E-3</v>
      </c>
      <c r="AC152" s="8">
        <f t="shared" si="9"/>
        <v>1.9139243718678131E-2</v>
      </c>
      <c r="AD152">
        <f>IF($Z152&lt;Keys!$C$3, 1, 0)</f>
        <v>0</v>
      </c>
      <c r="AE152">
        <f>IF($AC152&gt;Keys!$C$4, 1, 0)</f>
        <v>0</v>
      </c>
      <c r="AF152">
        <f>IF($AC152&lt;Keys!$C$5, 1, 0)</f>
        <v>0</v>
      </c>
      <c r="AG152">
        <f t="shared" si="10"/>
        <v>0</v>
      </c>
      <c r="AH152" t="str">
        <f>IFERROR(INDEX(Runs!$E:$E, MATCH($B152, Runs!$A:$A, 0)), $B152)</f>
        <v>Industry NO2</v>
      </c>
      <c r="AI152" t="str">
        <f t="shared" si="11"/>
        <v>electricity NO2</v>
      </c>
      <c r="AJ152" t="str">
        <f>IF($AG152=1, IF($AD152=1, Keys!$C$9, "") &amp; IF($AE152=1, Keys!$C$10, "") &amp; IF($AF152=1, Keys!$C$11, ""), "")</f>
        <v/>
      </c>
      <c r="AK152">
        <f>IF($AG152=1, IFERROR(INDEX($AG$2:$AG$577, MATCH($A152 &amp; Keys!$C$8 &amp; $AH152, $Y$2:$Y$577, 0)), 1), 0)</f>
        <v>0</v>
      </c>
    </row>
    <row r="153" spans="1:37" x14ac:dyDescent="0.25">
      <c r="A153" t="s">
        <v>119</v>
      </c>
      <c r="B153" t="s">
        <v>247</v>
      </c>
      <c r="C153">
        <v>99</v>
      </c>
      <c r="D153">
        <v>3.820859452000001</v>
      </c>
      <c r="E153">
        <v>7.9836424300000017E-3</v>
      </c>
      <c r="F153">
        <v>9.9000676670000018</v>
      </c>
      <c r="G153">
        <v>13.331819118000009</v>
      </c>
      <c r="H153">
        <v>20.368968997</v>
      </c>
      <c r="I153">
        <v>0.3415186899999999</v>
      </c>
      <c r="J153">
        <v>1.547573519</v>
      </c>
      <c r="K153">
        <v>1120.4670509719999</v>
      </c>
      <c r="L153">
        <v>189.4708786219999</v>
      </c>
      <c r="M153">
        <v>0.30983750999999993</v>
      </c>
      <c r="N153">
        <v>43.600855782000011</v>
      </c>
      <c r="O153">
        <v>0.48460438700000003</v>
      </c>
      <c r="P153">
        <v>2.0142935890000001E-2</v>
      </c>
      <c r="Q153">
        <v>5.0498156299999979E-2</v>
      </c>
      <c r="R153">
        <v>2.325548159999999</v>
      </c>
      <c r="S153">
        <v>29.527831703</v>
      </c>
      <c r="T153">
        <v>41.910597291000002</v>
      </c>
      <c r="U153">
        <v>763.30619870300006</v>
      </c>
      <c r="V153">
        <v>0</v>
      </c>
      <c r="W153">
        <v>0</v>
      </c>
      <c r="Y153" t="str">
        <f>$A153 &amp; Keys!$C$8 &amp; $B153</f>
        <v>Iowa|electricity PM25</v>
      </c>
      <c r="Z153" s="8">
        <f>IFERROR(INDEX($U153:$W153, MATCH(INDEX(Runs!$D:$D, MATCH($B153, Runs!$A:$A, 0)), $U$1:$W$1, 0)), 0)</f>
        <v>763.30619870300006</v>
      </c>
      <c r="AA153" s="8">
        <f t="shared" si="8"/>
        <v>5.0056706712094771E-3</v>
      </c>
      <c r="AB153" s="8">
        <f>IFERROR(VLOOKUP(INDEX(Runs!$F:$F, MATCH($B153, Runs!$A:$A, 0)), US_national_yearly!$D:$AM, MATCH(Keys!$C$7, US_national_yearly!$D$1:$AM$1, 0), FALSE), 0)</f>
        <v>2.4252978284752182E-2</v>
      </c>
      <c r="AC153" s="8">
        <f t="shared" si="9"/>
        <v>0.20639406065672916</v>
      </c>
      <c r="AD153">
        <f>IF($Z153&lt;Keys!$C$3, 1, 0)</f>
        <v>0</v>
      </c>
      <c r="AE153">
        <f>IF($AC153&gt;Keys!$C$4, 1, 0)</f>
        <v>0</v>
      </c>
      <c r="AF153">
        <f>IF($AC153&lt;Keys!$C$5, 1, 0)</f>
        <v>0</v>
      </c>
      <c r="AG153">
        <f t="shared" si="10"/>
        <v>0</v>
      </c>
      <c r="AH153" t="str">
        <f>IFERROR(INDEX(Runs!$E:$E, MATCH($B153, Runs!$A:$A, 0)), $B153)</f>
        <v>Industry PM25</v>
      </c>
      <c r="AI153" t="str">
        <f t="shared" si="11"/>
        <v>electricity PM25</v>
      </c>
      <c r="AJ153" t="str">
        <f>IF($AG153=1, IF($AD153=1, Keys!$C$9, "") &amp; IF($AE153=1, Keys!$C$10, "") &amp; IF($AF153=1, Keys!$C$11, ""), "")</f>
        <v/>
      </c>
      <c r="AK153">
        <f>IF($AG153=1, IFERROR(INDEX($AG$2:$AG$577, MATCH($A153 &amp; Keys!$C$8 &amp; $AH153, $Y$2:$Y$577, 0)), 1), 0)</f>
        <v>0</v>
      </c>
    </row>
    <row r="154" spans="1:37" x14ac:dyDescent="0.25">
      <c r="A154" t="s">
        <v>119</v>
      </c>
      <c r="B154" t="s">
        <v>250</v>
      </c>
      <c r="C154">
        <v>99</v>
      </c>
      <c r="D154">
        <v>3.803727836000002</v>
      </c>
      <c r="E154">
        <v>7.4682860000000011E-3</v>
      </c>
      <c r="F154">
        <v>9.6801384149999983</v>
      </c>
      <c r="G154">
        <v>13.035653002</v>
      </c>
      <c r="H154">
        <v>19.916475435000009</v>
      </c>
      <c r="I154">
        <v>0.32979851799999998</v>
      </c>
      <c r="J154">
        <v>1.563303506</v>
      </c>
      <c r="K154">
        <v>1096.2393289849999</v>
      </c>
      <c r="L154">
        <v>185.0719926509999</v>
      </c>
      <c r="M154">
        <v>0.3075126259999999</v>
      </c>
      <c r="N154">
        <v>42.632266852000001</v>
      </c>
      <c r="O154">
        <v>0.487217228</v>
      </c>
      <c r="P154">
        <v>1.9656936400000009E-2</v>
      </c>
      <c r="Q154">
        <v>5.0190709199999989E-2</v>
      </c>
      <c r="R154">
        <v>2.2688629040000001</v>
      </c>
      <c r="S154">
        <v>28.811309574999999</v>
      </c>
      <c r="T154">
        <v>40.901303249000001</v>
      </c>
      <c r="U154">
        <v>0</v>
      </c>
      <c r="V154">
        <v>6529.3467667374998</v>
      </c>
      <c r="W154">
        <v>0</v>
      </c>
      <c r="Y154" t="str">
        <f>$A154 &amp; Keys!$C$8 &amp; $B154</f>
        <v>Iowa|electricity SO2</v>
      </c>
      <c r="Z154" s="8">
        <f>IFERROR(INDEX($U154:$W154, MATCH(INDEX(Runs!$D:$D, MATCH($B154, Runs!$A:$A, 0)), $U$1:$W$1, 0)), 0)</f>
        <v>6529.3467667374998</v>
      </c>
      <c r="AA154" s="8">
        <f t="shared" si="8"/>
        <v>5.825587109842842E-4</v>
      </c>
      <c r="AB154" s="8">
        <f>IFERROR(VLOOKUP(INDEX(Runs!$F:$F, MATCH($B154, Runs!$A:$A, 0)), US_national_yearly!$D:$AM, MATCH(Keys!$C$7, US_national_yearly!$D$1:$AM$1, 0), FALSE), 0)</f>
        <v>5.7032329662362116E-3</v>
      </c>
      <c r="AC154" s="8">
        <f t="shared" si="9"/>
        <v>0.10214534710980563</v>
      </c>
      <c r="AD154">
        <f>IF($Z154&lt;Keys!$C$3, 1, 0)</f>
        <v>0</v>
      </c>
      <c r="AE154">
        <f>IF($AC154&gt;Keys!$C$4, 1, 0)</f>
        <v>0</v>
      </c>
      <c r="AF154">
        <f>IF($AC154&lt;Keys!$C$5, 1, 0)</f>
        <v>0</v>
      </c>
      <c r="AG154">
        <f t="shared" si="10"/>
        <v>0</v>
      </c>
      <c r="AH154" t="str">
        <f>IFERROR(INDEX(Runs!$E:$E, MATCH($B154, Runs!$A:$A, 0)), $B154)</f>
        <v>Industry SO2</v>
      </c>
      <c r="AI154" t="str">
        <f t="shared" si="11"/>
        <v>electricity SO2</v>
      </c>
      <c r="AJ154" t="str">
        <f>IF($AG154=1, IF($AD154=1, Keys!$C$9, "") &amp; IF($AE154=1, Keys!$C$10, "") &amp; IF($AF154=1, Keys!$C$11, ""), "")</f>
        <v/>
      </c>
      <c r="AK154">
        <f>IF($AG154=1, IFERROR(INDEX($AG$2:$AG$577, MATCH($A154 &amp; Keys!$C$8 &amp; $AH154, $Y$2:$Y$577, 0)), 1), 0)</f>
        <v>0</v>
      </c>
    </row>
    <row r="155" spans="1:37" x14ac:dyDescent="0.25">
      <c r="A155" t="s">
        <v>119</v>
      </c>
      <c r="B155" t="s">
        <v>239</v>
      </c>
      <c r="C155">
        <v>99</v>
      </c>
      <c r="D155">
        <v>18.161540506000001</v>
      </c>
      <c r="E155">
        <v>3.8760459200000007E-2</v>
      </c>
      <c r="F155">
        <v>47.424169876999997</v>
      </c>
      <c r="G155">
        <v>63.862605335000019</v>
      </c>
      <c r="H155">
        <v>97.574521886999975</v>
      </c>
      <c r="I155">
        <v>1.621662216</v>
      </c>
      <c r="J155">
        <v>7.6914682229999984</v>
      </c>
      <c r="K155">
        <v>5496.2942047839997</v>
      </c>
      <c r="L155">
        <v>929.1178580229996</v>
      </c>
      <c r="M155">
        <v>1.4696564160000001</v>
      </c>
      <c r="N155">
        <v>208.86129709900001</v>
      </c>
      <c r="O155">
        <v>2.4999924610000002</v>
      </c>
      <c r="P155">
        <v>9.7264880399999976E-2</v>
      </c>
      <c r="Q155">
        <v>0.247844128</v>
      </c>
      <c r="R155">
        <v>11.045789711999999</v>
      </c>
      <c r="S155">
        <v>140.28927129100001</v>
      </c>
      <c r="T155">
        <v>199.24245378200001</v>
      </c>
      <c r="U155">
        <v>0</v>
      </c>
      <c r="V155">
        <v>0</v>
      </c>
      <c r="W155">
        <v>61705.125802800023</v>
      </c>
      <c r="Y155" t="str">
        <f>$A155 &amp; Keys!$C$8 &amp; $B155</f>
        <v>Iowa|transportation NO2</v>
      </c>
      <c r="Z155" s="8">
        <f>IFERROR(INDEX($U155:$W155, MATCH(INDEX(Runs!$D:$D, MATCH($B155, Runs!$A:$A, 0)), $U$1:$W$1, 0)), 0)</f>
        <v>61705.125802800023</v>
      </c>
      <c r="AA155" s="8">
        <f t="shared" si="8"/>
        <v>2.9432790663196209E-4</v>
      </c>
      <c r="AB155" s="8">
        <f>IFERROR(VLOOKUP(INDEX(Runs!$F:$F, MATCH($B155, Runs!$A:$A, 0)), US_national_yearly!$D:$AM, MATCH(Keys!$C$7, US_national_yearly!$D$1:$AM$1, 0), FALSE), 0)</f>
        <v>5.7148835886332216E-3</v>
      </c>
      <c r="AC155" s="8">
        <f t="shared" si="9"/>
        <v>5.150199510929214E-2</v>
      </c>
      <c r="AD155">
        <f>IF($Z155&lt;Keys!$C$3, 1, 0)</f>
        <v>0</v>
      </c>
      <c r="AE155">
        <f>IF($AC155&gt;Keys!$C$4, 1, 0)</f>
        <v>0</v>
      </c>
      <c r="AF155">
        <f>IF($AC155&lt;Keys!$C$5, 1, 0)</f>
        <v>0</v>
      </c>
      <c r="AG155">
        <f t="shared" si="10"/>
        <v>0</v>
      </c>
      <c r="AH155" t="str">
        <f>IFERROR(INDEX(Runs!$E:$E, MATCH($B155, Runs!$A:$A, 0)), $B155)</f>
        <v>Industry NO2</v>
      </c>
      <c r="AI155" t="str">
        <f t="shared" si="11"/>
        <v>transportation NO2</v>
      </c>
      <c r="AJ155" t="str">
        <f>IF($AG155=1, IF($AD155=1, Keys!$C$9, "") &amp; IF($AE155=1, Keys!$C$10, "") &amp; IF($AF155=1, Keys!$C$11, ""), "")</f>
        <v/>
      </c>
      <c r="AK155">
        <f>IF($AG155=1, IFERROR(INDEX($AG$2:$AG$577, MATCH($A155 &amp; Keys!$C$8 &amp; $AH155, $Y$2:$Y$577, 0)), 1), 0)</f>
        <v>0</v>
      </c>
    </row>
    <row r="156" spans="1:37" x14ac:dyDescent="0.25">
      <c r="A156" t="s">
        <v>119</v>
      </c>
      <c r="B156" t="s">
        <v>234</v>
      </c>
      <c r="C156">
        <v>99</v>
      </c>
      <c r="D156">
        <v>12.659467432999991</v>
      </c>
      <c r="E156">
        <v>2.8146482199999989E-2</v>
      </c>
      <c r="F156">
        <v>33.971808869999997</v>
      </c>
      <c r="G156">
        <v>45.747470373999988</v>
      </c>
      <c r="H156">
        <v>69.896163893999997</v>
      </c>
      <c r="I156">
        <v>1.147139704</v>
      </c>
      <c r="J156">
        <v>5.3962575019999983</v>
      </c>
      <c r="K156">
        <v>3939.807357129001</v>
      </c>
      <c r="L156">
        <v>666.6167654689998</v>
      </c>
      <c r="M156">
        <v>1.025074665</v>
      </c>
      <c r="N156">
        <v>149.61544313799999</v>
      </c>
      <c r="O156">
        <v>1.7748105750000001</v>
      </c>
      <c r="P156">
        <v>6.9415379000000013E-2</v>
      </c>
      <c r="Q156">
        <v>0.17565049369999999</v>
      </c>
      <c r="R156">
        <v>7.9119131380000001</v>
      </c>
      <c r="S156">
        <v>100.47322222699999</v>
      </c>
      <c r="T156">
        <v>142.65518551400001</v>
      </c>
      <c r="U156">
        <v>1543.239008672</v>
      </c>
      <c r="V156">
        <v>0</v>
      </c>
      <c r="W156">
        <v>0</v>
      </c>
      <c r="Y156" t="str">
        <f>$A156 &amp; Keys!$C$8 &amp; $B156</f>
        <v>Iowa|transportation PM25</v>
      </c>
      <c r="Z156" s="8">
        <f>IFERROR(INDEX($U156:$W156, MATCH(INDEX(Runs!$D:$D, MATCH($B156, Runs!$A:$A, 0)), $U$1:$W$1, 0)), 0)</f>
        <v>1543.239008672</v>
      </c>
      <c r="AA156" s="8">
        <f t="shared" si="8"/>
        <v>8.2031800400728695E-3</v>
      </c>
      <c r="AB156" s="8">
        <f>IFERROR(VLOOKUP(INDEX(Runs!$F:$F, MATCH($B156, Runs!$A:$A, 0)), US_national_yearly!$D:$AM, MATCH(Keys!$C$7, US_national_yearly!$D$1:$AM$1, 0), FALSE), 0)</f>
        <v>2.8248683697579859E-2</v>
      </c>
      <c r="AC156" s="8">
        <f t="shared" si="9"/>
        <v>0.29039158524670156</v>
      </c>
      <c r="AD156">
        <f>IF($Z156&lt;Keys!$C$3, 1, 0)</f>
        <v>0</v>
      </c>
      <c r="AE156">
        <f>IF($AC156&gt;Keys!$C$4, 1, 0)</f>
        <v>0</v>
      </c>
      <c r="AF156">
        <f>IF($AC156&lt;Keys!$C$5, 1, 0)</f>
        <v>0</v>
      </c>
      <c r="AG156">
        <f t="shared" si="10"/>
        <v>0</v>
      </c>
      <c r="AH156" t="str">
        <f>IFERROR(INDEX(Runs!$E:$E, MATCH($B156, Runs!$A:$A, 0)), $B156)</f>
        <v>Industry PM25</v>
      </c>
      <c r="AI156" t="str">
        <f t="shared" si="11"/>
        <v>transportation PM25</v>
      </c>
      <c r="AJ156" t="str">
        <f>IF($AG156=1, IF($AD156=1, Keys!$C$9, "") &amp; IF($AE156=1, Keys!$C$10, "") &amp; IF($AF156=1, Keys!$C$11, ""), "")</f>
        <v/>
      </c>
      <c r="AK156">
        <f>IF($AG156=1, IFERROR(INDEX($AG$2:$AG$577, MATCH($A156 &amp; Keys!$C$8 &amp; $AH156, $Y$2:$Y$577, 0)), 1), 0)</f>
        <v>0</v>
      </c>
    </row>
    <row r="157" spans="1:37" x14ac:dyDescent="0.25">
      <c r="A157" t="s">
        <v>119</v>
      </c>
      <c r="B157" t="s">
        <v>243</v>
      </c>
      <c r="C157">
        <v>99</v>
      </c>
      <c r="D157">
        <v>0.14279536770000001</v>
      </c>
      <c r="E157">
        <v>3.1854164089999988E-4</v>
      </c>
      <c r="F157">
        <v>0.38719954400000001</v>
      </c>
      <c r="G157">
        <v>0.52142096399999993</v>
      </c>
      <c r="H157">
        <v>0.79664074200000001</v>
      </c>
      <c r="I157">
        <v>1.3374905689999999E-2</v>
      </c>
      <c r="J157">
        <v>6.3601266599999984E-2</v>
      </c>
      <c r="K157">
        <v>45.253599890000011</v>
      </c>
      <c r="L157">
        <v>7.6603066830000017</v>
      </c>
      <c r="M157">
        <v>1.1251855830000001E-2</v>
      </c>
      <c r="N157">
        <v>1.70526125</v>
      </c>
      <c r="O157">
        <v>2.2930217199999998E-2</v>
      </c>
      <c r="P157">
        <v>7.8547245399999987E-4</v>
      </c>
      <c r="Q157">
        <v>1.9959932310000001E-3</v>
      </c>
      <c r="R157">
        <v>9.0403837300000039E-2</v>
      </c>
      <c r="S157">
        <v>1.147801987</v>
      </c>
      <c r="T157">
        <v>1.6288508049999999</v>
      </c>
      <c r="U157">
        <v>0</v>
      </c>
      <c r="V157">
        <v>146.16079307499999</v>
      </c>
      <c r="W157">
        <v>0</v>
      </c>
      <c r="Y157" t="str">
        <f>$A157 &amp; Keys!$C$8 &amp; $B157</f>
        <v>Iowa|transportation SO2</v>
      </c>
      <c r="Z157" s="8">
        <f>IFERROR(INDEX($U157:$W157, MATCH(INDEX(Runs!$D:$D, MATCH($B157, Runs!$A:$A, 0)), $U$1:$W$1, 0)), 0)</f>
        <v>146.16079307499999</v>
      </c>
      <c r="AA157" s="8">
        <f t="shared" si="8"/>
        <v>9.7697449976702662E-4</v>
      </c>
      <c r="AB157" s="8">
        <f>IFERROR(VLOOKUP(INDEX(Runs!$F:$F, MATCH($B157, Runs!$A:$A, 0)), US_national_yearly!$D:$AM, MATCH(Keys!$C$7, US_national_yearly!$D$1:$AM$1, 0), FALSE), 0)</f>
        <v>5.1800714166247604E-3</v>
      </c>
      <c r="AC157" s="8">
        <f t="shared" si="9"/>
        <v>0.18860251552354182</v>
      </c>
      <c r="AD157">
        <f>IF($Z157&lt;Keys!$C$3, 1, 0)</f>
        <v>0</v>
      </c>
      <c r="AE157">
        <f>IF($AC157&gt;Keys!$C$4, 1, 0)</f>
        <v>0</v>
      </c>
      <c r="AF157">
        <f>IF($AC157&lt;Keys!$C$5, 1, 0)</f>
        <v>0</v>
      </c>
      <c r="AG157">
        <f t="shared" si="10"/>
        <v>0</v>
      </c>
      <c r="AH157" t="str">
        <f>IFERROR(INDEX(Runs!$E:$E, MATCH($B157, Runs!$A:$A, 0)), $B157)</f>
        <v>Industry SO2</v>
      </c>
      <c r="AI157" t="str">
        <f t="shared" si="11"/>
        <v>transportation SO2</v>
      </c>
      <c r="AJ157" t="str">
        <f>IF($AG157=1, IF($AD157=1, Keys!$C$9, "") &amp; IF($AE157=1, Keys!$C$10, "") &amp; IF($AF157=1, Keys!$C$11, ""), "")</f>
        <v/>
      </c>
      <c r="AK157">
        <f>IF($AG157=1, IFERROR(INDEX($AG$2:$AG$577, MATCH($A157 &amp; Keys!$C$8 &amp; $AH157, $Y$2:$Y$577, 0)), 1), 0)</f>
        <v>0</v>
      </c>
    </row>
    <row r="158" spans="1:37" x14ac:dyDescent="0.25">
      <c r="A158" t="s">
        <v>123</v>
      </c>
      <c r="B158" t="s">
        <v>242</v>
      </c>
      <c r="C158">
        <v>105</v>
      </c>
      <c r="D158">
        <v>1.3481726249999999</v>
      </c>
      <c r="E158">
        <v>4.0660772620000011E-3</v>
      </c>
      <c r="F158">
        <v>3.8897889479999979</v>
      </c>
      <c r="G158">
        <v>5.2381649339999976</v>
      </c>
      <c r="H158">
        <v>8.0030293610000012</v>
      </c>
      <c r="I158">
        <v>0.1026605862</v>
      </c>
      <c r="J158">
        <v>0.43538160800000009</v>
      </c>
      <c r="K158">
        <v>426.44681262900002</v>
      </c>
      <c r="L158">
        <v>72.39760030900004</v>
      </c>
      <c r="M158">
        <v>0.1254547653000001</v>
      </c>
      <c r="N158">
        <v>17.130983242999999</v>
      </c>
      <c r="O158">
        <v>0.33971906730000012</v>
      </c>
      <c r="P158">
        <v>1.3669806200000001E-2</v>
      </c>
      <c r="Q158">
        <v>2.093851460000001E-2</v>
      </c>
      <c r="R158">
        <v>0.91974873500000009</v>
      </c>
      <c r="S158">
        <v>11.67910075</v>
      </c>
      <c r="T158">
        <v>16.577997010000001</v>
      </c>
      <c r="U158">
        <v>0</v>
      </c>
      <c r="V158">
        <v>0</v>
      </c>
      <c r="W158">
        <v>74257.055078834994</v>
      </c>
      <c r="Y158" t="str">
        <f>$A158 &amp; Keys!$C$8 &amp; $B158</f>
        <v>Kansas|Industry NO2</v>
      </c>
      <c r="Z158" s="8">
        <f>IFERROR(INDEX($U158:$W158, MATCH(INDEX(Runs!$D:$D, MATCH($B158, Runs!$A:$A, 0)), $U$1:$W$1, 0)), 0)</f>
        <v>74257.055078834994</v>
      </c>
      <c r="AA158" s="8">
        <f t="shared" si="8"/>
        <v>1.8155481974995005E-5</v>
      </c>
      <c r="AB158" s="8">
        <f>IFERROR(VLOOKUP(INDEX(Runs!$F:$F, MATCH($B158, Runs!$A:$A, 0)), US_national_yearly!$D:$AM, MATCH(Keys!$C$7, US_national_yearly!$D$1:$AM$1, 0), FALSE), 0)</f>
        <v>5.8012217057786938E-3</v>
      </c>
      <c r="AC158" s="8">
        <f t="shared" si="9"/>
        <v>3.1295962981228637E-3</v>
      </c>
      <c r="AD158">
        <f>IF($Z158&lt;Keys!$C$3, 1, 0)</f>
        <v>0</v>
      </c>
      <c r="AE158">
        <f>IF($AC158&gt;Keys!$C$4, 1, 0)</f>
        <v>0</v>
      </c>
      <c r="AF158">
        <f>IF($AC158&lt;Keys!$C$5, 1, 0)</f>
        <v>0</v>
      </c>
      <c r="AG158">
        <f t="shared" si="10"/>
        <v>0</v>
      </c>
      <c r="AH158" t="str">
        <f>IFERROR(INDEX(Runs!$E:$E, MATCH($B158, Runs!$A:$A, 0)), $B158)</f>
        <v>Industry NO2</v>
      </c>
      <c r="AI158" t="str">
        <f t="shared" si="11"/>
        <v>Industry NO2</v>
      </c>
      <c r="AJ158" t="str">
        <f>IF($AG158=1, IF($AD158=1, Keys!$C$9, "") &amp; IF($AE158=1, Keys!$C$10, "") &amp; IF($AF158=1, Keys!$C$11, ""), "")</f>
        <v/>
      </c>
      <c r="AK158">
        <f>IF($AG158=1, IFERROR(INDEX($AG$2:$AG$577, MATCH($A158 &amp; Keys!$C$8 &amp; $AH158, $Y$2:$Y$577, 0)), 1), 0)</f>
        <v>0</v>
      </c>
    </row>
    <row r="159" spans="1:37" x14ac:dyDescent="0.25">
      <c r="A159" t="s">
        <v>123</v>
      </c>
      <c r="B159" t="s">
        <v>238</v>
      </c>
      <c r="C159">
        <v>105</v>
      </c>
      <c r="D159">
        <v>27.658905104999999</v>
      </c>
      <c r="E159">
        <v>8.5479812240000008E-2</v>
      </c>
      <c r="F159">
        <v>83.087958810999993</v>
      </c>
      <c r="G159">
        <v>111.886160664</v>
      </c>
      <c r="H159">
        <v>170.95675433500011</v>
      </c>
      <c r="I159">
        <v>2.1308284971000009</v>
      </c>
      <c r="J159">
        <v>9.1637837400000031</v>
      </c>
      <c r="K159">
        <v>9199.3294111209943</v>
      </c>
      <c r="L159">
        <v>1563.2632457350001</v>
      </c>
      <c r="M159">
        <v>2.6388676129999982</v>
      </c>
      <c r="N159">
        <v>365.93087381000009</v>
      </c>
      <c r="O159">
        <v>7.2759820270000004</v>
      </c>
      <c r="P159">
        <v>0.29201855238999991</v>
      </c>
      <c r="Q159">
        <v>0.45203388700000019</v>
      </c>
      <c r="R159">
        <v>19.623794473</v>
      </c>
      <c r="S159">
        <v>249.28145743300001</v>
      </c>
      <c r="T159">
        <v>354.24451158599999</v>
      </c>
      <c r="U159">
        <v>3917.6703007389979</v>
      </c>
      <c r="V159">
        <v>0</v>
      </c>
      <c r="W159">
        <v>0</v>
      </c>
      <c r="Y159" t="str">
        <f>$A159 &amp; Keys!$C$8 &amp; $B159</f>
        <v>Kansas|Industry PM25</v>
      </c>
      <c r="Z159" s="8">
        <f>IFERROR(INDEX($U159:$W159, MATCH(INDEX(Runs!$D:$D, MATCH($B159, Runs!$A:$A, 0)), $U$1:$W$1, 0)), 0)</f>
        <v>3917.6703007389979</v>
      </c>
      <c r="AA159" s="8">
        <f t="shared" si="8"/>
        <v>7.0600389981215735E-3</v>
      </c>
      <c r="AB159" s="8">
        <f>IFERROR(VLOOKUP(INDEX(Runs!$F:$F, MATCH($B159, Runs!$A:$A, 0)), US_national_yearly!$D:$AM, MATCH(Keys!$C$7, US_national_yearly!$D$1:$AM$1, 0), FALSE), 0)</f>
        <v>2.6833191881203179E-2</v>
      </c>
      <c r="AC159" s="8">
        <f t="shared" si="9"/>
        <v>0.26310843038644149</v>
      </c>
      <c r="AD159">
        <f>IF($Z159&lt;Keys!$C$3, 1, 0)</f>
        <v>0</v>
      </c>
      <c r="AE159">
        <f>IF($AC159&gt;Keys!$C$4, 1, 0)</f>
        <v>0</v>
      </c>
      <c r="AF159">
        <f>IF($AC159&lt;Keys!$C$5, 1, 0)</f>
        <v>0</v>
      </c>
      <c r="AG159">
        <f t="shared" si="10"/>
        <v>0</v>
      </c>
      <c r="AH159" t="str">
        <f>IFERROR(INDEX(Runs!$E:$E, MATCH($B159, Runs!$A:$A, 0)), $B159)</f>
        <v>Industry PM25</v>
      </c>
      <c r="AI159" t="str">
        <f t="shared" si="11"/>
        <v>Industry PM25</v>
      </c>
      <c r="AJ159" t="str">
        <f>IF($AG159=1, IF($AD159=1, Keys!$C$9, "") &amp; IF($AE159=1, Keys!$C$10, "") &amp; IF($AF159=1, Keys!$C$11, ""), "")</f>
        <v/>
      </c>
      <c r="AK159">
        <f>IF($AG159=1, IFERROR(INDEX($AG$2:$AG$577, MATCH($A159 &amp; Keys!$C$8 &amp; $AH159, $Y$2:$Y$577, 0)), 1), 0)</f>
        <v>0</v>
      </c>
    </row>
    <row r="160" spans="1:37" x14ac:dyDescent="0.25">
      <c r="A160" t="s">
        <v>123</v>
      </c>
      <c r="B160" t="s">
        <v>246</v>
      </c>
      <c r="C160">
        <v>105</v>
      </c>
      <c r="D160">
        <v>8.7960635610000004</v>
      </c>
      <c r="E160">
        <v>2.4171380919999999E-2</v>
      </c>
      <c r="F160">
        <v>23.876677596</v>
      </c>
      <c r="G160">
        <v>32.153203093999998</v>
      </c>
      <c r="H160">
        <v>49.125386660999993</v>
      </c>
      <c r="I160">
        <v>0.67284216900000027</v>
      </c>
      <c r="J160">
        <v>2.813154641000001</v>
      </c>
      <c r="K160">
        <v>2650.362155890999</v>
      </c>
      <c r="L160">
        <v>449.06719366899989</v>
      </c>
      <c r="M160">
        <v>0.81253392800000013</v>
      </c>
      <c r="N160">
        <v>105.15526735100001</v>
      </c>
      <c r="O160">
        <v>2.0939360109999998</v>
      </c>
      <c r="P160">
        <v>8.3091727100000026E-2</v>
      </c>
      <c r="Q160">
        <v>0.13133994299999999</v>
      </c>
      <c r="R160">
        <v>5.6023893250000016</v>
      </c>
      <c r="S160">
        <v>71.149642851999985</v>
      </c>
      <c r="T160">
        <v>101.026197928</v>
      </c>
      <c r="U160">
        <v>0</v>
      </c>
      <c r="V160">
        <v>3035.018002761999</v>
      </c>
      <c r="W160">
        <v>0</v>
      </c>
      <c r="Y160" t="str">
        <f>$A160 &amp; Keys!$C$8 &amp; $B160</f>
        <v>Kansas|Industry SO2</v>
      </c>
      <c r="Z160" s="8">
        <f>IFERROR(INDEX($U160:$W160, MATCH(INDEX(Runs!$D:$D, MATCH($B160, Runs!$A:$A, 0)), $U$1:$W$1, 0)), 0)</f>
        <v>3035.018002761999</v>
      </c>
      <c r="AA160" s="8">
        <f t="shared" si="8"/>
        <v>2.8981915603120633E-3</v>
      </c>
      <c r="AB160" s="8">
        <f>IFERROR(VLOOKUP(INDEX(Runs!$F:$F, MATCH($B160, Runs!$A:$A, 0)), US_national_yearly!$D:$AM, MATCH(Keys!$C$7, US_national_yearly!$D$1:$AM$1, 0), FALSE), 0)</f>
        <v>5.3000351638639942E-3</v>
      </c>
      <c r="AC160" s="8">
        <f t="shared" si="9"/>
        <v>0.54682496827042459</v>
      </c>
      <c r="AD160">
        <f>IF($Z160&lt;Keys!$C$3, 1, 0)</f>
        <v>0</v>
      </c>
      <c r="AE160">
        <f>IF($AC160&gt;Keys!$C$4, 1, 0)</f>
        <v>0</v>
      </c>
      <c r="AF160">
        <f>IF($AC160&lt;Keys!$C$5, 1, 0)</f>
        <v>0</v>
      </c>
      <c r="AG160">
        <f t="shared" si="10"/>
        <v>0</v>
      </c>
      <c r="AH160" t="str">
        <f>IFERROR(INDEX(Runs!$E:$E, MATCH($B160, Runs!$A:$A, 0)), $B160)</f>
        <v>Industry SO2</v>
      </c>
      <c r="AI160" t="str">
        <f t="shared" si="11"/>
        <v>Industry SO2</v>
      </c>
      <c r="AJ160" t="str">
        <f>IF($AG160=1, IF($AD160=1, Keys!$C$9, "") &amp; IF($AE160=1, Keys!$C$10, "") &amp; IF($AF160=1, Keys!$C$11, ""), "")</f>
        <v/>
      </c>
      <c r="AK160">
        <f>IF($AG160=1, IFERROR(INDEX($AG$2:$AG$577, MATCH($A160 &amp; Keys!$C$8 &amp; $AH160, $Y$2:$Y$577, 0)), 1), 0)</f>
        <v>0</v>
      </c>
    </row>
    <row r="161" spans="1:37" x14ac:dyDescent="0.25">
      <c r="A161" t="s">
        <v>123</v>
      </c>
      <c r="B161" t="s">
        <v>253</v>
      </c>
      <c r="C161">
        <v>105</v>
      </c>
      <c r="D161">
        <v>2.3339104592999989</v>
      </c>
      <c r="E161">
        <v>6.803901624999999E-3</v>
      </c>
      <c r="F161">
        <v>7.0721791690000044</v>
      </c>
      <c r="G161">
        <v>9.5236959890000001</v>
      </c>
      <c r="H161">
        <v>14.550662859999999</v>
      </c>
      <c r="I161">
        <v>0.18542134134999991</v>
      </c>
      <c r="J161">
        <v>0.79732609699999979</v>
      </c>
      <c r="K161">
        <v>798.44634262000011</v>
      </c>
      <c r="L161">
        <v>135.726388047</v>
      </c>
      <c r="M161">
        <v>0.22944663561999989</v>
      </c>
      <c r="N161">
        <v>31.146538018000012</v>
      </c>
      <c r="O161">
        <v>0.62701070870000009</v>
      </c>
      <c r="P161">
        <v>2.4859265884E-2</v>
      </c>
      <c r="Q161">
        <v>3.9279576513999978E-2</v>
      </c>
      <c r="R161">
        <v>1.6733229955</v>
      </c>
      <c r="S161">
        <v>21.249523461999999</v>
      </c>
      <c r="T161">
        <v>30.167072162</v>
      </c>
      <c r="U161">
        <v>0</v>
      </c>
      <c r="V161">
        <v>0</v>
      </c>
      <c r="W161">
        <v>5480.7471435119996</v>
      </c>
      <c r="Y161" t="str">
        <f>$A161 &amp; Keys!$C$8 &amp; $B161</f>
        <v>Kansas|buildings NO2</v>
      </c>
      <c r="Z161" s="8">
        <f>IFERROR(INDEX($U161:$W161, MATCH(INDEX(Runs!$D:$D, MATCH($B161, Runs!$A:$A, 0)), $U$1:$W$1, 0)), 0)</f>
        <v>5480.7471435119996</v>
      </c>
      <c r="AA161" s="8">
        <f t="shared" si="8"/>
        <v>4.2583801043674055E-4</v>
      </c>
      <c r="AB161" s="8">
        <f>IFERROR(VLOOKUP(INDEX(Runs!$F:$F, MATCH($B161, Runs!$A:$A, 0)), US_national_yearly!$D:$AM, MATCH(Keys!$C$7, US_national_yearly!$D$1:$AM$1, 0), FALSE), 0)</f>
        <v>5.6784740124662739E-3</v>
      </c>
      <c r="AC161" s="8">
        <f t="shared" si="9"/>
        <v>7.4991627944739098E-2</v>
      </c>
      <c r="AD161">
        <f>IF($Z161&lt;Keys!$C$3, 1, 0)</f>
        <v>0</v>
      </c>
      <c r="AE161">
        <f>IF($AC161&gt;Keys!$C$4, 1, 0)</f>
        <v>0</v>
      </c>
      <c r="AF161">
        <f>IF($AC161&lt;Keys!$C$5, 1, 0)</f>
        <v>0</v>
      </c>
      <c r="AG161">
        <f t="shared" si="10"/>
        <v>0</v>
      </c>
      <c r="AH161" t="str">
        <f>IFERROR(INDEX(Runs!$E:$E, MATCH($B161, Runs!$A:$A, 0)), $B161)</f>
        <v>Industry NO2</v>
      </c>
      <c r="AI161" t="str">
        <f t="shared" si="11"/>
        <v>buildings NO2</v>
      </c>
      <c r="AJ161" t="str">
        <f>IF($AG161=1, IF($AD161=1, Keys!$C$9, "") &amp; IF($AE161=1, Keys!$C$10, "") &amp; IF($AF161=1, Keys!$C$11, ""), "")</f>
        <v/>
      </c>
      <c r="AK161">
        <f>IF($AG161=1, IFERROR(INDEX($AG$2:$AG$577, MATCH($A161 &amp; Keys!$C$8 &amp; $AH161, $Y$2:$Y$577, 0)), 1), 0)</f>
        <v>0</v>
      </c>
    </row>
    <row r="162" spans="1:37" x14ac:dyDescent="0.25">
      <c r="A162" t="s">
        <v>123</v>
      </c>
      <c r="B162" t="s">
        <v>251</v>
      </c>
      <c r="C162">
        <v>105</v>
      </c>
      <c r="D162">
        <v>0.18539647678999999</v>
      </c>
      <c r="E162">
        <v>6.065864563199999E-4</v>
      </c>
      <c r="F162">
        <v>0.58323656784</v>
      </c>
      <c r="G162">
        <v>0.78541350258999976</v>
      </c>
      <c r="H162">
        <v>1.1999757478999999</v>
      </c>
      <c r="I162">
        <v>1.4327301036E-2</v>
      </c>
      <c r="J162">
        <v>6.2299600520000019E-2</v>
      </c>
      <c r="K162">
        <v>65.144803474000014</v>
      </c>
      <c r="L162">
        <v>11.081049050000001</v>
      </c>
      <c r="M162">
        <v>1.7903902005E-2</v>
      </c>
      <c r="N162">
        <v>2.5686258183300001</v>
      </c>
      <c r="O162">
        <v>5.1247889186999997E-2</v>
      </c>
      <c r="P162">
        <v>2.0501314690999999E-3</v>
      </c>
      <c r="Q162">
        <v>3.1341446307000002E-3</v>
      </c>
      <c r="R162">
        <v>0.13730673656</v>
      </c>
      <c r="S162">
        <v>1.7433215359000001</v>
      </c>
      <c r="T162">
        <v>2.4740108974000008</v>
      </c>
      <c r="U162">
        <v>19.657488956000009</v>
      </c>
      <c r="V162">
        <v>0</v>
      </c>
      <c r="W162">
        <v>0</v>
      </c>
      <c r="Y162" t="str">
        <f>$A162 &amp; Keys!$C$8 &amp; $B162</f>
        <v>Kansas|buildings PM25</v>
      </c>
      <c r="Z162" s="8">
        <f>IFERROR(INDEX($U162:$W162, MATCH(INDEX(Runs!$D:$D, MATCH($B162, Runs!$A:$A, 0)), $U$1:$W$1, 0)), 0)</f>
        <v>19.657488956000009</v>
      </c>
      <c r="AA162" s="8">
        <f t="shared" si="8"/>
        <v>9.4313407579665384E-3</v>
      </c>
      <c r="AB162" s="8">
        <f>IFERROR(VLOOKUP(INDEX(Runs!$F:$F, MATCH($B162, Runs!$A:$A, 0)), US_national_yearly!$D:$AM, MATCH(Keys!$C$7, US_national_yearly!$D$1:$AM$1, 0), FALSE), 0)</f>
        <v>2.7627705191843259E-2</v>
      </c>
      <c r="AC162" s="8">
        <f t="shared" si="9"/>
        <v>0.34137257120982406</v>
      </c>
      <c r="AD162">
        <f>IF($Z162&lt;Keys!$C$3, 1, 0)</f>
        <v>0</v>
      </c>
      <c r="AE162">
        <f>IF($AC162&gt;Keys!$C$4, 1, 0)</f>
        <v>0</v>
      </c>
      <c r="AF162">
        <f>IF($AC162&lt;Keys!$C$5, 1, 0)</f>
        <v>0</v>
      </c>
      <c r="AG162">
        <f t="shared" si="10"/>
        <v>0</v>
      </c>
      <c r="AH162" t="str">
        <f>IFERROR(INDEX(Runs!$E:$E, MATCH($B162, Runs!$A:$A, 0)), $B162)</f>
        <v>Industry PM25</v>
      </c>
      <c r="AI162" t="str">
        <f t="shared" si="11"/>
        <v>buildings PM25</v>
      </c>
      <c r="AJ162" t="str">
        <f>IF($AG162=1, IF($AD162=1, Keys!$C$9, "") &amp; IF($AE162=1, Keys!$C$10, "") &amp; IF($AF162=1, Keys!$C$11, ""), "")</f>
        <v/>
      </c>
      <c r="AK162">
        <f>IF($AG162=1, IFERROR(INDEX($AG$2:$AG$577, MATCH($A162 &amp; Keys!$C$8 &amp; $AH162, $Y$2:$Y$577, 0)), 1), 0)</f>
        <v>0</v>
      </c>
    </row>
    <row r="163" spans="1:37" x14ac:dyDescent="0.25">
      <c r="A163" t="s">
        <v>123</v>
      </c>
      <c r="B163" t="s">
        <v>254</v>
      </c>
      <c r="C163">
        <v>105</v>
      </c>
      <c r="D163">
        <v>1.3292349715E-2</v>
      </c>
      <c r="E163">
        <v>4.017750787E-5</v>
      </c>
      <c r="F163">
        <v>3.9711132209999979E-2</v>
      </c>
      <c r="G163">
        <v>5.3476876150000019E-2</v>
      </c>
      <c r="H163">
        <v>8.1703354960000044E-2</v>
      </c>
      <c r="I163">
        <v>1.0354848952E-3</v>
      </c>
      <c r="J163">
        <v>4.4338737570000022E-3</v>
      </c>
      <c r="K163">
        <v>4.4394588530000014</v>
      </c>
      <c r="L163">
        <v>0.75460666610000027</v>
      </c>
      <c r="M163">
        <v>1.2764702712000011E-3</v>
      </c>
      <c r="N163">
        <v>0.17489136331999999</v>
      </c>
      <c r="O163">
        <v>3.5029201920000002E-3</v>
      </c>
      <c r="P163">
        <v>1.3962417900999989E-4</v>
      </c>
      <c r="Q163">
        <v>2.170880365899999E-4</v>
      </c>
      <c r="R163">
        <v>9.3921521550000032E-3</v>
      </c>
      <c r="S163">
        <v>0.1192607711</v>
      </c>
      <c r="T163">
        <v>0.16927738922999999</v>
      </c>
      <c r="U163">
        <v>0</v>
      </c>
      <c r="V163">
        <v>18.651584181</v>
      </c>
      <c r="W163">
        <v>0</v>
      </c>
      <c r="Y163" t="str">
        <f>$A163 &amp; Keys!$C$8 &amp; $B163</f>
        <v>Kansas|buildings SO2</v>
      </c>
      <c r="Z163" s="8">
        <f>IFERROR(INDEX($U163:$W163, MATCH(INDEX(Runs!$D:$D, MATCH($B163, Runs!$A:$A, 0)), $U$1:$W$1, 0)), 0)</f>
        <v>18.651584181</v>
      </c>
      <c r="AA163" s="8">
        <f t="shared" si="8"/>
        <v>7.1266599051359153E-4</v>
      </c>
      <c r="AB163" s="8">
        <f>IFERROR(VLOOKUP(INDEX(Runs!$F:$F, MATCH($B163, Runs!$A:$A, 0)), US_national_yearly!$D:$AM, MATCH(Keys!$C$7, US_national_yearly!$D$1:$AM$1, 0), FALSE), 0)</f>
        <v>5.1581943281164694E-3</v>
      </c>
      <c r="AC163" s="8">
        <f t="shared" si="9"/>
        <v>0.13816191193669583</v>
      </c>
      <c r="AD163">
        <f>IF($Z163&lt;Keys!$C$3, 1, 0)</f>
        <v>0</v>
      </c>
      <c r="AE163">
        <f>IF($AC163&gt;Keys!$C$4, 1, 0)</f>
        <v>0</v>
      </c>
      <c r="AF163">
        <f>IF($AC163&lt;Keys!$C$5, 1, 0)</f>
        <v>0</v>
      </c>
      <c r="AG163">
        <f t="shared" si="10"/>
        <v>0</v>
      </c>
      <c r="AH163" t="str">
        <f>IFERROR(INDEX(Runs!$E:$E, MATCH($B163, Runs!$A:$A, 0)), $B163)</f>
        <v>Industry SO2</v>
      </c>
      <c r="AI163" t="str">
        <f t="shared" si="11"/>
        <v>buildings SO2</v>
      </c>
      <c r="AJ163" t="str">
        <f>IF($AG163=1, IF($AD163=1, Keys!$C$9, "") &amp; IF($AE163=1, Keys!$C$10, "") &amp; IF($AF163=1, Keys!$C$11, ""), "")</f>
        <v/>
      </c>
      <c r="AK163">
        <f>IF($AG163=1, IFERROR(INDEX($AG$2:$AG$577, MATCH($A163 &amp; Keys!$C$8 &amp; $AH163, $Y$2:$Y$577, 0)), 1), 0)</f>
        <v>0</v>
      </c>
    </row>
    <row r="164" spans="1:37" x14ac:dyDescent="0.25">
      <c r="A164" t="s">
        <v>123</v>
      </c>
      <c r="B164" t="s">
        <v>249</v>
      </c>
      <c r="C164">
        <v>105</v>
      </c>
      <c r="D164">
        <v>0.21825187220000011</v>
      </c>
      <c r="E164">
        <v>6.529506779999998E-4</v>
      </c>
      <c r="F164">
        <v>0.6173532679999999</v>
      </c>
      <c r="G164">
        <v>0.83135660300000014</v>
      </c>
      <c r="H164">
        <v>1.270168961</v>
      </c>
      <c r="I164">
        <v>1.6592496009999999E-2</v>
      </c>
      <c r="J164">
        <v>6.9549192999999995E-2</v>
      </c>
      <c r="K164">
        <v>66.793699534000012</v>
      </c>
      <c r="L164">
        <v>11.31828878</v>
      </c>
      <c r="M164">
        <v>2.0069759329999989E-2</v>
      </c>
      <c r="N164">
        <v>2.7188788320000001</v>
      </c>
      <c r="O164">
        <v>5.3521298599999982E-2</v>
      </c>
      <c r="P164">
        <v>2.1601280570000009E-3</v>
      </c>
      <c r="Q164">
        <v>3.2769539899999999E-3</v>
      </c>
      <c r="R164">
        <v>0.14490004670000001</v>
      </c>
      <c r="S164">
        <v>1.8399338480000009</v>
      </c>
      <c r="T164">
        <v>2.611603734</v>
      </c>
      <c r="U164">
        <v>0</v>
      </c>
      <c r="V164">
        <v>0</v>
      </c>
      <c r="W164">
        <v>15686.555046531001</v>
      </c>
      <c r="Y164" t="str">
        <f>$A164 &amp; Keys!$C$8 &amp; $B164</f>
        <v>Kansas|electricity NO2</v>
      </c>
      <c r="Z164" s="8">
        <f>IFERROR(INDEX($U164:$W164, MATCH(INDEX(Runs!$D:$D, MATCH($B164, Runs!$A:$A, 0)), $U$1:$W$1, 0)), 0)</f>
        <v>15686.555046531001</v>
      </c>
      <c r="AA164" s="8">
        <f t="shared" si="8"/>
        <v>1.3913308024139141E-5</v>
      </c>
      <c r="AB164" s="8">
        <f>IFERROR(VLOOKUP(INDEX(Runs!$F:$F, MATCH($B164, Runs!$A:$A, 0)), US_national_yearly!$D:$AM, MATCH(Keys!$C$7, US_national_yearly!$D$1:$AM$1, 0), FALSE), 0)</f>
        <v>6.1439221592658041E-3</v>
      </c>
      <c r="AC164" s="8">
        <f t="shared" si="9"/>
        <v>2.2645645018721681E-3</v>
      </c>
      <c r="AD164">
        <f>IF($Z164&lt;Keys!$C$3, 1, 0)</f>
        <v>0</v>
      </c>
      <c r="AE164">
        <f>IF($AC164&gt;Keys!$C$4, 1, 0)</f>
        <v>0</v>
      </c>
      <c r="AF164">
        <f>IF($AC164&lt;Keys!$C$5, 1, 0)</f>
        <v>0</v>
      </c>
      <c r="AG164">
        <f t="shared" si="10"/>
        <v>0</v>
      </c>
      <c r="AH164" t="str">
        <f>IFERROR(INDEX(Runs!$E:$E, MATCH($B164, Runs!$A:$A, 0)), $B164)</f>
        <v>Industry NO2</v>
      </c>
      <c r="AI164" t="str">
        <f t="shared" si="11"/>
        <v>electricity NO2</v>
      </c>
      <c r="AJ164" t="str">
        <f>IF($AG164=1, IF($AD164=1, Keys!$C$9, "") &amp; IF($AE164=1, Keys!$C$10, "") &amp; IF($AF164=1, Keys!$C$11, ""), "")</f>
        <v/>
      </c>
      <c r="AK164">
        <f>IF($AG164=1, IFERROR(INDEX($AG$2:$AG$577, MATCH($A164 &amp; Keys!$C$8 &amp; $AH164, $Y$2:$Y$577, 0)), 1), 0)</f>
        <v>0</v>
      </c>
    </row>
    <row r="165" spans="1:37" x14ac:dyDescent="0.25">
      <c r="A165" t="s">
        <v>123</v>
      </c>
      <c r="B165" t="s">
        <v>247</v>
      </c>
      <c r="C165">
        <v>105</v>
      </c>
      <c r="D165">
        <v>0.97115178279999981</v>
      </c>
      <c r="E165">
        <v>2.6882755649999999E-3</v>
      </c>
      <c r="F165">
        <v>2.639715523</v>
      </c>
      <c r="G165">
        <v>3.554760058999999</v>
      </c>
      <c r="H165">
        <v>5.431070655000001</v>
      </c>
      <c r="I165">
        <v>7.2976763129999997E-2</v>
      </c>
      <c r="J165">
        <v>0.30567189109999982</v>
      </c>
      <c r="K165">
        <v>293.18511462599992</v>
      </c>
      <c r="L165">
        <v>49.686462687000002</v>
      </c>
      <c r="M165">
        <v>8.8234198419999993E-2</v>
      </c>
      <c r="N165">
        <v>11.625546237</v>
      </c>
      <c r="O165">
        <v>0.23231874769999999</v>
      </c>
      <c r="P165">
        <v>9.2203800439999949E-3</v>
      </c>
      <c r="Q165">
        <v>1.4369630231E-2</v>
      </c>
      <c r="R165">
        <v>0.61733380980000008</v>
      </c>
      <c r="S165">
        <v>7.8379600469999984</v>
      </c>
      <c r="T165">
        <v>11.123182136</v>
      </c>
      <c r="U165">
        <v>752.02921826799991</v>
      </c>
      <c r="V165">
        <v>0</v>
      </c>
      <c r="W165">
        <v>0</v>
      </c>
      <c r="Y165" t="str">
        <f>$A165 &amp; Keys!$C$8 &amp; $B165</f>
        <v>Kansas|electricity PM25</v>
      </c>
      <c r="Z165" s="8">
        <f>IFERROR(INDEX($U165:$W165, MATCH(INDEX(Runs!$D:$D, MATCH($B165, Runs!$A:$A, 0)), $U$1:$W$1, 0)), 0)</f>
        <v>752.02921826799991</v>
      </c>
      <c r="AA165" s="8">
        <f t="shared" si="8"/>
        <v>1.291375067895183E-3</v>
      </c>
      <c r="AB165" s="8">
        <f>IFERROR(VLOOKUP(INDEX(Runs!$F:$F, MATCH($B165, Runs!$A:$A, 0)), US_national_yearly!$D:$AM, MATCH(Keys!$C$7, US_national_yearly!$D$1:$AM$1, 0), FALSE), 0)</f>
        <v>2.4252978284752182E-2</v>
      </c>
      <c r="AC165" s="8">
        <f t="shared" si="9"/>
        <v>5.3246040660790472E-2</v>
      </c>
      <c r="AD165">
        <f>IF($Z165&lt;Keys!$C$3, 1, 0)</f>
        <v>0</v>
      </c>
      <c r="AE165">
        <f>IF($AC165&gt;Keys!$C$4, 1, 0)</f>
        <v>0</v>
      </c>
      <c r="AF165">
        <f>IF($AC165&lt;Keys!$C$5, 1, 0)</f>
        <v>0</v>
      </c>
      <c r="AG165">
        <f t="shared" si="10"/>
        <v>0</v>
      </c>
      <c r="AH165" t="str">
        <f>IFERROR(INDEX(Runs!$E:$E, MATCH($B165, Runs!$A:$A, 0)), $B165)</f>
        <v>Industry PM25</v>
      </c>
      <c r="AI165" t="str">
        <f t="shared" si="11"/>
        <v>electricity PM25</v>
      </c>
      <c r="AJ165" t="str">
        <f>IF($AG165=1, IF($AD165=1, Keys!$C$9, "") &amp; IF($AE165=1, Keys!$C$10, "") &amp; IF($AF165=1, Keys!$C$11, ""), "")</f>
        <v/>
      </c>
      <c r="AK165">
        <f>IF($AG165=1, IFERROR(INDEX($AG$2:$AG$577, MATCH($A165 &amp; Keys!$C$8 &amp; $AH165, $Y$2:$Y$577, 0)), 1), 0)</f>
        <v>0</v>
      </c>
    </row>
    <row r="166" spans="1:37" x14ac:dyDescent="0.25">
      <c r="A166" t="s">
        <v>123</v>
      </c>
      <c r="B166" t="s">
        <v>250</v>
      </c>
      <c r="C166">
        <v>105</v>
      </c>
      <c r="D166">
        <v>0.94438036500000011</v>
      </c>
      <c r="E166">
        <v>2.7152783959999999E-3</v>
      </c>
      <c r="F166">
        <v>2.6299074220000001</v>
      </c>
      <c r="G166">
        <v>3.541553086</v>
      </c>
      <c r="H166">
        <v>5.4108888729999993</v>
      </c>
      <c r="I166">
        <v>7.1596507500000059E-2</v>
      </c>
      <c r="J166">
        <v>0.3009266778000001</v>
      </c>
      <c r="K166">
        <v>294.73506719300008</v>
      </c>
      <c r="L166">
        <v>49.96912948100001</v>
      </c>
      <c r="M166">
        <v>8.6861012399999993E-2</v>
      </c>
      <c r="N166">
        <v>11.582349381</v>
      </c>
      <c r="O166">
        <v>0.23213061330000009</v>
      </c>
      <c r="P166">
        <v>9.1528983099999992E-3</v>
      </c>
      <c r="Q166">
        <v>1.4277579130000001E-2</v>
      </c>
      <c r="R166">
        <v>0.6106595840000002</v>
      </c>
      <c r="S166">
        <v>7.7533365970000014</v>
      </c>
      <c r="T166">
        <v>11.003314608</v>
      </c>
      <c r="U166">
        <v>0</v>
      </c>
      <c r="V166">
        <v>2296.18974850115</v>
      </c>
      <c r="W166">
        <v>0</v>
      </c>
      <c r="Y166" t="str">
        <f>$A166 &amp; Keys!$C$8 &amp; $B166</f>
        <v>Kansas|electricity SO2</v>
      </c>
      <c r="Z166" s="8">
        <f>IFERROR(INDEX($U166:$W166, MATCH(INDEX(Runs!$D:$D, MATCH($B166, Runs!$A:$A, 0)), $U$1:$W$1, 0)), 0)</f>
        <v>2296.18974850115</v>
      </c>
      <c r="AA166" s="8">
        <f t="shared" si="8"/>
        <v>4.112815004145234E-4</v>
      </c>
      <c r="AB166" s="8">
        <f>IFERROR(VLOOKUP(INDEX(Runs!$F:$F, MATCH($B166, Runs!$A:$A, 0)), US_national_yearly!$D:$AM, MATCH(Keys!$C$7, US_national_yearly!$D$1:$AM$1, 0), FALSE), 0)</f>
        <v>5.7032329662362116E-3</v>
      </c>
      <c r="AC166" s="8">
        <f t="shared" si="9"/>
        <v>7.2113747211337273E-2</v>
      </c>
      <c r="AD166">
        <f>IF($Z166&lt;Keys!$C$3, 1, 0)</f>
        <v>0</v>
      </c>
      <c r="AE166">
        <f>IF($AC166&gt;Keys!$C$4, 1, 0)</f>
        <v>0</v>
      </c>
      <c r="AF166">
        <f>IF($AC166&lt;Keys!$C$5, 1, 0)</f>
        <v>0</v>
      </c>
      <c r="AG166">
        <f t="shared" si="10"/>
        <v>0</v>
      </c>
      <c r="AH166" t="str">
        <f>IFERROR(INDEX(Runs!$E:$E, MATCH($B166, Runs!$A:$A, 0)), $B166)</f>
        <v>Industry SO2</v>
      </c>
      <c r="AI166" t="str">
        <f t="shared" si="11"/>
        <v>electricity SO2</v>
      </c>
      <c r="AJ166" t="str">
        <f>IF($AG166=1, IF($AD166=1, Keys!$C$9, "") &amp; IF($AE166=1, Keys!$C$10, "") &amp; IF($AF166=1, Keys!$C$11, ""), "")</f>
        <v/>
      </c>
      <c r="AK166">
        <f>IF($AG166=1, IFERROR(INDEX($AG$2:$AG$577, MATCH($A166 &amp; Keys!$C$8 &amp; $AH166, $Y$2:$Y$577, 0)), 1), 0)</f>
        <v>0</v>
      </c>
    </row>
    <row r="167" spans="1:37" x14ac:dyDescent="0.25">
      <c r="A167" t="s">
        <v>123</v>
      </c>
      <c r="B167" t="s">
        <v>239</v>
      </c>
      <c r="C167">
        <v>105</v>
      </c>
      <c r="D167">
        <v>16.264939843000011</v>
      </c>
      <c r="E167">
        <v>4.8350071580000001E-2</v>
      </c>
      <c r="F167">
        <v>47.661411060000013</v>
      </c>
      <c r="G167">
        <v>64.181945730999999</v>
      </c>
      <c r="H167">
        <v>98.062916420999983</v>
      </c>
      <c r="I167">
        <v>1.2569924536999999</v>
      </c>
      <c r="J167">
        <v>5.3647243890000009</v>
      </c>
      <c r="K167">
        <v>5313.7948717280015</v>
      </c>
      <c r="L167">
        <v>902.34787265400041</v>
      </c>
      <c r="M167">
        <v>1.5455778</v>
      </c>
      <c r="N167">
        <v>209.906273212</v>
      </c>
      <c r="O167">
        <v>4.1966134780000024</v>
      </c>
      <c r="P167">
        <v>0.1672237107</v>
      </c>
      <c r="Q167">
        <v>0.26109403930000002</v>
      </c>
      <c r="R167">
        <v>11.234112156</v>
      </c>
      <c r="S167">
        <v>142.674408513</v>
      </c>
      <c r="T167">
        <v>202.62015447100001</v>
      </c>
      <c r="U167">
        <v>0</v>
      </c>
      <c r="V167">
        <v>0</v>
      </c>
      <c r="W167">
        <v>61606.49537603998</v>
      </c>
      <c r="Y167" t="str">
        <f>$A167 &amp; Keys!$C$8 &amp; $B167</f>
        <v>Kansas|transportation NO2</v>
      </c>
      <c r="Z167" s="8">
        <f>IFERROR(INDEX($U167:$W167, MATCH(INDEX(Runs!$D:$D, MATCH($B167, Runs!$A:$A, 0)), $U$1:$W$1, 0)), 0)</f>
        <v>61606.49537603998</v>
      </c>
      <c r="AA167" s="8">
        <f t="shared" si="8"/>
        <v>2.6401339247948485E-4</v>
      </c>
      <c r="AB167" s="8">
        <f>IFERROR(VLOOKUP(INDEX(Runs!$F:$F, MATCH($B167, Runs!$A:$A, 0)), US_national_yearly!$D:$AM, MATCH(Keys!$C$7, US_national_yearly!$D$1:$AM$1, 0), FALSE), 0)</f>
        <v>5.7148835886332216E-3</v>
      </c>
      <c r="AC167" s="8">
        <f t="shared" si="9"/>
        <v>4.6197510130320363E-2</v>
      </c>
      <c r="AD167">
        <f>IF($Z167&lt;Keys!$C$3, 1, 0)</f>
        <v>0</v>
      </c>
      <c r="AE167">
        <f>IF($AC167&gt;Keys!$C$4, 1, 0)</f>
        <v>0</v>
      </c>
      <c r="AF167">
        <f>IF($AC167&lt;Keys!$C$5, 1, 0)</f>
        <v>0</v>
      </c>
      <c r="AG167">
        <f t="shared" si="10"/>
        <v>0</v>
      </c>
      <c r="AH167" t="str">
        <f>IFERROR(INDEX(Runs!$E:$E, MATCH($B167, Runs!$A:$A, 0)), $B167)</f>
        <v>Industry NO2</v>
      </c>
      <c r="AI167" t="str">
        <f t="shared" si="11"/>
        <v>transportation NO2</v>
      </c>
      <c r="AJ167" t="str">
        <f>IF($AG167=1, IF($AD167=1, Keys!$C$9, "") &amp; IF($AE167=1, Keys!$C$10, "") &amp; IF($AF167=1, Keys!$C$11, ""), "")</f>
        <v/>
      </c>
      <c r="AK167">
        <f>IF($AG167=1, IFERROR(INDEX($AG$2:$AG$577, MATCH($A167 &amp; Keys!$C$8 &amp; $AH167, $Y$2:$Y$577, 0)), 1), 0)</f>
        <v>0</v>
      </c>
    </row>
    <row r="168" spans="1:37" x14ac:dyDescent="0.25">
      <c r="A168" t="s">
        <v>123</v>
      </c>
      <c r="B168" t="s">
        <v>234</v>
      </c>
      <c r="C168">
        <v>105</v>
      </c>
      <c r="D168">
        <v>11.369238791000001</v>
      </c>
      <c r="E168">
        <v>3.4601782960000008E-2</v>
      </c>
      <c r="F168">
        <v>34.356891590999993</v>
      </c>
      <c r="G168">
        <v>46.265924167000001</v>
      </c>
      <c r="H168">
        <v>70.688686939999997</v>
      </c>
      <c r="I168">
        <v>0.88742227879999991</v>
      </c>
      <c r="J168">
        <v>3.8168041639999979</v>
      </c>
      <c r="K168">
        <v>3831.8779159370001</v>
      </c>
      <c r="L168">
        <v>651.30811983199999</v>
      </c>
      <c r="M168">
        <v>1.0985036582000001</v>
      </c>
      <c r="N168">
        <v>151.311502698</v>
      </c>
      <c r="O168">
        <v>3.0239445960000011</v>
      </c>
      <c r="P168">
        <v>0.12084180294999999</v>
      </c>
      <c r="Q168">
        <v>0.18818016005999999</v>
      </c>
      <c r="R168">
        <v>8.1278061860000008</v>
      </c>
      <c r="S168">
        <v>103.22338671</v>
      </c>
      <c r="T168">
        <v>146.58542244200001</v>
      </c>
      <c r="U168">
        <v>1374.507832712</v>
      </c>
      <c r="V168">
        <v>0</v>
      </c>
      <c r="W168">
        <v>0</v>
      </c>
      <c r="Y168" t="str">
        <f>$A168 &amp; Keys!$C$8 &amp; $B168</f>
        <v>Kansas|transportation PM25</v>
      </c>
      <c r="Z168" s="8">
        <f>IFERROR(INDEX($U168:$W168, MATCH(INDEX(Runs!$D:$D, MATCH($B168, Runs!$A:$A, 0)), $U$1:$W$1, 0)), 0)</f>
        <v>1374.507832712</v>
      </c>
      <c r="AA168" s="8">
        <f t="shared" si="8"/>
        <v>8.2714980012647127E-3</v>
      </c>
      <c r="AB168" s="8">
        <f>IFERROR(VLOOKUP(INDEX(Runs!$F:$F, MATCH($B168, Runs!$A:$A, 0)), US_national_yearly!$D:$AM, MATCH(Keys!$C$7, US_national_yearly!$D$1:$AM$1, 0), FALSE), 0)</f>
        <v>2.8248683697579859E-2</v>
      </c>
      <c r="AC168" s="8">
        <f t="shared" si="9"/>
        <v>0.2928100328431712</v>
      </c>
      <c r="AD168">
        <f>IF($Z168&lt;Keys!$C$3, 1, 0)</f>
        <v>0</v>
      </c>
      <c r="AE168">
        <f>IF($AC168&gt;Keys!$C$4, 1, 0)</f>
        <v>0</v>
      </c>
      <c r="AF168">
        <f>IF($AC168&lt;Keys!$C$5, 1, 0)</f>
        <v>0</v>
      </c>
      <c r="AG168">
        <f t="shared" si="10"/>
        <v>0</v>
      </c>
      <c r="AH168" t="str">
        <f>IFERROR(INDEX(Runs!$E:$E, MATCH($B168, Runs!$A:$A, 0)), $B168)</f>
        <v>Industry PM25</v>
      </c>
      <c r="AI168" t="str">
        <f t="shared" si="11"/>
        <v>transportation PM25</v>
      </c>
      <c r="AJ168" t="str">
        <f>IF($AG168=1, IF($AD168=1, Keys!$C$9, "") &amp; IF($AE168=1, Keys!$C$10, "") &amp; IF($AF168=1, Keys!$C$11, ""), "")</f>
        <v/>
      </c>
      <c r="AK168">
        <f>IF($AG168=1, IFERROR(INDEX($AG$2:$AG$577, MATCH($A168 &amp; Keys!$C$8 &amp; $AH168, $Y$2:$Y$577, 0)), 1), 0)</f>
        <v>0</v>
      </c>
    </row>
    <row r="169" spans="1:37" x14ac:dyDescent="0.25">
      <c r="A169" t="s">
        <v>123</v>
      </c>
      <c r="B169" t="s">
        <v>243</v>
      </c>
      <c r="C169">
        <v>105</v>
      </c>
      <c r="D169">
        <v>0.15336128916000011</v>
      </c>
      <c r="E169">
        <v>5.0527757469999988E-4</v>
      </c>
      <c r="F169">
        <v>0.44901792680000002</v>
      </c>
      <c r="G169">
        <v>0.60466842430000001</v>
      </c>
      <c r="H169">
        <v>0.92382862239999985</v>
      </c>
      <c r="I169">
        <v>1.1444062527000001E-2</v>
      </c>
      <c r="J169">
        <v>4.8801865300000011E-2</v>
      </c>
      <c r="K169">
        <v>49.001155617000002</v>
      </c>
      <c r="L169">
        <v>8.3308106239999962</v>
      </c>
      <c r="M169">
        <v>1.4050771625E-2</v>
      </c>
      <c r="N169">
        <v>1.9775149734999999</v>
      </c>
      <c r="O169">
        <v>3.9115669250000012E-2</v>
      </c>
      <c r="P169">
        <v>1.5827483382E-3</v>
      </c>
      <c r="Q169">
        <v>2.3741149558E-3</v>
      </c>
      <c r="R169">
        <v>0.10640696739</v>
      </c>
      <c r="S169">
        <v>1.3510171354</v>
      </c>
      <c r="T169">
        <v>1.9173159663999999</v>
      </c>
      <c r="U169">
        <v>0</v>
      </c>
      <c r="V169">
        <v>188.23715021000001</v>
      </c>
      <c r="W169">
        <v>0</v>
      </c>
      <c r="Y169" t="str">
        <f>$A169 &amp; Keys!$C$8 &amp; $B169</f>
        <v>Kansas|transportation SO2</v>
      </c>
      <c r="Z169" s="8">
        <f>IFERROR(INDEX($U169:$W169, MATCH(INDEX(Runs!$D:$D, MATCH($B169, Runs!$A:$A, 0)), $U$1:$W$1, 0)), 0)</f>
        <v>188.23715021000001</v>
      </c>
      <c r="AA169" s="8">
        <f t="shared" si="8"/>
        <v>8.1472381508595993E-4</v>
      </c>
      <c r="AB169" s="8">
        <f>IFERROR(VLOOKUP(INDEX(Runs!$F:$F, MATCH($B169, Runs!$A:$A, 0)), US_national_yearly!$D:$AM, MATCH(Keys!$C$7, US_national_yearly!$D$1:$AM$1, 0), FALSE), 0)</f>
        <v>5.1800714166247604E-3</v>
      </c>
      <c r="AC169" s="8">
        <f t="shared" si="9"/>
        <v>0.15728042136083503</v>
      </c>
      <c r="AD169">
        <f>IF($Z169&lt;Keys!$C$3, 1, 0)</f>
        <v>0</v>
      </c>
      <c r="AE169">
        <f>IF($AC169&gt;Keys!$C$4, 1, 0)</f>
        <v>0</v>
      </c>
      <c r="AF169">
        <f>IF($AC169&lt;Keys!$C$5, 1, 0)</f>
        <v>0</v>
      </c>
      <c r="AG169">
        <f t="shared" si="10"/>
        <v>0</v>
      </c>
      <c r="AH169" t="str">
        <f>IFERROR(INDEX(Runs!$E:$E, MATCH($B169, Runs!$A:$A, 0)), $B169)</f>
        <v>Industry SO2</v>
      </c>
      <c r="AI169" t="str">
        <f t="shared" si="11"/>
        <v>transportation SO2</v>
      </c>
      <c r="AJ169" t="str">
        <f>IF($AG169=1, IF($AD169=1, Keys!$C$9, "") &amp; IF($AE169=1, Keys!$C$10, "") &amp; IF($AF169=1, Keys!$C$11, ""), "")</f>
        <v/>
      </c>
      <c r="AK169">
        <f>IF($AG169=1, IFERROR(INDEX($AG$2:$AG$577, MATCH($A169 &amp; Keys!$C$8 &amp; $AH169, $Y$2:$Y$577, 0)), 1), 0)</f>
        <v>0</v>
      </c>
    </row>
    <row r="170" spans="1:37" x14ac:dyDescent="0.25">
      <c r="A170" t="s">
        <v>126</v>
      </c>
      <c r="B170" t="s">
        <v>242</v>
      </c>
      <c r="C170">
        <v>120</v>
      </c>
      <c r="D170">
        <v>9.2474298689999994</v>
      </c>
      <c r="E170">
        <v>2.2481375660000011E-2</v>
      </c>
      <c r="F170">
        <v>20.18787855099999</v>
      </c>
      <c r="G170">
        <v>27.18572499399999</v>
      </c>
      <c r="H170">
        <v>41.535832470999978</v>
      </c>
      <c r="I170">
        <v>1.0652406830000001</v>
      </c>
      <c r="J170">
        <v>5.0354982600000033</v>
      </c>
      <c r="K170">
        <v>2435.419931241001</v>
      </c>
      <c r="L170">
        <v>410.50326700200009</v>
      </c>
      <c r="M170">
        <v>0.97751536999999999</v>
      </c>
      <c r="N170">
        <v>88.909436015999972</v>
      </c>
      <c r="O170">
        <v>1.459547095</v>
      </c>
      <c r="P170">
        <v>5.0292744399999978E-2</v>
      </c>
      <c r="Q170">
        <v>0.30006922839999989</v>
      </c>
      <c r="R170">
        <v>4.7815407480000003</v>
      </c>
      <c r="S170">
        <v>60.750133913000013</v>
      </c>
      <c r="T170">
        <v>86.320219854999991</v>
      </c>
      <c r="U170">
        <v>0</v>
      </c>
      <c r="V170">
        <v>0</v>
      </c>
      <c r="W170">
        <v>34977.563512799999</v>
      </c>
      <c r="Y170" t="str">
        <f>$A170 &amp; Keys!$C$8 &amp; $B170</f>
        <v>Kentucky|Industry NO2</v>
      </c>
      <c r="Z170" s="8">
        <f>IFERROR(INDEX($U170:$W170, MATCH(INDEX(Runs!$D:$D, MATCH($B170, Runs!$A:$A, 0)), $U$1:$W$1, 0)), 0)</f>
        <v>34977.563512799999</v>
      </c>
      <c r="AA170" s="8">
        <f t="shared" si="8"/>
        <v>2.6438176191477465E-4</v>
      </c>
      <c r="AB170" s="8">
        <f>IFERROR(VLOOKUP(INDEX(Runs!$F:$F, MATCH($B170, Runs!$A:$A, 0)), US_national_yearly!$D:$AM, MATCH(Keys!$C$7, US_national_yearly!$D$1:$AM$1, 0), FALSE), 0)</f>
        <v>5.8012217057786938E-3</v>
      </c>
      <c r="AC170" s="8">
        <f t="shared" si="9"/>
        <v>4.5573462853767434E-2</v>
      </c>
      <c r="AD170">
        <f>IF($Z170&lt;Keys!$C$3, 1, 0)</f>
        <v>0</v>
      </c>
      <c r="AE170">
        <f>IF($AC170&gt;Keys!$C$4, 1, 0)</f>
        <v>0</v>
      </c>
      <c r="AF170">
        <f>IF($AC170&lt;Keys!$C$5, 1, 0)</f>
        <v>0</v>
      </c>
      <c r="AG170">
        <f t="shared" si="10"/>
        <v>0</v>
      </c>
      <c r="AH170" t="str">
        <f>IFERROR(INDEX(Runs!$E:$E, MATCH($B170, Runs!$A:$A, 0)), $B170)</f>
        <v>Industry NO2</v>
      </c>
      <c r="AI170" t="str">
        <f t="shared" si="11"/>
        <v>Industry NO2</v>
      </c>
      <c r="AJ170" t="str">
        <f>IF($AG170=1, IF($AD170=1, Keys!$C$9, "") &amp; IF($AE170=1, Keys!$C$10, "") &amp; IF($AF170=1, Keys!$C$11, ""), "")</f>
        <v/>
      </c>
      <c r="AK170">
        <f>IF($AG170=1, IFERROR(INDEX($AG$2:$AG$577, MATCH($A170 &amp; Keys!$C$8 &amp; $AH170, $Y$2:$Y$577, 0)), 1), 0)</f>
        <v>0</v>
      </c>
    </row>
    <row r="171" spans="1:37" x14ac:dyDescent="0.25">
      <c r="A171" t="s">
        <v>126</v>
      </c>
      <c r="B171" t="s">
        <v>238</v>
      </c>
      <c r="C171">
        <v>120</v>
      </c>
      <c r="D171">
        <v>121.707588543</v>
      </c>
      <c r="E171">
        <v>0.31572858310000018</v>
      </c>
      <c r="F171">
        <v>281.23277525600008</v>
      </c>
      <c r="G171">
        <v>378.68583832899998</v>
      </c>
      <c r="H171">
        <v>578.69209753600023</v>
      </c>
      <c r="I171">
        <v>13.726698503</v>
      </c>
      <c r="J171">
        <v>66.062899086000002</v>
      </c>
      <c r="K171">
        <v>34238.869253157987</v>
      </c>
      <c r="L171">
        <v>5792.6239561209986</v>
      </c>
      <c r="M171">
        <v>12.685777684</v>
      </c>
      <c r="N171">
        <v>1238.6107111209999</v>
      </c>
      <c r="O171">
        <v>21.619396342999998</v>
      </c>
      <c r="P171">
        <v>0.7066228481000002</v>
      </c>
      <c r="Q171">
        <v>4.0951389410000019</v>
      </c>
      <c r="R171">
        <v>66.386543299999985</v>
      </c>
      <c r="S171">
        <v>844.05466533300046</v>
      </c>
      <c r="T171">
        <v>1202.217967692</v>
      </c>
      <c r="U171">
        <v>8030.9140168229987</v>
      </c>
      <c r="V171">
        <v>0</v>
      </c>
      <c r="W171">
        <v>0</v>
      </c>
      <c r="Y171" t="str">
        <f>$A171 &amp; Keys!$C$8 &amp; $B171</f>
        <v>Kentucky|Industry PM25</v>
      </c>
      <c r="Z171" s="8">
        <f>IFERROR(INDEX($U171:$W171, MATCH(INDEX(Runs!$D:$D, MATCH($B171, Runs!$A:$A, 0)), $U$1:$W$1, 0)), 0)</f>
        <v>8030.9140168229987</v>
      </c>
      <c r="AA171" s="8">
        <f t="shared" si="8"/>
        <v>1.5154886266749882E-2</v>
      </c>
      <c r="AB171" s="8">
        <f>IFERROR(VLOOKUP(INDEX(Runs!$F:$F, MATCH($B171, Runs!$A:$A, 0)), US_national_yearly!$D:$AM, MATCH(Keys!$C$7, US_national_yearly!$D$1:$AM$1, 0), FALSE), 0)</f>
        <v>2.6833191881203179E-2</v>
      </c>
      <c r="AC171" s="8">
        <f t="shared" si="9"/>
        <v>0.56478134743880304</v>
      </c>
      <c r="AD171">
        <f>IF($Z171&lt;Keys!$C$3, 1, 0)</f>
        <v>0</v>
      </c>
      <c r="AE171">
        <f>IF($AC171&gt;Keys!$C$4, 1, 0)</f>
        <v>0</v>
      </c>
      <c r="AF171">
        <f>IF($AC171&lt;Keys!$C$5, 1, 0)</f>
        <v>0</v>
      </c>
      <c r="AG171">
        <f t="shared" si="10"/>
        <v>0</v>
      </c>
      <c r="AH171" t="str">
        <f>IFERROR(INDEX(Runs!$E:$E, MATCH($B171, Runs!$A:$A, 0)), $B171)</f>
        <v>Industry PM25</v>
      </c>
      <c r="AI171" t="str">
        <f t="shared" si="11"/>
        <v>Industry PM25</v>
      </c>
      <c r="AJ171" t="str">
        <f>IF($AG171=1, IF($AD171=1, Keys!$C$9, "") &amp; IF($AE171=1, Keys!$C$10, "") &amp; IF($AF171=1, Keys!$C$11, ""), "")</f>
        <v/>
      </c>
      <c r="AK171">
        <f>IF($AG171=1, IFERROR(INDEX($AG$2:$AG$577, MATCH($A171 &amp; Keys!$C$8 &amp; $AH171, $Y$2:$Y$577, 0)), 1), 0)</f>
        <v>0</v>
      </c>
    </row>
    <row r="172" spans="1:37" x14ac:dyDescent="0.25">
      <c r="A172" t="s">
        <v>126</v>
      </c>
      <c r="B172" t="s">
        <v>246</v>
      </c>
      <c r="C172">
        <v>120</v>
      </c>
      <c r="D172">
        <v>15.826043901</v>
      </c>
      <c r="E172">
        <v>3.7382583940000012E-2</v>
      </c>
      <c r="F172">
        <v>33.70844967299999</v>
      </c>
      <c r="G172">
        <v>45.392908171000002</v>
      </c>
      <c r="H172">
        <v>69.354134945999988</v>
      </c>
      <c r="I172">
        <v>1.76722713</v>
      </c>
      <c r="J172">
        <v>8.0310812330000019</v>
      </c>
      <c r="K172">
        <v>4099.486651012</v>
      </c>
      <c r="L172">
        <v>691.34347093899999</v>
      </c>
      <c r="M172">
        <v>1.6498043849999999</v>
      </c>
      <c r="N172">
        <v>148.45549278999999</v>
      </c>
      <c r="O172">
        <v>2.5684424129999979</v>
      </c>
      <c r="P172">
        <v>8.4254303220000021E-2</v>
      </c>
      <c r="Q172">
        <v>0.60175697430000008</v>
      </c>
      <c r="R172">
        <v>8.0032354259999998</v>
      </c>
      <c r="S172">
        <v>101.689715124</v>
      </c>
      <c r="T172">
        <v>144.51414273099999</v>
      </c>
      <c r="U172">
        <v>0</v>
      </c>
      <c r="V172">
        <v>7557.3602666149973</v>
      </c>
      <c r="W172">
        <v>0</v>
      </c>
      <c r="Y172" t="str">
        <f>$A172 &amp; Keys!$C$8 &amp; $B172</f>
        <v>Kentucky|Industry SO2</v>
      </c>
      <c r="Z172" s="8">
        <f>IFERROR(INDEX($U172:$W172, MATCH(INDEX(Runs!$D:$D, MATCH($B172, Runs!$A:$A, 0)), $U$1:$W$1, 0)), 0)</f>
        <v>7557.3602666149973</v>
      </c>
      <c r="AA172" s="8">
        <f t="shared" si="8"/>
        <v>2.0941232576819594E-3</v>
      </c>
      <c r="AB172" s="8">
        <f>IFERROR(VLOOKUP(INDEX(Runs!$F:$F, MATCH($B172, Runs!$A:$A, 0)), US_national_yearly!$D:$AM, MATCH(Keys!$C$7, US_national_yearly!$D$1:$AM$1, 0), FALSE), 0)</f>
        <v>5.3000351638639942E-3</v>
      </c>
      <c r="AC172" s="8">
        <f t="shared" si="9"/>
        <v>0.39511497432315851</v>
      </c>
      <c r="AD172">
        <f>IF($Z172&lt;Keys!$C$3, 1, 0)</f>
        <v>0</v>
      </c>
      <c r="AE172">
        <f>IF($AC172&gt;Keys!$C$4, 1, 0)</f>
        <v>0</v>
      </c>
      <c r="AF172">
        <f>IF($AC172&lt;Keys!$C$5, 1, 0)</f>
        <v>0</v>
      </c>
      <c r="AG172">
        <f t="shared" si="10"/>
        <v>0</v>
      </c>
      <c r="AH172" t="str">
        <f>IFERROR(INDEX(Runs!$E:$E, MATCH($B172, Runs!$A:$A, 0)), $B172)</f>
        <v>Industry SO2</v>
      </c>
      <c r="AI172" t="str">
        <f t="shared" si="11"/>
        <v>Industry SO2</v>
      </c>
      <c r="AJ172" t="str">
        <f>IF($AG172=1, IF($AD172=1, Keys!$C$9, "") &amp; IF($AE172=1, Keys!$C$10, "") &amp; IF($AF172=1, Keys!$C$11, ""), "")</f>
        <v/>
      </c>
      <c r="AK172">
        <f>IF($AG172=1, IFERROR(INDEX($AG$2:$AG$577, MATCH($A172 &amp; Keys!$C$8 &amp; $AH172, $Y$2:$Y$577, 0)), 1), 0)</f>
        <v>0</v>
      </c>
    </row>
    <row r="173" spans="1:37" x14ac:dyDescent="0.25">
      <c r="A173" t="s">
        <v>126</v>
      </c>
      <c r="B173" t="s">
        <v>253</v>
      </c>
      <c r="C173">
        <v>120</v>
      </c>
      <c r="D173">
        <v>4.757446367</v>
      </c>
      <c r="E173">
        <v>1.2826197180000011E-2</v>
      </c>
      <c r="F173">
        <v>11.324965267999991</v>
      </c>
      <c r="G173">
        <v>15.250656085999999</v>
      </c>
      <c r="H173">
        <v>23.30060674100001</v>
      </c>
      <c r="I173">
        <v>0.54079332620000009</v>
      </c>
      <c r="J173">
        <v>2.6443563760000002</v>
      </c>
      <c r="K173">
        <v>1382.4171724050011</v>
      </c>
      <c r="L173">
        <v>234.219829511</v>
      </c>
      <c r="M173">
        <v>0.49694692120000011</v>
      </c>
      <c r="N173">
        <v>49.876228095000002</v>
      </c>
      <c r="O173">
        <v>0.88395474449999978</v>
      </c>
      <c r="P173">
        <v>2.8438185809999999E-2</v>
      </c>
      <c r="Q173">
        <v>0.15641064690000009</v>
      </c>
      <c r="R173">
        <v>2.6869442690000001</v>
      </c>
      <c r="S173">
        <v>34.123421892000017</v>
      </c>
      <c r="T173">
        <v>48.449184229000011</v>
      </c>
      <c r="U173">
        <v>0</v>
      </c>
      <c r="V173">
        <v>0</v>
      </c>
      <c r="W173">
        <v>4570.9098045750025</v>
      </c>
      <c r="Y173" t="str">
        <f>$A173 &amp; Keys!$C$8 &amp; $B173</f>
        <v>Kentucky|buildings NO2</v>
      </c>
      <c r="Z173" s="8">
        <f>IFERROR(INDEX($U173:$W173, MATCH(INDEX(Runs!$D:$D, MATCH($B173, Runs!$A:$A, 0)), $U$1:$W$1, 0)), 0)</f>
        <v>4570.9098045750025</v>
      </c>
      <c r="AA173" s="8">
        <f t="shared" si="8"/>
        <v>1.0408095041031643E-3</v>
      </c>
      <c r="AB173" s="8">
        <f>IFERROR(VLOOKUP(INDEX(Runs!$F:$F, MATCH($B173, Runs!$A:$A, 0)), US_national_yearly!$D:$AM, MATCH(Keys!$C$7, US_national_yearly!$D$1:$AM$1, 0), FALSE), 0)</f>
        <v>5.6784740124662739E-3</v>
      </c>
      <c r="AC173" s="8">
        <f t="shared" si="9"/>
        <v>0.18329035262259133</v>
      </c>
      <c r="AD173">
        <f>IF($Z173&lt;Keys!$C$3, 1, 0)</f>
        <v>0</v>
      </c>
      <c r="AE173">
        <f>IF($AC173&gt;Keys!$C$4, 1, 0)</f>
        <v>0</v>
      </c>
      <c r="AF173">
        <f>IF($AC173&lt;Keys!$C$5, 1, 0)</f>
        <v>0</v>
      </c>
      <c r="AG173">
        <f t="shared" si="10"/>
        <v>0</v>
      </c>
      <c r="AH173" t="str">
        <f>IFERROR(INDEX(Runs!$E:$E, MATCH($B173, Runs!$A:$A, 0)), $B173)</f>
        <v>Industry NO2</v>
      </c>
      <c r="AI173" t="str">
        <f t="shared" si="11"/>
        <v>buildings NO2</v>
      </c>
      <c r="AJ173" t="str">
        <f>IF($AG173=1, IF($AD173=1, Keys!$C$9, "") &amp; IF($AE173=1, Keys!$C$10, "") &amp; IF($AF173=1, Keys!$C$11, ""), "")</f>
        <v/>
      </c>
      <c r="AK173">
        <f>IF($AG173=1, IFERROR(INDEX($AG$2:$AG$577, MATCH($A173 &amp; Keys!$C$8 &amp; $AH173, $Y$2:$Y$577, 0)), 1), 0)</f>
        <v>0</v>
      </c>
    </row>
    <row r="174" spans="1:37" x14ac:dyDescent="0.25">
      <c r="A174" t="s">
        <v>126</v>
      </c>
      <c r="B174" t="s">
        <v>251</v>
      </c>
      <c r="C174">
        <v>120</v>
      </c>
      <c r="D174">
        <v>1.1637332773</v>
      </c>
      <c r="E174">
        <v>3.196893487999999E-3</v>
      </c>
      <c r="F174">
        <v>2.8423771359999979</v>
      </c>
      <c r="G174">
        <v>3.8276744579999979</v>
      </c>
      <c r="H174">
        <v>5.8480335750000014</v>
      </c>
      <c r="I174">
        <v>0.14074177031999999</v>
      </c>
      <c r="J174">
        <v>0.6891727619000001</v>
      </c>
      <c r="K174">
        <v>351.05093509099987</v>
      </c>
      <c r="L174">
        <v>59.432483023000003</v>
      </c>
      <c r="M174">
        <v>0.12352366449999989</v>
      </c>
      <c r="N174">
        <v>12.518085169000001</v>
      </c>
      <c r="O174">
        <v>0.21150907110000011</v>
      </c>
      <c r="P174">
        <v>7.150663067E-3</v>
      </c>
      <c r="Q174">
        <v>4.1913913439999992E-2</v>
      </c>
      <c r="R174">
        <v>0.66936886820000019</v>
      </c>
      <c r="S174">
        <v>8.5016844630000037</v>
      </c>
      <c r="T174">
        <v>12.072354934999989</v>
      </c>
      <c r="U174">
        <v>78.074919219000023</v>
      </c>
      <c r="V174">
        <v>0</v>
      </c>
      <c r="W174">
        <v>0</v>
      </c>
      <c r="Y174" t="str">
        <f>$A174 &amp; Keys!$C$8 &amp; $B174</f>
        <v>Kentucky|buildings PM25</v>
      </c>
      <c r="Z174" s="8">
        <f>IFERROR(INDEX($U174:$W174, MATCH(INDEX(Runs!$D:$D, MATCH($B174, Runs!$A:$A, 0)), $U$1:$W$1, 0)), 0)</f>
        <v>78.074919219000023</v>
      </c>
      <c r="AA174" s="8">
        <f t="shared" si="8"/>
        <v>1.4905340779613616E-2</v>
      </c>
      <c r="AB174" s="8">
        <f>IFERROR(VLOOKUP(INDEX(Runs!$F:$F, MATCH($B174, Runs!$A:$A, 0)), US_national_yearly!$D:$AM, MATCH(Keys!$C$7, US_national_yearly!$D$1:$AM$1, 0), FALSE), 0)</f>
        <v>2.7627705191843259E-2</v>
      </c>
      <c r="AC174" s="8">
        <f t="shared" si="9"/>
        <v>0.53950701573340354</v>
      </c>
      <c r="AD174">
        <f>IF($Z174&lt;Keys!$C$3, 1, 0)</f>
        <v>0</v>
      </c>
      <c r="AE174">
        <f>IF($AC174&gt;Keys!$C$4, 1, 0)</f>
        <v>0</v>
      </c>
      <c r="AF174">
        <f>IF($AC174&lt;Keys!$C$5, 1, 0)</f>
        <v>0</v>
      </c>
      <c r="AG174">
        <f t="shared" si="10"/>
        <v>0</v>
      </c>
      <c r="AH174" t="str">
        <f>IFERROR(INDEX(Runs!$E:$E, MATCH($B174, Runs!$A:$A, 0)), $B174)</f>
        <v>Industry PM25</v>
      </c>
      <c r="AI174" t="str">
        <f t="shared" si="11"/>
        <v>buildings PM25</v>
      </c>
      <c r="AJ174" t="str">
        <f>IF($AG174=1, IF($AD174=1, Keys!$C$9, "") &amp; IF($AE174=1, Keys!$C$10, "") &amp; IF($AF174=1, Keys!$C$11, ""), "")</f>
        <v/>
      </c>
      <c r="AK174">
        <f>IF($AG174=1, IFERROR(INDEX($AG$2:$AG$577, MATCH($A174 &amp; Keys!$C$8 &amp; $AH174, $Y$2:$Y$577, 0)), 1), 0)</f>
        <v>0</v>
      </c>
    </row>
    <row r="175" spans="1:37" x14ac:dyDescent="0.25">
      <c r="A175" t="s">
        <v>126</v>
      </c>
      <c r="B175" t="s">
        <v>254</v>
      </c>
      <c r="C175">
        <v>120</v>
      </c>
      <c r="D175">
        <v>1.0554118632</v>
      </c>
      <c r="E175">
        <v>2.8463335469999991E-3</v>
      </c>
      <c r="F175">
        <v>2.5247725540000001</v>
      </c>
      <c r="G175">
        <v>3.399973267</v>
      </c>
      <c r="H175">
        <v>5.1945805870000017</v>
      </c>
      <c r="I175">
        <v>0.1207232513699999</v>
      </c>
      <c r="J175">
        <v>0.59080574009999998</v>
      </c>
      <c r="K175">
        <v>310.4765710479997</v>
      </c>
      <c r="L175">
        <v>52.625833524999997</v>
      </c>
      <c r="M175">
        <v>0.1097040620100001</v>
      </c>
      <c r="N175">
        <v>11.119326407999999</v>
      </c>
      <c r="O175">
        <v>0.19707332735999999</v>
      </c>
      <c r="P175">
        <v>6.3563866669999998E-3</v>
      </c>
      <c r="Q175">
        <v>3.4071272529999981E-2</v>
      </c>
      <c r="R175">
        <v>0.59813966639999983</v>
      </c>
      <c r="S175">
        <v>7.5954913779999984</v>
      </c>
      <c r="T175">
        <v>10.781989978</v>
      </c>
      <c r="U175">
        <v>0</v>
      </c>
      <c r="V175">
        <v>275.9787776239998</v>
      </c>
      <c r="W175">
        <v>0</v>
      </c>
      <c r="Y175" t="str">
        <f>$A175 &amp; Keys!$C$8 &amp; $B175</f>
        <v>Kentucky|buildings SO2</v>
      </c>
      <c r="Z175" s="8">
        <f>IFERROR(INDEX($U175:$W175, MATCH(INDEX(Runs!$D:$D, MATCH($B175, Runs!$A:$A, 0)), $U$1:$W$1, 0)), 0)</f>
        <v>275.9787776239998</v>
      </c>
      <c r="AA175" s="8">
        <f t="shared" si="8"/>
        <v>3.8242500828738319E-3</v>
      </c>
      <c r="AB175" s="8">
        <f>IFERROR(VLOOKUP(INDEX(Runs!$F:$F, MATCH($B175, Runs!$A:$A, 0)), US_national_yearly!$D:$AM, MATCH(Keys!$C$7, US_national_yearly!$D$1:$AM$1, 0), FALSE), 0)</f>
        <v>5.1581943281164694E-3</v>
      </c>
      <c r="AC175" s="8">
        <f t="shared" si="9"/>
        <v>0.74139317745911071</v>
      </c>
      <c r="AD175">
        <f>IF($Z175&lt;Keys!$C$3, 1, 0)</f>
        <v>0</v>
      </c>
      <c r="AE175">
        <f>IF($AC175&gt;Keys!$C$4, 1, 0)</f>
        <v>0</v>
      </c>
      <c r="AF175">
        <f>IF($AC175&lt;Keys!$C$5, 1, 0)</f>
        <v>0</v>
      </c>
      <c r="AG175">
        <f t="shared" si="10"/>
        <v>0</v>
      </c>
      <c r="AH175" t="str">
        <f>IFERROR(INDEX(Runs!$E:$E, MATCH($B175, Runs!$A:$A, 0)), $B175)</f>
        <v>Industry SO2</v>
      </c>
      <c r="AI175" t="str">
        <f t="shared" si="11"/>
        <v>buildings SO2</v>
      </c>
      <c r="AJ175" t="str">
        <f>IF($AG175=1, IF($AD175=1, Keys!$C$9, "") &amp; IF($AE175=1, Keys!$C$10, "") &amp; IF($AF175=1, Keys!$C$11, ""), "")</f>
        <v/>
      </c>
      <c r="AK175">
        <f>IF($AG175=1, IFERROR(INDEX($AG$2:$AG$577, MATCH($A175 &amp; Keys!$C$8 &amp; $AH175, $Y$2:$Y$577, 0)), 1), 0)</f>
        <v>0</v>
      </c>
    </row>
    <row r="176" spans="1:37" x14ac:dyDescent="0.25">
      <c r="A176" t="s">
        <v>126</v>
      </c>
      <c r="B176" t="s">
        <v>249</v>
      </c>
      <c r="C176">
        <v>120</v>
      </c>
      <c r="D176">
        <v>1.513195798000001</v>
      </c>
      <c r="E176">
        <v>3.7048754099999991E-3</v>
      </c>
      <c r="F176">
        <v>3.3258139550000001</v>
      </c>
      <c r="G176">
        <v>4.4786935010000004</v>
      </c>
      <c r="H176">
        <v>6.8426760209999982</v>
      </c>
      <c r="I176">
        <v>0.17905897900000009</v>
      </c>
      <c r="J176">
        <v>0.82853309100000005</v>
      </c>
      <c r="K176">
        <v>406.65023178799999</v>
      </c>
      <c r="L176">
        <v>68.447126057000006</v>
      </c>
      <c r="M176">
        <v>0.16089381800000011</v>
      </c>
      <c r="N176">
        <v>14.647183477</v>
      </c>
      <c r="O176">
        <v>0.23510261599999999</v>
      </c>
      <c r="P176">
        <v>8.485411150000002E-3</v>
      </c>
      <c r="Q176">
        <v>5.9130743299999997E-2</v>
      </c>
      <c r="R176">
        <v>0.78210104199999975</v>
      </c>
      <c r="S176">
        <v>9.9388156199999997</v>
      </c>
      <c r="T176">
        <v>14.125698839</v>
      </c>
      <c r="U176">
        <v>0</v>
      </c>
      <c r="V176">
        <v>0</v>
      </c>
      <c r="W176">
        <v>13424.121794975001</v>
      </c>
      <c r="Y176" t="str">
        <f>$A176 &amp; Keys!$C$8 &amp; $B176</f>
        <v>Kentucky|electricity NO2</v>
      </c>
      <c r="Z176" s="8">
        <f>IFERROR(INDEX($U176:$W176, MATCH(INDEX(Runs!$D:$D, MATCH($B176, Runs!$A:$A, 0)), $U$1:$W$1, 0)), 0)</f>
        <v>13424.121794975001</v>
      </c>
      <c r="AA176" s="8">
        <f t="shared" si="8"/>
        <v>1.1272214459246263E-4</v>
      </c>
      <c r="AB176" s="8">
        <f>IFERROR(VLOOKUP(INDEX(Runs!$F:$F, MATCH($B176, Runs!$A:$A, 0)), US_national_yearly!$D:$AM, MATCH(Keys!$C$7, US_national_yearly!$D$1:$AM$1, 0), FALSE), 0)</f>
        <v>6.1439221592658041E-3</v>
      </c>
      <c r="AC176" s="8">
        <f t="shared" si="9"/>
        <v>1.8346935665918801E-2</v>
      </c>
      <c r="AD176">
        <f>IF($Z176&lt;Keys!$C$3, 1, 0)</f>
        <v>0</v>
      </c>
      <c r="AE176">
        <f>IF($AC176&gt;Keys!$C$4, 1, 0)</f>
        <v>0</v>
      </c>
      <c r="AF176">
        <f>IF($AC176&lt;Keys!$C$5, 1, 0)</f>
        <v>0</v>
      </c>
      <c r="AG176">
        <f t="shared" si="10"/>
        <v>0</v>
      </c>
      <c r="AH176" t="str">
        <f>IFERROR(INDEX(Runs!$E:$E, MATCH($B176, Runs!$A:$A, 0)), $B176)</f>
        <v>Industry NO2</v>
      </c>
      <c r="AI176" t="str">
        <f t="shared" si="11"/>
        <v>electricity NO2</v>
      </c>
      <c r="AJ176" t="str">
        <f>IF($AG176=1, IF($AD176=1, Keys!$C$9, "") &amp; IF($AE176=1, Keys!$C$10, "") &amp; IF($AF176=1, Keys!$C$11, ""), "")</f>
        <v/>
      </c>
      <c r="AK176">
        <f>IF($AG176=1, IFERROR(INDEX($AG$2:$AG$577, MATCH($A176 &amp; Keys!$C$8 &amp; $AH176, $Y$2:$Y$577, 0)), 1), 0)</f>
        <v>0</v>
      </c>
    </row>
    <row r="177" spans="1:37" x14ac:dyDescent="0.25">
      <c r="A177" t="s">
        <v>126</v>
      </c>
      <c r="B177" t="s">
        <v>247</v>
      </c>
      <c r="C177">
        <v>120</v>
      </c>
      <c r="D177">
        <v>6.0643705300000024</v>
      </c>
      <c r="E177">
        <v>1.5115725369999999E-2</v>
      </c>
      <c r="F177">
        <v>13.434325091999989</v>
      </c>
      <c r="G177">
        <v>18.091216376999999</v>
      </c>
      <c r="H177">
        <v>27.640497137000011</v>
      </c>
      <c r="I177">
        <v>0.71778872399999993</v>
      </c>
      <c r="J177">
        <v>3.2881291740000012</v>
      </c>
      <c r="K177">
        <v>1636.9948204770001</v>
      </c>
      <c r="L177">
        <v>275.71605418500019</v>
      </c>
      <c r="M177">
        <v>0.62708734900000018</v>
      </c>
      <c r="N177">
        <v>59.166038606000008</v>
      </c>
      <c r="O177">
        <v>0.94484265399999978</v>
      </c>
      <c r="P177">
        <v>3.3846776000000002E-2</v>
      </c>
      <c r="Q177">
        <v>0.22076662529999999</v>
      </c>
      <c r="R177">
        <v>3.1664272249999978</v>
      </c>
      <c r="S177">
        <v>40.236028689999998</v>
      </c>
      <c r="T177">
        <v>57.183072552000013</v>
      </c>
      <c r="U177">
        <v>3165.2629787615001</v>
      </c>
      <c r="V177">
        <v>0</v>
      </c>
      <c r="W177">
        <v>0</v>
      </c>
      <c r="Y177" t="str">
        <f>$A177 &amp; Keys!$C$8 &amp; $B177</f>
        <v>Kentucky|electricity PM25</v>
      </c>
      <c r="Z177" s="8">
        <f>IFERROR(INDEX($U177:$W177, MATCH(INDEX(Runs!$D:$D, MATCH($B177, Runs!$A:$A, 0)), $U$1:$W$1, 0)), 0)</f>
        <v>3165.2629787615001</v>
      </c>
      <c r="AA177" s="8">
        <f t="shared" si="8"/>
        <v>1.9159136446769618E-3</v>
      </c>
      <c r="AB177" s="8">
        <f>IFERROR(VLOOKUP(INDEX(Runs!$F:$F, MATCH($B177, Runs!$A:$A, 0)), US_national_yearly!$D:$AM, MATCH(Keys!$C$7, US_national_yearly!$D$1:$AM$1, 0), FALSE), 0)</f>
        <v>2.4252978284752182E-2</v>
      </c>
      <c r="AC177" s="8">
        <f t="shared" si="9"/>
        <v>7.8997046143462493E-2</v>
      </c>
      <c r="AD177">
        <f>IF($Z177&lt;Keys!$C$3, 1, 0)</f>
        <v>0</v>
      </c>
      <c r="AE177">
        <f>IF($AC177&gt;Keys!$C$4, 1, 0)</f>
        <v>0</v>
      </c>
      <c r="AF177">
        <f>IF($AC177&lt;Keys!$C$5, 1, 0)</f>
        <v>0</v>
      </c>
      <c r="AG177">
        <f t="shared" si="10"/>
        <v>0</v>
      </c>
      <c r="AH177" t="str">
        <f>IFERROR(INDEX(Runs!$E:$E, MATCH($B177, Runs!$A:$A, 0)), $B177)</f>
        <v>Industry PM25</v>
      </c>
      <c r="AI177" t="str">
        <f t="shared" si="11"/>
        <v>electricity PM25</v>
      </c>
      <c r="AJ177" t="str">
        <f>IF($AG177=1, IF($AD177=1, Keys!$C$9, "") &amp; IF($AE177=1, Keys!$C$10, "") &amp; IF($AF177=1, Keys!$C$11, ""), "")</f>
        <v/>
      </c>
      <c r="AK177">
        <f>IF($AG177=1, IFERROR(INDEX($AG$2:$AG$577, MATCH($A177 &amp; Keys!$C$8 &amp; $AH177, $Y$2:$Y$577, 0)), 1), 0)</f>
        <v>0</v>
      </c>
    </row>
    <row r="178" spans="1:37" x14ac:dyDescent="0.25">
      <c r="A178" t="s">
        <v>126</v>
      </c>
      <c r="B178" t="s">
        <v>250</v>
      </c>
      <c r="C178">
        <v>120</v>
      </c>
      <c r="D178">
        <v>2.2626823489999999</v>
      </c>
      <c r="E178">
        <v>5.7641304600000018E-3</v>
      </c>
      <c r="F178">
        <v>5.160734302999999</v>
      </c>
      <c r="G178">
        <v>6.9496764549999979</v>
      </c>
      <c r="H178">
        <v>10.617931872999989</v>
      </c>
      <c r="I178">
        <v>0.2557017869999999</v>
      </c>
      <c r="J178">
        <v>1.217082445</v>
      </c>
      <c r="K178">
        <v>628.16957498300042</v>
      </c>
      <c r="L178">
        <v>106.07418955200001</v>
      </c>
      <c r="M178">
        <v>0.2366733379999999</v>
      </c>
      <c r="N178">
        <v>22.72834263099999</v>
      </c>
      <c r="O178">
        <v>0.39100657899999991</v>
      </c>
      <c r="P178">
        <v>1.304976739999999E-2</v>
      </c>
      <c r="Q178">
        <v>7.9251485300000035E-2</v>
      </c>
      <c r="R178">
        <v>1.221561399999999</v>
      </c>
      <c r="S178">
        <v>15.518149358000001</v>
      </c>
      <c r="T178">
        <v>22.043107852000009</v>
      </c>
      <c r="U178">
        <v>0</v>
      </c>
      <c r="V178">
        <v>5055.1845785140003</v>
      </c>
      <c r="W178">
        <v>0</v>
      </c>
      <c r="Y178" t="str">
        <f>$A178 &amp; Keys!$C$8 &amp; $B178</f>
        <v>Kentucky|electricity SO2</v>
      </c>
      <c r="Z178" s="8">
        <f>IFERROR(INDEX($U178:$W178, MATCH(INDEX(Runs!$D:$D, MATCH($B178, Runs!$A:$A, 0)), $U$1:$W$1, 0)), 0)</f>
        <v>5055.1845785140003</v>
      </c>
      <c r="AA178" s="8">
        <f t="shared" si="8"/>
        <v>4.4759638621645105E-4</v>
      </c>
      <c r="AB178" s="8">
        <f>IFERROR(VLOOKUP(INDEX(Runs!$F:$F, MATCH($B178, Runs!$A:$A, 0)), US_national_yearly!$D:$AM, MATCH(Keys!$C$7, US_national_yearly!$D$1:$AM$1, 0), FALSE), 0)</f>
        <v>5.7032329662362116E-3</v>
      </c>
      <c r="AC178" s="8">
        <f t="shared" si="9"/>
        <v>7.8481168289332146E-2</v>
      </c>
      <c r="AD178">
        <f>IF($Z178&lt;Keys!$C$3, 1, 0)</f>
        <v>0</v>
      </c>
      <c r="AE178">
        <f>IF($AC178&gt;Keys!$C$4, 1, 0)</f>
        <v>0</v>
      </c>
      <c r="AF178">
        <f>IF($AC178&lt;Keys!$C$5, 1, 0)</f>
        <v>0</v>
      </c>
      <c r="AG178">
        <f t="shared" si="10"/>
        <v>0</v>
      </c>
      <c r="AH178" t="str">
        <f>IFERROR(INDEX(Runs!$E:$E, MATCH($B178, Runs!$A:$A, 0)), $B178)</f>
        <v>Industry SO2</v>
      </c>
      <c r="AI178" t="str">
        <f t="shared" si="11"/>
        <v>electricity SO2</v>
      </c>
      <c r="AJ178" t="str">
        <f>IF($AG178=1, IF($AD178=1, Keys!$C$9, "") &amp; IF($AE178=1, Keys!$C$10, "") &amp; IF($AF178=1, Keys!$C$11, ""), "")</f>
        <v/>
      </c>
      <c r="AK178">
        <f>IF($AG178=1, IFERROR(INDEX($AG$2:$AG$577, MATCH($A178 &amp; Keys!$C$8 &amp; $AH178, $Y$2:$Y$577, 0)), 1), 0)</f>
        <v>0</v>
      </c>
    </row>
    <row r="179" spans="1:37" x14ac:dyDescent="0.25">
      <c r="A179" t="s">
        <v>126</v>
      </c>
      <c r="B179" t="s">
        <v>239</v>
      </c>
      <c r="C179">
        <v>120</v>
      </c>
      <c r="D179">
        <v>45.206276472999988</v>
      </c>
      <c r="E179">
        <v>0.1202748741</v>
      </c>
      <c r="F179">
        <v>106.334038732</v>
      </c>
      <c r="G179">
        <v>143.19003568400009</v>
      </c>
      <c r="H179">
        <v>218.78500036899999</v>
      </c>
      <c r="I179">
        <v>5.2971884530000013</v>
      </c>
      <c r="J179">
        <v>25.417018142000011</v>
      </c>
      <c r="K179">
        <v>13012.031216219009</v>
      </c>
      <c r="L179">
        <v>2200.094582798999</v>
      </c>
      <c r="M179">
        <v>4.7821608030000036</v>
      </c>
      <c r="N179">
        <v>468.30907478500001</v>
      </c>
      <c r="O179">
        <v>8.0097584489999978</v>
      </c>
      <c r="P179">
        <v>0.27055784380000009</v>
      </c>
      <c r="Q179">
        <v>1.6450571970000001</v>
      </c>
      <c r="R179">
        <v>25.095961383000009</v>
      </c>
      <c r="S179">
        <v>318.87508002599981</v>
      </c>
      <c r="T179">
        <v>453.30053158499999</v>
      </c>
      <c r="U179">
        <v>0</v>
      </c>
      <c r="V179">
        <v>0</v>
      </c>
      <c r="W179">
        <v>59756.936618770029</v>
      </c>
      <c r="Y179" t="str">
        <f>$A179 &amp; Keys!$C$8 &amp; $B179</f>
        <v>Kentucky|transportation NO2</v>
      </c>
      <c r="Z179" s="8">
        <f>IFERROR(INDEX($U179:$W179, MATCH(INDEX(Runs!$D:$D, MATCH($B179, Runs!$A:$A, 0)), $U$1:$W$1, 0)), 0)</f>
        <v>59756.936618770029</v>
      </c>
      <c r="AA179" s="8">
        <f t="shared" si="8"/>
        <v>7.5650257578298308E-4</v>
      </c>
      <c r="AB179" s="8">
        <f>IFERROR(VLOOKUP(INDEX(Runs!$F:$F, MATCH($B179, Runs!$A:$A, 0)), US_national_yearly!$D:$AM, MATCH(Keys!$C$7, US_national_yearly!$D$1:$AM$1, 0), FALSE), 0)</f>
        <v>5.7148835886332216E-3</v>
      </c>
      <c r="AC179" s="8">
        <f t="shared" si="9"/>
        <v>0.13237410072318012</v>
      </c>
      <c r="AD179">
        <f>IF($Z179&lt;Keys!$C$3, 1, 0)</f>
        <v>0</v>
      </c>
      <c r="AE179">
        <f>IF($AC179&gt;Keys!$C$4, 1, 0)</f>
        <v>0</v>
      </c>
      <c r="AF179">
        <f>IF($AC179&lt;Keys!$C$5, 1, 0)</f>
        <v>0</v>
      </c>
      <c r="AG179">
        <f t="shared" si="10"/>
        <v>0</v>
      </c>
      <c r="AH179" t="str">
        <f>IFERROR(INDEX(Runs!$E:$E, MATCH($B179, Runs!$A:$A, 0)), $B179)</f>
        <v>Industry NO2</v>
      </c>
      <c r="AI179" t="str">
        <f t="shared" si="11"/>
        <v>transportation NO2</v>
      </c>
      <c r="AJ179" t="str">
        <f>IF($AG179=1, IF($AD179=1, Keys!$C$9, "") &amp; IF($AE179=1, Keys!$C$10, "") &amp; IF($AF179=1, Keys!$C$11, ""), "")</f>
        <v/>
      </c>
      <c r="AK179">
        <f>IF($AG179=1, IFERROR(INDEX($AG$2:$AG$577, MATCH($A179 &amp; Keys!$C$8 &amp; $AH179, $Y$2:$Y$577, 0)), 1), 0)</f>
        <v>0</v>
      </c>
    </row>
    <row r="180" spans="1:37" x14ac:dyDescent="0.25">
      <c r="A180" t="s">
        <v>126</v>
      </c>
      <c r="B180" t="s">
        <v>234</v>
      </c>
      <c r="C180">
        <v>120</v>
      </c>
      <c r="D180">
        <v>27.022859129</v>
      </c>
      <c r="E180">
        <v>7.3930366200000028E-2</v>
      </c>
      <c r="F180">
        <v>64.76149490200001</v>
      </c>
      <c r="G180">
        <v>87.209038045999989</v>
      </c>
      <c r="H180">
        <v>133.24673530600001</v>
      </c>
      <c r="I180">
        <v>3.2124084100000001</v>
      </c>
      <c r="J180">
        <v>15.51758674300001</v>
      </c>
      <c r="K180">
        <v>7936.2574713990007</v>
      </c>
      <c r="L180">
        <v>1343.271337447999</v>
      </c>
      <c r="M180">
        <v>2.878137972999999</v>
      </c>
      <c r="N180">
        <v>285.21726825399998</v>
      </c>
      <c r="O180">
        <v>4.9163495879999974</v>
      </c>
      <c r="P180">
        <v>0.16580936139999999</v>
      </c>
      <c r="Q180">
        <v>0.98814268500000002</v>
      </c>
      <c r="R180">
        <v>15.304068868</v>
      </c>
      <c r="S180">
        <v>194.41809757199991</v>
      </c>
      <c r="T180">
        <v>276.24716610700011</v>
      </c>
      <c r="U180">
        <v>1222.409932387</v>
      </c>
      <c r="V180">
        <v>0</v>
      </c>
      <c r="W180">
        <v>0</v>
      </c>
      <c r="Y180" t="str">
        <f>$A180 &amp; Keys!$C$8 &amp; $B180</f>
        <v>Kentucky|transportation PM25</v>
      </c>
      <c r="Z180" s="8">
        <f>IFERROR(INDEX($U180:$W180, MATCH(INDEX(Runs!$D:$D, MATCH($B180, Runs!$A:$A, 0)), $U$1:$W$1, 0)), 0)</f>
        <v>1222.409932387</v>
      </c>
      <c r="AA180" s="8">
        <f t="shared" si="8"/>
        <v>2.21062169187651E-2</v>
      </c>
      <c r="AB180" s="8">
        <f>IFERROR(VLOOKUP(INDEX(Runs!$F:$F, MATCH($B180, Runs!$A:$A, 0)), US_national_yearly!$D:$AM, MATCH(Keys!$C$7, US_national_yearly!$D$1:$AM$1, 0), FALSE), 0)</f>
        <v>2.8248683697579859E-2</v>
      </c>
      <c r="AC180" s="8">
        <f t="shared" si="9"/>
        <v>0.78255741596409323</v>
      </c>
      <c r="AD180">
        <f>IF($Z180&lt;Keys!$C$3, 1, 0)</f>
        <v>0</v>
      </c>
      <c r="AE180">
        <f>IF($AC180&gt;Keys!$C$4, 1, 0)</f>
        <v>0</v>
      </c>
      <c r="AF180">
        <f>IF($AC180&lt;Keys!$C$5, 1, 0)</f>
        <v>0</v>
      </c>
      <c r="AG180">
        <f t="shared" si="10"/>
        <v>0</v>
      </c>
      <c r="AH180" t="str">
        <f>IFERROR(INDEX(Runs!$E:$E, MATCH($B180, Runs!$A:$A, 0)), $B180)</f>
        <v>Industry PM25</v>
      </c>
      <c r="AI180" t="str">
        <f t="shared" si="11"/>
        <v>transportation PM25</v>
      </c>
      <c r="AJ180" t="str">
        <f>IF($AG180=1, IF($AD180=1, Keys!$C$9, "") &amp; IF($AE180=1, Keys!$C$10, "") &amp; IF($AF180=1, Keys!$C$11, ""), "")</f>
        <v/>
      </c>
      <c r="AK180">
        <f>IF($AG180=1, IFERROR(INDEX($AG$2:$AG$577, MATCH($A180 &amp; Keys!$C$8 &amp; $AH180, $Y$2:$Y$577, 0)), 1), 0)</f>
        <v>0</v>
      </c>
    </row>
    <row r="181" spans="1:37" x14ac:dyDescent="0.25">
      <c r="A181" t="s">
        <v>126</v>
      </c>
      <c r="B181" t="s">
        <v>243</v>
      </c>
      <c r="C181">
        <v>120</v>
      </c>
      <c r="D181">
        <v>2.165801793</v>
      </c>
      <c r="E181">
        <v>6.0120143589999994E-3</v>
      </c>
      <c r="F181">
        <v>5.3060422530000002</v>
      </c>
      <c r="G181">
        <v>7.1453454070000033</v>
      </c>
      <c r="H181">
        <v>10.916913962000001</v>
      </c>
      <c r="I181">
        <v>0.2510582354</v>
      </c>
      <c r="J181">
        <v>1.1854252242000001</v>
      </c>
      <c r="K181">
        <v>640.31499047199998</v>
      </c>
      <c r="L181">
        <v>108.471779721</v>
      </c>
      <c r="M181">
        <v>0.23281107270000009</v>
      </c>
      <c r="N181">
        <v>23.368301622000001</v>
      </c>
      <c r="O181">
        <v>0.42762922319999991</v>
      </c>
      <c r="P181">
        <v>1.3199281961E-2</v>
      </c>
      <c r="Q181">
        <v>7.736038864E-2</v>
      </c>
      <c r="R181">
        <v>1.2623338997</v>
      </c>
      <c r="S181">
        <v>16.031414712</v>
      </c>
      <c r="T181">
        <v>22.761428412000001</v>
      </c>
      <c r="U181">
        <v>0</v>
      </c>
      <c r="V181">
        <v>447.39708828599998</v>
      </c>
      <c r="W181">
        <v>0</v>
      </c>
      <c r="Y181" t="str">
        <f>$A181 &amp; Keys!$C$8 &amp; $B181</f>
        <v>Kentucky|transportation SO2</v>
      </c>
      <c r="Z181" s="8">
        <f>IFERROR(INDEX($U181:$W181, MATCH(INDEX(Runs!$D:$D, MATCH($B181, Runs!$A:$A, 0)), $U$1:$W$1, 0)), 0)</f>
        <v>447.39708828599998</v>
      </c>
      <c r="AA181" s="8">
        <f t="shared" si="8"/>
        <v>4.8408938048687174E-3</v>
      </c>
      <c r="AB181" s="8">
        <f>IFERROR(VLOOKUP(INDEX(Runs!$F:$F, MATCH($B181, Runs!$A:$A, 0)), US_national_yearly!$D:$AM, MATCH(Keys!$C$7, US_national_yearly!$D$1:$AM$1, 0), FALSE), 0)</f>
        <v>5.1800714166247604E-3</v>
      </c>
      <c r="AC181" s="8">
        <f t="shared" si="9"/>
        <v>0.93452259930867032</v>
      </c>
      <c r="AD181">
        <f>IF($Z181&lt;Keys!$C$3, 1, 0)</f>
        <v>0</v>
      </c>
      <c r="AE181">
        <f>IF($AC181&gt;Keys!$C$4, 1, 0)</f>
        <v>0</v>
      </c>
      <c r="AF181">
        <f>IF($AC181&lt;Keys!$C$5, 1, 0)</f>
        <v>0</v>
      </c>
      <c r="AG181">
        <f t="shared" si="10"/>
        <v>0</v>
      </c>
      <c r="AH181" t="str">
        <f>IFERROR(INDEX(Runs!$E:$E, MATCH($B181, Runs!$A:$A, 0)), $B181)</f>
        <v>Industry SO2</v>
      </c>
      <c r="AI181" t="str">
        <f t="shared" si="11"/>
        <v>transportation SO2</v>
      </c>
      <c r="AJ181" t="str">
        <f>IF($AG181=1, IF($AD181=1, Keys!$C$9, "") &amp; IF($AE181=1, Keys!$C$10, "") &amp; IF($AF181=1, Keys!$C$11, ""), "")</f>
        <v/>
      </c>
      <c r="AK181">
        <f>IF($AG181=1, IFERROR(INDEX($AG$2:$AG$577, MATCH($A181 &amp; Keys!$C$8 &amp; $AH181, $Y$2:$Y$577, 0)), 1), 0)</f>
        <v>0</v>
      </c>
    </row>
    <row r="182" spans="1:37" x14ac:dyDescent="0.25">
      <c r="A182" t="s">
        <v>129</v>
      </c>
      <c r="B182" t="s">
        <v>242</v>
      </c>
      <c r="C182">
        <v>64</v>
      </c>
      <c r="D182">
        <v>45.025736472999988</v>
      </c>
      <c r="E182">
        <v>0.15367582669999999</v>
      </c>
      <c r="F182">
        <v>110.295360883</v>
      </c>
      <c r="G182">
        <v>148.52449179100009</v>
      </c>
      <c r="H182">
        <v>226.93528385499999</v>
      </c>
      <c r="I182">
        <v>3.1184176550000009</v>
      </c>
      <c r="J182">
        <v>17.693122616</v>
      </c>
      <c r="K182">
        <v>13026.658704035999</v>
      </c>
      <c r="L182">
        <v>2209.1094765159992</v>
      </c>
      <c r="M182">
        <v>4.3858251840000007</v>
      </c>
      <c r="N182">
        <v>485.75513652900003</v>
      </c>
      <c r="O182">
        <v>10.386191273999991</v>
      </c>
      <c r="P182">
        <v>0.31087778099999991</v>
      </c>
      <c r="Q182">
        <v>0.9068819269999997</v>
      </c>
      <c r="R182">
        <v>25.961483861000001</v>
      </c>
      <c r="S182">
        <v>330.06688335099989</v>
      </c>
      <c r="T182">
        <v>469.66804026900007</v>
      </c>
      <c r="U182">
        <v>0</v>
      </c>
      <c r="V182">
        <v>0</v>
      </c>
      <c r="W182">
        <v>125100.694175756</v>
      </c>
      <c r="Y182" t="str">
        <f>$A182 &amp; Keys!$C$8 &amp; $B182</f>
        <v>Louisiana|Industry NO2</v>
      </c>
      <c r="Z182" s="8">
        <f>IFERROR(INDEX($U182:$W182, MATCH(INDEX(Runs!$D:$D, MATCH($B182, Runs!$A:$A, 0)), $U$1:$W$1, 0)), 0)</f>
        <v>125100.694175756</v>
      </c>
      <c r="AA182" s="8">
        <f t="shared" si="8"/>
        <v>3.5991596025632437E-4</v>
      </c>
      <c r="AB182" s="8">
        <f>IFERROR(VLOOKUP(INDEX(Runs!$F:$F, MATCH($B182, Runs!$A:$A, 0)), US_national_yearly!$D:$AM, MATCH(Keys!$C$7, US_national_yearly!$D$1:$AM$1, 0), FALSE), 0)</f>
        <v>5.8012217057786938E-3</v>
      </c>
      <c r="AC182" s="8">
        <f t="shared" si="9"/>
        <v>6.2041407570720158E-2</v>
      </c>
      <c r="AD182">
        <f>IF($Z182&lt;Keys!$C$3, 1, 0)</f>
        <v>0</v>
      </c>
      <c r="AE182">
        <f>IF($AC182&gt;Keys!$C$4, 1, 0)</f>
        <v>0</v>
      </c>
      <c r="AF182">
        <f>IF($AC182&lt;Keys!$C$5, 1, 0)</f>
        <v>0</v>
      </c>
      <c r="AG182">
        <f t="shared" si="10"/>
        <v>0</v>
      </c>
      <c r="AH182" t="str">
        <f>IFERROR(INDEX(Runs!$E:$E, MATCH($B182, Runs!$A:$A, 0)), $B182)</f>
        <v>Industry NO2</v>
      </c>
      <c r="AI182" t="str">
        <f t="shared" si="11"/>
        <v>Industry NO2</v>
      </c>
      <c r="AJ182" t="str">
        <f>IF($AG182=1, IF($AD182=1, Keys!$C$9, "") &amp; IF($AE182=1, Keys!$C$10, "") &amp; IF($AF182=1, Keys!$C$11, ""), "")</f>
        <v/>
      </c>
      <c r="AK182">
        <f>IF($AG182=1, IFERROR(INDEX($AG$2:$AG$577, MATCH($A182 &amp; Keys!$C$8 &amp; $AH182, $Y$2:$Y$577, 0)), 1), 0)</f>
        <v>0</v>
      </c>
    </row>
    <row r="183" spans="1:37" x14ac:dyDescent="0.25">
      <c r="A183" t="s">
        <v>129</v>
      </c>
      <c r="B183" t="s">
        <v>238</v>
      </c>
      <c r="C183">
        <v>64</v>
      </c>
      <c r="D183">
        <v>198.18646627000001</v>
      </c>
      <c r="E183">
        <v>0.69542729100000023</v>
      </c>
      <c r="F183">
        <v>496.73527473799999</v>
      </c>
      <c r="G183">
        <v>668.84140476999994</v>
      </c>
      <c r="H183">
        <v>1022.177947594</v>
      </c>
      <c r="I183">
        <v>13.935223923000001</v>
      </c>
      <c r="J183">
        <v>78.813552489999992</v>
      </c>
      <c r="K183">
        <v>59412.310374941</v>
      </c>
      <c r="L183">
        <v>10095.711286976</v>
      </c>
      <c r="M183">
        <v>19.642718893000001</v>
      </c>
      <c r="N183">
        <v>2187.7546271020001</v>
      </c>
      <c r="O183">
        <v>47.106295721000002</v>
      </c>
      <c r="P183">
        <v>1.399462816</v>
      </c>
      <c r="Q183">
        <v>4.0769517860000004</v>
      </c>
      <c r="R183">
        <v>116.279417177</v>
      </c>
      <c r="S183">
        <v>1480.0065398449999</v>
      </c>
      <c r="T183">
        <v>2112.8598227520001</v>
      </c>
      <c r="U183">
        <v>15640.748700495</v>
      </c>
      <c r="V183">
        <v>0</v>
      </c>
      <c r="W183">
        <v>0</v>
      </c>
      <c r="Y183" t="str">
        <f>$A183 &amp; Keys!$C$8 &amp; $B183</f>
        <v>Louisiana|Industry PM25</v>
      </c>
      <c r="Z183" s="8">
        <f>IFERROR(INDEX($U183:$W183, MATCH(INDEX(Runs!$D:$D, MATCH($B183, Runs!$A:$A, 0)), $U$1:$W$1, 0)), 0)</f>
        <v>15640.748700495</v>
      </c>
      <c r="AA183" s="8">
        <f t="shared" si="8"/>
        <v>1.2671162363456922E-2</v>
      </c>
      <c r="AB183" s="8">
        <f>IFERROR(VLOOKUP(INDEX(Runs!$F:$F, MATCH($B183, Runs!$A:$A, 0)), US_national_yearly!$D:$AM, MATCH(Keys!$C$7, US_national_yearly!$D$1:$AM$1, 0), FALSE), 0)</f>
        <v>2.6833191881203179E-2</v>
      </c>
      <c r="AC183" s="8">
        <f t="shared" si="9"/>
        <v>0.4722197202462951</v>
      </c>
      <c r="AD183">
        <f>IF($Z183&lt;Keys!$C$3, 1, 0)</f>
        <v>0</v>
      </c>
      <c r="AE183">
        <f>IF($AC183&gt;Keys!$C$4, 1, 0)</f>
        <v>0</v>
      </c>
      <c r="AF183">
        <f>IF($AC183&lt;Keys!$C$5, 1, 0)</f>
        <v>0</v>
      </c>
      <c r="AG183">
        <f t="shared" si="10"/>
        <v>0</v>
      </c>
      <c r="AH183" t="str">
        <f>IFERROR(INDEX(Runs!$E:$E, MATCH($B183, Runs!$A:$A, 0)), $B183)</f>
        <v>Industry PM25</v>
      </c>
      <c r="AI183" t="str">
        <f t="shared" si="11"/>
        <v>Industry PM25</v>
      </c>
      <c r="AJ183" t="str">
        <f>IF($AG183=1, IF($AD183=1, Keys!$C$9, "") &amp; IF($AE183=1, Keys!$C$10, "") &amp; IF($AF183=1, Keys!$C$11, ""), "")</f>
        <v/>
      </c>
      <c r="AK183">
        <f>IF($AG183=1, IFERROR(INDEX($AG$2:$AG$577, MATCH($A183 &amp; Keys!$C$8 &amp; $AH183, $Y$2:$Y$577, 0)), 1), 0)</f>
        <v>0</v>
      </c>
    </row>
    <row r="184" spans="1:37" x14ac:dyDescent="0.25">
      <c r="A184" t="s">
        <v>129</v>
      </c>
      <c r="B184" t="s">
        <v>246</v>
      </c>
      <c r="C184">
        <v>64</v>
      </c>
      <c r="D184">
        <v>46.200712296000013</v>
      </c>
      <c r="E184">
        <v>0.15421961840000001</v>
      </c>
      <c r="F184">
        <v>112.8909734380001</v>
      </c>
      <c r="G184">
        <v>152.020484877</v>
      </c>
      <c r="H184">
        <v>232.27434508899989</v>
      </c>
      <c r="I184">
        <v>3.1716807440000001</v>
      </c>
      <c r="J184">
        <v>18.004686827</v>
      </c>
      <c r="K184">
        <v>13159.772796106001</v>
      </c>
      <c r="L184">
        <v>2230.2820115039999</v>
      </c>
      <c r="M184">
        <v>4.4496188679999991</v>
      </c>
      <c r="N184">
        <v>497.18580340400001</v>
      </c>
      <c r="O184">
        <v>10.526934957000011</v>
      </c>
      <c r="P184">
        <v>0.31699553200000008</v>
      </c>
      <c r="Q184">
        <v>0.91842049999999975</v>
      </c>
      <c r="R184">
        <v>26.561042238999999</v>
      </c>
      <c r="S184">
        <v>337.75811543000009</v>
      </c>
      <c r="T184">
        <v>480.74364853399982</v>
      </c>
      <c r="U184">
        <v>0</v>
      </c>
      <c r="V184">
        <v>32935.566409116</v>
      </c>
      <c r="W184">
        <v>0</v>
      </c>
      <c r="Y184" t="str">
        <f>$A184 &amp; Keys!$C$8 &amp; $B184</f>
        <v>Louisiana|Industry SO2</v>
      </c>
      <c r="Z184" s="8">
        <f>IFERROR(INDEX($U184:$W184, MATCH(INDEX(Runs!$D:$D, MATCH($B184, Runs!$A:$A, 0)), $U$1:$W$1, 0)), 0)</f>
        <v>32935.566409116</v>
      </c>
      <c r="AA184" s="8">
        <f t="shared" si="8"/>
        <v>1.4027605210157384E-3</v>
      </c>
      <c r="AB184" s="8">
        <f>IFERROR(VLOOKUP(INDEX(Runs!$F:$F, MATCH($B184, Runs!$A:$A, 0)), US_national_yearly!$D:$AM, MATCH(Keys!$C$7, US_national_yearly!$D$1:$AM$1, 0), FALSE), 0)</f>
        <v>5.3000351638639942E-3</v>
      </c>
      <c r="AC184" s="8">
        <f t="shared" si="9"/>
        <v>0.26467004041404413</v>
      </c>
      <c r="AD184">
        <f>IF($Z184&lt;Keys!$C$3, 1, 0)</f>
        <v>0</v>
      </c>
      <c r="AE184">
        <f>IF($AC184&gt;Keys!$C$4, 1, 0)</f>
        <v>0</v>
      </c>
      <c r="AF184">
        <f>IF($AC184&lt;Keys!$C$5, 1, 0)</f>
        <v>0</v>
      </c>
      <c r="AG184">
        <f t="shared" si="10"/>
        <v>0</v>
      </c>
      <c r="AH184" t="str">
        <f>IFERROR(INDEX(Runs!$E:$E, MATCH($B184, Runs!$A:$A, 0)), $B184)</f>
        <v>Industry SO2</v>
      </c>
      <c r="AI184" t="str">
        <f t="shared" si="11"/>
        <v>Industry SO2</v>
      </c>
      <c r="AJ184" t="str">
        <f>IF($AG184=1, IF($AD184=1, Keys!$C$9, "") &amp; IF($AE184=1, Keys!$C$10, "") &amp; IF($AF184=1, Keys!$C$11, ""), "")</f>
        <v/>
      </c>
      <c r="AK184">
        <f>IF($AG184=1, IFERROR(INDEX($AG$2:$AG$577, MATCH($A184 &amp; Keys!$C$8 &amp; $AH184, $Y$2:$Y$577, 0)), 1), 0)</f>
        <v>0</v>
      </c>
    </row>
    <row r="185" spans="1:37" x14ac:dyDescent="0.25">
      <c r="A185" t="s">
        <v>129</v>
      </c>
      <c r="B185" t="s">
        <v>253</v>
      </c>
      <c r="C185">
        <v>64</v>
      </c>
      <c r="D185">
        <v>2.9360653760000002</v>
      </c>
      <c r="E185">
        <v>9.1499558599999996E-3</v>
      </c>
      <c r="F185">
        <v>7.070625562</v>
      </c>
      <c r="G185">
        <v>9.5216073440000049</v>
      </c>
      <c r="H185">
        <v>14.54745925500001</v>
      </c>
      <c r="I185">
        <v>0.21029495910000001</v>
      </c>
      <c r="J185">
        <v>1.185697429</v>
      </c>
      <c r="K185">
        <v>858.43796380999981</v>
      </c>
      <c r="L185">
        <v>145.81430825000001</v>
      </c>
      <c r="M185">
        <v>0.29459054389999989</v>
      </c>
      <c r="N185">
        <v>31.13969216100001</v>
      </c>
      <c r="O185">
        <v>0.67832979200000021</v>
      </c>
      <c r="P185">
        <v>1.9944791720000001E-2</v>
      </c>
      <c r="Q185">
        <v>6.0186710100000033E-2</v>
      </c>
      <c r="R185">
        <v>1.673231226</v>
      </c>
      <c r="S185">
        <v>21.269391947999999</v>
      </c>
      <c r="T185">
        <v>30.245274187</v>
      </c>
      <c r="U185">
        <v>0</v>
      </c>
      <c r="V185">
        <v>0</v>
      </c>
      <c r="W185">
        <v>3187.1889062180021</v>
      </c>
      <c r="Y185" t="str">
        <f>$A185 &amp; Keys!$C$8 &amp; $B185</f>
        <v>Louisiana|buildings NO2</v>
      </c>
      <c r="Z185" s="8">
        <f>IFERROR(INDEX($U185:$W185, MATCH(INDEX(Runs!$D:$D, MATCH($B185, Runs!$A:$A, 0)), $U$1:$W$1, 0)), 0)</f>
        <v>3187.1889062180021</v>
      </c>
      <c r="AA185" s="8">
        <f t="shared" si="8"/>
        <v>9.2120845748174007E-4</v>
      </c>
      <c r="AB185" s="8">
        <f>IFERROR(VLOOKUP(INDEX(Runs!$F:$F, MATCH($B185, Runs!$A:$A, 0)), US_national_yearly!$D:$AM, MATCH(Keys!$C$7, US_national_yearly!$D$1:$AM$1, 0), FALSE), 0)</f>
        <v>5.6784740124662739E-3</v>
      </c>
      <c r="AC185" s="8">
        <f t="shared" si="9"/>
        <v>0.16222817176927451</v>
      </c>
      <c r="AD185">
        <f>IF($Z185&lt;Keys!$C$3, 1, 0)</f>
        <v>0</v>
      </c>
      <c r="AE185">
        <f>IF($AC185&gt;Keys!$C$4, 1, 0)</f>
        <v>0</v>
      </c>
      <c r="AF185">
        <f>IF($AC185&lt;Keys!$C$5, 1, 0)</f>
        <v>0</v>
      </c>
      <c r="AG185">
        <f t="shared" si="10"/>
        <v>0</v>
      </c>
      <c r="AH185" t="str">
        <f>IFERROR(INDEX(Runs!$E:$E, MATCH($B185, Runs!$A:$A, 0)), $B185)</f>
        <v>Industry NO2</v>
      </c>
      <c r="AI185" t="str">
        <f t="shared" si="11"/>
        <v>buildings NO2</v>
      </c>
      <c r="AJ185" t="str">
        <f>IF($AG185=1, IF($AD185=1, Keys!$C$9, "") &amp; IF($AE185=1, Keys!$C$10, "") &amp; IF($AF185=1, Keys!$C$11, ""), "")</f>
        <v/>
      </c>
      <c r="AK185">
        <f>IF($AG185=1, IFERROR(INDEX($AG$2:$AG$577, MATCH($A185 &amp; Keys!$C$8 &amp; $AH185, $Y$2:$Y$577, 0)), 1), 0)</f>
        <v>0</v>
      </c>
    </row>
    <row r="186" spans="1:37" x14ac:dyDescent="0.25">
      <c r="A186" t="s">
        <v>129</v>
      </c>
      <c r="B186" t="s">
        <v>251</v>
      </c>
      <c r="C186">
        <v>64</v>
      </c>
      <c r="D186">
        <v>0.34970704099999989</v>
      </c>
      <c r="E186">
        <v>1.118166676E-3</v>
      </c>
      <c r="F186">
        <v>0.85875846300000047</v>
      </c>
      <c r="G186">
        <v>1.1564440690000011</v>
      </c>
      <c r="H186">
        <v>1.7668463080000001</v>
      </c>
      <c r="I186">
        <v>2.478619521E-2</v>
      </c>
      <c r="J186">
        <v>0.14131091130000001</v>
      </c>
      <c r="K186">
        <v>105.435240467</v>
      </c>
      <c r="L186">
        <v>17.921385307000001</v>
      </c>
      <c r="M186">
        <v>3.5080623359999993E-2</v>
      </c>
      <c r="N186">
        <v>3.7820488400000012</v>
      </c>
      <c r="O186">
        <v>8.2722037199999987E-2</v>
      </c>
      <c r="P186">
        <v>2.4164517869999999E-3</v>
      </c>
      <c r="Q186">
        <v>7.312272639999999E-3</v>
      </c>
      <c r="R186">
        <v>0.20246723100000011</v>
      </c>
      <c r="S186">
        <v>2.573612004000001</v>
      </c>
      <c r="T186">
        <v>3.659406880000001</v>
      </c>
      <c r="U186">
        <v>28.07064668200001</v>
      </c>
      <c r="V186">
        <v>0</v>
      </c>
      <c r="W186">
        <v>0</v>
      </c>
      <c r="Y186" t="str">
        <f>$A186 &amp; Keys!$C$8 &amp; $B186</f>
        <v>Louisiana|buildings PM25</v>
      </c>
      <c r="Z186" s="8">
        <f>IFERROR(INDEX($U186:$W186, MATCH(INDEX(Runs!$D:$D, MATCH($B186, Runs!$A:$A, 0)), $U$1:$W$1, 0)), 0)</f>
        <v>28.07064668200001</v>
      </c>
      <c r="AA186" s="8">
        <f t="shared" si="8"/>
        <v>1.2458104188395689E-2</v>
      </c>
      <c r="AB186" s="8">
        <f>IFERROR(VLOOKUP(INDEX(Runs!$F:$F, MATCH($B186, Runs!$A:$A, 0)), US_national_yearly!$D:$AM, MATCH(Keys!$C$7, US_national_yearly!$D$1:$AM$1, 0), FALSE), 0)</f>
        <v>2.7627705191843259E-2</v>
      </c>
      <c r="AC186" s="8">
        <f t="shared" si="9"/>
        <v>0.45092793997504327</v>
      </c>
      <c r="AD186">
        <f>IF($Z186&lt;Keys!$C$3, 1, 0)</f>
        <v>0</v>
      </c>
      <c r="AE186">
        <f>IF($AC186&gt;Keys!$C$4, 1, 0)</f>
        <v>0</v>
      </c>
      <c r="AF186">
        <f>IF($AC186&lt;Keys!$C$5, 1, 0)</f>
        <v>0</v>
      </c>
      <c r="AG186">
        <f t="shared" si="10"/>
        <v>0</v>
      </c>
      <c r="AH186" t="str">
        <f>IFERROR(INDEX(Runs!$E:$E, MATCH($B186, Runs!$A:$A, 0)), $B186)</f>
        <v>Industry PM25</v>
      </c>
      <c r="AI186" t="str">
        <f t="shared" si="11"/>
        <v>buildings PM25</v>
      </c>
      <c r="AJ186" t="str">
        <f>IF($AG186=1, IF($AD186=1, Keys!$C$9, "") &amp; IF($AE186=1, Keys!$C$10, "") &amp; IF($AF186=1, Keys!$C$11, ""), "")</f>
        <v/>
      </c>
      <c r="AK186">
        <f>IF($AG186=1, IFERROR(INDEX($AG$2:$AG$577, MATCH($A186 &amp; Keys!$C$8 &amp; $AH186, $Y$2:$Y$577, 0)), 1), 0)</f>
        <v>0</v>
      </c>
    </row>
    <row r="187" spans="1:37" x14ac:dyDescent="0.25">
      <c r="A187" t="s">
        <v>129</v>
      </c>
      <c r="B187" t="s">
        <v>254</v>
      </c>
      <c r="C187">
        <v>64</v>
      </c>
      <c r="D187">
        <v>0.35279313540000018</v>
      </c>
      <c r="E187">
        <v>1.05477207E-3</v>
      </c>
      <c r="F187">
        <v>0.87698331100000004</v>
      </c>
      <c r="G187">
        <v>1.180986098</v>
      </c>
      <c r="H187">
        <v>1.8043437099999999</v>
      </c>
      <c r="I187">
        <v>2.5487264119999999E-2</v>
      </c>
      <c r="J187">
        <v>0.14657105519999999</v>
      </c>
      <c r="K187">
        <v>110.98271864199999</v>
      </c>
      <c r="L187">
        <v>18.902006050000001</v>
      </c>
      <c r="M187">
        <v>3.6410453650000008E-2</v>
      </c>
      <c r="N187">
        <v>3.862313119</v>
      </c>
      <c r="O187">
        <v>8.5943606199999981E-2</v>
      </c>
      <c r="P187">
        <v>2.469212164999999E-3</v>
      </c>
      <c r="Q187">
        <v>7.7018884019999989E-3</v>
      </c>
      <c r="R187">
        <v>0.20711038470000001</v>
      </c>
      <c r="S187">
        <v>2.632559365000001</v>
      </c>
      <c r="T187">
        <v>3.743068085</v>
      </c>
      <c r="U187">
        <v>0</v>
      </c>
      <c r="V187">
        <v>84.566420146000013</v>
      </c>
      <c r="W187">
        <v>0</v>
      </c>
      <c r="Y187" t="str">
        <f>$A187 &amp; Keys!$C$8 &amp; $B187</f>
        <v>Louisiana|buildings SO2</v>
      </c>
      <c r="Z187" s="8">
        <f>IFERROR(INDEX($U187:$W187, MATCH(INDEX(Runs!$D:$D, MATCH($B187, Runs!$A:$A, 0)), $U$1:$W$1, 0)), 0)</f>
        <v>84.566420146000013</v>
      </c>
      <c r="AA187" s="8">
        <f t="shared" si="8"/>
        <v>4.1717875108218975E-3</v>
      </c>
      <c r="AB187" s="8">
        <f>IFERROR(VLOOKUP(INDEX(Runs!$F:$F, MATCH($B187, Runs!$A:$A, 0)), US_national_yearly!$D:$AM, MATCH(Keys!$C$7, US_national_yearly!$D$1:$AM$1, 0), FALSE), 0)</f>
        <v>5.1581943281164694E-3</v>
      </c>
      <c r="AC187" s="8">
        <f t="shared" si="9"/>
        <v>0.80876896942059151</v>
      </c>
      <c r="AD187">
        <f>IF($Z187&lt;Keys!$C$3, 1, 0)</f>
        <v>0</v>
      </c>
      <c r="AE187">
        <f>IF($AC187&gt;Keys!$C$4, 1, 0)</f>
        <v>0</v>
      </c>
      <c r="AF187">
        <f>IF($AC187&lt;Keys!$C$5, 1, 0)</f>
        <v>0</v>
      </c>
      <c r="AG187">
        <f t="shared" si="10"/>
        <v>0</v>
      </c>
      <c r="AH187" t="str">
        <f>IFERROR(INDEX(Runs!$E:$E, MATCH($B187, Runs!$A:$A, 0)), $B187)</f>
        <v>Industry SO2</v>
      </c>
      <c r="AI187" t="str">
        <f t="shared" si="11"/>
        <v>buildings SO2</v>
      </c>
      <c r="AJ187" t="str">
        <f>IF($AG187=1, IF($AD187=1, Keys!$C$9, "") &amp; IF($AE187=1, Keys!$C$10, "") &amp; IF($AF187=1, Keys!$C$11, ""), "")</f>
        <v/>
      </c>
      <c r="AK187">
        <f>IF($AG187=1, IFERROR(INDEX($AG$2:$AG$577, MATCH($A187 &amp; Keys!$C$8 &amp; $AH187, $Y$2:$Y$577, 0)), 1), 0)</f>
        <v>0</v>
      </c>
    </row>
    <row r="188" spans="1:37" x14ac:dyDescent="0.25">
      <c r="A188" t="s">
        <v>129</v>
      </c>
      <c r="B188" t="s">
        <v>249</v>
      </c>
      <c r="C188">
        <v>64</v>
      </c>
      <c r="D188">
        <v>6.0858852519999997</v>
      </c>
      <c r="E188">
        <v>1.908908262E-2</v>
      </c>
      <c r="F188">
        <v>14.480431448999999</v>
      </c>
      <c r="G188">
        <v>19.499605917000011</v>
      </c>
      <c r="H188">
        <v>29.793505815</v>
      </c>
      <c r="I188">
        <v>0.40159564300000011</v>
      </c>
      <c r="J188">
        <v>2.2592900160000009</v>
      </c>
      <c r="K188">
        <v>1625.069895632</v>
      </c>
      <c r="L188">
        <v>275.29939461200001</v>
      </c>
      <c r="M188">
        <v>0.56044155500000015</v>
      </c>
      <c r="N188">
        <v>63.773543181000008</v>
      </c>
      <c r="O188">
        <v>1.326578190999999</v>
      </c>
      <c r="P188">
        <v>4.0858034100000003E-2</v>
      </c>
      <c r="Q188">
        <v>0.1140392395</v>
      </c>
      <c r="R188">
        <v>3.4089779299999998</v>
      </c>
      <c r="S188">
        <v>43.336244695999987</v>
      </c>
      <c r="T188">
        <v>61.647393321999999</v>
      </c>
      <c r="U188">
        <v>0</v>
      </c>
      <c r="V188">
        <v>0</v>
      </c>
      <c r="W188">
        <v>18469.537689991012</v>
      </c>
      <c r="Y188" t="str">
        <f>$A188 &amp; Keys!$C$8 &amp; $B188</f>
        <v>Louisiana|electricity NO2</v>
      </c>
      <c r="Z188" s="8">
        <f>IFERROR(INDEX($U188:$W188, MATCH(INDEX(Runs!$D:$D, MATCH($B188, Runs!$A:$A, 0)), $U$1:$W$1, 0)), 0)</f>
        <v>18469.537689991012</v>
      </c>
      <c r="AA188" s="8">
        <f t="shared" si="8"/>
        <v>3.2950934420508291E-4</v>
      </c>
      <c r="AB188" s="8">
        <f>IFERROR(VLOOKUP(INDEX(Runs!$F:$F, MATCH($B188, Runs!$A:$A, 0)), US_national_yearly!$D:$AM, MATCH(Keys!$C$7, US_national_yearly!$D$1:$AM$1, 0), FALSE), 0)</f>
        <v>6.1439221592658041E-3</v>
      </c>
      <c r="AC188" s="8">
        <f t="shared" si="9"/>
        <v>5.3631757640051077E-2</v>
      </c>
      <c r="AD188">
        <f>IF($Z188&lt;Keys!$C$3, 1, 0)</f>
        <v>0</v>
      </c>
      <c r="AE188">
        <f>IF($AC188&gt;Keys!$C$4, 1, 0)</f>
        <v>0</v>
      </c>
      <c r="AF188">
        <f>IF($AC188&lt;Keys!$C$5, 1, 0)</f>
        <v>0</v>
      </c>
      <c r="AG188">
        <f t="shared" si="10"/>
        <v>0</v>
      </c>
      <c r="AH188" t="str">
        <f>IFERROR(INDEX(Runs!$E:$E, MATCH($B188, Runs!$A:$A, 0)), $B188)</f>
        <v>Industry NO2</v>
      </c>
      <c r="AI188" t="str">
        <f t="shared" si="11"/>
        <v>electricity NO2</v>
      </c>
      <c r="AJ188" t="str">
        <f>IF($AG188=1, IF($AD188=1, Keys!$C$9, "") &amp; IF($AE188=1, Keys!$C$10, "") &amp; IF($AF188=1, Keys!$C$11, ""), "")</f>
        <v/>
      </c>
      <c r="AK188">
        <f>IF($AG188=1, IFERROR(INDEX($AG$2:$AG$577, MATCH($A188 &amp; Keys!$C$8 &amp; $AH188, $Y$2:$Y$577, 0)), 1), 0)</f>
        <v>0</v>
      </c>
    </row>
    <row r="189" spans="1:37" x14ac:dyDescent="0.25">
      <c r="A189" t="s">
        <v>129</v>
      </c>
      <c r="B189" t="s">
        <v>247</v>
      </c>
      <c r="C189">
        <v>64</v>
      </c>
      <c r="D189">
        <v>12.144484167</v>
      </c>
      <c r="E189">
        <v>3.9152064899999998E-2</v>
      </c>
      <c r="F189">
        <v>29.292925810999989</v>
      </c>
      <c r="G189">
        <v>39.446814122000021</v>
      </c>
      <c r="H189">
        <v>60.269334219000008</v>
      </c>
      <c r="I189">
        <v>0.83101141200000028</v>
      </c>
      <c r="J189">
        <v>4.7620828320000008</v>
      </c>
      <c r="K189">
        <v>3404.532470580999</v>
      </c>
      <c r="L189">
        <v>576.70667645399988</v>
      </c>
      <c r="M189">
        <v>1.166478495999999</v>
      </c>
      <c r="N189">
        <v>129.00907415200001</v>
      </c>
      <c r="O189">
        <v>2.713669114</v>
      </c>
      <c r="P189">
        <v>8.2107324500000009E-2</v>
      </c>
      <c r="Q189">
        <v>0.24249694839999991</v>
      </c>
      <c r="R189">
        <v>6.9177800460000016</v>
      </c>
      <c r="S189">
        <v>87.945176591999996</v>
      </c>
      <c r="T189">
        <v>125.094318849</v>
      </c>
      <c r="U189">
        <v>1711.542721168001</v>
      </c>
      <c r="V189">
        <v>0</v>
      </c>
      <c r="W189">
        <v>0</v>
      </c>
      <c r="Y189" t="str">
        <f>$A189 &amp; Keys!$C$8 &amp; $B189</f>
        <v>Louisiana|electricity PM25</v>
      </c>
      <c r="Z189" s="8">
        <f>IFERROR(INDEX($U189:$W189, MATCH(INDEX(Runs!$D:$D, MATCH($B189, Runs!$A:$A, 0)), $U$1:$W$1, 0)), 0)</f>
        <v>1711.542721168001</v>
      </c>
      <c r="AA189" s="8">
        <f t="shared" si="8"/>
        <v>7.0956360111842781E-3</v>
      </c>
      <c r="AB189" s="8">
        <f>IFERROR(VLOOKUP(INDEX(Runs!$F:$F, MATCH($B189, Runs!$A:$A, 0)), US_national_yearly!$D:$AM, MATCH(Keys!$C$7, US_national_yearly!$D$1:$AM$1, 0), FALSE), 0)</f>
        <v>2.4252978284752182E-2</v>
      </c>
      <c r="AC189" s="8">
        <f t="shared" si="9"/>
        <v>0.29256761490795113</v>
      </c>
      <c r="AD189">
        <f>IF($Z189&lt;Keys!$C$3, 1, 0)</f>
        <v>0</v>
      </c>
      <c r="AE189">
        <f>IF($AC189&gt;Keys!$C$4, 1, 0)</f>
        <v>0</v>
      </c>
      <c r="AF189">
        <f>IF($AC189&lt;Keys!$C$5, 1, 0)</f>
        <v>0</v>
      </c>
      <c r="AG189">
        <f t="shared" si="10"/>
        <v>0</v>
      </c>
      <c r="AH189" t="str">
        <f>IFERROR(INDEX(Runs!$E:$E, MATCH($B189, Runs!$A:$A, 0)), $B189)</f>
        <v>Industry PM25</v>
      </c>
      <c r="AI189" t="str">
        <f t="shared" si="11"/>
        <v>electricity PM25</v>
      </c>
      <c r="AJ189" t="str">
        <f>IF($AG189=1, IF($AD189=1, Keys!$C$9, "") &amp; IF($AE189=1, Keys!$C$10, "") &amp; IF($AF189=1, Keys!$C$11, ""), "")</f>
        <v/>
      </c>
      <c r="AK189">
        <f>IF($AG189=1, IFERROR(INDEX($AG$2:$AG$577, MATCH($A189 &amp; Keys!$C$8 &amp; $AH189, $Y$2:$Y$577, 0)), 1), 0)</f>
        <v>0</v>
      </c>
    </row>
    <row r="190" spans="1:37" x14ac:dyDescent="0.25">
      <c r="A190" t="s">
        <v>129</v>
      </c>
      <c r="B190" t="s">
        <v>250</v>
      </c>
      <c r="C190">
        <v>64</v>
      </c>
      <c r="D190">
        <v>10.310789357999999</v>
      </c>
      <c r="E190">
        <v>3.1207750180000011E-2</v>
      </c>
      <c r="F190">
        <v>24.270730888999999</v>
      </c>
      <c r="G190">
        <v>32.683654924000002</v>
      </c>
      <c r="H190">
        <v>49.936533508999972</v>
      </c>
      <c r="I190">
        <v>0.73543260599999971</v>
      </c>
      <c r="J190">
        <v>4.1297815829999989</v>
      </c>
      <c r="K190">
        <v>2908.931753758</v>
      </c>
      <c r="L190">
        <v>493.417560256</v>
      </c>
      <c r="M190">
        <v>1.025472623</v>
      </c>
      <c r="N190">
        <v>106.890919322</v>
      </c>
      <c r="O190">
        <v>2.313553815000001</v>
      </c>
      <c r="P190">
        <v>6.8549394600000021E-2</v>
      </c>
      <c r="Q190">
        <v>0.20763815620000001</v>
      </c>
      <c r="R190">
        <v>5.7573951830000007</v>
      </c>
      <c r="S190">
        <v>73.191775686000014</v>
      </c>
      <c r="T190">
        <v>104.110251874</v>
      </c>
      <c r="U190">
        <v>0</v>
      </c>
      <c r="V190">
        <v>5859.6880958056508</v>
      </c>
      <c r="W190">
        <v>0</v>
      </c>
      <c r="Y190" t="str">
        <f>$A190 &amp; Keys!$C$8 &amp; $B190</f>
        <v>Louisiana|electricity SO2</v>
      </c>
      <c r="Z190" s="8">
        <f>IFERROR(INDEX($U190:$W190, MATCH(INDEX(Runs!$D:$D, MATCH($B190, Runs!$A:$A, 0)), $U$1:$W$1, 0)), 0)</f>
        <v>5859.6880958056508</v>
      </c>
      <c r="AA190" s="8">
        <f t="shared" si="8"/>
        <v>1.759614025425762E-3</v>
      </c>
      <c r="AB190" s="8">
        <f>IFERROR(VLOOKUP(INDEX(Runs!$F:$F, MATCH($B190, Runs!$A:$A, 0)), US_national_yearly!$D:$AM, MATCH(Keys!$C$7, US_national_yearly!$D$1:$AM$1, 0), FALSE), 0)</f>
        <v>5.7032329662362116E-3</v>
      </c>
      <c r="AC190" s="8">
        <f t="shared" si="9"/>
        <v>0.30852922120538956</v>
      </c>
      <c r="AD190">
        <f>IF($Z190&lt;Keys!$C$3, 1, 0)</f>
        <v>0</v>
      </c>
      <c r="AE190">
        <f>IF($AC190&gt;Keys!$C$4, 1, 0)</f>
        <v>0</v>
      </c>
      <c r="AF190">
        <f>IF($AC190&lt;Keys!$C$5, 1, 0)</f>
        <v>0</v>
      </c>
      <c r="AG190">
        <f t="shared" si="10"/>
        <v>0</v>
      </c>
      <c r="AH190" t="str">
        <f>IFERROR(INDEX(Runs!$E:$E, MATCH($B190, Runs!$A:$A, 0)), $B190)</f>
        <v>Industry SO2</v>
      </c>
      <c r="AI190" t="str">
        <f t="shared" si="11"/>
        <v>electricity SO2</v>
      </c>
      <c r="AJ190" t="str">
        <f>IF($AG190=1, IF($AD190=1, Keys!$C$9, "") &amp; IF($AE190=1, Keys!$C$10, "") &amp; IF($AF190=1, Keys!$C$11, ""), "")</f>
        <v/>
      </c>
      <c r="AK190">
        <f>IF($AG190=1, IFERROR(INDEX($AG$2:$AG$577, MATCH($A190 &amp; Keys!$C$8 &amp; $AH190, $Y$2:$Y$577, 0)), 1), 0)</f>
        <v>0</v>
      </c>
    </row>
    <row r="191" spans="1:37" x14ac:dyDescent="0.25">
      <c r="A191" t="s">
        <v>129</v>
      </c>
      <c r="B191" t="s">
        <v>239</v>
      </c>
      <c r="C191">
        <v>64</v>
      </c>
      <c r="D191">
        <v>60.906233754999967</v>
      </c>
      <c r="E191">
        <v>0.1927404908</v>
      </c>
      <c r="F191">
        <v>149.188411656</v>
      </c>
      <c r="G191">
        <v>200.89574276100009</v>
      </c>
      <c r="H191">
        <v>306.96352734699991</v>
      </c>
      <c r="I191">
        <v>4.3014383980000011</v>
      </c>
      <c r="J191">
        <v>24.421297173999989</v>
      </c>
      <c r="K191">
        <v>17927.744441469</v>
      </c>
      <c r="L191">
        <v>3044.0038211119981</v>
      </c>
      <c r="M191">
        <v>6.0633563719999994</v>
      </c>
      <c r="N191">
        <v>657.04768176399989</v>
      </c>
      <c r="O191">
        <v>14.190735665</v>
      </c>
      <c r="P191">
        <v>0.42009823899999998</v>
      </c>
      <c r="Q191">
        <v>1.255947014</v>
      </c>
      <c r="R191">
        <v>35.138749622999988</v>
      </c>
      <c r="S191">
        <v>446.86981060500023</v>
      </c>
      <c r="T191">
        <v>636.28122837799992</v>
      </c>
      <c r="U191">
        <v>0</v>
      </c>
      <c r="V191">
        <v>0</v>
      </c>
      <c r="W191">
        <v>91489.83578047996</v>
      </c>
      <c r="Y191" t="str">
        <f>$A191 &amp; Keys!$C$8 &amp; $B191</f>
        <v>Louisiana|transportation NO2</v>
      </c>
      <c r="Z191" s="8">
        <f>IFERROR(INDEX($U191:$W191, MATCH(INDEX(Runs!$D:$D, MATCH($B191, Runs!$A:$A, 0)), $U$1:$W$1, 0)), 0)</f>
        <v>91489.83578047996</v>
      </c>
      <c r="AA191" s="8">
        <f t="shared" si="8"/>
        <v>6.6571584958506136E-4</v>
      </c>
      <c r="AB191" s="8">
        <f>IFERROR(VLOOKUP(INDEX(Runs!$F:$F, MATCH($B191, Runs!$A:$A, 0)), US_national_yearly!$D:$AM, MATCH(Keys!$C$7, US_national_yearly!$D$1:$AM$1, 0), FALSE), 0)</f>
        <v>5.7148835886332216E-3</v>
      </c>
      <c r="AC191" s="8">
        <f t="shared" si="9"/>
        <v>0.11648808576068909</v>
      </c>
      <c r="AD191">
        <f>IF($Z191&lt;Keys!$C$3, 1, 0)</f>
        <v>0</v>
      </c>
      <c r="AE191">
        <f>IF($AC191&gt;Keys!$C$4, 1, 0)</f>
        <v>0</v>
      </c>
      <c r="AF191">
        <f>IF($AC191&lt;Keys!$C$5, 1, 0)</f>
        <v>0</v>
      </c>
      <c r="AG191">
        <f t="shared" si="10"/>
        <v>0</v>
      </c>
      <c r="AH191" t="str">
        <f>IFERROR(INDEX(Runs!$E:$E, MATCH($B191, Runs!$A:$A, 0)), $B191)</f>
        <v>Industry NO2</v>
      </c>
      <c r="AI191" t="str">
        <f t="shared" si="11"/>
        <v>transportation NO2</v>
      </c>
      <c r="AJ191" t="str">
        <f>IF($AG191=1, IF($AD191=1, Keys!$C$9, "") &amp; IF($AE191=1, Keys!$C$10, "") &amp; IF($AF191=1, Keys!$C$11, ""), "")</f>
        <v/>
      </c>
      <c r="AK191">
        <f>IF($AG191=1, IFERROR(INDEX($AG$2:$AG$577, MATCH($A191 &amp; Keys!$C$8 &amp; $AH191, $Y$2:$Y$577, 0)), 1), 0)</f>
        <v>0</v>
      </c>
    </row>
    <row r="192" spans="1:37" x14ac:dyDescent="0.25">
      <c r="A192" t="s">
        <v>129</v>
      </c>
      <c r="B192" t="s">
        <v>234</v>
      </c>
      <c r="C192">
        <v>64</v>
      </c>
      <c r="D192">
        <v>28.007016193999998</v>
      </c>
      <c r="E192">
        <v>9.1486463699999965E-2</v>
      </c>
      <c r="F192">
        <v>69.634111986999997</v>
      </c>
      <c r="G192">
        <v>93.770725708999947</v>
      </c>
      <c r="H192">
        <v>143.27187592999999</v>
      </c>
      <c r="I192">
        <v>1.986113362999999</v>
      </c>
      <c r="J192">
        <v>11.313836939</v>
      </c>
      <c r="K192">
        <v>8445.3006582330017</v>
      </c>
      <c r="L192">
        <v>1435.3832818370011</v>
      </c>
      <c r="M192">
        <v>2.8071799270000009</v>
      </c>
      <c r="N192">
        <v>306.67671362599998</v>
      </c>
      <c r="O192">
        <v>6.6555807439999972</v>
      </c>
      <c r="P192">
        <v>0.19614163279999999</v>
      </c>
      <c r="Q192">
        <v>0.58470072999999978</v>
      </c>
      <c r="R192">
        <v>16.398738153</v>
      </c>
      <c r="S192">
        <v>208.482752073</v>
      </c>
      <c r="T192">
        <v>296.60319991900008</v>
      </c>
      <c r="U192">
        <v>1646.476790487</v>
      </c>
      <c r="V192">
        <v>0</v>
      </c>
      <c r="W192">
        <v>0</v>
      </c>
      <c r="Y192" t="str">
        <f>$A192 &amp; Keys!$C$8 &amp; $B192</f>
        <v>Louisiana|transportation PM25</v>
      </c>
      <c r="Z192" s="8">
        <f>IFERROR(INDEX($U192:$W192, MATCH(INDEX(Runs!$D:$D, MATCH($B192, Runs!$A:$A, 0)), $U$1:$W$1, 0)), 0)</f>
        <v>1646.476790487</v>
      </c>
      <c r="AA192" s="8">
        <f t="shared" si="8"/>
        <v>1.7010270874037645E-2</v>
      </c>
      <c r="AB192" s="8">
        <f>IFERROR(VLOOKUP(INDEX(Runs!$F:$F, MATCH($B192, Runs!$A:$A, 0)), US_national_yearly!$D:$AM, MATCH(Keys!$C$7, US_national_yearly!$D$1:$AM$1, 0), FALSE), 0)</f>
        <v>2.8248683697579859E-2</v>
      </c>
      <c r="AC192" s="8">
        <f t="shared" si="9"/>
        <v>0.6021615398488448</v>
      </c>
      <c r="AD192">
        <f>IF($Z192&lt;Keys!$C$3, 1, 0)</f>
        <v>0</v>
      </c>
      <c r="AE192">
        <f>IF($AC192&gt;Keys!$C$4, 1, 0)</f>
        <v>0</v>
      </c>
      <c r="AF192">
        <f>IF($AC192&lt;Keys!$C$5, 1, 0)</f>
        <v>0</v>
      </c>
      <c r="AG192">
        <f t="shared" si="10"/>
        <v>0</v>
      </c>
      <c r="AH192" t="str">
        <f>IFERROR(INDEX(Runs!$E:$E, MATCH($B192, Runs!$A:$A, 0)), $B192)</f>
        <v>Industry PM25</v>
      </c>
      <c r="AI192" t="str">
        <f t="shared" si="11"/>
        <v>transportation PM25</v>
      </c>
      <c r="AJ192" t="str">
        <f>IF($AG192=1, IF($AD192=1, Keys!$C$9, "") &amp; IF($AE192=1, Keys!$C$10, "") &amp; IF($AF192=1, Keys!$C$11, ""), "")</f>
        <v/>
      </c>
      <c r="AK192">
        <f>IF($AG192=1, IFERROR(INDEX($AG$2:$AG$577, MATCH($A192 &amp; Keys!$C$8 &amp; $AH192, $Y$2:$Y$577, 0)), 1), 0)</f>
        <v>0</v>
      </c>
    </row>
    <row r="193" spans="1:37" x14ac:dyDescent="0.25">
      <c r="A193" t="s">
        <v>129</v>
      </c>
      <c r="B193" t="s">
        <v>243</v>
      </c>
      <c r="C193">
        <v>64</v>
      </c>
      <c r="D193">
        <v>2.182943352000001</v>
      </c>
      <c r="E193">
        <v>6.7165757699999993E-3</v>
      </c>
      <c r="F193">
        <v>5.2581102330000027</v>
      </c>
      <c r="G193">
        <v>7.0807989240000024</v>
      </c>
      <c r="H193">
        <v>10.818294534</v>
      </c>
      <c r="I193">
        <v>0.15697418299999999</v>
      </c>
      <c r="J193">
        <v>0.88611231699999993</v>
      </c>
      <c r="K193">
        <v>638.90419261899967</v>
      </c>
      <c r="L193">
        <v>108.495166664</v>
      </c>
      <c r="M193">
        <v>0.22024049579999999</v>
      </c>
      <c r="N193">
        <v>23.15720369100001</v>
      </c>
      <c r="O193">
        <v>0.50488657219999999</v>
      </c>
      <c r="P193">
        <v>1.484659592E-2</v>
      </c>
      <c r="Q193">
        <v>4.5077929190000032E-2</v>
      </c>
      <c r="R193">
        <v>1.2457519850000001</v>
      </c>
      <c r="S193">
        <v>15.835267740999999</v>
      </c>
      <c r="T193">
        <v>22.517330843</v>
      </c>
      <c r="U193">
        <v>0</v>
      </c>
      <c r="V193">
        <v>748.38506610900015</v>
      </c>
      <c r="W193">
        <v>0</v>
      </c>
      <c r="Y193" t="str">
        <f>$A193 &amp; Keys!$C$8 &amp; $B193</f>
        <v>Louisiana|transportation SO2</v>
      </c>
      <c r="Z193" s="8">
        <f>IFERROR(INDEX($U193:$W193, MATCH(INDEX(Runs!$D:$D, MATCH($B193, Runs!$A:$A, 0)), $U$1:$W$1, 0)), 0)</f>
        <v>748.38506610900015</v>
      </c>
      <c r="AA193" s="8">
        <f t="shared" si="8"/>
        <v>2.9168718763317248E-3</v>
      </c>
      <c r="AB193" s="8">
        <f>IFERROR(VLOOKUP(INDEX(Runs!$F:$F, MATCH($B193, Runs!$A:$A, 0)), US_national_yearly!$D:$AM, MATCH(Keys!$C$7, US_national_yearly!$D$1:$AM$1, 0), FALSE), 0)</f>
        <v>5.1800714166247604E-3</v>
      </c>
      <c r="AC193" s="8">
        <f t="shared" si="9"/>
        <v>0.56309491544274981</v>
      </c>
      <c r="AD193">
        <f>IF($Z193&lt;Keys!$C$3, 1, 0)</f>
        <v>0</v>
      </c>
      <c r="AE193">
        <f>IF($AC193&gt;Keys!$C$4, 1, 0)</f>
        <v>0</v>
      </c>
      <c r="AF193">
        <f>IF($AC193&lt;Keys!$C$5, 1, 0)</f>
        <v>0</v>
      </c>
      <c r="AG193">
        <f t="shared" si="10"/>
        <v>0</v>
      </c>
      <c r="AH193" t="str">
        <f>IFERROR(INDEX(Runs!$E:$E, MATCH($B193, Runs!$A:$A, 0)), $B193)</f>
        <v>Industry SO2</v>
      </c>
      <c r="AI193" t="str">
        <f t="shared" si="11"/>
        <v>transportation SO2</v>
      </c>
      <c r="AJ193" t="str">
        <f>IF($AG193=1, IF($AD193=1, Keys!$C$9, "") &amp; IF($AE193=1, Keys!$C$10, "") &amp; IF($AF193=1, Keys!$C$11, ""), "")</f>
        <v/>
      </c>
      <c r="AK193">
        <f>IF($AG193=1, IFERROR(INDEX($AG$2:$AG$577, MATCH($A193 &amp; Keys!$C$8 &amp; $AH193, $Y$2:$Y$577, 0)), 1), 0)</f>
        <v>0</v>
      </c>
    </row>
    <row r="194" spans="1:37" x14ac:dyDescent="0.25">
      <c r="A194" t="s">
        <v>132</v>
      </c>
      <c r="B194" t="s">
        <v>242</v>
      </c>
      <c r="C194">
        <v>16</v>
      </c>
      <c r="D194">
        <v>0.64046040999999987</v>
      </c>
      <c r="E194">
        <v>1.07729072E-3</v>
      </c>
      <c r="F194">
        <v>1.0733005360000001</v>
      </c>
      <c r="G194">
        <v>1.4453554179999999</v>
      </c>
      <c r="H194">
        <v>2.2082563140000002</v>
      </c>
      <c r="I194">
        <v>6.2073868999999997E-2</v>
      </c>
      <c r="J194">
        <v>0.48940780900000003</v>
      </c>
      <c r="K194">
        <v>149.563838613</v>
      </c>
      <c r="L194">
        <v>24.914501916999999</v>
      </c>
      <c r="M194">
        <v>6.7676065000000007E-2</v>
      </c>
      <c r="N194">
        <v>4.7269122680000013</v>
      </c>
      <c r="O194">
        <v>1.41625746E-2</v>
      </c>
      <c r="P194">
        <v>2.7734091000000002E-3</v>
      </c>
      <c r="Q194">
        <v>1.1625336E-2</v>
      </c>
      <c r="R194">
        <v>0.24801210000000001</v>
      </c>
      <c r="S194">
        <v>3.1536946889999999</v>
      </c>
      <c r="T194">
        <v>4.4870065229999998</v>
      </c>
      <c r="U194">
        <v>0</v>
      </c>
      <c r="V194">
        <v>0</v>
      </c>
      <c r="W194">
        <v>7533.19110447</v>
      </c>
      <c r="Y194" t="str">
        <f>$A194 &amp; Keys!$C$8 &amp; $B194</f>
        <v>Maine|Industry NO2</v>
      </c>
      <c r="Z194" s="8">
        <f>IFERROR(INDEX($U194:$W194, MATCH(INDEX(Runs!$D:$D, MATCH($B194, Runs!$A:$A, 0)), $U$1:$W$1, 0)), 0)</f>
        <v>7533.19110447</v>
      </c>
      <c r="AA194" s="8">
        <f t="shared" ref="AA194:AA257" si="12">IFERROR($D194/$Z194, 0)</f>
        <v>8.5018473727550506E-5</v>
      </c>
      <c r="AB194" s="8">
        <f>IFERROR(VLOOKUP(INDEX(Runs!$F:$F, MATCH($B194, Runs!$A:$A, 0)), US_national_yearly!$D:$AM, MATCH(Keys!$C$7, US_national_yearly!$D$1:$AM$1, 0), FALSE), 0)</f>
        <v>5.8012217057786938E-3</v>
      </c>
      <c r="AC194" s="8">
        <f t="shared" ref="AC194:AC257" si="13">IFERROR($AA194/$AB194, 0)</f>
        <v>1.4655270568760056E-2</v>
      </c>
      <c r="AD194">
        <f>IF($Z194&lt;Keys!$C$3, 1, 0)</f>
        <v>0</v>
      </c>
      <c r="AE194">
        <f>IF($AC194&gt;Keys!$C$4, 1, 0)</f>
        <v>0</v>
      </c>
      <c r="AF194">
        <f>IF($AC194&lt;Keys!$C$5, 1, 0)</f>
        <v>0</v>
      </c>
      <c r="AG194">
        <f t="shared" ref="AG194:AG257" si="14">IF($AD194+$AE194+$AF194&gt;0, 1, 0)</f>
        <v>0</v>
      </c>
      <c r="AH194" t="str">
        <f>IFERROR(INDEX(Runs!$E:$E, MATCH($B194, Runs!$A:$A, 0)), $B194)</f>
        <v>Industry NO2</v>
      </c>
      <c r="AI194" t="str">
        <f t="shared" ref="AI194:AI257" si="15">IF($AG194=1, $AH194, $B194)</f>
        <v>Industry NO2</v>
      </c>
      <c r="AJ194" t="str">
        <f>IF($AG194=1, IF($AD194=1, Keys!$C$9, "") &amp; IF($AE194=1, Keys!$C$10, "") &amp; IF($AF194=1, Keys!$C$11, ""), "")</f>
        <v/>
      </c>
      <c r="AK194">
        <f>IF($AG194=1, IFERROR(INDEX($AG$2:$AG$577, MATCH($A194 &amp; Keys!$C$8 &amp; $AH194, $Y$2:$Y$577, 0)), 1), 0)</f>
        <v>0</v>
      </c>
    </row>
    <row r="195" spans="1:37" x14ac:dyDescent="0.25">
      <c r="A195" t="s">
        <v>132</v>
      </c>
      <c r="B195" t="s">
        <v>238</v>
      </c>
      <c r="C195">
        <v>16</v>
      </c>
      <c r="D195">
        <v>15.244707104</v>
      </c>
      <c r="E195">
        <v>2.6150867299999998E-2</v>
      </c>
      <c r="F195">
        <v>26.27668839799999</v>
      </c>
      <c r="G195">
        <v>35.384542037000003</v>
      </c>
      <c r="H195">
        <v>54.064549368999998</v>
      </c>
      <c r="I195">
        <v>1.604897172</v>
      </c>
      <c r="J195">
        <v>13.07794984</v>
      </c>
      <c r="K195">
        <v>3653.1044455199999</v>
      </c>
      <c r="L195">
        <v>609.24454925200007</v>
      </c>
      <c r="M195">
        <v>1.696231813</v>
      </c>
      <c r="N195">
        <v>115.725779804</v>
      </c>
      <c r="O195">
        <v>0.38111203700000001</v>
      </c>
      <c r="P195">
        <v>6.7819712000000004E-2</v>
      </c>
      <c r="Q195">
        <v>0.28702816399999997</v>
      </c>
      <c r="R195">
        <v>6.0816450579999994</v>
      </c>
      <c r="S195">
        <v>77.35009475599999</v>
      </c>
      <c r="T195">
        <v>110.12863681100001</v>
      </c>
      <c r="U195">
        <v>2056.1836194900002</v>
      </c>
      <c r="V195">
        <v>0</v>
      </c>
      <c r="W195">
        <v>0</v>
      </c>
      <c r="Y195" t="str">
        <f>$A195 &amp; Keys!$C$8 &amp; $B195</f>
        <v>Maine|Industry PM25</v>
      </c>
      <c r="Z195" s="8">
        <f>IFERROR(INDEX($U195:$W195, MATCH(INDEX(Runs!$D:$D, MATCH($B195, Runs!$A:$A, 0)), $U$1:$W$1, 0)), 0)</f>
        <v>2056.1836194900002</v>
      </c>
      <c r="AA195" s="8">
        <f t="shared" si="12"/>
        <v>7.4140786647163247E-3</v>
      </c>
      <c r="AB195" s="8">
        <f>IFERROR(VLOOKUP(INDEX(Runs!$F:$F, MATCH($B195, Runs!$A:$A, 0)), US_national_yearly!$D:$AM, MATCH(Keys!$C$7, US_national_yearly!$D$1:$AM$1, 0), FALSE), 0)</f>
        <v>2.6833191881203179E-2</v>
      </c>
      <c r="AC195" s="8">
        <f t="shared" si="13"/>
        <v>0.2763025247812555</v>
      </c>
      <c r="AD195">
        <f>IF($Z195&lt;Keys!$C$3, 1, 0)</f>
        <v>0</v>
      </c>
      <c r="AE195">
        <f>IF($AC195&gt;Keys!$C$4, 1, 0)</f>
        <v>0</v>
      </c>
      <c r="AF195">
        <f>IF($AC195&lt;Keys!$C$5, 1, 0)</f>
        <v>0</v>
      </c>
      <c r="AG195">
        <f t="shared" si="14"/>
        <v>0</v>
      </c>
      <c r="AH195" t="str">
        <f>IFERROR(INDEX(Runs!$E:$E, MATCH($B195, Runs!$A:$A, 0)), $B195)</f>
        <v>Industry PM25</v>
      </c>
      <c r="AI195" t="str">
        <f t="shared" si="15"/>
        <v>Industry PM25</v>
      </c>
      <c r="AJ195" t="str">
        <f>IF($AG195=1, IF($AD195=1, Keys!$C$9, "") &amp; IF($AE195=1, Keys!$C$10, "") &amp; IF($AF195=1, Keys!$C$11, ""), "")</f>
        <v/>
      </c>
      <c r="AK195">
        <f>IF($AG195=1, IFERROR(INDEX($AG$2:$AG$577, MATCH($A195 &amp; Keys!$C$8 &amp; $AH195, $Y$2:$Y$577, 0)), 1), 0)</f>
        <v>0</v>
      </c>
    </row>
    <row r="196" spans="1:37" x14ac:dyDescent="0.25">
      <c r="A196" t="s">
        <v>132</v>
      </c>
      <c r="B196" t="s">
        <v>246</v>
      </c>
      <c r="C196">
        <v>16</v>
      </c>
      <c r="D196">
        <v>1.7035286430000001</v>
      </c>
      <c r="E196">
        <v>2.9550115999999989E-3</v>
      </c>
      <c r="F196">
        <v>2.9639059490000008</v>
      </c>
      <c r="G196">
        <v>3.9913229220000002</v>
      </c>
      <c r="H196">
        <v>6.0980882359999997</v>
      </c>
      <c r="I196">
        <v>0.174064213</v>
      </c>
      <c r="J196">
        <v>1.395306594</v>
      </c>
      <c r="K196">
        <v>411.49556284900001</v>
      </c>
      <c r="L196">
        <v>68.644486969999988</v>
      </c>
      <c r="M196">
        <v>0.18648794299999999</v>
      </c>
      <c r="N196">
        <v>13.053317107</v>
      </c>
      <c r="O196">
        <v>4.7962440699999991E-2</v>
      </c>
      <c r="P196">
        <v>7.6034898999999996E-3</v>
      </c>
      <c r="Q196">
        <v>3.2021710000000002E-2</v>
      </c>
      <c r="R196">
        <v>0.68547337100000005</v>
      </c>
      <c r="S196">
        <v>8.7154761350000012</v>
      </c>
      <c r="T196">
        <v>12.398324232</v>
      </c>
      <c r="U196">
        <v>0</v>
      </c>
      <c r="V196">
        <v>870.69290977900005</v>
      </c>
      <c r="W196">
        <v>0</v>
      </c>
      <c r="Y196" t="str">
        <f>$A196 &amp; Keys!$C$8 &amp; $B196</f>
        <v>Maine|Industry SO2</v>
      </c>
      <c r="Z196" s="8">
        <f>IFERROR(INDEX($U196:$W196, MATCH(INDEX(Runs!$D:$D, MATCH($B196, Runs!$A:$A, 0)), $U$1:$W$1, 0)), 0)</f>
        <v>870.69290977900005</v>
      </c>
      <c r="AA196" s="8">
        <f t="shared" si="12"/>
        <v>1.9565206330121503E-3</v>
      </c>
      <c r="AB196" s="8">
        <f>IFERROR(VLOOKUP(INDEX(Runs!$F:$F, MATCH($B196, Runs!$A:$A, 0)), US_national_yearly!$D:$AM, MATCH(Keys!$C$7, US_national_yearly!$D$1:$AM$1, 0), FALSE), 0)</f>
        <v>5.3000351638639942E-3</v>
      </c>
      <c r="AC196" s="8">
        <f t="shared" si="13"/>
        <v>0.36915238720524784</v>
      </c>
      <c r="AD196">
        <f>IF($Z196&lt;Keys!$C$3, 1, 0)</f>
        <v>0</v>
      </c>
      <c r="AE196">
        <f>IF($AC196&gt;Keys!$C$4, 1, 0)</f>
        <v>0</v>
      </c>
      <c r="AF196">
        <f>IF($AC196&lt;Keys!$C$5, 1, 0)</f>
        <v>0</v>
      </c>
      <c r="AG196">
        <f t="shared" si="14"/>
        <v>0</v>
      </c>
      <c r="AH196" t="str">
        <f>IFERROR(INDEX(Runs!$E:$E, MATCH($B196, Runs!$A:$A, 0)), $B196)</f>
        <v>Industry SO2</v>
      </c>
      <c r="AI196" t="str">
        <f t="shared" si="15"/>
        <v>Industry SO2</v>
      </c>
      <c r="AJ196" t="str">
        <f>IF($AG196=1, IF($AD196=1, Keys!$C$9, "") &amp; IF($AE196=1, Keys!$C$10, "") &amp; IF($AF196=1, Keys!$C$11, ""), "")</f>
        <v/>
      </c>
      <c r="AK196">
        <f>IF($AG196=1, IFERROR(INDEX($AG$2:$AG$577, MATCH($A196 &amp; Keys!$C$8 &amp; $AH196, $Y$2:$Y$577, 0)), 1), 0)</f>
        <v>0</v>
      </c>
    </row>
    <row r="197" spans="1:37" x14ac:dyDescent="0.25">
      <c r="A197" t="s">
        <v>132</v>
      </c>
      <c r="B197" t="s">
        <v>253</v>
      </c>
      <c r="C197">
        <v>16</v>
      </c>
      <c r="D197">
        <v>1.1803970539999999</v>
      </c>
      <c r="E197">
        <v>2.0522061E-3</v>
      </c>
      <c r="F197">
        <v>2.0831532290000001</v>
      </c>
      <c r="G197">
        <v>2.8052657440000002</v>
      </c>
      <c r="H197">
        <v>4.2859790260000006</v>
      </c>
      <c r="I197">
        <v>0.12820124499999999</v>
      </c>
      <c r="J197">
        <v>1.0493238869999999</v>
      </c>
      <c r="K197">
        <v>290.64318759600002</v>
      </c>
      <c r="L197">
        <v>48.542642811000007</v>
      </c>
      <c r="M197">
        <v>0.132048263</v>
      </c>
      <c r="N197">
        <v>9.174397999</v>
      </c>
      <c r="O197">
        <v>2.69694854E-2</v>
      </c>
      <c r="P197">
        <v>5.3257319000000001E-3</v>
      </c>
      <c r="Q197">
        <v>2.2807498999999998E-2</v>
      </c>
      <c r="R197">
        <v>0.48123464399999999</v>
      </c>
      <c r="S197">
        <v>6.1182091820000011</v>
      </c>
      <c r="T197">
        <v>8.7023367030000003</v>
      </c>
      <c r="U197">
        <v>0</v>
      </c>
      <c r="V197">
        <v>0</v>
      </c>
      <c r="W197">
        <v>3455.0899868000001</v>
      </c>
      <c r="Y197" t="str">
        <f>$A197 &amp; Keys!$C$8 &amp; $B197</f>
        <v>Maine|buildings NO2</v>
      </c>
      <c r="Z197" s="8">
        <f>IFERROR(INDEX($U197:$W197, MATCH(INDEX(Runs!$D:$D, MATCH($B197, Runs!$A:$A, 0)), $U$1:$W$1, 0)), 0)</f>
        <v>3455.0899868000001</v>
      </c>
      <c r="AA197" s="8">
        <f t="shared" si="12"/>
        <v>3.4164003210036451E-4</v>
      </c>
      <c r="AB197" s="8">
        <f>IFERROR(VLOOKUP(INDEX(Runs!$F:$F, MATCH($B197, Runs!$A:$A, 0)), US_national_yearly!$D:$AM, MATCH(Keys!$C$7, US_national_yearly!$D$1:$AM$1, 0), FALSE), 0)</f>
        <v>5.6784740124662739E-3</v>
      </c>
      <c r="AC197" s="8">
        <f t="shared" si="13"/>
        <v>6.0164056637459801E-2</v>
      </c>
      <c r="AD197">
        <f>IF($Z197&lt;Keys!$C$3, 1, 0)</f>
        <v>0</v>
      </c>
      <c r="AE197">
        <f>IF($AC197&gt;Keys!$C$4, 1, 0)</f>
        <v>0</v>
      </c>
      <c r="AF197">
        <f>IF($AC197&lt;Keys!$C$5, 1, 0)</f>
        <v>0</v>
      </c>
      <c r="AG197">
        <f t="shared" si="14"/>
        <v>0</v>
      </c>
      <c r="AH197" t="str">
        <f>IFERROR(INDEX(Runs!$E:$E, MATCH($B197, Runs!$A:$A, 0)), $B197)</f>
        <v>Industry NO2</v>
      </c>
      <c r="AI197" t="str">
        <f t="shared" si="15"/>
        <v>buildings NO2</v>
      </c>
      <c r="AJ197" t="str">
        <f>IF($AG197=1, IF($AD197=1, Keys!$C$9, "") &amp; IF($AE197=1, Keys!$C$10, "") &amp; IF($AF197=1, Keys!$C$11, ""), "")</f>
        <v/>
      </c>
      <c r="AK197">
        <f>IF($AG197=1, IFERROR(INDEX($AG$2:$AG$577, MATCH($A197 &amp; Keys!$C$8 &amp; $AH197, $Y$2:$Y$577, 0)), 1), 0)</f>
        <v>0</v>
      </c>
    </row>
    <row r="198" spans="1:37" x14ac:dyDescent="0.25">
      <c r="A198" t="s">
        <v>132</v>
      </c>
      <c r="B198" t="s">
        <v>251</v>
      </c>
      <c r="C198">
        <v>16</v>
      </c>
      <c r="D198">
        <v>1.3911690720000001</v>
      </c>
      <c r="E198">
        <v>2.42507609E-3</v>
      </c>
      <c r="F198">
        <v>2.4427736339999999</v>
      </c>
      <c r="G198">
        <v>3.2895450680000011</v>
      </c>
      <c r="H198">
        <v>5.0258819490000004</v>
      </c>
      <c r="I198">
        <v>0.149857623</v>
      </c>
      <c r="J198">
        <v>1.230674421</v>
      </c>
      <c r="K198">
        <v>339.28090441699999</v>
      </c>
      <c r="L198">
        <v>56.63064592300001</v>
      </c>
      <c r="M198">
        <v>0.15687569800000001</v>
      </c>
      <c r="N198">
        <v>10.758200650999999</v>
      </c>
      <c r="O198">
        <v>3.8278404699999997E-2</v>
      </c>
      <c r="P198">
        <v>6.2944161999999998E-3</v>
      </c>
      <c r="Q198">
        <v>2.7076461700000009E-2</v>
      </c>
      <c r="R198">
        <v>0.56588512999999996</v>
      </c>
      <c r="S198">
        <v>7.1950048949999994</v>
      </c>
      <c r="T198">
        <v>10.235389362999999</v>
      </c>
      <c r="U198">
        <v>145.260795043</v>
      </c>
      <c r="V198">
        <v>0</v>
      </c>
      <c r="W198">
        <v>0</v>
      </c>
      <c r="Y198" t="str">
        <f>$A198 &amp; Keys!$C$8 &amp; $B198</f>
        <v>Maine|buildings PM25</v>
      </c>
      <c r="Z198" s="8">
        <f>IFERROR(INDEX($U198:$W198, MATCH(INDEX(Runs!$D:$D, MATCH($B198, Runs!$A:$A, 0)), $U$1:$W$1, 0)), 0)</f>
        <v>145.260795043</v>
      </c>
      <c r="AA198" s="8">
        <f t="shared" si="12"/>
        <v>9.5770443194131433E-3</v>
      </c>
      <c r="AB198" s="8">
        <f>IFERROR(VLOOKUP(INDEX(Runs!$F:$F, MATCH($B198, Runs!$A:$A, 0)), US_national_yearly!$D:$AM, MATCH(Keys!$C$7, US_national_yearly!$D$1:$AM$1, 0), FALSE), 0)</f>
        <v>2.7627705191843259E-2</v>
      </c>
      <c r="AC198" s="8">
        <f t="shared" si="13"/>
        <v>0.34664639183426094</v>
      </c>
      <c r="AD198">
        <f>IF($Z198&lt;Keys!$C$3, 1, 0)</f>
        <v>0</v>
      </c>
      <c r="AE198">
        <f>IF($AC198&gt;Keys!$C$4, 1, 0)</f>
        <v>0</v>
      </c>
      <c r="AF198">
        <f>IF($AC198&lt;Keys!$C$5, 1, 0)</f>
        <v>0</v>
      </c>
      <c r="AG198">
        <f t="shared" si="14"/>
        <v>0</v>
      </c>
      <c r="AH198" t="str">
        <f>IFERROR(INDEX(Runs!$E:$E, MATCH($B198, Runs!$A:$A, 0)), $B198)</f>
        <v>Industry PM25</v>
      </c>
      <c r="AI198" t="str">
        <f t="shared" si="15"/>
        <v>buildings PM25</v>
      </c>
      <c r="AJ198" t="str">
        <f>IF($AG198=1, IF($AD198=1, Keys!$C$9, "") &amp; IF($AE198=1, Keys!$C$10, "") &amp; IF($AF198=1, Keys!$C$11, ""), "")</f>
        <v/>
      </c>
      <c r="AK198">
        <f>IF($AG198=1, IFERROR(INDEX($AG$2:$AG$577, MATCH($A198 &amp; Keys!$C$8 &amp; $AH198, $Y$2:$Y$577, 0)), 1), 0)</f>
        <v>0</v>
      </c>
    </row>
    <row r="199" spans="1:37" x14ac:dyDescent="0.25">
      <c r="A199" t="s">
        <v>132</v>
      </c>
      <c r="B199" t="s">
        <v>254</v>
      </c>
      <c r="C199">
        <v>16</v>
      </c>
      <c r="D199">
        <v>0.108689955</v>
      </c>
      <c r="E199">
        <v>1.8919720499999999E-4</v>
      </c>
      <c r="F199">
        <v>0.18955145900000001</v>
      </c>
      <c r="G199">
        <v>0.25525883399999999</v>
      </c>
      <c r="H199">
        <v>0.38999120599999998</v>
      </c>
      <c r="I199">
        <v>1.1477493E-2</v>
      </c>
      <c r="J199">
        <v>9.0202085999999987E-2</v>
      </c>
      <c r="K199">
        <v>26.559547033000001</v>
      </c>
      <c r="L199">
        <v>4.4369029549999999</v>
      </c>
      <c r="M199">
        <v>1.18397307E-2</v>
      </c>
      <c r="N199">
        <v>0.834801499</v>
      </c>
      <c r="O199">
        <v>2.0727348600000002E-3</v>
      </c>
      <c r="P199">
        <v>4.8471921000000007E-4</v>
      </c>
      <c r="Q199">
        <v>2.10804625E-3</v>
      </c>
      <c r="R199">
        <v>4.3590465000000002E-2</v>
      </c>
      <c r="S199">
        <v>0.55422332500000004</v>
      </c>
      <c r="T199">
        <v>0.78836542999999992</v>
      </c>
      <c r="U199">
        <v>0</v>
      </c>
      <c r="V199">
        <v>92.809080170000016</v>
      </c>
      <c r="W199">
        <v>0</v>
      </c>
      <c r="Y199" t="str">
        <f>$A199 &amp; Keys!$C$8 &amp; $B199</f>
        <v>Maine|buildings SO2</v>
      </c>
      <c r="Z199" s="8">
        <f>IFERROR(INDEX($U199:$W199, MATCH(INDEX(Runs!$D:$D, MATCH($B199, Runs!$A:$A, 0)), $U$1:$W$1, 0)), 0)</f>
        <v>92.809080170000016</v>
      </c>
      <c r="AA199" s="8">
        <f t="shared" si="12"/>
        <v>1.1711133738305638E-3</v>
      </c>
      <c r="AB199" s="8">
        <f>IFERROR(VLOOKUP(INDEX(Runs!$F:$F, MATCH($B199, Runs!$A:$A, 0)), US_national_yearly!$D:$AM, MATCH(Keys!$C$7, US_national_yearly!$D$1:$AM$1, 0), FALSE), 0)</f>
        <v>5.1581943281164694E-3</v>
      </c>
      <c r="AC199" s="8">
        <f t="shared" si="13"/>
        <v>0.22703940552356031</v>
      </c>
      <c r="AD199">
        <f>IF($Z199&lt;Keys!$C$3, 1, 0)</f>
        <v>0</v>
      </c>
      <c r="AE199">
        <f>IF($AC199&gt;Keys!$C$4, 1, 0)</f>
        <v>0</v>
      </c>
      <c r="AF199">
        <f>IF($AC199&lt;Keys!$C$5, 1, 0)</f>
        <v>0</v>
      </c>
      <c r="AG199">
        <f t="shared" si="14"/>
        <v>0</v>
      </c>
      <c r="AH199" t="str">
        <f>IFERROR(INDEX(Runs!$E:$E, MATCH($B199, Runs!$A:$A, 0)), $B199)</f>
        <v>Industry SO2</v>
      </c>
      <c r="AI199" t="str">
        <f t="shared" si="15"/>
        <v>buildings SO2</v>
      </c>
      <c r="AJ199" t="str">
        <f>IF($AG199=1, IF($AD199=1, Keys!$C$9, "") &amp; IF($AE199=1, Keys!$C$10, "") &amp; IF($AF199=1, Keys!$C$11, ""), "")</f>
        <v/>
      </c>
      <c r="AK199">
        <f>IF($AG199=1, IFERROR(INDEX($AG$2:$AG$577, MATCH($A199 &amp; Keys!$C$8 &amp; $AH199, $Y$2:$Y$577, 0)), 1), 0)</f>
        <v>0</v>
      </c>
    </row>
    <row r="200" spans="1:37" x14ac:dyDescent="0.25">
      <c r="A200" t="s">
        <v>132</v>
      </c>
      <c r="B200" t="s">
        <v>249</v>
      </c>
      <c r="C200">
        <v>16</v>
      </c>
      <c r="D200">
        <v>0.14471194800000001</v>
      </c>
      <c r="E200">
        <v>2.3690239E-4</v>
      </c>
      <c r="F200">
        <v>0.26011334600000002</v>
      </c>
      <c r="G200">
        <v>0.35028065099999989</v>
      </c>
      <c r="H200">
        <v>0.53516844500000016</v>
      </c>
      <c r="I200">
        <v>1.6620037300000001E-2</v>
      </c>
      <c r="J200">
        <v>0.14015543100000011</v>
      </c>
      <c r="K200">
        <v>36.997014247000003</v>
      </c>
      <c r="L200">
        <v>6.1913837019999987</v>
      </c>
      <c r="M200">
        <v>1.6895662999999998E-2</v>
      </c>
      <c r="N200">
        <v>1.1455624419999999</v>
      </c>
      <c r="O200">
        <v>1.90973295E-3</v>
      </c>
      <c r="P200">
        <v>6.6347772000000015E-4</v>
      </c>
      <c r="Q200">
        <v>3.2863804700000009E-3</v>
      </c>
      <c r="R200">
        <v>5.9961960999999987E-2</v>
      </c>
      <c r="S200">
        <v>0.76228097300000008</v>
      </c>
      <c r="T200">
        <v>1.084099677</v>
      </c>
      <c r="U200">
        <v>0</v>
      </c>
      <c r="V200">
        <v>0</v>
      </c>
      <c r="W200">
        <v>819.14225298100007</v>
      </c>
      <c r="Y200" t="str">
        <f>$A200 &amp; Keys!$C$8 &amp; $B200</f>
        <v>Maine|electricity NO2</v>
      </c>
      <c r="Z200" s="8">
        <f>IFERROR(INDEX($U200:$W200, MATCH(INDEX(Runs!$D:$D, MATCH($B200, Runs!$A:$A, 0)), $U$1:$W$1, 0)), 0)</f>
        <v>819.14225298100007</v>
      </c>
      <c r="AA200" s="8">
        <f t="shared" si="12"/>
        <v>1.7666278045524845E-4</v>
      </c>
      <c r="AB200" s="8">
        <f>IFERROR(VLOOKUP(INDEX(Runs!$F:$F, MATCH($B200, Runs!$A:$A, 0)), US_national_yearly!$D:$AM, MATCH(Keys!$C$7, US_national_yearly!$D$1:$AM$1, 0), FALSE), 0)</f>
        <v>6.1439221592658041E-3</v>
      </c>
      <c r="AC200" s="8">
        <f t="shared" si="13"/>
        <v>2.8754072052950549E-2</v>
      </c>
      <c r="AD200">
        <f>IF($Z200&lt;Keys!$C$3, 1, 0)</f>
        <v>0</v>
      </c>
      <c r="AE200">
        <f>IF($AC200&gt;Keys!$C$4, 1, 0)</f>
        <v>0</v>
      </c>
      <c r="AF200">
        <f>IF($AC200&lt;Keys!$C$5, 1, 0)</f>
        <v>0</v>
      </c>
      <c r="AG200">
        <f t="shared" si="14"/>
        <v>0</v>
      </c>
      <c r="AH200" t="str">
        <f>IFERROR(INDEX(Runs!$E:$E, MATCH($B200, Runs!$A:$A, 0)), $B200)</f>
        <v>Industry NO2</v>
      </c>
      <c r="AI200" t="str">
        <f t="shared" si="15"/>
        <v>electricity NO2</v>
      </c>
      <c r="AJ200" t="str">
        <f>IF($AG200=1, IF($AD200=1, Keys!$C$9, "") &amp; IF($AE200=1, Keys!$C$10, "") &amp; IF($AF200=1, Keys!$C$11, ""), "")</f>
        <v/>
      </c>
      <c r="AK200">
        <f>IF($AG200=1, IFERROR(INDEX($AG$2:$AG$577, MATCH($A200 &amp; Keys!$C$8 &amp; $AH200, $Y$2:$Y$577, 0)), 1), 0)</f>
        <v>0</v>
      </c>
    </row>
    <row r="201" spans="1:37" x14ac:dyDescent="0.25">
      <c r="A201" t="s">
        <v>132</v>
      </c>
      <c r="B201" t="s">
        <v>247</v>
      </c>
      <c r="C201">
        <v>16</v>
      </c>
      <c r="D201">
        <v>0.36241385999999998</v>
      </c>
      <c r="E201">
        <v>5.9136346999999999E-4</v>
      </c>
      <c r="F201">
        <v>0.65025104199999983</v>
      </c>
      <c r="G201">
        <v>0.87565767300000019</v>
      </c>
      <c r="H201">
        <v>1.337855493</v>
      </c>
      <c r="I201">
        <v>4.17101416E-2</v>
      </c>
      <c r="J201">
        <v>0.34440156</v>
      </c>
      <c r="K201">
        <v>91.999783185000013</v>
      </c>
      <c r="L201">
        <v>15.389128299999999</v>
      </c>
      <c r="M201">
        <v>4.1754366999999987E-2</v>
      </c>
      <c r="N201">
        <v>2.8637642080000001</v>
      </c>
      <c r="O201">
        <v>5.9308215100000007E-3</v>
      </c>
      <c r="P201">
        <v>1.66155487E-3</v>
      </c>
      <c r="Q201">
        <v>7.8880333999999993E-3</v>
      </c>
      <c r="R201">
        <v>0.149972984</v>
      </c>
      <c r="S201">
        <v>1.906560252</v>
      </c>
      <c r="T201">
        <v>2.7114699189999998</v>
      </c>
      <c r="U201">
        <v>42.501566564000001</v>
      </c>
      <c r="V201">
        <v>0</v>
      </c>
      <c r="W201">
        <v>0</v>
      </c>
      <c r="Y201" t="str">
        <f>$A201 &amp; Keys!$C$8 &amp; $B201</f>
        <v>Maine|electricity PM25</v>
      </c>
      <c r="Z201" s="8">
        <f>IFERROR(INDEX($U201:$W201, MATCH(INDEX(Runs!$D:$D, MATCH($B201, Runs!$A:$A, 0)), $U$1:$W$1, 0)), 0)</f>
        <v>42.501566564000001</v>
      </c>
      <c r="AA201" s="8">
        <f t="shared" si="12"/>
        <v>8.5270706305441112E-3</v>
      </c>
      <c r="AB201" s="8">
        <f>IFERROR(VLOOKUP(INDEX(Runs!$F:$F, MATCH($B201, Runs!$A:$A, 0)), US_national_yearly!$D:$AM, MATCH(Keys!$C$7, US_national_yearly!$D$1:$AM$1, 0), FALSE), 0)</f>
        <v>2.4252978284752182E-2</v>
      </c>
      <c r="AC201" s="8">
        <f t="shared" si="13"/>
        <v>0.35158859792098485</v>
      </c>
      <c r="AD201">
        <f>IF($Z201&lt;Keys!$C$3, 1, 0)</f>
        <v>0</v>
      </c>
      <c r="AE201">
        <f>IF($AC201&gt;Keys!$C$4, 1, 0)</f>
        <v>0</v>
      </c>
      <c r="AF201">
        <f>IF($AC201&lt;Keys!$C$5, 1, 0)</f>
        <v>0</v>
      </c>
      <c r="AG201">
        <f t="shared" si="14"/>
        <v>0</v>
      </c>
      <c r="AH201" t="str">
        <f>IFERROR(INDEX(Runs!$E:$E, MATCH($B201, Runs!$A:$A, 0)), $B201)</f>
        <v>Industry PM25</v>
      </c>
      <c r="AI201" t="str">
        <f t="shared" si="15"/>
        <v>electricity PM25</v>
      </c>
      <c r="AJ201" t="str">
        <f>IF($AG201=1, IF($AD201=1, Keys!$C$9, "") &amp; IF($AE201=1, Keys!$C$10, "") &amp; IF($AF201=1, Keys!$C$11, ""), "")</f>
        <v/>
      </c>
      <c r="AK201">
        <f>IF($AG201=1, IFERROR(INDEX($AG$2:$AG$577, MATCH($A201 &amp; Keys!$C$8 &amp; $AH201, $Y$2:$Y$577, 0)), 1), 0)</f>
        <v>0</v>
      </c>
    </row>
    <row r="202" spans="1:37" x14ac:dyDescent="0.25">
      <c r="A202" t="s">
        <v>132</v>
      </c>
      <c r="B202" t="s">
        <v>250</v>
      </c>
      <c r="C202">
        <v>16</v>
      </c>
      <c r="D202">
        <v>0.33401028199999999</v>
      </c>
      <c r="E202">
        <v>5.489621000000001E-4</v>
      </c>
      <c r="F202">
        <v>0.60499613600000002</v>
      </c>
      <c r="G202">
        <v>0.81471520899999994</v>
      </c>
      <c r="H202">
        <v>1.2447463249999999</v>
      </c>
      <c r="I202">
        <v>3.8742799000000001E-2</v>
      </c>
      <c r="J202">
        <v>0.32702141800000012</v>
      </c>
      <c r="K202">
        <v>85.986396679000023</v>
      </c>
      <c r="L202">
        <v>14.393691511</v>
      </c>
      <c r="M202">
        <v>3.9120634999999987E-2</v>
      </c>
      <c r="N202">
        <v>2.66445767</v>
      </c>
      <c r="O202">
        <v>4.593648320000001E-3</v>
      </c>
      <c r="P202">
        <v>1.539279719999999E-3</v>
      </c>
      <c r="Q202">
        <v>7.5899828999999993E-3</v>
      </c>
      <c r="R202">
        <v>0.13944817200000001</v>
      </c>
      <c r="S202">
        <v>1.772708145</v>
      </c>
      <c r="T202">
        <v>2.5209873410000001</v>
      </c>
      <c r="U202">
        <v>0</v>
      </c>
      <c r="V202">
        <v>92.120758402812001</v>
      </c>
      <c r="W202">
        <v>0</v>
      </c>
      <c r="Y202" t="str">
        <f>$A202 &amp; Keys!$C$8 &amp; $B202</f>
        <v>Maine|electricity SO2</v>
      </c>
      <c r="Z202" s="8">
        <f>IFERROR(INDEX($U202:$W202, MATCH(INDEX(Runs!$D:$D, MATCH($B202, Runs!$A:$A, 0)), $U$1:$W$1, 0)), 0)</f>
        <v>92.120758402812001</v>
      </c>
      <c r="AA202" s="8">
        <f t="shared" si="12"/>
        <v>3.6257873663988883E-3</v>
      </c>
      <c r="AB202" s="8">
        <f>IFERROR(VLOOKUP(INDEX(Runs!$F:$F, MATCH($B202, Runs!$A:$A, 0)), US_national_yearly!$D:$AM, MATCH(Keys!$C$7, US_national_yearly!$D$1:$AM$1, 0), FALSE), 0)</f>
        <v>5.7032329662362116E-3</v>
      </c>
      <c r="AC202" s="8">
        <f t="shared" si="13"/>
        <v>0.63574246183944483</v>
      </c>
      <c r="AD202">
        <f>IF($Z202&lt;Keys!$C$3, 1, 0)</f>
        <v>0</v>
      </c>
      <c r="AE202">
        <f>IF($AC202&gt;Keys!$C$4, 1, 0)</f>
        <v>0</v>
      </c>
      <c r="AF202">
        <f>IF($AC202&lt;Keys!$C$5, 1, 0)</f>
        <v>0</v>
      </c>
      <c r="AG202">
        <f t="shared" si="14"/>
        <v>0</v>
      </c>
      <c r="AH202" t="str">
        <f>IFERROR(INDEX(Runs!$E:$E, MATCH($B202, Runs!$A:$A, 0)), $B202)</f>
        <v>Industry SO2</v>
      </c>
      <c r="AI202" t="str">
        <f t="shared" si="15"/>
        <v>electricity SO2</v>
      </c>
      <c r="AJ202" t="str">
        <f>IF($AG202=1, IF($AD202=1, Keys!$C$9, "") &amp; IF($AE202=1, Keys!$C$10, "") &amp; IF($AF202=1, Keys!$C$11, ""), "")</f>
        <v/>
      </c>
      <c r="AK202">
        <f>IF($AG202=1, IFERROR(INDEX($AG$2:$AG$577, MATCH($A202 &amp; Keys!$C$8 &amp; $AH202, $Y$2:$Y$577, 0)), 1), 0)</f>
        <v>0</v>
      </c>
    </row>
    <row r="203" spans="1:37" x14ac:dyDescent="0.25">
      <c r="A203" t="s">
        <v>132</v>
      </c>
      <c r="B203" t="s">
        <v>239</v>
      </c>
      <c r="C203">
        <v>16</v>
      </c>
      <c r="D203">
        <v>5.4701626870000002</v>
      </c>
      <c r="E203">
        <v>9.2307410599999987E-3</v>
      </c>
      <c r="F203">
        <v>9.4685359019999993</v>
      </c>
      <c r="G203">
        <v>12.750649837999999</v>
      </c>
      <c r="H203">
        <v>19.481216076999999</v>
      </c>
      <c r="I203">
        <v>0.59328232300000006</v>
      </c>
      <c r="J203">
        <v>4.8572615909999994</v>
      </c>
      <c r="K203">
        <v>1329.548523944</v>
      </c>
      <c r="L203">
        <v>221.908911176</v>
      </c>
      <c r="M203">
        <v>0.61509203800000012</v>
      </c>
      <c r="N203">
        <v>41.700401816999999</v>
      </c>
      <c r="O203">
        <v>0.10577430929999999</v>
      </c>
      <c r="P203">
        <v>2.41665862E-2</v>
      </c>
      <c r="Q203">
        <v>0.10568703</v>
      </c>
      <c r="R203">
        <v>2.1889518790000002</v>
      </c>
      <c r="S203">
        <v>27.832568006999999</v>
      </c>
      <c r="T203">
        <v>39.599951581000013</v>
      </c>
      <c r="U203">
        <v>0</v>
      </c>
      <c r="V203">
        <v>0</v>
      </c>
      <c r="W203">
        <v>16088.297083400001</v>
      </c>
      <c r="Y203" t="str">
        <f>$A203 &amp; Keys!$C$8 &amp; $B203</f>
        <v>Maine|transportation NO2</v>
      </c>
      <c r="Z203" s="8">
        <f>IFERROR(INDEX($U203:$W203, MATCH(INDEX(Runs!$D:$D, MATCH($B203, Runs!$A:$A, 0)), $U$1:$W$1, 0)), 0)</f>
        <v>16088.297083400001</v>
      </c>
      <c r="AA203" s="8">
        <f t="shared" si="12"/>
        <v>3.4000880631699336E-4</v>
      </c>
      <c r="AB203" s="8">
        <f>IFERROR(VLOOKUP(INDEX(Runs!$F:$F, MATCH($B203, Runs!$A:$A, 0)), US_national_yearly!$D:$AM, MATCH(Keys!$C$7, US_national_yearly!$D$1:$AM$1, 0), FALSE), 0)</f>
        <v>5.7148835886332216E-3</v>
      </c>
      <c r="AC203" s="8">
        <f t="shared" si="13"/>
        <v>5.9495316228884071E-2</v>
      </c>
      <c r="AD203">
        <f>IF($Z203&lt;Keys!$C$3, 1, 0)</f>
        <v>0</v>
      </c>
      <c r="AE203">
        <f>IF($AC203&gt;Keys!$C$4, 1, 0)</f>
        <v>0</v>
      </c>
      <c r="AF203">
        <f>IF($AC203&lt;Keys!$C$5, 1, 0)</f>
        <v>0</v>
      </c>
      <c r="AG203">
        <f t="shared" si="14"/>
        <v>0</v>
      </c>
      <c r="AH203" t="str">
        <f>IFERROR(INDEX(Runs!$E:$E, MATCH($B203, Runs!$A:$A, 0)), $B203)</f>
        <v>Industry NO2</v>
      </c>
      <c r="AI203" t="str">
        <f t="shared" si="15"/>
        <v>transportation NO2</v>
      </c>
      <c r="AJ203" t="str">
        <f>IF($AG203=1, IF($AD203=1, Keys!$C$9, "") &amp; IF($AE203=1, Keys!$C$10, "") &amp; IF($AF203=1, Keys!$C$11, ""), "")</f>
        <v/>
      </c>
      <c r="AK203">
        <f>IF($AG203=1, IFERROR(INDEX($AG$2:$AG$577, MATCH($A203 &amp; Keys!$C$8 &amp; $AH203, $Y$2:$Y$577, 0)), 1), 0)</f>
        <v>0</v>
      </c>
    </row>
    <row r="204" spans="1:37" x14ac:dyDescent="0.25">
      <c r="A204" t="s">
        <v>132</v>
      </c>
      <c r="B204" t="s">
        <v>234</v>
      </c>
      <c r="C204">
        <v>16</v>
      </c>
      <c r="D204">
        <v>3.9895967469999989</v>
      </c>
      <c r="E204">
        <v>6.7372841000000001E-3</v>
      </c>
      <c r="F204">
        <v>6.8693492570000014</v>
      </c>
      <c r="G204">
        <v>9.2505232999999993</v>
      </c>
      <c r="H204">
        <v>14.133418215000001</v>
      </c>
      <c r="I204">
        <v>0.42768825399999999</v>
      </c>
      <c r="J204">
        <v>3.4796927939999991</v>
      </c>
      <c r="K204">
        <v>959.42796551499976</v>
      </c>
      <c r="L204">
        <v>160.053970346</v>
      </c>
      <c r="M204">
        <v>0.44651827199999999</v>
      </c>
      <c r="N204">
        <v>30.253290772</v>
      </c>
      <c r="O204">
        <v>9.1837782000000007E-2</v>
      </c>
      <c r="P204">
        <v>1.7684726099999999E-2</v>
      </c>
      <c r="Q204">
        <v>7.6486950999999997E-2</v>
      </c>
      <c r="R204">
        <v>1.591075228</v>
      </c>
      <c r="S204">
        <v>20.230999983</v>
      </c>
      <c r="T204">
        <v>28.784425595999998</v>
      </c>
      <c r="U204">
        <v>459.56274961999998</v>
      </c>
      <c r="V204">
        <v>0</v>
      </c>
      <c r="W204">
        <v>0</v>
      </c>
      <c r="Y204" t="str">
        <f>$A204 &amp; Keys!$C$8 &amp; $B204</f>
        <v>Maine|transportation PM25</v>
      </c>
      <c r="Z204" s="8">
        <f>IFERROR(INDEX($U204:$W204, MATCH(INDEX(Runs!$D:$D, MATCH($B204, Runs!$A:$A, 0)), $U$1:$W$1, 0)), 0)</f>
        <v>459.56274961999998</v>
      </c>
      <c r="AA204" s="8">
        <f t="shared" si="12"/>
        <v>8.6812883557226706E-3</v>
      </c>
      <c r="AB204" s="8">
        <f>IFERROR(VLOOKUP(INDEX(Runs!$F:$F, MATCH($B204, Runs!$A:$A, 0)), US_national_yearly!$D:$AM, MATCH(Keys!$C$7, US_national_yearly!$D$1:$AM$1, 0), FALSE), 0)</f>
        <v>2.8248683697579859E-2</v>
      </c>
      <c r="AC204" s="8">
        <f t="shared" si="13"/>
        <v>0.30731656202679702</v>
      </c>
      <c r="AD204">
        <f>IF($Z204&lt;Keys!$C$3, 1, 0)</f>
        <v>0</v>
      </c>
      <c r="AE204">
        <f>IF($AC204&gt;Keys!$C$4, 1, 0)</f>
        <v>0</v>
      </c>
      <c r="AF204">
        <f>IF($AC204&lt;Keys!$C$5, 1, 0)</f>
        <v>0</v>
      </c>
      <c r="AG204">
        <f t="shared" si="14"/>
        <v>0</v>
      </c>
      <c r="AH204" t="str">
        <f>IFERROR(INDEX(Runs!$E:$E, MATCH($B204, Runs!$A:$A, 0)), $B204)</f>
        <v>Industry PM25</v>
      </c>
      <c r="AI204" t="str">
        <f t="shared" si="15"/>
        <v>transportation PM25</v>
      </c>
      <c r="AJ204" t="str">
        <f>IF($AG204=1, IF($AD204=1, Keys!$C$9, "") &amp; IF($AE204=1, Keys!$C$10, "") &amp; IF($AF204=1, Keys!$C$11, ""), "")</f>
        <v/>
      </c>
      <c r="AK204">
        <f>IF($AG204=1, IFERROR(INDEX($AG$2:$AG$577, MATCH($A204 &amp; Keys!$C$8 &amp; $AH204, $Y$2:$Y$577, 0)), 1), 0)</f>
        <v>0</v>
      </c>
    </row>
    <row r="205" spans="1:37" x14ac:dyDescent="0.25">
      <c r="A205" t="s">
        <v>132</v>
      </c>
      <c r="B205" t="s">
        <v>243</v>
      </c>
      <c r="C205">
        <v>16</v>
      </c>
      <c r="D205">
        <v>0.117357937</v>
      </c>
      <c r="E205">
        <v>1.96942345E-4</v>
      </c>
      <c r="F205">
        <v>0.205928633</v>
      </c>
      <c r="G205">
        <v>0.27731308900000001</v>
      </c>
      <c r="H205">
        <v>0.42368633</v>
      </c>
      <c r="I205">
        <v>1.2930115900000001E-2</v>
      </c>
      <c r="J205">
        <v>0.106646137</v>
      </c>
      <c r="K205">
        <v>29.005383893000001</v>
      </c>
      <c r="L205">
        <v>4.8459047680000014</v>
      </c>
      <c r="M205">
        <v>1.32931766E-2</v>
      </c>
      <c r="N205">
        <v>0.90692805200000004</v>
      </c>
      <c r="O205">
        <v>2.0438915100000001E-3</v>
      </c>
      <c r="P205">
        <v>5.2702911000000003E-4</v>
      </c>
      <c r="Q205">
        <v>2.40040011E-3</v>
      </c>
      <c r="R205">
        <v>4.7541431000000002E-2</v>
      </c>
      <c r="S205">
        <v>0.60442803599999995</v>
      </c>
      <c r="T205">
        <v>0.85971121099999992</v>
      </c>
      <c r="U205">
        <v>0</v>
      </c>
      <c r="V205">
        <v>73.025138232000003</v>
      </c>
      <c r="W205">
        <v>0</v>
      </c>
      <c r="Y205" t="str">
        <f>$A205 &amp; Keys!$C$8 &amp; $B205</f>
        <v>Maine|transportation SO2</v>
      </c>
      <c r="Z205" s="8">
        <f>IFERROR(INDEX($U205:$W205, MATCH(INDEX(Runs!$D:$D, MATCH($B205, Runs!$A:$A, 0)), $U$1:$W$1, 0)), 0)</f>
        <v>73.025138232000003</v>
      </c>
      <c r="AA205" s="8">
        <f t="shared" si="12"/>
        <v>1.6070895562998485E-3</v>
      </c>
      <c r="AB205" s="8">
        <f>IFERROR(VLOOKUP(INDEX(Runs!$F:$F, MATCH($B205, Runs!$A:$A, 0)), US_national_yearly!$D:$AM, MATCH(Keys!$C$7, US_national_yearly!$D$1:$AM$1, 0), FALSE), 0)</f>
        <v>5.1800714166247604E-3</v>
      </c>
      <c r="AC205" s="8">
        <f t="shared" si="13"/>
        <v>0.31024467175145604</v>
      </c>
      <c r="AD205">
        <f>IF($Z205&lt;Keys!$C$3, 1, 0)</f>
        <v>0</v>
      </c>
      <c r="AE205">
        <f>IF($AC205&gt;Keys!$C$4, 1, 0)</f>
        <v>0</v>
      </c>
      <c r="AF205">
        <f>IF($AC205&lt;Keys!$C$5, 1, 0)</f>
        <v>0</v>
      </c>
      <c r="AG205">
        <f t="shared" si="14"/>
        <v>0</v>
      </c>
      <c r="AH205" t="str">
        <f>IFERROR(INDEX(Runs!$E:$E, MATCH($B205, Runs!$A:$A, 0)), $B205)</f>
        <v>Industry SO2</v>
      </c>
      <c r="AI205" t="str">
        <f t="shared" si="15"/>
        <v>transportation SO2</v>
      </c>
      <c r="AJ205" t="str">
        <f>IF($AG205=1, IF($AD205=1, Keys!$C$9, "") &amp; IF($AE205=1, Keys!$C$10, "") &amp; IF($AF205=1, Keys!$C$11, ""), "")</f>
        <v/>
      </c>
      <c r="AK205">
        <f>IF($AG205=1, IFERROR(INDEX($AG$2:$AG$577, MATCH($A205 &amp; Keys!$C$8 &amp; $AH205, $Y$2:$Y$577, 0)), 1), 0)</f>
        <v>0</v>
      </c>
    </row>
    <row r="206" spans="1:37" x14ac:dyDescent="0.25">
      <c r="A206" t="s">
        <v>135</v>
      </c>
      <c r="B206" t="s">
        <v>242</v>
      </c>
      <c r="C206">
        <v>24</v>
      </c>
      <c r="D206">
        <v>4.0429079999999988</v>
      </c>
      <c r="E206">
        <v>9.8947607999999992E-3</v>
      </c>
      <c r="F206">
        <v>9.962536226000001</v>
      </c>
      <c r="G206">
        <v>13.415986495</v>
      </c>
      <c r="H206">
        <v>20.497404110000002</v>
      </c>
      <c r="I206">
        <v>0.31173985300000001</v>
      </c>
      <c r="J206">
        <v>1.5609199119999999</v>
      </c>
      <c r="K206">
        <v>1298.1838562949999</v>
      </c>
      <c r="L206">
        <v>220.26679681900001</v>
      </c>
      <c r="M206">
        <v>0.37916851699999998</v>
      </c>
      <c r="N206">
        <v>43.875926831000001</v>
      </c>
      <c r="O206">
        <v>0.91983003199999991</v>
      </c>
      <c r="P206">
        <v>2.61853568E-2</v>
      </c>
      <c r="Q206">
        <v>8.7974199000000017E-2</v>
      </c>
      <c r="R206">
        <v>2.344366999</v>
      </c>
      <c r="S206">
        <v>29.823949464999998</v>
      </c>
      <c r="T206">
        <v>42.465190935999992</v>
      </c>
      <c r="U206">
        <v>0</v>
      </c>
      <c r="V206">
        <v>0</v>
      </c>
      <c r="W206">
        <v>8782.7322968000008</v>
      </c>
      <c r="Y206" t="str">
        <f>$A206 &amp; Keys!$C$8 &amp; $B206</f>
        <v>Maryland|Industry NO2</v>
      </c>
      <c r="Z206" s="8">
        <f>IFERROR(INDEX($U206:$W206, MATCH(INDEX(Runs!$D:$D, MATCH($B206, Runs!$A:$A, 0)), $U$1:$W$1, 0)), 0)</f>
        <v>8782.7322968000008</v>
      </c>
      <c r="AA206" s="8">
        <f t="shared" si="12"/>
        <v>4.6032463057914648E-4</v>
      </c>
      <c r="AB206" s="8">
        <f>IFERROR(VLOOKUP(INDEX(Runs!$F:$F, MATCH($B206, Runs!$A:$A, 0)), US_national_yearly!$D:$AM, MATCH(Keys!$C$7, US_national_yearly!$D$1:$AM$1, 0), FALSE), 0)</f>
        <v>5.8012217057786938E-3</v>
      </c>
      <c r="AC206" s="8">
        <f t="shared" si="13"/>
        <v>7.9349601502147288E-2</v>
      </c>
      <c r="AD206">
        <f>IF($Z206&lt;Keys!$C$3, 1, 0)</f>
        <v>0</v>
      </c>
      <c r="AE206">
        <f>IF($AC206&gt;Keys!$C$4, 1, 0)</f>
        <v>0</v>
      </c>
      <c r="AF206">
        <f>IF($AC206&lt;Keys!$C$5, 1, 0)</f>
        <v>0</v>
      </c>
      <c r="AG206">
        <f t="shared" si="14"/>
        <v>0</v>
      </c>
      <c r="AH206" t="str">
        <f>IFERROR(INDEX(Runs!$E:$E, MATCH($B206, Runs!$A:$A, 0)), $B206)</f>
        <v>Industry NO2</v>
      </c>
      <c r="AI206" t="str">
        <f t="shared" si="15"/>
        <v>Industry NO2</v>
      </c>
      <c r="AJ206" t="str">
        <f>IF($AG206=1, IF($AD206=1, Keys!$C$9, "") &amp; IF($AE206=1, Keys!$C$10, "") &amp; IF($AF206=1, Keys!$C$11, ""), "")</f>
        <v/>
      </c>
      <c r="AK206">
        <f>IF($AG206=1, IFERROR(INDEX($AG$2:$AG$577, MATCH($A206 &amp; Keys!$C$8 &amp; $AH206, $Y$2:$Y$577, 0)), 1), 0)</f>
        <v>0</v>
      </c>
    </row>
    <row r="207" spans="1:37" x14ac:dyDescent="0.25">
      <c r="A207" t="s">
        <v>135</v>
      </c>
      <c r="B207" t="s">
        <v>238</v>
      </c>
      <c r="C207">
        <v>24</v>
      </c>
      <c r="D207">
        <v>100.154499856</v>
      </c>
      <c r="E207">
        <v>0.26813040999999999</v>
      </c>
      <c r="F207">
        <v>259.15492676100001</v>
      </c>
      <c r="G207">
        <v>348.97480607300002</v>
      </c>
      <c r="H207">
        <v>533.22750504300006</v>
      </c>
      <c r="I207">
        <v>7.9853696759999986</v>
      </c>
      <c r="J207">
        <v>38.955453517999992</v>
      </c>
      <c r="K207">
        <v>33416.481373899987</v>
      </c>
      <c r="L207">
        <v>5678.4264608380008</v>
      </c>
      <c r="M207">
        <v>9.7755154919999985</v>
      </c>
      <c r="N207">
        <v>1141.357237877</v>
      </c>
      <c r="O207">
        <v>26.27154409400001</v>
      </c>
      <c r="P207">
        <v>0.69637406400000001</v>
      </c>
      <c r="Q207">
        <v>2.3328396859999998</v>
      </c>
      <c r="R207">
        <v>61.115050643999993</v>
      </c>
      <c r="S207">
        <v>777.84380571199995</v>
      </c>
      <c r="T207">
        <v>1109.0703903409999</v>
      </c>
      <c r="U207">
        <v>2937.9060786099999</v>
      </c>
      <c r="V207">
        <v>0</v>
      </c>
      <c r="W207">
        <v>0</v>
      </c>
      <c r="Y207" t="str">
        <f>$A207 &amp; Keys!$C$8 &amp; $B207</f>
        <v>Maryland|Industry PM25</v>
      </c>
      <c r="Z207" s="8">
        <f>IFERROR(INDEX($U207:$W207, MATCH(INDEX(Runs!$D:$D, MATCH($B207, Runs!$A:$A, 0)), $U$1:$W$1, 0)), 0)</f>
        <v>2937.9060786099999</v>
      </c>
      <c r="AA207" s="8">
        <f t="shared" si="12"/>
        <v>3.4090436241374235E-2</v>
      </c>
      <c r="AB207" s="8">
        <f>IFERROR(VLOOKUP(INDEX(Runs!$F:$F, MATCH($B207, Runs!$A:$A, 0)), US_national_yearly!$D:$AM, MATCH(Keys!$C$7, US_national_yearly!$D$1:$AM$1, 0), FALSE), 0)</f>
        <v>2.6833191881203179E-2</v>
      </c>
      <c r="AC207" s="8">
        <f t="shared" si="13"/>
        <v>1.2704577372792836</v>
      </c>
      <c r="AD207">
        <f>IF($Z207&lt;Keys!$C$3, 1, 0)</f>
        <v>0</v>
      </c>
      <c r="AE207">
        <f>IF($AC207&gt;Keys!$C$4, 1, 0)</f>
        <v>0</v>
      </c>
      <c r="AF207">
        <f>IF($AC207&lt;Keys!$C$5, 1, 0)</f>
        <v>0</v>
      </c>
      <c r="AG207">
        <f t="shared" si="14"/>
        <v>0</v>
      </c>
      <c r="AH207" t="str">
        <f>IFERROR(INDEX(Runs!$E:$E, MATCH($B207, Runs!$A:$A, 0)), $B207)</f>
        <v>Industry PM25</v>
      </c>
      <c r="AI207" t="str">
        <f t="shared" si="15"/>
        <v>Industry PM25</v>
      </c>
      <c r="AJ207" t="str">
        <f>IF($AG207=1, IF($AD207=1, Keys!$C$9, "") &amp; IF($AE207=1, Keys!$C$10, "") &amp; IF($AF207=1, Keys!$C$11, ""), "")</f>
        <v/>
      </c>
      <c r="AK207">
        <f>IF($AG207=1, IFERROR(INDEX($AG$2:$AG$577, MATCH($A207 &amp; Keys!$C$8 &amp; $AH207, $Y$2:$Y$577, 0)), 1), 0)</f>
        <v>0</v>
      </c>
    </row>
    <row r="208" spans="1:37" x14ac:dyDescent="0.25">
      <c r="A208" t="s">
        <v>135</v>
      </c>
      <c r="B208" t="s">
        <v>246</v>
      </c>
      <c r="C208">
        <v>24</v>
      </c>
      <c r="D208">
        <v>6.2448446620000002</v>
      </c>
      <c r="E208">
        <v>1.7456761000000001E-2</v>
      </c>
      <c r="F208">
        <v>14.915475786</v>
      </c>
      <c r="G208">
        <v>20.085787426</v>
      </c>
      <c r="H208">
        <v>30.687911053000001</v>
      </c>
      <c r="I208">
        <v>0.44886203400000008</v>
      </c>
      <c r="J208">
        <v>2.273070601000001</v>
      </c>
      <c r="K208">
        <v>1938.6213193880001</v>
      </c>
      <c r="L208">
        <v>329.95241824099998</v>
      </c>
      <c r="M208">
        <v>0.56669041000000009</v>
      </c>
      <c r="N208">
        <v>65.689174264999991</v>
      </c>
      <c r="O208">
        <v>1.5356617370000001</v>
      </c>
      <c r="P208">
        <v>3.7696267899999997E-2</v>
      </c>
      <c r="Q208">
        <v>0.13059194599999999</v>
      </c>
      <c r="R208">
        <v>3.5195000460000001</v>
      </c>
      <c r="S208">
        <v>44.760964106000003</v>
      </c>
      <c r="T208">
        <v>63.705720364999998</v>
      </c>
      <c r="U208">
        <v>0</v>
      </c>
      <c r="V208">
        <v>4790.8074754320014</v>
      </c>
      <c r="W208">
        <v>0</v>
      </c>
      <c r="Y208" t="str">
        <f>$A208 &amp; Keys!$C$8 &amp; $B208</f>
        <v>Maryland|Industry SO2</v>
      </c>
      <c r="Z208" s="8">
        <f>IFERROR(INDEX($U208:$W208, MATCH(INDEX(Runs!$D:$D, MATCH($B208, Runs!$A:$A, 0)), $U$1:$W$1, 0)), 0)</f>
        <v>4790.8074754320014</v>
      </c>
      <c r="AA208" s="8">
        <f t="shared" si="12"/>
        <v>1.3035056603765702E-3</v>
      </c>
      <c r="AB208" s="8">
        <f>IFERROR(VLOOKUP(INDEX(Runs!$F:$F, MATCH($B208, Runs!$A:$A, 0)), US_national_yearly!$D:$AM, MATCH(Keys!$C$7, US_national_yearly!$D$1:$AM$1, 0), FALSE), 0)</f>
        <v>5.3000351638639942E-3</v>
      </c>
      <c r="AC208" s="8">
        <f t="shared" si="13"/>
        <v>0.24594283246721868</v>
      </c>
      <c r="AD208">
        <f>IF($Z208&lt;Keys!$C$3, 1, 0)</f>
        <v>0</v>
      </c>
      <c r="AE208">
        <f>IF($AC208&gt;Keys!$C$4, 1, 0)</f>
        <v>0</v>
      </c>
      <c r="AF208">
        <f>IF($AC208&lt;Keys!$C$5, 1, 0)</f>
        <v>0</v>
      </c>
      <c r="AG208">
        <f t="shared" si="14"/>
        <v>0</v>
      </c>
      <c r="AH208" t="str">
        <f>IFERROR(INDEX(Runs!$E:$E, MATCH($B208, Runs!$A:$A, 0)), $B208)</f>
        <v>Industry SO2</v>
      </c>
      <c r="AI208" t="str">
        <f t="shared" si="15"/>
        <v>Industry SO2</v>
      </c>
      <c r="AJ208" t="str">
        <f>IF($AG208=1, IF($AD208=1, Keys!$C$9, "") &amp; IF($AE208=1, Keys!$C$10, "") &amp; IF($AF208=1, Keys!$C$11, ""), "")</f>
        <v/>
      </c>
      <c r="AK208">
        <f>IF($AG208=1, IFERROR(INDEX($AG$2:$AG$577, MATCH($A208 &amp; Keys!$C$8 &amp; $AH208, $Y$2:$Y$577, 0)), 1), 0)</f>
        <v>0</v>
      </c>
    </row>
    <row r="209" spans="1:37" x14ac:dyDescent="0.25">
      <c r="A209" t="s">
        <v>135</v>
      </c>
      <c r="B209" t="s">
        <v>253</v>
      </c>
      <c r="C209">
        <v>24</v>
      </c>
      <c r="D209">
        <v>22.292690088000001</v>
      </c>
      <c r="E209">
        <v>6.4754223699999974E-2</v>
      </c>
      <c r="F209">
        <v>57.330237099000001</v>
      </c>
      <c r="G209">
        <v>77.202608934000011</v>
      </c>
      <c r="H209">
        <v>117.9556201</v>
      </c>
      <c r="I209">
        <v>1.69445409</v>
      </c>
      <c r="J209">
        <v>8.5954763950000004</v>
      </c>
      <c r="K209">
        <v>7381.8428332329986</v>
      </c>
      <c r="L209">
        <v>1257.282337527</v>
      </c>
      <c r="M209">
        <v>2.1006939679999999</v>
      </c>
      <c r="N209">
        <v>252.488466133</v>
      </c>
      <c r="O209">
        <v>5.6659667479999998</v>
      </c>
      <c r="P209">
        <v>0.1561187477</v>
      </c>
      <c r="Q209">
        <v>0.48867277700000011</v>
      </c>
      <c r="R209">
        <v>13.562867425</v>
      </c>
      <c r="S209">
        <v>172.55069542999999</v>
      </c>
      <c r="T209">
        <v>245.74848365299999</v>
      </c>
      <c r="U209">
        <v>0</v>
      </c>
      <c r="V209">
        <v>0</v>
      </c>
      <c r="W209">
        <v>10983.558003259999</v>
      </c>
      <c r="Y209" t="str">
        <f>$A209 &amp; Keys!$C$8 &amp; $B209</f>
        <v>Maryland|buildings NO2</v>
      </c>
      <c r="Z209" s="8">
        <f>IFERROR(INDEX($U209:$W209, MATCH(INDEX(Runs!$D:$D, MATCH($B209, Runs!$A:$A, 0)), $U$1:$W$1, 0)), 0)</f>
        <v>10983.558003259999</v>
      </c>
      <c r="AA209" s="8">
        <f t="shared" si="12"/>
        <v>2.0296419503937949E-3</v>
      </c>
      <c r="AB209" s="8">
        <f>IFERROR(VLOOKUP(INDEX(Runs!$F:$F, MATCH($B209, Runs!$A:$A, 0)), US_national_yearly!$D:$AM, MATCH(Keys!$C$7, US_national_yearly!$D$1:$AM$1, 0), FALSE), 0)</f>
        <v>5.6784740124662739E-3</v>
      </c>
      <c r="AC209" s="8">
        <f t="shared" si="13"/>
        <v>0.35742735564836742</v>
      </c>
      <c r="AD209">
        <f>IF($Z209&lt;Keys!$C$3, 1, 0)</f>
        <v>0</v>
      </c>
      <c r="AE209">
        <f>IF($AC209&gt;Keys!$C$4, 1, 0)</f>
        <v>0</v>
      </c>
      <c r="AF209">
        <f>IF($AC209&lt;Keys!$C$5, 1, 0)</f>
        <v>0</v>
      </c>
      <c r="AG209">
        <f t="shared" si="14"/>
        <v>0</v>
      </c>
      <c r="AH209" t="str">
        <f>IFERROR(INDEX(Runs!$E:$E, MATCH($B209, Runs!$A:$A, 0)), $B209)</f>
        <v>Industry NO2</v>
      </c>
      <c r="AI209" t="str">
        <f t="shared" si="15"/>
        <v>buildings NO2</v>
      </c>
      <c r="AJ209" t="str">
        <f>IF($AG209=1, IF($AD209=1, Keys!$C$9, "") &amp; IF($AE209=1, Keys!$C$10, "") &amp; IF($AF209=1, Keys!$C$11, ""), "")</f>
        <v/>
      </c>
      <c r="AK209">
        <f>IF($AG209=1, IFERROR(INDEX($AG$2:$AG$577, MATCH($A209 &amp; Keys!$C$8 &amp; $AH209, $Y$2:$Y$577, 0)), 1), 0)</f>
        <v>0</v>
      </c>
    </row>
    <row r="210" spans="1:37" x14ac:dyDescent="0.25">
      <c r="A210" t="s">
        <v>135</v>
      </c>
      <c r="B210" t="s">
        <v>251</v>
      </c>
      <c r="C210">
        <v>24</v>
      </c>
      <c r="D210">
        <v>7.43065423</v>
      </c>
      <c r="E210">
        <v>2.0765656600000001E-2</v>
      </c>
      <c r="F210">
        <v>19.237175494999999</v>
      </c>
      <c r="G210">
        <v>25.905585872</v>
      </c>
      <c r="H210">
        <v>39.579567163999997</v>
      </c>
      <c r="I210">
        <v>0.58724854599999987</v>
      </c>
      <c r="J210">
        <v>2.89810927</v>
      </c>
      <c r="K210">
        <v>2475.5919586059999</v>
      </c>
      <c r="L210">
        <v>421.17084310299998</v>
      </c>
      <c r="M210">
        <v>0.71986523199999997</v>
      </c>
      <c r="N210">
        <v>84.722328531000002</v>
      </c>
      <c r="O210">
        <v>1.9388015599999999</v>
      </c>
      <c r="P210">
        <v>5.1950219199999988E-2</v>
      </c>
      <c r="Q210">
        <v>0.17016709399999999</v>
      </c>
      <c r="R210">
        <v>4.5528014749999999</v>
      </c>
      <c r="S210">
        <v>57.917830962999993</v>
      </c>
      <c r="T210">
        <v>82.466724295999995</v>
      </c>
      <c r="U210">
        <v>163.45775936599989</v>
      </c>
      <c r="V210">
        <v>0</v>
      </c>
      <c r="W210">
        <v>0</v>
      </c>
      <c r="Y210" t="str">
        <f>$A210 &amp; Keys!$C$8 &amp; $B210</f>
        <v>Maryland|buildings PM25</v>
      </c>
      <c r="Z210" s="8">
        <f>IFERROR(INDEX($U210:$W210, MATCH(INDEX(Runs!$D:$D, MATCH($B210, Runs!$A:$A, 0)), $U$1:$W$1, 0)), 0)</f>
        <v>163.45775936599989</v>
      </c>
      <c r="AA210" s="8">
        <f t="shared" si="12"/>
        <v>4.5459170973718953E-2</v>
      </c>
      <c r="AB210" s="8">
        <f>IFERROR(VLOOKUP(INDEX(Runs!$F:$F, MATCH($B210, Runs!$A:$A, 0)), US_national_yearly!$D:$AM, MATCH(Keys!$C$7, US_national_yearly!$D$1:$AM$1, 0), FALSE), 0)</f>
        <v>2.7627705191843259E-2</v>
      </c>
      <c r="AC210" s="8">
        <f t="shared" si="13"/>
        <v>1.6454197211840893</v>
      </c>
      <c r="AD210">
        <f>IF($Z210&lt;Keys!$C$3, 1, 0)</f>
        <v>0</v>
      </c>
      <c r="AE210">
        <f>IF($AC210&gt;Keys!$C$4, 1, 0)</f>
        <v>0</v>
      </c>
      <c r="AF210">
        <f>IF($AC210&lt;Keys!$C$5, 1, 0)</f>
        <v>0</v>
      </c>
      <c r="AG210">
        <f t="shared" si="14"/>
        <v>0</v>
      </c>
      <c r="AH210" t="str">
        <f>IFERROR(INDEX(Runs!$E:$E, MATCH($B210, Runs!$A:$A, 0)), $B210)</f>
        <v>Industry PM25</v>
      </c>
      <c r="AI210" t="str">
        <f t="shared" si="15"/>
        <v>buildings PM25</v>
      </c>
      <c r="AJ210" t="str">
        <f>IF($AG210=1, IF($AD210=1, Keys!$C$9, "") &amp; IF($AE210=1, Keys!$C$10, "") &amp; IF($AF210=1, Keys!$C$11, ""), "")</f>
        <v/>
      </c>
      <c r="AK210">
        <f>IF($AG210=1, IFERROR(INDEX($AG$2:$AG$577, MATCH($A210 &amp; Keys!$C$8 &amp; $AH210, $Y$2:$Y$577, 0)), 1), 0)</f>
        <v>0</v>
      </c>
    </row>
    <row r="211" spans="1:37" x14ac:dyDescent="0.25">
      <c r="A211" t="s">
        <v>135</v>
      </c>
      <c r="B211" t="s">
        <v>254</v>
      </c>
      <c r="C211">
        <v>24</v>
      </c>
      <c r="D211">
        <v>10.864751243000001</v>
      </c>
      <c r="E211">
        <v>2.9878056E-2</v>
      </c>
      <c r="F211">
        <v>27.672893162000001</v>
      </c>
      <c r="G211">
        <v>37.265424759999988</v>
      </c>
      <c r="H211">
        <v>56.935757580999997</v>
      </c>
      <c r="I211">
        <v>0.84148562199999988</v>
      </c>
      <c r="J211">
        <v>4.2506433940000008</v>
      </c>
      <c r="K211">
        <v>3563.323782116001</v>
      </c>
      <c r="L211">
        <v>605.85752857400007</v>
      </c>
      <c r="M211">
        <v>1.033700082</v>
      </c>
      <c r="N211">
        <v>121.874075503</v>
      </c>
      <c r="O211">
        <v>2.7982642930000008</v>
      </c>
      <c r="P211">
        <v>7.5843697599999996E-2</v>
      </c>
      <c r="Q211">
        <v>0.24136400299999999</v>
      </c>
      <c r="R211">
        <v>6.5393477230000006</v>
      </c>
      <c r="S211">
        <v>83.18817517200003</v>
      </c>
      <c r="T211">
        <v>118.447496972</v>
      </c>
      <c r="U211">
        <v>0</v>
      </c>
      <c r="V211">
        <v>1881.7210318719999</v>
      </c>
      <c r="W211">
        <v>0</v>
      </c>
      <c r="Y211" t="str">
        <f>$A211 &amp; Keys!$C$8 &amp; $B211</f>
        <v>Maryland|buildings SO2</v>
      </c>
      <c r="Z211" s="8">
        <f>IFERROR(INDEX($U211:$W211, MATCH(INDEX(Runs!$D:$D, MATCH($B211, Runs!$A:$A, 0)), $U$1:$W$1, 0)), 0)</f>
        <v>1881.7210318719999</v>
      </c>
      <c r="AA211" s="8">
        <f t="shared" si="12"/>
        <v>5.7738373855509163E-3</v>
      </c>
      <c r="AB211" s="8">
        <f>IFERROR(VLOOKUP(INDEX(Runs!$F:$F, MATCH($B211, Runs!$A:$A, 0)), US_national_yearly!$D:$AM, MATCH(Keys!$C$7, US_national_yearly!$D$1:$AM$1, 0), FALSE), 0)</f>
        <v>5.1581943281164694E-3</v>
      </c>
      <c r="AC211" s="8">
        <f t="shared" si="13"/>
        <v>1.1193524358085305</v>
      </c>
      <c r="AD211">
        <f>IF($Z211&lt;Keys!$C$3, 1, 0)</f>
        <v>0</v>
      </c>
      <c r="AE211">
        <f>IF($AC211&gt;Keys!$C$4, 1, 0)</f>
        <v>0</v>
      </c>
      <c r="AF211">
        <f>IF($AC211&lt;Keys!$C$5, 1, 0)</f>
        <v>0</v>
      </c>
      <c r="AG211">
        <f t="shared" si="14"/>
        <v>0</v>
      </c>
      <c r="AH211" t="str">
        <f>IFERROR(INDEX(Runs!$E:$E, MATCH($B211, Runs!$A:$A, 0)), $B211)</f>
        <v>Industry SO2</v>
      </c>
      <c r="AI211" t="str">
        <f t="shared" si="15"/>
        <v>buildings SO2</v>
      </c>
      <c r="AJ211" t="str">
        <f>IF($AG211=1, IF($AD211=1, Keys!$C$9, "") &amp; IF($AE211=1, Keys!$C$10, "") &amp; IF($AF211=1, Keys!$C$11, ""), "")</f>
        <v/>
      </c>
      <c r="AK211">
        <f>IF($AG211=1, IFERROR(INDEX($AG$2:$AG$577, MATCH($A211 &amp; Keys!$C$8 &amp; $AH211, $Y$2:$Y$577, 0)), 1), 0)</f>
        <v>0</v>
      </c>
    </row>
    <row r="212" spans="1:37" x14ac:dyDescent="0.25">
      <c r="A212" t="s">
        <v>135</v>
      </c>
      <c r="B212" t="s">
        <v>249</v>
      </c>
      <c r="C212">
        <v>24</v>
      </c>
      <c r="D212">
        <v>0.51997560200000015</v>
      </c>
      <c r="E212">
        <v>1.38935177E-3</v>
      </c>
      <c r="F212">
        <v>1.3371974200000001</v>
      </c>
      <c r="G212">
        <v>1.8007323079999999</v>
      </c>
      <c r="H212">
        <v>2.7512068470000002</v>
      </c>
      <c r="I212">
        <v>4.032376700000001E-2</v>
      </c>
      <c r="J212">
        <v>0.20212719900000001</v>
      </c>
      <c r="K212">
        <v>171.26087056399999</v>
      </c>
      <c r="L212">
        <v>29.064718322000001</v>
      </c>
      <c r="M212">
        <v>4.8592917000000013E-2</v>
      </c>
      <c r="N212">
        <v>5.8891365750000002</v>
      </c>
      <c r="O212">
        <v>0.13136188909999999</v>
      </c>
      <c r="P212">
        <v>3.6036354699999999E-3</v>
      </c>
      <c r="Q212">
        <v>1.12284159E-2</v>
      </c>
      <c r="R212">
        <v>0.31533888599999998</v>
      </c>
      <c r="S212">
        <v>4.0114909810000006</v>
      </c>
      <c r="T212">
        <v>5.7113920250000003</v>
      </c>
      <c r="U212">
        <v>0</v>
      </c>
      <c r="V212">
        <v>0</v>
      </c>
      <c r="W212">
        <v>2063.0691928820002</v>
      </c>
      <c r="Y212" t="str">
        <f>$A212 &amp; Keys!$C$8 &amp; $B212</f>
        <v>Maryland|electricity NO2</v>
      </c>
      <c r="Z212" s="8">
        <f>IFERROR(INDEX($U212:$W212, MATCH(INDEX(Runs!$D:$D, MATCH($B212, Runs!$A:$A, 0)), $U$1:$W$1, 0)), 0)</f>
        <v>2063.0691928820002</v>
      </c>
      <c r="AA212" s="8">
        <f t="shared" si="12"/>
        <v>2.5203982677557283E-4</v>
      </c>
      <c r="AB212" s="8">
        <f>IFERROR(VLOOKUP(INDEX(Runs!$F:$F, MATCH($B212, Runs!$A:$A, 0)), US_national_yearly!$D:$AM, MATCH(Keys!$C$7, US_national_yearly!$D$1:$AM$1, 0), FALSE), 0)</f>
        <v>6.1439221592658041E-3</v>
      </c>
      <c r="AC212" s="8">
        <f t="shared" si="13"/>
        <v>4.1022626954260025E-2</v>
      </c>
      <c r="AD212">
        <f>IF($Z212&lt;Keys!$C$3, 1, 0)</f>
        <v>0</v>
      </c>
      <c r="AE212">
        <f>IF($AC212&gt;Keys!$C$4, 1, 0)</f>
        <v>0</v>
      </c>
      <c r="AF212">
        <f>IF($AC212&lt;Keys!$C$5, 1, 0)</f>
        <v>0</v>
      </c>
      <c r="AG212">
        <f t="shared" si="14"/>
        <v>0</v>
      </c>
      <c r="AH212" t="str">
        <f>IFERROR(INDEX(Runs!$E:$E, MATCH($B212, Runs!$A:$A, 0)), $B212)</f>
        <v>Industry NO2</v>
      </c>
      <c r="AI212" t="str">
        <f t="shared" si="15"/>
        <v>electricity NO2</v>
      </c>
      <c r="AJ212" t="str">
        <f>IF($AG212=1, IF($AD212=1, Keys!$C$9, "") &amp; IF($AE212=1, Keys!$C$10, "") &amp; IF($AF212=1, Keys!$C$11, ""), "")</f>
        <v/>
      </c>
      <c r="AK212">
        <f>IF($AG212=1, IFERROR(INDEX($AG$2:$AG$577, MATCH($A212 &amp; Keys!$C$8 &amp; $AH212, $Y$2:$Y$577, 0)), 1), 0)</f>
        <v>0</v>
      </c>
    </row>
    <row r="213" spans="1:37" x14ac:dyDescent="0.25">
      <c r="A213" t="s">
        <v>135</v>
      </c>
      <c r="B213" t="s">
        <v>247</v>
      </c>
      <c r="C213">
        <v>24</v>
      </c>
      <c r="D213">
        <v>10.007183755</v>
      </c>
      <c r="E213">
        <v>3.0726081629999999E-2</v>
      </c>
      <c r="F213">
        <v>27.908291669</v>
      </c>
      <c r="G213">
        <v>37.582311350999987</v>
      </c>
      <c r="H213">
        <v>57.420304793</v>
      </c>
      <c r="I213">
        <v>0.68235397200000003</v>
      </c>
      <c r="J213">
        <v>3.6350014599999998</v>
      </c>
      <c r="K213">
        <v>3567.5009213849989</v>
      </c>
      <c r="L213">
        <v>605.69474412500006</v>
      </c>
      <c r="M213">
        <v>0.8400960059999999</v>
      </c>
      <c r="N213">
        <v>122.91090781299999</v>
      </c>
      <c r="O213">
        <v>2.3505642844999999</v>
      </c>
      <c r="P213">
        <v>7.0140753500000014E-2</v>
      </c>
      <c r="Q213">
        <v>0.18842474070000001</v>
      </c>
      <c r="R213">
        <v>6.5451373180000001</v>
      </c>
      <c r="S213">
        <v>83.288053823999974</v>
      </c>
      <c r="T213">
        <v>118.657027601</v>
      </c>
      <c r="U213">
        <v>695.25280597499989</v>
      </c>
      <c r="V213">
        <v>0</v>
      </c>
      <c r="W213">
        <v>0</v>
      </c>
      <c r="Y213" t="str">
        <f>$A213 &amp; Keys!$C$8 &amp; $B213</f>
        <v>Maryland|electricity PM25</v>
      </c>
      <c r="Z213" s="8">
        <f>IFERROR(INDEX($U213:$W213, MATCH(INDEX(Runs!$D:$D, MATCH($B213, Runs!$A:$A, 0)), $U$1:$W$1, 0)), 0)</f>
        <v>695.25280597499989</v>
      </c>
      <c r="AA213" s="8">
        <f t="shared" si="12"/>
        <v>1.4393589884137543E-2</v>
      </c>
      <c r="AB213" s="8">
        <f>IFERROR(VLOOKUP(INDEX(Runs!$F:$F, MATCH($B213, Runs!$A:$A, 0)), US_national_yearly!$D:$AM, MATCH(Keys!$C$7, US_national_yearly!$D$1:$AM$1, 0), FALSE), 0)</f>
        <v>2.4252978284752182E-2</v>
      </c>
      <c r="AC213" s="8">
        <f t="shared" si="13"/>
        <v>0.59347720989742425</v>
      </c>
      <c r="AD213">
        <f>IF($Z213&lt;Keys!$C$3, 1, 0)</f>
        <v>0</v>
      </c>
      <c r="AE213">
        <f>IF($AC213&gt;Keys!$C$4, 1, 0)</f>
        <v>0</v>
      </c>
      <c r="AF213">
        <f>IF($AC213&lt;Keys!$C$5, 1, 0)</f>
        <v>0</v>
      </c>
      <c r="AG213">
        <f t="shared" si="14"/>
        <v>0</v>
      </c>
      <c r="AH213" t="str">
        <f>IFERROR(INDEX(Runs!$E:$E, MATCH($B213, Runs!$A:$A, 0)), $B213)</f>
        <v>Industry PM25</v>
      </c>
      <c r="AI213" t="str">
        <f t="shared" si="15"/>
        <v>electricity PM25</v>
      </c>
      <c r="AJ213" t="str">
        <f>IF($AG213=1, IF($AD213=1, Keys!$C$9, "") &amp; IF($AE213=1, Keys!$C$10, "") &amp; IF($AF213=1, Keys!$C$11, ""), "")</f>
        <v/>
      </c>
      <c r="AK213">
        <f>IF($AG213=1, IFERROR(INDEX($AG$2:$AG$577, MATCH($A213 &amp; Keys!$C$8 &amp; $AH213, $Y$2:$Y$577, 0)), 1), 0)</f>
        <v>0</v>
      </c>
    </row>
    <row r="214" spans="1:37" x14ac:dyDescent="0.25">
      <c r="A214" t="s">
        <v>135</v>
      </c>
      <c r="B214" t="s">
        <v>250</v>
      </c>
      <c r="C214">
        <v>24</v>
      </c>
      <c r="D214">
        <v>1.168758435</v>
      </c>
      <c r="E214">
        <v>3.5225062099999999E-3</v>
      </c>
      <c r="F214">
        <v>3.2134346749999998</v>
      </c>
      <c r="G214">
        <v>4.3273586820000007</v>
      </c>
      <c r="H214">
        <v>6.6114613640000002</v>
      </c>
      <c r="I214">
        <v>8.4788427E-2</v>
      </c>
      <c r="J214">
        <v>0.43275784800000011</v>
      </c>
      <c r="K214">
        <v>410.36394632100001</v>
      </c>
      <c r="L214">
        <v>69.723571188999983</v>
      </c>
      <c r="M214">
        <v>0.10326017699999999</v>
      </c>
      <c r="N214">
        <v>14.152254721</v>
      </c>
      <c r="O214">
        <v>0.28617413289999988</v>
      </c>
      <c r="P214">
        <v>8.3638284499999993E-3</v>
      </c>
      <c r="Q214">
        <v>2.33822773E-2</v>
      </c>
      <c r="R214">
        <v>0.75557259699999979</v>
      </c>
      <c r="S214">
        <v>9.6140775610000038</v>
      </c>
      <c r="T214">
        <v>13.693643558</v>
      </c>
      <c r="U214">
        <v>0</v>
      </c>
      <c r="V214">
        <v>631.99053645400011</v>
      </c>
      <c r="W214">
        <v>0</v>
      </c>
      <c r="Y214" t="str">
        <f>$A214 &amp; Keys!$C$8 &amp; $B214</f>
        <v>Maryland|electricity SO2</v>
      </c>
      <c r="Z214" s="8">
        <f>IFERROR(INDEX($U214:$W214, MATCH(INDEX(Runs!$D:$D, MATCH($B214, Runs!$A:$A, 0)), $U$1:$W$1, 0)), 0)</f>
        <v>631.99053645400011</v>
      </c>
      <c r="AA214" s="8">
        <f t="shared" si="12"/>
        <v>1.8493290129907964E-3</v>
      </c>
      <c r="AB214" s="8">
        <f>IFERROR(VLOOKUP(INDEX(Runs!$F:$F, MATCH($B214, Runs!$A:$A, 0)), US_national_yearly!$D:$AM, MATCH(Keys!$C$7, US_national_yearly!$D$1:$AM$1, 0), FALSE), 0)</f>
        <v>5.7032329662362116E-3</v>
      </c>
      <c r="AC214" s="8">
        <f t="shared" si="13"/>
        <v>0.32425977054401156</v>
      </c>
      <c r="AD214">
        <f>IF($Z214&lt;Keys!$C$3, 1, 0)</f>
        <v>0</v>
      </c>
      <c r="AE214">
        <f>IF($AC214&gt;Keys!$C$4, 1, 0)</f>
        <v>0</v>
      </c>
      <c r="AF214">
        <f>IF($AC214&lt;Keys!$C$5, 1, 0)</f>
        <v>0</v>
      </c>
      <c r="AG214">
        <f t="shared" si="14"/>
        <v>0</v>
      </c>
      <c r="AH214" t="str">
        <f>IFERROR(INDEX(Runs!$E:$E, MATCH($B214, Runs!$A:$A, 0)), $B214)</f>
        <v>Industry SO2</v>
      </c>
      <c r="AI214" t="str">
        <f t="shared" si="15"/>
        <v>electricity SO2</v>
      </c>
      <c r="AJ214" t="str">
        <f>IF($AG214=1, IF($AD214=1, Keys!$C$9, "") &amp; IF($AE214=1, Keys!$C$10, "") &amp; IF($AF214=1, Keys!$C$11, ""), "")</f>
        <v/>
      </c>
      <c r="AK214">
        <f>IF($AG214=1, IFERROR(INDEX($AG$2:$AG$577, MATCH($A214 &amp; Keys!$C$8 &amp; $AH214, $Y$2:$Y$577, 0)), 1), 0)</f>
        <v>0</v>
      </c>
    </row>
    <row r="215" spans="1:37" x14ac:dyDescent="0.25">
      <c r="A215" t="s">
        <v>135</v>
      </c>
      <c r="B215" t="s">
        <v>239</v>
      </c>
      <c r="C215">
        <v>24</v>
      </c>
      <c r="D215">
        <v>64.399905271000009</v>
      </c>
      <c r="E215">
        <v>0.18062593900000001</v>
      </c>
      <c r="F215">
        <v>168.44238637500001</v>
      </c>
      <c r="G215">
        <v>226.82555953299999</v>
      </c>
      <c r="H215">
        <v>346.57438762100008</v>
      </c>
      <c r="I215">
        <v>5.1061695309999982</v>
      </c>
      <c r="J215">
        <v>25.620197531999999</v>
      </c>
      <c r="K215">
        <v>21639.18345348</v>
      </c>
      <c r="L215">
        <v>3680.007319547999</v>
      </c>
      <c r="M215">
        <v>6.2227930859999994</v>
      </c>
      <c r="N215">
        <v>741.84233352900014</v>
      </c>
      <c r="O215">
        <v>16.697920344</v>
      </c>
      <c r="P215">
        <v>0.45566404399999999</v>
      </c>
      <c r="Q215">
        <v>1.459445369</v>
      </c>
      <c r="R215">
        <v>39.798090084999998</v>
      </c>
      <c r="S215">
        <v>506.45306101400001</v>
      </c>
      <c r="T215">
        <v>721.78625088499984</v>
      </c>
      <c r="U215">
        <v>0</v>
      </c>
      <c r="V215">
        <v>0</v>
      </c>
      <c r="W215">
        <v>43284.0334927</v>
      </c>
      <c r="Y215" t="str">
        <f>$A215 &amp; Keys!$C$8 &amp; $B215</f>
        <v>Maryland|transportation NO2</v>
      </c>
      <c r="Z215" s="8">
        <f>IFERROR(INDEX($U215:$W215, MATCH(INDEX(Runs!$D:$D, MATCH($B215, Runs!$A:$A, 0)), $U$1:$W$1, 0)), 0)</f>
        <v>43284.0334927</v>
      </c>
      <c r="AA215" s="8">
        <f t="shared" si="12"/>
        <v>1.4878443637158093E-3</v>
      </c>
      <c r="AB215" s="8">
        <f>IFERROR(VLOOKUP(INDEX(Runs!$F:$F, MATCH($B215, Runs!$A:$A, 0)), US_national_yearly!$D:$AM, MATCH(Keys!$C$7, US_national_yearly!$D$1:$AM$1, 0), FALSE), 0)</f>
        <v>5.7148835886332216E-3</v>
      </c>
      <c r="AC215" s="8">
        <f t="shared" si="13"/>
        <v>0.26034552421594365</v>
      </c>
      <c r="AD215">
        <f>IF($Z215&lt;Keys!$C$3, 1, 0)</f>
        <v>0</v>
      </c>
      <c r="AE215">
        <f>IF($AC215&gt;Keys!$C$4, 1, 0)</f>
        <v>0</v>
      </c>
      <c r="AF215">
        <f>IF($AC215&lt;Keys!$C$5, 1, 0)</f>
        <v>0</v>
      </c>
      <c r="AG215">
        <f t="shared" si="14"/>
        <v>0</v>
      </c>
      <c r="AH215" t="str">
        <f>IFERROR(INDEX(Runs!$E:$E, MATCH($B215, Runs!$A:$A, 0)), $B215)</f>
        <v>Industry NO2</v>
      </c>
      <c r="AI215" t="str">
        <f t="shared" si="15"/>
        <v>transportation NO2</v>
      </c>
      <c r="AJ215" t="str">
        <f>IF($AG215=1, IF($AD215=1, Keys!$C$9, "") &amp; IF($AE215=1, Keys!$C$10, "") &amp; IF($AF215=1, Keys!$C$11, ""), "")</f>
        <v/>
      </c>
      <c r="AK215">
        <f>IF($AG215=1, IFERROR(INDEX($AG$2:$AG$577, MATCH($A215 &amp; Keys!$C$8 &amp; $AH215, $Y$2:$Y$577, 0)), 1), 0)</f>
        <v>0</v>
      </c>
    </row>
    <row r="216" spans="1:37" x14ac:dyDescent="0.25">
      <c r="A216" t="s">
        <v>135</v>
      </c>
      <c r="B216" t="s">
        <v>234</v>
      </c>
      <c r="C216">
        <v>24</v>
      </c>
      <c r="D216">
        <v>63.068375700999987</v>
      </c>
      <c r="E216">
        <v>0.1792599832</v>
      </c>
      <c r="F216">
        <v>167.993542432</v>
      </c>
      <c r="G216">
        <v>226.22101393899999</v>
      </c>
      <c r="H216">
        <v>345.65114397299999</v>
      </c>
      <c r="I216">
        <v>5.0769976740000002</v>
      </c>
      <c r="J216">
        <v>24.962210468999999</v>
      </c>
      <c r="K216">
        <v>21575.880823689</v>
      </c>
      <c r="L216">
        <v>3671.067567036001</v>
      </c>
      <c r="M216">
        <v>6.172391051</v>
      </c>
      <c r="N216">
        <v>739.86570034400006</v>
      </c>
      <c r="O216">
        <v>16.375262075999999</v>
      </c>
      <c r="P216">
        <v>0.45559884099999998</v>
      </c>
      <c r="Q216">
        <v>1.45066348</v>
      </c>
      <c r="R216">
        <v>39.722960763000003</v>
      </c>
      <c r="S216">
        <v>505.53248633399988</v>
      </c>
      <c r="T216">
        <v>720.56458990800024</v>
      </c>
      <c r="U216">
        <v>1238.6536175169999</v>
      </c>
      <c r="V216">
        <v>0</v>
      </c>
      <c r="W216">
        <v>0</v>
      </c>
      <c r="Y216" t="str">
        <f>$A216 &amp; Keys!$C$8 &amp; $B216</f>
        <v>Maryland|transportation PM25</v>
      </c>
      <c r="Z216" s="8">
        <f>IFERROR(INDEX($U216:$W216, MATCH(INDEX(Runs!$D:$D, MATCH($B216, Runs!$A:$A, 0)), $U$1:$W$1, 0)), 0)</f>
        <v>1238.6536175169999</v>
      </c>
      <c r="AA216" s="8">
        <f t="shared" si="12"/>
        <v>5.0916878463106253E-2</v>
      </c>
      <c r="AB216" s="8">
        <f>IFERROR(VLOOKUP(INDEX(Runs!$F:$F, MATCH($B216, Runs!$A:$A, 0)), US_national_yearly!$D:$AM, MATCH(Keys!$C$7, US_national_yearly!$D$1:$AM$1, 0), FALSE), 0)</f>
        <v>2.8248683697579859E-2</v>
      </c>
      <c r="AC216" s="8">
        <f t="shared" si="13"/>
        <v>1.80245136404244</v>
      </c>
      <c r="AD216">
        <f>IF($Z216&lt;Keys!$C$3, 1, 0)</f>
        <v>0</v>
      </c>
      <c r="AE216">
        <f>IF($AC216&gt;Keys!$C$4, 1, 0)</f>
        <v>0</v>
      </c>
      <c r="AF216">
        <f>IF($AC216&lt;Keys!$C$5, 1, 0)</f>
        <v>0</v>
      </c>
      <c r="AG216">
        <f t="shared" si="14"/>
        <v>0</v>
      </c>
      <c r="AH216" t="str">
        <f>IFERROR(INDEX(Runs!$E:$E, MATCH($B216, Runs!$A:$A, 0)), $B216)</f>
        <v>Industry PM25</v>
      </c>
      <c r="AI216" t="str">
        <f t="shared" si="15"/>
        <v>transportation PM25</v>
      </c>
      <c r="AJ216" t="str">
        <f>IF($AG216=1, IF($AD216=1, Keys!$C$9, "") &amp; IF($AE216=1, Keys!$C$10, "") &amp; IF($AF216=1, Keys!$C$11, ""), "")</f>
        <v/>
      </c>
      <c r="AK216">
        <f>IF($AG216=1, IFERROR(INDEX($AG$2:$AG$577, MATCH($A216 &amp; Keys!$C$8 &amp; $AH216, $Y$2:$Y$577, 0)), 1), 0)</f>
        <v>0</v>
      </c>
    </row>
    <row r="217" spans="1:37" x14ac:dyDescent="0.25">
      <c r="A217" t="s">
        <v>135</v>
      </c>
      <c r="B217" t="s">
        <v>243</v>
      </c>
      <c r="C217">
        <v>24</v>
      </c>
      <c r="D217">
        <v>2.1650570949999999</v>
      </c>
      <c r="E217">
        <v>6.0609042399999997E-3</v>
      </c>
      <c r="F217">
        <v>5.5627621469999999</v>
      </c>
      <c r="G217">
        <v>7.4910664330000012</v>
      </c>
      <c r="H217">
        <v>11.445079888</v>
      </c>
      <c r="I217">
        <v>0.17554902999999999</v>
      </c>
      <c r="J217">
        <v>0.90987957500000016</v>
      </c>
      <c r="K217">
        <v>712.16352520299984</v>
      </c>
      <c r="L217">
        <v>121.036698409</v>
      </c>
      <c r="M217">
        <v>0.21006791999999999</v>
      </c>
      <c r="N217">
        <v>24.498908468</v>
      </c>
      <c r="O217">
        <v>0.57002991120000013</v>
      </c>
      <c r="P217">
        <v>1.447849067E-2</v>
      </c>
      <c r="Q217">
        <v>4.9557237499999997E-2</v>
      </c>
      <c r="R217">
        <v>1.317950121</v>
      </c>
      <c r="S217">
        <v>16.763267404</v>
      </c>
      <c r="T217">
        <v>23.860900061999999</v>
      </c>
      <c r="U217">
        <v>0</v>
      </c>
      <c r="V217">
        <v>427.51739400100001</v>
      </c>
      <c r="W217">
        <v>0</v>
      </c>
      <c r="Y217" t="str">
        <f>$A217 &amp; Keys!$C$8 &amp; $B217</f>
        <v>Maryland|transportation SO2</v>
      </c>
      <c r="Z217" s="8">
        <f>IFERROR(INDEX($U217:$W217, MATCH(INDEX(Runs!$D:$D, MATCH($B217, Runs!$A:$A, 0)), $U$1:$W$1, 0)), 0)</f>
        <v>427.51739400100001</v>
      </c>
      <c r="AA217" s="8">
        <f t="shared" si="12"/>
        <v>5.0642549879384218E-3</v>
      </c>
      <c r="AB217" s="8">
        <f>IFERROR(VLOOKUP(INDEX(Runs!$F:$F, MATCH($B217, Runs!$A:$A, 0)), US_national_yearly!$D:$AM, MATCH(Keys!$C$7, US_national_yearly!$D$1:$AM$1, 0), FALSE), 0)</f>
        <v>5.1800714166247604E-3</v>
      </c>
      <c r="AC217" s="8">
        <f t="shared" si="13"/>
        <v>0.97764192433435548</v>
      </c>
      <c r="AD217">
        <f>IF($Z217&lt;Keys!$C$3, 1, 0)</f>
        <v>0</v>
      </c>
      <c r="AE217">
        <f>IF($AC217&gt;Keys!$C$4, 1, 0)</f>
        <v>0</v>
      </c>
      <c r="AF217">
        <f>IF($AC217&lt;Keys!$C$5, 1, 0)</f>
        <v>0</v>
      </c>
      <c r="AG217">
        <f t="shared" si="14"/>
        <v>0</v>
      </c>
      <c r="AH217" t="str">
        <f>IFERROR(INDEX(Runs!$E:$E, MATCH($B217, Runs!$A:$A, 0)), $B217)</f>
        <v>Industry SO2</v>
      </c>
      <c r="AI217" t="str">
        <f t="shared" si="15"/>
        <v>transportation SO2</v>
      </c>
      <c r="AJ217" t="str">
        <f>IF($AG217=1, IF($AD217=1, Keys!$C$9, "") &amp; IF($AE217=1, Keys!$C$10, "") &amp; IF($AF217=1, Keys!$C$11, ""), "")</f>
        <v/>
      </c>
      <c r="AK217">
        <f>IF($AG217=1, IFERROR(INDEX($AG$2:$AG$577, MATCH($A217 &amp; Keys!$C$8 &amp; $AH217, $Y$2:$Y$577, 0)), 1), 0)</f>
        <v>0</v>
      </c>
    </row>
    <row r="218" spans="1:37" x14ac:dyDescent="0.25">
      <c r="A218" t="s">
        <v>138</v>
      </c>
      <c r="B218" t="s">
        <v>242</v>
      </c>
      <c r="C218">
        <v>14</v>
      </c>
      <c r="D218">
        <v>3.5393949650000001</v>
      </c>
      <c r="E218">
        <v>5.470148880000001E-3</v>
      </c>
      <c r="F218">
        <v>8.2653192340000015</v>
      </c>
      <c r="G218">
        <v>11.130450349</v>
      </c>
      <c r="H218">
        <v>17.005446551999999</v>
      </c>
      <c r="I218">
        <v>0.28447940300000002</v>
      </c>
      <c r="J218">
        <v>1.5273707599999999</v>
      </c>
      <c r="K218">
        <v>1163.9205665930001</v>
      </c>
      <c r="L218">
        <v>197.022027372</v>
      </c>
      <c r="M218">
        <v>0.36053230800000002</v>
      </c>
      <c r="N218">
        <v>36.401216135000013</v>
      </c>
      <c r="O218">
        <v>1.0340957319999999</v>
      </c>
      <c r="P218">
        <v>2.8059735200000002E-2</v>
      </c>
      <c r="Q218">
        <v>7.4182511600000001E-2</v>
      </c>
      <c r="R218">
        <v>1.9155644460000001</v>
      </c>
      <c r="S218">
        <v>24.349502319999999</v>
      </c>
      <c r="T218">
        <v>34.623677076</v>
      </c>
      <c r="U218">
        <v>0</v>
      </c>
      <c r="V218">
        <v>0</v>
      </c>
      <c r="W218">
        <v>12013.442852075001</v>
      </c>
      <c r="Y218" t="str">
        <f>$A218 &amp; Keys!$C$8 &amp; $B218</f>
        <v>Massachusetts|Industry NO2</v>
      </c>
      <c r="Z218" s="8">
        <f>IFERROR(INDEX($U218:$W218, MATCH(INDEX(Runs!$D:$D, MATCH($B218, Runs!$A:$A, 0)), $U$1:$W$1, 0)), 0)</f>
        <v>12013.442852075001</v>
      </c>
      <c r="AA218" s="8">
        <f t="shared" si="12"/>
        <v>2.9461953651268788E-4</v>
      </c>
      <c r="AB218" s="8">
        <f>IFERROR(VLOOKUP(INDEX(Runs!$F:$F, MATCH($B218, Runs!$A:$A, 0)), US_national_yearly!$D:$AM, MATCH(Keys!$C$7, US_national_yearly!$D$1:$AM$1, 0), FALSE), 0)</f>
        <v>5.8012217057786938E-3</v>
      </c>
      <c r="AC218" s="8">
        <f t="shared" si="13"/>
        <v>5.0785774351497795E-2</v>
      </c>
      <c r="AD218">
        <f>IF($Z218&lt;Keys!$C$3, 1, 0)</f>
        <v>0</v>
      </c>
      <c r="AE218">
        <f>IF($AC218&gt;Keys!$C$4, 1, 0)</f>
        <v>0</v>
      </c>
      <c r="AF218">
        <f>IF($AC218&lt;Keys!$C$5, 1, 0)</f>
        <v>0</v>
      </c>
      <c r="AG218">
        <f t="shared" si="14"/>
        <v>0</v>
      </c>
      <c r="AH218" t="str">
        <f>IFERROR(INDEX(Runs!$E:$E, MATCH($B218, Runs!$A:$A, 0)), $B218)</f>
        <v>Industry NO2</v>
      </c>
      <c r="AI218" t="str">
        <f t="shared" si="15"/>
        <v>Industry NO2</v>
      </c>
      <c r="AJ218" t="str">
        <f>IF($AG218=1, IF($AD218=1, Keys!$C$9, "") &amp; IF($AE218=1, Keys!$C$10, "") &amp; IF($AF218=1, Keys!$C$11, ""), "")</f>
        <v/>
      </c>
      <c r="AK218">
        <f>IF($AG218=1, IFERROR(INDEX($AG$2:$AG$577, MATCH($A218 &amp; Keys!$C$8 &amp; $AH218, $Y$2:$Y$577, 0)), 1), 0)</f>
        <v>0</v>
      </c>
    </row>
    <row r="219" spans="1:37" x14ac:dyDescent="0.25">
      <c r="A219" t="s">
        <v>138</v>
      </c>
      <c r="B219" t="s">
        <v>238</v>
      </c>
      <c r="C219">
        <v>14</v>
      </c>
      <c r="D219">
        <v>169.14630467699999</v>
      </c>
      <c r="E219">
        <v>0.26888161129999999</v>
      </c>
      <c r="F219">
        <v>412.99835500000012</v>
      </c>
      <c r="G219">
        <v>556.12280040100006</v>
      </c>
      <c r="H219">
        <v>849.80184696599997</v>
      </c>
      <c r="I219">
        <v>13.5616906</v>
      </c>
      <c r="J219">
        <v>77.444763973999997</v>
      </c>
      <c r="K219">
        <v>60150.102669649998</v>
      </c>
      <c r="L219">
        <v>10229.892548718</v>
      </c>
      <c r="M219">
        <v>17.666633908000001</v>
      </c>
      <c r="N219">
        <v>1818.923002367</v>
      </c>
      <c r="O219">
        <v>49.488770910999989</v>
      </c>
      <c r="P219">
        <v>1.2734473820000001</v>
      </c>
      <c r="Q219">
        <v>3.7882293050000002</v>
      </c>
      <c r="R219">
        <v>94.542690473000008</v>
      </c>
      <c r="S219">
        <v>1202.4690517240001</v>
      </c>
      <c r="T219">
        <v>1713.2174374169999</v>
      </c>
      <c r="U219">
        <v>4367.1483426699997</v>
      </c>
      <c r="V219">
        <v>0</v>
      </c>
      <c r="W219">
        <v>0</v>
      </c>
      <c r="Y219" t="str">
        <f>$A219 &amp; Keys!$C$8 &amp; $B219</f>
        <v>Massachusetts|Industry PM25</v>
      </c>
      <c r="Z219" s="8">
        <f>IFERROR(INDEX($U219:$W219, MATCH(INDEX(Runs!$D:$D, MATCH($B219, Runs!$A:$A, 0)), $U$1:$W$1, 0)), 0)</f>
        <v>4367.1483426699997</v>
      </c>
      <c r="AA219" s="8">
        <f t="shared" si="12"/>
        <v>3.8731522587480242E-2</v>
      </c>
      <c r="AB219" s="8">
        <f>IFERROR(VLOOKUP(INDEX(Runs!$F:$F, MATCH($B219, Runs!$A:$A, 0)), US_national_yearly!$D:$AM, MATCH(Keys!$C$7, US_national_yearly!$D$1:$AM$1, 0), FALSE), 0)</f>
        <v>2.6833191881203179E-2</v>
      </c>
      <c r="AC219" s="8">
        <f t="shared" si="13"/>
        <v>1.4434183886491685</v>
      </c>
      <c r="AD219">
        <f>IF($Z219&lt;Keys!$C$3, 1, 0)</f>
        <v>0</v>
      </c>
      <c r="AE219">
        <f>IF($AC219&gt;Keys!$C$4, 1, 0)</f>
        <v>0</v>
      </c>
      <c r="AF219">
        <f>IF($AC219&lt;Keys!$C$5, 1, 0)</f>
        <v>0</v>
      </c>
      <c r="AG219">
        <f t="shared" si="14"/>
        <v>0</v>
      </c>
      <c r="AH219" t="str">
        <f>IFERROR(INDEX(Runs!$E:$E, MATCH($B219, Runs!$A:$A, 0)), $B219)</f>
        <v>Industry PM25</v>
      </c>
      <c r="AI219" t="str">
        <f t="shared" si="15"/>
        <v>Industry PM25</v>
      </c>
      <c r="AJ219" t="str">
        <f>IF($AG219=1, IF($AD219=1, Keys!$C$9, "") &amp; IF($AE219=1, Keys!$C$10, "") &amp; IF($AF219=1, Keys!$C$11, ""), "")</f>
        <v/>
      </c>
      <c r="AK219">
        <f>IF($AG219=1, IFERROR(INDEX($AG$2:$AG$577, MATCH($A219 &amp; Keys!$C$8 &amp; $AH219, $Y$2:$Y$577, 0)), 1), 0)</f>
        <v>0</v>
      </c>
    </row>
    <row r="220" spans="1:37" x14ac:dyDescent="0.25">
      <c r="A220" t="s">
        <v>138</v>
      </c>
      <c r="B220" t="s">
        <v>246</v>
      </c>
      <c r="C220">
        <v>14</v>
      </c>
      <c r="D220">
        <v>14.179853423999999</v>
      </c>
      <c r="E220">
        <v>2.210731703E-2</v>
      </c>
      <c r="F220">
        <v>33.720252813000002</v>
      </c>
      <c r="G220">
        <v>45.408994907999997</v>
      </c>
      <c r="H220">
        <v>69.378027673999995</v>
      </c>
      <c r="I220">
        <v>1.15621901</v>
      </c>
      <c r="J220">
        <v>6.2672126870000007</v>
      </c>
      <c r="K220">
        <v>4809.0605513620003</v>
      </c>
      <c r="L220">
        <v>815.389749994</v>
      </c>
      <c r="M220">
        <v>1.458042259</v>
      </c>
      <c r="N220">
        <v>148.50727539499999</v>
      </c>
      <c r="O220">
        <v>4.167843832</v>
      </c>
      <c r="P220">
        <v>0.10816774110000001</v>
      </c>
      <c r="Q220">
        <v>0.29887192000000001</v>
      </c>
      <c r="R220">
        <v>7.8067213320000004</v>
      </c>
      <c r="S220">
        <v>99.231298578999983</v>
      </c>
      <c r="T220">
        <v>141.10371754100001</v>
      </c>
      <c r="U220">
        <v>0</v>
      </c>
      <c r="V220">
        <v>830.21655127899999</v>
      </c>
      <c r="W220">
        <v>0</v>
      </c>
      <c r="Y220" t="str">
        <f>$A220 &amp; Keys!$C$8 &amp; $B220</f>
        <v>Massachusetts|Industry SO2</v>
      </c>
      <c r="Z220" s="8">
        <f>IFERROR(INDEX($U220:$W220, MATCH(INDEX(Runs!$D:$D, MATCH($B220, Runs!$A:$A, 0)), $U$1:$W$1, 0)), 0)</f>
        <v>830.21655127899999</v>
      </c>
      <c r="AA220" s="8">
        <f t="shared" si="12"/>
        <v>1.7079704568832142E-2</v>
      </c>
      <c r="AB220" s="8">
        <f>IFERROR(VLOOKUP(INDEX(Runs!$F:$F, MATCH($B220, Runs!$A:$A, 0)), US_national_yearly!$D:$AM, MATCH(Keys!$C$7, US_national_yearly!$D$1:$AM$1, 0), FALSE), 0)</f>
        <v>5.3000351638639942E-3</v>
      </c>
      <c r="AC220" s="8">
        <f t="shared" si="13"/>
        <v>3.2225643869842124</v>
      </c>
      <c r="AD220">
        <f>IF($Z220&lt;Keys!$C$3, 1, 0)</f>
        <v>0</v>
      </c>
      <c r="AE220">
        <f>IF($AC220&gt;Keys!$C$4, 1, 0)</f>
        <v>0</v>
      </c>
      <c r="AF220">
        <f>IF($AC220&lt;Keys!$C$5, 1, 0)</f>
        <v>0</v>
      </c>
      <c r="AG220">
        <f t="shared" si="14"/>
        <v>0</v>
      </c>
      <c r="AH220" t="str">
        <f>IFERROR(INDEX(Runs!$E:$E, MATCH($B220, Runs!$A:$A, 0)), $B220)</f>
        <v>Industry SO2</v>
      </c>
      <c r="AI220" t="str">
        <f t="shared" si="15"/>
        <v>Industry SO2</v>
      </c>
      <c r="AJ220" t="str">
        <f>IF($AG220=1, IF($AD220=1, Keys!$C$9, "") &amp; IF($AE220=1, Keys!$C$10, "") &amp; IF($AF220=1, Keys!$C$11, ""), "")</f>
        <v/>
      </c>
      <c r="AK220">
        <f>IF($AG220=1, IFERROR(INDEX($AG$2:$AG$577, MATCH($A220 &amp; Keys!$C$8 &amp; $AH220, $Y$2:$Y$577, 0)), 1), 0)</f>
        <v>0</v>
      </c>
    </row>
    <row r="221" spans="1:37" x14ac:dyDescent="0.25">
      <c r="A221" t="s">
        <v>138</v>
      </c>
      <c r="B221" t="s">
        <v>253</v>
      </c>
      <c r="C221">
        <v>14</v>
      </c>
      <c r="D221">
        <v>26.967449765000001</v>
      </c>
      <c r="E221">
        <v>4.1863337400000013E-2</v>
      </c>
      <c r="F221">
        <v>63.989905383999997</v>
      </c>
      <c r="G221">
        <v>86.170823092999996</v>
      </c>
      <c r="H221">
        <v>131.65751574399999</v>
      </c>
      <c r="I221">
        <v>2.1152105830000001</v>
      </c>
      <c r="J221">
        <v>12.294200578</v>
      </c>
      <c r="K221">
        <v>9326.5655569419996</v>
      </c>
      <c r="L221">
        <v>1584.412253663</v>
      </c>
      <c r="M221">
        <v>2.8366547849999999</v>
      </c>
      <c r="N221">
        <v>281.81824422099999</v>
      </c>
      <c r="O221">
        <v>8.2596313820000002</v>
      </c>
      <c r="P221">
        <v>0.20282747300000001</v>
      </c>
      <c r="Q221">
        <v>0.60405266300000005</v>
      </c>
      <c r="R221">
        <v>14.663047749</v>
      </c>
      <c r="S221">
        <v>186.38328016299999</v>
      </c>
      <c r="T221">
        <v>265.053281325</v>
      </c>
      <c r="U221">
        <v>0</v>
      </c>
      <c r="V221">
        <v>0</v>
      </c>
      <c r="W221">
        <v>21901.287019529998</v>
      </c>
      <c r="Y221" t="str">
        <f>$A221 &amp; Keys!$C$8 &amp; $B221</f>
        <v>Massachusetts|buildings NO2</v>
      </c>
      <c r="Z221" s="8">
        <f>IFERROR(INDEX($U221:$W221, MATCH(INDEX(Runs!$D:$D, MATCH($B221, Runs!$A:$A, 0)), $U$1:$W$1, 0)), 0)</f>
        <v>21901.287019529998</v>
      </c>
      <c r="AA221" s="8">
        <f t="shared" si="12"/>
        <v>1.2313180381112929E-3</v>
      </c>
      <c r="AB221" s="8">
        <f>IFERROR(VLOOKUP(INDEX(Runs!$F:$F, MATCH($B221, Runs!$A:$A, 0)), US_national_yearly!$D:$AM, MATCH(Keys!$C$7, US_national_yearly!$D$1:$AM$1, 0), FALSE), 0)</f>
        <v>5.6784740124662739E-3</v>
      </c>
      <c r="AC221" s="8">
        <f t="shared" si="13"/>
        <v>0.21683960081671785</v>
      </c>
      <c r="AD221">
        <f>IF($Z221&lt;Keys!$C$3, 1, 0)</f>
        <v>0</v>
      </c>
      <c r="AE221">
        <f>IF($AC221&gt;Keys!$C$4, 1, 0)</f>
        <v>0</v>
      </c>
      <c r="AF221">
        <f>IF($AC221&lt;Keys!$C$5, 1, 0)</f>
        <v>0</v>
      </c>
      <c r="AG221">
        <f t="shared" si="14"/>
        <v>0</v>
      </c>
      <c r="AH221" t="str">
        <f>IFERROR(INDEX(Runs!$E:$E, MATCH($B221, Runs!$A:$A, 0)), $B221)</f>
        <v>Industry NO2</v>
      </c>
      <c r="AI221" t="str">
        <f t="shared" si="15"/>
        <v>buildings NO2</v>
      </c>
      <c r="AJ221" t="str">
        <f>IF($AG221=1, IF($AD221=1, Keys!$C$9, "") &amp; IF($AE221=1, Keys!$C$10, "") &amp; IF($AF221=1, Keys!$C$11, ""), "")</f>
        <v/>
      </c>
      <c r="AK221">
        <f>IF($AG221=1, IFERROR(INDEX($AG$2:$AG$577, MATCH($A221 &amp; Keys!$C$8 &amp; $AH221, $Y$2:$Y$577, 0)), 1), 0)</f>
        <v>0</v>
      </c>
    </row>
    <row r="222" spans="1:37" x14ac:dyDescent="0.25">
      <c r="A222" t="s">
        <v>138</v>
      </c>
      <c r="B222" t="s">
        <v>251</v>
      </c>
      <c r="C222">
        <v>14</v>
      </c>
      <c r="D222">
        <v>57.987468409999998</v>
      </c>
      <c r="E222">
        <v>9.2207487300000002E-2</v>
      </c>
      <c r="F222">
        <v>134.34370838999999</v>
      </c>
      <c r="G222">
        <v>180.906812559</v>
      </c>
      <c r="H222">
        <v>276.41806798300001</v>
      </c>
      <c r="I222">
        <v>4.6102126380000001</v>
      </c>
      <c r="J222">
        <v>27.378999808</v>
      </c>
      <c r="K222">
        <v>20190.34582192</v>
      </c>
      <c r="L222">
        <v>3441.4842100239998</v>
      </c>
      <c r="M222">
        <v>6.5509385130000002</v>
      </c>
      <c r="N222">
        <v>591.66858893200003</v>
      </c>
      <c r="O222">
        <v>19.587491480000001</v>
      </c>
      <c r="P222">
        <v>0.48702398100000011</v>
      </c>
      <c r="Q222">
        <v>1.470870801</v>
      </c>
      <c r="R222">
        <v>30.516384753000001</v>
      </c>
      <c r="S222">
        <v>388.00046976999988</v>
      </c>
      <c r="T222">
        <v>552.21446910500003</v>
      </c>
      <c r="U222">
        <v>1771.4927095820001</v>
      </c>
      <c r="V222">
        <v>0</v>
      </c>
      <c r="W222">
        <v>0</v>
      </c>
      <c r="Y222" t="str">
        <f>$A222 &amp; Keys!$C$8 &amp; $B222</f>
        <v>Massachusetts|buildings PM25</v>
      </c>
      <c r="Z222" s="8">
        <f>IFERROR(INDEX($U222:$W222, MATCH(INDEX(Runs!$D:$D, MATCH($B222, Runs!$A:$A, 0)), $U$1:$W$1, 0)), 0)</f>
        <v>1771.4927095820001</v>
      </c>
      <c r="AA222" s="8">
        <f t="shared" si="12"/>
        <v>3.2733676010262933E-2</v>
      </c>
      <c r="AB222" s="8">
        <f>IFERROR(VLOOKUP(INDEX(Runs!$F:$F, MATCH($B222, Runs!$A:$A, 0)), US_national_yearly!$D:$AM, MATCH(Keys!$C$7, US_national_yearly!$D$1:$AM$1, 0), FALSE), 0)</f>
        <v>2.7627705191843259E-2</v>
      </c>
      <c r="AC222" s="8">
        <f t="shared" si="13"/>
        <v>1.1848134248923123</v>
      </c>
      <c r="AD222">
        <f>IF($Z222&lt;Keys!$C$3, 1, 0)</f>
        <v>0</v>
      </c>
      <c r="AE222">
        <f>IF($AC222&gt;Keys!$C$4, 1, 0)</f>
        <v>0</v>
      </c>
      <c r="AF222">
        <f>IF($AC222&lt;Keys!$C$5, 1, 0)</f>
        <v>0</v>
      </c>
      <c r="AG222">
        <f t="shared" si="14"/>
        <v>0</v>
      </c>
      <c r="AH222" t="str">
        <f>IFERROR(INDEX(Runs!$E:$E, MATCH($B222, Runs!$A:$A, 0)), $B222)</f>
        <v>Industry PM25</v>
      </c>
      <c r="AI222" t="str">
        <f t="shared" si="15"/>
        <v>buildings PM25</v>
      </c>
      <c r="AJ222" t="str">
        <f>IF($AG222=1, IF($AD222=1, Keys!$C$9, "") &amp; IF($AE222=1, Keys!$C$10, "") &amp; IF($AF222=1, Keys!$C$11, ""), "")</f>
        <v/>
      </c>
      <c r="AK222">
        <f>IF($AG222=1, IFERROR(INDEX($AG$2:$AG$577, MATCH($A222 &amp; Keys!$C$8 &amp; $AH222, $Y$2:$Y$577, 0)), 1), 0)</f>
        <v>0</v>
      </c>
    </row>
    <row r="223" spans="1:37" x14ac:dyDescent="0.25">
      <c r="A223" t="s">
        <v>138</v>
      </c>
      <c r="B223" t="s">
        <v>254</v>
      </c>
      <c r="C223">
        <v>14</v>
      </c>
      <c r="D223">
        <v>7.0945606559999996</v>
      </c>
      <c r="E223">
        <v>1.0397176209999999E-2</v>
      </c>
      <c r="F223">
        <v>16.024482543000001</v>
      </c>
      <c r="G223">
        <v>21.579247397</v>
      </c>
      <c r="H223">
        <v>32.969588272999999</v>
      </c>
      <c r="I223">
        <v>0.53653250899999994</v>
      </c>
      <c r="J223">
        <v>3.1997301789999999</v>
      </c>
      <c r="K223">
        <v>2322.8323577390001</v>
      </c>
      <c r="L223">
        <v>393.58663596399998</v>
      </c>
      <c r="M223">
        <v>0.74897414200000001</v>
      </c>
      <c r="N223">
        <v>70.573318212999993</v>
      </c>
      <c r="O223">
        <v>2.2667253729999999</v>
      </c>
      <c r="P223">
        <v>5.1338959799999993E-2</v>
      </c>
      <c r="Q223">
        <v>0.15876425799999999</v>
      </c>
      <c r="R223">
        <v>3.6363899759999998</v>
      </c>
      <c r="S223">
        <v>46.223276069999997</v>
      </c>
      <c r="T223">
        <v>65.727960102999987</v>
      </c>
      <c r="U223">
        <v>0</v>
      </c>
      <c r="V223">
        <v>1842.4169597580001</v>
      </c>
      <c r="W223">
        <v>0</v>
      </c>
      <c r="Y223" t="str">
        <f>$A223 &amp; Keys!$C$8 &amp; $B223</f>
        <v>Massachusetts|buildings SO2</v>
      </c>
      <c r="Z223" s="8">
        <f>IFERROR(INDEX($U223:$W223, MATCH(INDEX(Runs!$D:$D, MATCH($B223, Runs!$A:$A, 0)), $U$1:$W$1, 0)), 0)</f>
        <v>1842.4169597580001</v>
      </c>
      <c r="AA223" s="8">
        <f t="shared" si="12"/>
        <v>3.8506813663568666E-3</v>
      </c>
      <c r="AB223" s="8">
        <f>IFERROR(VLOOKUP(INDEX(Runs!$F:$F, MATCH($B223, Runs!$A:$A, 0)), US_national_yearly!$D:$AM, MATCH(Keys!$C$7, US_national_yearly!$D$1:$AM$1, 0), FALSE), 0)</f>
        <v>5.1581943281164694E-3</v>
      </c>
      <c r="AC223" s="8">
        <f t="shared" si="13"/>
        <v>0.74651731234076146</v>
      </c>
      <c r="AD223">
        <f>IF($Z223&lt;Keys!$C$3, 1, 0)</f>
        <v>0</v>
      </c>
      <c r="AE223">
        <f>IF($AC223&gt;Keys!$C$4, 1, 0)</f>
        <v>0</v>
      </c>
      <c r="AF223">
        <f>IF($AC223&lt;Keys!$C$5, 1, 0)</f>
        <v>0</v>
      </c>
      <c r="AG223">
        <f t="shared" si="14"/>
        <v>0</v>
      </c>
      <c r="AH223" t="str">
        <f>IFERROR(INDEX(Runs!$E:$E, MATCH($B223, Runs!$A:$A, 0)), $B223)</f>
        <v>Industry SO2</v>
      </c>
      <c r="AI223" t="str">
        <f t="shared" si="15"/>
        <v>buildings SO2</v>
      </c>
      <c r="AJ223" t="str">
        <f>IF($AG223=1, IF($AD223=1, Keys!$C$9, "") &amp; IF($AE223=1, Keys!$C$10, "") &amp; IF($AF223=1, Keys!$C$11, ""), "")</f>
        <v/>
      </c>
      <c r="AK223">
        <f>IF($AG223=1, IFERROR(INDEX($AG$2:$AG$577, MATCH($A223 &amp; Keys!$C$8 &amp; $AH223, $Y$2:$Y$577, 0)), 1), 0)</f>
        <v>0</v>
      </c>
    </row>
    <row r="224" spans="1:37" x14ac:dyDescent="0.25">
      <c r="A224" t="s">
        <v>138</v>
      </c>
      <c r="B224" t="s">
        <v>249</v>
      </c>
      <c r="C224">
        <v>14</v>
      </c>
      <c r="D224">
        <v>0.39649091400000003</v>
      </c>
      <c r="E224">
        <v>5.2865523399999999E-4</v>
      </c>
      <c r="F224">
        <v>0.84821984399999995</v>
      </c>
      <c r="G224">
        <v>1.142252278</v>
      </c>
      <c r="H224">
        <v>1.745163698</v>
      </c>
      <c r="I224">
        <v>3.2217900799999998E-2</v>
      </c>
      <c r="J224">
        <v>0.168295903</v>
      </c>
      <c r="K224">
        <v>118.33570334300001</v>
      </c>
      <c r="L224">
        <v>19.912439359</v>
      </c>
      <c r="M224">
        <v>4.2936530399999999E-2</v>
      </c>
      <c r="N224">
        <v>3.7356358200000002</v>
      </c>
      <c r="O224">
        <v>0.104076823</v>
      </c>
      <c r="P224">
        <v>3.6885739900000001E-3</v>
      </c>
      <c r="Q224">
        <v>8.7392600999999983E-3</v>
      </c>
      <c r="R224">
        <v>0.19691162000000001</v>
      </c>
      <c r="S224">
        <v>2.50394842</v>
      </c>
      <c r="T224">
        <v>3.562627521</v>
      </c>
      <c r="U224">
        <v>0</v>
      </c>
      <c r="V224">
        <v>0</v>
      </c>
      <c r="W224">
        <v>2076.2023599439999</v>
      </c>
      <c r="Y224" t="str">
        <f>$A224 &amp; Keys!$C$8 &amp; $B224</f>
        <v>Massachusetts|electricity NO2</v>
      </c>
      <c r="Z224" s="8">
        <f>IFERROR(INDEX($U224:$W224, MATCH(INDEX(Runs!$D:$D, MATCH($B224, Runs!$A:$A, 0)), $U$1:$W$1, 0)), 0)</f>
        <v>2076.2023599439999</v>
      </c>
      <c r="AA224" s="8">
        <f t="shared" si="12"/>
        <v>1.9096930128270075E-4</v>
      </c>
      <c r="AB224" s="8">
        <f>IFERROR(VLOOKUP(INDEX(Runs!$F:$F, MATCH($B224, Runs!$A:$A, 0)), US_national_yearly!$D:$AM, MATCH(Keys!$C$7, US_national_yearly!$D$1:$AM$1, 0), FALSE), 0)</f>
        <v>6.1439221592658041E-3</v>
      </c>
      <c r="AC224" s="8">
        <f t="shared" si="13"/>
        <v>3.1082636845373299E-2</v>
      </c>
      <c r="AD224">
        <f>IF($Z224&lt;Keys!$C$3, 1, 0)</f>
        <v>0</v>
      </c>
      <c r="AE224">
        <f>IF($AC224&gt;Keys!$C$4, 1, 0)</f>
        <v>0</v>
      </c>
      <c r="AF224">
        <f>IF($AC224&lt;Keys!$C$5, 1, 0)</f>
        <v>0</v>
      </c>
      <c r="AG224">
        <f t="shared" si="14"/>
        <v>0</v>
      </c>
      <c r="AH224" t="str">
        <f>IFERROR(INDEX(Runs!$E:$E, MATCH($B224, Runs!$A:$A, 0)), $B224)</f>
        <v>Industry NO2</v>
      </c>
      <c r="AI224" t="str">
        <f t="shared" si="15"/>
        <v>electricity NO2</v>
      </c>
      <c r="AJ224" t="str">
        <f>IF($AG224=1, IF($AD224=1, Keys!$C$9, "") &amp; IF($AE224=1, Keys!$C$10, "") &amp; IF($AF224=1, Keys!$C$11, ""), "")</f>
        <v/>
      </c>
      <c r="AK224">
        <f>IF($AG224=1, IFERROR(INDEX($AG$2:$AG$577, MATCH($A224 &amp; Keys!$C$8 &amp; $AH224, $Y$2:$Y$577, 0)), 1), 0)</f>
        <v>0</v>
      </c>
    </row>
    <row r="225" spans="1:37" x14ac:dyDescent="0.25">
      <c r="A225" t="s">
        <v>138</v>
      </c>
      <c r="B225" t="s">
        <v>247</v>
      </c>
      <c r="C225">
        <v>14</v>
      </c>
      <c r="D225">
        <v>8.575184028999999</v>
      </c>
      <c r="E225">
        <v>1.315118975E-2</v>
      </c>
      <c r="F225">
        <v>20.728256368</v>
      </c>
      <c r="G225">
        <v>27.913523746999999</v>
      </c>
      <c r="H225">
        <v>42.647423295000003</v>
      </c>
      <c r="I225">
        <v>0.68801514500000005</v>
      </c>
      <c r="J225">
        <v>3.845246736</v>
      </c>
      <c r="K225">
        <v>2973.272263968001</v>
      </c>
      <c r="L225">
        <v>504.58464389900013</v>
      </c>
      <c r="M225">
        <v>0.86633189599999982</v>
      </c>
      <c r="N225">
        <v>91.289203409999999</v>
      </c>
      <c r="O225">
        <v>2.5476520759999999</v>
      </c>
      <c r="P225">
        <v>5.6126155299999987E-2</v>
      </c>
      <c r="Q225">
        <v>0.17141077809999999</v>
      </c>
      <c r="R225">
        <v>4.8097754579999998</v>
      </c>
      <c r="S225">
        <v>61.133012307999998</v>
      </c>
      <c r="T225">
        <v>86.917098283000001</v>
      </c>
      <c r="U225">
        <v>328.26731616199999</v>
      </c>
      <c r="V225">
        <v>0</v>
      </c>
      <c r="W225">
        <v>0</v>
      </c>
      <c r="Y225" t="str">
        <f>$A225 &amp; Keys!$C$8 &amp; $B225</f>
        <v>Massachusetts|electricity PM25</v>
      </c>
      <c r="Z225" s="8">
        <f>IFERROR(INDEX($U225:$W225, MATCH(INDEX(Runs!$D:$D, MATCH($B225, Runs!$A:$A, 0)), $U$1:$W$1, 0)), 0)</f>
        <v>328.26731616199999</v>
      </c>
      <c r="AA225" s="8">
        <f t="shared" si="12"/>
        <v>2.6122564162824373E-2</v>
      </c>
      <c r="AB225" s="8">
        <f>IFERROR(VLOOKUP(INDEX(Runs!$F:$F, MATCH($B225, Runs!$A:$A, 0)), US_national_yearly!$D:$AM, MATCH(Keys!$C$7, US_national_yearly!$D$1:$AM$1, 0), FALSE), 0)</f>
        <v>2.4252978284752182E-2</v>
      </c>
      <c r="AC225" s="8">
        <f t="shared" si="13"/>
        <v>1.0770868573798047</v>
      </c>
      <c r="AD225">
        <f>IF($Z225&lt;Keys!$C$3, 1, 0)</f>
        <v>0</v>
      </c>
      <c r="AE225">
        <f>IF($AC225&gt;Keys!$C$4, 1, 0)</f>
        <v>0</v>
      </c>
      <c r="AF225">
        <f>IF($AC225&lt;Keys!$C$5, 1, 0)</f>
        <v>0</v>
      </c>
      <c r="AG225">
        <f t="shared" si="14"/>
        <v>0</v>
      </c>
      <c r="AH225" t="str">
        <f>IFERROR(INDEX(Runs!$E:$E, MATCH($B225, Runs!$A:$A, 0)), $B225)</f>
        <v>Industry PM25</v>
      </c>
      <c r="AI225" t="str">
        <f t="shared" si="15"/>
        <v>electricity PM25</v>
      </c>
      <c r="AJ225" t="str">
        <f>IF($AG225=1, IF($AD225=1, Keys!$C$9, "") &amp; IF($AE225=1, Keys!$C$10, "") &amp; IF($AF225=1, Keys!$C$11, ""), "")</f>
        <v/>
      </c>
      <c r="AK225">
        <f>IF($AG225=1, IFERROR(INDEX($AG$2:$AG$577, MATCH($A225 &amp; Keys!$C$8 &amp; $AH225, $Y$2:$Y$577, 0)), 1), 0)</f>
        <v>0</v>
      </c>
    </row>
    <row r="226" spans="1:37" x14ac:dyDescent="0.25">
      <c r="A226" t="s">
        <v>138</v>
      </c>
      <c r="B226" t="s">
        <v>250</v>
      </c>
      <c r="C226">
        <v>14</v>
      </c>
      <c r="D226">
        <v>1.7286450040000001</v>
      </c>
      <c r="E226">
        <v>2.57966926E-3</v>
      </c>
      <c r="F226">
        <v>3.9278129270000002</v>
      </c>
      <c r="G226">
        <v>5.2893730919999999</v>
      </c>
      <c r="H226">
        <v>8.0812548119999992</v>
      </c>
      <c r="I226">
        <v>0.13692826599999999</v>
      </c>
      <c r="J226">
        <v>0.74454909199999997</v>
      </c>
      <c r="K226">
        <v>554.53594329600003</v>
      </c>
      <c r="L226">
        <v>93.708824746999994</v>
      </c>
      <c r="M226">
        <v>0.18231260499999999</v>
      </c>
      <c r="N226">
        <v>17.298440831000001</v>
      </c>
      <c r="O226">
        <v>0.50939427199999998</v>
      </c>
      <c r="P226">
        <v>1.5775157099999999E-2</v>
      </c>
      <c r="Q226">
        <v>3.8330059499999999E-2</v>
      </c>
      <c r="R226">
        <v>0.91144778400000015</v>
      </c>
      <c r="S226">
        <v>11.586814523999999</v>
      </c>
      <c r="T226">
        <v>16.478135287000001</v>
      </c>
      <c r="U226">
        <v>0</v>
      </c>
      <c r="V226">
        <v>106.231490319925</v>
      </c>
      <c r="W226">
        <v>0</v>
      </c>
      <c r="Y226" t="str">
        <f>$A226 &amp; Keys!$C$8 &amp; $B226</f>
        <v>Massachusetts|electricity SO2</v>
      </c>
      <c r="Z226" s="8">
        <f>IFERROR(INDEX($U226:$W226, MATCH(INDEX(Runs!$D:$D, MATCH($B226, Runs!$A:$A, 0)), $U$1:$W$1, 0)), 0)</f>
        <v>106.231490319925</v>
      </c>
      <c r="AA226" s="8">
        <f t="shared" si="12"/>
        <v>1.6272434838239033E-2</v>
      </c>
      <c r="AB226" s="8">
        <f>IFERROR(VLOOKUP(INDEX(Runs!$F:$F, MATCH($B226, Runs!$A:$A, 0)), US_national_yearly!$D:$AM, MATCH(Keys!$C$7, US_national_yearly!$D$1:$AM$1, 0), FALSE), 0)</f>
        <v>5.7032329662362116E-3</v>
      </c>
      <c r="AC226" s="8">
        <f t="shared" si="13"/>
        <v>2.8531948343288271</v>
      </c>
      <c r="AD226">
        <f>IF($Z226&lt;Keys!$C$3, 1, 0)</f>
        <v>0</v>
      </c>
      <c r="AE226">
        <f>IF($AC226&gt;Keys!$C$4, 1, 0)</f>
        <v>0</v>
      </c>
      <c r="AF226">
        <f>IF($AC226&lt;Keys!$C$5, 1, 0)</f>
        <v>0</v>
      </c>
      <c r="AG226">
        <f t="shared" si="14"/>
        <v>0</v>
      </c>
      <c r="AH226" t="str">
        <f>IFERROR(INDEX(Runs!$E:$E, MATCH($B226, Runs!$A:$A, 0)), $B226)</f>
        <v>Industry SO2</v>
      </c>
      <c r="AI226" t="str">
        <f t="shared" si="15"/>
        <v>electricity SO2</v>
      </c>
      <c r="AJ226" t="str">
        <f>IF($AG226=1, IF($AD226=1, Keys!$C$9, "") &amp; IF($AE226=1, Keys!$C$10, "") &amp; IF($AF226=1, Keys!$C$11, ""), "")</f>
        <v/>
      </c>
      <c r="AK226">
        <f>IF($AG226=1, IFERROR(INDEX($AG$2:$AG$577, MATCH($A226 &amp; Keys!$C$8 &amp; $AH226, $Y$2:$Y$577, 0)), 1), 0)</f>
        <v>0</v>
      </c>
    </row>
    <row r="227" spans="1:37" x14ac:dyDescent="0.25">
      <c r="A227" t="s">
        <v>138</v>
      </c>
      <c r="B227" t="s">
        <v>239</v>
      </c>
      <c r="C227">
        <v>14</v>
      </c>
      <c r="D227">
        <v>54.862165972</v>
      </c>
      <c r="E227">
        <v>8.9512693900000009E-2</v>
      </c>
      <c r="F227">
        <v>132.68583621100001</v>
      </c>
      <c r="G227">
        <v>178.67645238599999</v>
      </c>
      <c r="H227">
        <v>273.00259701300001</v>
      </c>
      <c r="I227">
        <v>4.4365750259999999</v>
      </c>
      <c r="J227">
        <v>25.288242002</v>
      </c>
      <c r="K227">
        <v>19519.594766720002</v>
      </c>
      <c r="L227">
        <v>3323.0113585660001</v>
      </c>
      <c r="M227">
        <v>5.9024656780000004</v>
      </c>
      <c r="N227">
        <v>584.36488560999999</v>
      </c>
      <c r="O227">
        <v>16.842139868</v>
      </c>
      <c r="P227">
        <v>0.45230299699999998</v>
      </c>
      <c r="Q227">
        <v>1.298576312</v>
      </c>
      <c r="R227">
        <v>30.30724043</v>
      </c>
      <c r="S227">
        <v>385.27910191299998</v>
      </c>
      <c r="T227">
        <v>548.10335330999999</v>
      </c>
      <c r="U227">
        <v>0</v>
      </c>
      <c r="V227">
        <v>0</v>
      </c>
      <c r="W227">
        <v>41559.038580100001</v>
      </c>
      <c r="Y227" t="str">
        <f>$A227 &amp; Keys!$C$8 &amp; $B227</f>
        <v>Massachusetts|transportation NO2</v>
      </c>
      <c r="Z227" s="8">
        <f>IFERROR(INDEX($U227:$W227, MATCH(INDEX(Runs!$D:$D, MATCH($B227, Runs!$A:$A, 0)), $U$1:$W$1, 0)), 0)</f>
        <v>41559.038580100001</v>
      </c>
      <c r="AA227" s="8">
        <f t="shared" si="12"/>
        <v>1.3201019043368829E-3</v>
      </c>
      <c r="AB227" s="8">
        <f>IFERROR(VLOOKUP(INDEX(Runs!$F:$F, MATCH($B227, Runs!$A:$A, 0)), US_national_yearly!$D:$AM, MATCH(Keys!$C$7, US_national_yearly!$D$1:$AM$1, 0), FALSE), 0)</f>
        <v>5.7148835886332216E-3</v>
      </c>
      <c r="AC227" s="8">
        <f t="shared" si="13"/>
        <v>0.23099366485129053</v>
      </c>
      <c r="AD227">
        <f>IF($Z227&lt;Keys!$C$3, 1, 0)</f>
        <v>0</v>
      </c>
      <c r="AE227">
        <f>IF($AC227&gt;Keys!$C$4, 1, 0)</f>
        <v>0</v>
      </c>
      <c r="AF227">
        <f>IF($AC227&lt;Keys!$C$5, 1, 0)</f>
        <v>0</v>
      </c>
      <c r="AG227">
        <f t="shared" si="14"/>
        <v>0</v>
      </c>
      <c r="AH227" t="str">
        <f>IFERROR(INDEX(Runs!$E:$E, MATCH($B227, Runs!$A:$A, 0)), $B227)</f>
        <v>Industry NO2</v>
      </c>
      <c r="AI227" t="str">
        <f t="shared" si="15"/>
        <v>transportation NO2</v>
      </c>
      <c r="AJ227" t="str">
        <f>IF($AG227=1, IF($AD227=1, Keys!$C$9, "") &amp; IF($AE227=1, Keys!$C$10, "") &amp; IF($AF227=1, Keys!$C$11, ""), "")</f>
        <v/>
      </c>
      <c r="AK227">
        <f>IF($AG227=1, IFERROR(INDEX($AG$2:$AG$577, MATCH($A227 &amp; Keys!$C$8 &amp; $AH227, $Y$2:$Y$577, 0)), 1), 0)</f>
        <v>0</v>
      </c>
    </row>
    <row r="228" spans="1:37" x14ac:dyDescent="0.25">
      <c r="A228" t="s">
        <v>138</v>
      </c>
      <c r="B228" t="s">
        <v>234</v>
      </c>
      <c r="C228">
        <v>14</v>
      </c>
      <c r="D228">
        <v>50.079624651000003</v>
      </c>
      <c r="E228">
        <v>8.1848328799999995E-2</v>
      </c>
      <c r="F228">
        <v>122.941504361</v>
      </c>
      <c r="G228">
        <v>165.554776946</v>
      </c>
      <c r="H228">
        <v>252.953184636</v>
      </c>
      <c r="I228">
        <v>4.0125305109999996</v>
      </c>
      <c r="J228">
        <v>23.246369427000001</v>
      </c>
      <c r="K228">
        <v>18137.32454211</v>
      </c>
      <c r="L228">
        <v>3089.502293816</v>
      </c>
      <c r="M228">
        <v>5.3389966019999999</v>
      </c>
      <c r="N228">
        <v>541.44946594299995</v>
      </c>
      <c r="O228">
        <v>15.415280672</v>
      </c>
      <c r="P228">
        <v>0.393079707</v>
      </c>
      <c r="Q228">
        <v>1.168974854</v>
      </c>
      <c r="R228">
        <v>28.061133288000001</v>
      </c>
      <c r="S228">
        <v>356.70826302699999</v>
      </c>
      <c r="T228">
        <v>507.40980710700001</v>
      </c>
      <c r="U228">
        <v>1247.56448965</v>
      </c>
      <c r="V228">
        <v>0</v>
      </c>
      <c r="W228">
        <v>0</v>
      </c>
      <c r="Y228" t="str">
        <f>$A228 &amp; Keys!$C$8 &amp; $B228</f>
        <v>Massachusetts|transportation PM25</v>
      </c>
      <c r="Z228" s="8">
        <f>IFERROR(INDEX($U228:$W228, MATCH(INDEX(Runs!$D:$D, MATCH($B228, Runs!$A:$A, 0)), $U$1:$W$1, 0)), 0)</f>
        <v>1247.56448965</v>
      </c>
      <c r="AA228" s="8">
        <f t="shared" si="12"/>
        <v>4.0141912555598368E-2</v>
      </c>
      <c r="AB228" s="8">
        <f>IFERROR(VLOOKUP(INDEX(Runs!$F:$F, MATCH($B228, Runs!$A:$A, 0)), US_national_yearly!$D:$AM, MATCH(Keys!$C$7, US_national_yearly!$D$1:$AM$1, 0), FALSE), 0)</f>
        <v>2.8248683697579859E-2</v>
      </c>
      <c r="AC228" s="8">
        <f t="shared" si="13"/>
        <v>1.4210188688911347</v>
      </c>
      <c r="AD228">
        <f>IF($Z228&lt;Keys!$C$3, 1, 0)</f>
        <v>0</v>
      </c>
      <c r="AE228">
        <f>IF($AC228&gt;Keys!$C$4, 1, 0)</f>
        <v>0</v>
      </c>
      <c r="AF228">
        <f>IF($AC228&lt;Keys!$C$5, 1, 0)</f>
        <v>0</v>
      </c>
      <c r="AG228">
        <f t="shared" si="14"/>
        <v>0</v>
      </c>
      <c r="AH228" t="str">
        <f>IFERROR(INDEX(Runs!$E:$E, MATCH($B228, Runs!$A:$A, 0)), $B228)</f>
        <v>Industry PM25</v>
      </c>
      <c r="AI228" t="str">
        <f t="shared" si="15"/>
        <v>transportation PM25</v>
      </c>
      <c r="AJ228" t="str">
        <f>IF($AG228=1, IF($AD228=1, Keys!$C$9, "") &amp; IF($AE228=1, Keys!$C$10, "") &amp; IF($AF228=1, Keys!$C$11, ""), "")</f>
        <v/>
      </c>
      <c r="AK228">
        <f>IF($AG228=1, IFERROR(INDEX($AG$2:$AG$577, MATCH($A228 &amp; Keys!$C$8 &amp; $AH228, $Y$2:$Y$577, 0)), 1), 0)</f>
        <v>0</v>
      </c>
    </row>
    <row r="229" spans="1:37" x14ac:dyDescent="0.25">
      <c r="A229" t="s">
        <v>138</v>
      </c>
      <c r="B229" t="s">
        <v>243</v>
      </c>
      <c r="C229">
        <v>14</v>
      </c>
      <c r="D229">
        <v>2.8188990760000001</v>
      </c>
      <c r="E229">
        <v>5.5876807799999997E-3</v>
      </c>
      <c r="F229">
        <v>7.4328146030000006</v>
      </c>
      <c r="G229">
        <v>10.009342452</v>
      </c>
      <c r="H229">
        <v>15.292653635000001</v>
      </c>
      <c r="I229">
        <v>0.23722943199999999</v>
      </c>
      <c r="J229">
        <v>1.4021277029999999</v>
      </c>
      <c r="K229">
        <v>1156.432132615</v>
      </c>
      <c r="L229">
        <v>198.63325026999999</v>
      </c>
      <c r="M229">
        <v>0.32925130499999999</v>
      </c>
      <c r="N229">
        <v>32.734810690000003</v>
      </c>
      <c r="O229">
        <v>0.95493944700000011</v>
      </c>
      <c r="P229">
        <v>2.9074959000000001E-2</v>
      </c>
      <c r="Q229">
        <v>8.1377202699999998E-2</v>
      </c>
      <c r="R229">
        <v>1.6600474519999999</v>
      </c>
      <c r="S229">
        <v>21.092922022</v>
      </c>
      <c r="T229">
        <v>29.973288986</v>
      </c>
      <c r="U229">
        <v>0</v>
      </c>
      <c r="V229">
        <v>438.42535111500001</v>
      </c>
      <c r="W229">
        <v>0</v>
      </c>
      <c r="Y229" t="str">
        <f>$A229 &amp; Keys!$C$8 &amp; $B229</f>
        <v>Massachusetts|transportation SO2</v>
      </c>
      <c r="Z229" s="8">
        <f>IFERROR(INDEX($U229:$W229, MATCH(INDEX(Runs!$D:$D, MATCH($B229, Runs!$A:$A, 0)), $U$1:$W$1, 0)), 0)</f>
        <v>438.42535111500001</v>
      </c>
      <c r="AA229" s="8">
        <f t="shared" si="12"/>
        <v>6.4295987192141092E-3</v>
      </c>
      <c r="AB229" s="8">
        <f>IFERROR(VLOOKUP(INDEX(Runs!$F:$F, MATCH($B229, Runs!$A:$A, 0)), US_national_yearly!$D:$AM, MATCH(Keys!$C$7, US_national_yearly!$D$1:$AM$1, 0), FALSE), 0)</f>
        <v>5.1800714166247604E-3</v>
      </c>
      <c r="AC229" s="8">
        <f t="shared" si="13"/>
        <v>1.2412181613132118</v>
      </c>
      <c r="AD229">
        <f>IF($Z229&lt;Keys!$C$3, 1, 0)</f>
        <v>0</v>
      </c>
      <c r="AE229">
        <f>IF($AC229&gt;Keys!$C$4, 1, 0)</f>
        <v>0</v>
      </c>
      <c r="AF229">
        <f>IF($AC229&lt;Keys!$C$5, 1, 0)</f>
        <v>0</v>
      </c>
      <c r="AG229">
        <f t="shared" si="14"/>
        <v>0</v>
      </c>
      <c r="AH229" t="str">
        <f>IFERROR(INDEX(Runs!$E:$E, MATCH($B229, Runs!$A:$A, 0)), $B229)</f>
        <v>Industry SO2</v>
      </c>
      <c r="AI229" t="str">
        <f t="shared" si="15"/>
        <v>transportation SO2</v>
      </c>
      <c r="AJ229" t="str">
        <f>IF($AG229=1, IF($AD229=1, Keys!$C$9, "") &amp; IF($AE229=1, Keys!$C$10, "") &amp; IF($AF229=1, Keys!$C$11, ""), "")</f>
        <v/>
      </c>
      <c r="AK229">
        <f>IF($AG229=1, IFERROR(INDEX($AG$2:$AG$577, MATCH($A229 &amp; Keys!$C$8 &amp; $AH229, $Y$2:$Y$577, 0)), 1), 0)</f>
        <v>0</v>
      </c>
    </row>
    <row r="230" spans="1:37" x14ac:dyDescent="0.25">
      <c r="A230" t="s">
        <v>141</v>
      </c>
      <c r="B230" t="s">
        <v>242</v>
      </c>
      <c r="C230">
        <v>83</v>
      </c>
      <c r="D230">
        <v>52.573321233000001</v>
      </c>
      <c r="E230">
        <v>0.13554728494000001</v>
      </c>
      <c r="F230">
        <v>115.154586361</v>
      </c>
      <c r="G230">
        <v>155.069404072</v>
      </c>
      <c r="H230">
        <v>236.930309424</v>
      </c>
      <c r="I230">
        <v>3.0789332804999998</v>
      </c>
      <c r="J230">
        <v>18.442268714000001</v>
      </c>
      <c r="K230">
        <v>14178.462433062999</v>
      </c>
      <c r="L230">
        <v>2391.2111408239998</v>
      </c>
      <c r="M230">
        <v>4.4921535600000011</v>
      </c>
      <c r="N230">
        <v>507.15429985700001</v>
      </c>
      <c r="O230">
        <v>10.722999338999999</v>
      </c>
      <c r="P230">
        <v>0.43401132417999999</v>
      </c>
      <c r="Q230">
        <v>0.82992208300000003</v>
      </c>
      <c r="R230">
        <v>27.137928947999999</v>
      </c>
      <c r="S230">
        <v>345.21132355499998</v>
      </c>
      <c r="T230">
        <v>491.6015573840001</v>
      </c>
      <c r="U230">
        <v>0</v>
      </c>
      <c r="V230">
        <v>0</v>
      </c>
      <c r="W230">
        <v>62450.215878155017</v>
      </c>
      <c r="Y230" t="str">
        <f>$A230 &amp; Keys!$C$8 &amp; $B230</f>
        <v>Michigan|Industry NO2</v>
      </c>
      <c r="Z230" s="8">
        <f>IFERROR(INDEX($U230:$W230, MATCH(INDEX(Runs!$D:$D, MATCH($B230, Runs!$A:$A, 0)), $U$1:$W$1, 0)), 0)</f>
        <v>62450.215878155017</v>
      </c>
      <c r="AA230" s="8">
        <f t="shared" si="12"/>
        <v>8.4184370692287809E-4</v>
      </c>
      <c r="AB230" s="8">
        <f>IFERROR(VLOOKUP(INDEX(Runs!$F:$F, MATCH($B230, Runs!$A:$A, 0)), US_national_yearly!$D:$AM, MATCH(Keys!$C$7, US_national_yearly!$D$1:$AM$1, 0), FALSE), 0)</f>
        <v>5.8012217057786938E-3</v>
      </c>
      <c r="AC230" s="8">
        <f t="shared" si="13"/>
        <v>0.14511489986398959</v>
      </c>
      <c r="AD230">
        <f>IF($Z230&lt;Keys!$C$3, 1, 0)</f>
        <v>0</v>
      </c>
      <c r="AE230">
        <f>IF($AC230&gt;Keys!$C$4, 1, 0)</f>
        <v>0</v>
      </c>
      <c r="AF230">
        <f>IF($AC230&lt;Keys!$C$5, 1, 0)</f>
        <v>0</v>
      </c>
      <c r="AG230">
        <f t="shared" si="14"/>
        <v>0</v>
      </c>
      <c r="AH230" t="str">
        <f>IFERROR(INDEX(Runs!$E:$E, MATCH($B230, Runs!$A:$A, 0)), $B230)</f>
        <v>Industry NO2</v>
      </c>
      <c r="AI230" t="str">
        <f t="shared" si="15"/>
        <v>Industry NO2</v>
      </c>
      <c r="AJ230" t="str">
        <f>IF($AG230=1, IF($AD230=1, Keys!$C$9, "") &amp; IF($AE230=1, Keys!$C$10, "") &amp; IF($AF230=1, Keys!$C$11, ""), "")</f>
        <v/>
      </c>
      <c r="AK230">
        <f>IF($AG230=1, IFERROR(INDEX($AG$2:$AG$577, MATCH($A230 &amp; Keys!$C$8 &amp; $AH230, $Y$2:$Y$577, 0)), 1), 0)</f>
        <v>0</v>
      </c>
    </row>
    <row r="231" spans="1:37" x14ac:dyDescent="0.25">
      <c r="A231" t="s">
        <v>141</v>
      </c>
      <c r="B231" t="s">
        <v>238</v>
      </c>
      <c r="C231">
        <v>83</v>
      </c>
      <c r="D231">
        <v>384.35468784599999</v>
      </c>
      <c r="E231">
        <v>0.93394471225999975</v>
      </c>
      <c r="F231">
        <v>846.31822645700015</v>
      </c>
      <c r="G231">
        <v>1139.5666765630001</v>
      </c>
      <c r="H231">
        <v>1741.505065668001</v>
      </c>
      <c r="I231">
        <v>23.701294440000009</v>
      </c>
      <c r="J231">
        <v>147.58928737100001</v>
      </c>
      <c r="K231">
        <v>105749.62843919999</v>
      </c>
      <c r="L231">
        <v>17846.092554264</v>
      </c>
      <c r="M231">
        <v>33.699931608999997</v>
      </c>
      <c r="N231">
        <v>3727.3899686880009</v>
      </c>
      <c r="O231">
        <v>79.698698430999997</v>
      </c>
      <c r="P231">
        <v>2.7485447185999998</v>
      </c>
      <c r="Q231">
        <v>6.2575094296999998</v>
      </c>
      <c r="R231">
        <v>197.24212092799999</v>
      </c>
      <c r="S231">
        <v>2511.2099897590001</v>
      </c>
      <c r="T231">
        <v>3585.8468821880001</v>
      </c>
      <c r="U231">
        <v>10228.532225614001</v>
      </c>
      <c r="V231">
        <v>0</v>
      </c>
      <c r="W231">
        <v>0</v>
      </c>
      <c r="Y231" t="str">
        <f>$A231 &amp; Keys!$C$8 &amp; $B231</f>
        <v>Michigan|Industry PM25</v>
      </c>
      <c r="Z231" s="8">
        <f>IFERROR(INDEX($U231:$W231, MATCH(INDEX(Runs!$D:$D, MATCH($B231, Runs!$A:$A, 0)), $U$1:$W$1, 0)), 0)</f>
        <v>10228.532225614001</v>
      </c>
      <c r="AA231" s="8">
        <f t="shared" si="12"/>
        <v>3.757671964737129E-2</v>
      </c>
      <c r="AB231" s="8">
        <f>IFERROR(VLOOKUP(INDEX(Runs!$F:$F, MATCH($B231, Runs!$A:$A, 0)), US_national_yearly!$D:$AM, MATCH(Keys!$C$7, US_national_yearly!$D$1:$AM$1, 0), FALSE), 0)</f>
        <v>2.6833191881203179E-2</v>
      </c>
      <c r="AC231" s="8">
        <f t="shared" si="13"/>
        <v>1.4003820273686494</v>
      </c>
      <c r="AD231">
        <f>IF($Z231&lt;Keys!$C$3, 1, 0)</f>
        <v>0</v>
      </c>
      <c r="AE231">
        <f>IF($AC231&gt;Keys!$C$4, 1, 0)</f>
        <v>0</v>
      </c>
      <c r="AF231">
        <f>IF($AC231&lt;Keys!$C$5, 1, 0)</f>
        <v>0</v>
      </c>
      <c r="AG231">
        <f t="shared" si="14"/>
        <v>0</v>
      </c>
      <c r="AH231" t="str">
        <f>IFERROR(INDEX(Runs!$E:$E, MATCH($B231, Runs!$A:$A, 0)), $B231)</f>
        <v>Industry PM25</v>
      </c>
      <c r="AI231" t="str">
        <f t="shared" si="15"/>
        <v>Industry PM25</v>
      </c>
      <c r="AJ231" t="str">
        <f>IF($AG231=1, IF($AD231=1, Keys!$C$9, "") &amp; IF($AE231=1, Keys!$C$10, "") &amp; IF($AF231=1, Keys!$C$11, ""), "")</f>
        <v/>
      </c>
      <c r="AK231">
        <f>IF($AG231=1, IFERROR(INDEX($AG$2:$AG$577, MATCH($A231 &amp; Keys!$C$8 &amp; $AH231, $Y$2:$Y$577, 0)), 1), 0)</f>
        <v>0</v>
      </c>
    </row>
    <row r="232" spans="1:37" x14ac:dyDescent="0.25">
      <c r="A232" t="s">
        <v>141</v>
      </c>
      <c r="B232" t="s">
        <v>246</v>
      </c>
      <c r="C232">
        <v>83</v>
      </c>
      <c r="D232">
        <v>44.713883813000002</v>
      </c>
      <c r="E232">
        <v>0.10395746291999999</v>
      </c>
      <c r="F232">
        <v>94.521482265000003</v>
      </c>
      <c r="G232">
        <v>127.28552341699999</v>
      </c>
      <c r="H232">
        <v>194.47558663500001</v>
      </c>
      <c r="I232">
        <v>2.7671020359999998</v>
      </c>
      <c r="J232">
        <v>17.058018244999989</v>
      </c>
      <c r="K232">
        <v>11818.178975874</v>
      </c>
      <c r="L232">
        <v>1990.383308315</v>
      </c>
      <c r="M232">
        <v>3.948598173000001</v>
      </c>
      <c r="N232">
        <v>416.28259231700002</v>
      </c>
      <c r="O232">
        <v>8.9315046870000003</v>
      </c>
      <c r="P232">
        <v>0.31696539293999992</v>
      </c>
      <c r="Q232">
        <v>0.71990520990000018</v>
      </c>
      <c r="R232">
        <v>22.107487371000001</v>
      </c>
      <c r="S232">
        <v>281.16173027200011</v>
      </c>
      <c r="T232">
        <v>400.20218312700001</v>
      </c>
      <c r="U232">
        <v>0</v>
      </c>
      <c r="V232">
        <v>8915.7640074910014</v>
      </c>
      <c r="W232">
        <v>0</v>
      </c>
      <c r="Y232" t="str">
        <f>$A232 &amp; Keys!$C$8 &amp; $B232</f>
        <v>Michigan|Industry SO2</v>
      </c>
      <c r="Z232" s="8">
        <f>IFERROR(INDEX($U232:$W232, MATCH(INDEX(Runs!$D:$D, MATCH($B232, Runs!$A:$A, 0)), $U$1:$W$1, 0)), 0)</f>
        <v>8915.7640074910014</v>
      </c>
      <c r="AA232" s="8">
        <f t="shared" si="12"/>
        <v>5.0151488728763472E-3</v>
      </c>
      <c r="AB232" s="8">
        <f>IFERROR(VLOOKUP(INDEX(Runs!$F:$F, MATCH($B232, Runs!$A:$A, 0)), US_national_yearly!$D:$AM, MATCH(Keys!$C$7, US_national_yearly!$D$1:$AM$1, 0), FALSE), 0)</f>
        <v>5.3000351638639942E-3</v>
      </c>
      <c r="AC232" s="8">
        <f t="shared" si="13"/>
        <v>0.94624822625139893</v>
      </c>
      <c r="AD232">
        <f>IF($Z232&lt;Keys!$C$3, 1, 0)</f>
        <v>0</v>
      </c>
      <c r="AE232">
        <f>IF($AC232&gt;Keys!$C$4, 1, 0)</f>
        <v>0</v>
      </c>
      <c r="AF232">
        <f>IF($AC232&lt;Keys!$C$5, 1, 0)</f>
        <v>0</v>
      </c>
      <c r="AG232">
        <f t="shared" si="14"/>
        <v>0</v>
      </c>
      <c r="AH232" t="str">
        <f>IFERROR(INDEX(Runs!$E:$E, MATCH($B232, Runs!$A:$A, 0)), $B232)</f>
        <v>Industry SO2</v>
      </c>
      <c r="AI232" t="str">
        <f t="shared" si="15"/>
        <v>Industry SO2</v>
      </c>
      <c r="AJ232" t="str">
        <f>IF($AG232=1, IF($AD232=1, Keys!$C$9, "") &amp; IF($AE232=1, Keys!$C$10, "") &amp; IF($AF232=1, Keys!$C$11, ""), "")</f>
        <v/>
      </c>
      <c r="AK232">
        <f>IF($AG232=1, IFERROR(INDEX($AG$2:$AG$577, MATCH($A232 &amp; Keys!$C$8 &amp; $AH232, $Y$2:$Y$577, 0)), 1), 0)</f>
        <v>0</v>
      </c>
    </row>
    <row r="233" spans="1:37" x14ac:dyDescent="0.25">
      <c r="A233" t="s">
        <v>141</v>
      </c>
      <c r="B233" t="s">
        <v>253</v>
      </c>
      <c r="C233">
        <v>83</v>
      </c>
      <c r="D233">
        <v>61.552674291000002</v>
      </c>
      <c r="E233">
        <v>0.150486577358</v>
      </c>
      <c r="F233">
        <v>134.40127932899989</v>
      </c>
      <c r="G233">
        <v>180.98756868900011</v>
      </c>
      <c r="H233">
        <v>276.529943753</v>
      </c>
      <c r="I233">
        <v>3.7015203423000012</v>
      </c>
      <c r="J233">
        <v>23.084410857000009</v>
      </c>
      <c r="K233">
        <v>16875.591356697001</v>
      </c>
      <c r="L233">
        <v>2846.2684603960001</v>
      </c>
      <c r="M233">
        <v>5.2996928072000014</v>
      </c>
      <c r="N233">
        <v>591.91879177099997</v>
      </c>
      <c r="O233">
        <v>12.6873912124</v>
      </c>
      <c r="P233">
        <v>0.44381952372999989</v>
      </c>
      <c r="Q233">
        <v>0.98862900241000018</v>
      </c>
      <c r="R233">
        <v>31.518437677000001</v>
      </c>
      <c r="S233">
        <v>400.90106707400003</v>
      </c>
      <c r="T233">
        <v>570.81922674099997</v>
      </c>
      <c r="U233">
        <v>0</v>
      </c>
      <c r="V233">
        <v>0</v>
      </c>
      <c r="W233">
        <v>28800.711473014009</v>
      </c>
      <c r="Y233" t="str">
        <f>$A233 &amp; Keys!$C$8 &amp; $B233</f>
        <v>Michigan|buildings NO2</v>
      </c>
      <c r="Z233" s="8">
        <f>IFERROR(INDEX($U233:$W233, MATCH(INDEX(Runs!$D:$D, MATCH($B233, Runs!$A:$A, 0)), $U$1:$W$1, 0)), 0)</f>
        <v>28800.711473014009</v>
      </c>
      <c r="AA233" s="8">
        <f t="shared" si="12"/>
        <v>2.1371928380545138E-3</v>
      </c>
      <c r="AB233" s="8">
        <f>IFERROR(VLOOKUP(INDEX(Runs!$F:$F, MATCH($B233, Runs!$A:$A, 0)), US_national_yearly!$D:$AM, MATCH(Keys!$C$7, US_national_yearly!$D$1:$AM$1, 0), FALSE), 0)</f>
        <v>5.6784740124662739E-3</v>
      </c>
      <c r="AC233" s="8">
        <f t="shared" si="13"/>
        <v>0.37636745952567785</v>
      </c>
      <c r="AD233">
        <f>IF($Z233&lt;Keys!$C$3, 1, 0)</f>
        <v>0</v>
      </c>
      <c r="AE233">
        <f>IF($AC233&gt;Keys!$C$4, 1, 0)</f>
        <v>0</v>
      </c>
      <c r="AF233">
        <f>IF($AC233&lt;Keys!$C$5, 1, 0)</f>
        <v>0</v>
      </c>
      <c r="AG233">
        <f t="shared" si="14"/>
        <v>0</v>
      </c>
      <c r="AH233" t="str">
        <f>IFERROR(INDEX(Runs!$E:$E, MATCH($B233, Runs!$A:$A, 0)), $B233)</f>
        <v>Industry NO2</v>
      </c>
      <c r="AI233" t="str">
        <f t="shared" si="15"/>
        <v>buildings NO2</v>
      </c>
      <c r="AJ233" t="str">
        <f>IF($AG233=1, IF($AD233=1, Keys!$C$9, "") &amp; IF($AE233=1, Keys!$C$10, "") &amp; IF($AF233=1, Keys!$C$11, ""), "")</f>
        <v/>
      </c>
      <c r="AK233">
        <f>IF($AG233=1, IFERROR(INDEX($AG$2:$AG$577, MATCH($A233 &amp; Keys!$C$8 &amp; $AH233, $Y$2:$Y$577, 0)), 1), 0)</f>
        <v>0</v>
      </c>
    </row>
    <row r="234" spans="1:37" x14ac:dyDescent="0.25">
      <c r="A234" t="s">
        <v>141</v>
      </c>
      <c r="B234" t="s">
        <v>251</v>
      </c>
      <c r="C234">
        <v>83</v>
      </c>
      <c r="D234">
        <v>5.8867397955999996</v>
      </c>
      <c r="E234">
        <v>1.4608124931400001E-2</v>
      </c>
      <c r="F234">
        <v>12.9896220765</v>
      </c>
      <c r="G234">
        <v>17.492401210200001</v>
      </c>
      <c r="H234">
        <v>26.7254593533</v>
      </c>
      <c r="I234">
        <v>0.35496953483999999</v>
      </c>
      <c r="J234">
        <v>2.2025848493</v>
      </c>
      <c r="K234">
        <v>1628.9375170430001</v>
      </c>
      <c r="L234">
        <v>274.80887463699997</v>
      </c>
      <c r="M234">
        <v>0.50879818119999998</v>
      </c>
      <c r="N234">
        <v>57.207482640000002</v>
      </c>
      <c r="O234">
        <v>1.22417258218</v>
      </c>
      <c r="P234">
        <v>4.3504353987000012E-2</v>
      </c>
      <c r="Q234">
        <v>9.5217675852999992E-2</v>
      </c>
      <c r="R234">
        <v>3.0444612909100002</v>
      </c>
      <c r="S234">
        <v>38.715685556999993</v>
      </c>
      <c r="T234">
        <v>55.090846942999988</v>
      </c>
      <c r="U234">
        <v>118.998904635</v>
      </c>
      <c r="V234">
        <v>0</v>
      </c>
      <c r="W234">
        <v>0</v>
      </c>
      <c r="Y234" t="str">
        <f>$A234 &amp; Keys!$C$8 &amp; $B234</f>
        <v>Michigan|buildings PM25</v>
      </c>
      <c r="Z234" s="8">
        <f>IFERROR(INDEX($U234:$W234, MATCH(INDEX(Runs!$D:$D, MATCH($B234, Runs!$A:$A, 0)), $U$1:$W$1, 0)), 0)</f>
        <v>118.998904635</v>
      </c>
      <c r="AA234" s="8">
        <f t="shared" si="12"/>
        <v>4.9468856992054944E-2</v>
      </c>
      <c r="AB234" s="8">
        <f>IFERROR(VLOOKUP(INDEX(Runs!$F:$F, MATCH($B234, Runs!$A:$A, 0)), US_national_yearly!$D:$AM, MATCH(Keys!$C$7, US_national_yearly!$D$1:$AM$1, 0), FALSE), 0)</f>
        <v>2.7627705191843259E-2</v>
      </c>
      <c r="AC234" s="8">
        <f t="shared" si="13"/>
        <v>1.7905525141718979</v>
      </c>
      <c r="AD234">
        <f>IF($Z234&lt;Keys!$C$3, 1, 0)</f>
        <v>0</v>
      </c>
      <c r="AE234">
        <f>IF($AC234&gt;Keys!$C$4, 1, 0)</f>
        <v>0</v>
      </c>
      <c r="AF234">
        <f>IF($AC234&lt;Keys!$C$5, 1, 0)</f>
        <v>0</v>
      </c>
      <c r="AG234">
        <f t="shared" si="14"/>
        <v>0</v>
      </c>
      <c r="AH234" t="str">
        <f>IFERROR(INDEX(Runs!$E:$E, MATCH($B234, Runs!$A:$A, 0)), $B234)</f>
        <v>Industry PM25</v>
      </c>
      <c r="AI234" t="str">
        <f t="shared" si="15"/>
        <v>buildings PM25</v>
      </c>
      <c r="AJ234" t="str">
        <f>IF($AG234=1, IF($AD234=1, Keys!$C$9, "") &amp; IF($AE234=1, Keys!$C$10, "") &amp; IF($AF234=1, Keys!$C$11, ""), "")</f>
        <v/>
      </c>
      <c r="AK234">
        <f>IF($AG234=1, IFERROR(INDEX($AG$2:$AG$577, MATCH($A234 &amp; Keys!$C$8 &amp; $AH234, $Y$2:$Y$577, 0)), 1), 0)</f>
        <v>0</v>
      </c>
    </row>
    <row r="235" spans="1:37" x14ac:dyDescent="0.25">
      <c r="A235" t="s">
        <v>141</v>
      </c>
      <c r="B235" t="s">
        <v>254</v>
      </c>
      <c r="C235">
        <v>83</v>
      </c>
      <c r="D235">
        <v>1.8538409205999999</v>
      </c>
      <c r="E235">
        <v>4.4108301766999994E-3</v>
      </c>
      <c r="F235">
        <v>4.0473564454000002</v>
      </c>
      <c r="G235">
        <v>5.4503572575999986</v>
      </c>
      <c r="H235">
        <v>8.3272060880000005</v>
      </c>
      <c r="I235">
        <v>0.11437996011</v>
      </c>
      <c r="J235">
        <v>0.72657875519999993</v>
      </c>
      <c r="K235">
        <v>508.62434779900002</v>
      </c>
      <c r="L235">
        <v>85.749012629999996</v>
      </c>
      <c r="M235">
        <v>0.16363725322</v>
      </c>
      <c r="N235">
        <v>17.824919790999999</v>
      </c>
      <c r="O235">
        <v>0.38270530580000001</v>
      </c>
      <c r="P235">
        <v>1.2697738167999999E-2</v>
      </c>
      <c r="Q235">
        <v>3.0343043502999999E-2</v>
      </c>
      <c r="R235">
        <v>0.9455595497999999</v>
      </c>
      <c r="S235">
        <v>12.023799258</v>
      </c>
      <c r="T235">
        <v>17.107478409999999</v>
      </c>
      <c r="U235">
        <v>0</v>
      </c>
      <c r="V235">
        <v>300.879700388</v>
      </c>
      <c r="W235">
        <v>0</v>
      </c>
      <c r="Y235" t="str">
        <f>$A235 &amp; Keys!$C$8 &amp; $B235</f>
        <v>Michigan|buildings SO2</v>
      </c>
      <c r="Z235" s="8">
        <f>IFERROR(INDEX($U235:$W235, MATCH(INDEX(Runs!$D:$D, MATCH($B235, Runs!$A:$A, 0)), $U$1:$W$1, 0)), 0)</f>
        <v>300.879700388</v>
      </c>
      <c r="AA235" s="8">
        <f t="shared" si="12"/>
        <v>6.1614024416049859E-3</v>
      </c>
      <c r="AB235" s="8">
        <f>IFERROR(VLOOKUP(INDEX(Runs!$F:$F, MATCH($B235, Runs!$A:$A, 0)), US_national_yearly!$D:$AM, MATCH(Keys!$C$7, US_national_yearly!$D$1:$AM$1, 0), FALSE), 0)</f>
        <v>5.1581943281164694E-3</v>
      </c>
      <c r="AC235" s="8">
        <f t="shared" si="13"/>
        <v>1.1944882355478921</v>
      </c>
      <c r="AD235">
        <f>IF($Z235&lt;Keys!$C$3, 1, 0)</f>
        <v>0</v>
      </c>
      <c r="AE235">
        <f>IF($AC235&gt;Keys!$C$4, 1, 0)</f>
        <v>0</v>
      </c>
      <c r="AF235">
        <f>IF($AC235&lt;Keys!$C$5, 1, 0)</f>
        <v>0</v>
      </c>
      <c r="AG235">
        <f t="shared" si="14"/>
        <v>0</v>
      </c>
      <c r="AH235" t="str">
        <f>IFERROR(INDEX(Runs!$E:$E, MATCH($B235, Runs!$A:$A, 0)), $B235)</f>
        <v>Industry SO2</v>
      </c>
      <c r="AI235" t="str">
        <f t="shared" si="15"/>
        <v>buildings SO2</v>
      </c>
      <c r="AJ235" t="str">
        <f>IF($AG235=1, IF($AD235=1, Keys!$C$9, "") &amp; IF($AE235=1, Keys!$C$10, "") &amp; IF($AF235=1, Keys!$C$11, ""), "")</f>
        <v/>
      </c>
      <c r="AK235">
        <f>IF($AG235=1, IFERROR(INDEX($AG$2:$AG$577, MATCH($A235 &amp; Keys!$C$8 &amp; $AH235, $Y$2:$Y$577, 0)), 1), 0)</f>
        <v>0</v>
      </c>
    </row>
    <row r="236" spans="1:37" x14ac:dyDescent="0.25">
      <c r="A236" t="s">
        <v>141</v>
      </c>
      <c r="B236" t="s">
        <v>249</v>
      </c>
      <c r="C236">
        <v>83</v>
      </c>
      <c r="D236">
        <v>12.230240905</v>
      </c>
      <c r="E236">
        <v>2.7509724459999999E-2</v>
      </c>
      <c r="F236">
        <v>25.708472106999999</v>
      </c>
      <c r="G236">
        <v>34.620129943000009</v>
      </c>
      <c r="H236">
        <v>52.893898740000012</v>
      </c>
      <c r="I236">
        <v>0.76979185100000025</v>
      </c>
      <c r="J236">
        <v>4.8699762310000008</v>
      </c>
      <c r="K236">
        <v>3225.478075349999</v>
      </c>
      <c r="L236">
        <v>542.96144414299999</v>
      </c>
      <c r="M236">
        <v>1.1024546611999999</v>
      </c>
      <c r="N236">
        <v>113.22250079</v>
      </c>
      <c r="O236">
        <v>2.436695125</v>
      </c>
      <c r="P236">
        <v>8.0779300059999989E-2</v>
      </c>
      <c r="Q236">
        <v>0.1992982332199999</v>
      </c>
      <c r="R236">
        <v>5.9956479649999999</v>
      </c>
      <c r="S236">
        <v>76.240720517999975</v>
      </c>
      <c r="T236">
        <v>108.478461618</v>
      </c>
      <c r="U236">
        <v>0</v>
      </c>
      <c r="V236">
        <v>0</v>
      </c>
      <c r="W236">
        <v>31276.350329853991</v>
      </c>
      <c r="Y236" t="str">
        <f>$A236 &amp; Keys!$C$8 &amp; $B236</f>
        <v>Michigan|electricity NO2</v>
      </c>
      <c r="Z236" s="8">
        <f>IFERROR(INDEX($U236:$W236, MATCH(INDEX(Runs!$D:$D, MATCH($B236, Runs!$A:$A, 0)), $U$1:$W$1, 0)), 0)</f>
        <v>31276.350329853991</v>
      </c>
      <c r="AA236" s="8">
        <f t="shared" si="12"/>
        <v>3.9103798160637551E-4</v>
      </c>
      <c r="AB236" s="8">
        <f>IFERROR(VLOOKUP(INDEX(Runs!$F:$F, MATCH($B236, Runs!$A:$A, 0)), US_national_yearly!$D:$AM, MATCH(Keys!$C$7, US_national_yearly!$D$1:$AM$1, 0), FALSE), 0)</f>
        <v>6.1439221592658041E-3</v>
      </c>
      <c r="AC236" s="8">
        <f t="shared" si="13"/>
        <v>6.3646311178705492E-2</v>
      </c>
      <c r="AD236">
        <f>IF($Z236&lt;Keys!$C$3, 1, 0)</f>
        <v>0</v>
      </c>
      <c r="AE236">
        <f>IF($AC236&gt;Keys!$C$4, 1, 0)</f>
        <v>0</v>
      </c>
      <c r="AF236">
        <f>IF($AC236&lt;Keys!$C$5, 1, 0)</f>
        <v>0</v>
      </c>
      <c r="AG236">
        <f t="shared" si="14"/>
        <v>0</v>
      </c>
      <c r="AH236" t="str">
        <f>IFERROR(INDEX(Runs!$E:$E, MATCH($B236, Runs!$A:$A, 0)), $B236)</f>
        <v>Industry NO2</v>
      </c>
      <c r="AI236" t="str">
        <f t="shared" si="15"/>
        <v>electricity NO2</v>
      </c>
      <c r="AJ236" t="str">
        <f>IF($AG236=1, IF($AD236=1, Keys!$C$9, "") &amp; IF($AE236=1, Keys!$C$10, "") &amp; IF($AF236=1, Keys!$C$11, ""), "")</f>
        <v/>
      </c>
      <c r="AK236">
        <f>IF($AG236=1, IFERROR(INDEX($AG$2:$AG$577, MATCH($A236 &amp; Keys!$C$8 &amp; $AH236, $Y$2:$Y$577, 0)), 1), 0)</f>
        <v>0</v>
      </c>
    </row>
    <row r="237" spans="1:37" x14ac:dyDescent="0.25">
      <c r="A237" t="s">
        <v>141</v>
      </c>
      <c r="B237" t="s">
        <v>247</v>
      </c>
      <c r="C237">
        <v>83</v>
      </c>
      <c r="D237">
        <v>23.400143110999998</v>
      </c>
      <c r="E237">
        <v>5.3980495478000011E-2</v>
      </c>
      <c r="F237">
        <v>49.828833869</v>
      </c>
      <c r="G237">
        <v>67.101369746999993</v>
      </c>
      <c r="H237">
        <v>102.520895622</v>
      </c>
      <c r="I237">
        <v>1.465607264</v>
      </c>
      <c r="J237">
        <v>9.2495624580000015</v>
      </c>
      <c r="K237">
        <v>6244.5027062480021</v>
      </c>
      <c r="L237">
        <v>1051.614789253</v>
      </c>
      <c r="M237">
        <v>2.0907143036</v>
      </c>
      <c r="N237">
        <v>219.45109923800001</v>
      </c>
      <c r="O237">
        <v>4.7120349869</v>
      </c>
      <c r="P237">
        <v>0.15570721490999989</v>
      </c>
      <c r="Q237">
        <v>0.37869046712999999</v>
      </c>
      <c r="R237">
        <v>11.621747833700001</v>
      </c>
      <c r="S237">
        <v>147.791308972</v>
      </c>
      <c r="T237">
        <v>210.31729955399999</v>
      </c>
      <c r="U237">
        <v>2081.1855230755</v>
      </c>
      <c r="V237">
        <v>0</v>
      </c>
      <c r="W237">
        <v>0</v>
      </c>
      <c r="Y237" t="str">
        <f>$A237 &amp; Keys!$C$8 &amp; $B237</f>
        <v>Michigan|electricity PM25</v>
      </c>
      <c r="Z237" s="8">
        <f>IFERROR(INDEX($U237:$W237, MATCH(INDEX(Runs!$D:$D, MATCH($B237, Runs!$A:$A, 0)), $U$1:$W$1, 0)), 0)</f>
        <v>2081.1855230755</v>
      </c>
      <c r="AA237" s="8">
        <f t="shared" si="12"/>
        <v>1.1243660332799221E-2</v>
      </c>
      <c r="AB237" s="8">
        <f>IFERROR(VLOOKUP(INDEX(Runs!$F:$F, MATCH($B237, Runs!$A:$A, 0)), US_national_yearly!$D:$AM, MATCH(Keys!$C$7, US_national_yearly!$D$1:$AM$1, 0), FALSE), 0)</f>
        <v>2.4252978284752182E-2</v>
      </c>
      <c r="AC237" s="8">
        <f t="shared" si="13"/>
        <v>0.46359915886570091</v>
      </c>
      <c r="AD237">
        <f>IF($Z237&lt;Keys!$C$3, 1, 0)</f>
        <v>0</v>
      </c>
      <c r="AE237">
        <f>IF($AC237&gt;Keys!$C$4, 1, 0)</f>
        <v>0</v>
      </c>
      <c r="AF237">
        <f>IF($AC237&lt;Keys!$C$5, 1, 0)</f>
        <v>0</v>
      </c>
      <c r="AG237">
        <f t="shared" si="14"/>
        <v>0</v>
      </c>
      <c r="AH237" t="str">
        <f>IFERROR(INDEX(Runs!$E:$E, MATCH($B237, Runs!$A:$A, 0)), $B237)</f>
        <v>Industry PM25</v>
      </c>
      <c r="AI237" t="str">
        <f t="shared" si="15"/>
        <v>electricity PM25</v>
      </c>
      <c r="AJ237" t="str">
        <f>IF($AG237=1, IF($AD237=1, Keys!$C$9, "") &amp; IF($AE237=1, Keys!$C$10, "") &amp; IF($AF237=1, Keys!$C$11, ""), "")</f>
        <v/>
      </c>
      <c r="AK237">
        <f>IF($AG237=1, IFERROR(INDEX($AG$2:$AG$577, MATCH($A237 &amp; Keys!$C$8 &amp; $AH237, $Y$2:$Y$577, 0)), 1), 0)</f>
        <v>0</v>
      </c>
    </row>
    <row r="238" spans="1:37" x14ac:dyDescent="0.25">
      <c r="A238" t="s">
        <v>141</v>
      </c>
      <c r="B238" t="s">
        <v>250</v>
      </c>
      <c r="C238">
        <v>83</v>
      </c>
      <c r="D238">
        <v>14.496271545999999</v>
      </c>
      <c r="E238">
        <v>3.1720401676999993E-2</v>
      </c>
      <c r="F238">
        <v>30.143058047</v>
      </c>
      <c r="G238">
        <v>40.591873090999997</v>
      </c>
      <c r="H238">
        <v>62.017960915000018</v>
      </c>
      <c r="I238">
        <v>0.92214124600000014</v>
      </c>
      <c r="J238">
        <v>5.9761382399999992</v>
      </c>
      <c r="K238">
        <v>3816.2080654789988</v>
      </c>
      <c r="L238">
        <v>642.19145726800002</v>
      </c>
      <c r="M238">
        <v>1.3168650502999999</v>
      </c>
      <c r="N238">
        <v>132.75289205300001</v>
      </c>
      <c r="O238">
        <v>2.8762670928000009</v>
      </c>
      <c r="P238">
        <v>8.8918182260000006E-2</v>
      </c>
      <c r="Q238">
        <v>0.23543347229</v>
      </c>
      <c r="R238">
        <v>7.0079549139999999</v>
      </c>
      <c r="S238">
        <v>89.113689961000006</v>
      </c>
      <c r="T238">
        <v>126.79841065399999</v>
      </c>
      <c r="U238">
        <v>0</v>
      </c>
      <c r="V238">
        <v>10914.974234814001</v>
      </c>
      <c r="W238">
        <v>0</v>
      </c>
      <c r="Y238" t="str">
        <f>$A238 &amp; Keys!$C$8 &amp; $B238</f>
        <v>Michigan|electricity SO2</v>
      </c>
      <c r="Z238" s="8">
        <f>IFERROR(INDEX($U238:$W238, MATCH(INDEX(Runs!$D:$D, MATCH($B238, Runs!$A:$A, 0)), $U$1:$W$1, 0)), 0)</f>
        <v>10914.974234814001</v>
      </c>
      <c r="AA238" s="8">
        <f t="shared" si="12"/>
        <v>1.3281086362772368E-3</v>
      </c>
      <c r="AB238" s="8">
        <f>IFERROR(VLOOKUP(INDEX(Runs!$F:$F, MATCH($B238, Runs!$A:$A, 0)), US_national_yearly!$D:$AM, MATCH(Keys!$C$7, US_national_yearly!$D$1:$AM$1, 0), FALSE), 0)</f>
        <v>5.7032329662362116E-3</v>
      </c>
      <c r="AC238" s="8">
        <f t="shared" si="13"/>
        <v>0.23286943460661541</v>
      </c>
      <c r="AD238">
        <f>IF($Z238&lt;Keys!$C$3, 1, 0)</f>
        <v>0</v>
      </c>
      <c r="AE238">
        <f>IF($AC238&gt;Keys!$C$4, 1, 0)</f>
        <v>0</v>
      </c>
      <c r="AF238">
        <f>IF($AC238&lt;Keys!$C$5, 1, 0)</f>
        <v>0</v>
      </c>
      <c r="AG238">
        <f t="shared" si="14"/>
        <v>0</v>
      </c>
      <c r="AH238" t="str">
        <f>IFERROR(INDEX(Runs!$E:$E, MATCH($B238, Runs!$A:$A, 0)), $B238)</f>
        <v>Industry SO2</v>
      </c>
      <c r="AI238" t="str">
        <f t="shared" si="15"/>
        <v>electricity SO2</v>
      </c>
      <c r="AJ238" t="str">
        <f>IF($AG238=1, IF($AD238=1, Keys!$C$9, "") &amp; IF($AE238=1, Keys!$C$10, "") &amp; IF($AF238=1, Keys!$C$11, ""), "")</f>
        <v/>
      </c>
      <c r="AK238">
        <f>IF($AG238=1, IFERROR(INDEX($AG$2:$AG$577, MATCH($A238 &amp; Keys!$C$8 &amp; $AH238, $Y$2:$Y$577, 0)), 1), 0)</f>
        <v>0</v>
      </c>
    </row>
    <row r="239" spans="1:37" x14ac:dyDescent="0.25">
      <c r="A239" t="s">
        <v>141</v>
      </c>
      <c r="B239" t="s">
        <v>239</v>
      </c>
      <c r="C239">
        <v>83</v>
      </c>
      <c r="D239">
        <v>140.91378086200001</v>
      </c>
      <c r="E239">
        <v>0.34843687431999998</v>
      </c>
      <c r="F239">
        <v>308.05916957599999</v>
      </c>
      <c r="G239">
        <v>414.82889322599988</v>
      </c>
      <c r="H239">
        <v>633.8505569030001</v>
      </c>
      <c r="I239">
        <v>8.4828994819999988</v>
      </c>
      <c r="J239">
        <v>52.437273124000022</v>
      </c>
      <c r="K239">
        <v>38356.15861390499</v>
      </c>
      <c r="L239">
        <v>6468.495029095001</v>
      </c>
      <c r="M239">
        <v>12.258732886000001</v>
      </c>
      <c r="N239">
        <v>1356.738619705</v>
      </c>
      <c r="O239">
        <v>28.926294739999999</v>
      </c>
      <c r="P239">
        <v>1.0557584716999999</v>
      </c>
      <c r="Q239">
        <v>2.2751163188999999</v>
      </c>
      <c r="R239">
        <v>72.183606365000003</v>
      </c>
      <c r="S239">
        <v>918.40410301499981</v>
      </c>
      <c r="T239">
        <v>1308.731739711</v>
      </c>
      <c r="U239">
        <v>0</v>
      </c>
      <c r="V239">
        <v>0</v>
      </c>
      <c r="W239">
        <v>81250.732089900019</v>
      </c>
      <c r="Y239" t="str">
        <f>$A239 &amp; Keys!$C$8 &amp; $B239</f>
        <v>Michigan|transportation NO2</v>
      </c>
      <c r="Z239" s="8">
        <f>IFERROR(INDEX($U239:$W239, MATCH(INDEX(Runs!$D:$D, MATCH($B239, Runs!$A:$A, 0)), $U$1:$W$1, 0)), 0)</f>
        <v>81250.732089900019</v>
      </c>
      <c r="AA239" s="8">
        <f t="shared" si="12"/>
        <v>1.7343078300646657E-3</v>
      </c>
      <c r="AB239" s="8">
        <f>IFERROR(VLOOKUP(INDEX(Runs!$F:$F, MATCH($B239, Runs!$A:$A, 0)), US_national_yearly!$D:$AM, MATCH(Keys!$C$7, US_national_yearly!$D$1:$AM$1, 0), FALSE), 0)</f>
        <v>5.7148835886332216E-3</v>
      </c>
      <c r="AC239" s="8">
        <f t="shared" si="13"/>
        <v>0.30347211857721229</v>
      </c>
      <c r="AD239">
        <f>IF($Z239&lt;Keys!$C$3, 1, 0)</f>
        <v>0</v>
      </c>
      <c r="AE239">
        <f>IF($AC239&gt;Keys!$C$4, 1, 0)</f>
        <v>0</v>
      </c>
      <c r="AF239">
        <f>IF($AC239&lt;Keys!$C$5, 1, 0)</f>
        <v>0</v>
      </c>
      <c r="AG239">
        <f t="shared" si="14"/>
        <v>0</v>
      </c>
      <c r="AH239" t="str">
        <f>IFERROR(INDEX(Runs!$E:$E, MATCH($B239, Runs!$A:$A, 0)), $B239)</f>
        <v>Industry NO2</v>
      </c>
      <c r="AI239" t="str">
        <f t="shared" si="15"/>
        <v>transportation NO2</v>
      </c>
      <c r="AJ239" t="str">
        <f>IF($AG239=1, IF($AD239=1, Keys!$C$9, "") &amp; IF($AE239=1, Keys!$C$10, "") &amp; IF($AF239=1, Keys!$C$11, ""), "")</f>
        <v/>
      </c>
      <c r="AK239">
        <f>IF($AG239=1, IFERROR(INDEX($AG$2:$AG$577, MATCH($A239 &amp; Keys!$C$8 &amp; $AH239, $Y$2:$Y$577, 0)), 1), 0)</f>
        <v>0</v>
      </c>
    </row>
    <row r="240" spans="1:37" x14ac:dyDescent="0.25">
      <c r="A240" t="s">
        <v>141</v>
      </c>
      <c r="B240" t="s">
        <v>234</v>
      </c>
      <c r="C240">
        <v>83</v>
      </c>
      <c r="D240">
        <v>101.108946094</v>
      </c>
      <c r="E240">
        <v>0.24906749035999989</v>
      </c>
      <c r="F240">
        <v>221.25598014400001</v>
      </c>
      <c r="G240">
        <v>297.94426836100001</v>
      </c>
      <c r="H240">
        <v>455.24048738499988</v>
      </c>
      <c r="I240">
        <v>6.0986428420000012</v>
      </c>
      <c r="J240">
        <v>37.681574574000003</v>
      </c>
      <c r="K240">
        <v>27678.678785333988</v>
      </c>
      <c r="L240">
        <v>4668.5804637540004</v>
      </c>
      <c r="M240">
        <v>8.7385990829999987</v>
      </c>
      <c r="N240">
        <v>974.44073588999981</v>
      </c>
      <c r="O240">
        <v>20.834044336000002</v>
      </c>
      <c r="P240">
        <v>0.74608151467999995</v>
      </c>
      <c r="Q240">
        <v>1.6277418734</v>
      </c>
      <c r="R240">
        <v>51.852516194000003</v>
      </c>
      <c r="S240">
        <v>659.62939946099982</v>
      </c>
      <c r="T240">
        <v>939.58056063799961</v>
      </c>
      <c r="U240">
        <v>2217.0028465689988</v>
      </c>
      <c r="V240">
        <v>0</v>
      </c>
      <c r="W240">
        <v>0</v>
      </c>
      <c r="Y240" t="str">
        <f>$A240 &amp; Keys!$C$8 &amp; $B240</f>
        <v>Michigan|transportation PM25</v>
      </c>
      <c r="Z240" s="8">
        <f>IFERROR(INDEX($U240:$W240, MATCH(INDEX(Runs!$D:$D, MATCH($B240, Runs!$A:$A, 0)), $U$1:$W$1, 0)), 0)</f>
        <v>2217.0028465689988</v>
      </c>
      <c r="AA240" s="8">
        <f t="shared" si="12"/>
        <v>4.5606141755963336E-2</v>
      </c>
      <c r="AB240" s="8">
        <f>IFERROR(VLOOKUP(INDEX(Runs!$F:$F, MATCH($B240, Runs!$A:$A, 0)), US_national_yearly!$D:$AM, MATCH(Keys!$C$7, US_national_yearly!$D$1:$AM$1, 0), FALSE), 0)</f>
        <v>2.8248683697579859E-2</v>
      </c>
      <c r="AC240" s="8">
        <f t="shared" si="13"/>
        <v>1.6144519243518076</v>
      </c>
      <c r="AD240">
        <f>IF($Z240&lt;Keys!$C$3, 1, 0)</f>
        <v>0</v>
      </c>
      <c r="AE240">
        <f>IF($AC240&gt;Keys!$C$4, 1, 0)</f>
        <v>0</v>
      </c>
      <c r="AF240">
        <f>IF($AC240&lt;Keys!$C$5, 1, 0)</f>
        <v>0</v>
      </c>
      <c r="AG240">
        <f t="shared" si="14"/>
        <v>0</v>
      </c>
      <c r="AH240" t="str">
        <f>IFERROR(INDEX(Runs!$E:$E, MATCH($B240, Runs!$A:$A, 0)), $B240)</f>
        <v>Industry PM25</v>
      </c>
      <c r="AI240" t="str">
        <f t="shared" si="15"/>
        <v>transportation PM25</v>
      </c>
      <c r="AJ240" t="str">
        <f>IF($AG240=1, IF($AD240=1, Keys!$C$9, "") &amp; IF($AE240=1, Keys!$C$10, "") &amp; IF($AF240=1, Keys!$C$11, ""), "")</f>
        <v/>
      </c>
      <c r="AK240">
        <f>IF($AG240=1, IFERROR(INDEX($AG$2:$AG$577, MATCH($A240 &amp; Keys!$C$8 &amp; $AH240, $Y$2:$Y$577, 0)), 1), 0)</f>
        <v>0</v>
      </c>
    </row>
    <row r="241" spans="1:37" x14ac:dyDescent="0.25">
      <c r="A241" t="s">
        <v>141</v>
      </c>
      <c r="B241" t="s">
        <v>243</v>
      </c>
      <c r="C241">
        <v>83</v>
      </c>
      <c r="D241">
        <v>6.4687969550000002</v>
      </c>
      <c r="E241">
        <v>1.7514911097999991E-2</v>
      </c>
      <c r="F241">
        <v>14.354079093999999</v>
      </c>
      <c r="G241">
        <v>19.329814548000002</v>
      </c>
      <c r="H241">
        <v>29.532808357</v>
      </c>
      <c r="I241">
        <v>0.36770454870000008</v>
      </c>
      <c r="J241">
        <v>2.1560090725999999</v>
      </c>
      <c r="K241">
        <v>1748.529642796</v>
      </c>
      <c r="L241">
        <v>294.99917202799998</v>
      </c>
      <c r="M241">
        <v>0.54625973409999995</v>
      </c>
      <c r="N241">
        <v>63.216701999000001</v>
      </c>
      <c r="O241">
        <v>1.3249139104000001</v>
      </c>
      <c r="P241">
        <v>5.8102420613E-2</v>
      </c>
      <c r="Q241">
        <v>0.10126764394</v>
      </c>
      <c r="R241">
        <v>3.3987443592000002</v>
      </c>
      <c r="S241">
        <v>43.228690686999997</v>
      </c>
      <c r="T241">
        <v>61.532077122999993</v>
      </c>
      <c r="U241">
        <v>0</v>
      </c>
      <c r="V241">
        <v>625.11985619799998</v>
      </c>
      <c r="W241">
        <v>0</v>
      </c>
      <c r="Y241" t="str">
        <f>$A241 &amp; Keys!$C$8 &amp; $B241</f>
        <v>Michigan|transportation SO2</v>
      </c>
      <c r="Z241" s="8">
        <f>IFERROR(INDEX($U241:$W241, MATCH(INDEX(Runs!$D:$D, MATCH($B241, Runs!$A:$A, 0)), $U$1:$W$1, 0)), 0)</f>
        <v>625.11985619799998</v>
      </c>
      <c r="AA241" s="8">
        <f t="shared" si="12"/>
        <v>1.0348090675512119E-2</v>
      </c>
      <c r="AB241" s="8">
        <f>IFERROR(VLOOKUP(INDEX(Runs!$F:$F, MATCH($B241, Runs!$A:$A, 0)), US_national_yearly!$D:$AM, MATCH(Keys!$C$7, US_national_yearly!$D$1:$AM$1, 0), FALSE), 0)</f>
        <v>5.1800714166247604E-3</v>
      </c>
      <c r="AC241" s="8">
        <f t="shared" si="13"/>
        <v>1.9976733606994834</v>
      </c>
      <c r="AD241">
        <f>IF($Z241&lt;Keys!$C$3, 1, 0)</f>
        <v>0</v>
      </c>
      <c r="AE241">
        <f>IF($AC241&gt;Keys!$C$4, 1, 0)</f>
        <v>0</v>
      </c>
      <c r="AF241">
        <f>IF($AC241&lt;Keys!$C$5, 1, 0)</f>
        <v>0</v>
      </c>
      <c r="AG241">
        <f t="shared" si="14"/>
        <v>0</v>
      </c>
      <c r="AH241" t="str">
        <f>IFERROR(INDEX(Runs!$E:$E, MATCH($B241, Runs!$A:$A, 0)), $B241)</f>
        <v>Industry SO2</v>
      </c>
      <c r="AI241" t="str">
        <f t="shared" si="15"/>
        <v>transportation SO2</v>
      </c>
      <c r="AJ241" t="str">
        <f>IF($AG241=1, IF($AD241=1, Keys!$C$9, "") &amp; IF($AE241=1, Keys!$C$10, "") &amp; IF($AF241=1, Keys!$C$11, ""), "")</f>
        <v/>
      </c>
      <c r="AK241">
        <f>IF($AG241=1, IFERROR(INDEX($AG$2:$AG$577, MATCH($A241 &amp; Keys!$C$8 &amp; $AH241, $Y$2:$Y$577, 0)), 1), 0)</f>
        <v>0</v>
      </c>
    </row>
    <row r="242" spans="1:37" x14ac:dyDescent="0.25">
      <c r="A242" t="s">
        <v>144</v>
      </c>
      <c r="B242" t="s">
        <v>242</v>
      </c>
      <c r="C242">
        <v>87</v>
      </c>
      <c r="D242">
        <v>11.684157020000001</v>
      </c>
      <c r="E242">
        <v>2.9872244339999989E-2</v>
      </c>
      <c r="F242">
        <v>35.357198991999979</v>
      </c>
      <c r="G242">
        <v>47.613284462999992</v>
      </c>
      <c r="H242">
        <v>72.746150919000016</v>
      </c>
      <c r="I242">
        <v>0.77039973400000028</v>
      </c>
      <c r="J242">
        <v>5.4000362179999994</v>
      </c>
      <c r="K242">
        <v>4329.1638653589998</v>
      </c>
      <c r="L242">
        <v>734.43536235399972</v>
      </c>
      <c r="M242">
        <v>1.0370735129999999</v>
      </c>
      <c r="N242">
        <v>155.71663437399999</v>
      </c>
      <c r="O242">
        <v>1.925409966200001</v>
      </c>
      <c r="P242">
        <v>5.2860017380000013E-2</v>
      </c>
      <c r="Q242">
        <v>0.14565922920999999</v>
      </c>
      <c r="R242">
        <v>8.3666443109999999</v>
      </c>
      <c r="S242">
        <v>106.2935640099999</v>
      </c>
      <c r="T242">
        <v>151.01902016599999</v>
      </c>
      <c r="U242">
        <v>0</v>
      </c>
      <c r="V242">
        <v>0</v>
      </c>
      <c r="W242">
        <v>30252.288640925992</v>
      </c>
      <c r="Y242" t="str">
        <f>$A242 &amp; Keys!$C$8 &amp; $B242</f>
        <v>Minnesota|Industry NO2</v>
      </c>
      <c r="Z242" s="8">
        <f>IFERROR(INDEX($U242:$W242, MATCH(INDEX(Runs!$D:$D, MATCH($B242, Runs!$A:$A, 0)), $U$1:$W$1, 0)), 0)</f>
        <v>30252.288640925992</v>
      </c>
      <c r="AA242" s="8">
        <f t="shared" si="12"/>
        <v>3.8622390387328925E-4</v>
      </c>
      <c r="AB242" s="8">
        <f>IFERROR(VLOOKUP(INDEX(Runs!$F:$F, MATCH($B242, Runs!$A:$A, 0)), US_national_yearly!$D:$AM, MATCH(Keys!$C$7, US_national_yearly!$D$1:$AM$1, 0), FALSE), 0)</f>
        <v>5.8012217057786938E-3</v>
      </c>
      <c r="AC242" s="8">
        <f t="shared" si="13"/>
        <v>6.657630469260728E-2</v>
      </c>
      <c r="AD242">
        <f>IF($Z242&lt;Keys!$C$3, 1, 0)</f>
        <v>0</v>
      </c>
      <c r="AE242">
        <f>IF($AC242&gt;Keys!$C$4, 1, 0)</f>
        <v>0</v>
      </c>
      <c r="AF242">
        <f>IF($AC242&lt;Keys!$C$5, 1, 0)</f>
        <v>0</v>
      </c>
      <c r="AG242">
        <f t="shared" si="14"/>
        <v>0</v>
      </c>
      <c r="AH242" t="str">
        <f>IFERROR(INDEX(Runs!$E:$E, MATCH($B242, Runs!$A:$A, 0)), $B242)</f>
        <v>Industry NO2</v>
      </c>
      <c r="AI242" t="str">
        <f t="shared" si="15"/>
        <v>Industry NO2</v>
      </c>
      <c r="AJ242" t="str">
        <f>IF($AG242=1, IF($AD242=1, Keys!$C$9, "") &amp; IF($AE242=1, Keys!$C$10, "") &amp; IF($AF242=1, Keys!$C$11, ""), "")</f>
        <v/>
      </c>
      <c r="AK242">
        <f>IF($AG242=1, IFERROR(INDEX($AG$2:$AG$577, MATCH($A242 &amp; Keys!$C$8 &amp; $AH242, $Y$2:$Y$577, 0)), 1), 0)</f>
        <v>0</v>
      </c>
    </row>
    <row r="243" spans="1:37" x14ac:dyDescent="0.25">
      <c r="A243" t="s">
        <v>144</v>
      </c>
      <c r="B243" t="s">
        <v>238</v>
      </c>
      <c r="C243">
        <v>87</v>
      </c>
      <c r="D243">
        <v>165.7746925400001</v>
      </c>
      <c r="E243">
        <v>0.44559196181999999</v>
      </c>
      <c r="F243">
        <v>513.31241753500001</v>
      </c>
      <c r="G243">
        <v>691.16622784500021</v>
      </c>
      <c r="H243">
        <v>1056.2819601020001</v>
      </c>
      <c r="I243">
        <v>10.565148882000001</v>
      </c>
      <c r="J243">
        <v>71.033170890000008</v>
      </c>
      <c r="K243">
        <v>63758.861979264009</v>
      </c>
      <c r="L243">
        <v>10859.320916340999</v>
      </c>
      <c r="M243">
        <v>13.90910391299999</v>
      </c>
      <c r="N243">
        <v>2260.7606054819998</v>
      </c>
      <c r="O243">
        <v>25.971316075000001</v>
      </c>
      <c r="P243">
        <v>0.76366724819999998</v>
      </c>
      <c r="Q243">
        <v>2.0515836455000001</v>
      </c>
      <c r="R243">
        <v>121.227665485</v>
      </c>
      <c r="S243">
        <v>1541.9557355259999</v>
      </c>
      <c r="T243">
        <v>2198.6668327809998</v>
      </c>
      <c r="U243">
        <v>8476.4141546369992</v>
      </c>
      <c r="V243">
        <v>0</v>
      </c>
      <c r="W243">
        <v>0</v>
      </c>
      <c r="Y243" t="str">
        <f>$A243 &amp; Keys!$C$8 &amp; $B243</f>
        <v>Minnesota|Industry PM25</v>
      </c>
      <c r="Z243" s="8">
        <f>IFERROR(INDEX($U243:$W243, MATCH(INDEX(Runs!$D:$D, MATCH($B243, Runs!$A:$A, 0)), $U$1:$W$1, 0)), 0)</f>
        <v>8476.4141546369992</v>
      </c>
      <c r="AA243" s="8">
        <f t="shared" si="12"/>
        <v>1.9557172350918403E-2</v>
      </c>
      <c r="AB243" s="8">
        <f>IFERROR(VLOOKUP(INDEX(Runs!$F:$F, MATCH($B243, Runs!$A:$A, 0)), US_national_yearly!$D:$AM, MATCH(Keys!$C$7, US_national_yearly!$D$1:$AM$1, 0), FALSE), 0)</f>
        <v>2.6833191881203179E-2</v>
      </c>
      <c r="AC243" s="8">
        <f t="shared" si="13"/>
        <v>0.72884256325160957</v>
      </c>
      <c r="AD243">
        <f>IF($Z243&lt;Keys!$C$3, 1, 0)</f>
        <v>0</v>
      </c>
      <c r="AE243">
        <f>IF($AC243&gt;Keys!$C$4, 1, 0)</f>
        <v>0</v>
      </c>
      <c r="AF243">
        <f>IF($AC243&lt;Keys!$C$5, 1, 0)</f>
        <v>0</v>
      </c>
      <c r="AG243">
        <f t="shared" si="14"/>
        <v>0</v>
      </c>
      <c r="AH243" t="str">
        <f>IFERROR(INDEX(Runs!$E:$E, MATCH($B243, Runs!$A:$A, 0)), $B243)</f>
        <v>Industry PM25</v>
      </c>
      <c r="AI243" t="str">
        <f t="shared" si="15"/>
        <v>Industry PM25</v>
      </c>
      <c r="AJ243" t="str">
        <f>IF($AG243=1, IF($AD243=1, Keys!$C$9, "") &amp; IF($AE243=1, Keys!$C$10, "") &amp; IF($AF243=1, Keys!$C$11, ""), "")</f>
        <v/>
      </c>
      <c r="AK243">
        <f>IF($AG243=1, IFERROR(INDEX($AG$2:$AG$577, MATCH($A243 &amp; Keys!$C$8 &amp; $AH243, $Y$2:$Y$577, 0)), 1), 0)</f>
        <v>0</v>
      </c>
    </row>
    <row r="244" spans="1:37" x14ac:dyDescent="0.25">
      <c r="A244" t="s">
        <v>144</v>
      </c>
      <c r="B244" t="s">
        <v>246</v>
      </c>
      <c r="C244">
        <v>87</v>
      </c>
      <c r="D244">
        <v>17.30228596500001</v>
      </c>
      <c r="E244">
        <v>4.4555820920000003E-2</v>
      </c>
      <c r="F244">
        <v>51.86939778899999</v>
      </c>
      <c r="G244">
        <v>69.848995472000013</v>
      </c>
      <c r="H244">
        <v>106.71983523999999</v>
      </c>
      <c r="I244">
        <v>1.11654531</v>
      </c>
      <c r="J244">
        <v>7.5540697870000022</v>
      </c>
      <c r="K244">
        <v>6415.9789944239992</v>
      </c>
      <c r="L244">
        <v>1090.248638903</v>
      </c>
      <c r="M244">
        <v>1.460243518</v>
      </c>
      <c r="N244">
        <v>228.438228501</v>
      </c>
      <c r="O244">
        <v>2.6946929389999998</v>
      </c>
      <c r="P244">
        <v>7.7240515730000001E-2</v>
      </c>
      <c r="Q244">
        <v>0.20991088520000009</v>
      </c>
      <c r="R244">
        <v>12.274124959</v>
      </c>
      <c r="S244">
        <v>155.93367773099999</v>
      </c>
      <c r="T244">
        <v>221.55055081399999</v>
      </c>
      <c r="U244">
        <v>0</v>
      </c>
      <c r="V244">
        <v>5448.099051926999</v>
      </c>
      <c r="W244">
        <v>0</v>
      </c>
      <c r="Y244" t="str">
        <f>$A244 &amp; Keys!$C$8 &amp; $B244</f>
        <v>Minnesota|Industry SO2</v>
      </c>
      <c r="Z244" s="8">
        <f>IFERROR(INDEX($U244:$W244, MATCH(INDEX(Runs!$D:$D, MATCH($B244, Runs!$A:$A, 0)), $U$1:$W$1, 0)), 0)</f>
        <v>5448.099051926999</v>
      </c>
      <c r="AA244" s="8">
        <f t="shared" si="12"/>
        <v>3.175839095451132E-3</v>
      </c>
      <c r="AB244" s="8">
        <f>IFERROR(VLOOKUP(INDEX(Runs!$F:$F, MATCH($B244, Runs!$A:$A, 0)), US_national_yearly!$D:$AM, MATCH(Keys!$C$7, US_national_yearly!$D$1:$AM$1, 0), FALSE), 0)</f>
        <v>5.3000351638639942E-3</v>
      </c>
      <c r="AC244" s="8">
        <f t="shared" si="13"/>
        <v>0.59921094809034892</v>
      </c>
      <c r="AD244">
        <f>IF($Z244&lt;Keys!$C$3, 1, 0)</f>
        <v>0</v>
      </c>
      <c r="AE244">
        <f>IF($AC244&gt;Keys!$C$4, 1, 0)</f>
        <v>0</v>
      </c>
      <c r="AF244">
        <f>IF($AC244&lt;Keys!$C$5, 1, 0)</f>
        <v>0</v>
      </c>
      <c r="AG244">
        <f t="shared" si="14"/>
        <v>0</v>
      </c>
      <c r="AH244" t="str">
        <f>IFERROR(INDEX(Runs!$E:$E, MATCH($B244, Runs!$A:$A, 0)), $B244)</f>
        <v>Industry SO2</v>
      </c>
      <c r="AI244" t="str">
        <f t="shared" si="15"/>
        <v>Industry SO2</v>
      </c>
      <c r="AJ244" t="str">
        <f>IF($AG244=1, IF($AD244=1, Keys!$C$9, "") &amp; IF($AE244=1, Keys!$C$10, "") &amp; IF($AF244=1, Keys!$C$11, ""), "")</f>
        <v/>
      </c>
      <c r="AK244">
        <f>IF($AG244=1, IFERROR(INDEX($AG$2:$AG$577, MATCH($A244 &amp; Keys!$C$8 &amp; $AH244, $Y$2:$Y$577, 0)), 1), 0)</f>
        <v>0</v>
      </c>
    </row>
    <row r="245" spans="1:37" x14ac:dyDescent="0.25">
      <c r="A245" t="s">
        <v>144</v>
      </c>
      <c r="B245" t="s">
        <v>253</v>
      </c>
      <c r="C245">
        <v>87</v>
      </c>
      <c r="D245">
        <v>19.948113747000001</v>
      </c>
      <c r="E245">
        <v>5.3992840911999983E-2</v>
      </c>
      <c r="F245">
        <v>62.099202076999987</v>
      </c>
      <c r="G245">
        <v>83.624376143000006</v>
      </c>
      <c r="H245">
        <v>127.76819074700001</v>
      </c>
      <c r="I245">
        <v>1.2413837792</v>
      </c>
      <c r="J245">
        <v>8.6324947940000012</v>
      </c>
      <c r="K245">
        <v>7749.153221120001</v>
      </c>
      <c r="L245">
        <v>1319.929403838001</v>
      </c>
      <c r="M245">
        <v>1.6385277616000009</v>
      </c>
      <c r="N245">
        <v>273.49176896699998</v>
      </c>
      <c r="O245">
        <v>3.1410630770999992</v>
      </c>
      <c r="P245">
        <v>9.2332726609999999E-2</v>
      </c>
      <c r="Q245">
        <v>0.24791759239000011</v>
      </c>
      <c r="R245">
        <v>14.753995300999989</v>
      </c>
      <c r="S245">
        <v>187.42640693600009</v>
      </c>
      <c r="T245">
        <v>266.28439949699998</v>
      </c>
      <c r="U245">
        <v>0</v>
      </c>
      <c r="V245">
        <v>0</v>
      </c>
      <c r="W245">
        <v>14954.03851062701</v>
      </c>
      <c r="Y245" t="str">
        <f>$A245 &amp; Keys!$C$8 &amp; $B245</f>
        <v>Minnesota|buildings NO2</v>
      </c>
      <c r="Z245" s="8">
        <f>IFERROR(INDEX($U245:$W245, MATCH(INDEX(Runs!$D:$D, MATCH($B245, Runs!$A:$A, 0)), $U$1:$W$1, 0)), 0)</f>
        <v>14954.03851062701</v>
      </c>
      <c r="AA245" s="8">
        <f t="shared" si="12"/>
        <v>1.3339616407182567E-3</v>
      </c>
      <c r="AB245" s="8">
        <f>IFERROR(VLOOKUP(INDEX(Runs!$F:$F, MATCH($B245, Runs!$A:$A, 0)), US_national_yearly!$D:$AM, MATCH(Keys!$C$7, US_national_yearly!$D$1:$AM$1, 0), FALSE), 0)</f>
        <v>5.6784740124662739E-3</v>
      </c>
      <c r="AC245" s="8">
        <f t="shared" si="13"/>
        <v>0.23491551388449355</v>
      </c>
      <c r="AD245">
        <f>IF($Z245&lt;Keys!$C$3, 1, 0)</f>
        <v>0</v>
      </c>
      <c r="AE245">
        <f>IF($AC245&gt;Keys!$C$4, 1, 0)</f>
        <v>0</v>
      </c>
      <c r="AF245">
        <f>IF($AC245&lt;Keys!$C$5, 1, 0)</f>
        <v>0</v>
      </c>
      <c r="AG245">
        <f t="shared" si="14"/>
        <v>0</v>
      </c>
      <c r="AH245" t="str">
        <f>IFERROR(INDEX(Runs!$E:$E, MATCH($B245, Runs!$A:$A, 0)), $B245)</f>
        <v>Industry NO2</v>
      </c>
      <c r="AI245" t="str">
        <f t="shared" si="15"/>
        <v>buildings NO2</v>
      </c>
      <c r="AJ245" t="str">
        <f>IF($AG245=1, IF($AD245=1, Keys!$C$9, "") &amp; IF($AE245=1, Keys!$C$10, "") &amp; IF($AF245=1, Keys!$C$11, ""), "")</f>
        <v/>
      </c>
      <c r="AK245">
        <f>IF($AG245=1, IFERROR(INDEX($AG$2:$AG$577, MATCH($A245 &amp; Keys!$C$8 &amp; $AH245, $Y$2:$Y$577, 0)), 1), 0)</f>
        <v>0</v>
      </c>
    </row>
    <row r="246" spans="1:37" x14ac:dyDescent="0.25">
      <c r="A246" t="s">
        <v>144</v>
      </c>
      <c r="B246" t="s">
        <v>251</v>
      </c>
      <c r="C246">
        <v>87</v>
      </c>
      <c r="D246">
        <v>2.0007537926999999</v>
      </c>
      <c r="E246">
        <v>5.4446223829000013E-3</v>
      </c>
      <c r="F246">
        <v>6.2224823429999976</v>
      </c>
      <c r="G246">
        <v>8.3794730269999977</v>
      </c>
      <c r="H246">
        <v>12.802423076</v>
      </c>
      <c r="I246">
        <v>0.12656628473000001</v>
      </c>
      <c r="J246">
        <v>0.87925922989999938</v>
      </c>
      <c r="K246">
        <v>776.09515514399959</v>
      </c>
      <c r="L246">
        <v>132.18628826200001</v>
      </c>
      <c r="M246">
        <v>0.1680773005899999</v>
      </c>
      <c r="N246">
        <v>27.404378445999988</v>
      </c>
      <c r="O246">
        <v>0.31933916907999987</v>
      </c>
      <c r="P246">
        <v>9.2388093390000058E-3</v>
      </c>
      <c r="Q246">
        <v>2.4944483482999991E-2</v>
      </c>
      <c r="R246">
        <v>1.4799138942000001</v>
      </c>
      <c r="S246">
        <v>18.797586548000002</v>
      </c>
      <c r="T246">
        <v>26.695417740000011</v>
      </c>
      <c r="U246">
        <v>77.082744128999991</v>
      </c>
      <c r="V246">
        <v>0</v>
      </c>
      <c r="W246">
        <v>0</v>
      </c>
      <c r="Y246" t="str">
        <f>$A246 &amp; Keys!$C$8 &amp; $B246</f>
        <v>Minnesota|buildings PM25</v>
      </c>
      <c r="Z246" s="8">
        <f>IFERROR(INDEX($U246:$W246, MATCH(INDEX(Runs!$D:$D, MATCH($B246, Runs!$A:$A, 0)), $U$1:$W$1, 0)), 0)</f>
        <v>77.082744128999991</v>
      </c>
      <c r="AA246" s="8">
        <f t="shared" si="12"/>
        <v>2.5955923278388818E-2</v>
      </c>
      <c r="AB246" s="8">
        <f>IFERROR(VLOOKUP(INDEX(Runs!$F:$F, MATCH($B246, Runs!$A:$A, 0)), US_national_yearly!$D:$AM, MATCH(Keys!$C$7, US_national_yearly!$D$1:$AM$1, 0), FALSE), 0)</f>
        <v>2.7627705191843259E-2</v>
      </c>
      <c r="AC246" s="8">
        <f t="shared" si="13"/>
        <v>0.93948893323401994</v>
      </c>
      <c r="AD246">
        <f>IF($Z246&lt;Keys!$C$3, 1, 0)</f>
        <v>0</v>
      </c>
      <c r="AE246">
        <f>IF($AC246&gt;Keys!$C$4, 1, 0)</f>
        <v>0</v>
      </c>
      <c r="AF246">
        <f>IF($AC246&lt;Keys!$C$5, 1, 0)</f>
        <v>0</v>
      </c>
      <c r="AG246">
        <f t="shared" si="14"/>
        <v>0</v>
      </c>
      <c r="AH246" t="str">
        <f>IFERROR(INDEX(Runs!$E:$E, MATCH($B246, Runs!$A:$A, 0)), $B246)</f>
        <v>Industry PM25</v>
      </c>
      <c r="AI246" t="str">
        <f t="shared" si="15"/>
        <v>buildings PM25</v>
      </c>
      <c r="AJ246" t="str">
        <f>IF($AG246=1, IF($AD246=1, Keys!$C$9, "") &amp; IF($AE246=1, Keys!$C$10, "") &amp; IF($AF246=1, Keys!$C$11, ""), "")</f>
        <v/>
      </c>
      <c r="AK246">
        <f>IF($AG246=1, IFERROR(INDEX($AG$2:$AG$577, MATCH($A246 &amp; Keys!$C$8 &amp; $AH246, $Y$2:$Y$577, 0)), 1), 0)</f>
        <v>0</v>
      </c>
    </row>
    <row r="247" spans="1:37" x14ac:dyDescent="0.25">
      <c r="A247" t="s">
        <v>144</v>
      </c>
      <c r="B247" t="s">
        <v>254</v>
      </c>
      <c r="C247">
        <v>87</v>
      </c>
      <c r="D247">
        <v>1.151465186</v>
      </c>
      <c r="E247">
        <v>2.892025772999999E-3</v>
      </c>
      <c r="F247">
        <v>3.4094603319999992</v>
      </c>
      <c r="G247">
        <v>4.5913360679999986</v>
      </c>
      <c r="H247">
        <v>7.0147726939999986</v>
      </c>
      <c r="I247">
        <v>7.3287682399999998E-2</v>
      </c>
      <c r="J247">
        <v>0.48546686330000011</v>
      </c>
      <c r="K247">
        <v>419.98675613899968</v>
      </c>
      <c r="L247">
        <v>71.336362117999997</v>
      </c>
      <c r="M247">
        <v>9.4596181499999987E-2</v>
      </c>
      <c r="N247">
        <v>15.015569094</v>
      </c>
      <c r="O247">
        <v>0.172321945</v>
      </c>
      <c r="P247">
        <v>5.0669881790000003E-3</v>
      </c>
      <c r="Q247">
        <v>1.360967597E-2</v>
      </c>
      <c r="R247">
        <v>0.80572228839999982</v>
      </c>
      <c r="S247">
        <v>10.23487927</v>
      </c>
      <c r="T247">
        <v>14.536666200000001</v>
      </c>
      <c r="U247">
        <v>0</v>
      </c>
      <c r="V247">
        <v>488.67950538100001</v>
      </c>
      <c r="W247">
        <v>0</v>
      </c>
      <c r="Y247" t="str">
        <f>$A247 &amp; Keys!$C$8 &amp; $B247</f>
        <v>Minnesota|buildings SO2</v>
      </c>
      <c r="Z247" s="8">
        <f>IFERROR(INDEX($U247:$W247, MATCH(INDEX(Runs!$D:$D, MATCH($B247, Runs!$A:$A, 0)), $U$1:$W$1, 0)), 0)</f>
        <v>488.67950538100001</v>
      </c>
      <c r="AA247" s="8">
        <f t="shared" si="12"/>
        <v>2.3562788562255291E-3</v>
      </c>
      <c r="AB247" s="8">
        <f>IFERROR(VLOOKUP(INDEX(Runs!$F:$F, MATCH($B247, Runs!$A:$A, 0)), US_national_yearly!$D:$AM, MATCH(Keys!$C$7, US_national_yearly!$D$1:$AM$1, 0), FALSE), 0)</f>
        <v>5.1581943281164694E-3</v>
      </c>
      <c r="AC247" s="8">
        <f t="shared" si="13"/>
        <v>0.45680304120801352</v>
      </c>
      <c r="AD247">
        <f>IF($Z247&lt;Keys!$C$3, 1, 0)</f>
        <v>0</v>
      </c>
      <c r="AE247">
        <f>IF($AC247&gt;Keys!$C$4, 1, 0)</f>
        <v>0</v>
      </c>
      <c r="AF247">
        <f>IF($AC247&lt;Keys!$C$5, 1, 0)</f>
        <v>0</v>
      </c>
      <c r="AG247">
        <f t="shared" si="14"/>
        <v>0</v>
      </c>
      <c r="AH247" t="str">
        <f>IFERROR(INDEX(Runs!$E:$E, MATCH($B247, Runs!$A:$A, 0)), $B247)</f>
        <v>Industry SO2</v>
      </c>
      <c r="AI247" t="str">
        <f t="shared" si="15"/>
        <v>buildings SO2</v>
      </c>
      <c r="AJ247" t="str">
        <f>IF($AG247=1, IF($AD247=1, Keys!$C$9, "") &amp; IF($AE247=1, Keys!$C$10, "") &amp; IF($AF247=1, Keys!$C$11, ""), "")</f>
        <v/>
      </c>
      <c r="AK247">
        <f>IF($AG247=1, IFERROR(INDEX($AG$2:$AG$577, MATCH($A247 &amp; Keys!$C$8 &amp; $AH247, $Y$2:$Y$577, 0)), 1), 0)</f>
        <v>0</v>
      </c>
    </row>
    <row r="248" spans="1:37" x14ac:dyDescent="0.25">
      <c r="A248" t="s">
        <v>144</v>
      </c>
      <c r="B248" t="s">
        <v>249</v>
      </c>
      <c r="C248">
        <v>87</v>
      </c>
      <c r="D248">
        <v>12.113504859000001</v>
      </c>
      <c r="E248">
        <v>3.1291975280000002E-2</v>
      </c>
      <c r="F248">
        <v>37.024576822000022</v>
      </c>
      <c r="G248">
        <v>49.858402428000012</v>
      </c>
      <c r="H248">
        <v>76.177195645999987</v>
      </c>
      <c r="I248">
        <v>0.80369574519999998</v>
      </c>
      <c r="J248">
        <v>5.061210051999999</v>
      </c>
      <c r="K248">
        <v>4552.9774975939999</v>
      </c>
      <c r="L248">
        <v>771.84854613300013</v>
      </c>
      <c r="M248">
        <v>1.0888059342</v>
      </c>
      <c r="N248">
        <v>163.06017489600001</v>
      </c>
      <c r="O248">
        <v>1.8495747217</v>
      </c>
      <c r="P248">
        <v>5.7236572540000023E-2</v>
      </c>
      <c r="Q248">
        <v>0.14862942697000001</v>
      </c>
      <c r="R248">
        <v>8.7556025209999984</v>
      </c>
      <c r="S248">
        <v>111.2504088</v>
      </c>
      <c r="T248">
        <v>158.10847300000009</v>
      </c>
      <c r="U248">
        <v>0</v>
      </c>
      <c r="V248">
        <v>0</v>
      </c>
      <c r="W248">
        <v>15604.299569114</v>
      </c>
      <c r="Y248" t="str">
        <f>$A248 &amp; Keys!$C$8 &amp; $B248</f>
        <v>Minnesota|electricity NO2</v>
      </c>
      <c r="Z248" s="8">
        <f>IFERROR(INDEX($U248:$W248, MATCH(INDEX(Runs!$D:$D, MATCH($B248, Runs!$A:$A, 0)), $U$1:$W$1, 0)), 0)</f>
        <v>15604.299569114</v>
      </c>
      <c r="AA248" s="8">
        <f t="shared" si="12"/>
        <v>7.7629276503871916E-4</v>
      </c>
      <c r="AB248" s="8">
        <f>IFERROR(VLOOKUP(INDEX(Runs!$F:$F, MATCH($B248, Runs!$A:$A, 0)), US_national_yearly!$D:$AM, MATCH(Keys!$C$7, US_national_yearly!$D$1:$AM$1, 0), FALSE), 0)</f>
        <v>6.1439221592658041E-3</v>
      </c>
      <c r="AC248" s="8">
        <f t="shared" si="13"/>
        <v>0.12635133468739873</v>
      </c>
      <c r="AD248">
        <f>IF($Z248&lt;Keys!$C$3, 1, 0)</f>
        <v>0</v>
      </c>
      <c r="AE248">
        <f>IF($AC248&gt;Keys!$C$4, 1, 0)</f>
        <v>0</v>
      </c>
      <c r="AF248">
        <f>IF($AC248&lt;Keys!$C$5, 1, 0)</f>
        <v>0</v>
      </c>
      <c r="AG248">
        <f t="shared" si="14"/>
        <v>0</v>
      </c>
      <c r="AH248" t="str">
        <f>IFERROR(INDEX(Runs!$E:$E, MATCH($B248, Runs!$A:$A, 0)), $B248)</f>
        <v>Industry NO2</v>
      </c>
      <c r="AI248" t="str">
        <f t="shared" si="15"/>
        <v>electricity NO2</v>
      </c>
      <c r="AJ248" t="str">
        <f>IF($AG248=1, IF($AD248=1, Keys!$C$9, "") &amp; IF($AE248=1, Keys!$C$10, "") &amp; IF($AF248=1, Keys!$C$11, ""), "")</f>
        <v/>
      </c>
      <c r="AK248">
        <f>IF($AG248=1, IFERROR(INDEX($AG$2:$AG$577, MATCH($A248 &amp; Keys!$C$8 &amp; $AH248, $Y$2:$Y$577, 0)), 1), 0)</f>
        <v>0</v>
      </c>
    </row>
    <row r="249" spans="1:37" x14ac:dyDescent="0.25">
      <c r="A249" t="s">
        <v>144</v>
      </c>
      <c r="B249" t="s">
        <v>247</v>
      </c>
      <c r="C249">
        <v>87</v>
      </c>
      <c r="D249">
        <v>7.701486910999999</v>
      </c>
      <c r="E249">
        <v>1.9425482167000001E-2</v>
      </c>
      <c r="F249">
        <v>22.748962919</v>
      </c>
      <c r="G249">
        <v>30.63461718300001</v>
      </c>
      <c r="H249">
        <v>46.805082302000002</v>
      </c>
      <c r="I249">
        <v>0.5282675658999999</v>
      </c>
      <c r="J249">
        <v>3.2452248606000009</v>
      </c>
      <c r="K249">
        <v>2782.8145965350009</v>
      </c>
      <c r="L249">
        <v>471.59687098699999</v>
      </c>
      <c r="M249">
        <v>0.71888944570000013</v>
      </c>
      <c r="N249">
        <v>100.188662404</v>
      </c>
      <c r="O249">
        <v>1.1496254231</v>
      </c>
      <c r="P249">
        <v>3.4518392404999987E-2</v>
      </c>
      <c r="Q249">
        <v>9.1378897990000013E-2</v>
      </c>
      <c r="R249">
        <v>5.3770426510000009</v>
      </c>
      <c r="S249">
        <v>68.332532275000005</v>
      </c>
      <c r="T249">
        <v>97.131316938000012</v>
      </c>
      <c r="U249">
        <v>805.37498498578475</v>
      </c>
      <c r="V249">
        <v>0</v>
      </c>
      <c r="W249">
        <v>0</v>
      </c>
      <c r="Y249" t="str">
        <f>$A249 &amp; Keys!$C$8 &amp; $B249</f>
        <v>Minnesota|electricity PM25</v>
      </c>
      <c r="Z249" s="8">
        <f>IFERROR(INDEX($U249:$W249, MATCH(INDEX(Runs!$D:$D, MATCH($B249, Runs!$A:$A, 0)), $U$1:$W$1, 0)), 0)</f>
        <v>805.37498498578475</v>
      </c>
      <c r="AA249" s="8">
        <f t="shared" si="12"/>
        <v>9.5626100320659133E-3</v>
      </c>
      <c r="AB249" s="8">
        <f>IFERROR(VLOOKUP(INDEX(Runs!$F:$F, MATCH($B249, Runs!$A:$A, 0)), US_national_yearly!$D:$AM, MATCH(Keys!$C$7, US_national_yearly!$D$1:$AM$1, 0), FALSE), 0)</f>
        <v>2.4252978284752182E-2</v>
      </c>
      <c r="AC249" s="8">
        <f t="shared" si="13"/>
        <v>0.39428600973423189</v>
      </c>
      <c r="AD249">
        <f>IF($Z249&lt;Keys!$C$3, 1, 0)</f>
        <v>0</v>
      </c>
      <c r="AE249">
        <f>IF($AC249&gt;Keys!$C$4, 1, 0)</f>
        <v>0</v>
      </c>
      <c r="AF249">
        <f>IF($AC249&lt;Keys!$C$5, 1, 0)</f>
        <v>0</v>
      </c>
      <c r="AG249">
        <f t="shared" si="14"/>
        <v>0</v>
      </c>
      <c r="AH249" t="str">
        <f>IFERROR(INDEX(Runs!$E:$E, MATCH($B249, Runs!$A:$A, 0)), $B249)</f>
        <v>Industry PM25</v>
      </c>
      <c r="AI249" t="str">
        <f t="shared" si="15"/>
        <v>electricity PM25</v>
      </c>
      <c r="AJ249" t="str">
        <f>IF($AG249=1, IF($AD249=1, Keys!$C$9, "") &amp; IF($AE249=1, Keys!$C$10, "") &amp; IF($AF249=1, Keys!$C$11, ""), "")</f>
        <v/>
      </c>
      <c r="AK249">
        <f>IF($AG249=1, IFERROR(INDEX($AG$2:$AG$577, MATCH($A249 &amp; Keys!$C$8 &amp; $AH249, $Y$2:$Y$577, 0)), 1), 0)</f>
        <v>0</v>
      </c>
    </row>
    <row r="250" spans="1:37" x14ac:dyDescent="0.25">
      <c r="A250" t="s">
        <v>144</v>
      </c>
      <c r="B250" t="s">
        <v>250</v>
      </c>
      <c r="C250">
        <v>87</v>
      </c>
      <c r="D250">
        <v>8.7181360980000004</v>
      </c>
      <c r="E250">
        <v>2.2528824759000001E-2</v>
      </c>
      <c r="F250">
        <v>26.558996179000001</v>
      </c>
      <c r="G250">
        <v>35.765324913999997</v>
      </c>
      <c r="H250">
        <v>54.644130018999988</v>
      </c>
      <c r="I250">
        <v>0.57182827860000007</v>
      </c>
      <c r="J250">
        <v>3.7144650989999999</v>
      </c>
      <c r="K250">
        <v>3272.6517050000002</v>
      </c>
      <c r="L250">
        <v>555.12625635400036</v>
      </c>
      <c r="M250">
        <v>0.77703967619999936</v>
      </c>
      <c r="N250">
        <v>116.968451112</v>
      </c>
      <c r="O250">
        <v>1.3436502981</v>
      </c>
      <c r="P250">
        <v>4.0675566339999997E-2</v>
      </c>
      <c r="Q250">
        <v>0.10699948577</v>
      </c>
      <c r="R250">
        <v>6.286014561</v>
      </c>
      <c r="S250">
        <v>79.865063780000028</v>
      </c>
      <c r="T250">
        <v>113.480515802</v>
      </c>
      <c r="U250">
        <v>0</v>
      </c>
      <c r="V250">
        <v>6201.5600662143497</v>
      </c>
      <c r="W250">
        <v>0</v>
      </c>
      <c r="Y250" t="str">
        <f>$A250 &amp; Keys!$C$8 &amp; $B250</f>
        <v>Minnesota|electricity SO2</v>
      </c>
      <c r="Z250" s="8">
        <f>IFERROR(INDEX($U250:$W250, MATCH(INDEX(Runs!$D:$D, MATCH($B250, Runs!$A:$A, 0)), $U$1:$W$1, 0)), 0)</f>
        <v>6201.5600662143497</v>
      </c>
      <c r="AA250" s="8">
        <f t="shared" si="12"/>
        <v>1.4057972518069727E-3</v>
      </c>
      <c r="AB250" s="8">
        <f>IFERROR(VLOOKUP(INDEX(Runs!$F:$F, MATCH($B250, Runs!$A:$A, 0)), US_national_yearly!$D:$AM, MATCH(Keys!$C$7, US_national_yearly!$D$1:$AM$1, 0), FALSE), 0)</f>
        <v>5.7032329662362116E-3</v>
      </c>
      <c r="AC250" s="8">
        <f t="shared" si="13"/>
        <v>0.24649129013832197</v>
      </c>
      <c r="AD250">
        <f>IF($Z250&lt;Keys!$C$3, 1, 0)</f>
        <v>0</v>
      </c>
      <c r="AE250">
        <f>IF($AC250&gt;Keys!$C$4, 1, 0)</f>
        <v>0</v>
      </c>
      <c r="AF250">
        <f>IF($AC250&lt;Keys!$C$5, 1, 0)</f>
        <v>0</v>
      </c>
      <c r="AG250">
        <f t="shared" si="14"/>
        <v>0</v>
      </c>
      <c r="AH250" t="str">
        <f>IFERROR(INDEX(Runs!$E:$E, MATCH($B250, Runs!$A:$A, 0)), $B250)</f>
        <v>Industry SO2</v>
      </c>
      <c r="AI250" t="str">
        <f t="shared" si="15"/>
        <v>electricity SO2</v>
      </c>
      <c r="AJ250" t="str">
        <f>IF($AG250=1, IF($AD250=1, Keys!$C$9, "") &amp; IF($AE250=1, Keys!$C$10, "") &amp; IF($AF250=1, Keys!$C$11, ""), "")</f>
        <v/>
      </c>
      <c r="AK250">
        <f>IF($AG250=1, IFERROR(INDEX($AG$2:$AG$577, MATCH($A250 &amp; Keys!$C$8 &amp; $AH250, $Y$2:$Y$577, 0)), 1), 0)</f>
        <v>0</v>
      </c>
    </row>
    <row r="251" spans="1:37" x14ac:dyDescent="0.25">
      <c r="A251" t="s">
        <v>144</v>
      </c>
      <c r="B251" t="s">
        <v>239</v>
      </c>
      <c r="C251">
        <v>87</v>
      </c>
      <c r="D251">
        <v>67.462657247999985</v>
      </c>
      <c r="E251">
        <v>0.17563946999999999</v>
      </c>
      <c r="F251">
        <v>205.73635280700009</v>
      </c>
      <c r="G251">
        <v>277.04152242499993</v>
      </c>
      <c r="H251">
        <v>423.31644768100023</v>
      </c>
      <c r="I251">
        <v>4.2085049889999997</v>
      </c>
      <c r="J251">
        <v>28.879866349</v>
      </c>
      <c r="K251">
        <v>25490.306184891011</v>
      </c>
      <c r="L251">
        <v>4336.0318479810003</v>
      </c>
      <c r="M251">
        <v>5.5387681530000021</v>
      </c>
      <c r="N251">
        <v>906.09432291300016</v>
      </c>
      <c r="O251">
        <v>10.402275225</v>
      </c>
      <c r="P251">
        <v>0.30658977420000011</v>
      </c>
      <c r="Q251">
        <v>0.82210174020000026</v>
      </c>
      <c r="R251">
        <v>48.683103083000013</v>
      </c>
      <c r="S251">
        <v>618.68046379000009</v>
      </c>
      <c r="T251">
        <v>879.92613700400034</v>
      </c>
      <c r="U251">
        <v>0</v>
      </c>
      <c r="V251">
        <v>0</v>
      </c>
      <c r="W251">
        <v>78720.019349599999</v>
      </c>
      <c r="Y251" t="str">
        <f>$A251 &amp; Keys!$C$8 &amp; $B251</f>
        <v>Minnesota|transportation NO2</v>
      </c>
      <c r="Z251" s="8">
        <f>IFERROR(INDEX($U251:$W251, MATCH(INDEX(Runs!$D:$D, MATCH($B251, Runs!$A:$A, 0)), $U$1:$W$1, 0)), 0)</f>
        <v>78720.019349599999</v>
      </c>
      <c r="AA251" s="8">
        <f t="shared" si="12"/>
        <v>8.5699492715308621E-4</v>
      </c>
      <c r="AB251" s="8">
        <f>IFERROR(VLOOKUP(INDEX(Runs!$F:$F, MATCH($B251, Runs!$A:$A, 0)), US_national_yearly!$D:$AM, MATCH(Keys!$C$7, US_national_yearly!$D$1:$AM$1, 0), FALSE), 0)</f>
        <v>5.7148835886332216E-3</v>
      </c>
      <c r="AC251" s="8">
        <f t="shared" si="13"/>
        <v>0.14995842240034957</v>
      </c>
      <c r="AD251">
        <f>IF($Z251&lt;Keys!$C$3, 1, 0)</f>
        <v>0</v>
      </c>
      <c r="AE251">
        <f>IF($AC251&gt;Keys!$C$4, 1, 0)</f>
        <v>0</v>
      </c>
      <c r="AF251">
        <f>IF($AC251&lt;Keys!$C$5, 1, 0)</f>
        <v>0</v>
      </c>
      <c r="AG251">
        <f t="shared" si="14"/>
        <v>0</v>
      </c>
      <c r="AH251" t="str">
        <f>IFERROR(INDEX(Runs!$E:$E, MATCH($B251, Runs!$A:$A, 0)), $B251)</f>
        <v>Industry NO2</v>
      </c>
      <c r="AI251" t="str">
        <f t="shared" si="15"/>
        <v>transportation NO2</v>
      </c>
      <c r="AJ251" t="str">
        <f>IF($AG251=1, IF($AD251=1, Keys!$C$9, "") &amp; IF($AE251=1, Keys!$C$10, "") &amp; IF($AF251=1, Keys!$C$11, ""), "")</f>
        <v/>
      </c>
      <c r="AK251">
        <f>IF($AG251=1, IFERROR(INDEX($AG$2:$AG$577, MATCH($A251 &amp; Keys!$C$8 &amp; $AH251, $Y$2:$Y$577, 0)), 1), 0)</f>
        <v>0</v>
      </c>
    </row>
    <row r="252" spans="1:37" x14ac:dyDescent="0.25">
      <c r="A252" t="s">
        <v>144</v>
      </c>
      <c r="B252" t="s">
        <v>234</v>
      </c>
      <c r="C252">
        <v>87</v>
      </c>
      <c r="D252">
        <v>47.013311050000013</v>
      </c>
      <c r="E252">
        <v>0.12506219312</v>
      </c>
      <c r="F252">
        <v>144.48473281799991</v>
      </c>
      <c r="G252">
        <v>194.56351345200011</v>
      </c>
      <c r="H252">
        <v>297.28198333599988</v>
      </c>
      <c r="I252">
        <v>2.9981547919999998</v>
      </c>
      <c r="J252">
        <v>20.069721105999999</v>
      </c>
      <c r="K252">
        <v>17895.483033858</v>
      </c>
      <c r="L252">
        <v>3045.6382433220001</v>
      </c>
      <c r="M252">
        <v>3.950842336</v>
      </c>
      <c r="N252">
        <v>636.33022960599988</v>
      </c>
      <c r="O252">
        <v>7.278412003999998</v>
      </c>
      <c r="P252">
        <v>0.21509076990000009</v>
      </c>
      <c r="Q252">
        <v>0.5750666541999998</v>
      </c>
      <c r="R252">
        <v>34.236929091</v>
      </c>
      <c r="S252">
        <v>435.05148117199968</v>
      </c>
      <c r="T252">
        <v>618.54315102700014</v>
      </c>
      <c r="U252">
        <v>2305.7530657100001</v>
      </c>
      <c r="V252">
        <v>0</v>
      </c>
      <c r="W252">
        <v>0</v>
      </c>
      <c r="Y252" t="str">
        <f>$A252 &amp; Keys!$C$8 &amp; $B252</f>
        <v>Minnesota|transportation PM25</v>
      </c>
      <c r="Z252" s="8">
        <f>IFERROR(INDEX($U252:$W252, MATCH(INDEX(Runs!$D:$D, MATCH($B252, Runs!$A:$A, 0)), $U$1:$W$1, 0)), 0)</f>
        <v>2305.7530657100001</v>
      </c>
      <c r="AA252" s="8">
        <f t="shared" si="12"/>
        <v>2.0389568921823559E-2</v>
      </c>
      <c r="AB252" s="8">
        <f>IFERROR(VLOOKUP(INDEX(Runs!$F:$F, MATCH($B252, Runs!$A:$A, 0)), US_national_yearly!$D:$AM, MATCH(Keys!$C$7, US_national_yearly!$D$1:$AM$1, 0), FALSE), 0)</f>
        <v>2.8248683697579859E-2</v>
      </c>
      <c r="AC252" s="8">
        <f t="shared" si="13"/>
        <v>0.72178828366329817</v>
      </c>
      <c r="AD252">
        <f>IF($Z252&lt;Keys!$C$3, 1, 0)</f>
        <v>0</v>
      </c>
      <c r="AE252">
        <f>IF($AC252&gt;Keys!$C$4, 1, 0)</f>
        <v>0</v>
      </c>
      <c r="AF252">
        <f>IF($AC252&lt;Keys!$C$5, 1, 0)</f>
        <v>0</v>
      </c>
      <c r="AG252">
        <f t="shared" si="14"/>
        <v>0</v>
      </c>
      <c r="AH252" t="str">
        <f>IFERROR(INDEX(Runs!$E:$E, MATCH($B252, Runs!$A:$A, 0)), $B252)</f>
        <v>Industry PM25</v>
      </c>
      <c r="AI252" t="str">
        <f t="shared" si="15"/>
        <v>transportation PM25</v>
      </c>
      <c r="AJ252" t="str">
        <f>IF($AG252=1, IF($AD252=1, Keys!$C$9, "") &amp; IF($AE252=1, Keys!$C$10, "") &amp; IF($AF252=1, Keys!$C$11, ""), "")</f>
        <v/>
      </c>
      <c r="AK252">
        <f>IF($AG252=1, IFERROR(INDEX($AG$2:$AG$577, MATCH($A252 &amp; Keys!$C$8 &amp; $AH252, $Y$2:$Y$577, 0)), 1), 0)</f>
        <v>0</v>
      </c>
    </row>
    <row r="253" spans="1:37" x14ac:dyDescent="0.25">
      <c r="A253" t="s">
        <v>144</v>
      </c>
      <c r="B253" t="s">
        <v>243</v>
      </c>
      <c r="C253">
        <v>87</v>
      </c>
      <c r="D253">
        <v>2.8835358311999979</v>
      </c>
      <c r="E253">
        <v>7.8468092360000023E-3</v>
      </c>
      <c r="F253">
        <v>9.0422218770000029</v>
      </c>
      <c r="G253">
        <v>12.176639959999999</v>
      </c>
      <c r="H253">
        <v>18.603927329000001</v>
      </c>
      <c r="I253">
        <v>0.15998834376000001</v>
      </c>
      <c r="J253">
        <v>1.2255280717999999</v>
      </c>
      <c r="K253">
        <v>1149.2587454039999</v>
      </c>
      <c r="L253">
        <v>196.120374392</v>
      </c>
      <c r="M253">
        <v>0.20810712357</v>
      </c>
      <c r="N253">
        <v>39.822789165999993</v>
      </c>
      <c r="O253">
        <v>0.44630831233000001</v>
      </c>
      <c r="P253">
        <v>1.3483088987E-2</v>
      </c>
      <c r="Q253">
        <v>3.6022163288999973E-2</v>
      </c>
      <c r="R253">
        <v>2.1556648407000001</v>
      </c>
      <c r="S253">
        <v>27.373073475000009</v>
      </c>
      <c r="T253">
        <v>38.856297672000032</v>
      </c>
      <c r="U253">
        <v>0</v>
      </c>
      <c r="V253">
        <v>420.83018690199998</v>
      </c>
      <c r="W253">
        <v>0</v>
      </c>
      <c r="Y253" t="str">
        <f>$A253 &amp; Keys!$C$8 &amp; $B253</f>
        <v>Minnesota|transportation SO2</v>
      </c>
      <c r="Z253" s="8">
        <f>IFERROR(INDEX($U253:$W253, MATCH(INDEX(Runs!$D:$D, MATCH($B253, Runs!$A:$A, 0)), $U$1:$W$1, 0)), 0)</f>
        <v>420.83018690199998</v>
      </c>
      <c r="AA253" s="8">
        <f t="shared" si="12"/>
        <v>6.8520175618283193E-3</v>
      </c>
      <c r="AB253" s="8">
        <f>IFERROR(VLOOKUP(INDEX(Runs!$F:$F, MATCH($B253, Runs!$A:$A, 0)), US_national_yearly!$D:$AM, MATCH(Keys!$C$7, US_national_yearly!$D$1:$AM$1, 0), FALSE), 0)</f>
        <v>5.1800714166247604E-3</v>
      </c>
      <c r="AC253" s="8">
        <f t="shared" si="13"/>
        <v>1.3227650761411642</v>
      </c>
      <c r="AD253">
        <f>IF($Z253&lt;Keys!$C$3, 1, 0)</f>
        <v>0</v>
      </c>
      <c r="AE253">
        <f>IF($AC253&gt;Keys!$C$4, 1, 0)</f>
        <v>0</v>
      </c>
      <c r="AF253">
        <f>IF($AC253&lt;Keys!$C$5, 1, 0)</f>
        <v>0</v>
      </c>
      <c r="AG253">
        <f t="shared" si="14"/>
        <v>0</v>
      </c>
      <c r="AH253" t="str">
        <f>IFERROR(INDEX(Runs!$E:$E, MATCH($B253, Runs!$A:$A, 0)), $B253)</f>
        <v>Industry SO2</v>
      </c>
      <c r="AI253" t="str">
        <f t="shared" si="15"/>
        <v>transportation SO2</v>
      </c>
      <c r="AJ253" t="str">
        <f>IF($AG253=1, IF($AD253=1, Keys!$C$9, "") &amp; IF($AE253=1, Keys!$C$10, "") &amp; IF($AF253=1, Keys!$C$11, ""), "")</f>
        <v/>
      </c>
      <c r="AK253">
        <f>IF($AG253=1, IFERROR(INDEX($AG$2:$AG$577, MATCH($A253 &amp; Keys!$C$8 &amp; $AH253, $Y$2:$Y$577, 0)), 1), 0)</f>
        <v>0</v>
      </c>
    </row>
    <row r="254" spans="1:37" x14ac:dyDescent="0.25">
      <c r="A254" t="s">
        <v>147</v>
      </c>
      <c r="B254" t="s">
        <v>242</v>
      </c>
      <c r="C254">
        <v>82</v>
      </c>
      <c r="D254">
        <v>7.975750302999999</v>
      </c>
      <c r="E254">
        <v>2.555121183000001E-2</v>
      </c>
      <c r="F254">
        <v>19.791745542000001</v>
      </c>
      <c r="G254">
        <v>26.652072538999999</v>
      </c>
      <c r="H254">
        <v>40.721221774999997</v>
      </c>
      <c r="I254">
        <v>0.63015699299999994</v>
      </c>
      <c r="J254">
        <v>3.6306960230000009</v>
      </c>
      <c r="K254">
        <v>2266.8261856770009</v>
      </c>
      <c r="L254">
        <v>383.31129129200002</v>
      </c>
      <c r="M254">
        <v>1.04526535</v>
      </c>
      <c r="N254">
        <v>87.165039855999993</v>
      </c>
      <c r="O254">
        <v>1.8275176360000009</v>
      </c>
      <c r="P254">
        <v>9.2464236799999988E-2</v>
      </c>
      <c r="Q254">
        <v>0.23677836399999999</v>
      </c>
      <c r="R254">
        <v>4.5964348260000012</v>
      </c>
      <c r="S254">
        <v>58.431388516999988</v>
      </c>
      <c r="T254">
        <v>83.113355925999997</v>
      </c>
      <c r="U254">
        <v>0</v>
      </c>
      <c r="V254">
        <v>0</v>
      </c>
      <c r="W254">
        <v>27016.536236714001</v>
      </c>
      <c r="Y254" t="str">
        <f>$A254 &amp; Keys!$C$8 &amp; $B254</f>
        <v>Mississippi|Industry NO2</v>
      </c>
      <c r="Z254" s="8">
        <f>IFERROR(INDEX($U254:$W254, MATCH(INDEX(Runs!$D:$D, MATCH($B254, Runs!$A:$A, 0)), $U$1:$W$1, 0)), 0)</f>
        <v>27016.536236714001</v>
      </c>
      <c r="AA254" s="8">
        <f t="shared" si="12"/>
        <v>2.9521735255466945E-4</v>
      </c>
      <c r="AB254" s="8">
        <f>IFERROR(VLOOKUP(INDEX(Runs!$F:$F, MATCH($B254, Runs!$A:$A, 0)), US_national_yearly!$D:$AM, MATCH(Keys!$C$7, US_national_yearly!$D$1:$AM$1, 0), FALSE), 0)</f>
        <v>5.8012217057786938E-3</v>
      </c>
      <c r="AC254" s="8">
        <f t="shared" si="13"/>
        <v>5.0888824376527191E-2</v>
      </c>
      <c r="AD254">
        <f>IF($Z254&lt;Keys!$C$3, 1, 0)</f>
        <v>0</v>
      </c>
      <c r="AE254">
        <f>IF($AC254&gt;Keys!$C$4, 1, 0)</f>
        <v>0</v>
      </c>
      <c r="AF254">
        <f>IF($AC254&lt;Keys!$C$5, 1, 0)</f>
        <v>0</v>
      </c>
      <c r="AG254">
        <f t="shared" si="14"/>
        <v>0</v>
      </c>
      <c r="AH254" t="str">
        <f>IFERROR(INDEX(Runs!$E:$E, MATCH($B254, Runs!$A:$A, 0)), $B254)</f>
        <v>Industry NO2</v>
      </c>
      <c r="AI254" t="str">
        <f t="shared" si="15"/>
        <v>Industry NO2</v>
      </c>
      <c r="AJ254" t="str">
        <f>IF($AG254=1, IF($AD254=1, Keys!$C$9, "") &amp; IF($AE254=1, Keys!$C$10, "") &amp; IF($AF254=1, Keys!$C$11, ""), "")</f>
        <v/>
      </c>
      <c r="AK254">
        <f>IF($AG254=1, IFERROR(INDEX($AG$2:$AG$577, MATCH($A254 &amp; Keys!$C$8 &amp; $AH254, $Y$2:$Y$577, 0)), 1), 0)</f>
        <v>0</v>
      </c>
    </row>
    <row r="255" spans="1:37" x14ac:dyDescent="0.25">
      <c r="A255" t="s">
        <v>147</v>
      </c>
      <c r="B255" t="s">
        <v>238</v>
      </c>
      <c r="C255">
        <v>82</v>
      </c>
      <c r="D255">
        <v>40.876836934000004</v>
      </c>
      <c r="E255">
        <v>0.12909397170000009</v>
      </c>
      <c r="F255">
        <v>95.895775995000008</v>
      </c>
      <c r="G255">
        <v>129.133460421</v>
      </c>
      <c r="H255">
        <v>197.30872072599999</v>
      </c>
      <c r="I255">
        <v>3.5351288350000001</v>
      </c>
      <c r="J255">
        <v>17.992199375000009</v>
      </c>
      <c r="K255">
        <v>10901.535756755</v>
      </c>
      <c r="L255">
        <v>1840.835319003</v>
      </c>
      <c r="M255">
        <v>5.0709313799999984</v>
      </c>
      <c r="N255">
        <v>422.33795714199988</v>
      </c>
      <c r="O255">
        <v>8.8094321480000026</v>
      </c>
      <c r="P255">
        <v>0.46882325600000002</v>
      </c>
      <c r="Q255">
        <v>1.233324343</v>
      </c>
      <c r="R255">
        <v>22.077771207000001</v>
      </c>
      <c r="S255">
        <v>280.79954623100002</v>
      </c>
      <c r="T255">
        <v>399.84348247700012</v>
      </c>
      <c r="U255">
        <v>7329.5428473169968</v>
      </c>
      <c r="V255">
        <v>0</v>
      </c>
      <c r="W255">
        <v>0</v>
      </c>
      <c r="Y255" t="str">
        <f>$A255 &amp; Keys!$C$8 &amp; $B255</f>
        <v>Mississippi|Industry PM25</v>
      </c>
      <c r="Z255" s="8">
        <f>IFERROR(INDEX($U255:$W255, MATCH(INDEX(Runs!$D:$D, MATCH($B255, Runs!$A:$A, 0)), $U$1:$W$1, 0)), 0)</f>
        <v>7329.5428473169968</v>
      </c>
      <c r="AA255" s="8">
        <f t="shared" si="12"/>
        <v>5.5769967903200272E-3</v>
      </c>
      <c r="AB255" s="8">
        <f>IFERROR(VLOOKUP(INDEX(Runs!$F:$F, MATCH($B255, Runs!$A:$A, 0)), US_national_yearly!$D:$AM, MATCH(Keys!$C$7, US_national_yearly!$D$1:$AM$1, 0), FALSE), 0)</f>
        <v>2.6833191881203179E-2</v>
      </c>
      <c r="AC255" s="8">
        <f t="shared" si="13"/>
        <v>0.20783948532886798</v>
      </c>
      <c r="AD255">
        <f>IF($Z255&lt;Keys!$C$3, 1, 0)</f>
        <v>0</v>
      </c>
      <c r="AE255">
        <f>IF($AC255&gt;Keys!$C$4, 1, 0)</f>
        <v>0</v>
      </c>
      <c r="AF255">
        <f>IF($AC255&lt;Keys!$C$5, 1, 0)</f>
        <v>0</v>
      </c>
      <c r="AG255">
        <f t="shared" si="14"/>
        <v>0</v>
      </c>
      <c r="AH255" t="str">
        <f>IFERROR(INDEX(Runs!$E:$E, MATCH($B255, Runs!$A:$A, 0)), $B255)</f>
        <v>Industry PM25</v>
      </c>
      <c r="AI255" t="str">
        <f t="shared" si="15"/>
        <v>Industry PM25</v>
      </c>
      <c r="AJ255" t="str">
        <f>IF($AG255=1, IF($AD255=1, Keys!$C$9, "") &amp; IF($AE255=1, Keys!$C$10, "") &amp; IF($AF255=1, Keys!$C$11, ""), "")</f>
        <v/>
      </c>
      <c r="AK255">
        <f>IF($AG255=1, IFERROR(INDEX($AG$2:$AG$577, MATCH($A255 &amp; Keys!$C$8 &amp; $AH255, $Y$2:$Y$577, 0)), 1), 0)</f>
        <v>0</v>
      </c>
    </row>
    <row r="256" spans="1:37" x14ac:dyDescent="0.25">
      <c r="A256" t="s">
        <v>147</v>
      </c>
      <c r="B256" t="s">
        <v>246</v>
      </c>
      <c r="C256">
        <v>82</v>
      </c>
      <c r="D256">
        <v>6.1603874229999986</v>
      </c>
      <c r="E256">
        <v>1.932637727E-2</v>
      </c>
      <c r="F256">
        <v>14.401123557</v>
      </c>
      <c r="G256">
        <v>19.393122092000009</v>
      </c>
      <c r="H256">
        <v>29.629690832000001</v>
      </c>
      <c r="I256">
        <v>0.52769241700000002</v>
      </c>
      <c r="J256">
        <v>2.720113338</v>
      </c>
      <c r="K256">
        <v>1624.9907416030001</v>
      </c>
      <c r="L256">
        <v>274.18932508400007</v>
      </c>
      <c r="M256">
        <v>0.7679785180000005</v>
      </c>
      <c r="N256">
        <v>63.423936481000013</v>
      </c>
      <c r="O256">
        <v>1.3172075539999999</v>
      </c>
      <c r="P256">
        <v>6.9957353600000036E-2</v>
      </c>
      <c r="Q256">
        <v>0.18340910199999999</v>
      </c>
      <c r="R256">
        <v>3.3251254389999989</v>
      </c>
      <c r="S256">
        <v>42.276795623999988</v>
      </c>
      <c r="T256">
        <v>60.142098105999978</v>
      </c>
      <c r="U256">
        <v>0</v>
      </c>
      <c r="V256">
        <v>5927.8137399449997</v>
      </c>
      <c r="W256">
        <v>0</v>
      </c>
      <c r="Y256" t="str">
        <f>$A256 &amp; Keys!$C$8 &amp; $B256</f>
        <v>Mississippi|Industry SO2</v>
      </c>
      <c r="Z256" s="8">
        <f>IFERROR(INDEX($U256:$W256, MATCH(INDEX(Runs!$D:$D, MATCH($B256, Runs!$A:$A, 0)), $U$1:$W$1, 0)), 0)</f>
        <v>5927.8137399449997</v>
      </c>
      <c r="AA256" s="8">
        <f t="shared" si="12"/>
        <v>1.0392343101956435E-3</v>
      </c>
      <c r="AB256" s="8">
        <f>IFERROR(VLOOKUP(INDEX(Runs!$F:$F, MATCH($B256, Runs!$A:$A, 0)), US_national_yearly!$D:$AM, MATCH(Keys!$C$7, US_national_yearly!$D$1:$AM$1, 0), FALSE), 0)</f>
        <v>5.3000351638639942E-3</v>
      </c>
      <c r="AC256" s="8">
        <f t="shared" si="13"/>
        <v>0.19608064438538347</v>
      </c>
      <c r="AD256">
        <f>IF($Z256&lt;Keys!$C$3, 1, 0)</f>
        <v>0</v>
      </c>
      <c r="AE256">
        <f>IF($AC256&gt;Keys!$C$4, 1, 0)</f>
        <v>0</v>
      </c>
      <c r="AF256">
        <f>IF($AC256&lt;Keys!$C$5, 1, 0)</f>
        <v>0</v>
      </c>
      <c r="AG256">
        <f t="shared" si="14"/>
        <v>0</v>
      </c>
      <c r="AH256" t="str">
        <f>IFERROR(INDEX(Runs!$E:$E, MATCH($B256, Runs!$A:$A, 0)), $B256)</f>
        <v>Industry SO2</v>
      </c>
      <c r="AI256" t="str">
        <f t="shared" si="15"/>
        <v>Industry SO2</v>
      </c>
      <c r="AJ256" t="str">
        <f>IF($AG256=1, IF($AD256=1, Keys!$C$9, "") &amp; IF($AE256=1, Keys!$C$10, "") &amp; IF($AF256=1, Keys!$C$11, ""), "")</f>
        <v/>
      </c>
      <c r="AK256">
        <f>IF($AG256=1, IFERROR(INDEX($AG$2:$AG$577, MATCH($A256 &amp; Keys!$C$8 &amp; $AH256, $Y$2:$Y$577, 0)), 1), 0)</f>
        <v>0</v>
      </c>
    </row>
    <row r="257" spans="1:37" x14ac:dyDescent="0.25">
      <c r="A257" t="s">
        <v>147</v>
      </c>
      <c r="B257" t="s">
        <v>253</v>
      </c>
      <c r="C257">
        <v>82</v>
      </c>
      <c r="D257">
        <v>0.60956429500000031</v>
      </c>
      <c r="E257">
        <v>1.949199273E-3</v>
      </c>
      <c r="F257">
        <v>1.4741376310000001</v>
      </c>
      <c r="G257">
        <v>1.985141794999999</v>
      </c>
      <c r="H257">
        <v>3.032954640999999</v>
      </c>
      <c r="I257">
        <v>5.4556031300000009E-2</v>
      </c>
      <c r="J257">
        <v>0.27320270450000012</v>
      </c>
      <c r="K257">
        <v>167.00781566000001</v>
      </c>
      <c r="L257">
        <v>28.22638942699999</v>
      </c>
      <c r="M257">
        <v>8.1434256599999977E-2</v>
      </c>
      <c r="N257">
        <v>6.4922340669999983</v>
      </c>
      <c r="O257">
        <v>0.13466515000000001</v>
      </c>
      <c r="P257">
        <v>7.0889410900000002E-3</v>
      </c>
      <c r="Q257">
        <v>1.872320898999999E-2</v>
      </c>
      <c r="R257">
        <v>0.33974122000000001</v>
      </c>
      <c r="S257">
        <v>4.3198204459999996</v>
      </c>
      <c r="T257">
        <v>6.1454118369999993</v>
      </c>
      <c r="U257">
        <v>0</v>
      </c>
      <c r="V257">
        <v>0</v>
      </c>
      <c r="W257">
        <v>1854.5578611219989</v>
      </c>
      <c r="Y257" t="str">
        <f>$A257 &amp; Keys!$C$8 &amp; $B257</f>
        <v>Mississippi|buildings NO2</v>
      </c>
      <c r="Z257" s="8">
        <f>IFERROR(INDEX($U257:$W257, MATCH(INDEX(Runs!$D:$D, MATCH($B257, Runs!$A:$A, 0)), $U$1:$W$1, 0)), 0)</f>
        <v>1854.5578611219989</v>
      </c>
      <c r="AA257" s="8">
        <f t="shared" si="12"/>
        <v>3.2868443081695859E-4</v>
      </c>
      <c r="AB257" s="8">
        <f>IFERROR(VLOOKUP(INDEX(Runs!$F:$F, MATCH($B257, Runs!$A:$A, 0)), US_national_yearly!$D:$AM, MATCH(Keys!$C$7, US_national_yearly!$D$1:$AM$1, 0), FALSE), 0)</f>
        <v>5.6784740124662739E-3</v>
      </c>
      <c r="AC257" s="8">
        <f t="shared" si="13"/>
        <v>5.7882527963565411E-2</v>
      </c>
      <c r="AD257">
        <f>IF($Z257&lt;Keys!$C$3, 1, 0)</f>
        <v>0</v>
      </c>
      <c r="AE257">
        <f>IF($AC257&gt;Keys!$C$4, 1, 0)</f>
        <v>0</v>
      </c>
      <c r="AF257">
        <f>IF($AC257&lt;Keys!$C$5, 1, 0)</f>
        <v>0</v>
      </c>
      <c r="AG257">
        <f t="shared" si="14"/>
        <v>0</v>
      </c>
      <c r="AH257" t="str">
        <f>IFERROR(INDEX(Runs!$E:$E, MATCH($B257, Runs!$A:$A, 0)), $B257)</f>
        <v>Industry NO2</v>
      </c>
      <c r="AI257" t="str">
        <f t="shared" si="15"/>
        <v>buildings NO2</v>
      </c>
      <c r="AJ257" t="str">
        <f>IF($AG257=1, IF($AD257=1, Keys!$C$9, "") &amp; IF($AE257=1, Keys!$C$10, "") &amp; IF($AF257=1, Keys!$C$11, ""), "")</f>
        <v/>
      </c>
      <c r="AK257">
        <f>IF($AG257=1, IFERROR(INDEX($AG$2:$AG$577, MATCH($A257 &amp; Keys!$C$8 &amp; $AH257, $Y$2:$Y$577, 0)), 1), 0)</f>
        <v>0</v>
      </c>
    </row>
    <row r="258" spans="1:37" x14ac:dyDescent="0.25">
      <c r="A258" t="s">
        <v>147</v>
      </c>
      <c r="B258" t="s">
        <v>251</v>
      </c>
      <c r="C258">
        <v>82</v>
      </c>
      <c r="D258">
        <v>3.2403603170000003E-2</v>
      </c>
      <c r="E258">
        <v>1.039530697E-4</v>
      </c>
      <c r="F258">
        <v>7.8996984099999987E-2</v>
      </c>
      <c r="G258">
        <v>0.1063810404</v>
      </c>
      <c r="H258">
        <v>0.16253170829999991</v>
      </c>
      <c r="I258">
        <v>2.9654439180000001E-3</v>
      </c>
      <c r="J258">
        <v>1.453689763E-2</v>
      </c>
      <c r="K258">
        <v>8.9797296929999941</v>
      </c>
      <c r="L258">
        <v>1.5182535079999999</v>
      </c>
      <c r="M258">
        <v>4.3966886799999992E-3</v>
      </c>
      <c r="N258">
        <v>0.34790973279999993</v>
      </c>
      <c r="O258">
        <v>7.2286869400000004E-3</v>
      </c>
      <c r="P258">
        <v>3.7571143120000011E-4</v>
      </c>
      <c r="Q258">
        <v>1.02194816E-3</v>
      </c>
      <c r="R258">
        <v>1.8219397210000009E-2</v>
      </c>
      <c r="S258">
        <v>0.23165831229999989</v>
      </c>
      <c r="T258">
        <v>0.3295520482999999</v>
      </c>
      <c r="U258">
        <v>4.3566415260000024</v>
      </c>
      <c r="V258">
        <v>0</v>
      </c>
      <c r="W258">
        <v>0</v>
      </c>
      <c r="Y258" t="str">
        <f>$A258 &amp; Keys!$C$8 &amp; $B258</f>
        <v>Mississippi|buildings PM25</v>
      </c>
      <c r="Z258" s="8">
        <f>IFERROR(INDEX($U258:$W258, MATCH(INDEX(Runs!$D:$D, MATCH($B258, Runs!$A:$A, 0)), $U$1:$W$1, 0)), 0)</f>
        <v>4.3566415260000024</v>
      </c>
      <c r="AA258" s="8">
        <f t="shared" ref="AA258:AA321" si="16">IFERROR($D258/$Z258, 0)</f>
        <v>7.43774831521449E-3</v>
      </c>
      <c r="AB258" s="8">
        <f>IFERROR(VLOOKUP(INDEX(Runs!$F:$F, MATCH($B258, Runs!$A:$A, 0)), US_national_yearly!$D:$AM, MATCH(Keys!$C$7, US_national_yearly!$D$1:$AM$1, 0), FALSE), 0)</f>
        <v>2.7627705191843259E-2</v>
      </c>
      <c r="AC258" s="8">
        <f t="shared" ref="AC258:AC321" si="17">IFERROR($AA258/$AB258, 0)</f>
        <v>0.26921339516140463</v>
      </c>
      <c r="AD258">
        <f>IF($Z258&lt;Keys!$C$3, 1, 0)</f>
        <v>0</v>
      </c>
      <c r="AE258">
        <f>IF($AC258&gt;Keys!$C$4, 1, 0)</f>
        <v>0</v>
      </c>
      <c r="AF258">
        <f>IF($AC258&lt;Keys!$C$5, 1, 0)</f>
        <v>0</v>
      </c>
      <c r="AG258">
        <f t="shared" ref="AG258:AG321" si="18">IF($AD258+$AE258+$AF258&gt;0, 1, 0)</f>
        <v>0</v>
      </c>
      <c r="AH258" t="str">
        <f>IFERROR(INDEX(Runs!$E:$E, MATCH($B258, Runs!$A:$A, 0)), $B258)</f>
        <v>Industry PM25</v>
      </c>
      <c r="AI258" t="str">
        <f t="shared" ref="AI258:AI321" si="19">IF($AG258=1, $AH258, $B258)</f>
        <v>buildings PM25</v>
      </c>
      <c r="AJ258" t="str">
        <f>IF($AG258=1, IF($AD258=1, Keys!$C$9, "") &amp; IF($AE258=1, Keys!$C$10, "") &amp; IF($AF258=1, Keys!$C$11, ""), "")</f>
        <v/>
      </c>
      <c r="AK258">
        <f>IF($AG258=1, IFERROR(INDEX($AG$2:$AG$577, MATCH($A258 &amp; Keys!$C$8 &amp; $AH258, $Y$2:$Y$577, 0)), 1), 0)</f>
        <v>0</v>
      </c>
    </row>
    <row r="259" spans="1:37" x14ac:dyDescent="0.25">
      <c r="A259" t="s">
        <v>147</v>
      </c>
      <c r="B259" t="s">
        <v>254</v>
      </c>
      <c r="C259">
        <v>82</v>
      </c>
      <c r="D259">
        <v>7.4382188699999956E-3</v>
      </c>
      <c r="E259">
        <v>2.4099353840000009E-5</v>
      </c>
      <c r="F259">
        <v>1.8110815250000009E-2</v>
      </c>
      <c r="G259">
        <v>2.4388872969999999E-2</v>
      </c>
      <c r="H259">
        <v>3.7261951399999979E-2</v>
      </c>
      <c r="I259">
        <v>6.6156719800000013E-4</v>
      </c>
      <c r="J259">
        <v>3.3457640359999992E-3</v>
      </c>
      <c r="K259">
        <v>2.047691634</v>
      </c>
      <c r="L259">
        <v>0.34615594359999979</v>
      </c>
      <c r="M259">
        <v>9.9193963900000011E-4</v>
      </c>
      <c r="N259">
        <v>7.9761639619999991E-2</v>
      </c>
      <c r="O259">
        <v>1.651831025E-3</v>
      </c>
      <c r="P259">
        <v>8.6681903299999977E-5</v>
      </c>
      <c r="Q259">
        <v>2.2863592639999999E-4</v>
      </c>
      <c r="R259">
        <v>4.1758042960000014E-3</v>
      </c>
      <c r="S259">
        <v>5.3095434800000021E-2</v>
      </c>
      <c r="T259">
        <v>7.5533383299999979E-2</v>
      </c>
      <c r="U259">
        <v>0</v>
      </c>
      <c r="V259">
        <v>5.767209219999998</v>
      </c>
      <c r="W259">
        <v>0</v>
      </c>
      <c r="Y259" t="str">
        <f>$A259 &amp; Keys!$C$8 &amp; $B259</f>
        <v>Mississippi|buildings SO2</v>
      </c>
      <c r="Z259" s="8">
        <f>IFERROR(INDEX($U259:$W259, MATCH(INDEX(Runs!$D:$D, MATCH($B259, Runs!$A:$A, 0)), $U$1:$W$1, 0)), 0)</f>
        <v>5.767209219999998</v>
      </c>
      <c r="AA259" s="8">
        <f t="shared" si="16"/>
        <v>1.2897431992245287E-3</v>
      </c>
      <c r="AB259" s="8">
        <f>IFERROR(VLOOKUP(INDEX(Runs!$F:$F, MATCH($B259, Runs!$A:$A, 0)), US_national_yearly!$D:$AM, MATCH(Keys!$C$7, US_national_yearly!$D$1:$AM$1, 0), FALSE), 0)</f>
        <v>5.1581943281164694E-3</v>
      </c>
      <c r="AC259" s="8">
        <f t="shared" si="17"/>
        <v>0.25003772971373928</v>
      </c>
      <c r="AD259">
        <f>IF($Z259&lt;Keys!$C$3, 1, 0)</f>
        <v>0</v>
      </c>
      <c r="AE259">
        <f>IF($AC259&gt;Keys!$C$4, 1, 0)</f>
        <v>0</v>
      </c>
      <c r="AF259">
        <f>IF($AC259&lt;Keys!$C$5, 1, 0)</f>
        <v>0</v>
      </c>
      <c r="AG259">
        <f t="shared" si="18"/>
        <v>0</v>
      </c>
      <c r="AH259" t="str">
        <f>IFERROR(INDEX(Runs!$E:$E, MATCH($B259, Runs!$A:$A, 0)), $B259)</f>
        <v>Industry SO2</v>
      </c>
      <c r="AI259" t="str">
        <f t="shared" si="19"/>
        <v>buildings SO2</v>
      </c>
      <c r="AJ259" t="str">
        <f>IF($AG259=1, IF($AD259=1, Keys!$C$9, "") &amp; IF($AE259=1, Keys!$C$10, "") &amp; IF($AF259=1, Keys!$C$11, ""), "")</f>
        <v/>
      </c>
      <c r="AK259">
        <f>IF($AG259=1, IFERROR(INDEX($AG$2:$AG$577, MATCH($A259 &amp; Keys!$C$8 &amp; $AH259, $Y$2:$Y$577, 0)), 1), 0)</f>
        <v>0</v>
      </c>
    </row>
    <row r="260" spans="1:37" x14ac:dyDescent="0.25">
      <c r="A260" t="s">
        <v>147</v>
      </c>
      <c r="B260" t="s">
        <v>249</v>
      </c>
      <c r="C260">
        <v>82</v>
      </c>
      <c r="D260">
        <v>0.34081608879999992</v>
      </c>
      <c r="E260">
        <v>1.0145204809999999E-3</v>
      </c>
      <c r="F260">
        <v>0.773036685</v>
      </c>
      <c r="G260">
        <v>1.0410071320000001</v>
      </c>
      <c r="H260">
        <v>1.590478667</v>
      </c>
      <c r="I260">
        <v>3.2303569320000003E-2</v>
      </c>
      <c r="J260">
        <v>0.14784074359999999</v>
      </c>
      <c r="K260">
        <v>87.955522261999988</v>
      </c>
      <c r="L260">
        <v>14.83277236</v>
      </c>
      <c r="M260">
        <v>4.3815329400000012E-2</v>
      </c>
      <c r="N260">
        <v>3.404522484000001</v>
      </c>
      <c r="O260">
        <v>7.1217915699999995E-2</v>
      </c>
      <c r="P260">
        <v>3.8539676109999991E-3</v>
      </c>
      <c r="Q260">
        <v>1.051766747E-2</v>
      </c>
      <c r="R260">
        <v>0.17741317530000009</v>
      </c>
      <c r="S260">
        <v>2.255815731999999</v>
      </c>
      <c r="T260">
        <v>3.2091347640000021</v>
      </c>
      <c r="U260">
        <v>0</v>
      </c>
      <c r="V260">
        <v>0</v>
      </c>
      <c r="W260">
        <v>4343.8103521880003</v>
      </c>
      <c r="Y260" t="str">
        <f>$A260 &amp; Keys!$C$8 &amp; $B260</f>
        <v>Mississippi|electricity NO2</v>
      </c>
      <c r="Z260" s="8">
        <f>IFERROR(INDEX($U260:$W260, MATCH(INDEX(Runs!$D:$D, MATCH($B260, Runs!$A:$A, 0)), $U$1:$W$1, 0)), 0)</f>
        <v>4343.8103521880003</v>
      </c>
      <c r="AA260" s="8">
        <f t="shared" si="16"/>
        <v>7.8460167725400128E-5</v>
      </c>
      <c r="AB260" s="8">
        <f>IFERROR(VLOOKUP(INDEX(Runs!$F:$F, MATCH($B260, Runs!$A:$A, 0)), US_national_yearly!$D:$AM, MATCH(Keys!$C$7, US_national_yearly!$D$1:$AM$1, 0), FALSE), 0)</f>
        <v>6.1439221592658041E-3</v>
      </c>
      <c r="AC260" s="8">
        <f t="shared" si="17"/>
        <v>1.2770371383542412E-2</v>
      </c>
      <c r="AD260">
        <f>IF($Z260&lt;Keys!$C$3, 1, 0)</f>
        <v>0</v>
      </c>
      <c r="AE260">
        <f>IF($AC260&gt;Keys!$C$4, 1, 0)</f>
        <v>0</v>
      </c>
      <c r="AF260">
        <f>IF($AC260&lt;Keys!$C$5, 1, 0)</f>
        <v>0</v>
      </c>
      <c r="AG260">
        <f t="shared" si="18"/>
        <v>0</v>
      </c>
      <c r="AH260" t="str">
        <f>IFERROR(INDEX(Runs!$E:$E, MATCH($B260, Runs!$A:$A, 0)), $B260)</f>
        <v>Industry NO2</v>
      </c>
      <c r="AI260" t="str">
        <f t="shared" si="19"/>
        <v>electricity NO2</v>
      </c>
      <c r="AJ260" t="str">
        <f>IF($AG260=1, IF($AD260=1, Keys!$C$9, "") &amp; IF($AE260=1, Keys!$C$10, "") &amp; IF($AF260=1, Keys!$C$11, ""), "")</f>
        <v/>
      </c>
      <c r="AK260">
        <f>IF($AG260=1, IFERROR(INDEX($AG$2:$AG$577, MATCH($A260 &amp; Keys!$C$8 &amp; $AH260, $Y$2:$Y$577, 0)), 1), 0)</f>
        <v>0</v>
      </c>
    </row>
    <row r="261" spans="1:37" x14ac:dyDescent="0.25">
      <c r="A261" t="s">
        <v>147</v>
      </c>
      <c r="B261" t="s">
        <v>247</v>
      </c>
      <c r="C261">
        <v>82</v>
      </c>
      <c r="D261">
        <v>2.2580553440000011</v>
      </c>
      <c r="E261">
        <v>6.7310119479999982E-3</v>
      </c>
      <c r="F261">
        <v>5.342641469000001</v>
      </c>
      <c r="G261">
        <v>7.1946296430000016</v>
      </c>
      <c r="H261">
        <v>10.992218782</v>
      </c>
      <c r="I261">
        <v>0.21725388970000001</v>
      </c>
      <c r="J261">
        <v>1.005564729999999</v>
      </c>
      <c r="K261">
        <v>620.24428300099964</v>
      </c>
      <c r="L261">
        <v>104.785345706</v>
      </c>
      <c r="M261">
        <v>0.30468308230000002</v>
      </c>
      <c r="N261">
        <v>23.529489894000012</v>
      </c>
      <c r="O261">
        <v>0.49697446690000019</v>
      </c>
      <c r="P261">
        <v>2.7048922350000011E-2</v>
      </c>
      <c r="Q261">
        <v>7.4080800029999949E-2</v>
      </c>
      <c r="R261">
        <v>1.2255649500000001</v>
      </c>
      <c r="S261">
        <v>15.58390801199999</v>
      </c>
      <c r="T261">
        <v>22.172512646000001</v>
      </c>
      <c r="U261">
        <v>853.00740809800016</v>
      </c>
      <c r="V261">
        <v>0</v>
      </c>
      <c r="W261">
        <v>0</v>
      </c>
      <c r="Y261" t="str">
        <f>$A261 &amp; Keys!$C$8 &amp; $B261</f>
        <v>Mississippi|electricity PM25</v>
      </c>
      <c r="Z261" s="8">
        <f>IFERROR(INDEX($U261:$W261, MATCH(INDEX(Runs!$D:$D, MATCH($B261, Runs!$A:$A, 0)), $U$1:$W$1, 0)), 0)</f>
        <v>853.00740809800016</v>
      </c>
      <c r="AA261" s="8">
        <f t="shared" si="16"/>
        <v>2.6471696758588736E-3</v>
      </c>
      <c r="AB261" s="8">
        <f>IFERROR(VLOOKUP(INDEX(Runs!$F:$F, MATCH($B261, Runs!$A:$A, 0)), US_national_yearly!$D:$AM, MATCH(Keys!$C$7, US_national_yearly!$D$1:$AM$1, 0), FALSE), 0)</f>
        <v>2.4252978284752182E-2</v>
      </c>
      <c r="AC261" s="8">
        <f t="shared" si="17"/>
        <v>0.10914823098337353</v>
      </c>
      <c r="AD261">
        <f>IF($Z261&lt;Keys!$C$3, 1, 0)</f>
        <v>0</v>
      </c>
      <c r="AE261">
        <f>IF($AC261&gt;Keys!$C$4, 1, 0)</f>
        <v>0</v>
      </c>
      <c r="AF261">
        <f>IF($AC261&lt;Keys!$C$5, 1, 0)</f>
        <v>0</v>
      </c>
      <c r="AG261">
        <f t="shared" si="18"/>
        <v>0</v>
      </c>
      <c r="AH261" t="str">
        <f>IFERROR(INDEX(Runs!$E:$E, MATCH($B261, Runs!$A:$A, 0)), $B261)</f>
        <v>Industry PM25</v>
      </c>
      <c r="AI261" t="str">
        <f t="shared" si="19"/>
        <v>electricity PM25</v>
      </c>
      <c r="AJ261" t="str">
        <f>IF($AG261=1, IF($AD261=1, Keys!$C$9, "") &amp; IF($AE261=1, Keys!$C$10, "") &amp; IF($AF261=1, Keys!$C$11, ""), "")</f>
        <v/>
      </c>
      <c r="AK261">
        <f>IF($AG261=1, IFERROR(INDEX($AG$2:$AG$577, MATCH($A261 &amp; Keys!$C$8 &amp; $AH261, $Y$2:$Y$577, 0)), 1), 0)</f>
        <v>0</v>
      </c>
    </row>
    <row r="262" spans="1:37" x14ac:dyDescent="0.25">
      <c r="A262" t="s">
        <v>147</v>
      </c>
      <c r="B262" t="s">
        <v>250</v>
      </c>
      <c r="C262">
        <v>82</v>
      </c>
      <c r="D262">
        <v>0.50115746100000025</v>
      </c>
      <c r="E262">
        <v>1.5158195689999991E-3</v>
      </c>
      <c r="F262">
        <v>1.160846727999999</v>
      </c>
      <c r="G262">
        <v>1.563250033000001</v>
      </c>
      <c r="H262">
        <v>2.388375893000001</v>
      </c>
      <c r="I262">
        <v>4.5794375499999991E-2</v>
      </c>
      <c r="J262">
        <v>0.22014233970000011</v>
      </c>
      <c r="K262">
        <v>132.75575923</v>
      </c>
      <c r="L262">
        <v>22.40271901600001</v>
      </c>
      <c r="M262">
        <v>6.3637487899999998E-2</v>
      </c>
      <c r="N262">
        <v>5.1124726540000012</v>
      </c>
      <c r="O262">
        <v>0.1070024242</v>
      </c>
      <c r="P262">
        <v>5.7313339299999997E-3</v>
      </c>
      <c r="Q262">
        <v>1.5710806099999999E-2</v>
      </c>
      <c r="R262">
        <v>0.26682158119999988</v>
      </c>
      <c r="S262">
        <v>3.3925628650000008</v>
      </c>
      <c r="T262">
        <v>4.826082156</v>
      </c>
      <c r="U262">
        <v>0</v>
      </c>
      <c r="V262">
        <v>959.42508546799991</v>
      </c>
      <c r="W262">
        <v>0</v>
      </c>
      <c r="Y262" t="str">
        <f>$A262 &amp; Keys!$C$8 &amp; $B262</f>
        <v>Mississippi|electricity SO2</v>
      </c>
      <c r="Z262" s="8">
        <f>IFERROR(INDEX($U262:$W262, MATCH(INDEX(Runs!$D:$D, MATCH($B262, Runs!$A:$A, 0)), $U$1:$W$1, 0)), 0)</f>
        <v>959.42508546799991</v>
      </c>
      <c r="AA262" s="8">
        <f t="shared" si="16"/>
        <v>5.2235184235936423E-4</v>
      </c>
      <c r="AB262" s="8">
        <f>IFERROR(VLOOKUP(INDEX(Runs!$F:$F, MATCH($B262, Runs!$A:$A, 0)), US_national_yearly!$D:$AM, MATCH(Keys!$C$7, US_national_yearly!$D$1:$AM$1, 0), FALSE), 0)</f>
        <v>5.7032329662362116E-3</v>
      </c>
      <c r="AC262" s="8">
        <f t="shared" si="17"/>
        <v>9.1588726157908432E-2</v>
      </c>
      <c r="AD262">
        <f>IF($Z262&lt;Keys!$C$3, 1, 0)</f>
        <v>0</v>
      </c>
      <c r="AE262">
        <f>IF($AC262&gt;Keys!$C$4, 1, 0)</f>
        <v>0</v>
      </c>
      <c r="AF262">
        <f>IF($AC262&lt;Keys!$C$5, 1, 0)</f>
        <v>0</v>
      </c>
      <c r="AG262">
        <f t="shared" si="18"/>
        <v>0</v>
      </c>
      <c r="AH262" t="str">
        <f>IFERROR(INDEX(Runs!$E:$E, MATCH($B262, Runs!$A:$A, 0)), $B262)</f>
        <v>Industry SO2</v>
      </c>
      <c r="AI262" t="str">
        <f t="shared" si="19"/>
        <v>electricity SO2</v>
      </c>
      <c r="AJ262" t="str">
        <f>IF($AG262=1, IF($AD262=1, Keys!$C$9, "") &amp; IF($AE262=1, Keys!$C$10, "") &amp; IF($AF262=1, Keys!$C$11, ""), "")</f>
        <v/>
      </c>
      <c r="AK262">
        <f>IF($AG262=1, IFERROR(INDEX($AG$2:$AG$577, MATCH($A262 &amp; Keys!$C$8 &amp; $AH262, $Y$2:$Y$577, 0)), 1), 0)</f>
        <v>0</v>
      </c>
    </row>
    <row r="263" spans="1:37" x14ac:dyDescent="0.25">
      <c r="A263" t="s">
        <v>147</v>
      </c>
      <c r="B263" t="s">
        <v>239</v>
      </c>
      <c r="C263">
        <v>82</v>
      </c>
      <c r="D263">
        <v>13.28788733900001</v>
      </c>
      <c r="E263">
        <v>4.2343943420000009E-2</v>
      </c>
      <c r="F263">
        <v>31.537815944000009</v>
      </c>
      <c r="G263">
        <v>42.469849108000012</v>
      </c>
      <c r="H263">
        <v>64.888145413999993</v>
      </c>
      <c r="I263">
        <v>1.149337788</v>
      </c>
      <c r="J263">
        <v>5.9239846400000014</v>
      </c>
      <c r="K263">
        <v>3583.677157490999</v>
      </c>
      <c r="L263">
        <v>605.25489888500033</v>
      </c>
      <c r="M263">
        <v>1.676230176999999</v>
      </c>
      <c r="N263">
        <v>138.895810466</v>
      </c>
      <c r="O263">
        <v>2.8901589309999989</v>
      </c>
      <c r="P263">
        <v>0.15575918859999999</v>
      </c>
      <c r="Q263">
        <v>0.40581989400000018</v>
      </c>
      <c r="R263">
        <v>7.2714849830000006</v>
      </c>
      <c r="S263">
        <v>92.462489177000023</v>
      </c>
      <c r="T263">
        <v>131.56947497900001</v>
      </c>
      <c r="U263">
        <v>0</v>
      </c>
      <c r="V263">
        <v>0</v>
      </c>
      <c r="W263">
        <v>41723.375359579994</v>
      </c>
      <c r="Y263" t="str">
        <f>$A263 &amp; Keys!$C$8 &amp; $B263</f>
        <v>Mississippi|transportation NO2</v>
      </c>
      <c r="Z263" s="8">
        <f>IFERROR(INDEX($U263:$W263, MATCH(INDEX(Runs!$D:$D, MATCH($B263, Runs!$A:$A, 0)), $U$1:$W$1, 0)), 0)</f>
        <v>41723.375359579994</v>
      </c>
      <c r="AA263" s="8">
        <f t="shared" si="16"/>
        <v>3.1847584775877949E-4</v>
      </c>
      <c r="AB263" s="8">
        <f>IFERROR(VLOOKUP(INDEX(Runs!$F:$F, MATCH($B263, Runs!$A:$A, 0)), US_national_yearly!$D:$AM, MATCH(Keys!$C$7, US_national_yearly!$D$1:$AM$1, 0), FALSE), 0)</f>
        <v>5.7148835886332216E-3</v>
      </c>
      <c r="AC263" s="8">
        <f t="shared" si="17"/>
        <v>5.5727442706308312E-2</v>
      </c>
      <c r="AD263">
        <f>IF($Z263&lt;Keys!$C$3, 1, 0)</f>
        <v>0</v>
      </c>
      <c r="AE263">
        <f>IF($AC263&gt;Keys!$C$4, 1, 0)</f>
        <v>0</v>
      </c>
      <c r="AF263">
        <f>IF($AC263&lt;Keys!$C$5, 1, 0)</f>
        <v>0</v>
      </c>
      <c r="AG263">
        <f t="shared" si="18"/>
        <v>0</v>
      </c>
      <c r="AH263" t="str">
        <f>IFERROR(INDEX(Runs!$E:$E, MATCH($B263, Runs!$A:$A, 0)), $B263)</f>
        <v>Industry NO2</v>
      </c>
      <c r="AI263" t="str">
        <f t="shared" si="19"/>
        <v>transportation NO2</v>
      </c>
      <c r="AJ263" t="str">
        <f>IF($AG263=1, IF($AD263=1, Keys!$C$9, "") &amp; IF($AE263=1, Keys!$C$10, "") &amp; IF($AF263=1, Keys!$C$11, ""), "")</f>
        <v/>
      </c>
      <c r="AK263">
        <f>IF($AG263=1, IFERROR(INDEX($AG$2:$AG$577, MATCH($A263 &amp; Keys!$C$8 &amp; $AH263, $Y$2:$Y$577, 0)), 1), 0)</f>
        <v>0</v>
      </c>
    </row>
    <row r="264" spans="1:37" x14ac:dyDescent="0.25">
      <c r="A264" t="s">
        <v>147</v>
      </c>
      <c r="B264" t="s">
        <v>234</v>
      </c>
      <c r="C264">
        <v>82</v>
      </c>
      <c r="D264">
        <v>6.9047604409999987</v>
      </c>
      <c r="E264">
        <v>2.201443803999999E-2</v>
      </c>
      <c r="F264">
        <v>16.462426929999999</v>
      </c>
      <c r="G264">
        <v>22.168950043999999</v>
      </c>
      <c r="H264">
        <v>33.870743066000017</v>
      </c>
      <c r="I264">
        <v>0.6028396760000001</v>
      </c>
      <c r="J264">
        <v>3.0758214339999999</v>
      </c>
      <c r="K264">
        <v>1876.4955195499999</v>
      </c>
      <c r="L264">
        <v>316.995955675</v>
      </c>
      <c r="M264">
        <v>0.88012356499999966</v>
      </c>
      <c r="N264">
        <v>72.502120040000023</v>
      </c>
      <c r="O264">
        <v>1.5114457109999999</v>
      </c>
      <c r="P264">
        <v>8.3114579799999977E-2</v>
      </c>
      <c r="Q264">
        <v>0.21222889330000011</v>
      </c>
      <c r="R264">
        <v>3.7966552640000009</v>
      </c>
      <c r="S264">
        <v>48.275208128999999</v>
      </c>
      <c r="T264">
        <v>68.683193093</v>
      </c>
      <c r="U264">
        <v>973.27617124600022</v>
      </c>
      <c r="V264">
        <v>0</v>
      </c>
      <c r="W264">
        <v>0</v>
      </c>
      <c r="Y264" t="str">
        <f>$A264 &amp; Keys!$C$8 &amp; $B264</f>
        <v>Mississippi|transportation PM25</v>
      </c>
      <c r="Z264" s="8">
        <f>IFERROR(INDEX($U264:$W264, MATCH(INDEX(Runs!$D:$D, MATCH($B264, Runs!$A:$A, 0)), $U$1:$W$1, 0)), 0)</f>
        <v>973.27617124600022</v>
      </c>
      <c r="AA264" s="8">
        <f t="shared" si="16"/>
        <v>7.0943485980556158E-3</v>
      </c>
      <c r="AB264" s="8">
        <f>IFERROR(VLOOKUP(INDEX(Runs!$F:$F, MATCH($B264, Runs!$A:$A, 0)), US_national_yearly!$D:$AM, MATCH(Keys!$C$7, US_national_yearly!$D$1:$AM$1, 0), FALSE), 0)</f>
        <v>2.8248683697579859E-2</v>
      </c>
      <c r="AC264" s="8">
        <f t="shared" si="17"/>
        <v>0.25113908577139854</v>
      </c>
      <c r="AD264">
        <f>IF($Z264&lt;Keys!$C$3, 1, 0)</f>
        <v>0</v>
      </c>
      <c r="AE264">
        <f>IF($AC264&gt;Keys!$C$4, 1, 0)</f>
        <v>0</v>
      </c>
      <c r="AF264">
        <f>IF($AC264&lt;Keys!$C$5, 1, 0)</f>
        <v>0</v>
      </c>
      <c r="AG264">
        <f t="shared" si="18"/>
        <v>0</v>
      </c>
      <c r="AH264" t="str">
        <f>IFERROR(INDEX(Runs!$E:$E, MATCH($B264, Runs!$A:$A, 0)), $B264)</f>
        <v>Industry PM25</v>
      </c>
      <c r="AI264" t="str">
        <f t="shared" si="19"/>
        <v>transportation PM25</v>
      </c>
      <c r="AJ264" t="str">
        <f>IF($AG264=1, IF($AD264=1, Keys!$C$9, "") &amp; IF($AE264=1, Keys!$C$10, "") &amp; IF($AF264=1, Keys!$C$11, ""), "")</f>
        <v/>
      </c>
      <c r="AK264">
        <f>IF($AG264=1, IFERROR(INDEX($AG$2:$AG$577, MATCH($A264 &amp; Keys!$C$8 &amp; $AH264, $Y$2:$Y$577, 0)), 1), 0)</f>
        <v>0</v>
      </c>
    </row>
    <row r="265" spans="1:37" x14ac:dyDescent="0.25">
      <c r="A265" t="s">
        <v>147</v>
      </c>
      <c r="B265" t="s">
        <v>243</v>
      </c>
      <c r="C265">
        <v>82</v>
      </c>
      <c r="D265">
        <v>0.36710346619999989</v>
      </c>
      <c r="E265">
        <v>1.1606900759999999E-3</v>
      </c>
      <c r="F265">
        <v>0.87106344979999961</v>
      </c>
      <c r="G265">
        <v>1.1730143150000001</v>
      </c>
      <c r="H265">
        <v>1.792163554</v>
      </c>
      <c r="I265">
        <v>3.1227283550000009E-2</v>
      </c>
      <c r="J265">
        <v>0.16352120259999989</v>
      </c>
      <c r="K265">
        <v>99.580596218000039</v>
      </c>
      <c r="L265">
        <v>16.817738123000002</v>
      </c>
      <c r="M265">
        <v>4.5569980970000007E-2</v>
      </c>
      <c r="N265">
        <v>3.8362413188</v>
      </c>
      <c r="O265">
        <v>8.0307122600000003E-2</v>
      </c>
      <c r="P265">
        <v>4.8910202309999972E-3</v>
      </c>
      <c r="Q265">
        <v>1.128888328E-2</v>
      </c>
      <c r="R265">
        <v>0.20116448919999999</v>
      </c>
      <c r="S265">
        <v>2.557704842000001</v>
      </c>
      <c r="T265">
        <v>3.638352011999999</v>
      </c>
      <c r="U265">
        <v>0</v>
      </c>
      <c r="V265">
        <v>311.50228335799989</v>
      </c>
      <c r="W265">
        <v>0</v>
      </c>
      <c r="Y265" t="str">
        <f>$A265 &amp; Keys!$C$8 &amp; $B265</f>
        <v>Mississippi|transportation SO2</v>
      </c>
      <c r="Z265" s="8">
        <f>IFERROR(INDEX($U265:$W265, MATCH(INDEX(Runs!$D:$D, MATCH($B265, Runs!$A:$A, 0)), $U$1:$W$1, 0)), 0)</f>
        <v>311.50228335799989</v>
      </c>
      <c r="AA265" s="8">
        <f t="shared" si="16"/>
        <v>1.1784936606005526E-3</v>
      </c>
      <c r="AB265" s="8">
        <f>IFERROR(VLOOKUP(INDEX(Runs!$F:$F, MATCH($B265, Runs!$A:$A, 0)), US_national_yearly!$D:$AM, MATCH(Keys!$C$7, US_national_yearly!$D$1:$AM$1, 0), FALSE), 0)</f>
        <v>5.1800714166247604E-3</v>
      </c>
      <c r="AC265" s="8">
        <f t="shared" si="17"/>
        <v>0.22750529207345127</v>
      </c>
      <c r="AD265">
        <f>IF($Z265&lt;Keys!$C$3, 1, 0)</f>
        <v>0</v>
      </c>
      <c r="AE265">
        <f>IF($AC265&gt;Keys!$C$4, 1, 0)</f>
        <v>0</v>
      </c>
      <c r="AF265">
        <f>IF($AC265&lt;Keys!$C$5, 1, 0)</f>
        <v>0</v>
      </c>
      <c r="AG265">
        <f t="shared" si="18"/>
        <v>0</v>
      </c>
      <c r="AH265" t="str">
        <f>IFERROR(INDEX(Runs!$E:$E, MATCH($B265, Runs!$A:$A, 0)), $B265)</f>
        <v>Industry SO2</v>
      </c>
      <c r="AI265" t="str">
        <f t="shared" si="19"/>
        <v>transportation SO2</v>
      </c>
      <c r="AJ265" t="str">
        <f>IF($AG265=1, IF($AD265=1, Keys!$C$9, "") &amp; IF($AE265=1, Keys!$C$10, "") &amp; IF($AF265=1, Keys!$C$11, ""), "")</f>
        <v/>
      </c>
      <c r="AK265">
        <f>IF($AG265=1, IFERROR(INDEX($AG$2:$AG$577, MATCH($A265 &amp; Keys!$C$8 &amp; $AH265, $Y$2:$Y$577, 0)), 1), 0)</f>
        <v>0</v>
      </c>
    </row>
    <row r="266" spans="1:37" x14ac:dyDescent="0.25">
      <c r="A266" t="s">
        <v>150</v>
      </c>
      <c r="B266" t="s">
        <v>242</v>
      </c>
      <c r="C266">
        <v>115</v>
      </c>
      <c r="D266">
        <v>4.8368784290000022</v>
      </c>
      <c r="E266">
        <v>1.1444394247E-2</v>
      </c>
      <c r="F266">
        <v>10.885211706</v>
      </c>
      <c r="G266">
        <v>14.658487770000001</v>
      </c>
      <c r="H266">
        <v>22.39578951199999</v>
      </c>
      <c r="I266">
        <v>0.40189308219999992</v>
      </c>
      <c r="J266">
        <v>2.1960439470000002</v>
      </c>
      <c r="K266">
        <v>1351.837826257</v>
      </c>
      <c r="L266">
        <v>228.75548904099989</v>
      </c>
      <c r="M266">
        <v>0.55128894480000001</v>
      </c>
      <c r="N266">
        <v>47.939488987999987</v>
      </c>
      <c r="O266">
        <v>1.0247085408000001</v>
      </c>
      <c r="P266">
        <v>5.9103737530000013E-2</v>
      </c>
      <c r="Q266">
        <v>0.12817268837000001</v>
      </c>
      <c r="R266">
        <v>2.556494111000001</v>
      </c>
      <c r="S266">
        <v>32.498452799000013</v>
      </c>
      <c r="T266">
        <v>46.216659198999999</v>
      </c>
      <c r="U266">
        <v>0</v>
      </c>
      <c r="V266">
        <v>0</v>
      </c>
      <c r="W266">
        <v>24437.197026816</v>
      </c>
      <c r="Y266" t="str">
        <f>$A266 &amp; Keys!$C$8 &amp; $B266</f>
        <v>Missouri|Industry NO2</v>
      </c>
      <c r="Z266" s="8">
        <f>IFERROR(INDEX($U266:$W266, MATCH(INDEX(Runs!$D:$D, MATCH($B266, Runs!$A:$A, 0)), $U$1:$W$1, 0)), 0)</f>
        <v>24437.197026816</v>
      </c>
      <c r="AA266" s="8">
        <f t="shared" si="16"/>
        <v>1.9793098298844522E-4</v>
      </c>
      <c r="AB266" s="8">
        <f>IFERROR(VLOOKUP(INDEX(Runs!$F:$F, MATCH($B266, Runs!$A:$A, 0)), US_national_yearly!$D:$AM, MATCH(Keys!$C$7, US_national_yearly!$D$1:$AM$1, 0), FALSE), 0)</f>
        <v>5.8012217057786938E-3</v>
      </c>
      <c r="AC266" s="8">
        <f t="shared" si="17"/>
        <v>3.4118844792861973E-2</v>
      </c>
      <c r="AD266">
        <f>IF($Z266&lt;Keys!$C$3, 1, 0)</f>
        <v>0</v>
      </c>
      <c r="AE266">
        <f>IF($AC266&gt;Keys!$C$4, 1, 0)</f>
        <v>0</v>
      </c>
      <c r="AF266">
        <f>IF($AC266&lt;Keys!$C$5, 1, 0)</f>
        <v>0</v>
      </c>
      <c r="AG266">
        <f t="shared" si="18"/>
        <v>0</v>
      </c>
      <c r="AH266" t="str">
        <f>IFERROR(INDEX(Runs!$E:$E, MATCH($B266, Runs!$A:$A, 0)), $B266)</f>
        <v>Industry NO2</v>
      </c>
      <c r="AI266" t="str">
        <f t="shared" si="19"/>
        <v>Industry NO2</v>
      </c>
      <c r="AJ266" t="str">
        <f>IF($AG266=1, IF($AD266=1, Keys!$C$9, "") &amp; IF($AE266=1, Keys!$C$10, "") &amp; IF($AF266=1, Keys!$C$11, ""), "")</f>
        <v/>
      </c>
      <c r="AK266">
        <f>IF($AG266=1, IFERROR(INDEX($AG$2:$AG$577, MATCH($A266 &amp; Keys!$C$8 &amp; $AH266, $Y$2:$Y$577, 0)), 1), 0)</f>
        <v>0</v>
      </c>
    </row>
    <row r="267" spans="1:37" x14ac:dyDescent="0.25">
      <c r="A267" t="s">
        <v>150</v>
      </c>
      <c r="B267" t="s">
        <v>238</v>
      </c>
      <c r="C267">
        <v>115</v>
      </c>
      <c r="D267">
        <v>89.641732078999979</v>
      </c>
      <c r="E267">
        <v>0.2246690938</v>
      </c>
      <c r="F267">
        <v>216.87500787799999</v>
      </c>
      <c r="G267">
        <v>292.03818977899999</v>
      </c>
      <c r="H267">
        <v>446.24002783500009</v>
      </c>
      <c r="I267">
        <v>7.6331373369999982</v>
      </c>
      <c r="J267">
        <v>41.921592668999992</v>
      </c>
      <c r="K267">
        <v>26678.403741549992</v>
      </c>
      <c r="L267">
        <v>4528.8092050959985</v>
      </c>
      <c r="M267">
        <v>10.561135929000001</v>
      </c>
      <c r="N267">
        <v>955.15322549200016</v>
      </c>
      <c r="O267">
        <v>20.272193191999989</v>
      </c>
      <c r="P267">
        <v>1.1848270761999999</v>
      </c>
      <c r="Q267">
        <v>2.4912280532999991</v>
      </c>
      <c r="R267">
        <v>51.029499311000002</v>
      </c>
      <c r="S267">
        <v>648.93074832000013</v>
      </c>
      <c r="T267">
        <v>924.09201665800003</v>
      </c>
      <c r="U267">
        <v>5507.1552860309976</v>
      </c>
      <c r="V267">
        <v>0</v>
      </c>
      <c r="W267">
        <v>0</v>
      </c>
      <c r="Y267" t="str">
        <f>$A267 &amp; Keys!$C$8 &amp; $B267</f>
        <v>Missouri|Industry PM25</v>
      </c>
      <c r="Z267" s="8">
        <f>IFERROR(INDEX($U267:$W267, MATCH(INDEX(Runs!$D:$D, MATCH($B267, Runs!$A:$A, 0)), $U$1:$W$1, 0)), 0)</f>
        <v>5507.1552860309976</v>
      </c>
      <c r="AA267" s="8">
        <f t="shared" si="16"/>
        <v>1.6277320580804742E-2</v>
      </c>
      <c r="AB267" s="8">
        <f>IFERROR(VLOOKUP(INDEX(Runs!$F:$F, MATCH($B267, Runs!$A:$A, 0)), US_national_yearly!$D:$AM, MATCH(Keys!$C$7, US_national_yearly!$D$1:$AM$1, 0), FALSE), 0)</f>
        <v>2.6833191881203179E-2</v>
      </c>
      <c r="AC267" s="8">
        <f t="shared" si="17"/>
        <v>0.60661141815957831</v>
      </c>
      <c r="AD267">
        <f>IF($Z267&lt;Keys!$C$3, 1, 0)</f>
        <v>0</v>
      </c>
      <c r="AE267">
        <f>IF($AC267&gt;Keys!$C$4, 1, 0)</f>
        <v>0</v>
      </c>
      <c r="AF267">
        <f>IF($AC267&lt;Keys!$C$5, 1, 0)</f>
        <v>0</v>
      </c>
      <c r="AG267">
        <f t="shared" si="18"/>
        <v>0</v>
      </c>
      <c r="AH267" t="str">
        <f>IFERROR(INDEX(Runs!$E:$E, MATCH($B267, Runs!$A:$A, 0)), $B267)</f>
        <v>Industry PM25</v>
      </c>
      <c r="AI267" t="str">
        <f t="shared" si="19"/>
        <v>Industry PM25</v>
      </c>
      <c r="AJ267" t="str">
        <f>IF($AG267=1, IF($AD267=1, Keys!$C$9, "") &amp; IF($AE267=1, Keys!$C$10, "") &amp; IF($AF267=1, Keys!$C$11, ""), "")</f>
        <v/>
      </c>
      <c r="AK267">
        <f>IF($AG267=1, IFERROR(INDEX($AG$2:$AG$577, MATCH($A267 &amp; Keys!$C$8 &amp; $AH267, $Y$2:$Y$577, 0)), 1), 0)</f>
        <v>0</v>
      </c>
    </row>
    <row r="268" spans="1:37" x14ac:dyDescent="0.25">
      <c r="A268" t="s">
        <v>150</v>
      </c>
      <c r="B268" t="s">
        <v>246</v>
      </c>
      <c r="C268">
        <v>115</v>
      </c>
      <c r="D268">
        <v>7.4160789440000006</v>
      </c>
      <c r="E268">
        <v>1.8530275449999991E-2</v>
      </c>
      <c r="F268">
        <v>17.722385505999991</v>
      </c>
      <c r="G268">
        <v>23.865706351999989</v>
      </c>
      <c r="H268">
        <v>36.462959127000012</v>
      </c>
      <c r="I268">
        <v>0.61735352600000015</v>
      </c>
      <c r="J268">
        <v>3.4093046729999998</v>
      </c>
      <c r="K268">
        <v>2165.753835043</v>
      </c>
      <c r="L268">
        <v>367.03952252199991</v>
      </c>
      <c r="M268">
        <v>0.85583637799999979</v>
      </c>
      <c r="N268">
        <v>78.051050984999989</v>
      </c>
      <c r="O268">
        <v>1.64958556</v>
      </c>
      <c r="P268">
        <v>9.6827705619999996E-2</v>
      </c>
      <c r="Q268">
        <v>0.20283548179999991</v>
      </c>
      <c r="R268">
        <v>4.1664690059999989</v>
      </c>
      <c r="S268">
        <v>52.949802729000012</v>
      </c>
      <c r="T268">
        <v>75.265989505999983</v>
      </c>
      <c r="U268">
        <v>0</v>
      </c>
      <c r="V268">
        <v>5184.0598610539982</v>
      </c>
      <c r="W268">
        <v>0</v>
      </c>
      <c r="Y268" t="str">
        <f>$A268 &amp; Keys!$C$8 &amp; $B268</f>
        <v>Missouri|Industry SO2</v>
      </c>
      <c r="Z268" s="8">
        <f>IFERROR(INDEX($U268:$W268, MATCH(INDEX(Runs!$D:$D, MATCH($B268, Runs!$A:$A, 0)), $U$1:$W$1, 0)), 0)</f>
        <v>5184.0598610539982</v>
      </c>
      <c r="AA268" s="8">
        <f t="shared" si="16"/>
        <v>1.4305542649525268E-3</v>
      </c>
      <c r="AB268" s="8">
        <f>IFERROR(VLOOKUP(INDEX(Runs!$F:$F, MATCH($B268, Runs!$A:$A, 0)), US_national_yearly!$D:$AM, MATCH(Keys!$C$7, US_national_yearly!$D$1:$AM$1, 0), FALSE), 0)</f>
        <v>5.3000351638639942E-3</v>
      </c>
      <c r="AC268" s="8">
        <f t="shared" si="17"/>
        <v>0.26991410825085549</v>
      </c>
      <c r="AD268">
        <f>IF($Z268&lt;Keys!$C$3, 1, 0)</f>
        <v>0</v>
      </c>
      <c r="AE268">
        <f>IF($AC268&gt;Keys!$C$4, 1, 0)</f>
        <v>0</v>
      </c>
      <c r="AF268">
        <f>IF($AC268&lt;Keys!$C$5, 1, 0)</f>
        <v>0</v>
      </c>
      <c r="AG268">
        <f t="shared" si="18"/>
        <v>0</v>
      </c>
      <c r="AH268" t="str">
        <f>IFERROR(INDEX(Runs!$E:$E, MATCH($B268, Runs!$A:$A, 0)), $B268)</f>
        <v>Industry SO2</v>
      </c>
      <c r="AI268" t="str">
        <f t="shared" si="19"/>
        <v>Industry SO2</v>
      </c>
      <c r="AJ268" t="str">
        <f>IF($AG268=1, IF($AD268=1, Keys!$C$9, "") &amp; IF($AE268=1, Keys!$C$10, "") &amp; IF($AF268=1, Keys!$C$11, ""), "")</f>
        <v/>
      </c>
      <c r="AK268">
        <f>IF($AG268=1, IFERROR(INDEX($AG$2:$AG$577, MATCH($A268 &amp; Keys!$C$8 &amp; $AH268, $Y$2:$Y$577, 0)), 1), 0)</f>
        <v>0</v>
      </c>
    </row>
    <row r="269" spans="1:37" x14ac:dyDescent="0.25">
      <c r="A269" t="s">
        <v>150</v>
      </c>
      <c r="B269" t="s">
        <v>253</v>
      </c>
      <c r="C269">
        <v>115</v>
      </c>
      <c r="D269">
        <v>9.6813375000000015</v>
      </c>
      <c r="E269">
        <v>2.5257868909999991E-2</v>
      </c>
      <c r="F269">
        <v>23.438439925000001</v>
      </c>
      <c r="G269">
        <v>31.563067332999999</v>
      </c>
      <c r="H269">
        <v>48.223706229999983</v>
      </c>
      <c r="I269">
        <v>0.81869583400000023</v>
      </c>
      <c r="J269">
        <v>4.5263230310000004</v>
      </c>
      <c r="K269">
        <v>2918.2382342070009</v>
      </c>
      <c r="L269">
        <v>495.91246669399999</v>
      </c>
      <c r="M269">
        <v>1.1381473424999999</v>
      </c>
      <c r="N269">
        <v>103.22521348799999</v>
      </c>
      <c r="O269">
        <v>2.2043623914000001</v>
      </c>
      <c r="P269">
        <v>0.12801094659000001</v>
      </c>
      <c r="Q269">
        <v>0.27074011477999999</v>
      </c>
      <c r="R269">
        <v>5.531656739999999</v>
      </c>
      <c r="S269">
        <v>70.308895684000021</v>
      </c>
      <c r="T269">
        <v>99.969192644999993</v>
      </c>
      <c r="U269">
        <v>0</v>
      </c>
      <c r="V269">
        <v>0</v>
      </c>
      <c r="W269">
        <v>9866.038437483001</v>
      </c>
      <c r="Y269" t="str">
        <f>$A269 &amp; Keys!$C$8 &amp; $B269</f>
        <v>Missouri|buildings NO2</v>
      </c>
      <c r="Z269" s="8">
        <f>IFERROR(INDEX($U269:$W269, MATCH(INDEX(Runs!$D:$D, MATCH($B269, Runs!$A:$A, 0)), $U$1:$W$1, 0)), 0)</f>
        <v>9866.038437483001</v>
      </c>
      <c r="AA269" s="8">
        <f t="shared" si="16"/>
        <v>9.8127911839657102E-4</v>
      </c>
      <c r="AB269" s="8">
        <f>IFERROR(VLOOKUP(INDEX(Runs!$F:$F, MATCH($B269, Runs!$A:$A, 0)), US_national_yearly!$D:$AM, MATCH(Keys!$C$7, US_national_yearly!$D$1:$AM$1, 0), FALSE), 0)</f>
        <v>5.6784740124662739E-3</v>
      </c>
      <c r="AC269" s="8">
        <f t="shared" si="17"/>
        <v>0.17280683441401928</v>
      </c>
      <c r="AD269">
        <f>IF($Z269&lt;Keys!$C$3, 1, 0)</f>
        <v>0</v>
      </c>
      <c r="AE269">
        <f>IF($AC269&gt;Keys!$C$4, 1, 0)</f>
        <v>0</v>
      </c>
      <c r="AF269">
        <f>IF($AC269&lt;Keys!$C$5, 1, 0)</f>
        <v>0</v>
      </c>
      <c r="AG269">
        <f t="shared" si="18"/>
        <v>0</v>
      </c>
      <c r="AH269" t="str">
        <f>IFERROR(INDEX(Runs!$E:$E, MATCH($B269, Runs!$A:$A, 0)), $B269)</f>
        <v>Industry NO2</v>
      </c>
      <c r="AI269" t="str">
        <f t="shared" si="19"/>
        <v>buildings NO2</v>
      </c>
      <c r="AJ269" t="str">
        <f>IF($AG269=1, IF($AD269=1, Keys!$C$9, "") &amp; IF($AE269=1, Keys!$C$10, "") &amp; IF($AF269=1, Keys!$C$11, ""), "")</f>
        <v/>
      </c>
      <c r="AK269">
        <f>IF($AG269=1, IFERROR(INDEX($AG$2:$AG$577, MATCH($A269 &amp; Keys!$C$8 &amp; $AH269, $Y$2:$Y$577, 0)), 1), 0)</f>
        <v>0</v>
      </c>
    </row>
    <row r="270" spans="1:37" x14ac:dyDescent="0.25">
      <c r="A270" t="s">
        <v>150</v>
      </c>
      <c r="B270" t="s">
        <v>251</v>
      </c>
      <c r="C270">
        <v>115</v>
      </c>
      <c r="D270">
        <v>0.94342004100000021</v>
      </c>
      <c r="E270">
        <v>2.460275561900001E-3</v>
      </c>
      <c r="F270">
        <v>2.3298215944999998</v>
      </c>
      <c r="G270">
        <v>3.1374446235000009</v>
      </c>
      <c r="H270">
        <v>4.7934772980999991</v>
      </c>
      <c r="I270">
        <v>8.020727883000002E-2</v>
      </c>
      <c r="J270">
        <v>0.44438705639999998</v>
      </c>
      <c r="K270">
        <v>293.60092354300002</v>
      </c>
      <c r="L270">
        <v>49.92878178399998</v>
      </c>
      <c r="M270">
        <v>0.11181093511</v>
      </c>
      <c r="N270">
        <v>10.2607435161</v>
      </c>
      <c r="O270">
        <v>0.22046029087999999</v>
      </c>
      <c r="P270">
        <v>1.2706422301999989E-2</v>
      </c>
      <c r="Q270">
        <v>2.6773857472999998E-2</v>
      </c>
      <c r="R270">
        <v>0.54576085299999999</v>
      </c>
      <c r="S270">
        <v>6.935433072000003</v>
      </c>
      <c r="T270">
        <v>9.8570682739999995</v>
      </c>
      <c r="U270">
        <v>49.271123654999997</v>
      </c>
      <c r="V270">
        <v>0</v>
      </c>
      <c r="W270">
        <v>0</v>
      </c>
      <c r="Y270" t="str">
        <f>$A270 &amp; Keys!$C$8 &amp; $B270</f>
        <v>Missouri|buildings PM25</v>
      </c>
      <c r="Z270" s="8">
        <f>IFERROR(INDEX($U270:$W270, MATCH(INDEX(Runs!$D:$D, MATCH($B270, Runs!$A:$A, 0)), $U$1:$W$1, 0)), 0)</f>
        <v>49.271123654999997</v>
      </c>
      <c r="AA270" s="8">
        <f t="shared" si="16"/>
        <v>1.9147524371595344E-2</v>
      </c>
      <c r="AB270" s="8">
        <f>IFERROR(VLOOKUP(INDEX(Runs!$F:$F, MATCH($B270, Runs!$A:$A, 0)), US_national_yearly!$D:$AM, MATCH(Keys!$C$7, US_national_yearly!$D$1:$AM$1, 0), FALSE), 0)</f>
        <v>2.7627705191843259E-2</v>
      </c>
      <c r="AC270" s="8">
        <f t="shared" si="17"/>
        <v>0.69305518640210539</v>
      </c>
      <c r="AD270">
        <f>IF($Z270&lt;Keys!$C$3, 1, 0)</f>
        <v>0</v>
      </c>
      <c r="AE270">
        <f>IF($AC270&gt;Keys!$C$4, 1, 0)</f>
        <v>0</v>
      </c>
      <c r="AF270">
        <f>IF($AC270&lt;Keys!$C$5, 1, 0)</f>
        <v>0</v>
      </c>
      <c r="AG270">
        <f t="shared" si="18"/>
        <v>0</v>
      </c>
      <c r="AH270" t="str">
        <f>IFERROR(INDEX(Runs!$E:$E, MATCH($B270, Runs!$A:$A, 0)), $B270)</f>
        <v>Industry PM25</v>
      </c>
      <c r="AI270" t="str">
        <f t="shared" si="19"/>
        <v>buildings PM25</v>
      </c>
      <c r="AJ270" t="str">
        <f>IF($AG270=1, IF($AD270=1, Keys!$C$9, "") &amp; IF($AE270=1, Keys!$C$10, "") &amp; IF($AF270=1, Keys!$C$11, ""), "")</f>
        <v/>
      </c>
      <c r="AK270">
        <f>IF($AG270=1, IFERROR(INDEX($AG$2:$AG$577, MATCH($A270 &amp; Keys!$C$8 &amp; $AH270, $Y$2:$Y$577, 0)), 1), 0)</f>
        <v>0</v>
      </c>
    </row>
    <row r="271" spans="1:37" x14ac:dyDescent="0.25">
      <c r="A271" t="s">
        <v>150</v>
      </c>
      <c r="B271" t="s">
        <v>254</v>
      </c>
      <c r="C271">
        <v>115</v>
      </c>
      <c r="D271">
        <v>1.0400772810000001</v>
      </c>
      <c r="E271">
        <v>2.383447108999999E-3</v>
      </c>
      <c r="F271">
        <v>2.721210739</v>
      </c>
      <c r="G271">
        <v>3.6645010209999991</v>
      </c>
      <c r="H271">
        <v>5.5987511469999998</v>
      </c>
      <c r="I271">
        <v>9.1268162299999969E-2</v>
      </c>
      <c r="J271">
        <v>0.5013651266000001</v>
      </c>
      <c r="K271">
        <v>349.65954973999999</v>
      </c>
      <c r="L271">
        <v>59.363137144000007</v>
      </c>
      <c r="M271">
        <v>0.12657548320000001</v>
      </c>
      <c r="N271">
        <v>11.984462906999999</v>
      </c>
      <c r="O271">
        <v>0.26038083440000009</v>
      </c>
      <c r="P271">
        <v>1.475717507E-2</v>
      </c>
      <c r="Q271">
        <v>3.033039303000001E-2</v>
      </c>
      <c r="R271">
        <v>0.61361679219999998</v>
      </c>
      <c r="S271">
        <v>7.7929023140000053</v>
      </c>
      <c r="T271">
        <v>11.064487966</v>
      </c>
      <c r="U271">
        <v>0</v>
      </c>
      <c r="V271">
        <v>1077.4398987370009</v>
      </c>
      <c r="W271">
        <v>0</v>
      </c>
      <c r="Y271" t="str">
        <f>$A271 &amp; Keys!$C$8 &amp; $B271</f>
        <v>Missouri|buildings SO2</v>
      </c>
      <c r="Z271" s="8">
        <f>IFERROR(INDEX($U271:$W271, MATCH(INDEX(Runs!$D:$D, MATCH($B271, Runs!$A:$A, 0)), $U$1:$W$1, 0)), 0)</f>
        <v>1077.4398987370009</v>
      </c>
      <c r="AA271" s="8">
        <f t="shared" si="16"/>
        <v>9.6532278247649995E-4</v>
      </c>
      <c r="AB271" s="8">
        <f>IFERROR(VLOOKUP(INDEX(Runs!$F:$F, MATCH($B271, Runs!$A:$A, 0)), US_national_yearly!$D:$AM, MATCH(Keys!$C$7, US_national_yearly!$D$1:$AM$1, 0), FALSE), 0)</f>
        <v>5.1581943281164694E-3</v>
      </c>
      <c r="AC271" s="8">
        <f t="shared" si="17"/>
        <v>0.18714354696074248</v>
      </c>
      <c r="AD271">
        <f>IF($Z271&lt;Keys!$C$3, 1, 0)</f>
        <v>0</v>
      </c>
      <c r="AE271">
        <f>IF($AC271&gt;Keys!$C$4, 1, 0)</f>
        <v>0</v>
      </c>
      <c r="AF271">
        <f>IF($AC271&lt;Keys!$C$5, 1, 0)</f>
        <v>0</v>
      </c>
      <c r="AG271">
        <f t="shared" si="18"/>
        <v>0</v>
      </c>
      <c r="AH271" t="str">
        <f>IFERROR(INDEX(Runs!$E:$E, MATCH($B271, Runs!$A:$A, 0)), $B271)</f>
        <v>Industry SO2</v>
      </c>
      <c r="AI271" t="str">
        <f t="shared" si="19"/>
        <v>buildings SO2</v>
      </c>
      <c r="AJ271" t="str">
        <f>IF($AG271=1, IF($AD271=1, Keys!$C$9, "") &amp; IF($AE271=1, Keys!$C$10, "") &amp; IF($AF271=1, Keys!$C$11, ""), "")</f>
        <v/>
      </c>
      <c r="AK271">
        <f>IF($AG271=1, IFERROR(INDEX($AG$2:$AG$577, MATCH($A271 &amp; Keys!$C$8 &amp; $AH271, $Y$2:$Y$577, 0)), 1), 0)</f>
        <v>0</v>
      </c>
    </row>
    <row r="272" spans="1:37" x14ac:dyDescent="0.25">
      <c r="A272" t="s">
        <v>150</v>
      </c>
      <c r="B272" t="s">
        <v>249</v>
      </c>
      <c r="C272">
        <v>115</v>
      </c>
      <c r="D272">
        <v>15.17370660099999</v>
      </c>
      <c r="E272">
        <v>3.3695886920000001E-2</v>
      </c>
      <c r="F272">
        <v>34.561527469999973</v>
      </c>
      <c r="G272">
        <v>46.541798861999993</v>
      </c>
      <c r="H272">
        <v>71.109096955000027</v>
      </c>
      <c r="I272">
        <v>1.2882677739999999</v>
      </c>
      <c r="J272">
        <v>6.9734312770000013</v>
      </c>
      <c r="K272">
        <v>4205.2474067400008</v>
      </c>
      <c r="L272">
        <v>709.59179226400022</v>
      </c>
      <c r="M272">
        <v>1.7513941770000001</v>
      </c>
      <c r="N272">
        <v>152.21242328700001</v>
      </c>
      <c r="O272">
        <v>3.224449833</v>
      </c>
      <c r="P272">
        <v>0.1882510597</v>
      </c>
      <c r="Q272">
        <v>0.40138682719999991</v>
      </c>
      <c r="R272">
        <v>8.0657946620000001</v>
      </c>
      <c r="S272">
        <v>102.50162183800001</v>
      </c>
      <c r="T272">
        <v>145.70367417200001</v>
      </c>
      <c r="U272">
        <v>0</v>
      </c>
      <c r="V272">
        <v>0</v>
      </c>
      <c r="W272">
        <v>45808.561510888008</v>
      </c>
      <c r="Y272" t="str">
        <f>$A272 &amp; Keys!$C$8 &amp; $B272</f>
        <v>Missouri|electricity NO2</v>
      </c>
      <c r="Z272" s="8">
        <f>IFERROR(INDEX($U272:$W272, MATCH(INDEX(Runs!$D:$D, MATCH($B272, Runs!$A:$A, 0)), $U$1:$W$1, 0)), 0)</f>
        <v>45808.561510888008</v>
      </c>
      <c r="AA272" s="8">
        <f t="shared" si="16"/>
        <v>3.3124171771675102E-4</v>
      </c>
      <c r="AB272" s="8">
        <f>IFERROR(VLOOKUP(INDEX(Runs!$F:$F, MATCH($B272, Runs!$A:$A, 0)), US_national_yearly!$D:$AM, MATCH(Keys!$C$7, US_national_yearly!$D$1:$AM$1, 0), FALSE), 0)</f>
        <v>6.1439221592658041E-3</v>
      </c>
      <c r="AC272" s="8">
        <f t="shared" si="17"/>
        <v>5.3913723046962278E-2</v>
      </c>
      <c r="AD272">
        <f>IF($Z272&lt;Keys!$C$3, 1, 0)</f>
        <v>0</v>
      </c>
      <c r="AE272">
        <f>IF($AC272&gt;Keys!$C$4, 1, 0)</f>
        <v>0</v>
      </c>
      <c r="AF272">
        <f>IF($AC272&lt;Keys!$C$5, 1, 0)</f>
        <v>0</v>
      </c>
      <c r="AG272">
        <f t="shared" si="18"/>
        <v>0</v>
      </c>
      <c r="AH272" t="str">
        <f>IFERROR(INDEX(Runs!$E:$E, MATCH($B272, Runs!$A:$A, 0)), $B272)</f>
        <v>Industry NO2</v>
      </c>
      <c r="AI272" t="str">
        <f t="shared" si="19"/>
        <v>electricity NO2</v>
      </c>
      <c r="AJ272" t="str">
        <f>IF($AG272=1, IF($AD272=1, Keys!$C$9, "") &amp; IF($AE272=1, Keys!$C$10, "") &amp; IF($AF272=1, Keys!$C$11, ""), "")</f>
        <v/>
      </c>
      <c r="AK272">
        <f>IF($AG272=1, IFERROR(INDEX($AG$2:$AG$577, MATCH($A272 &amp; Keys!$C$8 &amp; $AH272, $Y$2:$Y$577, 0)), 1), 0)</f>
        <v>0</v>
      </c>
    </row>
    <row r="273" spans="1:37" x14ac:dyDescent="0.25">
      <c r="A273" t="s">
        <v>150</v>
      </c>
      <c r="B273" t="s">
        <v>247</v>
      </c>
      <c r="C273">
        <v>115</v>
      </c>
      <c r="D273">
        <v>5.0263161289999996</v>
      </c>
      <c r="E273">
        <v>1.2084189009999999E-2</v>
      </c>
      <c r="F273">
        <v>11.967620791</v>
      </c>
      <c r="G273">
        <v>16.116114930999998</v>
      </c>
      <c r="H273">
        <v>24.622774399000001</v>
      </c>
      <c r="I273">
        <v>0.43298287190000012</v>
      </c>
      <c r="J273">
        <v>2.358048930999999</v>
      </c>
      <c r="K273">
        <v>1452.7448038599989</v>
      </c>
      <c r="L273">
        <v>245.722011262</v>
      </c>
      <c r="M273">
        <v>0.59249027400000021</v>
      </c>
      <c r="N273">
        <v>52.706510120999987</v>
      </c>
      <c r="O273">
        <v>1.1135852429999999</v>
      </c>
      <c r="P273">
        <v>6.5462097649999981E-2</v>
      </c>
      <c r="Q273">
        <v>0.1372383952</v>
      </c>
      <c r="R273">
        <v>2.8098737910000011</v>
      </c>
      <c r="S273">
        <v>35.703865078</v>
      </c>
      <c r="T273">
        <v>50.737613651000011</v>
      </c>
      <c r="U273">
        <v>2215.1413585229998</v>
      </c>
      <c r="V273">
        <v>0</v>
      </c>
      <c r="W273">
        <v>0</v>
      </c>
      <c r="Y273" t="str">
        <f>$A273 &amp; Keys!$C$8 &amp; $B273</f>
        <v>Missouri|electricity PM25</v>
      </c>
      <c r="Z273" s="8">
        <f>IFERROR(INDEX($U273:$W273, MATCH(INDEX(Runs!$D:$D, MATCH($B273, Runs!$A:$A, 0)), $U$1:$W$1, 0)), 0)</f>
        <v>2215.1413585229998</v>
      </c>
      <c r="AA273" s="8">
        <f t="shared" si="16"/>
        <v>2.2690724046394131E-3</v>
      </c>
      <c r="AB273" s="8">
        <f>IFERROR(VLOOKUP(INDEX(Runs!$F:$F, MATCH($B273, Runs!$A:$A, 0)), US_national_yearly!$D:$AM, MATCH(Keys!$C$7, US_national_yearly!$D$1:$AM$1, 0), FALSE), 0)</f>
        <v>2.4252978284752182E-2</v>
      </c>
      <c r="AC273" s="8">
        <f t="shared" si="17"/>
        <v>9.35585055987114E-2</v>
      </c>
      <c r="AD273">
        <f>IF($Z273&lt;Keys!$C$3, 1, 0)</f>
        <v>0</v>
      </c>
      <c r="AE273">
        <f>IF($AC273&gt;Keys!$C$4, 1, 0)</f>
        <v>0</v>
      </c>
      <c r="AF273">
        <f>IF($AC273&lt;Keys!$C$5, 1, 0)</f>
        <v>0</v>
      </c>
      <c r="AG273">
        <f t="shared" si="18"/>
        <v>0</v>
      </c>
      <c r="AH273" t="str">
        <f>IFERROR(INDEX(Runs!$E:$E, MATCH($B273, Runs!$A:$A, 0)), $B273)</f>
        <v>Industry PM25</v>
      </c>
      <c r="AI273" t="str">
        <f t="shared" si="19"/>
        <v>electricity PM25</v>
      </c>
      <c r="AJ273" t="str">
        <f>IF($AG273=1, IF($AD273=1, Keys!$C$9, "") &amp; IF($AE273=1, Keys!$C$10, "") &amp; IF($AF273=1, Keys!$C$11, ""), "")</f>
        <v/>
      </c>
      <c r="AK273">
        <f>IF($AG273=1, IFERROR(INDEX($AG$2:$AG$577, MATCH($A273 &amp; Keys!$C$8 &amp; $AH273, $Y$2:$Y$577, 0)), 1), 0)</f>
        <v>0</v>
      </c>
    </row>
    <row r="274" spans="1:37" x14ac:dyDescent="0.25">
      <c r="A274" t="s">
        <v>150</v>
      </c>
      <c r="B274" t="s">
        <v>250</v>
      </c>
      <c r="C274">
        <v>115</v>
      </c>
      <c r="D274">
        <v>3.948580237999999</v>
      </c>
      <c r="E274">
        <v>9.0887000400000032E-3</v>
      </c>
      <c r="F274">
        <v>9.1464309159999981</v>
      </c>
      <c r="G274">
        <v>12.316991288000001</v>
      </c>
      <c r="H274">
        <v>18.818293530999998</v>
      </c>
      <c r="I274">
        <v>0.33603782900000012</v>
      </c>
      <c r="J274">
        <v>1.8216846179999999</v>
      </c>
      <c r="K274">
        <v>1111.4444521370001</v>
      </c>
      <c r="L274">
        <v>187.75783520100001</v>
      </c>
      <c r="M274">
        <v>0.45777341199999988</v>
      </c>
      <c r="N274">
        <v>40.281715734999999</v>
      </c>
      <c r="O274">
        <v>0.85233712199999978</v>
      </c>
      <c r="P274">
        <v>4.9907310870000013E-2</v>
      </c>
      <c r="Q274">
        <v>0.10531185999999999</v>
      </c>
      <c r="R274">
        <v>2.1379451860000001</v>
      </c>
      <c r="S274">
        <v>27.16508566500001</v>
      </c>
      <c r="T274">
        <v>38.60079666</v>
      </c>
      <c r="U274">
        <v>0</v>
      </c>
      <c r="V274">
        <v>57053.150754787013</v>
      </c>
      <c r="W274">
        <v>0</v>
      </c>
      <c r="Y274" t="str">
        <f>$A274 &amp; Keys!$C$8 &amp; $B274</f>
        <v>Missouri|electricity SO2</v>
      </c>
      <c r="Z274" s="8">
        <f>IFERROR(INDEX($U274:$W274, MATCH(INDEX(Runs!$D:$D, MATCH($B274, Runs!$A:$A, 0)), $U$1:$W$1, 0)), 0)</f>
        <v>57053.150754787013</v>
      </c>
      <c r="AA274" s="8">
        <f t="shared" si="16"/>
        <v>6.9208802419535011E-5</v>
      </c>
      <c r="AB274" s="8">
        <f>IFERROR(VLOOKUP(INDEX(Runs!$F:$F, MATCH($B274, Runs!$A:$A, 0)), US_national_yearly!$D:$AM, MATCH(Keys!$C$7, US_national_yearly!$D$1:$AM$1, 0), FALSE), 0)</f>
        <v>5.7032329662362116E-3</v>
      </c>
      <c r="AC274" s="8">
        <f t="shared" si="17"/>
        <v>1.2135012339362428E-2</v>
      </c>
      <c r="AD274">
        <f>IF($Z274&lt;Keys!$C$3, 1, 0)</f>
        <v>0</v>
      </c>
      <c r="AE274">
        <f>IF($AC274&gt;Keys!$C$4, 1, 0)</f>
        <v>0</v>
      </c>
      <c r="AF274">
        <f>IF($AC274&lt;Keys!$C$5, 1, 0)</f>
        <v>0</v>
      </c>
      <c r="AG274">
        <f t="shared" si="18"/>
        <v>0</v>
      </c>
      <c r="AH274" t="str">
        <f>IFERROR(INDEX(Runs!$E:$E, MATCH($B274, Runs!$A:$A, 0)), $B274)</f>
        <v>Industry SO2</v>
      </c>
      <c r="AI274" t="str">
        <f t="shared" si="19"/>
        <v>electricity SO2</v>
      </c>
      <c r="AJ274" t="str">
        <f>IF($AG274=1, IF($AD274=1, Keys!$C$9, "") &amp; IF($AE274=1, Keys!$C$10, "") &amp; IF($AF274=1, Keys!$C$11, ""), "")</f>
        <v/>
      </c>
      <c r="AK274">
        <f>IF($AG274=1, IFERROR(INDEX($AG$2:$AG$577, MATCH($A274 &amp; Keys!$C$8 &amp; $AH274, $Y$2:$Y$577, 0)), 1), 0)</f>
        <v>0</v>
      </c>
    </row>
    <row r="275" spans="1:37" x14ac:dyDescent="0.25">
      <c r="A275" t="s">
        <v>150</v>
      </c>
      <c r="B275" t="s">
        <v>239</v>
      </c>
      <c r="C275">
        <v>115</v>
      </c>
      <c r="D275">
        <v>55.511204798999991</v>
      </c>
      <c r="E275">
        <v>0.1410215232</v>
      </c>
      <c r="F275">
        <v>133.462949538</v>
      </c>
      <c r="G275">
        <v>179.722030152</v>
      </c>
      <c r="H275">
        <v>274.60333469099987</v>
      </c>
      <c r="I275">
        <v>4.6953558940000004</v>
      </c>
      <c r="J275">
        <v>25.821994978999989</v>
      </c>
      <c r="K275">
        <v>16437.894675915999</v>
      </c>
      <c r="L275">
        <v>2788.9815470439999</v>
      </c>
      <c r="M275">
        <v>6.4973883659999982</v>
      </c>
      <c r="N275">
        <v>587.78831438099996</v>
      </c>
      <c r="O275">
        <v>12.487462985000001</v>
      </c>
      <c r="P275">
        <v>0.72927047369999976</v>
      </c>
      <c r="Q275">
        <v>1.534248207000001</v>
      </c>
      <c r="R275">
        <v>31.384687905</v>
      </c>
      <c r="S275">
        <v>398.96470216599988</v>
      </c>
      <c r="T275">
        <v>567.58940581299998</v>
      </c>
      <c r="U275">
        <v>0</v>
      </c>
      <c r="V275">
        <v>0</v>
      </c>
      <c r="W275">
        <v>99285.210110399974</v>
      </c>
      <c r="Y275" t="str">
        <f>$A275 &amp; Keys!$C$8 &amp; $B275</f>
        <v>Missouri|transportation NO2</v>
      </c>
      <c r="Z275" s="8">
        <f>IFERROR(INDEX($U275:$W275, MATCH(INDEX(Runs!$D:$D, MATCH($B275, Runs!$A:$A, 0)), $U$1:$W$1, 0)), 0)</f>
        <v>99285.210110399974</v>
      </c>
      <c r="AA275" s="8">
        <f t="shared" si="16"/>
        <v>5.591084990128381E-4</v>
      </c>
      <c r="AB275" s="8">
        <f>IFERROR(VLOOKUP(INDEX(Runs!$F:$F, MATCH($B275, Runs!$A:$A, 0)), US_national_yearly!$D:$AM, MATCH(Keys!$C$7, US_national_yearly!$D$1:$AM$1, 0), FALSE), 0)</f>
        <v>5.7148835886332216E-3</v>
      </c>
      <c r="AC275" s="8">
        <f t="shared" si="17"/>
        <v>9.7833751176470626E-2</v>
      </c>
      <c r="AD275">
        <f>IF($Z275&lt;Keys!$C$3, 1, 0)</f>
        <v>0</v>
      </c>
      <c r="AE275">
        <f>IF($AC275&gt;Keys!$C$4, 1, 0)</f>
        <v>0</v>
      </c>
      <c r="AF275">
        <f>IF($AC275&lt;Keys!$C$5, 1, 0)</f>
        <v>0</v>
      </c>
      <c r="AG275">
        <f t="shared" si="18"/>
        <v>0</v>
      </c>
      <c r="AH275" t="str">
        <f>IFERROR(INDEX(Runs!$E:$E, MATCH($B275, Runs!$A:$A, 0)), $B275)</f>
        <v>Industry NO2</v>
      </c>
      <c r="AI275" t="str">
        <f t="shared" si="19"/>
        <v>transportation NO2</v>
      </c>
      <c r="AJ275" t="str">
        <f>IF($AG275=1, IF($AD275=1, Keys!$C$9, "") &amp; IF($AE275=1, Keys!$C$10, "") &amp; IF($AF275=1, Keys!$C$11, ""), "")</f>
        <v/>
      </c>
      <c r="AK275">
        <f>IF($AG275=1, IFERROR(INDEX($AG$2:$AG$577, MATCH($A275 &amp; Keys!$C$8 &amp; $AH275, $Y$2:$Y$577, 0)), 1), 0)</f>
        <v>0</v>
      </c>
    </row>
    <row r="276" spans="1:37" x14ac:dyDescent="0.25">
      <c r="A276" t="s">
        <v>150</v>
      </c>
      <c r="B276" t="s">
        <v>234</v>
      </c>
      <c r="C276">
        <v>115</v>
      </c>
      <c r="D276">
        <v>38.959790752999993</v>
      </c>
      <c r="E276">
        <v>9.8894065650000001E-2</v>
      </c>
      <c r="F276">
        <v>93.719461320999997</v>
      </c>
      <c r="G276">
        <v>126.203797983</v>
      </c>
      <c r="H276">
        <v>192.82891075000001</v>
      </c>
      <c r="I276">
        <v>3.314286603999999</v>
      </c>
      <c r="J276">
        <v>18.207720965</v>
      </c>
      <c r="K276">
        <v>11585.783671678</v>
      </c>
      <c r="L276">
        <v>1967.0715763729991</v>
      </c>
      <c r="M276">
        <v>4.5830577920000009</v>
      </c>
      <c r="N276">
        <v>412.75217005399998</v>
      </c>
      <c r="O276">
        <v>8.7863342709999976</v>
      </c>
      <c r="P276">
        <v>0.51169665920000007</v>
      </c>
      <c r="Q276">
        <v>1.0801074386</v>
      </c>
      <c r="R276">
        <v>22.08050712299999</v>
      </c>
      <c r="S276">
        <v>280.70379386600001</v>
      </c>
      <c r="T276">
        <v>399.35294114800013</v>
      </c>
      <c r="U276">
        <v>2142.789022682</v>
      </c>
      <c r="V276">
        <v>0</v>
      </c>
      <c r="W276">
        <v>0</v>
      </c>
      <c r="Y276" t="str">
        <f>$A276 &amp; Keys!$C$8 &amp; $B276</f>
        <v>Missouri|transportation PM25</v>
      </c>
      <c r="Z276" s="8">
        <f>IFERROR(INDEX($U276:$W276, MATCH(INDEX(Runs!$D:$D, MATCH($B276, Runs!$A:$A, 0)), $U$1:$W$1, 0)), 0)</f>
        <v>2142.789022682</v>
      </c>
      <c r="AA276" s="8">
        <f t="shared" si="16"/>
        <v>1.8181813673954876E-2</v>
      </c>
      <c r="AB276" s="8">
        <f>IFERROR(VLOOKUP(INDEX(Runs!$F:$F, MATCH($B276, Runs!$A:$A, 0)), US_national_yearly!$D:$AM, MATCH(Keys!$C$7, US_national_yearly!$D$1:$AM$1, 0), FALSE), 0)</f>
        <v>2.8248683697579859E-2</v>
      </c>
      <c r="AC276" s="8">
        <f t="shared" si="17"/>
        <v>0.64363401383946828</v>
      </c>
      <c r="AD276">
        <f>IF($Z276&lt;Keys!$C$3, 1, 0)</f>
        <v>0</v>
      </c>
      <c r="AE276">
        <f>IF($AC276&gt;Keys!$C$4, 1, 0)</f>
        <v>0</v>
      </c>
      <c r="AF276">
        <f>IF($AC276&lt;Keys!$C$5, 1, 0)</f>
        <v>0</v>
      </c>
      <c r="AG276">
        <f t="shared" si="18"/>
        <v>0</v>
      </c>
      <c r="AH276" t="str">
        <f>IFERROR(INDEX(Runs!$E:$E, MATCH($B276, Runs!$A:$A, 0)), $B276)</f>
        <v>Industry PM25</v>
      </c>
      <c r="AI276" t="str">
        <f t="shared" si="19"/>
        <v>transportation PM25</v>
      </c>
      <c r="AJ276" t="str">
        <f>IF($AG276=1, IF($AD276=1, Keys!$C$9, "") &amp; IF($AE276=1, Keys!$C$10, "") &amp; IF($AF276=1, Keys!$C$11, ""), "")</f>
        <v/>
      </c>
      <c r="AK276">
        <f>IF($AG276=1, IFERROR(INDEX($AG$2:$AG$577, MATCH($A276 &amp; Keys!$C$8 &amp; $AH276, $Y$2:$Y$577, 0)), 1), 0)</f>
        <v>0</v>
      </c>
    </row>
    <row r="277" spans="1:37" x14ac:dyDescent="0.25">
      <c r="A277" t="s">
        <v>150</v>
      </c>
      <c r="B277" t="s">
        <v>243</v>
      </c>
      <c r="C277">
        <v>115</v>
      </c>
      <c r="D277">
        <v>1.1763569099000011</v>
      </c>
      <c r="E277">
        <v>2.818766649999999E-3</v>
      </c>
      <c r="F277">
        <v>2.721304602600001</v>
      </c>
      <c r="G277">
        <v>3.6646322220000012</v>
      </c>
      <c r="H277">
        <v>5.5989344820000007</v>
      </c>
      <c r="I277">
        <v>0.10224835755</v>
      </c>
      <c r="J277">
        <v>0.55254174109999987</v>
      </c>
      <c r="K277">
        <v>338.76076125399999</v>
      </c>
      <c r="L277">
        <v>57.471404921999998</v>
      </c>
      <c r="M277">
        <v>0.13920610312000001</v>
      </c>
      <c r="N277">
        <v>11.984871306600001</v>
      </c>
      <c r="O277">
        <v>0.25674815303999998</v>
      </c>
      <c r="P277">
        <v>1.4774620899E-2</v>
      </c>
      <c r="Q277">
        <v>3.1857469069999991E-2</v>
      </c>
      <c r="R277">
        <v>0.64238285289999997</v>
      </c>
      <c r="S277">
        <v>8.166821005000001</v>
      </c>
      <c r="T277">
        <v>11.615672548999999</v>
      </c>
      <c r="U277">
        <v>0</v>
      </c>
      <c r="V277">
        <v>387.57047065000012</v>
      </c>
      <c r="W277">
        <v>0</v>
      </c>
      <c r="Y277" t="str">
        <f>$A277 &amp; Keys!$C$8 &amp; $B277</f>
        <v>Missouri|transportation SO2</v>
      </c>
      <c r="Z277" s="8">
        <f>IFERROR(INDEX($U277:$W277, MATCH(INDEX(Runs!$D:$D, MATCH($B277, Runs!$A:$A, 0)), $U$1:$W$1, 0)), 0)</f>
        <v>387.57047065000012</v>
      </c>
      <c r="AA277" s="8">
        <f t="shared" si="16"/>
        <v>3.0352077853793031E-3</v>
      </c>
      <c r="AB277" s="8">
        <f>IFERROR(VLOOKUP(INDEX(Runs!$F:$F, MATCH($B277, Runs!$A:$A, 0)), US_national_yearly!$D:$AM, MATCH(Keys!$C$7, US_national_yearly!$D$1:$AM$1, 0), FALSE), 0)</f>
        <v>5.1800714166247604E-3</v>
      </c>
      <c r="AC277" s="8">
        <f t="shared" si="17"/>
        <v>0.58593937057280743</v>
      </c>
      <c r="AD277">
        <f>IF($Z277&lt;Keys!$C$3, 1, 0)</f>
        <v>0</v>
      </c>
      <c r="AE277">
        <f>IF($AC277&gt;Keys!$C$4, 1, 0)</f>
        <v>0</v>
      </c>
      <c r="AF277">
        <f>IF($AC277&lt;Keys!$C$5, 1, 0)</f>
        <v>0</v>
      </c>
      <c r="AG277">
        <f t="shared" si="18"/>
        <v>0</v>
      </c>
      <c r="AH277" t="str">
        <f>IFERROR(INDEX(Runs!$E:$E, MATCH($B277, Runs!$A:$A, 0)), $B277)</f>
        <v>Industry SO2</v>
      </c>
      <c r="AI277" t="str">
        <f t="shared" si="19"/>
        <v>transportation SO2</v>
      </c>
      <c r="AJ277" t="str">
        <f>IF($AG277=1, IF($AD277=1, Keys!$C$9, "") &amp; IF($AE277=1, Keys!$C$10, "") &amp; IF($AF277=1, Keys!$C$11, ""), "")</f>
        <v/>
      </c>
      <c r="AK277">
        <f>IF($AG277=1, IFERROR(INDEX($AG$2:$AG$577, MATCH($A277 &amp; Keys!$C$8 &amp; $AH277, $Y$2:$Y$577, 0)), 1), 0)</f>
        <v>0</v>
      </c>
    </row>
    <row r="278" spans="1:37" x14ac:dyDescent="0.25">
      <c r="A278" t="s">
        <v>153</v>
      </c>
      <c r="B278" t="s">
        <v>242</v>
      </c>
      <c r="C278">
        <v>56</v>
      </c>
      <c r="D278">
        <v>0.9599501669999998</v>
      </c>
      <c r="E278">
        <v>1.966378631E-3</v>
      </c>
      <c r="F278">
        <v>2.157658498</v>
      </c>
      <c r="G278">
        <v>2.9055965879999999</v>
      </c>
      <c r="H278">
        <v>4.4392722409999994</v>
      </c>
      <c r="I278">
        <v>4.2259701400000002E-2</v>
      </c>
      <c r="J278">
        <v>6.3217089599999984E-2</v>
      </c>
      <c r="K278">
        <v>265.51493490600001</v>
      </c>
      <c r="L278">
        <v>44.932961376999998</v>
      </c>
      <c r="M278">
        <v>7.28379158E-2</v>
      </c>
      <c r="N278">
        <v>9.5025273269999992</v>
      </c>
      <c r="O278">
        <v>0.1699001302</v>
      </c>
      <c r="P278">
        <v>1.8909197860000001E-2</v>
      </c>
      <c r="Q278">
        <v>5.5785123789999988E-2</v>
      </c>
      <c r="R278">
        <v>0.50397181850000006</v>
      </c>
      <c r="S278">
        <v>6.3981610050000013</v>
      </c>
      <c r="T278">
        <v>9.078867893</v>
      </c>
      <c r="U278">
        <v>0</v>
      </c>
      <c r="V278">
        <v>0</v>
      </c>
      <c r="W278">
        <v>9755.7319556830025</v>
      </c>
      <c r="Y278" t="str">
        <f>$A278 &amp; Keys!$C$8 &amp; $B278</f>
        <v>Montana|Industry NO2</v>
      </c>
      <c r="Z278" s="8">
        <f>IFERROR(INDEX($U278:$W278, MATCH(INDEX(Runs!$D:$D, MATCH($B278, Runs!$A:$A, 0)), $U$1:$W$1, 0)), 0)</f>
        <v>9755.7319556830025</v>
      </c>
      <c r="AA278" s="8">
        <f t="shared" si="16"/>
        <v>9.8398579559250853E-5</v>
      </c>
      <c r="AB278" s="8">
        <f>IFERROR(VLOOKUP(INDEX(Runs!$F:$F, MATCH($B278, Runs!$A:$A, 0)), US_national_yearly!$D:$AM, MATCH(Keys!$C$7, US_national_yearly!$D$1:$AM$1, 0), FALSE), 0)</f>
        <v>5.8012217057786938E-3</v>
      </c>
      <c r="AC278" s="8">
        <f t="shared" si="17"/>
        <v>1.6961699543603787E-2</v>
      </c>
      <c r="AD278">
        <f>IF($Z278&lt;Keys!$C$3, 1, 0)</f>
        <v>0</v>
      </c>
      <c r="AE278">
        <f>IF($AC278&gt;Keys!$C$4, 1, 0)</f>
        <v>0</v>
      </c>
      <c r="AF278">
        <f>IF($AC278&lt;Keys!$C$5, 1, 0)</f>
        <v>0</v>
      </c>
      <c r="AG278">
        <f t="shared" si="18"/>
        <v>0</v>
      </c>
      <c r="AH278" t="str">
        <f>IFERROR(INDEX(Runs!$E:$E, MATCH($B278, Runs!$A:$A, 0)), $B278)</f>
        <v>Industry NO2</v>
      </c>
      <c r="AI278" t="str">
        <f t="shared" si="19"/>
        <v>Industry NO2</v>
      </c>
      <c r="AJ278" t="str">
        <f>IF($AG278=1, IF($AD278=1, Keys!$C$9, "") &amp; IF($AE278=1, Keys!$C$10, "") &amp; IF($AF278=1, Keys!$C$11, ""), "")</f>
        <v/>
      </c>
      <c r="AK278">
        <f>IF($AG278=1, IFERROR(INDEX($AG$2:$AG$577, MATCH($A278 &amp; Keys!$C$8 &amp; $AH278, $Y$2:$Y$577, 0)), 1), 0)</f>
        <v>0</v>
      </c>
    </row>
    <row r="279" spans="1:37" x14ac:dyDescent="0.25">
      <c r="A279" t="s">
        <v>153</v>
      </c>
      <c r="B279" t="s">
        <v>238</v>
      </c>
      <c r="C279">
        <v>56</v>
      </c>
      <c r="D279">
        <v>5.4077611130000012</v>
      </c>
      <c r="E279">
        <v>1.1211670260000001E-2</v>
      </c>
      <c r="F279">
        <v>12.311450545</v>
      </c>
      <c r="G279">
        <v>16.578931608000001</v>
      </c>
      <c r="H279">
        <v>25.330593043</v>
      </c>
      <c r="I279">
        <v>0.23573484480000001</v>
      </c>
      <c r="J279">
        <v>0.34942037180000002</v>
      </c>
      <c r="K279">
        <v>1512.9944909450001</v>
      </c>
      <c r="L279">
        <v>256.221192062</v>
      </c>
      <c r="M279">
        <v>0.40798958950000003</v>
      </c>
      <c r="N279">
        <v>54.220975195999998</v>
      </c>
      <c r="O279">
        <v>0.96618491800000006</v>
      </c>
      <c r="P279">
        <v>0.10793307169999999</v>
      </c>
      <c r="Q279">
        <v>0.31825679619999991</v>
      </c>
      <c r="R279">
        <v>2.8720198980000009</v>
      </c>
      <c r="S279">
        <v>36.468093938999999</v>
      </c>
      <c r="T279">
        <v>51.771718097999987</v>
      </c>
      <c r="U279">
        <v>2801.640614776999</v>
      </c>
      <c r="V279">
        <v>0</v>
      </c>
      <c r="W279">
        <v>0</v>
      </c>
      <c r="Y279" t="str">
        <f>$A279 &amp; Keys!$C$8 &amp; $B279</f>
        <v>Montana|Industry PM25</v>
      </c>
      <c r="Z279" s="8">
        <f>IFERROR(INDEX($U279:$W279, MATCH(INDEX(Runs!$D:$D, MATCH($B279, Runs!$A:$A, 0)), $U$1:$W$1, 0)), 0)</f>
        <v>2801.640614776999</v>
      </c>
      <c r="AA279" s="8">
        <f t="shared" si="16"/>
        <v>1.9302122779335995E-3</v>
      </c>
      <c r="AB279" s="8">
        <f>IFERROR(VLOOKUP(INDEX(Runs!$F:$F, MATCH($B279, Runs!$A:$A, 0)), US_national_yearly!$D:$AM, MATCH(Keys!$C$7, US_national_yearly!$D$1:$AM$1, 0), FALSE), 0)</f>
        <v>2.6833191881203179E-2</v>
      </c>
      <c r="AC279" s="8">
        <f t="shared" si="17"/>
        <v>7.193375601676838E-2</v>
      </c>
      <c r="AD279">
        <f>IF($Z279&lt;Keys!$C$3, 1, 0)</f>
        <v>0</v>
      </c>
      <c r="AE279">
        <f>IF($AC279&gt;Keys!$C$4, 1, 0)</f>
        <v>0</v>
      </c>
      <c r="AF279">
        <f>IF($AC279&lt;Keys!$C$5, 1, 0)</f>
        <v>0</v>
      </c>
      <c r="AG279">
        <f t="shared" si="18"/>
        <v>0</v>
      </c>
      <c r="AH279" t="str">
        <f>IFERROR(INDEX(Runs!$E:$E, MATCH($B279, Runs!$A:$A, 0)), $B279)</f>
        <v>Industry PM25</v>
      </c>
      <c r="AI279" t="str">
        <f t="shared" si="19"/>
        <v>Industry PM25</v>
      </c>
      <c r="AJ279" t="str">
        <f>IF($AG279=1, IF($AD279=1, Keys!$C$9, "") &amp; IF($AE279=1, Keys!$C$10, "") &amp; IF($AF279=1, Keys!$C$11, ""), "")</f>
        <v/>
      </c>
      <c r="AK279">
        <f>IF($AG279=1, IFERROR(INDEX($AG$2:$AG$577, MATCH($A279 &amp; Keys!$C$8 &amp; $AH279, $Y$2:$Y$577, 0)), 1), 0)</f>
        <v>0</v>
      </c>
    </row>
    <row r="280" spans="1:37" x14ac:dyDescent="0.25">
      <c r="A280" t="s">
        <v>153</v>
      </c>
      <c r="B280" t="s">
        <v>246</v>
      </c>
      <c r="C280">
        <v>56</v>
      </c>
      <c r="D280">
        <v>0.83841776400000012</v>
      </c>
      <c r="E280">
        <v>1.738064072E-3</v>
      </c>
      <c r="F280">
        <v>1.853346121</v>
      </c>
      <c r="G280">
        <v>2.4957971780000001</v>
      </c>
      <c r="H280">
        <v>3.813163313</v>
      </c>
      <c r="I280">
        <v>3.6338067100000003E-2</v>
      </c>
      <c r="J280">
        <v>5.4019909499999991E-2</v>
      </c>
      <c r="K280">
        <v>222.117422226</v>
      </c>
      <c r="L280">
        <v>37.543978715000009</v>
      </c>
      <c r="M280">
        <v>6.2368782300000009E-2</v>
      </c>
      <c r="N280">
        <v>8.1623066119999983</v>
      </c>
      <c r="O280">
        <v>0.143783153</v>
      </c>
      <c r="P280">
        <v>1.6221258830000002E-2</v>
      </c>
      <c r="Q280">
        <v>4.6672859399999989E-2</v>
      </c>
      <c r="R280">
        <v>0.43514315310000012</v>
      </c>
      <c r="S280">
        <v>5.5257835359999996</v>
      </c>
      <c r="T280">
        <v>7.8443672199999988</v>
      </c>
      <c r="U280">
        <v>0</v>
      </c>
      <c r="V280">
        <v>2947.7727722609998</v>
      </c>
      <c r="W280">
        <v>0</v>
      </c>
      <c r="Y280" t="str">
        <f>$A280 &amp; Keys!$C$8 &amp; $B280</f>
        <v>Montana|Industry SO2</v>
      </c>
      <c r="Z280" s="8">
        <f>IFERROR(INDEX($U280:$W280, MATCH(INDEX(Runs!$D:$D, MATCH($B280, Runs!$A:$A, 0)), $U$1:$W$1, 0)), 0)</f>
        <v>2947.7727722609998</v>
      </c>
      <c r="AA280" s="8">
        <f t="shared" si="16"/>
        <v>2.8442414961208734E-4</v>
      </c>
      <c r="AB280" s="8">
        <f>IFERROR(VLOOKUP(INDEX(Runs!$F:$F, MATCH($B280, Runs!$A:$A, 0)), US_national_yearly!$D:$AM, MATCH(Keys!$C$7, US_national_yearly!$D$1:$AM$1, 0), FALSE), 0)</f>
        <v>5.3000351638639942E-3</v>
      </c>
      <c r="AC280" s="8">
        <f t="shared" si="17"/>
        <v>5.366457784116431E-2</v>
      </c>
      <c r="AD280">
        <f>IF($Z280&lt;Keys!$C$3, 1, 0)</f>
        <v>0</v>
      </c>
      <c r="AE280">
        <f>IF($AC280&gt;Keys!$C$4, 1, 0)</f>
        <v>0</v>
      </c>
      <c r="AF280">
        <f>IF($AC280&lt;Keys!$C$5, 1, 0)</f>
        <v>0</v>
      </c>
      <c r="AG280">
        <f t="shared" si="18"/>
        <v>0</v>
      </c>
      <c r="AH280" t="str">
        <f>IFERROR(INDEX(Runs!$E:$E, MATCH($B280, Runs!$A:$A, 0)), $B280)</f>
        <v>Industry SO2</v>
      </c>
      <c r="AI280" t="str">
        <f t="shared" si="19"/>
        <v>Industry SO2</v>
      </c>
      <c r="AJ280" t="str">
        <f>IF($AG280=1, IF($AD280=1, Keys!$C$9, "") &amp; IF($AE280=1, Keys!$C$10, "") &amp; IF($AF280=1, Keys!$C$11, ""), "")</f>
        <v/>
      </c>
      <c r="AK280">
        <f>IF($AG280=1, IFERROR(INDEX($AG$2:$AG$577, MATCH($A280 &amp; Keys!$C$8 &amp; $AH280, $Y$2:$Y$577, 0)), 1), 0)</f>
        <v>0</v>
      </c>
    </row>
    <row r="281" spans="1:37" x14ac:dyDescent="0.25">
      <c r="A281" t="s">
        <v>153</v>
      </c>
      <c r="B281" t="s">
        <v>253</v>
      </c>
      <c r="C281">
        <v>56</v>
      </c>
      <c r="D281">
        <v>0.35081062549999997</v>
      </c>
      <c r="E281">
        <v>7.0187203299999995E-4</v>
      </c>
      <c r="F281">
        <v>0.7817666270000001</v>
      </c>
      <c r="G281">
        <v>1.052762625</v>
      </c>
      <c r="H281">
        <v>1.608441351</v>
      </c>
      <c r="I281">
        <v>1.534686328999999E-2</v>
      </c>
      <c r="J281">
        <v>2.291473451E-2</v>
      </c>
      <c r="K281">
        <v>96.730301136000008</v>
      </c>
      <c r="L281">
        <v>16.381132114</v>
      </c>
      <c r="M281">
        <v>2.644626093E-2</v>
      </c>
      <c r="N281">
        <v>3.442970603</v>
      </c>
      <c r="O281">
        <v>6.1701480799999979E-2</v>
      </c>
      <c r="P281">
        <v>6.8363949800000013E-3</v>
      </c>
      <c r="Q281">
        <v>2.0324368780000001E-2</v>
      </c>
      <c r="R281">
        <v>0.18247226979999989</v>
      </c>
      <c r="S281">
        <v>2.316808516</v>
      </c>
      <c r="T281">
        <v>3.287994005999999</v>
      </c>
      <c r="U281">
        <v>0</v>
      </c>
      <c r="V281">
        <v>0</v>
      </c>
      <c r="W281">
        <v>2577.7447024470011</v>
      </c>
      <c r="Y281" t="str">
        <f>$A281 &amp; Keys!$C$8 &amp; $B281</f>
        <v>Montana|buildings NO2</v>
      </c>
      <c r="Z281" s="8">
        <f>IFERROR(INDEX($U281:$W281, MATCH(INDEX(Runs!$D:$D, MATCH($B281, Runs!$A:$A, 0)), $U$1:$W$1, 0)), 0)</f>
        <v>2577.7447024470011</v>
      </c>
      <c r="AA281" s="8">
        <f t="shared" si="16"/>
        <v>1.3609207504799932E-4</v>
      </c>
      <c r="AB281" s="8">
        <f>IFERROR(VLOOKUP(INDEX(Runs!$F:$F, MATCH($B281, Runs!$A:$A, 0)), US_national_yearly!$D:$AM, MATCH(Keys!$C$7, US_national_yearly!$D$1:$AM$1, 0), FALSE), 0)</f>
        <v>5.6784740124662739E-3</v>
      </c>
      <c r="AC281" s="8">
        <f t="shared" si="17"/>
        <v>2.3966311151416512E-2</v>
      </c>
      <c r="AD281">
        <f>IF($Z281&lt;Keys!$C$3, 1, 0)</f>
        <v>0</v>
      </c>
      <c r="AE281">
        <f>IF($AC281&gt;Keys!$C$4, 1, 0)</f>
        <v>0</v>
      </c>
      <c r="AF281">
        <f>IF($AC281&lt;Keys!$C$5, 1, 0)</f>
        <v>0</v>
      </c>
      <c r="AG281">
        <f t="shared" si="18"/>
        <v>0</v>
      </c>
      <c r="AH281" t="str">
        <f>IFERROR(INDEX(Runs!$E:$E, MATCH($B281, Runs!$A:$A, 0)), $B281)</f>
        <v>Industry NO2</v>
      </c>
      <c r="AI281" t="str">
        <f t="shared" si="19"/>
        <v>buildings NO2</v>
      </c>
      <c r="AJ281" t="str">
        <f>IF($AG281=1, IF($AD281=1, Keys!$C$9, "") &amp; IF($AE281=1, Keys!$C$10, "") &amp; IF($AF281=1, Keys!$C$11, ""), "")</f>
        <v/>
      </c>
      <c r="AK281">
        <f>IF($AG281=1, IFERROR(INDEX($AG$2:$AG$577, MATCH($A281 &amp; Keys!$C$8 &amp; $AH281, $Y$2:$Y$577, 0)), 1), 0)</f>
        <v>0</v>
      </c>
    </row>
    <row r="282" spans="1:37" x14ac:dyDescent="0.25">
      <c r="A282" t="s">
        <v>153</v>
      </c>
      <c r="B282" t="s">
        <v>251</v>
      </c>
      <c r="C282">
        <v>56</v>
      </c>
      <c r="D282">
        <v>1.8470120529999998E-2</v>
      </c>
      <c r="E282">
        <v>3.7446364889999997E-5</v>
      </c>
      <c r="F282">
        <v>4.0938388170000013E-2</v>
      </c>
      <c r="G282">
        <v>5.5129548080000007E-2</v>
      </c>
      <c r="H282">
        <v>8.4228360000000016E-2</v>
      </c>
      <c r="I282">
        <v>8.0038043800000004E-4</v>
      </c>
      <c r="J282">
        <v>1.1812801459999999E-3</v>
      </c>
      <c r="K282">
        <v>5.0244821520000009</v>
      </c>
      <c r="L282">
        <v>0.85058530799999987</v>
      </c>
      <c r="M282">
        <v>1.3813005629999999E-3</v>
      </c>
      <c r="N282">
        <v>0.18029629624999999</v>
      </c>
      <c r="O282">
        <v>3.215072027000001E-3</v>
      </c>
      <c r="P282">
        <v>3.5836399719999998E-4</v>
      </c>
      <c r="Q282">
        <v>1.0567990300000001E-3</v>
      </c>
      <c r="R282">
        <v>9.5711452500000013E-3</v>
      </c>
      <c r="S282">
        <v>0.1215221517</v>
      </c>
      <c r="T282">
        <v>0.17245996499999999</v>
      </c>
      <c r="U282">
        <v>7.8371726410000004</v>
      </c>
      <c r="V282">
        <v>0</v>
      </c>
      <c r="W282">
        <v>0</v>
      </c>
      <c r="Y282" t="str">
        <f>$A282 &amp; Keys!$C$8 &amp; $B282</f>
        <v>Montana|buildings PM25</v>
      </c>
      <c r="Z282" s="8">
        <f>IFERROR(INDEX($U282:$W282, MATCH(INDEX(Runs!$D:$D, MATCH($B282, Runs!$A:$A, 0)), $U$1:$W$1, 0)), 0)</f>
        <v>7.8371726410000004</v>
      </c>
      <c r="AA282" s="8">
        <f t="shared" si="16"/>
        <v>2.3567326351054151E-3</v>
      </c>
      <c r="AB282" s="8">
        <f>IFERROR(VLOOKUP(INDEX(Runs!$F:$F, MATCH($B282, Runs!$A:$A, 0)), US_national_yearly!$D:$AM, MATCH(Keys!$C$7, US_national_yearly!$D$1:$AM$1, 0), FALSE), 0)</f>
        <v>2.7627705191843259E-2</v>
      </c>
      <c r="AC282" s="8">
        <f t="shared" si="17"/>
        <v>8.5303235239429565E-2</v>
      </c>
      <c r="AD282">
        <f>IF($Z282&lt;Keys!$C$3, 1, 0)</f>
        <v>0</v>
      </c>
      <c r="AE282">
        <f>IF($AC282&gt;Keys!$C$4, 1, 0)</f>
        <v>0</v>
      </c>
      <c r="AF282">
        <f>IF($AC282&lt;Keys!$C$5, 1, 0)</f>
        <v>0</v>
      </c>
      <c r="AG282">
        <f t="shared" si="18"/>
        <v>0</v>
      </c>
      <c r="AH282" t="str">
        <f>IFERROR(INDEX(Runs!$E:$E, MATCH($B282, Runs!$A:$A, 0)), $B282)</f>
        <v>Industry PM25</v>
      </c>
      <c r="AI282" t="str">
        <f t="shared" si="19"/>
        <v>buildings PM25</v>
      </c>
      <c r="AJ282" t="str">
        <f>IF($AG282=1, IF($AD282=1, Keys!$C$9, "") &amp; IF($AE282=1, Keys!$C$10, "") &amp; IF($AF282=1, Keys!$C$11, ""), "")</f>
        <v/>
      </c>
      <c r="AK282">
        <f>IF($AG282=1, IFERROR(INDEX($AG$2:$AG$577, MATCH($A282 &amp; Keys!$C$8 &amp; $AH282, $Y$2:$Y$577, 0)), 1), 0)</f>
        <v>0</v>
      </c>
    </row>
    <row r="283" spans="1:37" x14ac:dyDescent="0.25">
      <c r="A283" t="s">
        <v>153</v>
      </c>
      <c r="B283" t="s">
        <v>254</v>
      </c>
      <c r="C283">
        <v>56</v>
      </c>
      <c r="D283">
        <v>1.5013975590000001E-2</v>
      </c>
      <c r="E283">
        <v>2.8880191330000001E-5</v>
      </c>
      <c r="F283">
        <v>3.2928509379999998E-2</v>
      </c>
      <c r="G283">
        <v>4.4343071229999989E-2</v>
      </c>
      <c r="H283">
        <v>6.7748492099999988E-2</v>
      </c>
      <c r="I283">
        <v>6.6823681300000001E-4</v>
      </c>
      <c r="J283">
        <v>9.9851177799999981E-4</v>
      </c>
      <c r="K283">
        <v>4.0963277760000008</v>
      </c>
      <c r="L283">
        <v>0.69308797</v>
      </c>
      <c r="M283">
        <v>1.139381875E-3</v>
      </c>
      <c r="N283">
        <v>0.14502007271</v>
      </c>
      <c r="O283">
        <v>2.6170661929999979E-3</v>
      </c>
      <c r="P283">
        <v>2.8757818649999988E-4</v>
      </c>
      <c r="Q283">
        <v>8.5978290099999978E-4</v>
      </c>
      <c r="R283">
        <v>7.6799134800000007E-3</v>
      </c>
      <c r="S283">
        <v>9.7512881899999987E-2</v>
      </c>
      <c r="T283">
        <v>0.13839433970000001</v>
      </c>
      <c r="U283">
        <v>0</v>
      </c>
      <c r="V283">
        <v>43.892124633999991</v>
      </c>
      <c r="W283">
        <v>0</v>
      </c>
      <c r="Y283" t="str">
        <f>$A283 &amp; Keys!$C$8 &amp; $B283</f>
        <v>Montana|buildings SO2</v>
      </c>
      <c r="Z283" s="8">
        <f>IFERROR(INDEX($U283:$W283, MATCH(INDEX(Runs!$D:$D, MATCH($B283, Runs!$A:$A, 0)), $U$1:$W$1, 0)), 0)</f>
        <v>43.892124633999991</v>
      </c>
      <c r="AA283" s="8">
        <f t="shared" si="16"/>
        <v>3.4206536400768767E-4</v>
      </c>
      <c r="AB283" s="8">
        <f>IFERROR(VLOOKUP(INDEX(Runs!$F:$F, MATCH($B283, Runs!$A:$A, 0)), US_national_yearly!$D:$AM, MATCH(Keys!$C$7, US_national_yearly!$D$1:$AM$1, 0), FALSE), 0)</f>
        <v>5.1581943281164694E-3</v>
      </c>
      <c r="AC283" s="8">
        <f t="shared" si="17"/>
        <v>6.6314943224055289E-2</v>
      </c>
      <c r="AD283">
        <f>IF($Z283&lt;Keys!$C$3, 1, 0)</f>
        <v>0</v>
      </c>
      <c r="AE283">
        <f>IF($AC283&gt;Keys!$C$4, 1, 0)</f>
        <v>0</v>
      </c>
      <c r="AF283">
        <f>IF($AC283&lt;Keys!$C$5, 1, 0)</f>
        <v>0</v>
      </c>
      <c r="AG283">
        <f t="shared" si="18"/>
        <v>0</v>
      </c>
      <c r="AH283" t="str">
        <f>IFERROR(INDEX(Runs!$E:$E, MATCH($B283, Runs!$A:$A, 0)), $B283)</f>
        <v>Industry SO2</v>
      </c>
      <c r="AI283" t="str">
        <f t="shared" si="19"/>
        <v>buildings SO2</v>
      </c>
      <c r="AJ283" t="str">
        <f>IF($AG283=1, IF($AD283=1, Keys!$C$9, "") &amp; IF($AE283=1, Keys!$C$10, "") &amp; IF($AF283=1, Keys!$C$11, ""), "")</f>
        <v/>
      </c>
      <c r="AK283">
        <f>IF($AG283=1, IFERROR(INDEX($AG$2:$AG$577, MATCH($A283 &amp; Keys!$C$8 &amp; $AH283, $Y$2:$Y$577, 0)), 1), 0)</f>
        <v>0</v>
      </c>
    </row>
    <row r="284" spans="1:37" x14ac:dyDescent="0.25">
      <c r="A284" t="s">
        <v>153</v>
      </c>
      <c r="B284" t="s">
        <v>249</v>
      </c>
      <c r="C284">
        <v>56</v>
      </c>
      <c r="D284">
        <v>9.2619109499999991E-2</v>
      </c>
      <c r="E284">
        <v>2.0476292419999999E-4</v>
      </c>
      <c r="F284">
        <v>0.20651900490000011</v>
      </c>
      <c r="G284">
        <v>0.27810809600000003</v>
      </c>
      <c r="H284">
        <v>0.424901009</v>
      </c>
      <c r="I284">
        <v>3.9603660199999998E-3</v>
      </c>
      <c r="J284">
        <v>5.9478957900000002E-3</v>
      </c>
      <c r="K284">
        <v>23.466726011999999</v>
      </c>
      <c r="L284">
        <v>3.96139369</v>
      </c>
      <c r="M284">
        <v>6.7660329400000014E-3</v>
      </c>
      <c r="N284">
        <v>0.9095281099000001</v>
      </c>
      <c r="O284">
        <v>1.5568892000000001E-2</v>
      </c>
      <c r="P284">
        <v>1.8150495800000001E-3</v>
      </c>
      <c r="Q284">
        <v>4.9245175399999994E-3</v>
      </c>
      <c r="R284">
        <v>4.8874749100000003E-2</v>
      </c>
      <c r="S284">
        <v>0.620597222</v>
      </c>
      <c r="T284">
        <v>0.88084739000000012</v>
      </c>
      <c r="U284">
        <v>0</v>
      </c>
      <c r="V284">
        <v>0</v>
      </c>
      <c r="W284">
        <v>8853.1238560430029</v>
      </c>
      <c r="Y284" t="str">
        <f>$A284 &amp; Keys!$C$8 &amp; $B284</f>
        <v>Montana|electricity NO2</v>
      </c>
      <c r="Z284" s="8">
        <f>IFERROR(INDEX($U284:$W284, MATCH(INDEX(Runs!$D:$D, MATCH($B284, Runs!$A:$A, 0)), $U$1:$W$1, 0)), 0)</f>
        <v>8853.1238560430029</v>
      </c>
      <c r="AA284" s="8">
        <f t="shared" si="16"/>
        <v>1.0461743335577492E-5</v>
      </c>
      <c r="AB284" s="8">
        <f>IFERROR(VLOOKUP(INDEX(Runs!$F:$F, MATCH($B284, Runs!$A:$A, 0)), US_national_yearly!$D:$AM, MATCH(Keys!$C$7, US_national_yearly!$D$1:$AM$1, 0), FALSE), 0)</f>
        <v>6.1439221592658041E-3</v>
      </c>
      <c r="AC284" s="8">
        <f t="shared" si="17"/>
        <v>1.702779277533631E-3</v>
      </c>
      <c r="AD284">
        <f>IF($Z284&lt;Keys!$C$3, 1, 0)</f>
        <v>0</v>
      </c>
      <c r="AE284">
        <f>IF($AC284&gt;Keys!$C$4, 1, 0)</f>
        <v>0</v>
      </c>
      <c r="AF284">
        <f>IF($AC284&lt;Keys!$C$5, 1, 0)</f>
        <v>0</v>
      </c>
      <c r="AG284">
        <f t="shared" si="18"/>
        <v>0</v>
      </c>
      <c r="AH284" t="str">
        <f>IFERROR(INDEX(Runs!$E:$E, MATCH($B284, Runs!$A:$A, 0)), $B284)</f>
        <v>Industry NO2</v>
      </c>
      <c r="AI284" t="str">
        <f t="shared" si="19"/>
        <v>electricity NO2</v>
      </c>
      <c r="AJ284" t="str">
        <f>IF($AG284=1, IF($AD284=1, Keys!$C$9, "") &amp; IF($AE284=1, Keys!$C$10, "") &amp; IF($AF284=1, Keys!$C$11, ""), "")</f>
        <v/>
      </c>
      <c r="AK284">
        <f>IF($AG284=1, IFERROR(INDEX($AG$2:$AG$577, MATCH($A284 &amp; Keys!$C$8 &amp; $AH284, $Y$2:$Y$577, 0)), 1), 0)</f>
        <v>0</v>
      </c>
    </row>
    <row r="285" spans="1:37" x14ac:dyDescent="0.25">
      <c r="A285" t="s">
        <v>153</v>
      </c>
      <c r="B285" t="s">
        <v>247</v>
      </c>
      <c r="C285">
        <v>56</v>
      </c>
      <c r="D285">
        <v>0.173657591</v>
      </c>
      <c r="E285">
        <v>4.1136769000000011E-4</v>
      </c>
      <c r="F285">
        <v>0.39512928600000002</v>
      </c>
      <c r="G285">
        <v>0.53209913100000006</v>
      </c>
      <c r="H285">
        <v>0.812956546</v>
      </c>
      <c r="I285">
        <v>7.2248589500000012E-3</v>
      </c>
      <c r="J285">
        <v>1.066558945E-2</v>
      </c>
      <c r="K285">
        <v>43.201919715999999</v>
      </c>
      <c r="L285">
        <v>7.2923157759999988</v>
      </c>
      <c r="M285">
        <v>1.24418993E-2</v>
      </c>
      <c r="N285">
        <v>1.7401849629999999</v>
      </c>
      <c r="O285">
        <v>2.9057343900000001E-2</v>
      </c>
      <c r="P285">
        <v>3.48658618E-3</v>
      </c>
      <c r="Q285">
        <v>9.0864473500000004E-3</v>
      </c>
      <c r="R285">
        <v>9.4012206500000001E-2</v>
      </c>
      <c r="S285">
        <v>1.193722843</v>
      </c>
      <c r="T285">
        <v>1.6942917260000001</v>
      </c>
      <c r="U285">
        <v>718.73539613399987</v>
      </c>
      <c r="V285">
        <v>0</v>
      </c>
      <c r="W285">
        <v>0</v>
      </c>
      <c r="Y285" t="str">
        <f>$A285 &amp; Keys!$C$8 &amp; $B285</f>
        <v>Montana|electricity PM25</v>
      </c>
      <c r="Z285" s="8">
        <f>IFERROR(INDEX($U285:$W285, MATCH(INDEX(Runs!$D:$D, MATCH($B285, Runs!$A:$A, 0)), $U$1:$W$1, 0)), 0)</f>
        <v>718.73539613399987</v>
      </c>
      <c r="AA285" s="8">
        <f t="shared" si="16"/>
        <v>2.4161547063646153E-4</v>
      </c>
      <c r="AB285" s="8">
        <f>IFERROR(VLOOKUP(INDEX(Runs!$F:$F, MATCH($B285, Runs!$A:$A, 0)), US_national_yearly!$D:$AM, MATCH(Keys!$C$7, US_national_yearly!$D$1:$AM$1, 0), FALSE), 0)</f>
        <v>2.4252978284752182E-2</v>
      </c>
      <c r="AC285" s="8">
        <f t="shared" si="17"/>
        <v>9.9623010336988126E-3</v>
      </c>
      <c r="AD285">
        <f>IF($Z285&lt;Keys!$C$3, 1, 0)</f>
        <v>0</v>
      </c>
      <c r="AE285">
        <f>IF($AC285&gt;Keys!$C$4, 1, 0)</f>
        <v>0</v>
      </c>
      <c r="AF285">
        <f>IF($AC285&lt;Keys!$C$5, 1, 0)</f>
        <v>0</v>
      </c>
      <c r="AG285">
        <f t="shared" si="18"/>
        <v>0</v>
      </c>
      <c r="AH285" t="str">
        <f>IFERROR(INDEX(Runs!$E:$E, MATCH($B285, Runs!$A:$A, 0)), $B285)</f>
        <v>Industry PM25</v>
      </c>
      <c r="AI285" t="str">
        <f t="shared" si="19"/>
        <v>electricity PM25</v>
      </c>
      <c r="AJ285" t="str">
        <f>IF($AG285=1, IF($AD285=1, Keys!$C$9, "") &amp; IF($AE285=1, Keys!$C$10, "") &amp; IF($AF285=1, Keys!$C$11, ""), "")</f>
        <v/>
      </c>
      <c r="AK285">
        <f>IF($AG285=1, IFERROR(INDEX($AG$2:$AG$577, MATCH($A285 &amp; Keys!$C$8 &amp; $AH285, $Y$2:$Y$577, 0)), 1), 0)</f>
        <v>0</v>
      </c>
    </row>
    <row r="286" spans="1:37" x14ac:dyDescent="0.25">
      <c r="A286" t="s">
        <v>153</v>
      </c>
      <c r="B286" t="s">
        <v>250</v>
      </c>
      <c r="C286">
        <v>56</v>
      </c>
      <c r="D286">
        <v>0.172696774</v>
      </c>
      <c r="E286">
        <v>3.7477912200000011E-4</v>
      </c>
      <c r="F286">
        <v>0.38123110300000002</v>
      </c>
      <c r="G286">
        <v>0.51338342000000015</v>
      </c>
      <c r="H286">
        <v>0.78436133900000005</v>
      </c>
      <c r="I286">
        <v>7.4492398000000001E-3</v>
      </c>
      <c r="J286">
        <v>1.1166277840000001E-2</v>
      </c>
      <c r="K286">
        <v>43.722901465999989</v>
      </c>
      <c r="L286">
        <v>7.3796623890000008</v>
      </c>
      <c r="M286">
        <v>1.26932769E-2</v>
      </c>
      <c r="N286">
        <v>1.6789758619999999</v>
      </c>
      <c r="O286">
        <v>2.8923981599999999E-2</v>
      </c>
      <c r="P286">
        <v>3.34443224E-3</v>
      </c>
      <c r="Q286">
        <v>9.1744763999999993E-3</v>
      </c>
      <c r="R286">
        <v>9.0137545100000008E-2</v>
      </c>
      <c r="S286">
        <v>1.1446640269999999</v>
      </c>
      <c r="T286">
        <v>1.6249841439999999</v>
      </c>
      <c r="U286">
        <v>0</v>
      </c>
      <c r="V286">
        <v>1912.2122541714</v>
      </c>
      <c r="W286">
        <v>0</v>
      </c>
      <c r="Y286" t="str">
        <f>$A286 &amp; Keys!$C$8 &amp; $B286</f>
        <v>Montana|electricity SO2</v>
      </c>
      <c r="Z286" s="8">
        <f>IFERROR(INDEX($U286:$W286, MATCH(INDEX(Runs!$D:$D, MATCH($B286, Runs!$A:$A, 0)), $U$1:$W$1, 0)), 0)</f>
        <v>1912.2122541714</v>
      </c>
      <c r="AA286" s="8">
        <f t="shared" si="16"/>
        <v>9.0312554803092707E-5</v>
      </c>
      <c r="AB286" s="8">
        <f>IFERROR(VLOOKUP(INDEX(Runs!$F:$F, MATCH($B286, Runs!$A:$A, 0)), US_national_yearly!$D:$AM, MATCH(Keys!$C$7, US_national_yearly!$D$1:$AM$1, 0), FALSE), 0)</f>
        <v>5.7032329662362116E-3</v>
      </c>
      <c r="AC286" s="8">
        <f t="shared" si="17"/>
        <v>1.5835326268057663E-2</v>
      </c>
      <c r="AD286">
        <f>IF($Z286&lt;Keys!$C$3, 1, 0)</f>
        <v>0</v>
      </c>
      <c r="AE286">
        <f>IF($AC286&gt;Keys!$C$4, 1, 0)</f>
        <v>0</v>
      </c>
      <c r="AF286">
        <f>IF($AC286&lt;Keys!$C$5, 1, 0)</f>
        <v>0</v>
      </c>
      <c r="AG286">
        <f t="shared" si="18"/>
        <v>0</v>
      </c>
      <c r="AH286" t="str">
        <f>IFERROR(INDEX(Runs!$E:$E, MATCH($B286, Runs!$A:$A, 0)), $B286)</f>
        <v>Industry SO2</v>
      </c>
      <c r="AI286" t="str">
        <f t="shared" si="19"/>
        <v>electricity SO2</v>
      </c>
      <c r="AJ286" t="str">
        <f>IF($AG286=1, IF($AD286=1, Keys!$C$9, "") &amp; IF($AE286=1, Keys!$C$10, "") &amp; IF($AF286=1, Keys!$C$11, ""), "")</f>
        <v/>
      </c>
      <c r="AK286">
        <f>IF($AG286=1, IFERROR(INDEX($AG$2:$AG$577, MATCH($A286 &amp; Keys!$C$8 &amp; $AH286, $Y$2:$Y$577, 0)), 1), 0)</f>
        <v>0</v>
      </c>
    </row>
    <row r="287" spans="1:37" x14ac:dyDescent="0.25">
      <c r="A287" t="s">
        <v>153</v>
      </c>
      <c r="B287" t="s">
        <v>239</v>
      </c>
      <c r="C287">
        <v>56</v>
      </c>
      <c r="D287">
        <v>4.003552708</v>
      </c>
      <c r="E287">
        <v>7.9366736800000007E-3</v>
      </c>
      <c r="F287">
        <v>8.7553083839999992</v>
      </c>
      <c r="G287">
        <v>11.790206722000001</v>
      </c>
      <c r="H287">
        <v>18.013746051999998</v>
      </c>
      <c r="I287">
        <v>0.17622188329999999</v>
      </c>
      <c r="J287">
        <v>0.26185560400000002</v>
      </c>
      <c r="K287">
        <v>1062.976438985</v>
      </c>
      <c r="L287">
        <v>179.68142012000001</v>
      </c>
      <c r="M287">
        <v>0.30053119900000003</v>
      </c>
      <c r="N287">
        <v>38.559261157999998</v>
      </c>
      <c r="O287">
        <v>0.68636120899999997</v>
      </c>
      <c r="P287">
        <v>7.6611515699999994E-2</v>
      </c>
      <c r="Q287">
        <v>0.22324210089999999</v>
      </c>
      <c r="R287">
        <v>2.0509653000000001</v>
      </c>
      <c r="S287">
        <v>26.045281184000011</v>
      </c>
      <c r="T287">
        <v>36.978324711000013</v>
      </c>
      <c r="U287">
        <v>0</v>
      </c>
      <c r="V287">
        <v>0</v>
      </c>
      <c r="W287">
        <v>41106.292664829998</v>
      </c>
      <c r="Y287" t="str">
        <f>$A287 &amp; Keys!$C$8 &amp; $B287</f>
        <v>Montana|transportation NO2</v>
      </c>
      <c r="Z287" s="8">
        <f>IFERROR(INDEX($U287:$W287, MATCH(INDEX(Runs!$D:$D, MATCH($B287, Runs!$A:$A, 0)), $U$1:$W$1, 0)), 0)</f>
        <v>41106.292664829998</v>
      </c>
      <c r="AA287" s="8">
        <f t="shared" si="16"/>
        <v>9.7395129758938022E-5</v>
      </c>
      <c r="AB287" s="8">
        <f>IFERROR(VLOOKUP(INDEX(Runs!$F:$F, MATCH($B287, Runs!$A:$A, 0)), US_national_yearly!$D:$AM, MATCH(Keys!$C$7, US_national_yearly!$D$1:$AM$1, 0), FALSE), 0)</f>
        <v>5.7148835886332216E-3</v>
      </c>
      <c r="AC287" s="8">
        <f t="shared" si="17"/>
        <v>1.7042364599106585E-2</v>
      </c>
      <c r="AD287">
        <f>IF($Z287&lt;Keys!$C$3, 1, 0)</f>
        <v>0</v>
      </c>
      <c r="AE287">
        <f>IF($AC287&gt;Keys!$C$4, 1, 0)</f>
        <v>0</v>
      </c>
      <c r="AF287">
        <f>IF($AC287&lt;Keys!$C$5, 1, 0)</f>
        <v>0</v>
      </c>
      <c r="AG287">
        <f t="shared" si="18"/>
        <v>0</v>
      </c>
      <c r="AH287" t="str">
        <f>IFERROR(INDEX(Runs!$E:$E, MATCH($B287, Runs!$A:$A, 0)), $B287)</f>
        <v>Industry NO2</v>
      </c>
      <c r="AI287" t="str">
        <f t="shared" si="19"/>
        <v>transportation NO2</v>
      </c>
      <c r="AJ287" t="str">
        <f>IF($AG287=1, IF($AD287=1, Keys!$C$9, "") &amp; IF($AE287=1, Keys!$C$10, "") &amp; IF($AF287=1, Keys!$C$11, ""), "")</f>
        <v/>
      </c>
      <c r="AK287">
        <f>IF($AG287=1, IFERROR(INDEX($AG$2:$AG$577, MATCH($A287 &amp; Keys!$C$8 &amp; $AH287, $Y$2:$Y$577, 0)), 1), 0)</f>
        <v>0</v>
      </c>
    </row>
    <row r="288" spans="1:37" x14ac:dyDescent="0.25">
      <c r="A288" t="s">
        <v>153</v>
      </c>
      <c r="B288" t="s">
        <v>234</v>
      </c>
      <c r="C288">
        <v>56</v>
      </c>
      <c r="D288">
        <v>1.3633985909999999</v>
      </c>
      <c r="E288">
        <v>2.746185886999999E-3</v>
      </c>
      <c r="F288">
        <v>3.0200754500000002</v>
      </c>
      <c r="G288">
        <v>4.0669626240000003</v>
      </c>
      <c r="H288">
        <v>6.2136553199999991</v>
      </c>
      <c r="I288">
        <v>5.9650794099999987E-2</v>
      </c>
      <c r="J288">
        <v>8.8001825700000008E-2</v>
      </c>
      <c r="K288">
        <v>367.5809342010001</v>
      </c>
      <c r="L288">
        <v>62.167615177000023</v>
      </c>
      <c r="M288">
        <v>0.1023769167</v>
      </c>
      <c r="N288">
        <v>13.300693394</v>
      </c>
      <c r="O288">
        <v>0.23653375679999999</v>
      </c>
      <c r="P288">
        <v>2.6455650130000001E-2</v>
      </c>
      <c r="Q288">
        <v>7.728429539999998E-2</v>
      </c>
      <c r="R288">
        <v>0.70741102700000003</v>
      </c>
      <c r="S288">
        <v>8.982484694</v>
      </c>
      <c r="T288">
        <v>12.749800311</v>
      </c>
      <c r="U288">
        <v>804.14468897799975</v>
      </c>
      <c r="V288">
        <v>0</v>
      </c>
      <c r="W288">
        <v>0</v>
      </c>
      <c r="Y288" t="str">
        <f>$A288 &amp; Keys!$C$8 &amp; $B288</f>
        <v>Montana|transportation PM25</v>
      </c>
      <c r="Z288" s="8">
        <f>IFERROR(INDEX($U288:$W288, MATCH(INDEX(Runs!$D:$D, MATCH($B288, Runs!$A:$A, 0)), $U$1:$W$1, 0)), 0)</f>
        <v>804.14468897799975</v>
      </c>
      <c r="AA288" s="8">
        <f t="shared" si="16"/>
        <v>1.6954642736405619E-3</v>
      </c>
      <c r="AB288" s="8">
        <f>IFERROR(VLOOKUP(INDEX(Runs!$F:$F, MATCH($B288, Runs!$A:$A, 0)), US_national_yearly!$D:$AM, MATCH(Keys!$C$7, US_national_yearly!$D$1:$AM$1, 0), FALSE), 0)</f>
        <v>2.8248683697579859E-2</v>
      </c>
      <c r="AC288" s="8">
        <f t="shared" si="17"/>
        <v>6.0019231047775047E-2</v>
      </c>
      <c r="AD288">
        <f>IF($Z288&lt;Keys!$C$3, 1, 0)</f>
        <v>0</v>
      </c>
      <c r="AE288">
        <f>IF($AC288&gt;Keys!$C$4, 1, 0)</f>
        <v>0</v>
      </c>
      <c r="AF288">
        <f>IF($AC288&lt;Keys!$C$5, 1, 0)</f>
        <v>0</v>
      </c>
      <c r="AG288">
        <f t="shared" si="18"/>
        <v>0</v>
      </c>
      <c r="AH288" t="str">
        <f>IFERROR(INDEX(Runs!$E:$E, MATCH($B288, Runs!$A:$A, 0)), $B288)</f>
        <v>Industry PM25</v>
      </c>
      <c r="AI288" t="str">
        <f t="shared" si="19"/>
        <v>transportation PM25</v>
      </c>
      <c r="AJ288" t="str">
        <f>IF($AG288=1, IF($AD288=1, Keys!$C$9, "") &amp; IF($AE288=1, Keys!$C$10, "") &amp; IF($AF288=1, Keys!$C$11, ""), "")</f>
        <v/>
      </c>
      <c r="AK288">
        <f>IF($AG288=1, IFERROR(INDEX($AG$2:$AG$577, MATCH($A288 &amp; Keys!$C$8 &amp; $AH288, $Y$2:$Y$577, 0)), 1), 0)</f>
        <v>0</v>
      </c>
    </row>
    <row r="289" spans="1:37" x14ac:dyDescent="0.25">
      <c r="A289" t="s">
        <v>153</v>
      </c>
      <c r="B289" t="s">
        <v>243</v>
      </c>
      <c r="C289">
        <v>56</v>
      </c>
      <c r="D289">
        <v>3.8570741929999992E-2</v>
      </c>
      <c r="E289">
        <v>7.6365406100000014E-5</v>
      </c>
      <c r="F289">
        <v>8.8589113099999978E-2</v>
      </c>
      <c r="G289">
        <v>0.1192982482000001</v>
      </c>
      <c r="H289">
        <v>0.1822669814</v>
      </c>
      <c r="I289">
        <v>1.7180718459999999E-3</v>
      </c>
      <c r="J289">
        <v>2.5893976550000002E-3</v>
      </c>
      <c r="K289">
        <v>11.166502564</v>
      </c>
      <c r="L289">
        <v>1.893154054</v>
      </c>
      <c r="M289">
        <v>2.9682732919999988E-3</v>
      </c>
      <c r="N289">
        <v>0.39015434269999999</v>
      </c>
      <c r="O289">
        <v>7.0609205699999978E-3</v>
      </c>
      <c r="P289">
        <v>7.7583906200000003E-4</v>
      </c>
      <c r="Q289">
        <v>2.3451704789999991E-3</v>
      </c>
      <c r="R289">
        <v>2.062758487E-2</v>
      </c>
      <c r="S289">
        <v>0.26185291369999991</v>
      </c>
      <c r="T289">
        <v>0.37149401450000002</v>
      </c>
      <c r="U289">
        <v>0</v>
      </c>
      <c r="V289">
        <v>92.563655584999992</v>
      </c>
      <c r="W289">
        <v>0</v>
      </c>
      <c r="Y289" t="str">
        <f>$A289 &amp; Keys!$C$8 &amp; $B289</f>
        <v>Montana|transportation SO2</v>
      </c>
      <c r="Z289" s="8">
        <f>IFERROR(INDEX($U289:$W289, MATCH(INDEX(Runs!$D:$D, MATCH($B289, Runs!$A:$A, 0)), $U$1:$W$1, 0)), 0)</f>
        <v>92.563655584999992</v>
      </c>
      <c r="AA289" s="8">
        <f t="shared" si="16"/>
        <v>4.1669423799474929E-4</v>
      </c>
      <c r="AB289" s="8">
        <f>IFERROR(VLOOKUP(INDEX(Runs!$F:$F, MATCH($B289, Runs!$A:$A, 0)), US_national_yearly!$D:$AM, MATCH(Keys!$C$7, US_national_yearly!$D$1:$AM$1, 0), FALSE), 0)</f>
        <v>5.1800714166247604E-3</v>
      </c>
      <c r="AC289" s="8">
        <f t="shared" si="17"/>
        <v>8.0441794037322295E-2</v>
      </c>
      <c r="AD289">
        <f>IF($Z289&lt;Keys!$C$3, 1, 0)</f>
        <v>0</v>
      </c>
      <c r="AE289">
        <f>IF($AC289&gt;Keys!$C$4, 1, 0)</f>
        <v>0</v>
      </c>
      <c r="AF289">
        <f>IF($AC289&lt;Keys!$C$5, 1, 0)</f>
        <v>0</v>
      </c>
      <c r="AG289">
        <f t="shared" si="18"/>
        <v>0</v>
      </c>
      <c r="AH289" t="str">
        <f>IFERROR(INDEX(Runs!$E:$E, MATCH($B289, Runs!$A:$A, 0)), $B289)</f>
        <v>Industry SO2</v>
      </c>
      <c r="AI289" t="str">
        <f t="shared" si="19"/>
        <v>transportation SO2</v>
      </c>
      <c r="AJ289" t="str">
        <f>IF($AG289=1, IF($AD289=1, Keys!$C$9, "") &amp; IF($AE289=1, Keys!$C$10, "") &amp; IF($AF289=1, Keys!$C$11, ""), "")</f>
        <v/>
      </c>
      <c r="AK289">
        <f>IF($AG289=1, IFERROR(INDEX($AG$2:$AG$577, MATCH($A289 &amp; Keys!$C$8 &amp; $AH289, $Y$2:$Y$577, 0)), 1), 0)</f>
        <v>0</v>
      </c>
    </row>
    <row r="290" spans="1:37" x14ac:dyDescent="0.25">
      <c r="A290" t="s">
        <v>156</v>
      </c>
      <c r="B290" t="s">
        <v>242</v>
      </c>
      <c r="C290">
        <v>93</v>
      </c>
      <c r="D290">
        <v>0.23655214826000001</v>
      </c>
      <c r="E290">
        <v>6.2753148601000001E-4</v>
      </c>
      <c r="F290">
        <v>0.73061499670000007</v>
      </c>
      <c r="G290">
        <v>0.98387999319999964</v>
      </c>
      <c r="H290">
        <v>1.5031987247</v>
      </c>
      <c r="I290">
        <v>1.5571857026999999E-2</v>
      </c>
      <c r="J290">
        <v>8.4285330520000007E-2</v>
      </c>
      <c r="K290">
        <v>81.167223769999978</v>
      </c>
      <c r="L290">
        <v>13.766480986999991</v>
      </c>
      <c r="M290">
        <v>1.7346135242000009E-2</v>
      </c>
      <c r="N290">
        <v>3.2176937146000002</v>
      </c>
      <c r="O290">
        <v>2.2851004766000022E-2</v>
      </c>
      <c r="P290">
        <v>1.3694897694000001E-3</v>
      </c>
      <c r="Q290">
        <v>3.4695248040000019E-3</v>
      </c>
      <c r="R290">
        <v>0.17245579666999999</v>
      </c>
      <c r="S290">
        <v>2.1918555306999998</v>
      </c>
      <c r="T290">
        <v>3.110389254999999</v>
      </c>
      <c r="U290">
        <v>0</v>
      </c>
      <c r="V290">
        <v>0</v>
      </c>
      <c r="W290">
        <v>8769.476376315004</v>
      </c>
      <c r="Y290" t="str">
        <f>$A290 &amp; Keys!$C$8 &amp; $B290</f>
        <v>Nebraska|Industry NO2</v>
      </c>
      <c r="Z290" s="8">
        <f>IFERROR(INDEX($U290:$W290, MATCH(INDEX(Runs!$D:$D, MATCH($B290, Runs!$A:$A, 0)), $U$1:$W$1, 0)), 0)</f>
        <v>8769.476376315004</v>
      </c>
      <c r="AA290" s="8">
        <f t="shared" si="16"/>
        <v>2.6974489480226058E-5</v>
      </c>
      <c r="AB290" s="8">
        <f>IFERROR(VLOOKUP(INDEX(Runs!$F:$F, MATCH($B290, Runs!$A:$A, 0)), US_national_yearly!$D:$AM, MATCH(Keys!$C$7, US_national_yearly!$D$1:$AM$1, 0), FALSE), 0)</f>
        <v>5.8012217057786938E-3</v>
      </c>
      <c r="AC290" s="8">
        <f t="shared" si="17"/>
        <v>4.6497946205635134E-3</v>
      </c>
      <c r="AD290">
        <f>IF($Z290&lt;Keys!$C$3, 1, 0)</f>
        <v>0</v>
      </c>
      <c r="AE290">
        <f>IF($AC290&gt;Keys!$C$4, 1, 0)</f>
        <v>0</v>
      </c>
      <c r="AF290">
        <f>IF($AC290&lt;Keys!$C$5, 1, 0)</f>
        <v>0</v>
      </c>
      <c r="AG290">
        <f t="shared" si="18"/>
        <v>0</v>
      </c>
      <c r="AH290" t="str">
        <f>IFERROR(INDEX(Runs!$E:$E, MATCH($B290, Runs!$A:$A, 0)), $B290)</f>
        <v>Industry NO2</v>
      </c>
      <c r="AI290" t="str">
        <f t="shared" si="19"/>
        <v>Industry NO2</v>
      </c>
      <c r="AJ290" t="str">
        <f>IF($AG290=1, IF($AD290=1, Keys!$C$9, "") &amp; IF($AE290=1, Keys!$C$10, "") &amp; IF($AF290=1, Keys!$C$11, ""), "")</f>
        <v/>
      </c>
      <c r="AK290">
        <f>IF($AG290=1, IFERROR(INDEX($AG$2:$AG$577, MATCH($A290 &amp; Keys!$C$8 &amp; $AH290, $Y$2:$Y$577, 0)), 1), 0)</f>
        <v>0</v>
      </c>
    </row>
    <row r="291" spans="1:37" x14ac:dyDescent="0.25">
      <c r="A291" t="s">
        <v>156</v>
      </c>
      <c r="B291" t="s">
        <v>238</v>
      </c>
      <c r="C291">
        <v>93</v>
      </c>
      <c r="D291">
        <v>14.426286366999999</v>
      </c>
      <c r="E291">
        <v>4.3232489701000007E-2</v>
      </c>
      <c r="F291">
        <v>48.305076347000004</v>
      </c>
      <c r="G291">
        <v>65.047889054999985</v>
      </c>
      <c r="H291">
        <v>99.388944756000043</v>
      </c>
      <c r="I291">
        <v>0.8985959228</v>
      </c>
      <c r="J291">
        <v>5.2625037900999958</v>
      </c>
      <c r="K291">
        <v>5286.5410842349993</v>
      </c>
      <c r="L291">
        <v>900.01012347899996</v>
      </c>
      <c r="M291">
        <v>1.0552078417999999</v>
      </c>
      <c r="N291">
        <v>212.74191015800011</v>
      </c>
      <c r="O291">
        <v>1.4573031833000001</v>
      </c>
      <c r="P291">
        <v>8.5931359779000002E-2</v>
      </c>
      <c r="Q291">
        <v>0.20995177272000001</v>
      </c>
      <c r="R291">
        <v>11.490232832</v>
      </c>
      <c r="S291">
        <v>145.98066537599991</v>
      </c>
      <c r="T291">
        <v>207.2989122630002</v>
      </c>
      <c r="U291">
        <v>1689.5338120020001</v>
      </c>
      <c r="V291">
        <v>0</v>
      </c>
      <c r="W291">
        <v>0</v>
      </c>
      <c r="Y291" t="str">
        <f>$A291 &amp; Keys!$C$8 &amp; $B291</f>
        <v>Nebraska|Industry PM25</v>
      </c>
      <c r="Z291" s="8">
        <f>IFERROR(INDEX($U291:$W291, MATCH(INDEX(Runs!$D:$D, MATCH($B291, Runs!$A:$A, 0)), $U$1:$W$1, 0)), 0)</f>
        <v>1689.5338120020001</v>
      </c>
      <c r="AA291" s="8">
        <f t="shared" si="16"/>
        <v>8.5386195082451065E-3</v>
      </c>
      <c r="AB291" s="8">
        <f>IFERROR(VLOOKUP(INDEX(Runs!$F:$F, MATCH($B291, Runs!$A:$A, 0)), US_national_yearly!$D:$AM, MATCH(Keys!$C$7, US_national_yearly!$D$1:$AM$1, 0), FALSE), 0)</f>
        <v>2.6833191881203179E-2</v>
      </c>
      <c r="AC291" s="8">
        <f t="shared" si="17"/>
        <v>0.31821110011986548</v>
      </c>
      <c r="AD291">
        <f>IF($Z291&lt;Keys!$C$3, 1, 0)</f>
        <v>0</v>
      </c>
      <c r="AE291">
        <f>IF($AC291&gt;Keys!$C$4, 1, 0)</f>
        <v>0</v>
      </c>
      <c r="AF291">
        <f>IF($AC291&lt;Keys!$C$5, 1, 0)</f>
        <v>0</v>
      </c>
      <c r="AG291">
        <f t="shared" si="18"/>
        <v>0</v>
      </c>
      <c r="AH291" t="str">
        <f>IFERROR(INDEX(Runs!$E:$E, MATCH($B291, Runs!$A:$A, 0)), $B291)</f>
        <v>Industry PM25</v>
      </c>
      <c r="AI291" t="str">
        <f t="shared" si="19"/>
        <v>Industry PM25</v>
      </c>
      <c r="AJ291" t="str">
        <f>IF($AG291=1, IF($AD291=1, Keys!$C$9, "") &amp; IF($AE291=1, Keys!$C$10, "") &amp; IF($AF291=1, Keys!$C$11, ""), "")</f>
        <v/>
      </c>
      <c r="AK291">
        <f>IF($AG291=1, IFERROR(INDEX($AG$2:$AG$577, MATCH($A291 &amp; Keys!$C$8 &amp; $AH291, $Y$2:$Y$577, 0)), 1), 0)</f>
        <v>0</v>
      </c>
    </row>
    <row r="292" spans="1:37" x14ac:dyDescent="0.25">
      <c r="A292" t="s">
        <v>156</v>
      </c>
      <c r="B292" t="s">
        <v>246</v>
      </c>
      <c r="C292">
        <v>93</v>
      </c>
      <c r="D292">
        <v>1.4073669497000001</v>
      </c>
      <c r="E292">
        <v>3.5858000860000002E-3</v>
      </c>
      <c r="F292">
        <v>4.2412036320000004</v>
      </c>
      <c r="G292">
        <v>5.7113886200000001</v>
      </c>
      <c r="H292">
        <v>8.7260605849999973</v>
      </c>
      <c r="I292">
        <v>9.3465834079999977E-2</v>
      </c>
      <c r="J292">
        <v>0.50606165960000016</v>
      </c>
      <c r="K292">
        <v>473.88922499000012</v>
      </c>
      <c r="L292">
        <v>80.312633374000058</v>
      </c>
      <c r="M292">
        <v>0.10258905866</v>
      </c>
      <c r="N292">
        <v>18.678652836999991</v>
      </c>
      <c r="O292">
        <v>0.13100212374999989</v>
      </c>
      <c r="P292">
        <v>7.5832743680000004E-3</v>
      </c>
      <c r="Q292">
        <v>1.947980408000001E-2</v>
      </c>
      <c r="R292">
        <v>1.0004531554999989</v>
      </c>
      <c r="S292">
        <v>12.714291187000001</v>
      </c>
      <c r="T292">
        <v>18.047378681000001</v>
      </c>
      <c r="U292">
        <v>0</v>
      </c>
      <c r="V292">
        <v>894.08139979700013</v>
      </c>
      <c r="W292">
        <v>0</v>
      </c>
      <c r="Y292" t="str">
        <f>$A292 &amp; Keys!$C$8 &amp; $B292</f>
        <v>Nebraska|Industry SO2</v>
      </c>
      <c r="Z292" s="8">
        <f>IFERROR(INDEX($U292:$W292, MATCH(INDEX(Runs!$D:$D, MATCH($B292, Runs!$A:$A, 0)), $U$1:$W$1, 0)), 0)</f>
        <v>894.08139979700013</v>
      </c>
      <c r="AA292" s="8">
        <f t="shared" si="16"/>
        <v>1.5740926385668472E-3</v>
      </c>
      <c r="AB292" s="8">
        <f>IFERROR(VLOOKUP(INDEX(Runs!$F:$F, MATCH($B292, Runs!$A:$A, 0)), US_national_yearly!$D:$AM, MATCH(Keys!$C$7, US_national_yearly!$D$1:$AM$1, 0), FALSE), 0)</f>
        <v>5.3000351638639942E-3</v>
      </c>
      <c r="AC292" s="8">
        <f t="shared" si="17"/>
        <v>0.29699664056931535</v>
      </c>
      <c r="AD292">
        <f>IF($Z292&lt;Keys!$C$3, 1, 0)</f>
        <v>0</v>
      </c>
      <c r="AE292">
        <f>IF($AC292&gt;Keys!$C$4, 1, 0)</f>
        <v>0</v>
      </c>
      <c r="AF292">
        <f>IF($AC292&lt;Keys!$C$5, 1, 0)</f>
        <v>0</v>
      </c>
      <c r="AG292">
        <f t="shared" si="18"/>
        <v>0</v>
      </c>
      <c r="AH292" t="str">
        <f>IFERROR(INDEX(Runs!$E:$E, MATCH($B292, Runs!$A:$A, 0)), $B292)</f>
        <v>Industry SO2</v>
      </c>
      <c r="AI292" t="str">
        <f t="shared" si="19"/>
        <v>Industry SO2</v>
      </c>
      <c r="AJ292" t="str">
        <f>IF($AG292=1, IF($AD292=1, Keys!$C$9, "") &amp; IF($AE292=1, Keys!$C$10, "") &amp; IF($AF292=1, Keys!$C$11, ""), "")</f>
        <v/>
      </c>
      <c r="AK292">
        <f>IF($AG292=1, IFERROR(INDEX($AG$2:$AG$577, MATCH($A292 &amp; Keys!$C$8 &amp; $AH292, $Y$2:$Y$577, 0)), 1), 0)</f>
        <v>0</v>
      </c>
    </row>
    <row r="293" spans="1:37" x14ac:dyDescent="0.25">
      <c r="A293" t="s">
        <v>156</v>
      </c>
      <c r="B293" t="s">
        <v>253</v>
      </c>
      <c r="C293">
        <v>93</v>
      </c>
      <c r="D293">
        <v>1.2549357968999999</v>
      </c>
      <c r="E293">
        <v>3.8641784337000002E-3</v>
      </c>
      <c r="F293">
        <v>4.284016746499999</v>
      </c>
      <c r="G293">
        <v>5.7690409586000024</v>
      </c>
      <c r="H293">
        <v>8.8141497490000003</v>
      </c>
      <c r="I293">
        <v>7.7289643310000003E-2</v>
      </c>
      <c r="J293">
        <v>0.46164031583999993</v>
      </c>
      <c r="K293">
        <v>469.45914715200001</v>
      </c>
      <c r="L293">
        <v>79.978808634000018</v>
      </c>
      <c r="M293">
        <v>9.1876047179999976E-2</v>
      </c>
      <c r="N293">
        <v>18.867207454100001</v>
      </c>
      <c r="O293">
        <v>0.12860949801999999</v>
      </c>
      <c r="P293">
        <v>7.5432626280000003E-3</v>
      </c>
      <c r="Q293">
        <v>1.8308946528000001E-2</v>
      </c>
      <c r="R293">
        <v>1.0211629314999999</v>
      </c>
      <c r="S293">
        <v>12.967756276999991</v>
      </c>
      <c r="T293">
        <v>18.396786641999999</v>
      </c>
      <c r="U293">
        <v>0</v>
      </c>
      <c r="V293">
        <v>0</v>
      </c>
      <c r="W293">
        <v>2777.511410524</v>
      </c>
      <c r="Y293" t="str">
        <f>$A293 &amp; Keys!$C$8 &amp; $B293</f>
        <v>Nebraska|buildings NO2</v>
      </c>
      <c r="Z293" s="8">
        <f>IFERROR(INDEX($U293:$W293, MATCH(INDEX(Runs!$D:$D, MATCH($B293, Runs!$A:$A, 0)), $U$1:$W$1, 0)), 0)</f>
        <v>2777.511410524</v>
      </c>
      <c r="AA293" s="8">
        <f t="shared" si="16"/>
        <v>4.5182021292335432E-4</v>
      </c>
      <c r="AB293" s="8">
        <f>IFERROR(VLOOKUP(INDEX(Runs!$F:$F, MATCH($B293, Runs!$A:$A, 0)), US_national_yearly!$D:$AM, MATCH(Keys!$C$7, US_national_yearly!$D$1:$AM$1, 0), FALSE), 0)</f>
        <v>5.6784740124662739E-3</v>
      </c>
      <c r="AC293" s="8">
        <f t="shared" si="17"/>
        <v>7.9567188637554381E-2</v>
      </c>
      <c r="AD293">
        <f>IF($Z293&lt;Keys!$C$3, 1, 0)</f>
        <v>0</v>
      </c>
      <c r="AE293">
        <f>IF($AC293&gt;Keys!$C$4, 1, 0)</f>
        <v>0</v>
      </c>
      <c r="AF293">
        <f>IF($AC293&lt;Keys!$C$5, 1, 0)</f>
        <v>0</v>
      </c>
      <c r="AG293">
        <f t="shared" si="18"/>
        <v>0</v>
      </c>
      <c r="AH293" t="str">
        <f>IFERROR(INDEX(Runs!$E:$E, MATCH($B293, Runs!$A:$A, 0)), $B293)</f>
        <v>Industry NO2</v>
      </c>
      <c r="AI293" t="str">
        <f t="shared" si="19"/>
        <v>buildings NO2</v>
      </c>
      <c r="AJ293" t="str">
        <f>IF($AG293=1, IF($AD293=1, Keys!$C$9, "") &amp; IF($AE293=1, Keys!$C$10, "") &amp; IF($AF293=1, Keys!$C$11, ""), "")</f>
        <v/>
      </c>
      <c r="AK293">
        <f>IF($AG293=1, IFERROR(INDEX($AG$2:$AG$577, MATCH($A293 &amp; Keys!$C$8 &amp; $AH293, $Y$2:$Y$577, 0)), 1), 0)</f>
        <v>0</v>
      </c>
    </row>
    <row r="294" spans="1:37" x14ac:dyDescent="0.25">
      <c r="A294" t="s">
        <v>156</v>
      </c>
      <c r="B294" t="s">
        <v>251</v>
      </c>
      <c r="C294">
        <v>93</v>
      </c>
      <c r="D294">
        <v>0.1929026942700002</v>
      </c>
      <c r="E294">
        <v>6.1363744581000024E-4</v>
      </c>
      <c r="F294">
        <v>0.67180676728999966</v>
      </c>
      <c r="G294">
        <v>0.90468599789999982</v>
      </c>
      <c r="H294">
        <v>1.3822043800799999</v>
      </c>
      <c r="I294">
        <v>1.16905491179E-2</v>
      </c>
      <c r="J294">
        <v>7.1030693945999979E-2</v>
      </c>
      <c r="K294">
        <v>73.152867126000046</v>
      </c>
      <c r="L294">
        <v>12.475032643700001</v>
      </c>
      <c r="M294">
        <v>1.4024360321100011E-2</v>
      </c>
      <c r="N294">
        <v>2.9586971452699991</v>
      </c>
      <c r="O294">
        <v>1.9973730889200011E-2</v>
      </c>
      <c r="P294">
        <v>1.1759175294999999E-3</v>
      </c>
      <c r="Q294">
        <v>2.831172582000001E-3</v>
      </c>
      <c r="R294">
        <v>0.16089523976299999</v>
      </c>
      <c r="S294">
        <v>2.0426664923400009</v>
      </c>
      <c r="T294">
        <v>2.8974681112999998</v>
      </c>
      <c r="U294">
        <v>13.841185963999999</v>
      </c>
      <c r="V294">
        <v>0</v>
      </c>
      <c r="W294">
        <v>0</v>
      </c>
      <c r="Y294" t="str">
        <f>$A294 &amp; Keys!$C$8 &amp; $B294</f>
        <v>Nebraska|buildings PM25</v>
      </c>
      <c r="Z294" s="8">
        <f>IFERROR(INDEX($U294:$W294, MATCH(INDEX(Runs!$D:$D, MATCH($B294, Runs!$A:$A, 0)), $U$1:$W$1, 0)), 0)</f>
        <v>13.841185963999999</v>
      </c>
      <c r="AA294" s="8">
        <f t="shared" si="16"/>
        <v>1.393686168018602E-2</v>
      </c>
      <c r="AB294" s="8">
        <f>IFERROR(VLOOKUP(INDEX(Runs!$F:$F, MATCH($B294, Runs!$A:$A, 0)), US_national_yearly!$D:$AM, MATCH(Keys!$C$7, US_national_yearly!$D$1:$AM$1, 0), FALSE), 0)</f>
        <v>2.7627705191843259E-2</v>
      </c>
      <c r="AC294" s="8">
        <f t="shared" si="17"/>
        <v>0.50445238152826055</v>
      </c>
      <c r="AD294">
        <f>IF($Z294&lt;Keys!$C$3, 1, 0)</f>
        <v>0</v>
      </c>
      <c r="AE294">
        <f>IF($AC294&gt;Keys!$C$4, 1, 0)</f>
        <v>0</v>
      </c>
      <c r="AF294">
        <f>IF($AC294&lt;Keys!$C$5, 1, 0)</f>
        <v>0</v>
      </c>
      <c r="AG294">
        <f t="shared" si="18"/>
        <v>0</v>
      </c>
      <c r="AH294" t="str">
        <f>IFERROR(INDEX(Runs!$E:$E, MATCH($B294, Runs!$A:$A, 0)), $B294)</f>
        <v>Industry PM25</v>
      </c>
      <c r="AI294" t="str">
        <f t="shared" si="19"/>
        <v>buildings PM25</v>
      </c>
      <c r="AJ294" t="str">
        <f>IF($AG294=1, IF($AD294=1, Keys!$C$9, "") &amp; IF($AE294=1, Keys!$C$10, "") &amp; IF($AF294=1, Keys!$C$11, ""), "")</f>
        <v/>
      </c>
      <c r="AK294">
        <f>IF($AG294=1, IFERROR(INDEX($AG$2:$AG$577, MATCH($A294 &amp; Keys!$C$8 &amp; $AH294, $Y$2:$Y$577, 0)), 1), 0)</f>
        <v>0</v>
      </c>
    </row>
    <row r="295" spans="1:37" x14ac:dyDescent="0.25">
      <c r="A295" t="s">
        <v>156</v>
      </c>
      <c r="B295" t="s">
        <v>254</v>
      </c>
      <c r="C295">
        <v>93</v>
      </c>
      <c r="D295">
        <v>7.4681120159999998E-3</v>
      </c>
      <c r="E295">
        <v>2.1858597812E-5</v>
      </c>
      <c r="F295">
        <v>2.4533128827999989E-2</v>
      </c>
      <c r="G295">
        <v>3.3037465297000003E-2</v>
      </c>
      <c r="H295">
        <v>5.047548843E-2</v>
      </c>
      <c r="I295">
        <v>4.6869268500000002E-4</v>
      </c>
      <c r="J295">
        <v>2.7254013749999999E-3</v>
      </c>
      <c r="K295">
        <v>2.6873353889999998</v>
      </c>
      <c r="L295">
        <v>0.45715747950000019</v>
      </c>
      <c r="M295">
        <v>5.4652206839999999E-4</v>
      </c>
      <c r="N295">
        <v>0.10804608255500001</v>
      </c>
      <c r="O295">
        <v>7.4008782700000001E-4</v>
      </c>
      <c r="P295">
        <v>4.320834116E-5</v>
      </c>
      <c r="Q295">
        <v>1.0596246300000001E-4</v>
      </c>
      <c r="R295">
        <v>5.8357582220000016E-3</v>
      </c>
      <c r="S295">
        <v>7.4137159660000021E-2</v>
      </c>
      <c r="T295">
        <v>0.10517279797</v>
      </c>
      <c r="U295">
        <v>0</v>
      </c>
      <c r="V295">
        <v>16.535759613</v>
      </c>
      <c r="W295">
        <v>0</v>
      </c>
      <c r="Y295" t="str">
        <f>$A295 &amp; Keys!$C$8 &amp; $B295</f>
        <v>Nebraska|buildings SO2</v>
      </c>
      <c r="Z295" s="8">
        <f>IFERROR(INDEX($U295:$W295, MATCH(INDEX(Runs!$D:$D, MATCH($B295, Runs!$A:$A, 0)), $U$1:$W$1, 0)), 0)</f>
        <v>16.535759613</v>
      </c>
      <c r="AA295" s="8">
        <f t="shared" si="16"/>
        <v>4.5163404589703625E-4</v>
      </c>
      <c r="AB295" s="8">
        <f>IFERROR(VLOOKUP(INDEX(Runs!$F:$F, MATCH($B295, Runs!$A:$A, 0)), US_national_yearly!$D:$AM, MATCH(Keys!$C$7, US_national_yearly!$D$1:$AM$1, 0), FALSE), 0)</f>
        <v>5.1581943281164694E-3</v>
      </c>
      <c r="AC295" s="8">
        <f t="shared" si="17"/>
        <v>8.7556617135429213E-2</v>
      </c>
      <c r="AD295">
        <f>IF($Z295&lt;Keys!$C$3, 1, 0)</f>
        <v>0</v>
      </c>
      <c r="AE295">
        <f>IF($AC295&gt;Keys!$C$4, 1, 0)</f>
        <v>0</v>
      </c>
      <c r="AF295">
        <f>IF($AC295&lt;Keys!$C$5, 1, 0)</f>
        <v>0</v>
      </c>
      <c r="AG295">
        <f t="shared" si="18"/>
        <v>0</v>
      </c>
      <c r="AH295" t="str">
        <f>IFERROR(INDEX(Runs!$E:$E, MATCH($B295, Runs!$A:$A, 0)), $B295)</f>
        <v>Industry SO2</v>
      </c>
      <c r="AI295" t="str">
        <f t="shared" si="19"/>
        <v>buildings SO2</v>
      </c>
      <c r="AJ295" t="str">
        <f>IF($AG295=1, IF($AD295=1, Keys!$C$9, "") &amp; IF($AE295=1, Keys!$C$10, "") &amp; IF($AF295=1, Keys!$C$11, ""), "")</f>
        <v/>
      </c>
      <c r="AK295">
        <f>IF($AG295=1, IFERROR(INDEX($AG$2:$AG$577, MATCH($A295 &amp; Keys!$C$8 &amp; $AH295, $Y$2:$Y$577, 0)), 1), 0)</f>
        <v>0</v>
      </c>
    </row>
    <row r="296" spans="1:37" x14ac:dyDescent="0.25">
      <c r="A296" t="s">
        <v>156</v>
      </c>
      <c r="B296" t="s">
        <v>249</v>
      </c>
      <c r="C296">
        <v>93</v>
      </c>
      <c r="D296">
        <v>3.5986728640000001</v>
      </c>
      <c r="E296">
        <v>9.020992743000002E-3</v>
      </c>
      <c r="F296">
        <v>10.181684272</v>
      </c>
      <c r="G296">
        <v>13.710978272</v>
      </c>
      <c r="H296">
        <v>20.948539666000009</v>
      </c>
      <c r="I296">
        <v>0.24881844180000001</v>
      </c>
      <c r="J296">
        <v>1.2636182102</v>
      </c>
      <c r="K296">
        <v>1131.7428448419989</v>
      </c>
      <c r="L296">
        <v>191.40730166799989</v>
      </c>
      <c r="M296">
        <v>0.27526057430000012</v>
      </c>
      <c r="N296">
        <v>44.84120221000002</v>
      </c>
      <c r="O296">
        <v>0.32530274513999979</v>
      </c>
      <c r="P296">
        <v>1.942645269399999E-2</v>
      </c>
      <c r="Q296">
        <v>5.0024953159999989E-2</v>
      </c>
      <c r="R296">
        <v>2.3839194501000001</v>
      </c>
      <c r="S296">
        <v>30.306626482999999</v>
      </c>
      <c r="T296">
        <v>43.013401713999983</v>
      </c>
      <c r="U296">
        <v>0</v>
      </c>
      <c r="V296">
        <v>0</v>
      </c>
      <c r="W296">
        <v>22799.55946806704</v>
      </c>
      <c r="Y296" t="str">
        <f>$A296 &amp; Keys!$C$8 &amp; $B296</f>
        <v>Nebraska|electricity NO2</v>
      </c>
      <c r="Z296" s="8">
        <f>IFERROR(INDEX($U296:$W296, MATCH(INDEX(Runs!$D:$D, MATCH($B296, Runs!$A:$A, 0)), $U$1:$W$1, 0)), 0)</f>
        <v>22799.55946806704</v>
      </c>
      <c r="AA296" s="8">
        <f t="shared" si="16"/>
        <v>1.5783957883222635E-4</v>
      </c>
      <c r="AB296" s="8">
        <f>IFERROR(VLOOKUP(INDEX(Runs!$F:$F, MATCH($B296, Runs!$A:$A, 0)), US_national_yearly!$D:$AM, MATCH(Keys!$C$7, US_national_yearly!$D$1:$AM$1, 0), FALSE), 0)</f>
        <v>6.1439221592658041E-3</v>
      </c>
      <c r="AC296" s="8">
        <f t="shared" si="17"/>
        <v>2.5690361098436851E-2</v>
      </c>
      <c r="AD296">
        <f>IF($Z296&lt;Keys!$C$3, 1, 0)</f>
        <v>0</v>
      </c>
      <c r="AE296">
        <f>IF($AC296&gt;Keys!$C$4, 1, 0)</f>
        <v>0</v>
      </c>
      <c r="AF296">
        <f>IF($AC296&lt;Keys!$C$5, 1, 0)</f>
        <v>0</v>
      </c>
      <c r="AG296">
        <f t="shared" si="18"/>
        <v>0</v>
      </c>
      <c r="AH296" t="str">
        <f>IFERROR(INDEX(Runs!$E:$E, MATCH($B296, Runs!$A:$A, 0)), $B296)</f>
        <v>Industry NO2</v>
      </c>
      <c r="AI296" t="str">
        <f t="shared" si="19"/>
        <v>electricity NO2</v>
      </c>
      <c r="AJ296" t="str">
        <f>IF($AG296=1, IF($AD296=1, Keys!$C$9, "") &amp; IF($AE296=1, Keys!$C$10, "") &amp; IF($AF296=1, Keys!$C$11, ""), "")</f>
        <v/>
      </c>
      <c r="AK296">
        <f>IF($AG296=1, IFERROR(INDEX($AG$2:$AG$577, MATCH($A296 &amp; Keys!$C$8 &amp; $AH296, $Y$2:$Y$577, 0)), 1), 0)</f>
        <v>0</v>
      </c>
    </row>
    <row r="297" spans="1:37" x14ac:dyDescent="0.25">
      <c r="A297" t="s">
        <v>156</v>
      </c>
      <c r="B297" t="s">
        <v>247</v>
      </c>
      <c r="C297">
        <v>93</v>
      </c>
      <c r="D297">
        <v>1.4128179082000001</v>
      </c>
      <c r="E297">
        <v>3.6882001556000021E-3</v>
      </c>
      <c r="F297">
        <v>4.2034125394999986</v>
      </c>
      <c r="G297">
        <v>5.6604973700999972</v>
      </c>
      <c r="H297">
        <v>8.6483075941999932</v>
      </c>
      <c r="I297">
        <v>9.0870990829999998E-2</v>
      </c>
      <c r="J297">
        <v>0.4863007585000001</v>
      </c>
      <c r="K297">
        <v>457.30550373199992</v>
      </c>
      <c r="L297">
        <v>77.517989396000047</v>
      </c>
      <c r="M297">
        <v>0.10181301107</v>
      </c>
      <c r="N297">
        <v>18.512217503799992</v>
      </c>
      <c r="O297">
        <v>0.13207699629</v>
      </c>
      <c r="P297">
        <v>8.2599653144000001E-3</v>
      </c>
      <c r="Q297">
        <v>2.090003212399999E-2</v>
      </c>
      <c r="R297">
        <v>0.99800108884000027</v>
      </c>
      <c r="S297">
        <v>12.678451925999999</v>
      </c>
      <c r="T297">
        <v>17.992767173000001</v>
      </c>
      <c r="U297">
        <v>333.47591627958508</v>
      </c>
      <c r="V297">
        <v>0</v>
      </c>
      <c r="W297">
        <v>0</v>
      </c>
      <c r="Y297" t="str">
        <f>$A297 &amp; Keys!$C$8 &amp; $B297</f>
        <v>Nebraska|electricity PM25</v>
      </c>
      <c r="Z297" s="8">
        <f>IFERROR(INDEX($U297:$W297, MATCH(INDEX(Runs!$D:$D, MATCH($B297, Runs!$A:$A, 0)), $U$1:$W$1, 0)), 0)</f>
        <v>333.47591627958508</v>
      </c>
      <c r="AA297" s="8">
        <f t="shared" si="16"/>
        <v>4.2366415061155368E-3</v>
      </c>
      <c r="AB297" s="8">
        <f>IFERROR(VLOOKUP(INDEX(Runs!$F:$F, MATCH($B297, Runs!$A:$A, 0)), US_national_yearly!$D:$AM, MATCH(Keys!$C$7, US_national_yearly!$D$1:$AM$1, 0), FALSE), 0)</f>
        <v>2.4252978284752182E-2</v>
      </c>
      <c r="AC297" s="8">
        <f t="shared" si="17"/>
        <v>0.17468541209139285</v>
      </c>
      <c r="AD297">
        <f>IF($Z297&lt;Keys!$C$3, 1, 0)</f>
        <v>0</v>
      </c>
      <c r="AE297">
        <f>IF($AC297&gt;Keys!$C$4, 1, 0)</f>
        <v>0</v>
      </c>
      <c r="AF297">
        <f>IF($AC297&lt;Keys!$C$5, 1, 0)</f>
        <v>0</v>
      </c>
      <c r="AG297">
        <f t="shared" si="18"/>
        <v>0</v>
      </c>
      <c r="AH297" t="str">
        <f>IFERROR(INDEX(Runs!$E:$E, MATCH($B297, Runs!$A:$A, 0)), $B297)</f>
        <v>Industry PM25</v>
      </c>
      <c r="AI297" t="str">
        <f t="shared" si="19"/>
        <v>electricity PM25</v>
      </c>
      <c r="AJ297" t="str">
        <f>IF($AG297=1, IF($AD297=1, Keys!$C$9, "") &amp; IF($AE297=1, Keys!$C$10, "") &amp; IF($AF297=1, Keys!$C$11, ""), "")</f>
        <v/>
      </c>
      <c r="AK297">
        <f>IF($AG297=1, IFERROR(INDEX($AG$2:$AG$577, MATCH($A297 &amp; Keys!$C$8 &amp; $AH297, $Y$2:$Y$577, 0)), 1), 0)</f>
        <v>0</v>
      </c>
    </row>
    <row r="298" spans="1:37" x14ac:dyDescent="0.25">
      <c r="A298" t="s">
        <v>156</v>
      </c>
      <c r="B298" t="s">
        <v>250</v>
      </c>
      <c r="C298">
        <v>93</v>
      </c>
      <c r="D298">
        <v>3.6438391723000012</v>
      </c>
      <c r="E298">
        <v>9.3581817520000041E-3</v>
      </c>
      <c r="F298">
        <v>10.763583004999999</v>
      </c>
      <c r="G298">
        <v>14.494631341</v>
      </c>
      <c r="H298">
        <v>22.145679095000009</v>
      </c>
      <c r="I298">
        <v>0.24464275539999999</v>
      </c>
      <c r="J298">
        <v>1.2983787324</v>
      </c>
      <c r="K298">
        <v>1205.7487034350011</v>
      </c>
      <c r="L298">
        <v>204.31127356299999</v>
      </c>
      <c r="M298">
        <v>0.27212426299999998</v>
      </c>
      <c r="N298">
        <v>47.403893441000008</v>
      </c>
      <c r="O298">
        <v>0.33831314385000011</v>
      </c>
      <c r="P298">
        <v>1.9778510694000009E-2</v>
      </c>
      <c r="Q298">
        <v>5.0416434847999993E-2</v>
      </c>
      <c r="R298">
        <v>2.523918204300001</v>
      </c>
      <c r="S298">
        <v>32.071251625999999</v>
      </c>
      <c r="T298">
        <v>45.513440989000003</v>
      </c>
      <c r="U298">
        <v>0</v>
      </c>
      <c r="V298">
        <v>19538.916689209029</v>
      </c>
      <c r="W298">
        <v>0</v>
      </c>
      <c r="Y298" t="str">
        <f>$A298 &amp; Keys!$C$8 &amp; $B298</f>
        <v>Nebraska|electricity SO2</v>
      </c>
      <c r="Z298" s="8">
        <f>IFERROR(INDEX($U298:$W298, MATCH(INDEX(Runs!$D:$D, MATCH($B298, Runs!$A:$A, 0)), $U$1:$W$1, 0)), 0)</f>
        <v>19538.916689209029</v>
      </c>
      <c r="AA298" s="8">
        <f t="shared" si="16"/>
        <v>1.8649136133081648E-4</v>
      </c>
      <c r="AB298" s="8">
        <f>IFERROR(VLOOKUP(INDEX(Runs!$F:$F, MATCH($B298, Runs!$A:$A, 0)), US_national_yearly!$D:$AM, MATCH(Keys!$C$7, US_national_yearly!$D$1:$AM$1, 0), FALSE), 0)</f>
        <v>5.7032329662362116E-3</v>
      </c>
      <c r="AC298" s="8">
        <f t="shared" si="17"/>
        <v>3.269923610605889E-2</v>
      </c>
      <c r="AD298">
        <f>IF($Z298&lt;Keys!$C$3, 1, 0)</f>
        <v>0</v>
      </c>
      <c r="AE298">
        <f>IF($AC298&gt;Keys!$C$4, 1, 0)</f>
        <v>0</v>
      </c>
      <c r="AF298">
        <f>IF($AC298&lt;Keys!$C$5, 1, 0)</f>
        <v>0</v>
      </c>
      <c r="AG298">
        <f t="shared" si="18"/>
        <v>0</v>
      </c>
      <c r="AH298" t="str">
        <f>IFERROR(INDEX(Runs!$E:$E, MATCH($B298, Runs!$A:$A, 0)), $B298)</f>
        <v>Industry SO2</v>
      </c>
      <c r="AI298" t="str">
        <f t="shared" si="19"/>
        <v>electricity SO2</v>
      </c>
      <c r="AJ298" t="str">
        <f>IF($AG298=1, IF($AD298=1, Keys!$C$9, "") &amp; IF($AE298=1, Keys!$C$10, "") &amp; IF($AF298=1, Keys!$C$11, ""), "")</f>
        <v/>
      </c>
      <c r="AK298">
        <f>IF($AG298=1, IFERROR(INDEX($AG$2:$AG$577, MATCH($A298 &amp; Keys!$C$8 &amp; $AH298, $Y$2:$Y$577, 0)), 1), 0)</f>
        <v>0</v>
      </c>
    </row>
    <row r="299" spans="1:37" x14ac:dyDescent="0.25">
      <c r="A299" t="s">
        <v>156</v>
      </c>
      <c r="B299" t="s">
        <v>239</v>
      </c>
      <c r="C299">
        <v>93</v>
      </c>
      <c r="D299">
        <v>13.842021967999999</v>
      </c>
      <c r="E299">
        <v>3.8406014179999989E-2</v>
      </c>
      <c r="F299">
        <v>43.227225444999988</v>
      </c>
      <c r="G299">
        <v>58.210548732000028</v>
      </c>
      <c r="H299">
        <v>88.940071105000015</v>
      </c>
      <c r="I299">
        <v>0.8903877309999999</v>
      </c>
      <c r="J299">
        <v>4.9776402729999996</v>
      </c>
      <c r="K299">
        <v>4725.1052074200034</v>
      </c>
      <c r="L299">
        <v>802.00254674899998</v>
      </c>
      <c r="M299">
        <v>1.0203193820000001</v>
      </c>
      <c r="N299">
        <v>190.37784528200001</v>
      </c>
      <c r="O299">
        <v>1.328143381200001</v>
      </c>
      <c r="P299">
        <v>7.8653592139999992E-2</v>
      </c>
      <c r="Q299">
        <v>0.19618883849999999</v>
      </c>
      <c r="R299">
        <v>10.239129907000001</v>
      </c>
      <c r="S299">
        <v>130.16791954999999</v>
      </c>
      <c r="T299">
        <v>184.82014676</v>
      </c>
      <c r="U299">
        <v>0</v>
      </c>
      <c r="V299">
        <v>0</v>
      </c>
      <c r="W299">
        <v>64784.498815880012</v>
      </c>
      <c r="Y299" t="str">
        <f>$A299 &amp; Keys!$C$8 &amp; $B299</f>
        <v>Nebraska|transportation NO2</v>
      </c>
      <c r="Z299" s="8">
        <f>IFERROR(INDEX($U299:$W299, MATCH(INDEX(Runs!$D:$D, MATCH($B299, Runs!$A:$A, 0)), $U$1:$W$1, 0)), 0)</f>
        <v>64784.498815880012</v>
      </c>
      <c r="AA299" s="8">
        <f t="shared" si="16"/>
        <v>2.1366256158497957E-4</v>
      </c>
      <c r="AB299" s="8">
        <f>IFERROR(VLOOKUP(INDEX(Runs!$F:$F, MATCH($B299, Runs!$A:$A, 0)), US_national_yearly!$D:$AM, MATCH(Keys!$C$7, US_national_yearly!$D$1:$AM$1, 0), FALSE), 0)</f>
        <v>5.7148835886332216E-3</v>
      </c>
      <c r="AC299" s="8">
        <f t="shared" si="17"/>
        <v>3.738703654610738E-2</v>
      </c>
      <c r="AD299">
        <f>IF($Z299&lt;Keys!$C$3, 1, 0)</f>
        <v>0</v>
      </c>
      <c r="AE299">
        <f>IF($AC299&gt;Keys!$C$4, 1, 0)</f>
        <v>0</v>
      </c>
      <c r="AF299">
        <f>IF($AC299&lt;Keys!$C$5, 1, 0)</f>
        <v>0</v>
      </c>
      <c r="AG299">
        <f t="shared" si="18"/>
        <v>0</v>
      </c>
      <c r="AH299" t="str">
        <f>IFERROR(INDEX(Runs!$E:$E, MATCH($B299, Runs!$A:$A, 0)), $B299)</f>
        <v>Industry NO2</v>
      </c>
      <c r="AI299" t="str">
        <f t="shared" si="19"/>
        <v>transportation NO2</v>
      </c>
      <c r="AJ299" t="str">
        <f>IF($AG299=1, IF($AD299=1, Keys!$C$9, "") &amp; IF($AE299=1, Keys!$C$10, "") &amp; IF($AF299=1, Keys!$C$11, ""), "")</f>
        <v/>
      </c>
      <c r="AK299">
        <f>IF($AG299=1, IFERROR(INDEX($AG$2:$AG$577, MATCH($A299 &amp; Keys!$C$8 &amp; $AH299, $Y$2:$Y$577, 0)), 1), 0)</f>
        <v>0</v>
      </c>
    </row>
    <row r="300" spans="1:37" x14ac:dyDescent="0.25">
      <c r="A300" t="s">
        <v>156</v>
      </c>
      <c r="B300" t="s">
        <v>234</v>
      </c>
      <c r="C300">
        <v>93</v>
      </c>
      <c r="D300">
        <v>10.38956901099999</v>
      </c>
      <c r="E300">
        <v>3.1268341588000008E-2</v>
      </c>
      <c r="F300">
        <v>34.793977911000013</v>
      </c>
      <c r="G300">
        <v>46.854176899000009</v>
      </c>
      <c r="H300">
        <v>71.588676126000038</v>
      </c>
      <c r="I300">
        <v>0.64832131760000011</v>
      </c>
      <c r="J300">
        <v>3.8010220919999989</v>
      </c>
      <c r="K300">
        <v>3792.742996335</v>
      </c>
      <c r="L300">
        <v>645.47788307999986</v>
      </c>
      <c r="M300">
        <v>0.76346675950000031</v>
      </c>
      <c r="N300">
        <v>153.23683093599999</v>
      </c>
      <c r="O300">
        <v>1.048717691</v>
      </c>
      <c r="P300">
        <v>6.2015699299999998E-2</v>
      </c>
      <c r="Q300">
        <v>0.15155868148000001</v>
      </c>
      <c r="R300">
        <v>8.2855351580000001</v>
      </c>
      <c r="S300">
        <v>105.2706909770001</v>
      </c>
      <c r="T300">
        <v>149.45366453599999</v>
      </c>
      <c r="U300">
        <v>1250.1122634440001</v>
      </c>
      <c r="V300">
        <v>0</v>
      </c>
      <c r="W300">
        <v>0</v>
      </c>
      <c r="Y300" t="str">
        <f>$A300 &amp; Keys!$C$8 &amp; $B300</f>
        <v>Nebraska|transportation PM25</v>
      </c>
      <c r="Z300" s="8">
        <f>IFERROR(INDEX($U300:$W300, MATCH(INDEX(Runs!$D:$D, MATCH($B300, Runs!$A:$A, 0)), $U$1:$W$1, 0)), 0)</f>
        <v>1250.1122634440001</v>
      </c>
      <c r="AA300" s="8">
        <f t="shared" si="16"/>
        <v>8.3109087998042824E-3</v>
      </c>
      <c r="AB300" s="8">
        <f>IFERROR(VLOOKUP(INDEX(Runs!$F:$F, MATCH($B300, Runs!$A:$A, 0)), US_national_yearly!$D:$AM, MATCH(Keys!$C$7, US_national_yearly!$D$1:$AM$1, 0), FALSE), 0)</f>
        <v>2.8248683697579859E-2</v>
      </c>
      <c r="AC300" s="8">
        <f t="shared" si="17"/>
        <v>0.29420517036396637</v>
      </c>
      <c r="AD300">
        <f>IF($Z300&lt;Keys!$C$3, 1, 0)</f>
        <v>0</v>
      </c>
      <c r="AE300">
        <f>IF($AC300&gt;Keys!$C$4, 1, 0)</f>
        <v>0</v>
      </c>
      <c r="AF300">
        <f>IF($AC300&lt;Keys!$C$5, 1, 0)</f>
        <v>0</v>
      </c>
      <c r="AG300">
        <f t="shared" si="18"/>
        <v>0</v>
      </c>
      <c r="AH300" t="str">
        <f>IFERROR(INDEX(Runs!$E:$E, MATCH($B300, Runs!$A:$A, 0)), $B300)</f>
        <v>Industry PM25</v>
      </c>
      <c r="AI300" t="str">
        <f t="shared" si="19"/>
        <v>transportation PM25</v>
      </c>
      <c r="AJ300" t="str">
        <f>IF($AG300=1, IF($AD300=1, Keys!$C$9, "") &amp; IF($AE300=1, Keys!$C$10, "") &amp; IF($AF300=1, Keys!$C$11, ""), "")</f>
        <v/>
      </c>
      <c r="AK300">
        <f>IF($AG300=1, IFERROR(INDEX($AG$2:$AG$577, MATCH($A300 &amp; Keys!$C$8 &amp; $AH300, $Y$2:$Y$577, 0)), 1), 0)</f>
        <v>0</v>
      </c>
    </row>
    <row r="301" spans="1:37" x14ac:dyDescent="0.25">
      <c r="A301" t="s">
        <v>156</v>
      </c>
      <c r="B301" t="s">
        <v>243</v>
      </c>
      <c r="C301">
        <v>93</v>
      </c>
      <c r="D301">
        <v>9.2825374709999992E-2</v>
      </c>
      <c r="E301">
        <v>2.8863542126999998E-4</v>
      </c>
      <c r="F301">
        <v>0.31826710451000012</v>
      </c>
      <c r="G301">
        <v>0.42859330672000001</v>
      </c>
      <c r="H301">
        <v>0.65481625679999989</v>
      </c>
      <c r="I301">
        <v>5.6996161559999996E-3</v>
      </c>
      <c r="J301">
        <v>3.422629985000001E-2</v>
      </c>
      <c r="K301">
        <v>34.697456605000021</v>
      </c>
      <c r="L301">
        <v>5.9122886550000002</v>
      </c>
      <c r="M301">
        <v>6.8021949700000023E-3</v>
      </c>
      <c r="N301">
        <v>1.4016766680299999</v>
      </c>
      <c r="O301">
        <v>9.5116829449999971E-3</v>
      </c>
      <c r="P301">
        <v>5.5827969520000006E-4</v>
      </c>
      <c r="Q301">
        <v>1.3522879145E-3</v>
      </c>
      <c r="R301">
        <v>7.604787583E-2</v>
      </c>
      <c r="S301">
        <v>0.9656540899999998</v>
      </c>
      <c r="T301">
        <v>1.3698399099</v>
      </c>
      <c r="U301">
        <v>0</v>
      </c>
      <c r="V301">
        <v>140.15640303999999</v>
      </c>
      <c r="W301">
        <v>0</v>
      </c>
      <c r="Y301" t="str">
        <f>$A301 &amp; Keys!$C$8 &amp; $B301</f>
        <v>Nebraska|transportation SO2</v>
      </c>
      <c r="Z301" s="8">
        <f>IFERROR(INDEX($U301:$W301, MATCH(INDEX(Runs!$D:$D, MATCH($B301, Runs!$A:$A, 0)), $U$1:$W$1, 0)), 0)</f>
        <v>140.15640303999999</v>
      </c>
      <c r="AA301" s="8">
        <f t="shared" si="16"/>
        <v>6.622984943720913E-4</v>
      </c>
      <c r="AB301" s="8">
        <f>IFERROR(VLOOKUP(INDEX(Runs!$F:$F, MATCH($B301, Runs!$A:$A, 0)), US_national_yearly!$D:$AM, MATCH(Keys!$C$7, US_national_yearly!$D$1:$AM$1, 0), FALSE), 0)</f>
        <v>5.1800714166247604E-3</v>
      </c>
      <c r="AC301" s="8">
        <f t="shared" si="17"/>
        <v>0.12785508945813587</v>
      </c>
      <c r="AD301">
        <f>IF($Z301&lt;Keys!$C$3, 1, 0)</f>
        <v>0</v>
      </c>
      <c r="AE301">
        <f>IF($AC301&gt;Keys!$C$4, 1, 0)</f>
        <v>0</v>
      </c>
      <c r="AF301">
        <f>IF($AC301&lt;Keys!$C$5, 1, 0)</f>
        <v>0</v>
      </c>
      <c r="AG301">
        <f t="shared" si="18"/>
        <v>0</v>
      </c>
      <c r="AH301" t="str">
        <f>IFERROR(INDEX(Runs!$E:$E, MATCH($B301, Runs!$A:$A, 0)), $B301)</f>
        <v>Industry SO2</v>
      </c>
      <c r="AI301" t="str">
        <f t="shared" si="19"/>
        <v>transportation SO2</v>
      </c>
      <c r="AJ301" t="str">
        <f>IF($AG301=1, IF($AD301=1, Keys!$C$9, "") &amp; IF($AE301=1, Keys!$C$10, "") &amp; IF($AF301=1, Keys!$C$11, ""), "")</f>
        <v/>
      </c>
      <c r="AK301">
        <f>IF($AG301=1, IFERROR(INDEX($AG$2:$AG$577, MATCH($A301 &amp; Keys!$C$8 &amp; $AH301, $Y$2:$Y$577, 0)), 1), 0)</f>
        <v>0</v>
      </c>
    </row>
    <row r="302" spans="1:37" x14ac:dyDescent="0.25">
      <c r="A302" t="s">
        <v>159</v>
      </c>
      <c r="B302" t="s">
        <v>242</v>
      </c>
      <c r="C302">
        <v>17</v>
      </c>
      <c r="D302">
        <v>3.0205155212000001</v>
      </c>
      <c r="E302">
        <v>6.5950456905000008E-3</v>
      </c>
      <c r="F302">
        <v>7.4736714213999997</v>
      </c>
      <c r="G302">
        <v>10.064364434</v>
      </c>
      <c r="H302">
        <v>15.376709522000009</v>
      </c>
      <c r="I302">
        <v>0.23124439288000001</v>
      </c>
      <c r="J302">
        <v>1.0973237882</v>
      </c>
      <c r="K302">
        <v>1040.3998895489999</v>
      </c>
      <c r="L302">
        <v>177.13275196800001</v>
      </c>
      <c r="M302">
        <v>0.26170295926000009</v>
      </c>
      <c r="N302">
        <v>32.91474537740001</v>
      </c>
      <c r="O302">
        <v>0.26729230888</v>
      </c>
      <c r="P302">
        <v>1.3018333094999999E-2</v>
      </c>
      <c r="Q302">
        <v>4.1149821603000007E-2</v>
      </c>
      <c r="R302">
        <v>1.7396166638999999</v>
      </c>
      <c r="S302">
        <v>22.084789397000009</v>
      </c>
      <c r="T302">
        <v>31.337038634999999</v>
      </c>
      <c r="U302">
        <v>0</v>
      </c>
      <c r="V302">
        <v>0</v>
      </c>
      <c r="W302">
        <v>2064.6253276339999</v>
      </c>
      <c r="Y302" t="str">
        <f>$A302 &amp; Keys!$C$8 &amp; $B302</f>
        <v>Nevada|Industry NO2</v>
      </c>
      <c r="Z302" s="8">
        <f>IFERROR(INDEX($U302:$W302, MATCH(INDEX(Runs!$D:$D, MATCH($B302, Runs!$A:$A, 0)), $U$1:$W$1, 0)), 0)</f>
        <v>2064.6253276339999</v>
      </c>
      <c r="AA302" s="8">
        <f t="shared" si="16"/>
        <v>1.4629848238185774E-3</v>
      </c>
      <c r="AB302" s="8">
        <f>IFERROR(VLOOKUP(INDEX(Runs!$F:$F, MATCH($B302, Runs!$A:$A, 0)), US_national_yearly!$D:$AM, MATCH(Keys!$C$7, US_national_yearly!$D$1:$AM$1, 0), FALSE), 0)</f>
        <v>5.8012217057786938E-3</v>
      </c>
      <c r="AC302" s="8">
        <f t="shared" si="17"/>
        <v>0.25218564261408488</v>
      </c>
      <c r="AD302">
        <f>IF($Z302&lt;Keys!$C$3, 1, 0)</f>
        <v>0</v>
      </c>
      <c r="AE302">
        <f>IF($AC302&gt;Keys!$C$4, 1, 0)</f>
        <v>0</v>
      </c>
      <c r="AF302">
        <f>IF($AC302&lt;Keys!$C$5, 1, 0)</f>
        <v>0</v>
      </c>
      <c r="AG302">
        <f t="shared" si="18"/>
        <v>0</v>
      </c>
      <c r="AH302" t="str">
        <f>IFERROR(INDEX(Runs!$E:$E, MATCH($B302, Runs!$A:$A, 0)), $B302)</f>
        <v>Industry NO2</v>
      </c>
      <c r="AI302" t="str">
        <f t="shared" si="19"/>
        <v>Industry NO2</v>
      </c>
      <c r="AJ302" t="str">
        <f>IF($AG302=1, IF($AD302=1, Keys!$C$9, "") &amp; IF($AE302=1, Keys!$C$10, "") &amp; IF($AF302=1, Keys!$C$11, ""), "")</f>
        <v/>
      </c>
      <c r="AK302">
        <f>IF($AG302=1, IFERROR(INDEX($AG$2:$AG$577, MATCH($A302 &amp; Keys!$C$8 &amp; $AH302, $Y$2:$Y$577, 0)), 1), 0)</f>
        <v>0</v>
      </c>
    </row>
    <row r="303" spans="1:37" x14ac:dyDescent="0.25">
      <c r="A303" t="s">
        <v>159</v>
      </c>
      <c r="B303" t="s">
        <v>238</v>
      </c>
      <c r="C303">
        <v>17</v>
      </c>
      <c r="D303">
        <v>11.316792076</v>
      </c>
      <c r="E303">
        <v>2.4159360880000012E-2</v>
      </c>
      <c r="F303">
        <v>25.210851920999989</v>
      </c>
      <c r="G303">
        <v>33.949768784</v>
      </c>
      <c r="H303">
        <v>51.870568432000013</v>
      </c>
      <c r="I303">
        <v>0.83462139000000002</v>
      </c>
      <c r="J303">
        <v>4.0794453390000003</v>
      </c>
      <c r="K303">
        <v>3439.563404172</v>
      </c>
      <c r="L303">
        <v>583.84019800399994</v>
      </c>
      <c r="M303">
        <v>0.92253049700000012</v>
      </c>
      <c r="N303">
        <v>111.031189137</v>
      </c>
      <c r="O303">
        <v>1.152507049</v>
      </c>
      <c r="P303">
        <v>5.1140834400000001E-2</v>
      </c>
      <c r="Q303">
        <v>0.1603591318</v>
      </c>
      <c r="R303">
        <v>5.8674715979999998</v>
      </c>
      <c r="S303">
        <v>74.500623673000007</v>
      </c>
      <c r="T303">
        <v>105.750863266</v>
      </c>
      <c r="U303">
        <v>6225.7720010800012</v>
      </c>
      <c r="V303">
        <v>0</v>
      </c>
      <c r="W303">
        <v>0</v>
      </c>
      <c r="Y303" t="str">
        <f>$A303 &amp; Keys!$C$8 &amp; $B303</f>
        <v>Nevada|Industry PM25</v>
      </c>
      <c r="Z303" s="8">
        <f>IFERROR(INDEX($U303:$W303, MATCH(INDEX(Runs!$D:$D, MATCH($B303, Runs!$A:$A, 0)), $U$1:$W$1, 0)), 0)</f>
        <v>6225.7720010800012</v>
      </c>
      <c r="AA303" s="8">
        <f t="shared" si="16"/>
        <v>1.8177331380006924E-3</v>
      </c>
      <c r="AB303" s="8">
        <f>IFERROR(VLOOKUP(INDEX(Runs!$F:$F, MATCH($B303, Runs!$A:$A, 0)), US_national_yearly!$D:$AM, MATCH(Keys!$C$7, US_national_yearly!$D$1:$AM$1, 0), FALSE), 0)</f>
        <v>2.6833191881203179E-2</v>
      </c>
      <c r="AC303" s="8">
        <f t="shared" si="17"/>
        <v>6.7741964729661028E-2</v>
      </c>
      <c r="AD303">
        <f>IF($Z303&lt;Keys!$C$3, 1, 0)</f>
        <v>0</v>
      </c>
      <c r="AE303">
        <f>IF($AC303&gt;Keys!$C$4, 1, 0)</f>
        <v>0</v>
      </c>
      <c r="AF303">
        <f>IF($AC303&lt;Keys!$C$5, 1, 0)</f>
        <v>0</v>
      </c>
      <c r="AG303">
        <f t="shared" si="18"/>
        <v>0</v>
      </c>
      <c r="AH303" t="str">
        <f>IFERROR(INDEX(Runs!$E:$E, MATCH($B303, Runs!$A:$A, 0)), $B303)</f>
        <v>Industry PM25</v>
      </c>
      <c r="AI303" t="str">
        <f t="shared" si="19"/>
        <v>Industry PM25</v>
      </c>
      <c r="AJ303" t="str">
        <f>IF($AG303=1, IF($AD303=1, Keys!$C$9, "") &amp; IF($AE303=1, Keys!$C$10, "") &amp; IF($AF303=1, Keys!$C$11, ""), "")</f>
        <v/>
      </c>
      <c r="AK303">
        <f>IF($AG303=1, IFERROR(INDEX($AG$2:$AG$577, MATCH($A303 &amp; Keys!$C$8 &amp; $AH303, $Y$2:$Y$577, 0)), 1), 0)</f>
        <v>0</v>
      </c>
    </row>
    <row r="304" spans="1:37" x14ac:dyDescent="0.25">
      <c r="A304" t="s">
        <v>159</v>
      </c>
      <c r="B304" t="s">
        <v>246</v>
      </c>
      <c r="C304">
        <v>17</v>
      </c>
      <c r="D304">
        <v>2.5657142380999991</v>
      </c>
      <c r="E304">
        <v>5.5944792146000004E-3</v>
      </c>
      <c r="F304">
        <v>6.307735039999999</v>
      </c>
      <c r="G304">
        <v>8.4942692040000018</v>
      </c>
      <c r="H304">
        <v>12.977844115</v>
      </c>
      <c r="I304">
        <v>0.19736390713999999</v>
      </c>
      <c r="J304">
        <v>0.93203973259999995</v>
      </c>
      <c r="K304">
        <v>879.19548177899981</v>
      </c>
      <c r="L304">
        <v>149.66419842900001</v>
      </c>
      <c r="M304">
        <v>0.22220914702</v>
      </c>
      <c r="N304">
        <v>27.779848358999999</v>
      </c>
      <c r="O304">
        <v>0.2277226225</v>
      </c>
      <c r="P304">
        <v>1.0994204735000001E-2</v>
      </c>
      <c r="Q304">
        <v>3.5005374812999999E-2</v>
      </c>
      <c r="R304">
        <v>1.4679162448</v>
      </c>
      <c r="S304">
        <v>18.635584594000001</v>
      </c>
      <c r="T304">
        <v>26.442833433000001</v>
      </c>
      <c r="U304">
        <v>0</v>
      </c>
      <c r="V304">
        <v>2218.9433731539998</v>
      </c>
      <c r="W304">
        <v>0</v>
      </c>
      <c r="Y304" t="str">
        <f>$A304 &amp; Keys!$C$8 &amp; $B304</f>
        <v>Nevada|Industry SO2</v>
      </c>
      <c r="Z304" s="8">
        <f>IFERROR(INDEX($U304:$W304, MATCH(INDEX(Runs!$D:$D, MATCH($B304, Runs!$A:$A, 0)), $U$1:$W$1, 0)), 0)</f>
        <v>2218.9433731539998</v>
      </c>
      <c r="AA304" s="8">
        <f t="shared" si="16"/>
        <v>1.1562774738379648E-3</v>
      </c>
      <c r="AB304" s="8">
        <f>IFERROR(VLOOKUP(INDEX(Runs!$F:$F, MATCH($B304, Runs!$A:$A, 0)), US_national_yearly!$D:$AM, MATCH(Keys!$C$7, US_national_yearly!$D$1:$AM$1, 0), FALSE), 0)</f>
        <v>5.3000351638639942E-3</v>
      </c>
      <c r="AC304" s="8">
        <f t="shared" si="17"/>
        <v>0.2181641136499517</v>
      </c>
      <c r="AD304">
        <f>IF($Z304&lt;Keys!$C$3, 1, 0)</f>
        <v>0</v>
      </c>
      <c r="AE304">
        <f>IF($AC304&gt;Keys!$C$4, 1, 0)</f>
        <v>0</v>
      </c>
      <c r="AF304">
        <f>IF($AC304&lt;Keys!$C$5, 1, 0)</f>
        <v>0</v>
      </c>
      <c r="AG304">
        <f t="shared" si="18"/>
        <v>0</v>
      </c>
      <c r="AH304" t="str">
        <f>IFERROR(INDEX(Runs!$E:$E, MATCH($B304, Runs!$A:$A, 0)), $B304)</f>
        <v>Industry SO2</v>
      </c>
      <c r="AI304" t="str">
        <f t="shared" si="19"/>
        <v>Industry SO2</v>
      </c>
      <c r="AJ304" t="str">
        <f>IF($AG304=1, IF($AD304=1, Keys!$C$9, "") &amp; IF($AE304=1, Keys!$C$10, "") &amp; IF($AF304=1, Keys!$C$11, ""), "")</f>
        <v/>
      </c>
      <c r="AK304">
        <f>IF($AG304=1, IFERROR(INDEX($AG$2:$AG$577, MATCH($A304 &amp; Keys!$C$8 &amp; $AH304, $Y$2:$Y$577, 0)), 1), 0)</f>
        <v>0</v>
      </c>
    </row>
    <row r="305" spans="1:37" x14ac:dyDescent="0.25">
      <c r="A305" t="s">
        <v>159</v>
      </c>
      <c r="B305" t="s">
        <v>253</v>
      </c>
      <c r="C305">
        <v>17</v>
      </c>
      <c r="D305">
        <v>2.0640818153999998</v>
      </c>
      <c r="E305">
        <v>4.4667639482000006E-3</v>
      </c>
      <c r="F305">
        <v>5.0596744659000024</v>
      </c>
      <c r="G305">
        <v>6.8135800992000002</v>
      </c>
      <c r="H305">
        <v>10.410016174000001</v>
      </c>
      <c r="I305">
        <v>0.15923196687999999</v>
      </c>
      <c r="J305">
        <v>0.74710043580000018</v>
      </c>
      <c r="K305">
        <v>705.18721148400004</v>
      </c>
      <c r="L305">
        <v>120.0377526959999</v>
      </c>
      <c r="M305">
        <v>0.17913826550000009</v>
      </c>
      <c r="N305">
        <v>22.283270739100001</v>
      </c>
      <c r="O305">
        <v>0.18262234208</v>
      </c>
      <c r="P305">
        <v>8.8158633300000032E-3</v>
      </c>
      <c r="Q305">
        <v>2.8156248166E-2</v>
      </c>
      <c r="R305">
        <v>1.1777647006</v>
      </c>
      <c r="S305">
        <v>14.951749817</v>
      </c>
      <c r="T305">
        <v>21.214858038999999</v>
      </c>
      <c r="U305">
        <v>0</v>
      </c>
      <c r="V305">
        <v>0</v>
      </c>
      <c r="W305">
        <v>2284.8526610759991</v>
      </c>
      <c r="Y305" t="str">
        <f>$A305 &amp; Keys!$C$8 &amp; $B305</f>
        <v>Nevada|buildings NO2</v>
      </c>
      <c r="Z305" s="8">
        <f>IFERROR(INDEX($U305:$W305, MATCH(INDEX(Runs!$D:$D, MATCH($B305, Runs!$A:$A, 0)), $U$1:$W$1, 0)), 0)</f>
        <v>2284.8526610759991</v>
      </c>
      <c r="AA305" s="8">
        <f t="shared" si="16"/>
        <v>9.0337633168344764E-4</v>
      </c>
      <c r="AB305" s="8">
        <f>IFERROR(VLOOKUP(INDEX(Runs!$F:$F, MATCH($B305, Runs!$A:$A, 0)), US_national_yearly!$D:$AM, MATCH(Keys!$C$7, US_national_yearly!$D$1:$AM$1, 0), FALSE), 0)</f>
        <v>5.6784740124662739E-3</v>
      </c>
      <c r="AC305" s="8">
        <f t="shared" si="17"/>
        <v>0.15908786932901597</v>
      </c>
      <c r="AD305">
        <f>IF($Z305&lt;Keys!$C$3, 1, 0)</f>
        <v>0</v>
      </c>
      <c r="AE305">
        <f>IF($AC305&gt;Keys!$C$4, 1, 0)</f>
        <v>0</v>
      </c>
      <c r="AF305">
        <f>IF($AC305&lt;Keys!$C$5, 1, 0)</f>
        <v>0</v>
      </c>
      <c r="AG305">
        <f t="shared" si="18"/>
        <v>0</v>
      </c>
      <c r="AH305" t="str">
        <f>IFERROR(INDEX(Runs!$E:$E, MATCH($B305, Runs!$A:$A, 0)), $B305)</f>
        <v>Industry NO2</v>
      </c>
      <c r="AI305" t="str">
        <f t="shared" si="19"/>
        <v>buildings NO2</v>
      </c>
      <c r="AJ305" t="str">
        <f>IF($AG305=1, IF($AD305=1, Keys!$C$9, "") &amp; IF($AE305=1, Keys!$C$10, "") &amp; IF($AF305=1, Keys!$C$11, ""), "")</f>
        <v/>
      </c>
      <c r="AK305">
        <f>IF($AG305=1, IFERROR(INDEX($AG$2:$AG$577, MATCH($A305 &amp; Keys!$C$8 &amp; $AH305, $Y$2:$Y$577, 0)), 1), 0)</f>
        <v>0</v>
      </c>
    </row>
    <row r="306" spans="1:37" x14ac:dyDescent="0.25">
      <c r="A306" t="s">
        <v>159</v>
      </c>
      <c r="B306" t="s">
        <v>251</v>
      </c>
      <c r="C306">
        <v>17</v>
      </c>
      <c r="D306">
        <v>1.5044435834000001</v>
      </c>
      <c r="E306">
        <v>3.3537878802000001E-3</v>
      </c>
      <c r="F306">
        <v>3.617253386899999</v>
      </c>
      <c r="G306">
        <v>4.8711533532000004</v>
      </c>
      <c r="H306">
        <v>7.4423082388000008</v>
      </c>
      <c r="I306">
        <v>0.10081171746000001</v>
      </c>
      <c r="J306">
        <v>0.54504688180000005</v>
      </c>
      <c r="K306">
        <v>489.97428080899988</v>
      </c>
      <c r="L306">
        <v>83.421638515000012</v>
      </c>
      <c r="M306">
        <v>0.11623951677</v>
      </c>
      <c r="N306">
        <v>15.930714978899999</v>
      </c>
      <c r="O306">
        <v>0.15772904529000001</v>
      </c>
      <c r="P306">
        <v>7.3784436770999986E-3</v>
      </c>
      <c r="Q306">
        <v>2.1332875404000001E-2</v>
      </c>
      <c r="R306">
        <v>0.83917837574000009</v>
      </c>
      <c r="S306">
        <v>10.6550962365</v>
      </c>
      <c r="T306">
        <v>15.122420052000001</v>
      </c>
      <c r="U306">
        <v>193.747602962</v>
      </c>
      <c r="V306">
        <v>0</v>
      </c>
      <c r="W306">
        <v>0</v>
      </c>
      <c r="Y306" t="str">
        <f>$A306 &amp; Keys!$C$8 &amp; $B306</f>
        <v>Nevada|buildings PM25</v>
      </c>
      <c r="Z306" s="8">
        <f>IFERROR(INDEX($U306:$W306, MATCH(INDEX(Runs!$D:$D, MATCH($B306, Runs!$A:$A, 0)), $U$1:$W$1, 0)), 0)</f>
        <v>193.747602962</v>
      </c>
      <c r="AA306" s="8">
        <f t="shared" si="16"/>
        <v>7.7649661745496212E-3</v>
      </c>
      <c r="AB306" s="8">
        <f>IFERROR(VLOOKUP(INDEX(Runs!$F:$F, MATCH($B306, Runs!$A:$A, 0)), US_national_yearly!$D:$AM, MATCH(Keys!$C$7, US_national_yearly!$D$1:$AM$1, 0), FALSE), 0)</f>
        <v>2.7627705191843259E-2</v>
      </c>
      <c r="AC306" s="8">
        <f t="shared" si="17"/>
        <v>0.2810572257315867</v>
      </c>
      <c r="AD306">
        <f>IF($Z306&lt;Keys!$C$3, 1, 0)</f>
        <v>0</v>
      </c>
      <c r="AE306">
        <f>IF($AC306&gt;Keys!$C$4, 1, 0)</f>
        <v>0</v>
      </c>
      <c r="AF306">
        <f>IF($AC306&lt;Keys!$C$5, 1, 0)</f>
        <v>0</v>
      </c>
      <c r="AG306">
        <f t="shared" si="18"/>
        <v>0</v>
      </c>
      <c r="AH306" t="str">
        <f>IFERROR(INDEX(Runs!$E:$E, MATCH($B306, Runs!$A:$A, 0)), $B306)</f>
        <v>Industry PM25</v>
      </c>
      <c r="AI306" t="str">
        <f t="shared" si="19"/>
        <v>buildings PM25</v>
      </c>
      <c r="AJ306" t="str">
        <f>IF($AG306=1, IF($AD306=1, Keys!$C$9, "") &amp; IF($AE306=1, Keys!$C$10, "") &amp; IF($AF306=1, Keys!$C$11, ""), "")</f>
        <v/>
      </c>
      <c r="AK306">
        <f>IF($AG306=1, IFERROR(INDEX($AG$2:$AG$577, MATCH($A306 &amp; Keys!$C$8 &amp; $AH306, $Y$2:$Y$577, 0)), 1), 0)</f>
        <v>0</v>
      </c>
    </row>
    <row r="307" spans="1:37" x14ac:dyDescent="0.25">
      <c r="A307" t="s">
        <v>159</v>
      </c>
      <c r="B307" t="s">
        <v>254</v>
      </c>
      <c r="C307">
        <v>17</v>
      </c>
      <c r="D307">
        <v>2.7322693249999998E-2</v>
      </c>
      <c r="E307">
        <v>5.8446941099999988E-5</v>
      </c>
      <c r="F307">
        <v>6.3120380300000001E-2</v>
      </c>
      <c r="G307">
        <v>8.5000862499999982E-2</v>
      </c>
      <c r="H307">
        <v>0.1298665151</v>
      </c>
      <c r="I307">
        <v>1.9953839610000008E-3</v>
      </c>
      <c r="J307">
        <v>9.8979443800000007E-3</v>
      </c>
      <c r="K307">
        <v>8.6460426320000003</v>
      </c>
      <c r="L307">
        <v>1.4700680189999999</v>
      </c>
      <c r="M307">
        <v>2.2217407489999999E-3</v>
      </c>
      <c r="N307">
        <v>0.27798775790000002</v>
      </c>
      <c r="O307">
        <v>2.7422390960000001E-3</v>
      </c>
      <c r="P307">
        <v>1.2412748280000001E-4</v>
      </c>
      <c r="Q307">
        <v>3.8616948199999998E-4</v>
      </c>
      <c r="R307">
        <v>1.467083177E-2</v>
      </c>
      <c r="S307">
        <v>0.18626268060000001</v>
      </c>
      <c r="T307">
        <v>0.26431634809999999</v>
      </c>
      <c r="U307">
        <v>0</v>
      </c>
      <c r="V307">
        <v>65.244248251000002</v>
      </c>
      <c r="W307">
        <v>0</v>
      </c>
      <c r="Y307" t="str">
        <f>$A307 &amp; Keys!$C$8 &amp; $B307</f>
        <v>Nevada|buildings SO2</v>
      </c>
      <c r="Z307" s="8">
        <f>IFERROR(INDEX($U307:$W307, MATCH(INDEX(Runs!$D:$D, MATCH($B307, Runs!$A:$A, 0)), $U$1:$W$1, 0)), 0)</f>
        <v>65.244248251000002</v>
      </c>
      <c r="AA307" s="8">
        <f t="shared" si="16"/>
        <v>4.1877550868372863E-4</v>
      </c>
      <c r="AB307" s="8">
        <f>IFERROR(VLOOKUP(INDEX(Runs!$F:$F, MATCH($B307, Runs!$A:$A, 0)), US_national_yearly!$D:$AM, MATCH(Keys!$C$7, US_national_yearly!$D$1:$AM$1, 0), FALSE), 0)</f>
        <v>5.1581943281164694E-3</v>
      </c>
      <c r="AC307" s="8">
        <f t="shared" si="17"/>
        <v>8.1186454415075479E-2</v>
      </c>
      <c r="AD307">
        <f>IF($Z307&lt;Keys!$C$3, 1, 0)</f>
        <v>0</v>
      </c>
      <c r="AE307">
        <f>IF($AC307&gt;Keys!$C$4, 1, 0)</f>
        <v>0</v>
      </c>
      <c r="AF307">
        <f>IF($AC307&lt;Keys!$C$5, 1, 0)</f>
        <v>0</v>
      </c>
      <c r="AG307">
        <f t="shared" si="18"/>
        <v>0</v>
      </c>
      <c r="AH307" t="str">
        <f>IFERROR(INDEX(Runs!$E:$E, MATCH($B307, Runs!$A:$A, 0)), $B307)</f>
        <v>Industry SO2</v>
      </c>
      <c r="AI307" t="str">
        <f t="shared" si="19"/>
        <v>buildings SO2</v>
      </c>
      <c r="AJ307" t="str">
        <f>IF($AG307=1, IF($AD307=1, Keys!$C$9, "") &amp; IF($AE307=1, Keys!$C$10, "") &amp; IF($AF307=1, Keys!$C$11, ""), "")</f>
        <v/>
      </c>
      <c r="AK307">
        <f>IF($AG307=1, IFERROR(INDEX($AG$2:$AG$577, MATCH($A307 &amp; Keys!$C$8 &amp; $AH307, $Y$2:$Y$577, 0)), 1), 0)</f>
        <v>0</v>
      </c>
    </row>
    <row r="308" spans="1:37" x14ac:dyDescent="0.25">
      <c r="A308" t="s">
        <v>159</v>
      </c>
      <c r="B308" t="s">
        <v>249</v>
      </c>
      <c r="C308">
        <v>17</v>
      </c>
      <c r="D308">
        <v>0.12054148000000001</v>
      </c>
      <c r="E308">
        <v>2.7236266949999999E-4</v>
      </c>
      <c r="F308">
        <v>0.29306853469999988</v>
      </c>
      <c r="G308">
        <v>0.39465975660000002</v>
      </c>
      <c r="H308">
        <v>0.60297162510000002</v>
      </c>
      <c r="I308">
        <v>8.5620769299999989E-3</v>
      </c>
      <c r="J308">
        <v>4.4148549909999987E-2</v>
      </c>
      <c r="K308">
        <v>39.048350320999987</v>
      </c>
      <c r="L308">
        <v>6.6352468050000004</v>
      </c>
      <c r="M308">
        <v>9.7576834199999997E-3</v>
      </c>
      <c r="N308">
        <v>1.2906999163999999</v>
      </c>
      <c r="O308">
        <v>1.280615779E-2</v>
      </c>
      <c r="P308">
        <v>5.9835303690000002E-4</v>
      </c>
      <c r="Q308">
        <v>1.751035062000001E-3</v>
      </c>
      <c r="R308">
        <v>6.8446404180000003E-2</v>
      </c>
      <c r="S308">
        <v>0.86901209500000032</v>
      </c>
      <c r="T308">
        <v>1.2331954430000001</v>
      </c>
      <c r="U308">
        <v>0</v>
      </c>
      <c r="V308">
        <v>0</v>
      </c>
      <c r="W308">
        <v>2350.5498187049998</v>
      </c>
      <c r="Y308" t="str">
        <f>$A308 &amp; Keys!$C$8 &amp; $B308</f>
        <v>Nevada|electricity NO2</v>
      </c>
      <c r="Z308" s="8">
        <f>IFERROR(INDEX($U308:$W308, MATCH(INDEX(Runs!$D:$D, MATCH($B308, Runs!$A:$A, 0)), $U$1:$W$1, 0)), 0)</f>
        <v>2350.5498187049998</v>
      </c>
      <c r="AA308" s="8">
        <f t="shared" si="16"/>
        <v>5.1282248536391596E-5</v>
      </c>
      <c r="AB308" s="8">
        <f>IFERROR(VLOOKUP(INDEX(Runs!$F:$F, MATCH($B308, Runs!$A:$A, 0)), US_national_yearly!$D:$AM, MATCH(Keys!$C$7, US_national_yearly!$D$1:$AM$1, 0), FALSE), 0)</f>
        <v>6.1439221592658041E-3</v>
      </c>
      <c r="AC308" s="8">
        <f t="shared" si="17"/>
        <v>8.346825888581863E-3</v>
      </c>
      <c r="AD308">
        <f>IF($Z308&lt;Keys!$C$3, 1, 0)</f>
        <v>0</v>
      </c>
      <c r="AE308">
        <f>IF($AC308&gt;Keys!$C$4, 1, 0)</f>
        <v>0</v>
      </c>
      <c r="AF308">
        <f>IF($AC308&lt;Keys!$C$5, 1, 0)</f>
        <v>0</v>
      </c>
      <c r="AG308">
        <f t="shared" si="18"/>
        <v>0</v>
      </c>
      <c r="AH308" t="str">
        <f>IFERROR(INDEX(Runs!$E:$E, MATCH($B308, Runs!$A:$A, 0)), $B308)</f>
        <v>Industry NO2</v>
      </c>
      <c r="AI308" t="str">
        <f t="shared" si="19"/>
        <v>electricity NO2</v>
      </c>
      <c r="AJ308" t="str">
        <f>IF($AG308=1, IF($AD308=1, Keys!$C$9, "") &amp; IF($AE308=1, Keys!$C$10, "") &amp; IF($AF308=1, Keys!$C$11, ""), "")</f>
        <v/>
      </c>
      <c r="AK308">
        <f>IF($AG308=1, IFERROR(INDEX($AG$2:$AG$577, MATCH($A308 &amp; Keys!$C$8 &amp; $AH308, $Y$2:$Y$577, 0)), 1), 0)</f>
        <v>0</v>
      </c>
    </row>
    <row r="309" spans="1:37" x14ac:dyDescent="0.25">
      <c r="A309" t="s">
        <v>159</v>
      </c>
      <c r="B309" t="s">
        <v>247</v>
      </c>
      <c r="C309">
        <v>17</v>
      </c>
      <c r="D309">
        <v>4.8366845234999998</v>
      </c>
      <c r="E309">
        <v>1.0511994346299999E-2</v>
      </c>
      <c r="F309">
        <v>11.9074944804</v>
      </c>
      <c r="G309">
        <v>16.035109894000001</v>
      </c>
      <c r="H309">
        <v>24.499141700999999</v>
      </c>
      <c r="I309">
        <v>0.37195471785000001</v>
      </c>
      <c r="J309">
        <v>1.7737003713999999</v>
      </c>
      <c r="K309">
        <v>1658.9187982799999</v>
      </c>
      <c r="L309">
        <v>282.387761598</v>
      </c>
      <c r="M309">
        <v>0.42022740936000003</v>
      </c>
      <c r="N309">
        <v>52.44174607539999</v>
      </c>
      <c r="O309">
        <v>0.43113335480999992</v>
      </c>
      <c r="P309">
        <v>2.0804237552000001E-2</v>
      </c>
      <c r="Q309">
        <v>6.6105095576E-2</v>
      </c>
      <c r="R309">
        <v>2.770338983999999</v>
      </c>
      <c r="S309">
        <v>35.170166371000008</v>
      </c>
      <c r="T309">
        <v>49.906074940000003</v>
      </c>
      <c r="U309">
        <v>570.44983049299992</v>
      </c>
      <c r="V309">
        <v>0</v>
      </c>
      <c r="W309">
        <v>0</v>
      </c>
      <c r="Y309" t="str">
        <f>$A309 &amp; Keys!$C$8 &amp; $B309</f>
        <v>Nevada|electricity PM25</v>
      </c>
      <c r="Z309" s="8">
        <f>IFERROR(INDEX($U309:$W309, MATCH(INDEX(Runs!$D:$D, MATCH($B309, Runs!$A:$A, 0)), $U$1:$W$1, 0)), 0)</f>
        <v>570.44983049299992</v>
      </c>
      <c r="AA309" s="8">
        <f t="shared" si="16"/>
        <v>8.4787202396396383E-3</v>
      </c>
      <c r="AB309" s="8">
        <f>IFERROR(VLOOKUP(INDEX(Runs!$F:$F, MATCH($B309, Runs!$A:$A, 0)), US_national_yearly!$D:$AM, MATCH(Keys!$C$7, US_national_yearly!$D$1:$AM$1, 0), FALSE), 0)</f>
        <v>2.4252978284752182E-2</v>
      </c>
      <c r="AC309" s="8">
        <f t="shared" si="17"/>
        <v>0.34959501221217848</v>
      </c>
      <c r="AD309">
        <f>IF($Z309&lt;Keys!$C$3, 1, 0)</f>
        <v>0</v>
      </c>
      <c r="AE309">
        <f>IF($AC309&gt;Keys!$C$4, 1, 0)</f>
        <v>0</v>
      </c>
      <c r="AF309">
        <f>IF($AC309&lt;Keys!$C$5, 1, 0)</f>
        <v>0</v>
      </c>
      <c r="AG309">
        <f t="shared" si="18"/>
        <v>0</v>
      </c>
      <c r="AH309" t="str">
        <f>IFERROR(INDEX(Runs!$E:$E, MATCH($B309, Runs!$A:$A, 0)), $B309)</f>
        <v>Industry PM25</v>
      </c>
      <c r="AI309" t="str">
        <f t="shared" si="19"/>
        <v>electricity PM25</v>
      </c>
      <c r="AJ309" t="str">
        <f>IF($AG309=1, IF($AD309=1, Keys!$C$9, "") &amp; IF($AE309=1, Keys!$C$10, "") &amp; IF($AF309=1, Keys!$C$11, ""), "")</f>
        <v/>
      </c>
      <c r="AK309">
        <f>IF($AG309=1, IFERROR(INDEX($AG$2:$AG$577, MATCH($A309 &amp; Keys!$C$8 &amp; $AH309, $Y$2:$Y$577, 0)), 1), 0)</f>
        <v>0</v>
      </c>
    </row>
    <row r="310" spans="1:37" x14ac:dyDescent="0.25">
      <c r="A310" t="s">
        <v>159</v>
      </c>
      <c r="B310" t="s">
        <v>250</v>
      </c>
      <c r="C310">
        <v>17</v>
      </c>
      <c r="D310">
        <v>0.7916095071999999</v>
      </c>
      <c r="E310">
        <v>1.7340191914999999E-3</v>
      </c>
      <c r="F310">
        <v>1.9299859326</v>
      </c>
      <c r="G310">
        <v>2.599007749000001</v>
      </c>
      <c r="H310">
        <v>3.9708375189999998</v>
      </c>
      <c r="I310">
        <v>5.9542306830000002E-2</v>
      </c>
      <c r="J310">
        <v>0.28983478099999999</v>
      </c>
      <c r="K310">
        <v>266.19474521699988</v>
      </c>
      <c r="L310">
        <v>45.293232015000022</v>
      </c>
      <c r="M310">
        <v>6.7273024009999988E-2</v>
      </c>
      <c r="N310">
        <v>8.4998312005999992</v>
      </c>
      <c r="O310">
        <v>7.4365560859999999E-2</v>
      </c>
      <c r="P310">
        <v>3.5334828500000002E-3</v>
      </c>
      <c r="Q310">
        <v>1.099348212E-2</v>
      </c>
      <c r="R310">
        <v>0.44929261529999992</v>
      </c>
      <c r="S310">
        <v>5.7038471170000014</v>
      </c>
      <c r="T310">
        <v>8.0931117729999986</v>
      </c>
      <c r="U310">
        <v>0</v>
      </c>
      <c r="V310">
        <v>688.52374201100008</v>
      </c>
      <c r="W310">
        <v>0</v>
      </c>
      <c r="Y310" t="str">
        <f>$A310 &amp; Keys!$C$8 &amp; $B310</f>
        <v>Nevada|electricity SO2</v>
      </c>
      <c r="Z310" s="8">
        <f>IFERROR(INDEX($U310:$W310, MATCH(INDEX(Runs!$D:$D, MATCH($B310, Runs!$A:$A, 0)), $U$1:$W$1, 0)), 0)</f>
        <v>688.52374201100008</v>
      </c>
      <c r="AA310" s="8">
        <f t="shared" si="16"/>
        <v>1.1497199862533613E-3</v>
      </c>
      <c r="AB310" s="8">
        <f>IFERROR(VLOOKUP(INDEX(Runs!$F:$F, MATCH($B310, Runs!$A:$A, 0)), US_national_yearly!$D:$AM, MATCH(Keys!$C$7, US_national_yearly!$D$1:$AM$1, 0), FALSE), 0)</f>
        <v>5.7032329662362116E-3</v>
      </c>
      <c r="AC310" s="8">
        <f t="shared" si="17"/>
        <v>0.20159092098461251</v>
      </c>
      <c r="AD310">
        <f>IF($Z310&lt;Keys!$C$3, 1, 0)</f>
        <v>0</v>
      </c>
      <c r="AE310">
        <f>IF($AC310&gt;Keys!$C$4, 1, 0)</f>
        <v>0</v>
      </c>
      <c r="AF310">
        <f>IF($AC310&lt;Keys!$C$5, 1, 0)</f>
        <v>0</v>
      </c>
      <c r="AG310">
        <f t="shared" si="18"/>
        <v>0</v>
      </c>
      <c r="AH310" t="str">
        <f>IFERROR(INDEX(Runs!$E:$E, MATCH($B310, Runs!$A:$A, 0)), $B310)</f>
        <v>Industry SO2</v>
      </c>
      <c r="AI310" t="str">
        <f t="shared" si="19"/>
        <v>electricity SO2</v>
      </c>
      <c r="AJ310" t="str">
        <f>IF($AG310=1, IF($AD310=1, Keys!$C$9, "") &amp; IF($AE310=1, Keys!$C$10, "") &amp; IF($AF310=1, Keys!$C$11, ""), "")</f>
        <v/>
      </c>
      <c r="AK310">
        <f>IF($AG310=1, IFERROR(INDEX($AG$2:$AG$577, MATCH($A310 &amp; Keys!$C$8 &amp; $AH310, $Y$2:$Y$577, 0)), 1), 0)</f>
        <v>0</v>
      </c>
    </row>
    <row r="311" spans="1:37" x14ac:dyDescent="0.25">
      <c r="A311" t="s">
        <v>159</v>
      </c>
      <c r="B311" t="s">
        <v>239</v>
      </c>
      <c r="C311">
        <v>17</v>
      </c>
      <c r="D311">
        <v>23.065584067</v>
      </c>
      <c r="E311">
        <v>5.0197073363000007E-2</v>
      </c>
      <c r="F311">
        <v>55.988509814999993</v>
      </c>
      <c r="G311">
        <v>75.395244530999989</v>
      </c>
      <c r="H311">
        <v>115.196177537</v>
      </c>
      <c r="I311">
        <v>1.7289457346999999</v>
      </c>
      <c r="J311">
        <v>8.3386659199999986</v>
      </c>
      <c r="K311">
        <v>7744.7916810429988</v>
      </c>
      <c r="L311">
        <v>1318.2891386700001</v>
      </c>
      <c r="M311">
        <v>1.9495150247999999</v>
      </c>
      <c r="N311">
        <v>246.579931883</v>
      </c>
      <c r="O311">
        <v>2.1466568471</v>
      </c>
      <c r="P311">
        <v>0.10211835952999999</v>
      </c>
      <c r="Q311">
        <v>0.31877050450999989</v>
      </c>
      <c r="R311">
        <v>13.013940068</v>
      </c>
      <c r="S311">
        <v>165.25157528299999</v>
      </c>
      <c r="T311">
        <v>234.62614452400001</v>
      </c>
      <c r="U311">
        <v>0</v>
      </c>
      <c r="V311">
        <v>0</v>
      </c>
      <c r="W311">
        <v>34051.123315900011</v>
      </c>
      <c r="Y311" t="str">
        <f>$A311 &amp; Keys!$C$8 &amp; $B311</f>
        <v>Nevada|transportation NO2</v>
      </c>
      <c r="Z311" s="8">
        <f>IFERROR(INDEX($U311:$W311, MATCH(INDEX(Runs!$D:$D, MATCH($B311, Runs!$A:$A, 0)), $U$1:$W$1, 0)), 0)</f>
        <v>34051.123315900011</v>
      </c>
      <c r="AA311" s="8">
        <f t="shared" si="16"/>
        <v>6.7738100305870478E-4</v>
      </c>
      <c r="AB311" s="8">
        <f>IFERROR(VLOOKUP(INDEX(Runs!$F:$F, MATCH($B311, Runs!$A:$A, 0)), US_national_yearly!$D:$AM, MATCH(Keys!$C$7, US_national_yearly!$D$1:$AM$1, 0), FALSE), 0)</f>
        <v>5.7148835886332216E-3</v>
      </c>
      <c r="AC311" s="8">
        <f t="shared" si="17"/>
        <v>0.11852927405310595</v>
      </c>
      <c r="AD311">
        <f>IF($Z311&lt;Keys!$C$3, 1, 0)</f>
        <v>0</v>
      </c>
      <c r="AE311">
        <f>IF($AC311&gt;Keys!$C$4, 1, 0)</f>
        <v>0</v>
      </c>
      <c r="AF311">
        <f>IF($AC311&lt;Keys!$C$5, 1, 0)</f>
        <v>0</v>
      </c>
      <c r="AG311">
        <f t="shared" si="18"/>
        <v>0</v>
      </c>
      <c r="AH311" t="str">
        <f>IFERROR(INDEX(Runs!$E:$E, MATCH($B311, Runs!$A:$A, 0)), $B311)</f>
        <v>Industry NO2</v>
      </c>
      <c r="AI311" t="str">
        <f t="shared" si="19"/>
        <v>transportation NO2</v>
      </c>
      <c r="AJ311" t="str">
        <f>IF($AG311=1, IF($AD311=1, Keys!$C$9, "") &amp; IF($AE311=1, Keys!$C$10, "") &amp; IF($AF311=1, Keys!$C$11, ""), "")</f>
        <v/>
      </c>
      <c r="AK311">
        <f>IF($AG311=1, IFERROR(INDEX($AG$2:$AG$577, MATCH($A311 &amp; Keys!$C$8 &amp; $AH311, $Y$2:$Y$577, 0)), 1), 0)</f>
        <v>0</v>
      </c>
    </row>
    <row r="312" spans="1:37" x14ac:dyDescent="0.25">
      <c r="A312" t="s">
        <v>159</v>
      </c>
      <c r="B312" t="s">
        <v>234</v>
      </c>
      <c r="C312">
        <v>17</v>
      </c>
      <c r="D312">
        <v>10.203981263999999</v>
      </c>
      <c r="E312">
        <v>2.1970350229800002E-2</v>
      </c>
      <c r="F312">
        <v>24.571575338999999</v>
      </c>
      <c r="G312">
        <v>33.088939060999998</v>
      </c>
      <c r="H312">
        <v>50.55519198599999</v>
      </c>
      <c r="I312">
        <v>0.76978409490000033</v>
      </c>
      <c r="J312">
        <v>3.672235949100001</v>
      </c>
      <c r="K312">
        <v>3405.7910729710002</v>
      </c>
      <c r="L312">
        <v>579.61576664999996</v>
      </c>
      <c r="M312">
        <v>0.86389849990000012</v>
      </c>
      <c r="N312">
        <v>108.21570638599999</v>
      </c>
      <c r="O312">
        <v>0.94370348060000009</v>
      </c>
      <c r="P312">
        <v>4.465774822899999E-2</v>
      </c>
      <c r="Q312">
        <v>0.14079686691000001</v>
      </c>
      <c r="R312">
        <v>5.7135955102999993</v>
      </c>
      <c r="S312">
        <v>72.542118338000037</v>
      </c>
      <c r="T312">
        <v>102.95780865899999</v>
      </c>
      <c r="U312">
        <v>990.18455857000004</v>
      </c>
      <c r="V312">
        <v>0</v>
      </c>
      <c r="W312">
        <v>0</v>
      </c>
      <c r="Y312" t="str">
        <f>$A312 &amp; Keys!$C$8 &amp; $B312</f>
        <v>Nevada|transportation PM25</v>
      </c>
      <c r="Z312" s="8">
        <f>IFERROR(INDEX($U312:$W312, MATCH(INDEX(Runs!$D:$D, MATCH($B312, Runs!$A:$A, 0)), $U$1:$W$1, 0)), 0)</f>
        <v>990.18455857000004</v>
      </c>
      <c r="AA312" s="8">
        <f t="shared" si="16"/>
        <v>1.0305130670525034E-2</v>
      </c>
      <c r="AB312" s="8">
        <f>IFERROR(VLOOKUP(INDEX(Runs!$F:$F, MATCH($B312, Runs!$A:$A, 0)), US_national_yearly!$D:$AM, MATCH(Keys!$C$7, US_national_yearly!$D$1:$AM$1, 0), FALSE), 0)</f>
        <v>2.8248683697579859E-2</v>
      </c>
      <c r="AC312" s="8">
        <f t="shared" si="17"/>
        <v>0.3648003843594278</v>
      </c>
      <c r="AD312">
        <f>IF($Z312&lt;Keys!$C$3, 1, 0)</f>
        <v>0</v>
      </c>
      <c r="AE312">
        <f>IF($AC312&gt;Keys!$C$4, 1, 0)</f>
        <v>0</v>
      </c>
      <c r="AF312">
        <f>IF($AC312&lt;Keys!$C$5, 1, 0)</f>
        <v>0</v>
      </c>
      <c r="AG312">
        <f t="shared" si="18"/>
        <v>0</v>
      </c>
      <c r="AH312" t="str">
        <f>IFERROR(INDEX(Runs!$E:$E, MATCH($B312, Runs!$A:$A, 0)), $B312)</f>
        <v>Industry PM25</v>
      </c>
      <c r="AI312" t="str">
        <f t="shared" si="19"/>
        <v>transportation PM25</v>
      </c>
      <c r="AJ312" t="str">
        <f>IF($AG312=1, IF($AD312=1, Keys!$C$9, "") &amp; IF($AE312=1, Keys!$C$10, "") &amp; IF($AF312=1, Keys!$C$11, ""), "")</f>
        <v/>
      </c>
      <c r="AK312">
        <f>IF($AG312=1, IFERROR(INDEX($AG$2:$AG$577, MATCH($A312 &amp; Keys!$C$8 &amp; $AH312, $Y$2:$Y$577, 0)), 1), 0)</f>
        <v>0</v>
      </c>
    </row>
    <row r="313" spans="1:37" x14ac:dyDescent="0.25">
      <c r="A313" t="s">
        <v>159</v>
      </c>
      <c r="B313" t="s">
        <v>243</v>
      </c>
      <c r="C313">
        <v>17</v>
      </c>
      <c r="D313">
        <v>0.51929667560000004</v>
      </c>
      <c r="E313">
        <v>1.13477774598E-3</v>
      </c>
      <c r="F313">
        <v>1.278915515</v>
      </c>
      <c r="G313">
        <v>1.7222467385</v>
      </c>
      <c r="H313">
        <v>2.6312960685999989</v>
      </c>
      <c r="I313">
        <v>3.9347338779999998E-2</v>
      </c>
      <c r="J313">
        <v>0.18854768506</v>
      </c>
      <c r="K313">
        <v>177.59274396800009</v>
      </c>
      <c r="L313">
        <v>30.234676678</v>
      </c>
      <c r="M313">
        <v>4.4521952293000003E-2</v>
      </c>
      <c r="N313">
        <v>5.6324583220999997</v>
      </c>
      <c r="O313">
        <v>4.6903192470000001E-2</v>
      </c>
      <c r="P313">
        <v>2.2669805079000012E-3</v>
      </c>
      <c r="Q313">
        <v>7.1135574029999992E-3</v>
      </c>
      <c r="R313">
        <v>0.29761342178000011</v>
      </c>
      <c r="S313">
        <v>3.778210410999999</v>
      </c>
      <c r="T313">
        <v>5.3607342095999986</v>
      </c>
      <c r="U313">
        <v>0</v>
      </c>
      <c r="V313">
        <v>379.44700342900001</v>
      </c>
      <c r="W313">
        <v>0</v>
      </c>
      <c r="Y313" t="str">
        <f>$A313 &amp; Keys!$C$8 &amp; $B313</f>
        <v>Nevada|transportation SO2</v>
      </c>
      <c r="Z313" s="8">
        <f>IFERROR(INDEX($U313:$W313, MATCH(INDEX(Runs!$D:$D, MATCH($B313, Runs!$A:$A, 0)), $U$1:$W$1, 0)), 0)</f>
        <v>379.44700342900001</v>
      </c>
      <c r="AA313" s="8">
        <f t="shared" si="16"/>
        <v>1.3685618041708106E-3</v>
      </c>
      <c r="AB313" s="8">
        <f>IFERROR(VLOOKUP(INDEX(Runs!$F:$F, MATCH($B313, Runs!$A:$A, 0)), US_national_yearly!$D:$AM, MATCH(Keys!$C$7, US_national_yearly!$D$1:$AM$1, 0), FALSE), 0)</f>
        <v>5.1800714166247604E-3</v>
      </c>
      <c r="AC313" s="8">
        <f t="shared" si="17"/>
        <v>0.26419747800746352</v>
      </c>
      <c r="AD313">
        <f>IF($Z313&lt;Keys!$C$3, 1, 0)</f>
        <v>0</v>
      </c>
      <c r="AE313">
        <f>IF($AC313&gt;Keys!$C$4, 1, 0)</f>
        <v>0</v>
      </c>
      <c r="AF313">
        <f>IF($AC313&lt;Keys!$C$5, 1, 0)</f>
        <v>0</v>
      </c>
      <c r="AG313">
        <f t="shared" si="18"/>
        <v>0</v>
      </c>
      <c r="AH313" t="str">
        <f>IFERROR(INDEX(Runs!$E:$E, MATCH($B313, Runs!$A:$A, 0)), $B313)</f>
        <v>Industry SO2</v>
      </c>
      <c r="AI313" t="str">
        <f t="shared" si="19"/>
        <v>transportation SO2</v>
      </c>
      <c r="AJ313" t="str">
        <f>IF($AG313=1, IF($AD313=1, Keys!$C$9, "") &amp; IF($AE313=1, Keys!$C$10, "") &amp; IF($AF313=1, Keys!$C$11, ""), "")</f>
        <v/>
      </c>
      <c r="AK313">
        <f>IF($AG313=1, IFERROR(INDEX($AG$2:$AG$577, MATCH($A313 &amp; Keys!$C$8 &amp; $AH313, $Y$2:$Y$577, 0)), 1), 0)</f>
        <v>0</v>
      </c>
    </row>
    <row r="314" spans="1:37" x14ac:dyDescent="0.25">
      <c r="A314" t="s">
        <v>162</v>
      </c>
      <c r="B314" t="s">
        <v>242</v>
      </c>
      <c r="C314">
        <v>10</v>
      </c>
      <c r="D314">
        <v>0.27359441099999998</v>
      </c>
      <c r="E314">
        <v>3.6435817999999989E-4</v>
      </c>
      <c r="F314">
        <v>0.53240002200000003</v>
      </c>
      <c r="G314">
        <v>0.71695449800000011</v>
      </c>
      <c r="H314">
        <v>1.09538278</v>
      </c>
      <c r="I314">
        <v>2.0233193999999999E-2</v>
      </c>
      <c r="J314">
        <v>0.11829422000000001</v>
      </c>
      <c r="K314">
        <v>78.455701122999997</v>
      </c>
      <c r="L314">
        <v>13.133309583999999</v>
      </c>
      <c r="M314">
        <v>2.8963815E-2</v>
      </c>
      <c r="N314">
        <v>2.3447372999999998</v>
      </c>
      <c r="O314">
        <v>7.5339597000000008E-2</v>
      </c>
      <c r="P314">
        <v>2.2157383999999998E-3</v>
      </c>
      <c r="Q314">
        <v>6.2452630999999996E-3</v>
      </c>
      <c r="R314">
        <v>0.122150883</v>
      </c>
      <c r="S314">
        <v>1.553146087</v>
      </c>
      <c r="T314">
        <v>2.2095013109999999</v>
      </c>
      <c r="U314">
        <v>0</v>
      </c>
      <c r="V314">
        <v>0</v>
      </c>
      <c r="W314">
        <v>4756.4736327000001</v>
      </c>
      <c r="Y314" t="str">
        <f>$A314 &amp; Keys!$C$8 &amp; $B314</f>
        <v>New Hampshire|Industry NO2</v>
      </c>
      <c r="Z314" s="8">
        <f>IFERROR(INDEX($U314:$W314, MATCH(INDEX(Runs!$D:$D, MATCH($B314, Runs!$A:$A, 0)), $U$1:$W$1, 0)), 0)</f>
        <v>4756.4736327000001</v>
      </c>
      <c r="AA314" s="8">
        <f t="shared" si="16"/>
        <v>5.7520430496887844E-5</v>
      </c>
      <c r="AB314" s="8">
        <f>IFERROR(VLOOKUP(INDEX(Runs!$F:$F, MATCH($B314, Runs!$A:$A, 0)), US_national_yearly!$D:$AM, MATCH(Keys!$C$7, US_national_yearly!$D$1:$AM$1, 0), FALSE), 0)</f>
        <v>5.8012217057786938E-3</v>
      </c>
      <c r="AC314" s="8">
        <f t="shared" si="17"/>
        <v>9.915227070117107E-3</v>
      </c>
      <c r="AD314">
        <f>IF($Z314&lt;Keys!$C$3, 1, 0)</f>
        <v>0</v>
      </c>
      <c r="AE314">
        <f>IF($AC314&gt;Keys!$C$4, 1, 0)</f>
        <v>0</v>
      </c>
      <c r="AF314">
        <f>IF($AC314&lt;Keys!$C$5, 1, 0)</f>
        <v>0</v>
      </c>
      <c r="AG314">
        <f t="shared" si="18"/>
        <v>0</v>
      </c>
      <c r="AH314" t="str">
        <f>IFERROR(INDEX(Runs!$E:$E, MATCH($B314, Runs!$A:$A, 0)), $B314)</f>
        <v>Industry NO2</v>
      </c>
      <c r="AI314" t="str">
        <f t="shared" si="19"/>
        <v>Industry NO2</v>
      </c>
      <c r="AJ314" t="str">
        <f>IF($AG314=1, IF($AD314=1, Keys!$C$9, "") &amp; IF($AE314=1, Keys!$C$10, "") &amp; IF($AF314=1, Keys!$C$11, ""), "")</f>
        <v/>
      </c>
      <c r="AK314">
        <f>IF($AG314=1, IFERROR(INDEX($AG$2:$AG$577, MATCH($A314 &amp; Keys!$C$8 &amp; $AH314, $Y$2:$Y$577, 0)), 1), 0)</f>
        <v>0</v>
      </c>
    </row>
    <row r="315" spans="1:37" x14ac:dyDescent="0.25">
      <c r="A315" t="s">
        <v>162</v>
      </c>
      <c r="B315" t="s">
        <v>238</v>
      </c>
      <c r="C315">
        <v>10</v>
      </c>
      <c r="D315">
        <v>16.857995772999999</v>
      </c>
      <c r="E315">
        <v>2.2693459199999998E-2</v>
      </c>
      <c r="F315">
        <v>33.555337385000001</v>
      </c>
      <c r="G315">
        <v>45.185839319000003</v>
      </c>
      <c r="H315">
        <v>69.040909748000004</v>
      </c>
      <c r="I315">
        <v>1.2488701069999999</v>
      </c>
      <c r="J315">
        <v>7.334980122000001</v>
      </c>
      <c r="K315">
        <v>4936.5173040299997</v>
      </c>
      <c r="L315">
        <v>826.38494736600001</v>
      </c>
      <c r="M315">
        <v>1.800271231</v>
      </c>
      <c r="N315">
        <v>147.78208645199999</v>
      </c>
      <c r="O315">
        <v>4.7218249979999998</v>
      </c>
      <c r="P315">
        <v>0.13949067400000001</v>
      </c>
      <c r="Q315">
        <v>0.39205803500000003</v>
      </c>
      <c r="R315">
        <v>7.7073112699999999</v>
      </c>
      <c r="S315">
        <v>98.036120094999987</v>
      </c>
      <c r="T315">
        <v>139.61422891000001</v>
      </c>
      <c r="U315">
        <v>1415.68970964</v>
      </c>
      <c r="V315">
        <v>0</v>
      </c>
      <c r="W315">
        <v>0</v>
      </c>
      <c r="Y315" t="str">
        <f>$A315 &amp; Keys!$C$8 &amp; $B315</f>
        <v>New Hampshire|Industry PM25</v>
      </c>
      <c r="Z315" s="8">
        <f>IFERROR(INDEX($U315:$W315, MATCH(INDEX(Runs!$D:$D, MATCH($B315, Runs!$A:$A, 0)), $U$1:$W$1, 0)), 0)</f>
        <v>1415.68970964</v>
      </c>
      <c r="AA315" s="8">
        <f t="shared" si="16"/>
        <v>1.1907973659910878E-2</v>
      </c>
      <c r="AB315" s="8">
        <f>IFERROR(VLOOKUP(INDEX(Runs!$F:$F, MATCH($B315, Runs!$A:$A, 0)), US_national_yearly!$D:$AM, MATCH(Keys!$C$7, US_national_yearly!$D$1:$AM$1, 0), FALSE), 0)</f>
        <v>2.6833191881203179E-2</v>
      </c>
      <c r="AC315" s="8">
        <f t="shared" si="17"/>
        <v>0.44377775527526747</v>
      </c>
      <c r="AD315">
        <f>IF($Z315&lt;Keys!$C$3, 1, 0)</f>
        <v>0</v>
      </c>
      <c r="AE315">
        <f>IF($AC315&gt;Keys!$C$4, 1, 0)</f>
        <v>0</v>
      </c>
      <c r="AF315">
        <f>IF($AC315&lt;Keys!$C$5, 1, 0)</f>
        <v>0</v>
      </c>
      <c r="AG315">
        <f t="shared" si="18"/>
        <v>0</v>
      </c>
      <c r="AH315" t="str">
        <f>IFERROR(INDEX(Runs!$E:$E, MATCH($B315, Runs!$A:$A, 0)), $B315)</f>
        <v>Industry PM25</v>
      </c>
      <c r="AI315" t="str">
        <f t="shared" si="19"/>
        <v>Industry PM25</v>
      </c>
      <c r="AJ315" t="str">
        <f>IF($AG315=1, IF($AD315=1, Keys!$C$9, "") &amp; IF($AE315=1, Keys!$C$10, "") &amp; IF($AF315=1, Keys!$C$11, ""), "")</f>
        <v/>
      </c>
      <c r="AK315">
        <f>IF($AG315=1, IFERROR(INDEX($AG$2:$AG$577, MATCH($A315 &amp; Keys!$C$8 &amp; $AH315, $Y$2:$Y$577, 0)), 1), 0)</f>
        <v>0</v>
      </c>
    </row>
    <row r="316" spans="1:37" x14ac:dyDescent="0.25">
      <c r="A316" t="s">
        <v>162</v>
      </c>
      <c r="B316" t="s">
        <v>246</v>
      </c>
      <c r="C316">
        <v>10</v>
      </c>
      <c r="D316">
        <v>2.2163637930000002</v>
      </c>
      <c r="E316">
        <v>3.0463855000000001E-3</v>
      </c>
      <c r="F316">
        <v>4.4820692990000008</v>
      </c>
      <c r="G316">
        <v>6.0357402950000001</v>
      </c>
      <c r="H316">
        <v>9.2216467049999995</v>
      </c>
      <c r="I316">
        <v>0.16346650600000001</v>
      </c>
      <c r="J316">
        <v>0.97098977099999995</v>
      </c>
      <c r="K316">
        <v>657.62706416499998</v>
      </c>
      <c r="L316">
        <v>110.12908773300001</v>
      </c>
      <c r="M316">
        <v>0.238666726</v>
      </c>
      <c r="N316">
        <v>19.739456299</v>
      </c>
      <c r="O316">
        <v>0.63781732400000002</v>
      </c>
      <c r="P316">
        <v>1.8878010099999998E-2</v>
      </c>
      <c r="Q316">
        <v>5.2520323000000001E-2</v>
      </c>
      <c r="R316">
        <v>1.035623637</v>
      </c>
      <c r="S316">
        <v>13.168308397000001</v>
      </c>
      <c r="T316">
        <v>18.735043276999999</v>
      </c>
      <c r="U316">
        <v>0</v>
      </c>
      <c r="V316">
        <v>191.42548268799999</v>
      </c>
      <c r="W316">
        <v>0</v>
      </c>
      <c r="Y316" t="str">
        <f>$A316 &amp; Keys!$C$8 &amp; $B316</f>
        <v>New Hampshire|Industry SO2</v>
      </c>
      <c r="Z316" s="8">
        <f>IFERROR(INDEX($U316:$W316, MATCH(INDEX(Runs!$D:$D, MATCH($B316, Runs!$A:$A, 0)), $U$1:$W$1, 0)), 0)</f>
        <v>191.42548268799999</v>
      </c>
      <c r="AA316" s="8">
        <f t="shared" si="16"/>
        <v>1.1578206630996986E-2</v>
      </c>
      <c r="AB316" s="8">
        <f>IFERROR(VLOOKUP(INDEX(Runs!$F:$F, MATCH($B316, Runs!$A:$A, 0)), US_national_yearly!$D:$AM, MATCH(Keys!$C$7, US_national_yearly!$D$1:$AM$1, 0), FALSE), 0)</f>
        <v>5.3000351638639942E-3</v>
      </c>
      <c r="AC316" s="8">
        <f t="shared" si="17"/>
        <v>2.1845527950338894</v>
      </c>
      <c r="AD316">
        <f>IF($Z316&lt;Keys!$C$3, 1, 0)</f>
        <v>0</v>
      </c>
      <c r="AE316">
        <f>IF($AC316&gt;Keys!$C$4, 1, 0)</f>
        <v>0</v>
      </c>
      <c r="AF316">
        <f>IF($AC316&lt;Keys!$C$5, 1, 0)</f>
        <v>0</v>
      </c>
      <c r="AG316">
        <f t="shared" si="18"/>
        <v>0</v>
      </c>
      <c r="AH316" t="str">
        <f>IFERROR(INDEX(Runs!$E:$E, MATCH($B316, Runs!$A:$A, 0)), $B316)</f>
        <v>Industry SO2</v>
      </c>
      <c r="AI316" t="str">
        <f t="shared" si="19"/>
        <v>Industry SO2</v>
      </c>
      <c r="AJ316" t="str">
        <f>IF($AG316=1, IF($AD316=1, Keys!$C$9, "") &amp; IF($AE316=1, Keys!$C$10, "") &amp; IF($AF316=1, Keys!$C$11, ""), "")</f>
        <v/>
      </c>
      <c r="AK316">
        <f>IF($AG316=1, IFERROR(INDEX($AG$2:$AG$577, MATCH($A316 &amp; Keys!$C$8 &amp; $AH316, $Y$2:$Y$577, 0)), 1), 0)</f>
        <v>0</v>
      </c>
    </row>
    <row r="317" spans="1:37" x14ac:dyDescent="0.25">
      <c r="A317" t="s">
        <v>162</v>
      </c>
      <c r="B317" t="s">
        <v>253</v>
      </c>
      <c r="C317">
        <v>10</v>
      </c>
      <c r="D317">
        <v>1.245273605</v>
      </c>
      <c r="E317">
        <v>1.6736322500000001E-3</v>
      </c>
      <c r="F317">
        <v>2.486746267</v>
      </c>
      <c r="G317">
        <v>3.3487616739999999</v>
      </c>
      <c r="H317">
        <v>5.1163510420000007</v>
      </c>
      <c r="I317">
        <v>9.2219497999999997E-2</v>
      </c>
      <c r="J317">
        <v>0.54523559200000005</v>
      </c>
      <c r="K317">
        <v>366.64098475600002</v>
      </c>
      <c r="L317">
        <v>61.365421269000002</v>
      </c>
      <c r="M317">
        <v>0.13362775499999999</v>
      </c>
      <c r="N317">
        <v>10.951858982999999</v>
      </c>
      <c r="O317">
        <v>0.35300348199999998</v>
      </c>
      <c r="P317">
        <v>1.03983453E-2</v>
      </c>
      <c r="Q317">
        <v>2.9290053E-2</v>
      </c>
      <c r="R317">
        <v>0.57245134799999997</v>
      </c>
      <c r="S317">
        <v>7.2794002129999997</v>
      </c>
      <c r="T317">
        <v>10.357561645000001</v>
      </c>
      <c r="U317">
        <v>0</v>
      </c>
      <c r="V317">
        <v>0</v>
      </c>
      <c r="W317">
        <v>2769.483742989999</v>
      </c>
      <c r="Y317" t="str">
        <f>$A317 &amp; Keys!$C$8 &amp; $B317</f>
        <v>New Hampshire|buildings NO2</v>
      </c>
      <c r="Z317" s="8">
        <f>IFERROR(INDEX($U317:$W317, MATCH(INDEX(Runs!$D:$D, MATCH($B317, Runs!$A:$A, 0)), $U$1:$W$1, 0)), 0)</f>
        <v>2769.483742989999</v>
      </c>
      <c r="AA317" s="8">
        <f t="shared" si="16"/>
        <v>4.4964105969279804E-4</v>
      </c>
      <c r="AB317" s="8">
        <f>IFERROR(VLOOKUP(INDEX(Runs!$F:$F, MATCH($B317, Runs!$A:$A, 0)), US_national_yearly!$D:$AM, MATCH(Keys!$C$7, US_national_yearly!$D$1:$AM$1, 0), FALSE), 0)</f>
        <v>5.6784740124662739E-3</v>
      </c>
      <c r="AC317" s="8">
        <f t="shared" si="17"/>
        <v>7.9183431799753901E-2</v>
      </c>
      <c r="AD317">
        <f>IF($Z317&lt;Keys!$C$3, 1, 0)</f>
        <v>0</v>
      </c>
      <c r="AE317">
        <f>IF($AC317&gt;Keys!$C$4, 1, 0)</f>
        <v>0</v>
      </c>
      <c r="AF317">
        <f>IF($AC317&lt;Keys!$C$5, 1, 0)</f>
        <v>0</v>
      </c>
      <c r="AG317">
        <f t="shared" si="18"/>
        <v>0</v>
      </c>
      <c r="AH317" t="str">
        <f>IFERROR(INDEX(Runs!$E:$E, MATCH($B317, Runs!$A:$A, 0)), $B317)</f>
        <v>Industry NO2</v>
      </c>
      <c r="AI317" t="str">
        <f t="shared" si="19"/>
        <v>buildings NO2</v>
      </c>
      <c r="AJ317" t="str">
        <f>IF($AG317=1, IF($AD317=1, Keys!$C$9, "") &amp; IF($AE317=1, Keys!$C$10, "") &amp; IF($AF317=1, Keys!$C$11, ""), "")</f>
        <v/>
      </c>
      <c r="AK317">
        <f>IF($AG317=1, IFERROR(INDEX($AG$2:$AG$577, MATCH($A317 &amp; Keys!$C$8 &amp; $AH317, $Y$2:$Y$577, 0)), 1), 0)</f>
        <v>0</v>
      </c>
    </row>
    <row r="318" spans="1:37" x14ac:dyDescent="0.25">
      <c r="A318" t="s">
        <v>162</v>
      </c>
      <c r="B318" t="s">
        <v>251</v>
      </c>
      <c r="C318">
        <v>10</v>
      </c>
      <c r="D318">
        <v>1.062015937</v>
      </c>
      <c r="E318">
        <v>1.42451866E-3</v>
      </c>
      <c r="F318">
        <v>2.1308952410000002</v>
      </c>
      <c r="G318">
        <v>2.8695570429999999</v>
      </c>
      <c r="H318">
        <v>4.3842061220000001</v>
      </c>
      <c r="I318">
        <v>7.8189500999999995E-2</v>
      </c>
      <c r="J318">
        <v>0.46038545499999989</v>
      </c>
      <c r="K318">
        <v>313.54616590799998</v>
      </c>
      <c r="L318">
        <v>52.473758093999997</v>
      </c>
      <c r="M318">
        <v>0.112970446</v>
      </c>
      <c r="N318">
        <v>9.3846584059999998</v>
      </c>
      <c r="O318">
        <v>0.30048414800000001</v>
      </c>
      <c r="P318">
        <v>8.8355962000000003E-3</v>
      </c>
      <c r="Q318">
        <v>2.4667082999999999E-2</v>
      </c>
      <c r="R318">
        <v>0.48344891600000001</v>
      </c>
      <c r="S318">
        <v>6.1475607299999986</v>
      </c>
      <c r="T318">
        <v>8.7469470149999999</v>
      </c>
      <c r="U318">
        <v>96.670393318000009</v>
      </c>
      <c r="V318">
        <v>0</v>
      </c>
      <c r="W318">
        <v>0</v>
      </c>
      <c r="Y318" t="str">
        <f>$A318 &amp; Keys!$C$8 &amp; $B318</f>
        <v>New Hampshire|buildings PM25</v>
      </c>
      <c r="Z318" s="8">
        <f>IFERROR(INDEX($U318:$W318, MATCH(INDEX(Runs!$D:$D, MATCH($B318, Runs!$A:$A, 0)), $U$1:$W$1, 0)), 0)</f>
        <v>96.670393318000009</v>
      </c>
      <c r="AA318" s="8">
        <f t="shared" si="16"/>
        <v>1.0985948236565754E-2</v>
      </c>
      <c r="AB318" s="8">
        <f>IFERROR(VLOOKUP(INDEX(Runs!$F:$F, MATCH($B318, Runs!$A:$A, 0)), US_national_yearly!$D:$AM, MATCH(Keys!$C$7, US_national_yearly!$D$1:$AM$1, 0), FALSE), 0)</f>
        <v>2.7627705191843259E-2</v>
      </c>
      <c r="AC318" s="8">
        <f t="shared" si="17"/>
        <v>0.39764244479520577</v>
      </c>
      <c r="AD318">
        <f>IF($Z318&lt;Keys!$C$3, 1, 0)</f>
        <v>0</v>
      </c>
      <c r="AE318">
        <f>IF($AC318&gt;Keys!$C$4, 1, 0)</f>
        <v>0</v>
      </c>
      <c r="AF318">
        <f>IF($AC318&lt;Keys!$C$5, 1, 0)</f>
        <v>0</v>
      </c>
      <c r="AG318">
        <f t="shared" si="18"/>
        <v>0</v>
      </c>
      <c r="AH318" t="str">
        <f>IFERROR(INDEX(Runs!$E:$E, MATCH($B318, Runs!$A:$A, 0)), $B318)</f>
        <v>Industry PM25</v>
      </c>
      <c r="AI318" t="str">
        <f t="shared" si="19"/>
        <v>buildings PM25</v>
      </c>
      <c r="AJ318" t="str">
        <f>IF($AG318=1, IF($AD318=1, Keys!$C$9, "") &amp; IF($AE318=1, Keys!$C$10, "") &amp; IF($AF318=1, Keys!$C$11, ""), "")</f>
        <v/>
      </c>
      <c r="AK318">
        <f>IF($AG318=1, IFERROR(INDEX($AG$2:$AG$577, MATCH($A318 &amp; Keys!$C$8 &amp; $AH318, $Y$2:$Y$577, 0)), 1), 0)</f>
        <v>0</v>
      </c>
    </row>
    <row r="319" spans="1:37" x14ac:dyDescent="0.25">
      <c r="A319" t="s">
        <v>162</v>
      </c>
      <c r="B319" t="s">
        <v>254</v>
      </c>
      <c r="C319">
        <v>10</v>
      </c>
      <c r="D319">
        <v>7.8024241999999994E-2</v>
      </c>
      <c r="E319">
        <v>1.05729092E-4</v>
      </c>
      <c r="F319">
        <v>0.157433558</v>
      </c>
      <c r="G319">
        <v>0.21200734700000001</v>
      </c>
      <c r="H319">
        <v>0.32391052100000001</v>
      </c>
      <c r="I319">
        <v>5.6897882000000004E-3</v>
      </c>
      <c r="J319">
        <v>3.3139841000000003E-2</v>
      </c>
      <c r="K319">
        <v>22.978245146999999</v>
      </c>
      <c r="L319">
        <v>3.847892549</v>
      </c>
      <c r="M319">
        <v>8.0926257999999994E-3</v>
      </c>
      <c r="N319">
        <v>0.69335142599999999</v>
      </c>
      <c r="O319">
        <v>2.1953093999999999E-2</v>
      </c>
      <c r="P319">
        <v>6.4401686E-4</v>
      </c>
      <c r="Q319">
        <v>1.7570908000000001E-3</v>
      </c>
      <c r="R319">
        <v>3.4565883999999998E-2</v>
      </c>
      <c r="S319">
        <v>0.43942326999999998</v>
      </c>
      <c r="T319">
        <v>0.62492717100000006</v>
      </c>
      <c r="U319">
        <v>0</v>
      </c>
      <c r="V319">
        <v>72.000604772000003</v>
      </c>
      <c r="W319">
        <v>0</v>
      </c>
      <c r="Y319" t="str">
        <f>$A319 &amp; Keys!$C$8 &amp; $B319</f>
        <v>New Hampshire|buildings SO2</v>
      </c>
      <c r="Z319" s="8">
        <f>IFERROR(INDEX($U319:$W319, MATCH(INDEX(Runs!$D:$D, MATCH($B319, Runs!$A:$A, 0)), $U$1:$W$1, 0)), 0)</f>
        <v>72.000604772000003</v>
      </c>
      <c r="AA319" s="8">
        <f t="shared" si="16"/>
        <v>1.0836609254474276E-3</v>
      </c>
      <c r="AB319" s="8">
        <f>IFERROR(VLOOKUP(INDEX(Runs!$F:$F, MATCH($B319, Runs!$A:$A, 0)), US_national_yearly!$D:$AM, MATCH(Keys!$C$7, US_national_yearly!$D$1:$AM$1, 0), FALSE), 0)</f>
        <v>5.1581943281164694E-3</v>
      </c>
      <c r="AC319" s="8">
        <f t="shared" si="17"/>
        <v>0.21008532376156711</v>
      </c>
      <c r="AD319">
        <f>IF($Z319&lt;Keys!$C$3, 1, 0)</f>
        <v>0</v>
      </c>
      <c r="AE319">
        <f>IF($AC319&gt;Keys!$C$4, 1, 0)</f>
        <v>0</v>
      </c>
      <c r="AF319">
        <f>IF($AC319&lt;Keys!$C$5, 1, 0)</f>
        <v>0</v>
      </c>
      <c r="AG319">
        <f t="shared" si="18"/>
        <v>0</v>
      </c>
      <c r="AH319" t="str">
        <f>IFERROR(INDEX(Runs!$E:$E, MATCH($B319, Runs!$A:$A, 0)), $B319)</f>
        <v>Industry SO2</v>
      </c>
      <c r="AI319" t="str">
        <f t="shared" si="19"/>
        <v>buildings SO2</v>
      </c>
      <c r="AJ319" t="str">
        <f>IF($AG319=1, IF($AD319=1, Keys!$C$9, "") &amp; IF($AE319=1, Keys!$C$10, "") &amp; IF($AF319=1, Keys!$C$11, ""), "")</f>
        <v/>
      </c>
      <c r="AK319">
        <f>IF($AG319=1, IFERROR(INDEX($AG$2:$AG$577, MATCH($A319 &amp; Keys!$C$8 &amp; $AH319, $Y$2:$Y$577, 0)), 1), 0)</f>
        <v>0</v>
      </c>
    </row>
    <row r="320" spans="1:37" x14ac:dyDescent="0.25">
      <c r="A320" t="s">
        <v>162</v>
      </c>
      <c r="B320" t="s">
        <v>249</v>
      </c>
      <c r="C320">
        <v>10</v>
      </c>
      <c r="D320">
        <v>4.9189179E-3</v>
      </c>
      <c r="E320">
        <v>7.5972100999999988E-6</v>
      </c>
      <c r="F320">
        <v>1.07181142E-2</v>
      </c>
      <c r="G320">
        <v>1.4433514999999999E-2</v>
      </c>
      <c r="H320">
        <v>2.2051894999999998E-2</v>
      </c>
      <c r="I320">
        <v>3.5582096999999999E-4</v>
      </c>
      <c r="J320">
        <v>2.1673221000000002E-3</v>
      </c>
      <c r="K320">
        <v>1.532589465</v>
      </c>
      <c r="L320">
        <v>0.25731354400000001</v>
      </c>
      <c r="M320">
        <v>5.3552034999999995E-4</v>
      </c>
      <c r="N320">
        <v>4.7203524199999999E-2</v>
      </c>
      <c r="O320">
        <v>1.5227947399999999E-3</v>
      </c>
      <c r="P320">
        <v>4.6339474999999991E-5</v>
      </c>
      <c r="Q320">
        <v>1.2182394200000001E-4</v>
      </c>
      <c r="R320">
        <v>2.5163238999999999E-3</v>
      </c>
      <c r="S320">
        <v>3.1979782999999998E-2</v>
      </c>
      <c r="T320">
        <v>4.5457770999999987E-2</v>
      </c>
      <c r="U320">
        <v>0</v>
      </c>
      <c r="V320">
        <v>0</v>
      </c>
      <c r="W320">
        <v>314.10852593999999</v>
      </c>
      <c r="Y320" t="str">
        <f>$A320 &amp; Keys!$C$8 &amp; $B320</f>
        <v>New Hampshire|electricity NO2</v>
      </c>
      <c r="Z320" s="8">
        <f>IFERROR(INDEX($U320:$W320, MATCH(INDEX(Runs!$D:$D, MATCH($B320, Runs!$A:$A, 0)), $U$1:$W$1, 0)), 0)</f>
        <v>314.10852593999999</v>
      </c>
      <c r="AA320" s="8">
        <f t="shared" si="16"/>
        <v>1.5659931182318801E-5</v>
      </c>
      <c r="AB320" s="8">
        <f>IFERROR(VLOOKUP(INDEX(Runs!$F:$F, MATCH($B320, Runs!$A:$A, 0)), US_national_yearly!$D:$AM, MATCH(Keys!$C$7, US_national_yearly!$D$1:$AM$1, 0), FALSE), 0)</f>
        <v>6.1439221592658041E-3</v>
      </c>
      <c r="AC320" s="8">
        <f t="shared" si="17"/>
        <v>2.5488492165711544E-3</v>
      </c>
      <c r="AD320">
        <f>IF($Z320&lt;Keys!$C$3, 1, 0)</f>
        <v>0</v>
      </c>
      <c r="AE320">
        <f>IF($AC320&gt;Keys!$C$4, 1, 0)</f>
        <v>0</v>
      </c>
      <c r="AF320">
        <f>IF($AC320&lt;Keys!$C$5, 1, 0)</f>
        <v>0</v>
      </c>
      <c r="AG320">
        <f t="shared" si="18"/>
        <v>0</v>
      </c>
      <c r="AH320" t="str">
        <f>IFERROR(INDEX(Runs!$E:$E, MATCH($B320, Runs!$A:$A, 0)), $B320)</f>
        <v>Industry NO2</v>
      </c>
      <c r="AI320" t="str">
        <f t="shared" si="19"/>
        <v>electricity NO2</v>
      </c>
      <c r="AJ320" t="str">
        <f>IF($AG320=1, IF($AD320=1, Keys!$C$9, "") &amp; IF($AE320=1, Keys!$C$10, "") &amp; IF($AF320=1, Keys!$C$11, ""), "")</f>
        <v/>
      </c>
      <c r="AK320">
        <f>IF($AG320=1, IFERROR(INDEX($AG$2:$AG$577, MATCH($A320 &amp; Keys!$C$8 &amp; $AH320, $Y$2:$Y$577, 0)), 1), 0)</f>
        <v>0</v>
      </c>
    </row>
    <row r="321" spans="1:37" x14ac:dyDescent="0.25">
      <c r="A321" t="s">
        <v>162</v>
      </c>
      <c r="B321" t="s">
        <v>247</v>
      </c>
      <c r="C321">
        <v>10</v>
      </c>
      <c r="D321">
        <v>0.30991821200000003</v>
      </c>
      <c r="E321">
        <v>4.0297255E-4</v>
      </c>
      <c r="F321">
        <v>0.62779728899999998</v>
      </c>
      <c r="G321">
        <v>0.84542059000000003</v>
      </c>
      <c r="H321">
        <v>1.2916578009999999</v>
      </c>
      <c r="I321">
        <v>2.2874551399999998E-2</v>
      </c>
      <c r="J321">
        <v>0.137926944</v>
      </c>
      <c r="K321">
        <v>93.863966230999992</v>
      </c>
      <c r="L321">
        <v>15.693754223999999</v>
      </c>
      <c r="M321">
        <v>3.4015674000000003E-2</v>
      </c>
      <c r="N321">
        <v>2.7648756799999998</v>
      </c>
      <c r="O321">
        <v>9.1605238999999991E-2</v>
      </c>
      <c r="P321">
        <v>2.6575287299999998E-3</v>
      </c>
      <c r="Q321">
        <v>7.5877605000000004E-3</v>
      </c>
      <c r="R321">
        <v>0.14433268599999999</v>
      </c>
      <c r="S321">
        <v>1.83586882</v>
      </c>
      <c r="T321">
        <v>2.6133368720000001</v>
      </c>
      <c r="U321">
        <v>32.853442858999998</v>
      </c>
      <c r="V321">
        <v>0</v>
      </c>
      <c r="W321">
        <v>0</v>
      </c>
      <c r="Y321" t="str">
        <f>$A321 &amp; Keys!$C$8 &amp; $B321</f>
        <v>New Hampshire|electricity PM25</v>
      </c>
      <c r="Z321" s="8">
        <f>IFERROR(INDEX($U321:$W321, MATCH(INDEX(Runs!$D:$D, MATCH($B321, Runs!$A:$A, 0)), $U$1:$W$1, 0)), 0)</f>
        <v>32.853442858999998</v>
      </c>
      <c r="AA321" s="8">
        <f t="shared" si="16"/>
        <v>9.4333556860418926E-3</v>
      </c>
      <c r="AB321" s="8">
        <f>IFERROR(VLOOKUP(INDEX(Runs!$F:$F, MATCH($B321, Runs!$A:$A, 0)), US_national_yearly!$D:$AM, MATCH(Keys!$C$7, US_national_yearly!$D$1:$AM$1, 0), FALSE), 0)</f>
        <v>2.4252978284752182E-2</v>
      </c>
      <c r="AC321" s="8">
        <f t="shared" si="17"/>
        <v>0.38895658814705786</v>
      </c>
      <c r="AD321">
        <f>IF($Z321&lt;Keys!$C$3, 1, 0)</f>
        <v>0</v>
      </c>
      <c r="AE321">
        <f>IF($AC321&gt;Keys!$C$4, 1, 0)</f>
        <v>0</v>
      </c>
      <c r="AF321">
        <f>IF($AC321&lt;Keys!$C$5, 1, 0)</f>
        <v>0</v>
      </c>
      <c r="AG321">
        <f t="shared" si="18"/>
        <v>0</v>
      </c>
      <c r="AH321" t="str">
        <f>IFERROR(INDEX(Runs!$E:$E, MATCH($B321, Runs!$A:$A, 0)), $B321)</f>
        <v>Industry PM25</v>
      </c>
      <c r="AI321" t="str">
        <f t="shared" si="19"/>
        <v>electricity PM25</v>
      </c>
      <c r="AJ321" t="str">
        <f>IF($AG321=1, IF($AD321=1, Keys!$C$9, "") &amp; IF($AE321=1, Keys!$C$10, "") &amp; IF($AF321=1, Keys!$C$11, ""), "")</f>
        <v/>
      </c>
      <c r="AK321">
        <f>IF($AG321=1, IFERROR(INDEX($AG$2:$AG$577, MATCH($A321 &amp; Keys!$C$8 &amp; $AH321, $Y$2:$Y$577, 0)), 1), 0)</f>
        <v>0</v>
      </c>
    </row>
    <row r="322" spans="1:37" x14ac:dyDescent="0.25">
      <c r="A322" t="s">
        <v>162</v>
      </c>
      <c r="B322" t="s">
        <v>250</v>
      </c>
      <c r="C322">
        <v>10</v>
      </c>
      <c r="D322">
        <v>8.5067437999999995E-2</v>
      </c>
      <c r="E322">
        <v>1.02580731E-4</v>
      </c>
      <c r="F322">
        <v>0.16365458699999999</v>
      </c>
      <c r="G322">
        <v>0.220384888</v>
      </c>
      <c r="H322">
        <v>0.33670990400000012</v>
      </c>
      <c r="I322">
        <v>6.3350596000000007E-3</v>
      </c>
      <c r="J322">
        <v>3.7747726999999988E-2</v>
      </c>
      <c r="K322">
        <v>24.866224090999999</v>
      </c>
      <c r="L322">
        <v>4.1511228840000003</v>
      </c>
      <c r="M322">
        <v>9.2695669999999994E-3</v>
      </c>
      <c r="N322">
        <v>0.72074937900000013</v>
      </c>
      <c r="O322">
        <v>2.3989575999999999E-2</v>
      </c>
      <c r="P322">
        <v>6.8509216999999996E-4</v>
      </c>
      <c r="Q322">
        <v>2.0340941999999998E-3</v>
      </c>
      <c r="R322">
        <v>3.7612304000000013E-2</v>
      </c>
      <c r="S322">
        <v>0.47855198599999998</v>
      </c>
      <c r="T322">
        <v>0.681527989</v>
      </c>
      <c r="U322">
        <v>0</v>
      </c>
      <c r="V322">
        <v>2.8768791702700001</v>
      </c>
      <c r="W322">
        <v>0</v>
      </c>
      <c r="Y322" t="str">
        <f>$A322 &amp; Keys!$C$8 &amp; $B322</f>
        <v>New Hampshire|electricity SO2</v>
      </c>
      <c r="Z322" s="8">
        <f>IFERROR(INDEX($U322:$W322, MATCH(INDEX(Runs!$D:$D, MATCH($B322, Runs!$A:$A, 0)), $U$1:$W$1, 0)), 0)</f>
        <v>2.8768791702700001</v>
      </c>
      <c r="AA322" s="8">
        <f t="shared" ref="AA322:AA385" si="20">IFERROR($D322/$Z322, 0)</f>
        <v>2.9569346839136198E-2</v>
      </c>
      <c r="AB322" s="8">
        <f>IFERROR(VLOOKUP(INDEX(Runs!$F:$F, MATCH($B322, Runs!$A:$A, 0)), US_national_yearly!$D:$AM, MATCH(Keys!$C$7, US_national_yearly!$D$1:$AM$1, 0), FALSE), 0)</f>
        <v>5.7032329662362116E-3</v>
      </c>
      <c r="AC322" s="8">
        <f t="shared" ref="AC322:AC385" si="21">IFERROR($AA322/$AB322, 0)</f>
        <v>5.1846640342749621</v>
      </c>
      <c r="AD322">
        <f>IF($Z322&lt;Keys!$C$3, 1, 0)</f>
        <v>0</v>
      </c>
      <c r="AE322">
        <f>IF($AC322&gt;Keys!$C$4, 1, 0)</f>
        <v>0</v>
      </c>
      <c r="AF322">
        <f>IF($AC322&lt;Keys!$C$5, 1, 0)</f>
        <v>0</v>
      </c>
      <c r="AG322">
        <f t="shared" ref="AG322:AG385" si="22">IF($AD322+$AE322+$AF322&gt;0, 1, 0)</f>
        <v>0</v>
      </c>
      <c r="AH322" t="str">
        <f>IFERROR(INDEX(Runs!$E:$E, MATCH($B322, Runs!$A:$A, 0)), $B322)</f>
        <v>Industry SO2</v>
      </c>
      <c r="AI322" t="str">
        <f t="shared" ref="AI322:AI385" si="23">IF($AG322=1, $AH322, $B322)</f>
        <v>electricity SO2</v>
      </c>
      <c r="AJ322" t="str">
        <f>IF($AG322=1, IF($AD322=1, Keys!$C$9, "") &amp; IF($AE322=1, Keys!$C$10, "") &amp; IF($AF322=1, Keys!$C$11, ""), "")</f>
        <v/>
      </c>
      <c r="AK322">
        <f>IF($AG322=1, IFERROR(INDEX($AG$2:$AG$577, MATCH($A322 &amp; Keys!$C$8 &amp; $AH322, $Y$2:$Y$577, 0)), 1), 0)</f>
        <v>0</v>
      </c>
    </row>
    <row r="323" spans="1:37" x14ac:dyDescent="0.25">
      <c r="A323" t="s">
        <v>162</v>
      </c>
      <c r="B323" t="s">
        <v>239</v>
      </c>
      <c r="C323">
        <v>10</v>
      </c>
      <c r="D323">
        <v>4.4431329819999998</v>
      </c>
      <c r="E323">
        <v>5.8974188E-3</v>
      </c>
      <c r="F323">
        <v>8.7816192630000014</v>
      </c>
      <c r="G323">
        <v>11.825647451</v>
      </c>
      <c r="H323">
        <v>18.067860275000001</v>
      </c>
      <c r="I323">
        <v>0.32995690999999999</v>
      </c>
      <c r="J323">
        <v>1.944296877</v>
      </c>
      <c r="K323">
        <v>1298.293420107</v>
      </c>
      <c r="L323">
        <v>217.24339027299999</v>
      </c>
      <c r="M323">
        <v>0.47610845400000001</v>
      </c>
      <c r="N323">
        <v>38.675126988999999</v>
      </c>
      <c r="O323">
        <v>1.2451019210000001</v>
      </c>
      <c r="P323">
        <v>3.6605499999999999E-2</v>
      </c>
      <c r="Q323">
        <v>0.103944543</v>
      </c>
      <c r="R323">
        <v>2.0230880560000002</v>
      </c>
      <c r="S323">
        <v>25.728906595000002</v>
      </c>
      <c r="T323">
        <v>36.618530870000001</v>
      </c>
      <c r="U323">
        <v>0</v>
      </c>
      <c r="V323">
        <v>0</v>
      </c>
      <c r="W323">
        <v>9928.1971351000011</v>
      </c>
      <c r="Y323" t="str">
        <f>$A323 &amp; Keys!$C$8 &amp; $B323</f>
        <v>New Hampshire|transportation NO2</v>
      </c>
      <c r="Z323" s="8">
        <f>IFERROR(INDEX($U323:$W323, MATCH(INDEX(Runs!$D:$D, MATCH($B323, Runs!$A:$A, 0)), $U$1:$W$1, 0)), 0)</f>
        <v>9928.1971351000011</v>
      </c>
      <c r="AA323" s="8">
        <f t="shared" si="20"/>
        <v>4.4752666788734619E-4</v>
      </c>
      <c r="AB323" s="8">
        <f>IFERROR(VLOOKUP(INDEX(Runs!$F:$F, MATCH($B323, Runs!$A:$A, 0)), US_national_yearly!$D:$AM, MATCH(Keys!$C$7, US_national_yearly!$D$1:$AM$1, 0), FALSE), 0)</f>
        <v>5.7148835886332216E-3</v>
      </c>
      <c r="AC323" s="8">
        <f t="shared" si="21"/>
        <v>7.8308973568152279E-2</v>
      </c>
      <c r="AD323">
        <f>IF($Z323&lt;Keys!$C$3, 1, 0)</f>
        <v>0</v>
      </c>
      <c r="AE323">
        <f>IF($AC323&gt;Keys!$C$4, 1, 0)</f>
        <v>0</v>
      </c>
      <c r="AF323">
        <f>IF($AC323&lt;Keys!$C$5, 1, 0)</f>
        <v>0</v>
      </c>
      <c r="AG323">
        <f t="shared" si="22"/>
        <v>0</v>
      </c>
      <c r="AH323" t="str">
        <f>IFERROR(INDEX(Runs!$E:$E, MATCH($B323, Runs!$A:$A, 0)), $B323)</f>
        <v>Industry NO2</v>
      </c>
      <c r="AI323" t="str">
        <f t="shared" si="23"/>
        <v>transportation NO2</v>
      </c>
      <c r="AJ323" t="str">
        <f>IF($AG323=1, IF($AD323=1, Keys!$C$9, "") &amp; IF($AE323=1, Keys!$C$10, "") &amp; IF($AF323=1, Keys!$C$11, ""), "")</f>
        <v/>
      </c>
      <c r="AK323">
        <f>IF($AG323=1, IFERROR(INDEX($AG$2:$AG$577, MATCH($A323 &amp; Keys!$C$8 &amp; $AH323, $Y$2:$Y$577, 0)), 1), 0)</f>
        <v>0</v>
      </c>
    </row>
    <row r="324" spans="1:37" x14ac:dyDescent="0.25">
      <c r="A324" t="s">
        <v>162</v>
      </c>
      <c r="B324" t="s">
        <v>234</v>
      </c>
      <c r="C324">
        <v>10</v>
      </c>
      <c r="D324">
        <v>4.0299757980000006</v>
      </c>
      <c r="E324">
        <v>5.3752043999999999E-3</v>
      </c>
      <c r="F324">
        <v>7.9898015249999998</v>
      </c>
      <c r="G324">
        <v>10.759363702</v>
      </c>
      <c r="H324">
        <v>16.438710443000002</v>
      </c>
      <c r="I324">
        <v>0.29886468599999999</v>
      </c>
      <c r="J324">
        <v>1.7578547149999999</v>
      </c>
      <c r="K324">
        <v>1178.8218543180001</v>
      </c>
      <c r="L324">
        <v>197.262357874</v>
      </c>
      <c r="M324">
        <v>0.43102127299999998</v>
      </c>
      <c r="N324">
        <v>35.187875669999997</v>
      </c>
      <c r="O324">
        <v>1.1264272129999999</v>
      </c>
      <c r="P324">
        <v>3.3208062000000003E-2</v>
      </c>
      <c r="Q324">
        <v>9.3879080000000018E-2</v>
      </c>
      <c r="R324">
        <v>1.839548387</v>
      </c>
      <c r="S324">
        <v>23.394266694999999</v>
      </c>
      <c r="T324">
        <v>33.294394519000001</v>
      </c>
      <c r="U324">
        <v>335.09466090000001</v>
      </c>
      <c r="V324">
        <v>0</v>
      </c>
      <c r="W324">
        <v>0</v>
      </c>
      <c r="Y324" t="str">
        <f>$A324 &amp; Keys!$C$8 &amp; $B324</f>
        <v>New Hampshire|transportation PM25</v>
      </c>
      <c r="Z324" s="8">
        <f>IFERROR(INDEX($U324:$W324, MATCH(INDEX(Runs!$D:$D, MATCH($B324, Runs!$A:$A, 0)), $U$1:$W$1, 0)), 0)</f>
        <v>335.09466090000001</v>
      </c>
      <c r="AA324" s="8">
        <f t="shared" si="20"/>
        <v>1.2026380209031854E-2</v>
      </c>
      <c r="AB324" s="8">
        <f>IFERROR(VLOOKUP(INDEX(Runs!$F:$F, MATCH($B324, Runs!$A:$A, 0)), US_national_yearly!$D:$AM, MATCH(Keys!$C$7, US_national_yearly!$D$1:$AM$1, 0), FALSE), 0)</f>
        <v>2.8248683697579859E-2</v>
      </c>
      <c r="AC324" s="8">
        <f t="shared" si="21"/>
        <v>0.42573241067732254</v>
      </c>
      <c r="AD324">
        <f>IF($Z324&lt;Keys!$C$3, 1, 0)</f>
        <v>0</v>
      </c>
      <c r="AE324">
        <f>IF($AC324&gt;Keys!$C$4, 1, 0)</f>
        <v>0</v>
      </c>
      <c r="AF324">
        <f>IF($AC324&lt;Keys!$C$5, 1, 0)</f>
        <v>0</v>
      </c>
      <c r="AG324">
        <f t="shared" si="22"/>
        <v>0</v>
      </c>
      <c r="AH324" t="str">
        <f>IFERROR(INDEX(Runs!$E:$E, MATCH($B324, Runs!$A:$A, 0)), $B324)</f>
        <v>Industry PM25</v>
      </c>
      <c r="AI324" t="str">
        <f t="shared" si="23"/>
        <v>transportation PM25</v>
      </c>
      <c r="AJ324" t="str">
        <f>IF($AG324=1, IF($AD324=1, Keys!$C$9, "") &amp; IF($AE324=1, Keys!$C$10, "") &amp; IF($AF324=1, Keys!$C$11, ""), "")</f>
        <v/>
      </c>
      <c r="AK324">
        <f>IF($AG324=1, IFERROR(INDEX($AG$2:$AG$577, MATCH($A324 &amp; Keys!$C$8 &amp; $AH324, $Y$2:$Y$577, 0)), 1), 0)</f>
        <v>0</v>
      </c>
    </row>
    <row r="325" spans="1:37" x14ac:dyDescent="0.25">
      <c r="A325" t="s">
        <v>162</v>
      </c>
      <c r="B325" t="s">
        <v>243</v>
      </c>
      <c r="C325">
        <v>10</v>
      </c>
      <c r="D325">
        <v>0.13790332699999999</v>
      </c>
      <c r="E325">
        <v>1.97632704E-4</v>
      </c>
      <c r="F325">
        <v>0.28745668099999988</v>
      </c>
      <c r="G325">
        <v>0.38710252999999989</v>
      </c>
      <c r="H325">
        <v>0.59142563699999995</v>
      </c>
      <c r="I325">
        <v>1.01135394E-2</v>
      </c>
      <c r="J325">
        <v>6.0783070000000002E-2</v>
      </c>
      <c r="K325">
        <v>41.844279985</v>
      </c>
      <c r="L325">
        <v>7.0132698830000004</v>
      </c>
      <c r="M325">
        <v>1.49725699E-2</v>
      </c>
      <c r="N325">
        <v>1.265984848</v>
      </c>
      <c r="O325">
        <v>4.0983186999999997E-2</v>
      </c>
      <c r="P325">
        <v>1.2246627600000001E-3</v>
      </c>
      <c r="Q325">
        <v>3.344718E-3</v>
      </c>
      <c r="R325">
        <v>6.6939672999999991E-2</v>
      </c>
      <c r="S325">
        <v>0.85100762900000004</v>
      </c>
      <c r="T325">
        <v>1.2103308639999999</v>
      </c>
      <c r="U325">
        <v>0</v>
      </c>
      <c r="V325">
        <v>66.284073111999987</v>
      </c>
      <c r="W325">
        <v>0</v>
      </c>
      <c r="Y325" t="str">
        <f>$A325 &amp; Keys!$C$8 &amp; $B325</f>
        <v>New Hampshire|transportation SO2</v>
      </c>
      <c r="Z325" s="8">
        <f>IFERROR(INDEX($U325:$W325, MATCH(INDEX(Runs!$D:$D, MATCH($B325, Runs!$A:$A, 0)), $U$1:$W$1, 0)), 0)</f>
        <v>66.284073111999987</v>
      </c>
      <c r="AA325" s="8">
        <f t="shared" si="20"/>
        <v>2.0804896338670253E-3</v>
      </c>
      <c r="AB325" s="8">
        <f>IFERROR(VLOOKUP(INDEX(Runs!$F:$F, MATCH($B325, Runs!$A:$A, 0)), US_national_yearly!$D:$AM, MATCH(Keys!$C$7, US_national_yearly!$D$1:$AM$1, 0), FALSE), 0)</f>
        <v>5.1800714166247604E-3</v>
      </c>
      <c r="AC325" s="8">
        <f t="shared" si="21"/>
        <v>0.40163338814016475</v>
      </c>
      <c r="AD325">
        <f>IF($Z325&lt;Keys!$C$3, 1, 0)</f>
        <v>0</v>
      </c>
      <c r="AE325">
        <f>IF($AC325&gt;Keys!$C$4, 1, 0)</f>
        <v>0</v>
      </c>
      <c r="AF325">
        <f>IF($AC325&lt;Keys!$C$5, 1, 0)</f>
        <v>0</v>
      </c>
      <c r="AG325">
        <f t="shared" si="22"/>
        <v>0</v>
      </c>
      <c r="AH325" t="str">
        <f>IFERROR(INDEX(Runs!$E:$E, MATCH($B325, Runs!$A:$A, 0)), $B325)</f>
        <v>Industry SO2</v>
      </c>
      <c r="AI325" t="str">
        <f t="shared" si="23"/>
        <v>transportation SO2</v>
      </c>
      <c r="AJ325" t="str">
        <f>IF($AG325=1, IF($AD325=1, Keys!$C$9, "") &amp; IF($AE325=1, Keys!$C$10, "") &amp; IF($AF325=1, Keys!$C$11, ""), "")</f>
        <v/>
      </c>
      <c r="AK325">
        <f>IF($AG325=1, IFERROR(INDEX($AG$2:$AG$577, MATCH($A325 &amp; Keys!$C$8 &amp; $AH325, $Y$2:$Y$577, 0)), 1), 0)</f>
        <v>0</v>
      </c>
    </row>
    <row r="326" spans="1:37" x14ac:dyDescent="0.25">
      <c r="A326" t="s">
        <v>165</v>
      </c>
      <c r="B326" t="s">
        <v>242</v>
      </c>
      <c r="C326">
        <v>21</v>
      </c>
      <c r="D326">
        <v>3.807850237999999</v>
      </c>
      <c r="E326">
        <v>7.1122993000000004E-3</v>
      </c>
      <c r="F326">
        <v>9.9377288619999984</v>
      </c>
      <c r="G326">
        <v>13.382595352999999</v>
      </c>
      <c r="H326">
        <v>20.446332575</v>
      </c>
      <c r="I326">
        <v>0.25702625499999998</v>
      </c>
      <c r="J326">
        <v>1.7955193840000001</v>
      </c>
      <c r="K326">
        <v>1289.9610282159999</v>
      </c>
      <c r="L326">
        <v>217.71274621399999</v>
      </c>
      <c r="M326">
        <v>0.43684178299999998</v>
      </c>
      <c r="N326">
        <v>43.766656789999999</v>
      </c>
      <c r="O326">
        <v>1.13674009</v>
      </c>
      <c r="P326">
        <v>4.5414262599999998E-2</v>
      </c>
      <c r="Q326">
        <v>9.0307930999999994E-2</v>
      </c>
      <c r="R326">
        <v>2.3409940499999999</v>
      </c>
      <c r="S326">
        <v>29.78605456299999</v>
      </c>
      <c r="T326">
        <v>42.422489669999997</v>
      </c>
      <c r="U326">
        <v>0</v>
      </c>
      <c r="V326">
        <v>0</v>
      </c>
      <c r="W326">
        <v>5955.2289572700001</v>
      </c>
      <c r="Y326" t="str">
        <f>$A326 &amp; Keys!$C$8 &amp; $B326</f>
        <v>New Jersey|Industry NO2</v>
      </c>
      <c r="Z326" s="8">
        <f>IFERROR(INDEX($U326:$W326, MATCH(INDEX(Runs!$D:$D, MATCH($B326, Runs!$A:$A, 0)), $U$1:$W$1, 0)), 0)</f>
        <v>5955.2289572700001</v>
      </c>
      <c r="AA326" s="8">
        <f t="shared" si="20"/>
        <v>6.3941290340339767E-4</v>
      </c>
      <c r="AB326" s="8">
        <f>IFERROR(VLOOKUP(INDEX(Runs!$F:$F, MATCH($B326, Runs!$A:$A, 0)), US_national_yearly!$D:$AM, MATCH(Keys!$C$7, US_national_yearly!$D$1:$AM$1, 0), FALSE), 0)</f>
        <v>5.8012217057786938E-3</v>
      </c>
      <c r="AC326" s="8">
        <f t="shared" si="21"/>
        <v>0.11022038733090787</v>
      </c>
      <c r="AD326">
        <f>IF($Z326&lt;Keys!$C$3, 1, 0)</f>
        <v>0</v>
      </c>
      <c r="AE326">
        <f>IF($AC326&gt;Keys!$C$4, 1, 0)</f>
        <v>0</v>
      </c>
      <c r="AF326">
        <f>IF($AC326&lt;Keys!$C$5, 1, 0)</f>
        <v>0</v>
      </c>
      <c r="AG326">
        <f t="shared" si="22"/>
        <v>0</v>
      </c>
      <c r="AH326" t="str">
        <f>IFERROR(INDEX(Runs!$E:$E, MATCH($B326, Runs!$A:$A, 0)), $B326)</f>
        <v>Industry NO2</v>
      </c>
      <c r="AI326" t="str">
        <f t="shared" si="23"/>
        <v>Industry NO2</v>
      </c>
      <c r="AJ326" t="str">
        <f>IF($AG326=1, IF($AD326=1, Keys!$C$9, "") &amp; IF($AE326=1, Keys!$C$10, "") &amp; IF($AF326=1, Keys!$C$11, ""), "")</f>
        <v/>
      </c>
      <c r="AK326">
        <f>IF($AG326=1, IFERROR(INDEX($AG$2:$AG$577, MATCH($A326 &amp; Keys!$C$8 &amp; $AH326, $Y$2:$Y$577, 0)), 1), 0)</f>
        <v>0</v>
      </c>
    </row>
    <row r="327" spans="1:37" x14ac:dyDescent="0.25">
      <c r="A327" t="s">
        <v>165</v>
      </c>
      <c r="B327" t="s">
        <v>238</v>
      </c>
      <c r="C327">
        <v>21</v>
      </c>
      <c r="D327">
        <v>162.52029618899999</v>
      </c>
      <c r="E327">
        <v>0.30317058600000002</v>
      </c>
      <c r="F327">
        <v>440.89150248700003</v>
      </c>
      <c r="G327">
        <v>593.69133896000005</v>
      </c>
      <c r="H327">
        <v>907.17753170900005</v>
      </c>
      <c r="I327">
        <v>10.983982856000001</v>
      </c>
      <c r="J327">
        <v>77.930842939000001</v>
      </c>
      <c r="K327">
        <v>57737.806267999993</v>
      </c>
      <c r="L327">
        <v>9760.1587386400006</v>
      </c>
      <c r="M327">
        <v>18.834019185999999</v>
      </c>
      <c r="N327">
        <v>1941.760373156</v>
      </c>
      <c r="O327">
        <v>50.249156231000008</v>
      </c>
      <c r="P327">
        <v>1.986502293</v>
      </c>
      <c r="Q327">
        <v>3.950315062</v>
      </c>
      <c r="R327">
        <v>103.61513369399999</v>
      </c>
      <c r="S327">
        <v>1319.131250326001</v>
      </c>
      <c r="T327">
        <v>1882.0731112569999</v>
      </c>
      <c r="U327">
        <v>2519.0206259000001</v>
      </c>
      <c r="V327">
        <v>0</v>
      </c>
      <c r="W327">
        <v>0</v>
      </c>
      <c r="Y327" t="str">
        <f>$A327 &amp; Keys!$C$8 &amp; $B327</f>
        <v>New Jersey|Industry PM25</v>
      </c>
      <c r="Z327" s="8">
        <f>IFERROR(INDEX($U327:$W327, MATCH(INDEX(Runs!$D:$D, MATCH($B327, Runs!$A:$A, 0)), $U$1:$W$1, 0)), 0)</f>
        <v>2519.0206259000001</v>
      </c>
      <c r="AA327" s="8">
        <f t="shared" si="20"/>
        <v>6.4517255046664987E-2</v>
      </c>
      <c r="AB327" s="8">
        <f>IFERROR(VLOOKUP(INDEX(Runs!$F:$F, MATCH($B327, Runs!$A:$A, 0)), US_national_yearly!$D:$AM, MATCH(Keys!$C$7, US_national_yearly!$D$1:$AM$1, 0), FALSE), 0)</f>
        <v>2.6833191881203179E-2</v>
      </c>
      <c r="AC327" s="8">
        <f t="shared" si="21"/>
        <v>2.4043824280129615</v>
      </c>
      <c r="AD327">
        <f>IF($Z327&lt;Keys!$C$3, 1, 0)</f>
        <v>0</v>
      </c>
      <c r="AE327">
        <f>IF($AC327&gt;Keys!$C$4, 1, 0)</f>
        <v>0</v>
      </c>
      <c r="AF327">
        <f>IF($AC327&lt;Keys!$C$5, 1, 0)</f>
        <v>0</v>
      </c>
      <c r="AG327">
        <f t="shared" si="22"/>
        <v>0</v>
      </c>
      <c r="AH327" t="str">
        <f>IFERROR(INDEX(Runs!$E:$E, MATCH($B327, Runs!$A:$A, 0)), $B327)</f>
        <v>Industry PM25</v>
      </c>
      <c r="AI327" t="str">
        <f t="shared" si="23"/>
        <v>Industry PM25</v>
      </c>
      <c r="AJ327" t="str">
        <f>IF($AG327=1, IF($AD327=1, Keys!$C$9, "") &amp; IF($AE327=1, Keys!$C$10, "") &amp; IF($AF327=1, Keys!$C$11, ""), "")</f>
        <v/>
      </c>
      <c r="AK327">
        <f>IF($AG327=1, IFERROR(INDEX($AG$2:$AG$577, MATCH($A327 &amp; Keys!$C$8 &amp; $AH327, $Y$2:$Y$577, 0)), 1), 0)</f>
        <v>0</v>
      </c>
    </row>
    <row r="328" spans="1:37" x14ac:dyDescent="0.25">
      <c r="A328" t="s">
        <v>165</v>
      </c>
      <c r="B328" t="s">
        <v>246</v>
      </c>
      <c r="C328">
        <v>21</v>
      </c>
      <c r="D328">
        <v>7.9014987840000002</v>
      </c>
      <c r="E328">
        <v>1.44702249E-2</v>
      </c>
      <c r="F328">
        <v>20.791487963000002</v>
      </c>
      <c r="G328">
        <v>27.998718714999999</v>
      </c>
      <c r="H328">
        <v>42.777428224000012</v>
      </c>
      <c r="I328">
        <v>0.53822418699999997</v>
      </c>
      <c r="J328">
        <v>3.778536721</v>
      </c>
      <c r="K328">
        <v>2712.724572642001</v>
      </c>
      <c r="L328">
        <v>457.74616052599998</v>
      </c>
      <c r="M328">
        <v>0.91319850400000024</v>
      </c>
      <c r="N328">
        <v>91.567634902000009</v>
      </c>
      <c r="O328">
        <v>2.3281299460000011</v>
      </c>
      <c r="P328">
        <v>9.4015156000000003E-2</v>
      </c>
      <c r="Q328">
        <v>0.18973369700000001</v>
      </c>
      <c r="R328">
        <v>4.889995731</v>
      </c>
      <c r="S328">
        <v>62.219014807000008</v>
      </c>
      <c r="T328">
        <v>88.617269400000012</v>
      </c>
      <c r="U328">
        <v>0</v>
      </c>
      <c r="V328">
        <v>795.77861731199994</v>
      </c>
      <c r="W328">
        <v>0</v>
      </c>
      <c r="Y328" t="str">
        <f>$A328 &amp; Keys!$C$8 &amp; $B328</f>
        <v>New Jersey|Industry SO2</v>
      </c>
      <c r="Z328" s="8">
        <f>IFERROR(INDEX($U328:$W328, MATCH(INDEX(Runs!$D:$D, MATCH($B328, Runs!$A:$A, 0)), $U$1:$W$1, 0)), 0)</f>
        <v>795.77861731199994</v>
      </c>
      <c r="AA328" s="8">
        <f t="shared" si="20"/>
        <v>9.9292675275566861E-3</v>
      </c>
      <c r="AB328" s="8">
        <f>IFERROR(VLOOKUP(INDEX(Runs!$F:$F, MATCH($B328, Runs!$A:$A, 0)), US_national_yearly!$D:$AM, MATCH(Keys!$C$7, US_national_yearly!$D$1:$AM$1, 0), FALSE), 0)</f>
        <v>5.3000351638639942E-3</v>
      </c>
      <c r="AC328" s="8">
        <f t="shared" si="21"/>
        <v>1.8734342736544689</v>
      </c>
      <c r="AD328">
        <f>IF($Z328&lt;Keys!$C$3, 1, 0)</f>
        <v>0</v>
      </c>
      <c r="AE328">
        <f>IF($AC328&gt;Keys!$C$4, 1, 0)</f>
        <v>0</v>
      </c>
      <c r="AF328">
        <f>IF($AC328&lt;Keys!$C$5, 1, 0)</f>
        <v>0</v>
      </c>
      <c r="AG328">
        <f t="shared" si="22"/>
        <v>0</v>
      </c>
      <c r="AH328" t="str">
        <f>IFERROR(INDEX(Runs!$E:$E, MATCH($B328, Runs!$A:$A, 0)), $B328)</f>
        <v>Industry SO2</v>
      </c>
      <c r="AI328" t="str">
        <f t="shared" si="23"/>
        <v>Industry SO2</v>
      </c>
      <c r="AJ328" t="str">
        <f>IF($AG328=1, IF($AD328=1, Keys!$C$9, "") &amp; IF($AE328=1, Keys!$C$10, "") &amp; IF($AF328=1, Keys!$C$11, ""), "")</f>
        <v/>
      </c>
      <c r="AK328">
        <f>IF($AG328=1, IFERROR(INDEX($AG$2:$AG$577, MATCH($A328 &amp; Keys!$C$8 &amp; $AH328, $Y$2:$Y$577, 0)), 1), 0)</f>
        <v>0</v>
      </c>
    </row>
    <row r="329" spans="1:37" x14ac:dyDescent="0.25">
      <c r="A329" t="s">
        <v>165</v>
      </c>
      <c r="B329" t="s">
        <v>253</v>
      </c>
      <c r="C329">
        <v>21</v>
      </c>
      <c r="D329">
        <v>35.968207489000001</v>
      </c>
      <c r="E329">
        <v>6.4471593399999985E-2</v>
      </c>
      <c r="F329">
        <v>95.568397558000015</v>
      </c>
      <c r="G329">
        <v>128.695386541</v>
      </c>
      <c r="H329">
        <v>196.62947683799999</v>
      </c>
      <c r="I329">
        <v>2.4756638309999999</v>
      </c>
      <c r="J329">
        <v>17.317063130999991</v>
      </c>
      <c r="K329">
        <v>12554.8572518</v>
      </c>
      <c r="L329">
        <v>2120.705366097</v>
      </c>
      <c r="M329">
        <v>4.207628497</v>
      </c>
      <c r="N329">
        <v>420.89326093699998</v>
      </c>
      <c r="O329">
        <v>11.143819933</v>
      </c>
      <c r="P329">
        <v>0.43384433999999988</v>
      </c>
      <c r="Q329">
        <v>0.87911160100000019</v>
      </c>
      <c r="R329">
        <v>22.493082206</v>
      </c>
      <c r="S329">
        <v>286.209992672</v>
      </c>
      <c r="T329">
        <v>407.72842668200002</v>
      </c>
      <c r="U329">
        <v>0</v>
      </c>
      <c r="V329">
        <v>0</v>
      </c>
      <c r="W329">
        <v>18562.958035</v>
      </c>
      <c r="Y329" t="str">
        <f>$A329 &amp; Keys!$C$8 &amp; $B329</f>
        <v>New Jersey|buildings NO2</v>
      </c>
      <c r="Z329" s="8">
        <f>IFERROR(INDEX($U329:$W329, MATCH(INDEX(Runs!$D:$D, MATCH($B329, Runs!$A:$A, 0)), $U$1:$W$1, 0)), 0)</f>
        <v>18562.958035</v>
      </c>
      <c r="AA329" s="8">
        <f t="shared" si="20"/>
        <v>1.9376333998699362E-3</v>
      </c>
      <c r="AB329" s="8">
        <f>IFERROR(VLOOKUP(INDEX(Runs!$F:$F, MATCH($B329, Runs!$A:$A, 0)), US_national_yearly!$D:$AM, MATCH(Keys!$C$7, US_national_yearly!$D$1:$AM$1, 0), FALSE), 0)</f>
        <v>5.6784740124662739E-3</v>
      </c>
      <c r="AC329" s="8">
        <f t="shared" si="21"/>
        <v>0.341224314070319</v>
      </c>
      <c r="AD329">
        <f>IF($Z329&lt;Keys!$C$3, 1, 0)</f>
        <v>0</v>
      </c>
      <c r="AE329">
        <f>IF($AC329&gt;Keys!$C$4, 1, 0)</f>
        <v>0</v>
      </c>
      <c r="AF329">
        <f>IF($AC329&lt;Keys!$C$5, 1, 0)</f>
        <v>0</v>
      </c>
      <c r="AG329">
        <f t="shared" si="22"/>
        <v>0</v>
      </c>
      <c r="AH329" t="str">
        <f>IFERROR(INDEX(Runs!$E:$E, MATCH($B329, Runs!$A:$A, 0)), $B329)</f>
        <v>Industry NO2</v>
      </c>
      <c r="AI329" t="str">
        <f t="shared" si="23"/>
        <v>buildings NO2</v>
      </c>
      <c r="AJ329" t="str">
        <f>IF($AG329=1, IF($AD329=1, Keys!$C$9, "") &amp; IF($AE329=1, Keys!$C$10, "") &amp; IF($AF329=1, Keys!$C$11, ""), "")</f>
        <v/>
      </c>
      <c r="AK329">
        <f>IF($AG329=1, IFERROR(INDEX($AG$2:$AG$577, MATCH($A329 &amp; Keys!$C$8 &amp; $AH329, $Y$2:$Y$577, 0)), 1), 0)</f>
        <v>0</v>
      </c>
    </row>
    <row r="330" spans="1:37" x14ac:dyDescent="0.25">
      <c r="A330" t="s">
        <v>165</v>
      </c>
      <c r="B330" t="s">
        <v>251</v>
      </c>
      <c r="C330">
        <v>21</v>
      </c>
      <c r="D330">
        <v>6.6977707609999984</v>
      </c>
      <c r="E330">
        <v>1.2479474500000001E-2</v>
      </c>
      <c r="F330">
        <v>18.199316368000002</v>
      </c>
      <c r="G330">
        <v>24.507995097999991</v>
      </c>
      <c r="H330">
        <v>37.444152862999999</v>
      </c>
      <c r="I330">
        <v>0.45436591399999998</v>
      </c>
      <c r="J330">
        <v>3.235501273000001</v>
      </c>
      <c r="K330">
        <v>2392.7804285050001</v>
      </c>
      <c r="L330">
        <v>404.33205789900012</v>
      </c>
      <c r="M330">
        <v>0.78110838700000007</v>
      </c>
      <c r="N330">
        <v>80.151464328999992</v>
      </c>
      <c r="O330">
        <v>2.0923566149999999</v>
      </c>
      <c r="P330">
        <v>8.1954027799999982E-2</v>
      </c>
      <c r="Q330">
        <v>0.163986241</v>
      </c>
      <c r="R330">
        <v>4.2857112739999987</v>
      </c>
      <c r="S330">
        <v>54.528819940000012</v>
      </c>
      <c r="T330">
        <v>77.660546638000028</v>
      </c>
      <c r="U330">
        <v>100.20936365999999</v>
      </c>
      <c r="V330">
        <v>0</v>
      </c>
      <c r="W330">
        <v>0</v>
      </c>
      <c r="Y330" t="str">
        <f>$A330 &amp; Keys!$C$8 &amp; $B330</f>
        <v>New Jersey|buildings PM25</v>
      </c>
      <c r="Z330" s="8">
        <f>IFERROR(INDEX($U330:$W330, MATCH(INDEX(Runs!$D:$D, MATCH($B330, Runs!$A:$A, 0)), $U$1:$W$1, 0)), 0)</f>
        <v>100.20936365999999</v>
      </c>
      <c r="AA330" s="8">
        <f t="shared" si="20"/>
        <v>6.6837773600926575E-2</v>
      </c>
      <c r="AB330" s="8">
        <f>IFERROR(VLOOKUP(INDEX(Runs!$F:$F, MATCH($B330, Runs!$A:$A, 0)), US_national_yearly!$D:$AM, MATCH(Keys!$C$7, US_national_yearly!$D$1:$AM$1, 0), FALSE), 0)</f>
        <v>2.7627705191843259E-2</v>
      </c>
      <c r="AC330" s="8">
        <f t="shared" si="21"/>
        <v>2.4192300133801776</v>
      </c>
      <c r="AD330">
        <f>IF($Z330&lt;Keys!$C$3, 1, 0)</f>
        <v>0</v>
      </c>
      <c r="AE330">
        <f>IF($AC330&gt;Keys!$C$4, 1, 0)</f>
        <v>0</v>
      </c>
      <c r="AF330">
        <f>IF($AC330&lt;Keys!$C$5, 1, 0)</f>
        <v>0</v>
      </c>
      <c r="AG330">
        <f t="shared" si="22"/>
        <v>0</v>
      </c>
      <c r="AH330" t="str">
        <f>IFERROR(INDEX(Runs!$E:$E, MATCH($B330, Runs!$A:$A, 0)), $B330)</f>
        <v>Industry PM25</v>
      </c>
      <c r="AI330" t="str">
        <f t="shared" si="23"/>
        <v>buildings PM25</v>
      </c>
      <c r="AJ330" t="str">
        <f>IF($AG330=1, IF($AD330=1, Keys!$C$9, "") &amp; IF($AE330=1, Keys!$C$10, "") &amp; IF($AF330=1, Keys!$C$11, ""), "")</f>
        <v/>
      </c>
      <c r="AK330">
        <f>IF($AG330=1, IFERROR(INDEX($AG$2:$AG$577, MATCH($A330 &amp; Keys!$C$8 &amp; $AH330, $Y$2:$Y$577, 0)), 1), 0)</f>
        <v>0</v>
      </c>
    </row>
    <row r="331" spans="1:37" x14ac:dyDescent="0.25">
      <c r="A331" t="s">
        <v>165</v>
      </c>
      <c r="B331" t="s">
        <v>254</v>
      </c>
      <c r="C331">
        <v>21</v>
      </c>
      <c r="D331">
        <v>0.554144843</v>
      </c>
      <c r="E331">
        <v>9.8779474000000003E-4</v>
      </c>
      <c r="F331">
        <v>1.463593929</v>
      </c>
      <c r="G331">
        <v>1.970943863</v>
      </c>
      <c r="H331">
        <v>3.0112601060000008</v>
      </c>
      <c r="I331">
        <v>3.8270057000000003E-2</v>
      </c>
      <c r="J331">
        <v>0.26713404600000001</v>
      </c>
      <c r="K331">
        <v>192.15527488500001</v>
      </c>
      <c r="L331">
        <v>32.448857324999999</v>
      </c>
      <c r="M331">
        <v>6.4842918999999999E-2</v>
      </c>
      <c r="N331">
        <v>6.4457978980000004</v>
      </c>
      <c r="O331">
        <v>0.17057372200000001</v>
      </c>
      <c r="P331">
        <v>6.6570133099999986E-3</v>
      </c>
      <c r="Q331">
        <v>1.3532350800000001E-2</v>
      </c>
      <c r="R331">
        <v>0.34453626300000001</v>
      </c>
      <c r="S331">
        <v>4.3834352860000001</v>
      </c>
      <c r="T331">
        <v>6.2421781929999973</v>
      </c>
      <c r="U331">
        <v>0</v>
      </c>
      <c r="V331">
        <v>76.822202017999999</v>
      </c>
      <c r="W331">
        <v>0</v>
      </c>
      <c r="Y331" t="str">
        <f>$A331 &amp; Keys!$C$8 &amp; $B331</f>
        <v>New Jersey|buildings SO2</v>
      </c>
      <c r="Z331" s="8">
        <f>IFERROR(INDEX($U331:$W331, MATCH(INDEX(Runs!$D:$D, MATCH($B331, Runs!$A:$A, 0)), $U$1:$W$1, 0)), 0)</f>
        <v>76.822202017999999</v>
      </c>
      <c r="AA331" s="8">
        <f t="shared" si="20"/>
        <v>7.2133423469189261E-3</v>
      </c>
      <c r="AB331" s="8">
        <f>IFERROR(VLOOKUP(INDEX(Runs!$F:$F, MATCH($B331, Runs!$A:$A, 0)), US_national_yearly!$D:$AM, MATCH(Keys!$C$7, US_national_yearly!$D$1:$AM$1, 0), FALSE), 0)</f>
        <v>5.1581943281164694E-3</v>
      </c>
      <c r="AC331" s="8">
        <f t="shared" si="21"/>
        <v>1.3984239228057351</v>
      </c>
      <c r="AD331">
        <f>IF($Z331&lt;Keys!$C$3, 1, 0)</f>
        <v>0</v>
      </c>
      <c r="AE331">
        <f>IF($AC331&gt;Keys!$C$4, 1, 0)</f>
        <v>0</v>
      </c>
      <c r="AF331">
        <f>IF($AC331&lt;Keys!$C$5, 1, 0)</f>
        <v>0</v>
      </c>
      <c r="AG331">
        <f t="shared" si="22"/>
        <v>0</v>
      </c>
      <c r="AH331" t="str">
        <f>IFERROR(INDEX(Runs!$E:$E, MATCH($B331, Runs!$A:$A, 0)), $B331)</f>
        <v>Industry SO2</v>
      </c>
      <c r="AI331" t="str">
        <f t="shared" si="23"/>
        <v>buildings SO2</v>
      </c>
      <c r="AJ331" t="str">
        <f>IF($AG331=1, IF($AD331=1, Keys!$C$9, "") &amp; IF($AE331=1, Keys!$C$10, "") &amp; IF($AF331=1, Keys!$C$11, ""), "")</f>
        <v/>
      </c>
      <c r="AK331">
        <f>IF($AG331=1, IFERROR(INDEX($AG$2:$AG$577, MATCH($A331 &amp; Keys!$C$8 &amp; $AH331, $Y$2:$Y$577, 0)), 1), 0)</f>
        <v>0</v>
      </c>
    </row>
    <row r="332" spans="1:37" x14ac:dyDescent="0.25">
      <c r="A332" t="s">
        <v>165</v>
      </c>
      <c r="B332" t="s">
        <v>249</v>
      </c>
      <c r="C332">
        <v>21</v>
      </c>
      <c r="D332">
        <v>0.50594455800000004</v>
      </c>
      <c r="E332">
        <v>8.0827364000000013E-4</v>
      </c>
      <c r="F332">
        <v>1.153374712</v>
      </c>
      <c r="G332">
        <v>1.5531881400000001</v>
      </c>
      <c r="H332">
        <v>2.373002077999999</v>
      </c>
      <c r="I332">
        <v>3.769152500000001E-2</v>
      </c>
      <c r="J332">
        <v>0.25365902299999998</v>
      </c>
      <c r="K332">
        <v>148.20774973900001</v>
      </c>
      <c r="L332">
        <v>24.944885151000001</v>
      </c>
      <c r="M332">
        <v>6.1365853999999997E-2</v>
      </c>
      <c r="N332">
        <v>5.0795649299999992</v>
      </c>
      <c r="O332">
        <v>0.15286268900000011</v>
      </c>
      <c r="P332">
        <v>6.4914386700000003E-3</v>
      </c>
      <c r="Q332">
        <v>1.3489497499999999E-2</v>
      </c>
      <c r="R332">
        <v>0.27093333099999989</v>
      </c>
      <c r="S332">
        <v>3.4466033500000011</v>
      </c>
      <c r="T332">
        <v>4.9071373009999997</v>
      </c>
      <c r="U332">
        <v>0</v>
      </c>
      <c r="V332">
        <v>0</v>
      </c>
      <c r="W332">
        <v>3543.6115791870002</v>
      </c>
      <c r="Y332" t="str">
        <f>$A332 &amp; Keys!$C$8 &amp; $B332</f>
        <v>New Jersey|electricity NO2</v>
      </c>
      <c r="Z332" s="8">
        <f>IFERROR(INDEX($U332:$W332, MATCH(INDEX(Runs!$D:$D, MATCH($B332, Runs!$A:$A, 0)), $U$1:$W$1, 0)), 0)</f>
        <v>3543.6115791870002</v>
      </c>
      <c r="AA332" s="8">
        <f t="shared" si="20"/>
        <v>1.4277652804037776E-4</v>
      </c>
      <c r="AB332" s="8">
        <f>IFERROR(VLOOKUP(INDEX(Runs!$F:$F, MATCH($B332, Runs!$A:$A, 0)), US_national_yearly!$D:$AM, MATCH(Keys!$C$7, US_national_yearly!$D$1:$AM$1, 0), FALSE), 0)</f>
        <v>6.1439221592658041E-3</v>
      </c>
      <c r="AC332" s="8">
        <f t="shared" si="21"/>
        <v>2.3238661613746662E-2</v>
      </c>
      <c r="AD332">
        <f>IF($Z332&lt;Keys!$C$3, 1, 0)</f>
        <v>0</v>
      </c>
      <c r="AE332">
        <f>IF($AC332&gt;Keys!$C$4, 1, 0)</f>
        <v>0</v>
      </c>
      <c r="AF332">
        <f>IF($AC332&lt;Keys!$C$5, 1, 0)</f>
        <v>0</v>
      </c>
      <c r="AG332">
        <f t="shared" si="22"/>
        <v>0</v>
      </c>
      <c r="AH332" t="str">
        <f>IFERROR(INDEX(Runs!$E:$E, MATCH($B332, Runs!$A:$A, 0)), $B332)</f>
        <v>Industry NO2</v>
      </c>
      <c r="AI332" t="str">
        <f t="shared" si="23"/>
        <v>electricity NO2</v>
      </c>
      <c r="AJ332" t="str">
        <f>IF($AG332=1, IF($AD332=1, Keys!$C$9, "") &amp; IF($AE332=1, Keys!$C$10, "") &amp; IF($AF332=1, Keys!$C$11, ""), "")</f>
        <v/>
      </c>
      <c r="AK332">
        <f>IF($AG332=1, IFERROR(INDEX($AG$2:$AG$577, MATCH($A332 &amp; Keys!$C$8 &amp; $AH332, $Y$2:$Y$577, 0)), 1), 0)</f>
        <v>0</v>
      </c>
    </row>
    <row r="333" spans="1:37" x14ac:dyDescent="0.25">
      <c r="A333" t="s">
        <v>165</v>
      </c>
      <c r="B333" t="s">
        <v>247</v>
      </c>
      <c r="C333">
        <v>21</v>
      </c>
      <c r="D333">
        <v>34.434782674999987</v>
      </c>
      <c r="E333">
        <v>6.0869679300000007E-2</v>
      </c>
      <c r="F333">
        <v>93.415958784999987</v>
      </c>
      <c r="G333">
        <v>125.796338663</v>
      </c>
      <c r="H333">
        <v>192.20192268100001</v>
      </c>
      <c r="I333">
        <v>2.3179498490000001</v>
      </c>
      <c r="J333">
        <v>16.835162681</v>
      </c>
      <c r="K333">
        <v>12305.842864710001</v>
      </c>
      <c r="L333">
        <v>2079.0554812770001</v>
      </c>
      <c r="M333">
        <v>3.815851372</v>
      </c>
      <c r="N333">
        <v>411.414220129</v>
      </c>
      <c r="O333">
        <v>9.573379623000001</v>
      </c>
      <c r="P333">
        <v>0.38932944800000002</v>
      </c>
      <c r="Q333">
        <v>0.78596187899999981</v>
      </c>
      <c r="R333">
        <v>21.88354112699999</v>
      </c>
      <c r="S333">
        <v>278.50265602899998</v>
      </c>
      <c r="T333">
        <v>396.88697280299988</v>
      </c>
      <c r="U333">
        <v>637.34457598000006</v>
      </c>
      <c r="V333">
        <v>0</v>
      </c>
      <c r="W333">
        <v>0</v>
      </c>
      <c r="Y333" t="str">
        <f>$A333 &amp; Keys!$C$8 &amp; $B333</f>
        <v>New Jersey|electricity PM25</v>
      </c>
      <c r="Z333" s="8">
        <f>IFERROR(INDEX($U333:$W333, MATCH(INDEX(Runs!$D:$D, MATCH($B333, Runs!$A:$A, 0)), $U$1:$W$1, 0)), 0)</f>
        <v>637.34457598000006</v>
      </c>
      <c r="AA333" s="8">
        <f t="shared" si="20"/>
        <v>5.402851765397397E-2</v>
      </c>
      <c r="AB333" s="8">
        <f>IFERROR(VLOOKUP(INDEX(Runs!$F:$F, MATCH($B333, Runs!$A:$A, 0)), US_national_yearly!$D:$AM, MATCH(Keys!$C$7, US_national_yearly!$D$1:$AM$1, 0), FALSE), 0)</f>
        <v>2.4252978284752182E-2</v>
      </c>
      <c r="AC333" s="8">
        <f t="shared" si="21"/>
        <v>2.227706511737638</v>
      </c>
      <c r="AD333">
        <f>IF($Z333&lt;Keys!$C$3, 1, 0)</f>
        <v>0</v>
      </c>
      <c r="AE333">
        <f>IF($AC333&gt;Keys!$C$4, 1, 0)</f>
        <v>0</v>
      </c>
      <c r="AF333">
        <f>IF($AC333&lt;Keys!$C$5, 1, 0)</f>
        <v>0</v>
      </c>
      <c r="AG333">
        <f t="shared" si="22"/>
        <v>0</v>
      </c>
      <c r="AH333" t="str">
        <f>IFERROR(INDEX(Runs!$E:$E, MATCH($B333, Runs!$A:$A, 0)), $B333)</f>
        <v>Industry PM25</v>
      </c>
      <c r="AI333" t="str">
        <f t="shared" si="23"/>
        <v>electricity PM25</v>
      </c>
      <c r="AJ333" t="str">
        <f>IF($AG333=1, IF($AD333=1, Keys!$C$9, "") &amp; IF($AE333=1, Keys!$C$10, "") &amp; IF($AF333=1, Keys!$C$11, ""), "")</f>
        <v/>
      </c>
      <c r="AK333">
        <f>IF($AG333=1, IFERROR(INDEX($AG$2:$AG$577, MATCH($A333 &amp; Keys!$C$8 &amp; $AH333, $Y$2:$Y$577, 0)), 1), 0)</f>
        <v>0</v>
      </c>
    </row>
    <row r="334" spans="1:37" x14ac:dyDescent="0.25">
      <c r="A334" t="s">
        <v>165</v>
      </c>
      <c r="B334" t="s">
        <v>250</v>
      </c>
      <c r="C334">
        <v>21</v>
      </c>
      <c r="D334">
        <v>4.4751326329999994</v>
      </c>
      <c r="E334">
        <v>7.4736709000000007E-3</v>
      </c>
      <c r="F334">
        <v>11.569158164999999</v>
      </c>
      <c r="G334">
        <v>15.57954646</v>
      </c>
      <c r="H334">
        <v>23.802919992</v>
      </c>
      <c r="I334">
        <v>0.31093279499999998</v>
      </c>
      <c r="J334">
        <v>2.18279296</v>
      </c>
      <c r="K334">
        <v>1518.0151085130001</v>
      </c>
      <c r="L334">
        <v>256.16974592999998</v>
      </c>
      <c r="M334">
        <v>0.50788259700000005</v>
      </c>
      <c r="N334">
        <v>50.951624617000007</v>
      </c>
      <c r="O334">
        <v>1.2590704150000001</v>
      </c>
      <c r="P334">
        <v>5.0747977499999999E-2</v>
      </c>
      <c r="Q334">
        <v>0.104362996</v>
      </c>
      <c r="R334">
        <v>2.7138891780000001</v>
      </c>
      <c r="S334">
        <v>34.530460324000003</v>
      </c>
      <c r="T334">
        <v>49.179443697999993</v>
      </c>
      <c r="U334">
        <v>0</v>
      </c>
      <c r="V334">
        <v>106.45854083345</v>
      </c>
      <c r="W334">
        <v>0</v>
      </c>
      <c r="Y334" t="str">
        <f>$A334 &amp; Keys!$C$8 &amp; $B334</f>
        <v>New Jersey|electricity SO2</v>
      </c>
      <c r="Z334" s="8">
        <f>IFERROR(INDEX($U334:$W334, MATCH(INDEX(Runs!$D:$D, MATCH($B334, Runs!$A:$A, 0)), $U$1:$W$1, 0)), 0)</f>
        <v>106.45854083345</v>
      </c>
      <c r="AA334" s="8">
        <f t="shared" si="20"/>
        <v>4.2036388982647804E-2</v>
      </c>
      <c r="AB334" s="8">
        <f>IFERROR(VLOOKUP(INDEX(Runs!$F:$F, MATCH($B334, Runs!$A:$A, 0)), US_national_yearly!$D:$AM, MATCH(Keys!$C$7, US_national_yearly!$D$1:$AM$1, 0), FALSE), 0)</f>
        <v>5.7032329662362116E-3</v>
      </c>
      <c r="AC334" s="8">
        <f t="shared" si="21"/>
        <v>7.370624561806963</v>
      </c>
      <c r="AD334">
        <f>IF($Z334&lt;Keys!$C$3, 1, 0)</f>
        <v>0</v>
      </c>
      <c r="AE334">
        <f>IF($AC334&gt;Keys!$C$4, 1, 0)</f>
        <v>0</v>
      </c>
      <c r="AF334">
        <f>IF($AC334&lt;Keys!$C$5, 1, 0)</f>
        <v>0</v>
      </c>
      <c r="AG334">
        <f t="shared" si="22"/>
        <v>0</v>
      </c>
      <c r="AH334" t="str">
        <f>IFERROR(INDEX(Runs!$E:$E, MATCH($B334, Runs!$A:$A, 0)), $B334)</f>
        <v>Industry SO2</v>
      </c>
      <c r="AI334" t="str">
        <f t="shared" si="23"/>
        <v>electricity SO2</v>
      </c>
      <c r="AJ334" t="str">
        <f>IF($AG334=1, IF($AD334=1, Keys!$C$9, "") &amp; IF($AE334=1, Keys!$C$10, "") &amp; IF($AF334=1, Keys!$C$11, ""), "")</f>
        <v/>
      </c>
      <c r="AK334">
        <f>IF($AG334=1, IFERROR(INDEX($AG$2:$AG$577, MATCH($A334 &amp; Keys!$C$8 &amp; $AH334, $Y$2:$Y$577, 0)), 1), 0)</f>
        <v>0</v>
      </c>
    </row>
    <row r="335" spans="1:37" x14ac:dyDescent="0.25">
      <c r="A335" t="s">
        <v>165</v>
      </c>
      <c r="B335" t="s">
        <v>239</v>
      </c>
      <c r="C335">
        <v>21</v>
      </c>
      <c r="D335">
        <v>121.842193838</v>
      </c>
      <c r="E335">
        <v>0.22588612</v>
      </c>
      <c r="F335">
        <v>329.31350464500002</v>
      </c>
      <c r="G335">
        <v>443.44975295500001</v>
      </c>
      <c r="H335">
        <v>677.58261087400001</v>
      </c>
      <c r="I335">
        <v>8.3048239670000008</v>
      </c>
      <c r="J335">
        <v>58.867081835999997</v>
      </c>
      <c r="K335">
        <v>43318.001143169997</v>
      </c>
      <c r="L335">
        <v>7324.2425603199999</v>
      </c>
      <c r="M335">
        <v>14.440029058</v>
      </c>
      <c r="N335">
        <v>1450.3458684740001</v>
      </c>
      <c r="O335">
        <v>39.752046027000013</v>
      </c>
      <c r="P335">
        <v>1.544317022</v>
      </c>
      <c r="Q335">
        <v>3.0713392229999998</v>
      </c>
      <c r="R335">
        <v>77.567599279000007</v>
      </c>
      <c r="S335">
        <v>987.3304188220003</v>
      </c>
      <c r="T335">
        <v>1407.958516332</v>
      </c>
      <c r="U335">
        <v>0</v>
      </c>
      <c r="V335">
        <v>0</v>
      </c>
      <c r="W335">
        <v>65745.649772999983</v>
      </c>
      <c r="Y335" t="str">
        <f>$A335 &amp; Keys!$C$8 &amp; $B335</f>
        <v>New Jersey|transportation NO2</v>
      </c>
      <c r="Z335" s="8">
        <f>IFERROR(INDEX($U335:$W335, MATCH(INDEX(Runs!$D:$D, MATCH($B335, Runs!$A:$A, 0)), $U$1:$W$1, 0)), 0)</f>
        <v>65745.649772999983</v>
      </c>
      <c r="AA335" s="8">
        <f t="shared" si="20"/>
        <v>1.8532358301832071E-3</v>
      </c>
      <c r="AB335" s="8">
        <f>IFERROR(VLOOKUP(INDEX(Runs!$F:$F, MATCH($B335, Runs!$A:$A, 0)), US_national_yearly!$D:$AM, MATCH(Keys!$C$7, US_national_yearly!$D$1:$AM$1, 0), FALSE), 0)</f>
        <v>5.7148835886332216E-3</v>
      </c>
      <c r="AC335" s="8">
        <f t="shared" si="21"/>
        <v>0.32428234126575256</v>
      </c>
      <c r="AD335">
        <f>IF($Z335&lt;Keys!$C$3, 1, 0)</f>
        <v>0</v>
      </c>
      <c r="AE335">
        <f>IF($AC335&gt;Keys!$C$4, 1, 0)</f>
        <v>0</v>
      </c>
      <c r="AF335">
        <f>IF($AC335&lt;Keys!$C$5, 1, 0)</f>
        <v>0</v>
      </c>
      <c r="AG335">
        <f t="shared" si="22"/>
        <v>0</v>
      </c>
      <c r="AH335" t="str">
        <f>IFERROR(INDEX(Runs!$E:$E, MATCH($B335, Runs!$A:$A, 0)), $B335)</f>
        <v>Industry NO2</v>
      </c>
      <c r="AI335" t="str">
        <f t="shared" si="23"/>
        <v>transportation NO2</v>
      </c>
      <c r="AJ335" t="str">
        <f>IF($AG335=1, IF($AD335=1, Keys!$C$9, "") &amp; IF($AE335=1, Keys!$C$10, "") &amp; IF($AF335=1, Keys!$C$11, ""), "")</f>
        <v/>
      </c>
      <c r="AK335">
        <f>IF($AG335=1, IFERROR(INDEX($AG$2:$AG$577, MATCH($A335 &amp; Keys!$C$8 &amp; $AH335, $Y$2:$Y$577, 0)), 1), 0)</f>
        <v>0</v>
      </c>
    </row>
    <row r="336" spans="1:37" x14ac:dyDescent="0.25">
      <c r="A336" t="s">
        <v>165</v>
      </c>
      <c r="B336" t="s">
        <v>234</v>
      </c>
      <c r="C336">
        <v>21</v>
      </c>
      <c r="D336">
        <v>118.36391847100001</v>
      </c>
      <c r="E336">
        <v>0.220775569</v>
      </c>
      <c r="F336">
        <v>323.75110670399999</v>
      </c>
      <c r="G336">
        <v>435.95959770100001</v>
      </c>
      <c r="H336">
        <v>666.13742472800004</v>
      </c>
      <c r="I336">
        <v>8.0494354749999992</v>
      </c>
      <c r="J336">
        <v>57.064607064000008</v>
      </c>
      <c r="K336">
        <v>42690.356093899987</v>
      </c>
      <c r="L336">
        <v>7218.6156672200004</v>
      </c>
      <c r="M336">
        <v>13.925912052999999</v>
      </c>
      <c r="N336">
        <v>1425.8481291329999</v>
      </c>
      <c r="O336">
        <v>38.170370759999997</v>
      </c>
      <c r="P336">
        <v>1.478808254</v>
      </c>
      <c r="Q336">
        <v>2.9568692859999999</v>
      </c>
      <c r="R336">
        <v>76.191349932999998</v>
      </c>
      <c r="S336">
        <v>969.82165387200007</v>
      </c>
      <c r="T336">
        <v>1383.0063793449999</v>
      </c>
      <c r="U336">
        <v>1660.4696943399999</v>
      </c>
      <c r="V336">
        <v>0</v>
      </c>
      <c r="W336">
        <v>0</v>
      </c>
      <c r="Y336" t="str">
        <f>$A336 &amp; Keys!$C$8 &amp; $B336</f>
        <v>New Jersey|transportation PM25</v>
      </c>
      <c r="Z336" s="8">
        <f>IFERROR(INDEX($U336:$W336, MATCH(INDEX(Runs!$D:$D, MATCH($B336, Runs!$A:$A, 0)), $U$1:$W$1, 0)), 0)</f>
        <v>1660.4696943399999</v>
      </c>
      <c r="AA336" s="8">
        <f t="shared" si="20"/>
        <v>7.1283395821353457E-2</v>
      </c>
      <c r="AB336" s="8">
        <f>IFERROR(VLOOKUP(INDEX(Runs!$F:$F, MATCH($B336, Runs!$A:$A, 0)), US_national_yearly!$D:$AM, MATCH(Keys!$C$7, US_national_yearly!$D$1:$AM$1, 0), FALSE), 0)</f>
        <v>2.8248683697579859E-2</v>
      </c>
      <c r="AC336" s="8">
        <f t="shared" si="21"/>
        <v>2.5234236251319739</v>
      </c>
      <c r="AD336">
        <f>IF($Z336&lt;Keys!$C$3, 1, 0)</f>
        <v>0</v>
      </c>
      <c r="AE336">
        <f>IF($AC336&gt;Keys!$C$4, 1, 0)</f>
        <v>0</v>
      </c>
      <c r="AF336">
        <f>IF($AC336&lt;Keys!$C$5, 1, 0)</f>
        <v>0</v>
      </c>
      <c r="AG336">
        <f t="shared" si="22"/>
        <v>0</v>
      </c>
      <c r="AH336" t="str">
        <f>IFERROR(INDEX(Runs!$E:$E, MATCH($B336, Runs!$A:$A, 0)), $B336)</f>
        <v>Industry PM25</v>
      </c>
      <c r="AI336" t="str">
        <f t="shared" si="23"/>
        <v>transportation PM25</v>
      </c>
      <c r="AJ336" t="str">
        <f>IF($AG336=1, IF($AD336=1, Keys!$C$9, "") &amp; IF($AE336=1, Keys!$C$10, "") &amp; IF($AF336=1, Keys!$C$11, ""), "")</f>
        <v/>
      </c>
      <c r="AK336">
        <f>IF($AG336=1, IFERROR(INDEX($AG$2:$AG$577, MATCH($A336 &amp; Keys!$C$8 &amp; $AH336, $Y$2:$Y$577, 0)), 1), 0)</f>
        <v>0</v>
      </c>
    </row>
    <row r="337" spans="1:37" x14ac:dyDescent="0.25">
      <c r="A337" t="s">
        <v>165</v>
      </c>
      <c r="B337" t="s">
        <v>243</v>
      </c>
      <c r="C337">
        <v>21</v>
      </c>
      <c r="D337">
        <v>5.8105164569999994</v>
      </c>
      <c r="E337">
        <v>1.263052764E-2</v>
      </c>
      <c r="F337">
        <v>16.692453318999998</v>
      </c>
      <c r="G337">
        <v>22.478741931999998</v>
      </c>
      <c r="H337">
        <v>34.343952790000003</v>
      </c>
      <c r="I337">
        <v>0.368272025</v>
      </c>
      <c r="J337">
        <v>2.802713373</v>
      </c>
      <c r="K337">
        <v>2159.9532070240002</v>
      </c>
      <c r="L337">
        <v>365.07899552700002</v>
      </c>
      <c r="M337">
        <v>0.68329348600000006</v>
      </c>
      <c r="N337">
        <v>73.515148041000003</v>
      </c>
      <c r="O337">
        <v>1.9535018920000009</v>
      </c>
      <c r="P337">
        <v>7.8687298200000005E-2</v>
      </c>
      <c r="Q337">
        <v>0.14306253899999999</v>
      </c>
      <c r="R337">
        <v>3.94297203</v>
      </c>
      <c r="S337">
        <v>50.179307426999998</v>
      </c>
      <c r="T337">
        <v>71.494871677000006</v>
      </c>
      <c r="U337">
        <v>0</v>
      </c>
      <c r="V337">
        <v>723.4910271079998</v>
      </c>
      <c r="W337">
        <v>0</v>
      </c>
      <c r="Y337" t="str">
        <f>$A337 &amp; Keys!$C$8 &amp; $B337</f>
        <v>New Jersey|transportation SO2</v>
      </c>
      <c r="Z337" s="8">
        <f>IFERROR(INDEX($U337:$W337, MATCH(INDEX(Runs!$D:$D, MATCH($B337, Runs!$A:$A, 0)), $U$1:$W$1, 0)), 0)</f>
        <v>723.4910271079998</v>
      </c>
      <c r="AA337" s="8">
        <f t="shared" si="20"/>
        <v>8.0312211752318376E-3</v>
      </c>
      <c r="AB337" s="8">
        <f>IFERROR(VLOOKUP(INDEX(Runs!$F:$F, MATCH($B337, Runs!$A:$A, 0)), US_national_yearly!$D:$AM, MATCH(Keys!$C$7, US_national_yearly!$D$1:$AM$1, 0), FALSE), 0)</f>
        <v>5.1800714166247604E-3</v>
      </c>
      <c r="AC337" s="8">
        <f t="shared" si="21"/>
        <v>1.5504074228507132</v>
      </c>
      <c r="AD337">
        <f>IF($Z337&lt;Keys!$C$3, 1, 0)</f>
        <v>0</v>
      </c>
      <c r="AE337">
        <f>IF($AC337&gt;Keys!$C$4, 1, 0)</f>
        <v>0</v>
      </c>
      <c r="AF337">
        <f>IF($AC337&lt;Keys!$C$5, 1, 0)</f>
        <v>0</v>
      </c>
      <c r="AG337">
        <f t="shared" si="22"/>
        <v>0</v>
      </c>
      <c r="AH337" t="str">
        <f>IFERROR(INDEX(Runs!$E:$E, MATCH($B337, Runs!$A:$A, 0)), $B337)</f>
        <v>Industry SO2</v>
      </c>
      <c r="AI337" t="str">
        <f t="shared" si="23"/>
        <v>transportation SO2</v>
      </c>
      <c r="AJ337" t="str">
        <f>IF($AG337=1, IF($AD337=1, Keys!$C$9, "") &amp; IF($AE337=1, Keys!$C$10, "") &amp; IF($AF337=1, Keys!$C$11, ""), "")</f>
        <v/>
      </c>
      <c r="AK337">
        <f>IF($AG337=1, IFERROR(INDEX($AG$2:$AG$577, MATCH($A337 &amp; Keys!$C$8 &amp; $AH337, $Y$2:$Y$577, 0)), 1), 0)</f>
        <v>0</v>
      </c>
    </row>
    <row r="338" spans="1:37" x14ac:dyDescent="0.25">
      <c r="A338" t="s">
        <v>169</v>
      </c>
      <c r="B338" t="s">
        <v>242</v>
      </c>
      <c r="C338">
        <v>33</v>
      </c>
      <c r="D338">
        <v>0.93689733999999991</v>
      </c>
      <c r="E338">
        <v>3.071384638E-3</v>
      </c>
      <c r="F338">
        <v>2.804697693</v>
      </c>
      <c r="G338">
        <v>3.7769205119999998</v>
      </c>
      <c r="H338">
        <v>5.7705369019999999</v>
      </c>
      <c r="I338">
        <v>4.8815005199999997E-2</v>
      </c>
      <c r="J338">
        <v>0.28583659360000002</v>
      </c>
      <c r="K338">
        <v>295.60359882099999</v>
      </c>
      <c r="L338">
        <v>50.259036792999993</v>
      </c>
      <c r="M338">
        <v>6.8581602300000016E-2</v>
      </c>
      <c r="N338">
        <v>12.352155107</v>
      </c>
      <c r="O338">
        <v>0.23272984190000001</v>
      </c>
      <c r="P338">
        <v>1.131172138700001E-2</v>
      </c>
      <c r="Q338">
        <v>1.501901521E-2</v>
      </c>
      <c r="R338">
        <v>0.65770802469999978</v>
      </c>
      <c r="S338">
        <v>8.3591439699999981</v>
      </c>
      <c r="T338">
        <v>11.883797173</v>
      </c>
      <c r="U338">
        <v>0</v>
      </c>
      <c r="V338">
        <v>0</v>
      </c>
      <c r="W338">
        <v>58076.603593946988</v>
      </c>
      <c r="Y338" t="str">
        <f>$A338 &amp; Keys!$C$8 &amp; $B338</f>
        <v>New Mexico|Industry NO2</v>
      </c>
      <c r="Z338" s="8">
        <f>IFERROR(INDEX($U338:$W338, MATCH(INDEX(Runs!$D:$D, MATCH($B338, Runs!$A:$A, 0)), $U$1:$W$1, 0)), 0)</f>
        <v>58076.603593946988</v>
      </c>
      <c r="AA338" s="8">
        <f t="shared" si="20"/>
        <v>1.6132095921973778E-5</v>
      </c>
      <c r="AB338" s="8">
        <f>IFERROR(VLOOKUP(INDEX(Runs!$F:$F, MATCH($B338, Runs!$A:$A, 0)), US_national_yearly!$D:$AM, MATCH(Keys!$C$7, US_national_yearly!$D$1:$AM$1, 0), FALSE), 0)</f>
        <v>5.8012217057786938E-3</v>
      </c>
      <c r="AC338" s="8">
        <f t="shared" si="21"/>
        <v>2.7808101017591396E-3</v>
      </c>
      <c r="AD338">
        <f>IF($Z338&lt;Keys!$C$3, 1, 0)</f>
        <v>0</v>
      </c>
      <c r="AE338">
        <f>IF($AC338&gt;Keys!$C$4, 1, 0)</f>
        <v>0</v>
      </c>
      <c r="AF338">
        <f>IF($AC338&lt;Keys!$C$5, 1, 0)</f>
        <v>0</v>
      </c>
      <c r="AG338">
        <f t="shared" si="22"/>
        <v>0</v>
      </c>
      <c r="AH338" t="str">
        <f>IFERROR(INDEX(Runs!$E:$E, MATCH($B338, Runs!$A:$A, 0)), $B338)</f>
        <v>Industry NO2</v>
      </c>
      <c r="AI338" t="str">
        <f t="shared" si="23"/>
        <v>Industry NO2</v>
      </c>
      <c r="AJ338" t="str">
        <f>IF($AG338=1, IF($AD338=1, Keys!$C$9, "") &amp; IF($AE338=1, Keys!$C$10, "") &amp; IF($AF338=1, Keys!$C$11, ""), "")</f>
        <v/>
      </c>
      <c r="AK338">
        <f>IF($AG338=1, IFERROR(INDEX($AG$2:$AG$577, MATCH($A338 &amp; Keys!$C$8 &amp; $AH338, $Y$2:$Y$577, 0)), 1), 0)</f>
        <v>0</v>
      </c>
    </row>
    <row r="339" spans="1:37" x14ac:dyDescent="0.25">
      <c r="A339" t="s">
        <v>169</v>
      </c>
      <c r="B339" t="s">
        <v>238</v>
      </c>
      <c r="C339">
        <v>33</v>
      </c>
      <c r="D339">
        <v>15.17109992699999</v>
      </c>
      <c r="E339">
        <v>3.7203753313999999E-2</v>
      </c>
      <c r="F339">
        <v>39.609476651999998</v>
      </c>
      <c r="G339">
        <v>53.338492578999997</v>
      </c>
      <c r="H339">
        <v>81.497223290999997</v>
      </c>
      <c r="I339">
        <v>0.92174026120000019</v>
      </c>
      <c r="J339">
        <v>5.2078733110000028</v>
      </c>
      <c r="K339">
        <v>4724.8694653699986</v>
      </c>
      <c r="L339">
        <v>802.57161605100021</v>
      </c>
      <c r="M339">
        <v>1.5035940881000001</v>
      </c>
      <c r="N339">
        <v>174.44519252200001</v>
      </c>
      <c r="O339">
        <v>4.2459449636000004</v>
      </c>
      <c r="P339">
        <v>0.1843944602</v>
      </c>
      <c r="Q339">
        <v>0.28808281340000003</v>
      </c>
      <c r="R339">
        <v>9.2011235680000016</v>
      </c>
      <c r="S339">
        <v>116.982731575</v>
      </c>
      <c r="T339">
        <v>166.46122708899989</v>
      </c>
      <c r="U339">
        <v>2869.0680094700001</v>
      </c>
      <c r="V339">
        <v>0</v>
      </c>
      <c r="W339">
        <v>0</v>
      </c>
      <c r="Y339" t="str">
        <f>$A339 &amp; Keys!$C$8 &amp; $B339</f>
        <v>New Mexico|Industry PM25</v>
      </c>
      <c r="Z339" s="8">
        <f>IFERROR(INDEX($U339:$W339, MATCH(INDEX(Runs!$D:$D, MATCH($B339, Runs!$A:$A, 0)), $U$1:$W$1, 0)), 0)</f>
        <v>2869.0680094700001</v>
      </c>
      <c r="AA339" s="8">
        <f t="shared" si="20"/>
        <v>5.2878146760287261E-3</v>
      </c>
      <c r="AB339" s="8">
        <f>IFERROR(VLOOKUP(INDEX(Runs!$F:$F, MATCH($B339, Runs!$A:$A, 0)), US_national_yearly!$D:$AM, MATCH(Keys!$C$7, US_national_yearly!$D$1:$AM$1, 0), FALSE), 0)</f>
        <v>2.6833191881203179E-2</v>
      </c>
      <c r="AC339" s="8">
        <f t="shared" si="21"/>
        <v>0.19706245531426597</v>
      </c>
      <c r="AD339">
        <f>IF($Z339&lt;Keys!$C$3, 1, 0)</f>
        <v>0</v>
      </c>
      <c r="AE339">
        <f>IF($AC339&gt;Keys!$C$4, 1, 0)</f>
        <v>0</v>
      </c>
      <c r="AF339">
        <f>IF($AC339&lt;Keys!$C$5, 1, 0)</f>
        <v>0</v>
      </c>
      <c r="AG339">
        <f t="shared" si="22"/>
        <v>0</v>
      </c>
      <c r="AH339" t="str">
        <f>IFERROR(INDEX(Runs!$E:$E, MATCH($B339, Runs!$A:$A, 0)), $B339)</f>
        <v>Industry PM25</v>
      </c>
      <c r="AI339" t="str">
        <f t="shared" si="23"/>
        <v>Industry PM25</v>
      </c>
      <c r="AJ339" t="str">
        <f>IF($AG339=1, IF($AD339=1, Keys!$C$9, "") &amp; IF($AE339=1, Keys!$C$10, "") &amp; IF($AF339=1, Keys!$C$11, ""), "")</f>
        <v/>
      </c>
      <c r="AK339">
        <f>IF($AG339=1, IFERROR(INDEX($AG$2:$AG$577, MATCH($A339 &amp; Keys!$C$8 &amp; $AH339, $Y$2:$Y$577, 0)), 1), 0)</f>
        <v>0</v>
      </c>
    </row>
    <row r="340" spans="1:37" x14ac:dyDescent="0.25">
      <c r="A340" t="s">
        <v>169</v>
      </c>
      <c r="B340" t="s">
        <v>246</v>
      </c>
      <c r="C340">
        <v>33</v>
      </c>
      <c r="D340">
        <v>9.6835632300000025</v>
      </c>
      <c r="E340">
        <v>2.5795801230000009E-2</v>
      </c>
      <c r="F340">
        <v>26.205399287999999</v>
      </c>
      <c r="G340">
        <v>35.288888244000013</v>
      </c>
      <c r="H340">
        <v>53.917168175</v>
      </c>
      <c r="I340">
        <v>0.56563729600000001</v>
      </c>
      <c r="J340">
        <v>3.2053017170000002</v>
      </c>
      <c r="K340">
        <v>2979.5125327660012</v>
      </c>
      <c r="L340">
        <v>505.78810354400002</v>
      </c>
      <c r="M340">
        <v>0.83652281299999987</v>
      </c>
      <c r="N340">
        <v>115.411455707</v>
      </c>
      <c r="O340">
        <v>2.507922176000001</v>
      </c>
      <c r="P340">
        <v>0.10449495976000001</v>
      </c>
      <c r="Q340">
        <v>0.16793005620000001</v>
      </c>
      <c r="R340">
        <v>6.1175768560000003</v>
      </c>
      <c r="S340">
        <v>77.758252286000015</v>
      </c>
      <c r="T340">
        <v>110.578059584</v>
      </c>
      <c r="U340">
        <v>0</v>
      </c>
      <c r="V340">
        <v>5902.4708896220009</v>
      </c>
      <c r="W340">
        <v>0</v>
      </c>
      <c r="Y340" t="str">
        <f>$A340 &amp; Keys!$C$8 &amp; $B340</f>
        <v>New Mexico|Industry SO2</v>
      </c>
      <c r="Z340" s="8">
        <f>IFERROR(INDEX($U340:$W340, MATCH(INDEX(Runs!$D:$D, MATCH($B340, Runs!$A:$A, 0)), $U$1:$W$1, 0)), 0)</f>
        <v>5902.4708896220009</v>
      </c>
      <c r="AA340" s="8">
        <f t="shared" si="20"/>
        <v>1.6405948307218414E-3</v>
      </c>
      <c r="AB340" s="8">
        <f>IFERROR(VLOOKUP(INDEX(Runs!$F:$F, MATCH($B340, Runs!$A:$A, 0)), US_national_yearly!$D:$AM, MATCH(Keys!$C$7, US_national_yearly!$D$1:$AM$1, 0), FALSE), 0)</f>
        <v>5.3000351638639942E-3</v>
      </c>
      <c r="AC340" s="8">
        <f t="shared" si="21"/>
        <v>0.30954414074599546</v>
      </c>
      <c r="AD340">
        <f>IF($Z340&lt;Keys!$C$3, 1, 0)</f>
        <v>0</v>
      </c>
      <c r="AE340">
        <f>IF($AC340&gt;Keys!$C$4, 1, 0)</f>
        <v>0</v>
      </c>
      <c r="AF340">
        <f>IF($AC340&lt;Keys!$C$5, 1, 0)</f>
        <v>0</v>
      </c>
      <c r="AG340">
        <f t="shared" si="22"/>
        <v>0</v>
      </c>
      <c r="AH340" t="str">
        <f>IFERROR(INDEX(Runs!$E:$E, MATCH($B340, Runs!$A:$A, 0)), $B340)</f>
        <v>Industry SO2</v>
      </c>
      <c r="AI340" t="str">
        <f t="shared" si="23"/>
        <v>Industry SO2</v>
      </c>
      <c r="AJ340" t="str">
        <f>IF($AG340=1, IF($AD340=1, Keys!$C$9, "") &amp; IF($AE340=1, Keys!$C$10, "") &amp; IF($AF340=1, Keys!$C$11, ""), "")</f>
        <v/>
      </c>
      <c r="AK340">
        <f>IF($AG340=1, IFERROR(INDEX($AG$2:$AG$577, MATCH($A340 &amp; Keys!$C$8 &amp; $AH340, $Y$2:$Y$577, 0)), 1), 0)</f>
        <v>0</v>
      </c>
    </row>
    <row r="341" spans="1:37" x14ac:dyDescent="0.25">
      <c r="A341" t="s">
        <v>169</v>
      </c>
      <c r="B341" t="s">
        <v>253</v>
      </c>
      <c r="C341">
        <v>33</v>
      </c>
      <c r="D341">
        <v>1.7493108058</v>
      </c>
      <c r="E341">
        <v>4.2482215757000024E-3</v>
      </c>
      <c r="F341">
        <v>4.531233533</v>
      </c>
      <c r="G341">
        <v>6.101948685</v>
      </c>
      <c r="H341">
        <v>9.3227961239999999</v>
      </c>
      <c r="I341">
        <v>0.10800352491</v>
      </c>
      <c r="J341">
        <v>0.61329250070000008</v>
      </c>
      <c r="K341">
        <v>549.28281144099992</v>
      </c>
      <c r="L341">
        <v>93.31100124999999</v>
      </c>
      <c r="M341">
        <v>0.18205696398999999</v>
      </c>
      <c r="N341">
        <v>19.955978342000002</v>
      </c>
      <c r="O341">
        <v>0.50509888589999996</v>
      </c>
      <c r="P341">
        <v>2.1575456365000009E-2</v>
      </c>
      <c r="Q341">
        <v>3.441272293E-2</v>
      </c>
      <c r="R341">
        <v>1.0519165893</v>
      </c>
      <c r="S341">
        <v>13.370435743999989</v>
      </c>
      <c r="T341">
        <v>19.010519103999989</v>
      </c>
      <c r="U341">
        <v>0</v>
      </c>
      <c r="V341">
        <v>0</v>
      </c>
      <c r="W341">
        <v>3121.4058443059998</v>
      </c>
      <c r="Y341" t="str">
        <f>$A341 &amp; Keys!$C$8 &amp; $B341</f>
        <v>New Mexico|buildings NO2</v>
      </c>
      <c r="Z341" s="8">
        <f>IFERROR(INDEX($U341:$W341, MATCH(INDEX(Runs!$D:$D, MATCH($B341, Runs!$A:$A, 0)), $U$1:$W$1, 0)), 0)</f>
        <v>3121.4058443059998</v>
      </c>
      <c r="AA341" s="8">
        <f t="shared" si="20"/>
        <v>5.6042401823237894E-4</v>
      </c>
      <c r="AB341" s="8">
        <f>IFERROR(VLOOKUP(INDEX(Runs!$F:$F, MATCH($B341, Runs!$A:$A, 0)), US_national_yearly!$D:$AM, MATCH(Keys!$C$7, US_national_yearly!$D$1:$AM$1, 0), FALSE), 0)</f>
        <v>5.6784740124662739E-3</v>
      </c>
      <c r="AC341" s="8">
        <f t="shared" si="21"/>
        <v>9.8692715155876132E-2</v>
      </c>
      <c r="AD341">
        <f>IF($Z341&lt;Keys!$C$3, 1, 0)</f>
        <v>0</v>
      </c>
      <c r="AE341">
        <f>IF($AC341&gt;Keys!$C$4, 1, 0)</f>
        <v>0</v>
      </c>
      <c r="AF341">
        <f>IF($AC341&lt;Keys!$C$5, 1, 0)</f>
        <v>0</v>
      </c>
      <c r="AG341">
        <f t="shared" si="22"/>
        <v>0</v>
      </c>
      <c r="AH341" t="str">
        <f>IFERROR(INDEX(Runs!$E:$E, MATCH($B341, Runs!$A:$A, 0)), $B341)</f>
        <v>Industry NO2</v>
      </c>
      <c r="AI341" t="str">
        <f t="shared" si="23"/>
        <v>buildings NO2</v>
      </c>
      <c r="AJ341" t="str">
        <f>IF($AG341=1, IF($AD341=1, Keys!$C$9, "") &amp; IF($AE341=1, Keys!$C$10, "") &amp; IF($AF341=1, Keys!$C$11, ""), "")</f>
        <v/>
      </c>
      <c r="AK341">
        <f>IF($AG341=1, IFERROR(INDEX($AG$2:$AG$577, MATCH($A341 &amp; Keys!$C$8 &amp; $AH341, $Y$2:$Y$577, 0)), 1), 0)</f>
        <v>0</v>
      </c>
    </row>
    <row r="342" spans="1:37" x14ac:dyDescent="0.25">
      <c r="A342" t="s">
        <v>169</v>
      </c>
      <c r="B342" t="s">
        <v>251</v>
      </c>
      <c r="C342">
        <v>33</v>
      </c>
      <c r="D342">
        <v>7.4943073130000037E-2</v>
      </c>
      <c r="E342">
        <v>1.8643620148000011E-4</v>
      </c>
      <c r="F342">
        <v>0.19708095609000001</v>
      </c>
      <c r="G342">
        <v>0.26539841722999991</v>
      </c>
      <c r="H342">
        <v>0.40548269931000003</v>
      </c>
      <c r="I342">
        <v>4.5637288849999999E-3</v>
      </c>
      <c r="J342">
        <v>2.607080347799999E-2</v>
      </c>
      <c r="K342">
        <v>23.721112240999989</v>
      </c>
      <c r="L342">
        <v>4.0310514735999998</v>
      </c>
      <c r="M342">
        <v>7.7949025289999986E-3</v>
      </c>
      <c r="N342">
        <v>0.86796207262999991</v>
      </c>
      <c r="O342">
        <v>2.1818897683000001E-2</v>
      </c>
      <c r="P342">
        <v>9.4537821541999995E-4</v>
      </c>
      <c r="Q342">
        <v>1.4817514058999999E-3</v>
      </c>
      <c r="R342">
        <v>4.5780230262999967E-2</v>
      </c>
      <c r="S342">
        <v>0.58186823068999982</v>
      </c>
      <c r="T342">
        <v>0.8272211332999998</v>
      </c>
      <c r="U342">
        <v>9.3250699349999984</v>
      </c>
      <c r="V342">
        <v>0</v>
      </c>
      <c r="W342">
        <v>0</v>
      </c>
      <c r="Y342" t="str">
        <f>$A342 &amp; Keys!$C$8 &amp; $B342</f>
        <v>New Mexico|buildings PM25</v>
      </c>
      <c r="Z342" s="8">
        <f>IFERROR(INDEX($U342:$W342, MATCH(INDEX(Runs!$D:$D, MATCH($B342, Runs!$A:$A, 0)), $U$1:$W$1, 0)), 0)</f>
        <v>9.3250699349999984</v>
      </c>
      <c r="AA342" s="8">
        <f t="shared" si="20"/>
        <v>8.0367304108588493E-3</v>
      </c>
      <c r="AB342" s="8">
        <f>IFERROR(VLOOKUP(INDEX(Runs!$F:$F, MATCH($B342, Runs!$A:$A, 0)), US_national_yearly!$D:$AM, MATCH(Keys!$C$7, US_national_yearly!$D$1:$AM$1, 0), FALSE), 0)</f>
        <v>2.7627705191843259E-2</v>
      </c>
      <c r="AC342" s="8">
        <f t="shared" si="21"/>
        <v>0.29089388188605675</v>
      </c>
      <c r="AD342">
        <f>IF($Z342&lt;Keys!$C$3, 1, 0)</f>
        <v>0</v>
      </c>
      <c r="AE342">
        <f>IF($AC342&gt;Keys!$C$4, 1, 0)</f>
        <v>0</v>
      </c>
      <c r="AF342">
        <f>IF($AC342&lt;Keys!$C$5, 1, 0)</f>
        <v>0</v>
      </c>
      <c r="AG342">
        <f t="shared" si="22"/>
        <v>0</v>
      </c>
      <c r="AH342" t="str">
        <f>IFERROR(INDEX(Runs!$E:$E, MATCH($B342, Runs!$A:$A, 0)), $B342)</f>
        <v>Industry PM25</v>
      </c>
      <c r="AI342" t="str">
        <f t="shared" si="23"/>
        <v>buildings PM25</v>
      </c>
      <c r="AJ342" t="str">
        <f>IF($AG342=1, IF($AD342=1, Keys!$C$9, "") &amp; IF($AE342=1, Keys!$C$10, "") &amp; IF($AF342=1, Keys!$C$11, ""), "")</f>
        <v/>
      </c>
      <c r="AK342">
        <f>IF($AG342=1, IFERROR(INDEX($AG$2:$AG$577, MATCH($A342 &amp; Keys!$C$8 &amp; $AH342, $Y$2:$Y$577, 0)), 1), 0)</f>
        <v>0</v>
      </c>
    </row>
    <row r="343" spans="1:37" x14ac:dyDescent="0.25">
      <c r="A343" t="s">
        <v>169</v>
      </c>
      <c r="B343" t="s">
        <v>254</v>
      </c>
      <c r="C343">
        <v>33</v>
      </c>
      <c r="D343">
        <v>9.4423397039999964E-3</v>
      </c>
      <c r="E343">
        <v>2.2992155158E-5</v>
      </c>
      <c r="F343">
        <v>2.4482405252999991E-2</v>
      </c>
      <c r="G343">
        <v>3.2969158449999987E-2</v>
      </c>
      <c r="H343">
        <v>5.0371129859999982E-2</v>
      </c>
      <c r="I343">
        <v>5.7867037169999976E-4</v>
      </c>
      <c r="J343">
        <v>3.3024518289999998E-3</v>
      </c>
      <c r="K343">
        <v>2.9736541369999991</v>
      </c>
      <c r="L343">
        <v>0.5052692833000002</v>
      </c>
      <c r="M343">
        <v>9.9648785150000018E-4</v>
      </c>
      <c r="N343">
        <v>0.107822693563</v>
      </c>
      <c r="O343">
        <v>2.761624881599999E-3</v>
      </c>
      <c r="P343">
        <v>1.1592954396E-4</v>
      </c>
      <c r="Q343">
        <v>1.8794612804E-4</v>
      </c>
      <c r="R343">
        <v>5.6829662709999987E-3</v>
      </c>
      <c r="S343">
        <v>7.2229140720000015E-2</v>
      </c>
      <c r="T343">
        <v>0.10268165553</v>
      </c>
      <c r="U343">
        <v>0</v>
      </c>
      <c r="V343">
        <v>10.755602218999989</v>
      </c>
      <c r="W343">
        <v>0</v>
      </c>
      <c r="Y343" t="str">
        <f>$A343 &amp; Keys!$C$8 &amp; $B343</f>
        <v>New Mexico|buildings SO2</v>
      </c>
      <c r="Z343" s="8">
        <f>IFERROR(INDEX($U343:$W343, MATCH(INDEX(Runs!$D:$D, MATCH($B343, Runs!$A:$A, 0)), $U$1:$W$1, 0)), 0)</f>
        <v>10.755602218999989</v>
      </c>
      <c r="AA343" s="8">
        <f t="shared" si="20"/>
        <v>8.7789967607019832E-4</v>
      </c>
      <c r="AB343" s="8">
        <f>IFERROR(VLOOKUP(INDEX(Runs!$F:$F, MATCH($B343, Runs!$A:$A, 0)), US_national_yearly!$D:$AM, MATCH(Keys!$C$7, US_national_yearly!$D$1:$AM$1, 0), FALSE), 0)</f>
        <v>5.1581943281164694E-3</v>
      </c>
      <c r="AC343" s="8">
        <f t="shared" si="21"/>
        <v>0.17019515361895374</v>
      </c>
      <c r="AD343">
        <f>IF($Z343&lt;Keys!$C$3, 1, 0)</f>
        <v>0</v>
      </c>
      <c r="AE343">
        <f>IF($AC343&gt;Keys!$C$4, 1, 0)</f>
        <v>0</v>
      </c>
      <c r="AF343">
        <f>IF($AC343&lt;Keys!$C$5, 1, 0)</f>
        <v>0</v>
      </c>
      <c r="AG343">
        <f t="shared" si="22"/>
        <v>0</v>
      </c>
      <c r="AH343" t="str">
        <f>IFERROR(INDEX(Runs!$E:$E, MATCH($B343, Runs!$A:$A, 0)), $B343)</f>
        <v>Industry SO2</v>
      </c>
      <c r="AI343" t="str">
        <f t="shared" si="23"/>
        <v>buildings SO2</v>
      </c>
      <c r="AJ343" t="str">
        <f>IF($AG343=1, IF($AD343=1, Keys!$C$9, "") &amp; IF($AE343=1, Keys!$C$10, "") &amp; IF($AF343=1, Keys!$C$11, ""), "")</f>
        <v/>
      </c>
      <c r="AK343">
        <f>IF($AG343=1, IFERROR(INDEX($AG$2:$AG$577, MATCH($A343 &amp; Keys!$C$8 &amp; $AH343, $Y$2:$Y$577, 0)), 1), 0)</f>
        <v>0</v>
      </c>
    </row>
    <row r="344" spans="1:37" x14ac:dyDescent="0.25">
      <c r="A344" t="s">
        <v>169</v>
      </c>
      <c r="B344" t="s">
        <v>249</v>
      </c>
      <c r="C344">
        <v>33</v>
      </c>
      <c r="D344">
        <v>0.26810585180000002</v>
      </c>
      <c r="E344">
        <v>6.7530052159999994E-4</v>
      </c>
      <c r="F344">
        <v>0.71448324099999982</v>
      </c>
      <c r="G344">
        <v>0.9621562560000001</v>
      </c>
      <c r="H344">
        <v>1.4700084920000001</v>
      </c>
      <c r="I344">
        <v>1.6414144049999999E-2</v>
      </c>
      <c r="J344">
        <v>8.842105950000001E-2</v>
      </c>
      <c r="K344">
        <v>80.514311245000002</v>
      </c>
      <c r="L344">
        <v>13.652999609</v>
      </c>
      <c r="M344">
        <v>2.0946678560000001E-2</v>
      </c>
      <c r="N344">
        <v>3.1466479889999999</v>
      </c>
      <c r="O344">
        <v>6.3738993800000004E-2</v>
      </c>
      <c r="P344">
        <v>3.0012147779999989E-3</v>
      </c>
      <c r="Q344">
        <v>4.2597998500000008E-3</v>
      </c>
      <c r="R344">
        <v>0.1672592379</v>
      </c>
      <c r="S344">
        <v>2.125620874</v>
      </c>
      <c r="T344">
        <v>3.021334188</v>
      </c>
      <c r="U344">
        <v>0</v>
      </c>
      <c r="V344">
        <v>0</v>
      </c>
      <c r="W344">
        <v>8403.7707937000014</v>
      </c>
      <c r="Y344" t="str">
        <f>$A344 &amp; Keys!$C$8 &amp; $B344</f>
        <v>New Mexico|electricity NO2</v>
      </c>
      <c r="Z344" s="8">
        <f>IFERROR(INDEX($U344:$W344, MATCH(INDEX(Runs!$D:$D, MATCH($B344, Runs!$A:$A, 0)), $U$1:$W$1, 0)), 0)</f>
        <v>8403.7707937000014</v>
      </c>
      <c r="AA344" s="8">
        <f t="shared" si="20"/>
        <v>3.1903041906020228E-5</v>
      </c>
      <c r="AB344" s="8">
        <f>IFERROR(VLOOKUP(INDEX(Runs!$F:$F, MATCH($B344, Runs!$A:$A, 0)), US_national_yearly!$D:$AM, MATCH(Keys!$C$7, US_national_yearly!$D$1:$AM$1, 0), FALSE), 0)</f>
        <v>6.1439221592658041E-3</v>
      </c>
      <c r="AC344" s="8">
        <f t="shared" si="21"/>
        <v>5.1926181808645546E-3</v>
      </c>
      <c r="AD344">
        <f>IF($Z344&lt;Keys!$C$3, 1, 0)</f>
        <v>0</v>
      </c>
      <c r="AE344">
        <f>IF($AC344&gt;Keys!$C$4, 1, 0)</f>
        <v>0</v>
      </c>
      <c r="AF344">
        <f>IF($AC344&lt;Keys!$C$5, 1, 0)</f>
        <v>0</v>
      </c>
      <c r="AG344">
        <f t="shared" si="22"/>
        <v>0</v>
      </c>
      <c r="AH344" t="str">
        <f>IFERROR(INDEX(Runs!$E:$E, MATCH($B344, Runs!$A:$A, 0)), $B344)</f>
        <v>Industry NO2</v>
      </c>
      <c r="AI344" t="str">
        <f t="shared" si="23"/>
        <v>electricity NO2</v>
      </c>
      <c r="AJ344" t="str">
        <f>IF($AG344=1, IF($AD344=1, Keys!$C$9, "") &amp; IF($AE344=1, Keys!$C$10, "") &amp; IF($AF344=1, Keys!$C$11, ""), "")</f>
        <v/>
      </c>
      <c r="AK344">
        <f>IF($AG344=1, IFERROR(INDEX($AG$2:$AG$577, MATCH($A344 &amp; Keys!$C$8 &amp; $AH344, $Y$2:$Y$577, 0)), 1), 0)</f>
        <v>0</v>
      </c>
    </row>
    <row r="345" spans="1:37" x14ac:dyDescent="0.25">
      <c r="A345" t="s">
        <v>169</v>
      </c>
      <c r="B345" t="s">
        <v>247</v>
      </c>
      <c r="C345">
        <v>33</v>
      </c>
      <c r="D345">
        <v>0.20218761909999991</v>
      </c>
      <c r="E345">
        <v>5.3759795279999993E-4</v>
      </c>
      <c r="F345">
        <v>0.56960886949999989</v>
      </c>
      <c r="G345">
        <v>0.76706166750000027</v>
      </c>
      <c r="H345">
        <v>1.1719378228999999</v>
      </c>
      <c r="I345">
        <v>1.190946081E-2</v>
      </c>
      <c r="J345">
        <v>6.1741095070000002E-2</v>
      </c>
      <c r="K345">
        <v>61.950492188999988</v>
      </c>
      <c r="L345">
        <v>10.530401250000001</v>
      </c>
      <c r="M345">
        <v>1.515446382E-2</v>
      </c>
      <c r="N345">
        <v>2.5086083599000011</v>
      </c>
      <c r="O345">
        <v>4.8168568789999991E-2</v>
      </c>
      <c r="P345">
        <v>3.697006899099999E-3</v>
      </c>
      <c r="Q345">
        <v>3.1150140229999992E-3</v>
      </c>
      <c r="R345">
        <v>0.13333667387000001</v>
      </c>
      <c r="S345">
        <v>1.6952382549</v>
      </c>
      <c r="T345">
        <v>2.4113189723000001</v>
      </c>
      <c r="U345">
        <v>133.16968369200001</v>
      </c>
      <c r="V345">
        <v>0</v>
      </c>
      <c r="W345">
        <v>0</v>
      </c>
      <c r="Y345" t="str">
        <f>$A345 &amp; Keys!$C$8 &amp; $B345</f>
        <v>New Mexico|electricity PM25</v>
      </c>
      <c r="Z345" s="8">
        <f>IFERROR(INDEX($U345:$W345, MATCH(INDEX(Runs!$D:$D, MATCH($B345, Runs!$A:$A, 0)), $U$1:$W$1, 0)), 0)</f>
        <v>133.16968369200001</v>
      </c>
      <c r="AA345" s="8">
        <f t="shared" si="20"/>
        <v>1.5182706265761451E-3</v>
      </c>
      <c r="AB345" s="8">
        <f>IFERROR(VLOOKUP(INDEX(Runs!$F:$F, MATCH($B345, Runs!$A:$A, 0)), US_national_yearly!$D:$AM, MATCH(Keys!$C$7, US_national_yearly!$D$1:$AM$1, 0), FALSE), 0)</f>
        <v>2.4252978284752182E-2</v>
      </c>
      <c r="AC345" s="8">
        <f t="shared" si="21"/>
        <v>6.2601409556808124E-2</v>
      </c>
      <c r="AD345">
        <f>IF($Z345&lt;Keys!$C$3, 1, 0)</f>
        <v>0</v>
      </c>
      <c r="AE345">
        <f>IF($AC345&gt;Keys!$C$4, 1, 0)</f>
        <v>0</v>
      </c>
      <c r="AF345">
        <f>IF($AC345&lt;Keys!$C$5, 1, 0)</f>
        <v>0</v>
      </c>
      <c r="AG345">
        <f t="shared" si="22"/>
        <v>0</v>
      </c>
      <c r="AH345" t="str">
        <f>IFERROR(INDEX(Runs!$E:$E, MATCH($B345, Runs!$A:$A, 0)), $B345)</f>
        <v>Industry PM25</v>
      </c>
      <c r="AI345" t="str">
        <f t="shared" si="23"/>
        <v>electricity PM25</v>
      </c>
      <c r="AJ345" t="str">
        <f>IF($AG345=1, IF($AD345=1, Keys!$C$9, "") &amp; IF($AE345=1, Keys!$C$10, "") &amp; IF($AF345=1, Keys!$C$11, ""), "")</f>
        <v/>
      </c>
      <c r="AK345">
        <f>IF($AG345=1, IFERROR(INDEX($AG$2:$AG$577, MATCH($A345 &amp; Keys!$C$8 &amp; $AH345, $Y$2:$Y$577, 0)), 1), 0)</f>
        <v>0</v>
      </c>
    </row>
    <row r="346" spans="1:37" x14ac:dyDescent="0.25">
      <c r="A346" t="s">
        <v>169</v>
      </c>
      <c r="B346" t="s">
        <v>250</v>
      </c>
      <c r="C346">
        <v>33</v>
      </c>
      <c r="D346">
        <v>0.86947058099999974</v>
      </c>
      <c r="E346">
        <v>2.184896600000001E-3</v>
      </c>
      <c r="F346">
        <v>2.386946558</v>
      </c>
      <c r="G346">
        <v>3.21437039</v>
      </c>
      <c r="H346">
        <v>4.911011437</v>
      </c>
      <c r="I346">
        <v>5.32934246E-2</v>
      </c>
      <c r="J346">
        <v>0.28086435840000012</v>
      </c>
      <c r="K346">
        <v>265.29188047299999</v>
      </c>
      <c r="L346">
        <v>45.026631852000008</v>
      </c>
      <c r="M346">
        <v>6.5943163099999993E-2</v>
      </c>
      <c r="N346">
        <v>10.512328385</v>
      </c>
      <c r="O346">
        <v>0.20608659009999999</v>
      </c>
      <c r="P346">
        <v>1.2939644990999999E-2</v>
      </c>
      <c r="Q346">
        <v>1.359224018E-2</v>
      </c>
      <c r="R346">
        <v>0.55901389539999979</v>
      </c>
      <c r="S346">
        <v>7.106752775000003</v>
      </c>
      <c r="T346">
        <v>10.107532962000001</v>
      </c>
      <c r="U346">
        <v>0</v>
      </c>
      <c r="V346">
        <v>1666.7154875430001</v>
      </c>
      <c r="W346">
        <v>0</v>
      </c>
      <c r="Y346" t="str">
        <f>$A346 &amp; Keys!$C$8 &amp; $B346</f>
        <v>New Mexico|electricity SO2</v>
      </c>
      <c r="Z346" s="8">
        <f>IFERROR(INDEX($U346:$W346, MATCH(INDEX(Runs!$D:$D, MATCH($B346, Runs!$A:$A, 0)), $U$1:$W$1, 0)), 0)</f>
        <v>1666.7154875430001</v>
      </c>
      <c r="AA346" s="8">
        <f t="shared" si="20"/>
        <v>5.216670676539615E-4</v>
      </c>
      <c r="AB346" s="8">
        <f>IFERROR(VLOOKUP(INDEX(Runs!$F:$F, MATCH($B346, Runs!$A:$A, 0)), US_national_yearly!$D:$AM, MATCH(Keys!$C$7, US_national_yearly!$D$1:$AM$1, 0), FALSE), 0)</f>
        <v>5.7032329662362116E-3</v>
      </c>
      <c r="AC346" s="8">
        <f t="shared" si="21"/>
        <v>9.1468658345589232E-2</v>
      </c>
      <c r="AD346">
        <f>IF($Z346&lt;Keys!$C$3, 1, 0)</f>
        <v>0</v>
      </c>
      <c r="AE346">
        <f>IF($AC346&gt;Keys!$C$4, 1, 0)</f>
        <v>0</v>
      </c>
      <c r="AF346">
        <f>IF($AC346&lt;Keys!$C$5, 1, 0)</f>
        <v>0</v>
      </c>
      <c r="AG346">
        <f t="shared" si="22"/>
        <v>0</v>
      </c>
      <c r="AH346" t="str">
        <f>IFERROR(INDEX(Runs!$E:$E, MATCH($B346, Runs!$A:$A, 0)), $B346)</f>
        <v>Industry SO2</v>
      </c>
      <c r="AI346" t="str">
        <f t="shared" si="23"/>
        <v>electricity SO2</v>
      </c>
      <c r="AJ346" t="str">
        <f>IF($AG346=1, IF($AD346=1, Keys!$C$9, "") &amp; IF($AE346=1, Keys!$C$10, "") &amp; IF($AF346=1, Keys!$C$11, ""), "")</f>
        <v/>
      </c>
      <c r="AK346">
        <f>IF($AG346=1, IFERROR(INDEX($AG$2:$AG$577, MATCH($A346 &amp; Keys!$C$8 &amp; $AH346, $Y$2:$Y$577, 0)), 1), 0)</f>
        <v>0</v>
      </c>
    </row>
    <row r="347" spans="1:37" x14ac:dyDescent="0.25">
      <c r="A347" t="s">
        <v>169</v>
      </c>
      <c r="B347" t="s">
        <v>239</v>
      </c>
      <c r="C347">
        <v>33</v>
      </c>
      <c r="D347">
        <v>13.569511368000001</v>
      </c>
      <c r="E347">
        <v>3.2461894639999989E-2</v>
      </c>
      <c r="F347">
        <v>35.274026443000011</v>
      </c>
      <c r="G347">
        <v>47.500706198000003</v>
      </c>
      <c r="H347">
        <v>72.576198429999991</v>
      </c>
      <c r="I347">
        <v>0.84179165300000014</v>
      </c>
      <c r="J347">
        <v>4.6376795359999994</v>
      </c>
      <c r="K347">
        <v>4166.5439851529991</v>
      </c>
      <c r="L347">
        <v>707.34971173300005</v>
      </c>
      <c r="M347">
        <v>1.2568098190000001</v>
      </c>
      <c r="N347">
        <v>155.35093107099999</v>
      </c>
      <c r="O347">
        <v>3.5812888189999978</v>
      </c>
      <c r="P347">
        <v>0.1797094536800001</v>
      </c>
      <c r="Q347">
        <v>0.24237747870000001</v>
      </c>
      <c r="R347">
        <v>8.2080724400000005</v>
      </c>
      <c r="S347">
        <v>104.363871632</v>
      </c>
      <c r="T347">
        <v>148.50489532500001</v>
      </c>
      <c r="U347">
        <v>0</v>
      </c>
      <c r="V347">
        <v>0</v>
      </c>
      <c r="W347">
        <v>51299.662799530008</v>
      </c>
      <c r="Y347" t="str">
        <f>$A347 &amp; Keys!$C$8 &amp; $B347</f>
        <v>New Mexico|transportation NO2</v>
      </c>
      <c r="Z347" s="8">
        <f>IFERROR(INDEX($U347:$W347, MATCH(INDEX(Runs!$D:$D, MATCH($B347, Runs!$A:$A, 0)), $U$1:$W$1, 0)), 0)</f>
        <v>51299.662799530008</v>
      </c>
      <c r="AA347" s="8">
        <f t="shared" si="20"/>
        <v>2.6451463084713141E-4</v>
      </c>
      <c r="AB347" s="8">
        <f>IFERROR(VLOOKUP(INDEX(Runs!$F:$F, MATCH($B347, Runs!$A:$A, 0)), US_national_yearly!$D:$AM, MATCH(Keys!$C$7, US_national_yearly!$D$1:$AM$1, 0), FALSE), 0)</f>
        <v>5.7148835886332216E-3</v>
      </c>
      <c r="AC347" s="8">
        <f t="shared" si="21"/>
        <v>4.628521766799331E-2</v>
      </c>
      <c r="AD347">
        <f>IF($Z347&lt;Keys!$C$3, 1, 0)</f>
        <v>0</v>
      </c>
      <c r="AE347">
        <f>IF($AC347&gt;Keys!$C$4, 1, 0)</f>
        <v>0</v>
      </c>
      <c r="AF347">
        <f>IF($AC347&lt;Keys!$C$5, 1, 0)</f>
        <v>0</v>
      </c>
      <c r="AG347">
        <f t="shared" si="22"/>
        <v>0</v>
      </c>
      <c r="AH347" t="str">
        <f>IFERROR(INDEX(Runs!$E:$E, MATCH($B347, Runs!$A:$A, 0)), $B347)</f>
        <v>Industry NO2</v>
      </c>
      <c r="AI347" t="str">
        <f t="shared" si="23"/>
        <v>transportation NO2</v>
      </c>
      <c r="AJ347" t="str">
        <f>IF($AG347=1, IF($AD347=1, Keys!$C$9, "") &amp; IF($AE347=1, Keys!$C$10, "") &amp; IF($AF347=1, Keys!$C$11, ""), "")</f>
        <v/>
      </c>
      <c r="AK347">
        <f>IF($AG347=1, IFERROR(INDEX($AG$2:$AG$577, MATCH($A347 &amp; Keys!$C$8 &amp; $AH347, $Y$2:$Y$577, 0)), 1), 0)</f>
        <v>0</v>
      </c>
    </row>
    <row r="348" spans="1:37" x14ac:dyDescent="0.25">
      <c r="A348" t="s">
        <v>169</v>
      </c>
      <c r="B348" t="s">
        <v>234</v>
      </c>
      <c r="C348">
        <v>33</v>
      </c>
      <c r="D348">
        <v>6.142312285</v>
      </c>
      <c r="E348">
        <v>1.4789971597000009E-2</v>
      </c>
      <c r="F348">
        <v>15.892379939</v>
      </c>
      <c r="G348">
        <v>21.401163614000001</v>
      </c>
      <c r="H348">
        <v>32.698178532999997</v>
      </c>
      <c r="I348">
        <v>0.37908913300000002</v>
      </c>
      <c r="J348">
        <v>2.143567393000001</v>
      </c>
      <c r="K348">
        <v>1918.0490270099999</v>
      </c>
      <c r="L348">
        <v>325.76833520600007</v>
      </c>
      <c r="M348">
        <v>0.62468328809999973</v>
      </c>
      <c r="N348">
        <v>69.99172208600001</v>
      </c>
      <c r="O348">
        <v>1.7388963674</v>
      </c>
      <c r="P348">
        <v>7.579385051000001E-2</v>
      </c>
      <c r="Q348">
        <v>0.11844357311000001</v>
      </c>
      <c r="R348">
        <v>3.6909798739999999</v>
      </c>
      <c r="S348">
        <v>46.920885398000003</v>
      </c>
      <c r="T348">
        <v>66.737069656999992</v>
      </c>
      <c r="U348">
        <v>935.08485979199986</v>
      </c>
      <c r="V348">
        <v>0</v>
      </c>
      <c r="W348">
        <v>0</v>
      </c>
      <c r="Y348" t="str">
        <f>$A348 &amp; Keys!$C$8 &amp; $B348</f>
        <v>New Mexico|transportation PM25</v>
      </c>
      <c r="Z348" s="8">
        <f>IFERROR(INDEX($U348:$W348, MATCH(INDEX(Runs!$D:$D, MATCH($B348, Runs!$A:$A, 0)), $U$1:$W$1, 0)), 0)</f>
        <v>935.08485979199986</v>
      </c>
      <c r="AA348" s="8">
        <f t="shared" si="20"/>
        <v>6.5687217803593731E-3</v>
      </c>
      <c r="AB348" s="8">
        <f>IFERROR(VLOOKUP(INDEX(Runs!$F:$F, MATCH($B348, Runs!$A:$A, 0)), US_national_yearly!$D:$AM, MATCH(Keys!$C$7, US_national_yearly!$D$1:$AM$1, 0), FALSE), 0)</f>
        <v>2.8248683697579859E-2</v>
      </c>
      <c r="AC348" s="8">
        <f t="shared" si="21"/>
        <v>0.23253195974303514</v>
      </c>
      <c r="AD348">
        <f>IF($Z348&lt;Keys!$C$3, 1, 0)</f>
        <v>0</v>
      </c>
      <c r="AE348">
        <f>IF($AC348&gt;Keys!$C$4, 1, 0)</f>
        <v>0</v>
      </c>
      <c r="AF348">
        <f>IF($AC348&lt;Keys!$C$5, 1, 0)</f>
        <v>0</v>
      </c>
      <c r="AG348">
        <f t="shared" si="22"/>
        <v>0</v>
      </c>
      <c r="AH348" t="str">
        <f>IFERROR(INDEX(Runs!$E:$E, MATCH($B348, Runs!$A:$A, 0)), $B348)</f>
        <v>Industry PM25</v>
      </c>
      <c r="AI348" t="str">
        <f t="shared" si="23"/>
        <v>transportation PM25</v>
      </c>
      <c r="AJ348" t="str">
        <f>IF($AG348=1, IF($AD348=1, Keys!$C$9, "") &amp; IF($AE348=1, Keys!$C$10, "") &amp; IF($AF348=1, Keys!$C$11, ""), "")</f>
        <v/>
      </c>
      <c r="AK348">
        <f>IF($AG348=1, IFERROR(INDEX($AG$2:$AG$577, MATCH($A348 &amp; Keys!$C$8 &amp; $AH348, $Y$2:$Y$577, 0)), 1), 0)</f>
        <v>0</v>
      </c>
    </row>
    <row r="349" spans="1:37" x14ac:dyDescent="0.25">
      <c r="A349" t="s">
        <v>169</v>
      </c>
      <c r="B349" t="s">
        <v>243</v>
      </c>
      <c r="C349">
        <v>33</v>
      </c>
      <c r="D349">
        <v>0.11285120385</v>
      </c>
      <c r="E349">
        <v>2.7359281548000001E-4</v>
      </c>
      <c r="F349">
        <v>0.29341578190000001</v>
      </c>
      <c r="G349">
        <v>0.39512736159999989</v>
      </c>
      <c r="H349">
        <v>0.6036860933</v>
      </c>
      <c r="I349">
        <v>6.9192615649999976E-3</v>
      </c>
      <c r="J349">
        <v>3.9170266539999998E-2</v>
      </c>
      <c r="K349">
        <v>35.316244408000003</v>
      </c>
      <c r="L349">
        <v>5.999951986000001</v>
      </c>
      <c r="M349">
        <v>1.151286143E-2</v>
      </c>
      <c r="N349">
        <v>1.2922292367999999</v>
      </c>
      <c r="O349">
        <v>3.2160923039999997E-2</v>
      </c>
      <c r="P349">
        <v>1.4456232154E-3</v>
      </c>
      <c r="Q349">
        <v>2.1821631590000002E-3</v>
      </c>
      <c r="R349">
        <v>6.8163225340000022E-2</v>
      </c>
      <c r="S349">
        <v>0.86638331709999983</v>
      </c>
      <c r="T349">
        <v>1.231770255</v>
      </c>
      <c r="U349">
        <v>0</v>
      </c>
      <c r="V349">
        <v>160.083534998</v>
      </c>
      <c r="W349">
        <v>0</v>
      </c>
      <c r="Y349" t="str">
        <f>$A349 &amp; Keys!$C$8 &amp; $B349</f>
        <v>New Mexico|transportation SO2</v>
      </c>
      <c r="Z349" s="8">
        <f>IFERROR(INDEX($U349:$W349, MATCH(INDEX(Runs!$D:$D, MATCH($B349, Runs!$A:$A, 0)), $U$1:$W$1, 0)), 0)</f>
        <v>160.083534998</v>
      </c>
      <c r="AA349" s="8">
        <f t="shared" si="20"/>
        <v>7.0495197305213116E-4</v>
      </c>
      <c r="AB349" s="8">
        <f>IFERROR(VLOOKUP(INDEX(Runs!$F:$F, MATCH($B349, Runs!$A:$A, 0)), US_national_yearly!$D:$AM, MATCH(Keys!$C$7, US_national_yearly!$D$1:$AM$1, 0), FALSE), 0)</f>
        <v>5.1800714166247604E-3</v>
      </c>
      <c r="AC349" s="8">
        <f t="shared" si="21"/>
        <v>0.13608923822742677</v>
      </c>
      <c r="AD349">
        <f>IF($Z349&lt;Keys!$C$3, 1, 0)</f>
        <v>0</v>
      </c>
      <c r="AE349">
        <f>IF($AC349&gt;Keys!$C$4, 1, 0)</f>
        <v>0</v>
      </c>
      <c r="AF349">
        <f>IF($AC349&lt;Keys!$C$5, 1, 0)</f>
        <v>0</v>
      </c>
      <c r="AG349">
        <f t="shared" si="22"/>
        <v>0</v>
      </c>
      <c r="AH349" t="str">
        <f>IFERROR(INDEX(Runs!$E:$E, MATCH($B349, Runs!$A:$A, 0)), $B349)</f>
        <v>Industry SO2</v>
      </c>
      <c r="AI349" t="str">
        <f t="shared" si="23"/>
        <v>transportation SO2</v>
      </c>
      <c r="AJ349" t="str">
        <f>IF($AG349=1, IF($AD349=1, Keys!$C$9, "") &amp; IF($AE349=1, Keys!$C$10, "") &amp; IF($AF349=1, Keys!$C$11, ""), "")</f>
        <v/>
      </c>
      <c r="AK349">
        <f>IF($AG349=1, IFERROR(INDEX($AG$2:$AG$577, MATCH($A349 &amp; Keys!$C$8 &amp; $AH349, $Y$2:$Y$577, 0)), 1), 0)</f>
        <v>0</v>
      </c>
    </row>
    <row r="350" spans="1:37" x14ac:dyDescent="0.25">
      <c r="A350" t="s">
        <v>172</v>
      </c>
      <c r="B350" t="s">
        <v>242</v>
      </c>
      <c r="C350">
        <v>62</v>
      </c>
      <c r="D350">
        <v>25.88790501399999</v>
      </c>
      <c r="E350">
        <v>5.2338809040000003E-2</v>
      </c>
      <c r="F350">
        <v>66.697748728999997</v>
      </c>
      <c r="G350">
        <v>89.817978617999998</v>
      </c>
      <c r="H350">
        <v>137.22742758999999</v>
      </c>
      <c r="I350">
        <v>1.9294841570000001</v>
      </c>
      <c r="J350">
        <v>11.404825622000001</v>
      </c>
      <c r="K350">
        <v>9192.2275749119963</v>
      </c>
      <c r="L350">
        <v>1562.2857527020001</v>
      </c>
      <c r="M350">
        <v>2.755199599</v>
      </c>
      <c r="N350">
        <v>293.74315493699999</v>
      </c>
      <c r="O350">
        <v>5.896135532999998</v>
      </c>
      <c r="P350">
        <v>0.18528632079999999</v>
      </c>
      <c r="Q350">
        <v>0.63793997600000052</v>
      </c>
      <c r="R350">
        <v>15.565189849999999</v>
      </c>
      <c r="S350">
        <v>197.94283229099989</v>
      </c>
      <c r="T350">
        <v>281.68150611900001</v>
      </c>
      <c r="U350">
        <v>0</v>
      </c>
      <c r="V350">
        <v>0</v>
      </c>
      <c r="W350">
        <v>25592.681516771001</v>
      </c>
      <c r="Y350" t="str">
        <f>$A350 &amp; Keys!$C$8 &amp; $B350</f>
        <v>New York|Industry NO2</v>
      </c>
      <c r="Z350" s="8">
        <f>IFERROR(INDEX($U350:$W350, MATCH(INDEX(Runs!$D:$D, MATCH($B350, Runs!$A:$A, 0)), $U$1:$W$1, 0)), 0)</f>
        <v>25592.681516771001</v>
      </c>
      <c r="AA350" s="8">
        <f t="shared" si="20"/>
        <v>1.0115354655992389E-3</v>
      </c>
      <c r="AB350" s="8">
        <f>IFERROR(VLOOKUP(INDEX(Runs!$F:$F, MATCH($B350, Runs!$A:$A, 0)), US_national_yearly!$D:$AM, MATCH(Keys!$C$7, US_national_yearly!$D$1:$AM$1, 0), FALSE), 0)</f>
        <v>5.8012217057786938E-3</v>
      </c>
      <c r="AC350" s="8">
        <f t="shared" si="21"/>
        <v>0.17436593822843066</v>
      </c>
      <c r="AD350">
        <f>IF($Z350&lt;Keys!$C$3, 1, 0)</f>
        <v>0</v>
      </c>
      <c r="AE350">
        <f>IF($AC350&gt;Keys!$C$4, 1, 0)</f>
        <v>0</v>
      </c>
      <c r="AF350">
        <f>IF($AC350&lt;Keys!$C$5, 1, 0)</f>
        <v>0</v>
      </c>
      <c r="AG350">
        <f t="shared" si="22"/>
        <v>0</v>
      </c>
      <c r="AH350" t="str">
        <f>IFERROR(INDEX(Runs!$E:$E, MATCH($B350, Runs!$A:$A, 0)), $B350)</f>
        <v>Industry NO2</v>
      </c>
      <c r="AI350" t="str">
        <f t="shared" si="23"/>
        <v>Industry NO2</v>
      </c>
      <c r="AJ350" t="str">
        <f>IF($AG350=1, IF($AD350=1, Keys!$C$9, "") &amp; IF($AE350=1, Keys!$C$10, "") &amp; IF($AF350=1, Keys!$C$11, ""), "")</f>
        <v/>
      </c>
      <c r="AK350">
        <f>IF($AG350=1, IFERROR(INDEX($AG$2:$AG$577, MATCH($A350 &amp; Keys!$C$8 &amp; $AH350, $Y$2:$Y$577, 0)), 1), 0)</f>
        <v>0</v>
      </c>
    </row>
    <row r="351" spans="1:37" x14ac:dyDescent="0.25">
      <c r="A351" t="s">
        <v>172</v>
      </c>
      <c r="B351" t="s">
        <v>238</v>
      </c>
      <c r="C351">
        <v>62</v>
      </c>
      <c r="D351">
        <v>593.03141899299965</v>
      </c>
      <c r="E351">
        <v>1.2935555871</v>
      </c>
      <c r="F351">
        <v>1759.7832260539999</v>
      </c>
      <c r="G351">
        <v>2369.531387604</v>
      </c>
      <c r="H351">
        <v>3621.2113976270002</v>
      </c>
      <c r="I351">
        <v>46.635128796000011</v>
      </c>
      <c r="J351">
        <v>286.02203770099999</v>
      </c>
      <c r="K351">
        <v>242807.687761598</v>
      </c>
      <c r="L351">
        <v>41516.228659692017</v>
      </c>
      <c r="M351">
        <v>69.187802002000012</v>
      </c>
      <c r="N351">
        <v>7750.5260112850001</v>
      </c>
      <c r="O351">
        <v>152.07427920800001</v>
      </c>
      <c r="P351">
        <v>4.5881774980000003</v>
      </c>
      <c r="Q351">
        <v>16.973934410999991</v>
      </c>
      <c r="R351">
        <v>415.90847425499987</v>
      </c>
      <c r="S351">
        <v>5295.943378379</v>
      </c>
      <c r="T351">
        <v>7564.7521355280014</v>
      </c>
      <c r="U351">
        <v>10043.469671769</v>
      </c>
      <c r="V351">
        <v>0</v>
      </c>
      <c r="W351">
        <v>0</v>
      </c>
      <c r="Y351" t="str">
        <f>$A351 &amp; Keys!$C$8 &amp; $B351</f>
        <v>New York|Industry PM25</v>
      </c>
      <c r="Z351" s="8">
        <f>IFERROR(INDEX($U351:$W351, MATCH(INDEX(Runs!$D:$D, MATCH($B351, Runs!$A:$A, 0)), $U$1:$W$1, 0)), 0)</f>
        <v>10043.469671769</v>
      </c>
      <c r="AA351" s="8">
        <f t="shared" si="20"/>
        <v>5.9046468837352144E-2</v>
      </c>
      <c r="AB351" s="8">
        <f>IFERROR(VLOOKUP(INDEX(Runs!$F:$F, MATCH($B351, Runs!$A:$A, 0)), US_national_yearly!$D:$AM, MATCH(Keys!$C$7, US_national_yearly!$D$1:$AM$1, 0), FALSE), 0)</f>
        <v>2.6833191881203179E-2</v>
      </c>
      <c r="AC351" s="8">
        <f t="shared" si="21"/>
        <v>2.2005011218480708</v>
      </c>
      <c r="AD351">
        <f>IF($Z351&lt;Keys!$C$3, 1, 0)</f>
        <v>0</v>
      </c>
      <c r="AE351">
        <f>IF($AC351&gt;Keys!$C$4, 1, 0)</f>
        <v>0</v>
      </c>
      <c r="AF351">
        <f>IF($AC351&lt;Keys!$C$5, 1, 0)</f>
        <v>0</v>
      </c>
      <c r="AG351">
        <f t="shared" si="22"/>
        <v>0</v>
      </c>
      <c r="AH351" t="str">
        <f>IFERROR(INDEX(Runs!$E:$E, MATCH($B351, Runs!$A:$A, 0)), $B351)</f>
        <v>Industry PM25</v>
      </c>
      <c r="AI351" t="str">
        <f t="shared" si="23"/>
        <v>Industry PM25</v>
      </c>
      <c r="AJ351" t="str">
        <f>IF($AG351=1, IF($AD351=1, Keys!$C$9, "") &amp; IF($AE351=1, Keys!$C$10, "") &amp; IF($AF351=1, Keys!$C$11, ""), "")</f>
        <v/>
      </c>
      <c r="AK351">
        <f>IF($AG351=1, IFERROR(INDEX($AG$2:$AG$577, MATCH($A351 &amp; Keys!$C$8 &amp; $AH351, $Y$2:$Y$577, 0)), 1), 0)</f>
        <v>0</v>
      </c>
    </row>
    <row r="352" spans="1:37" x14ac:dyDescent="0.25">
      <c r="A352" t="s">
        <v>172</v>
      </c>
      <c r="B352" t="s">
        <v>246</v>
      </c>
      <c r="C352">
        <v>62</v>
      </c>
      <c r="D352">
        <v>30.580432454000011</v>
      </c>
      <c r="E352">
        <v>6.0498144369999993E-2</v>
      </c>
      <c r="F352">
        <v>81.371019082999993</v>
      </c>
      <c r="G352">
        <v>109.57751508699999</v>
      </c>
      <c r="H352">
        <v>167.417189888</v>
      </c>
      <c r="I352">
        <v>2.3218518420000001</v>
      </c>
      <c r="J352">
        <v>13.957955712</v>
      </c>
      <c r="K352">
        <v>11313.184692213999</v>
      </c>
      <c r="L352">
        <v>1925.454435544</v>
      </c>
      <c r="M352">
        <v>3.370172515000001</v>
      </c>
      <c r="N352">
        <v>358.36572405800001</v>
      </c>
      <c r="O352">
        <v>7.4040927459999999</v>
      </c>
      <c r="P352">
        <v>0.2236212307999999</v>
      </c>
      <c r="Q352">
        <v>0.78261118400000007</v>
      </c>
      <c r="R352">
        <v>19.100586561</v>
      </c>
      <c r="S352">
        <v>242.91765700900001</v>
      </c>
      <c r="T352">
        <v>345.7234473929999</v>
      </c>
      <c r="U352">
        <v>0</v>
      </c>
      <c r="V352">
        <v>6600.5934363140004</v>
      </c>
      <c r="W352">
        <v>0</v>
      </c>
      <c r="Y352" t="str">
        <f>$A352 &amp; Keys!$C$8 &amp; $B352</f>
        <v>New York|Industry SO2</v>
      </c>
      <c r="Z352" s="8">
        <f>IFERROR(INDEX($U352:$W352, MATCH(INDEX(Runs!$D:$D, MATCH($B352, Runs!$A:$A, 0)), $U$1:$W$1, 0)), 0)</f>
        <v>6600.5934363140004</v>
      </c>
      <c r="AA352" s="8">
        <f t="shared" si="20"/>
        <v>4.6329822839500899E-3</v>
      </c>
      <c r="AB352" s="8">
        <f>IFERROR(VLOOKUP(INDEX(Runs!$F:$F, MATCH($B352, Runs!$A:$A, 0)), US_national_yearly!$D:$AM, MATCH(Keys!$C$7, US_national_yearly!$D$1:$AM$1, 0), FALSE), 0)</f>
        <v>5.3000351638639942E-3</v>
      </c>
      <c r="AC352" s="8">
        <f t="shared" si="21"/>
        <v>0.87414180108428019</v>
      </c>
      <c r="AD352">
        <f>IF($Z352&lt;Keys!$C$3, 1, 0)</f>
        <v>0</v>
      </c>
      <c r="AE352">
        <f>IF($AC352&gt;Keys!$C$4, 1, 0)</f>
        <v>0</v>
      </c>
      <c r="AF352">
        <f>IF($AC352&lt;Keys!$C$5, 1, 0)</f>
        <v>0</v>
      </c>
      <c r="AG352">
        <f t="shared" si="22"/>
        <v>0</v>
      </c>
      <c r="AH352" t="str">
        <f>IFERROR(INDEX(Runs!$E:$E, MATCH($B352, Runs!$A:$A, 0)), $B352)</f>
        <v>Industry SO2</v>
      </c>
      <c r="AI352" t="str">
        <f t="shared" si="23"/>
        <v>Industry SO2</v>
      </c>
      <c r="AJ352" t="str">
        <f>IF($AG352=1, IF($AD352=1, Keys!$C$9, "") &amp; IF($AE352=1, Keys!$C$10, "") &amp; IF($AF352=1, Keys!$C$11, ""), "")</f>
        <v/>
      </c>
      <c r="AK352">
        <f>IF($AG352=1, IFERROR(INDEX($AG$2:$AG$577, MATCH($A352 &amp; Keys!$C$8 &amp; $AH352, $Y$2:$Y$577, 0)), 1), 0)</f>
        <v>0</v>
      </c>
    </row>
    <row r="353" spans="1:37" x14ac:dyDescent="0.25">
      <c r="A353" t="s">
        <v>172</v>
      </c>
      <c r="B353" t="s">
        <v>253</v>
      </c>
      <c r="C353">
        <v>62</v>
      </c>
      <c r="D353">
        <v>113.908347026</v>
      </c>
      <c r="E353">
        <v>0.24618544103000001</v>
      </c>
      <c r="F353">
        <v>342.27851709499998</v>
      </c>
      <c r="G353">
        <v>460.91721139500021</v>
      </c>
      <c r="H353">
        <v>704.24074827300012</v>
      </c>
      <c r="I353">
        <v>8.9884718810000006</v>
      </c>
      <c r="J353">
        <v>55.401952384000012</v>
      </c>
      <c r="K353">
        <v>47514.499544978004</v>
      </c>
      <c r="L353">
        <v>8125.3843715799994</v>
      </c>
      <c r="M353">
        <v>13.482268483</v>
      </c>
      <c r="N353">
        <v>1507.436476763</v>
      </c>
      <c r="O353">
        <v>29.877801898000008</v>
      </c>
      <c r="P353">
        <v>0.89712184960000008</v>
      </c>
      <c r="Q353">
        <v>3.2830846582</v>
      </c>
      <c r="R353">
        <v>81.430145931000013</v>
      </c>
      <c r="S353">
        <v>1035.8338180139999</v>
      </c>
      <c r="T353">
        <v>1475.144657137</v>
      </c>
      <c r="U353">
        <v>0</v>
      </c>
      <c r="V353">
        <v>0</v>
      </c>
      <c r="W353">
        <v>43229.879775349997</v>
      </c>
      <c r="Y353" t="str">
        <f>$A353 &amp; Keys!$C$8 &amp; $B353</f>
        <v>New York|buildings NO2</v>
      </c>
      <c r="Z353" s="8">
        <f>IFERROR(INDEX($U353:$W353, MATCH(INDEX(Runs!$D:$D, MATCH($B353, Runs!$A:$A, 0)), $U$1:$W$1, 0)), 0)</f>
        <v>43229.879775349997</v>
      </c>
      <c r="AA353" s="8">
        <f t="shared" si="20"/>
        <v>2.6349448024824578E-3</v>
      </c>
      <c r="AB353" s="8">
        <f>IFERROR(VLOOKUP(INDEX(Runs!$F:$F, MATCH($B353, Runs!$A:$A, 0)), US_national_yearly!$D:$AM, MATCH(Keys!$C$7, US_national_yearly!$D$1:$AM$1, 0), FALSE), 0)</f>
        <v>5.6784740124662739E-3</v>
      </c>
      <c r="AC353" s="8">
        <f t="shared" si="21"/>
        <v>0.46402339725387753</v>
      </c>
      <c r="AD353">
        <f>IF($Z353&lt;Keys!$C$3, 1, 0)</f>
        <v>0</v>
      </c>
      <c r="AE353">
        <f>IF($AC353&gt;Keys!$C$4, 1, 0)</f>
        <v>0</v>
      </c>
      <c r="AF353">
        <f>IF($AC353&lt;Keys!$C$5, 1, 0)</f>
        <v>0</v>
      </c>
      <c r="AG353">
        <f t="shared" si="22"/>
        <v>0</v>
      </c>
      <c r="AH353" t="str">
        <f>IFERROR(INDEX(Runs!$E:$E, MATCH($B353, Runs!$A:$A, 0)), $B353)</f>
        <v>Industry NO2</v>
      </c>
      <c r="AI353" t="str">
        <f t="shared" si="23"/>
        <v>buildings NO2</v>
      </c>
      <c r="AJ353" t="str">
        <f>IF($AG353=1, IF($AD353=1, Keys!$C$9, "") &amp; IF($AE353=1, Keys!$C$10, "") &amp; IF($AF353=1, Keys!$C$11, ""), "")</f>
        <v/>
      </c>
      <c r="AK353">
        <f>IF($AG353=1, IFERROR(INDEX($AG$2:$AG$577, MATCH($A353 &amp; Keys!$C$8 &amp; $AH353, $Y$2:$Y$577, 0)), 1), 0)</f>
        <v>0</v>
      </c>
    </row>
    <row r="354" spans="1:37" x14ac:dyDescent="0.25">
      <c r="A354" t="s">
        <v>172</v>
      </c>
      <c r="B354" t="s">
        <v>251</v>
      </c>
      <c r="C354">
        <v>62</v>
      </c>
      <c r="D354">
        <v>134.05708550200001</v>
      </c>
      <c r="E354">
        <v>0.30384049858000001</v>
      </c>
      <c r="F354">
        <v>425.24939798600008</v>
      </c>
      <c r="G354">
        <v>572.64030295499981</v>
      </c>
      <c r="H354">
        <v>874.96763212100007</v>
      </c>
      <c r="I354">
        <v>10.528678073</v>
      </c>
      <c r="J354">
        <v>65.740694302999998</v>
      </c>
      <c r="K354">
        <v>58036.843645054003</v>
      </c>
      <c r="L354">
        <v>9934.9856166279969</v>
      </c>
      <c r="M354">
        <v>16.239586798000001</v>
      </c>
      <c r="N354">
        <v>1872.857333062</v>
      </c>
      <c r="O354">
        <v>34.485099273999992</v>
      </c>
      <c r="P354">
        <v>1.1039793013800001</v>
      </c>
      <c r="Q354">
        <v>3.9918622351999988</v>
      </c>
      <c r="R354">
        <v>101.686667904</v>
      </c>
      <c r="S354">
        <v>1293.7479502109991</v>
      </c>
      <c r="T354">
        <v>1843.324645389999</v>
      </c>
      <c r="U354">
        <v>1230.294599177</v>
      </c>
      <c r="V354">
        <v>0</v>
      </c>
      <c r="W354">
        <v>0</v>
      </c>
      <c r="Y354" t="str">
        <f>$A354 &amp; Keys!$C$8 &amp; $B354</f>
        <v>New York|buildings PM25</v>
      </c>
      <c r="Z354" s="8">
        <f>IFERROR(INDEX($U354:$W354, MATCH(INDEX(Runs!$D:$D, MATCH($B354, Runs!$A:$A, 0)), $U$1:$W$1, 0)), 0)</f>
        <v>1230.294599177</v>
      </c>
      <c r="AA354" s="8">
        <f t="shared" si="20"/>
        <v>0.10896340241733718</v>
      </c>
      <c r="AB354" s="8">
        <f>IFERROR(VLOOKUP(INDEX(Runs!$F:$F, MATCH($B354, Runs!$A:$A, 0)), US_national_yearly!$D:$AM, MATCH(Keys!$C$7, US_national_yearly!$D$1:$AM$1, 0), FALSE), 0)</f>
        <v>2.7627705191843259E-2</v>
      </c>
      <c r="AC354" s="8">
        <f t="shared" si="21"/>
        <v>3.9439903408809824</v>
      </c>
      <c r="AD354">
        <f>IF($Z354&lt;Keys!$C$3, 1, 0)</f>
        <v>0</v>
      </c>
      <c r="AE354">
        <f>IF($AC354&gt;Keys!$C$4, 1, 0)</f>
        <v>0</v>
      </c>
      <c r="AF354">
        <f>IF($AC354&lt;Keys!$C$5, 1, 0)</f>
        <v>0</v>
      </c>
      <c r="AG354">
        <f t="shared" si="22"/>
        <v>0</v>
      </c>
      <c r="AH354" t="str">
        <f>IFERROR(INDEX(Runs!$E:$E, MATCH($B354, Runs!$A:$A, 0)), $B354)</f>
        <v>Industry PM25</v>
      </c>
      <c r="AI354" t="str">
        <f t="shared" si="23"/>
        <v>buildings PM25</v>
      </c>
      <c r="AJ354" t="str">
        <f>IF($AG354=1, IF($AD354=1, Keys!$C$9, "") &amp; IF($AE354=1, Keys!$C$10, "") &amp; IF($AF354=1, Keys!$C$11, ""), "")</f>
        <v/>
      </c>
      <c r="AK354">
        <f>IF($AG354=1, IFERROR(INDEX($AG$2:$AG$577, MATCH($A354 &amp; Keys!$C$8 &amp; $AH354, $Y$2:$Y$577, 0)), 1), 0)</f>
        <v>0</v>
      </c>
    </row>
    <row r="355" spans="1:37" x14ac:dyDescent="0.25">
      <c r="A355" t="s">
        <v>172</v>
      </c>
      <c r="B355" t="s">
        <v>254</v>
      </c>
      <c r="C355">
        <v>62</v>
      </c>
      <c r="D355">
        <v>7.0468946730000006</v>
      </c>
      <c r="E355">
        <v>1.4923198441000001E-2</v>
      </c>
      <c r="F355">
        <v>20.441187848999999</v>
      </c>
      <c r="G355">
        <v>27.52702494699999</v>
      </c>
      <c r="H355">
        <v>42.056631090000018</v>
      </c>
      <c r="I355">
        <v>0.55695889919999975</v>
      </c>
      <c r="J355">
        <v>3.4394634810000011</v>
      </c>
      <c r="K355">
        <v>2881.0715319709998</v>
      </c>
      <c r="L355">
        <v>492.46639690199987</v>
      </c>
      <c r="M355">
        <v>0.81784996119999998</v>
      </c>
      <c r="N355">
        <v>90.024843886000014</v>
      </c>
      <c r="O355">
        <v>1.8793735807</v>
      </c>
      <c r="P355">
        <v>5.3500835720000008E-2</v>
      </c>
      <c r="Q355">
        <v>0.19964027429999989</v>
      </c>
      <c r="R355">
        <v>4.8394221159999997</v>
      </c>
      <c r="S355">
        <v>61.53844064699998</v>
      </c>
      <c r="T355">
        <v>87.558086250000031</v>
      </c>
      <c r="U355">
        <v>0</v>
      </c>
      <c r="V355">
        <v>862.05133071399973</v>
      </c>
      <c r="W355">
        <v>0</v>
      </c>
      <c r="Y355" t="str">
        <f>$A355 &amp; Keys!$C$8 &amp; $B355</f>
        <v>New York|buildings SO2</v>
      </c>
      <c r="Z355" s="8">
        <f>IFERROR(INDEX($U355:$W355, MATCH(INDEX(Runs!$D:$D, MATCH($B355, Runs!$A:$A, 0)), $U$1:$W$1, 0)), 0)</f>
        <v>862.05133071399973</v>
      </c>
      <c r="AA355" s="8">
        <f t="shared" si="20"/>
        <v>8.1745650426214914E-3</v>
      </c>
      <c r="AB355" s="8">
        <f>IFERROR(VLOOKUP(INDEX(Runs!$F:$F, MATCH($B355, Runs!$A:$A, 0)), US_national_yearly!$D:$AM, MATCH(Keys!$C$7, US_national_yearly!$D$1:$AM$1, 0), FALSE), 0)</f>
        <v>5.1581943281164694E-3</v>
      </c>
      <c r="AC355" s="8">
        <f t="shared" si="21"/>
        <v>1.5847726011529424</v>
      </c>
      <c r="AD355">
        <f>IF($Z355&lt;Keys!$C$3, 1, 0)</f>
        <v>0</v>
      </c>
      <c r="AE355">
        <f>IF($AC355&gt;Keys!$C$4, 1, 0)</f>
        <v>0</v>
      </c>
      <c r="AF355">
        <f>IF($AC355&lt;Keys!$C$5, 1, 0)</f>
        <v>0</v>
      </c>
      <c r="AG355">
        <f t="shared" si="22"/>
        <v>0</v>
      </c>
      <c r="AH355" t="str">
        <f>IFERROR(INDEX(Runs!$E:$E, MATCH($B355, Runs!$A:$A, 0)), $B355)</f>
        <v>Industry SO2</v>
      </c>
      <c r="AI355" t="str">
        <f t="shared" si="23"/>
        <v>buildings SO2</v>
      </c>
      <c r="AJ355" t="str">
        <f>IF($AG355=1, IF($AD355=1, Keys!$C$9, "") &amp; IF($AE355=1, Keys!$C$10, "") &amp; IF($AF355=1, Keys!$C$11, ""), "")</f>
        <v/>
      </c>
      <c r="AK355">
        <f>IF($AG355=1, IFERROR(INDEX($AG$2:$AG$577, MATCH($A355 &amp; Keys!$C$8 &amp; $AH355, $Y$2:$Y$577, 0)), 1), 0)</f>
        <v>0</v>
      </c>
    </row>
    <row r="356" spans="1:37" x14ac:dyDescent="0.25">
      <c r="A356" t="s">
        <v>172</v>
      </c>
      <c r="B356" t="s">
        <v>249</v>
      </c>
      <c r="C356">
        <v>62</v>
      </c>
      <c r="D356">
        <v>3.6110867209999991</v>
      </c>
      <c r="E356">
        <v>7.1457575659999986E-3</v>
      </c>
      <c r="F356">
        <v>9.6954324540000005</v>
      </c>
      <c r="G356">
        <v>13.056315794</v>
      </c>
      <c r="H356">
        <v>19.947805203000001</v>
      </c>
      <c r="I356">
        <v>0.27670660320000001</v>
      </c>
      <c r="J356">
        <v>1.6650820049999999</v>
      </c>
      <c r="K356">
        <v>1361.3030777680001</v>
      </c>
      <c r="L356">
        <v>231.518410905</v>
      </c>
      <c r="M356">
        <v>0.39531817499999988</v>
      </c>
      <c r="N356">
        <v>42.699553451</v>
      </c>
      <c r="O356">
        <v>0.84166737909999978</v>
      </c>
      <c r="P356">
        <v>2.600654283E-2</v>
      </c>
      <c r="Q356">
        <v>9.3155659500000002E-2</v>
      </c>
      <c r="R356">
        <v>2.2713070590000011</v>
      </c>
      <c r="S356">
        <v>28.890326380000001</v>
      </c>
      <c r="T356">
        <v>41.124868985000013</v>
      </c>
      <c r="U356">
        <v>0</v>
      </c>
      <c r="V356">
        <v>0</v>
      </c>
      <c r="W356">
        <v>8378.2172261489995</v>
      </c>
      <c r="Y356" t="str">
        <f>$A356 &amp; Keys!$C$8 &amp; $B356</f>
        <v>New York|electricity NO2</v>
      </c>
      <c r="Z356" s="8">
        <f>IFERROR(INDEX($U356:$W356, MATCH(INDEX(Runs!$D:$D, MATCH($B356, Runs!$A:$A, 0)), $U$1:$W$1, 0)), 0)</f>
        <v>8378.2172261489995</v>
      </c>
      <c r="AA356" s="8">
        <f t="shared" si="20"/>
        <v>4.3100896330660249E-4</v>
      </c>
      <c r="AB356" s="8">
        <f>IFERROR(VLOOKUP(INDEX(Runs!$F:$F, MATCH($B356, Runs!$A:$A, 0)), US_national_yearly!$D:$AM, MATCH(Keys!$C$7, US_national_yearly!$D$1:$AM$1, 0), FALSE), 0)</f>
        <v>6.1439221592658041E-3</v>
      </c>
      <c r="AC356" s="8">
        <f t="shared" si="21"/>
        <v>7.0152087239026453E-2</v>
      </c>
      <c r="AD356">
        <f>IF($Z356&lt;Keys!$C$3, 1, 0)</f>
        <v>0</v>
      </c>
      <c r="AE356">
        <f>IF($AC356&gt;Keys!$C$4, 1, 0)</f>
        <v>0</v>
      </c>
      <c r="AF356">
        <f>IF($AC356&lt;Keys!$C$5, 1, 0)</f>
        <v>0</v>
      </c>
      <c r="AG356">
        <f t="shared" si="22"/>
        <v>0</v>
      </c>
      <c r="AH356" t="str">
        <f>IFERROR(INDEX(Runs!$E:$E, MATCH($B356, Runs!$A:$A, 0)), $B356)</f>
        <v>Industry NO2</v>
      </c>
      <c r="AI356" t="str">
        <f t="shared" si="23"/>
        <v>electricity NO2</v>
      </c>
      <c r="AJ356" t="str">
        <f>IF($AG356=1, IF($AD356=1, Keys!$C$9, "") &amp; IF($AE356=1, Keys!$C$10, "") &amp; IF($AF356=1, Keys!$C$11, ""), "")</f>
        <v/>
      </c>
      <c r="AK356">
        <f>IF($AG356=1, IFERROR(INDEX($AG$2:$AG$577, MATCH($A356 &amp; Keys!$C$8 &amp; $AH356, $Y$2:$Y$577, 0)), 1), 0)</f>
        <v>0</v>
      </c>
    </row>
    <row r="357" spans="1:37" x14ac:dyDescent="0.25">
      <c r="A357" t="s">
        <v>172</v>
      </c>
      <c r="B357" t="s">
        <v>247</v>
      </c>
      <c r="C357">
        <v>62</v>
      </c>
      <c r="D357">
        <v>30.56619077800001</v>
      </c>
      <c r="E357">
        <v>6.3515760749999997E-2</v>
      </c>
      <c r="F357">
        <v>87.178559145999998</v>
      </c>
      <c r="G357">
        <v>117.397971813</v>
      </c>
      <c r="H357">
        <v>179.366373579</v>
      </c>
      <c r="I357">
        <v>2.3107685060000001</v>
      </c>
      <c r="J357">
        <v>14.454474964999999</v>
      </c>
      <c r="K357">
        <v>11941.467659684</v>
      </c>
      <c r="L357">
        <v>2032.633844298</v>
      </c>
      <c r="M357">
        <v>3.4632466120000012</v>
      </c>
      <c r="N357">
        <v>383.94290453799999</v>
      </c>
      <c r="O357">
        <v>6.7726374909999993</v>
      </c>
      <c r="P357">
        <v>0.23815015704</v>
      </c>
      <c r="Q357">
        <v>0.83748746810000019</v>
      </c>
      <c r="R357">
        <v>20.558614405</v>
      </c>
      <c r="S357">
        <v>261.53167825499997</v>
      </c>
      <c r="T357">
        <v>372.39422539899988</v>
      </c>
      <c r="U357">
        <v>976.90394585199999</v>
      </c>
      <c r="V357">
        <v>0</v>
      </c>
      <c r="W357">
        <v>0</v>
      </c>
      <c r="Y357" t="str">
        <f>$A357 &amp; Keys!$C$8 &amp; $B357</f>
        <v>New York|electricity PM25</v>
      </c>
      <c r="Z357" s="8">
        <f>IFERROR(INDEX($U357:$W357, MATCH(INDEX(Runs!$D:$D, MATCH($B357, Runs!$A:$A, 0)), $U$1:$W$1, 0)), 0)</f>
        <v>976.90394585199999</v>
      </c>
      <c r="AA357" s="8">
        <f t="shared" si="20"/>
        <v>3.1288839509540436E-2</v>
      </c>
      <c r="AB357" s="8">
        <f>IFERROR(VLOOKUP(INDEX(Runs!$F:$F, MATCH($B357, Runs!$A:$A, 0)), US_national_yearly!$D:$AM, MATCH(Keys!$C$7, US_national_yearly!$D$1:$AM$1, 0), FALSE), 0)</f>
        <v>2.4252978284752182E-2</v>
      </c>
      <c r="AC357" s="8">
        <f t="shared" si="21"/>
        <v>1.2901029779592756</v>
      </c>
      <c r="AD357">
        <f>IF($Z357&lt;Keys!$C$3, 1, 0)</f>
        <v>0</v>
      </c>
      <c r="AE357">
        <f>IF($AC357&gt;Keys!$C$4, 1, 0)</f>
        <v>0</v>
      </c>
      <c r="AF357">
        <f>IF($AC357&lt;Keys!$C$5, 1, 0)</f>
        <v>0</v>
      </c>
      <c r="AG357">
        <f t="shared" si="22"/>
        <v>0</v>
      </c>
      <c r="AH357" t="str">
        <f>IFERROR(INDEX(Runs!$E:$E, MATCH($B357, Runs!$A:$A, 0)), $B357)</f>
        <v>Industry PM25</v>
      </c>
      <c r="AI357" t="str">
        <f t="shared" si="23"/>
        <v>electricity PM25</v>
      </c>
      <c r="AJ357" t="str">
        <f>IF($AG357=1, IF($AD357=1, Keys!$C$9, "") &amp; IF($AE357=1, Keys!$C$10, "") &amp; IF($AF357=1, Keys!$C$11, ""), "")</f>
        <v/>
      </c>
      <c r="AK357">
        <f>IF($AG357=1, IFERROR(INDEX($AG$2:$AG$577, MATCH($A357 &amp; Keys!$C$8 &amp; $AH357, $Y$2:$Y$577, 0)), 1), 0)</f>
        <v>0</v>
      </c>
    </row>
    <row r="358" spans="1:37" x14ac:dyDescent="0.25">
      <c r="A358" t="s">
        <v>172</v>
      </c>
      <c r="B358" t="s">
        <v>250</v>
      </c>
      <c r="C358">
        <v>62</v>
      </c>
      <c r="D358">
        <v>7.0114585220000007</v>
      </c>
      <c r="E358">
        <v>1.3397343480000001E-2</v>
      </c>
      <c r="F358">
        <v>17.418932939000001</v>
      </c>
      <c r="G358">
        <v>23.457125923</v>
      </c>
      <c r="H358">
        <v>35.838494597999997</v>
      </c>
      <c r="I358">
        <v>0.49638202800000009</v>
      </c>
      <c r="J358">
        <v>2.931595653</v>
      </c>
      <c r="K358">
        <v>2336.0485568689992</v>
      </c>
      <c r="L358">
        <v>395.33888417799989</v>
      </c>
      <c r="M358">
        <v>0.71976465700000003</v>
      </c>
      <c r="N358">
        <v>76.714553460000005</v>
      </c>
      <c r="O358">
        <v>1.509248599</v>
      </c>
      <c r="P358">
        <v>5.2241344109999997E-2</v>
      </c>
      <c r="Q358">
        <v>0.15871280739999991</v>
      </c>
      <c r="R358">
        <v>4.0492457580000014</v>
      </c>
      <c r="S358">
        <v>51.503939185000007</v>
      </c>
      <c r="T358">
        <v>73.312538626000006</v>
      </c>
      <c r="U358">
        <v>0</v>
      </c>
      <c r="V358">
        <v>1574.50780616</v>
      </c>
      <c r="W358">
        <v>0</v>
      </c>
      <c r="Y358" t="str">
        <f>$A358 &amp; Keys!$C$8 &amp; $B358</f>
        <v>New York|electricity SO2</v>
      </c>
      <c r="Z358" s="8">
        <f>IFERROR(INDEX($U358:$W358, MATCH(INDEX(Runs!$D:$D, MATCH($B358, Runs!$A:$A, 0)), $U$1:$W$1, 0)), 0)</f>
        <v>1574.50780616</v>
      </c>
      <c r="AA358" s="8">
        <f t="shared" si="20"/>
        <v>4.453111311718389E-3</v>
      </c>
      <c r="AB358" s="8">
        <f>IFERROR(VLOOKUP(INDEX(Runs!$F:$F, MATCH($B358, Runs!$A:$A, 0)), US_national_yearly!$D:$AM, MATCH(Keys!$C$7, US_national_yearly!$D$1:$AM$1, 0), FALSE), 0)</f>
        <v>5.7032329662362116E-3</v>
      </c>
      <c r="AC358" s="8">
        <f t="shared" si="21"/>
        <v>0.78080473620511648</v>
      </c>
      <c r="AD358">
        <f>IF($Z358&lt;Keys!$C$3, 1, 0)</f>
        <v>0</v>
      </c>
      <c r="AE358">
        <f>IF($AC358&gt;Keys!$C$4, 1, 0)</f>
        <v>0</v>
      </c>
      <c r="AF358">
        <f>IF($AC358&lt;Keys!$C$5, 1, 0)</f>
        <v>0</v>
      </c>
      <c r="AG358">
        <f t="shared" si="22"/>
        <v>0</v>
      </c>
      <c r="AH358" t="str">
        <f>IFERROR(INDEX(Runs!$E:$E, MATCH($B358, Runs!$A:$A, 0)), $B358)</f>
        <v>Industry SO2</v>
      </c>
      <c r="AI358" t="str">
        <f t="shared" si="23"/>
        <v>electricity SO2</v>
      </c>
      <c r="AJ358" t="str">
        <f>IF($AG358=1, IF($AD358=1, Keys!$C$9, "") &amp; IF($AE358=1, Keys!$C$10, "") &amp; IF($AF358=1, Keys!$C$11, ""), "")</f>
        <v/>
      </c>
      <c r="AK358">
        <f>IF($AG358=1, IFERROR(INDEX($AG$2:$AG$577, MATCH($A358 &amp; Keys!$C$8 &amp; $AH358, $Y$2:$Y$577, 0)), 1), 0)</f>
        <v>0</v>
      </c>
    </row>
    <row r="359" spans="1:37" x14ac:dyDescent="0.25">
      <c r="A359" t="s">
        <v>172</v>
      </c>
      <c r="B359" t="s">
        <v>239</v>
      </c>
      <c r="C359">
        <v>62</v>
      </c>
      <c r="D359">
        <v>214.762098786</v>
      </c>
      <c r="E359">
        <v>0.44651004099999991</v>
      </c>
      <c r="F359">
        <v>613.59385912100004</v>
      </c>
      <c r="G359">
        <v>826.261418607</v>
      </c>
      <c r="H359">
        <v>1262.5005982799989</v>
      </c>
      <c r="I359">
        <v>16.506344890000008</v>
      </c>
      <c r="J359">
        <v>100.71479497599999</v>
      </c>
      <c r="K359">
        <v>84329.138275525023</v>
      </c>
      <c r="L359">
        <v>14368.929258546999</v>
      </c>
      <c r="M359">
        <v>24.482992743000011</v>
      </c>
      <c r="N359">
        <v>2702.355876008</v>
      </c>
      <c r="O359">
        <v>49.070676012000028</v>
      </c>
      <c r="P359">
        <v>1.6333107974000001</v>
      </c>
      <c r="Q359">
        <v>5.8414126990000002</v>
      </c>
      <c r="R359">
        <v>144.94736949099999</v>
      </c>
      <c r="S359">
        <v>1844.519287054</v>
      </c>
      <c r="T359">
        <v>2629.093317674</v>
      </c>
      <c r="U359">
        <v>0</v>
      </c>
      <c r="V359">
        <v>0</v>
      </c>
      <c r="W359">
        <v>109553.47703740001</v>
      </c>
      <c r="Y359" t="str">
        <f>$A359 &amp; Keys!$C$8 &amp; $B359</f>
        <v>New York|transportation NO2</v>
      </c>
      <c r="Z359" s="8">
        <f>IFERROR(INDEX($U359:$W359, MATCH(INDEX(Runs!$D:$D, MATCH($B359, Runs!$A:$A, 0)), $U$1:$W$1, 0)), 0)</f>
        <v>109553.47703740001</v>
      </c>
      <c r="AA359" s="8">
        <f t="shared" si="20"/>
        <v>1.9603403250513288E-3</v>
      </c>
      <c r="AB359" s="8">
        <f>IFERROR(VLOOKUP(INDEX(Runs!$F:$F, MATCH($B359, Runs!$A:$A, 0)), US_national_yearly!$D:$AM, MATCH(Keys!$C$7, US_national_yearly!$D$1:$AM$1, 0), FALSE), 0)</f>
        <v>5.7148835886332216E-3</v>
      </c>
      <c r="AC359" s="8">
        <f t="shared" si="21"/>
        <v>0.34302366700004228</v>
      </c>
      <c r="AD359">
        <f>IF($Z359&lt;Keys!$C$3, 1, 0)</f>
        <v>0</v>
      </c>
      <c r="AE359">
        <f>IF($AC359&gt;Keys!$C$4, 1, 0)</f>
        <v>0</v>
      </c>
      <c r="AF359">
        <f>IF($AC359&lt;Keys!$C$5, 1, 0)</f>
        <v>0</v>
      </c>
      <c r="AG359">
        <f t="shared" si="22"/>
        <v>0</v>
      </c>
      <c r="AH359" t="str">
        <f>IFERROR(INDEX(Runs!$E:$E, MATCH($B359, Runs!$A:$A, 0)), $B359)</f>
        <v>Industry NO2</v>
      </c>
      <c r="AI359" t="str">
        <f t="shared" si="23"/>
        <v>transportation NO2</v>
      </c>
      <c r="AJ359" t="str">
        <f>IF($AG359=1, IF($AD359=1, Keys!$C$9, "") &amp; IF($AE359=1, Keys!$C$10, "") &amp; IF($AF359=1, Keys!$C$11, ""), "")</f>
        <v/>
      </c>
      <c r="AK359">
        <f>IF($AG359=1, IFERROR(INDEX($AG$2:$AG$577, MATCH($A359 &amp; Keys!$C$8 &amp; $AH359, $Y$2:$Y$577, 0)), 1), 0)</f>
        <v>0</v>
      </c>
    </row>
    <row r="360" spans="1:37" x14ac:dyDescent="0.25">
      <c r="A360" t="s">
        <v>172</v>
      </c>
      <c r="B360" t="s">
        <v>234</v>
      </c>
      <c r="C360">
        <v>62</v>
      </c>
      <c r="D360">
        <v>228.91843420599989</v>
      </c>
      <c r="E360">
        <v>0.49654609062999999</v>
      </c>
      <c r="F360">
        <v>691.62868801400009</v>
      </c>
      <c r="G360">
        <v>931.33371580199992</v>
      </c>
      <c r="H360">
        <v>1423.0793182269999</v>
      </c>
      <c r="I360">
        <v>17.919891322000002</v>
      </c>
      <c r="J360">
        <v>110.97325744</v>
      </c>
      <c r="K360">
        <v>95265.849912316975</v>
      </c>
      <c r="L360">
        <v>16282.849108237</v>
      </c>
      <c r="M360">
        <v>27.068742528000001</v>
      </c>
      <c r="N360">
        <v>3046.0417220429999</v>
      </c>
      <c r="O360">
        <v>58.150619429000002</v>
      </c>
      <c r="P360">
        <v>1.8173929610999999</v>
      </c>
      <c r="Q360">
        <v>6.6055200749999994</v>
      </c>
      <c r="R360">
        <v>164.37071562499989</v>
      </c>
      <c r="S360">
        <v>2091.653684208999</v>
      </c>
      <c r="T360">
        <v>2981.6656462129999</v>
      </c>
      <c r="U360">
        <v>3117.1592552130001</v>
      </c>
      <c r="V360">
        <v>0</v>
      </c>
      <c r="W360">
        <v>0</v>
      </c>
      <c r="Y360" t="str">
        <f>$A360 &amp; Keys!$C$8 &amp; $B360</f>
        <v>New York|transportation PM25</v>
      </c>
      <c r="Z360" s="8">
        <f>IFERROR(INDEX($U360:$W360, MATCH(INDEX(Runs!$D:$D, MATCH($B360, Runs!$A:$A, 0)), $U$1:$W$1, 0)), 0)</f>
        <v>3117.1592552130001</v>
      </c>
      <c r="AA360" s="8">
        <f t="shared" si="20"/>
        <v>7.3438158099611614E-2</v>
      </c>
      <c r="AB360" s="8">
        <f>IFERROR(VLOOKUP(INDEX(Runs!$F:$F, MATCH($B360, Runs!$A:$A, 0)), US_national_yearly!$D:$AM, MATCH(Keys!$C$7, US_national_yearly!$D$1:$AM$1, 0), FALSE), 0)</f>
        <v>2.8248683697579859E-2</v>
      </c>
      <c r="AC360" s="8">
        <f t="shared" si="21"/>
        <v>2.5997019502152328</v>
      </c>
      <c r="AD360">
        <f>IF($Z360&lt;Keys!$C$3, 1, 0)</f>
        <v>0</v>
      </c>
      <c r="AE360">
        <f>IF($AC360&gt;Keys!$C$4, 1, 0)</f>
        <v>0</v>
      </c>
      <c r="AF360">
        <f>IF($AC360&lt;Keys!$C$5, 1, 0)</f>
        <v>0</v>
      </c>
      <c r="AG360">
        <f t="shared" si="22"/>
        <v>0</v>
      </c>
      <c r="AH360" t="str">
        <f>IFERROR(INDEX(Runs!$E:$E, MATCH($B360, Runs!$A:$A, 0)), $B360)</f>
        <v>Industry PM25</v>
      </c>
      <c r="AI360" t="str">
        <f t="shared" si="23"/>
        <v>transportation PM25</v>
      </c>
      <c r="AJ360" t="str">
        <f>IF($AG360=1, IF($AD360=1, Keys!$C$9, "") &amp; IF($AE360=1, Keys!$C$10, "") &amp; IF($AF360=1, Keys!$C$11, ""), "")</f>
        <v/>
      </c>
      <c r="AK360">
        <f>IF($AG360=1, IFERROR(INDEX($AG$2:$AG$577, MATCH($A360 &amp; Keys!$C$8 &amp; $AH360, $Y$2:$Y$577, 0)), 1), 0)</f>
        <v>0</v>
      </c>
    </row>
    <row r="361" spans="1:37" x14ac:dyDescent="0.25">
      <c r="A361" t="s">
        <v>172</v>
      </c>
      <c r="B361" t="s">
        <v>243</v>
      </c>
      <c r="C361">
        <v>62</v>
      </c>
      <c r="D361">
        <v>12.708115872</v>
      </c>
      <c r="E361">
        <v>2.6602793824E-2</v>
      </c>
      <c r="F361">
        <v>37.981051976000003</v>
      </c>
      <c r="G361">
        <v>51.146814479999989</v>
      </c>
      <c r="H361">
        <v>78.144317879000013</v>
      </c>
      <c r="I361">
        <v>0.99195410460000044</v>
      </c>
      <c r="J361">
        <v>6.4358141889999994</v>
      </c>
      <c r="K361">
        <v>5327.531224518998</v>
      </c>
      <c r="L361">
        <v>908.41992292500026</v>
      </c>
      <c r="M361">
        <v>1.5315580362000001</v>
      </c>
      <c r="N361">
        <v>167.27218433499999</v>
      </c>
      <c r="O361">
        <v>2.6279511417000001</v>
      </c>
      <c r="P361">
        <v>9.6633644760000026E-2</v>
      </c>
      <c r="Q361">
        <v>0.38037185225000009</v>
      </c>
      <c r="R361">
        <v>9.0333196110000014</v>
      </c>
      <c r="S361">
        <v>114.945756562</v>
      </c>
      <c r="T361">
        <v>163.73971013700009</v>
      </c>
      <c r="U361">
        <v>0</v>
      </c>
      <c r="V361">
        <v>1106.933527935</v>
      </c>
      <c r="W361">
        <v>0</v>
      </c>
      <c r="Y361" t="str">
        <f>$A361 &amp; Keys!$C$8 &amp; $B361</f>
        <v>New York|transportation SO2</v>
      </c>
      <c r="Z361" s="8">
        <f>IFERROR(INDEX($U361:$W361, MATCH(INDEX(Runs!$D:$D, MATCH($B361, Runs!$A:$A, 0)), $U$1:$W$1, 0)), 0)</f>
        <v>1106.933527935</v>
      </c>
      <c r="AA361" s="8">
        <f t="shared" si="20"/>
        <v>1.1480468836920287E-2</v>
      </c>
      <c r="AB361" s="8">
        <f>IFERROR(VLOOKUP(INDEX(Runs!$F:$F, MATCH($B361, Runs!$A:$A, 0)), US_national_yearly!$D:$AM, MATCH(Keys!$C$7, US_national_yearly!$D$1:$AM$1, 0), FALSE), 0)</f>
        <v>5.1800714166247604E-3</v>
      </c>
      <c r="AC361" s="8">
        <f t="shared" si="21"/>
        <v>2.2162761694897153</v>
      </c>
      <c r="AD361">
        <f>IF($Z361&lt;Keys!$C$3, 1, 0)</f>
        <v>0</v>
      </c>
      <c r="AE361">
        <f>IF($AC361&gt;Keys!$C$4, 1, 0)</f>
        <v>0</v>
      </c>
      <c r="AF361">
        <f>IF($AC361&lt;Keys!$C$5, 1, 0)</f>
        <v>0</v>
      </c>
      <c r="AG361">
        <f t="shared" si="22"/>
        <v>0</v>
      </c>
      <c r="AH361" t="str">
        <f>IFERROR(INDEX(Runs!$E:$E, MATCH($B361, Runs!$A:$A, 0)), $B361)</f>
        <v>Industry SO2</v>
      </c>
      <c r="AI361" t="str">
        <f t="shared" si="23"/>
        <v>transportation SO2</v>
      </c>
      <c r="AJ361" t="str">
        <f>IF($AG361=1, IF($AD361=1, Keys!$C$9, "") &amp; IF($AE361=1, Keys!$C$10, "") &amp; IF($AF361=1, Keys!$C$11, ""), "")</f>
        <v/>
      </c>
      <c r="AK361">
        <f>IF($AG361=1, IFERROR(INDEX($AG$2:$AG$577, MATCH($A361 &amp; Keys!$C$8 &amp; $AH361, $Y$2:$Y$577, 0)), 1), 0)</f>
        <v>0</v>
      </c>
    </row>
    <row r="362" spans="1:37" x14ac:dyDescent="0.25">
      <c r="A362" t="s">
        <v>175</v>
      </c>
      <c r="B362" t="s">
        <v>242</v>
      </c>
      <c r="C362">
        <v>100</v>
      </c>
      <c r="D362">
        <v>17.372826599</v>
      </c>
      <c r="E362">
        <v>4.8419560089999987E-2</v>
      </c>
      <c r="F362">
        <v>41.612037315999999</v>
      </c>
      <c r="G362">
        <v>56.036434171000032</v>
      </c>
      <c r="H362">
        <v>85.614931297999988</v>
      </c>
      <c r="I362">
        <v>1.1635566070000001</v>
      </c>
      <c r="J362">
        <v>7.2676804000000033</v>
      </c>
      <c r="K362">
        <v>5243.7471594579984</v>
      </c>
      <c r="L362">
        <v>885.54784587500001</v>
      </c>
      <c r="M362">
        <v>1.8771667830000009</v>
      </c>
      <c r="N362">
        <v>183.26340278500001</v>
      </c>
      <c r="O362">
        <v>4.0895041080000016</v>
      </c>
      <c r="P362">
        <v>0.17887762920000011</v>
      </c>
      <c r="Q362">
        <v>0.4347425827000001</v>
      </c>
      <c r="R362">
        <v>9.6610058039999966</v>
      </c>
      <c r="S362">
        <v>122.73856771600001</v>
      </c>
      <c r="T362">
        <v>174.37865513899999</v>
      </c>
      <c r="U362">
        <v>0</v>
      </c>
      <c r="V362">
        <v>0</v>
      </c>
      <c r="W362">
        <v>25219.100868699999</v>
      </c>
      <c r="Y362" t="str">
        <f>$A362 &amp; Keys!$C$8 &amp; $B362</f>
        <v>North Carolina|Industry NO2</v>
      </c>
      <c r="Z362" s="8">
        <f>IFERROR(INDEX($U362:$W362, MATCH(INDEX(Runs!$D:$D, MATCH($B362, Runs!$A:$A, 0)), $U$1:$W$1, 0)), 0)</f>
        <v>25219.100868699999</v>
      </c>
      <c r="AA362" s="8">
        <f t="shared" si="20"/>
        <v>6.8887573309807447E-4</v>
      </c>
      <c r="AB362" s="8">
        <f>IFERROR(VLOOKUP(INDEX(Runs!$F:$F, MATCH($B362, Runs!$A:$A, 0)), US_national_yearly!$D:$AM, MATCH(Keys!$C$7, US_national_yearly!$D$1:$AM$1, 0), FALSE), 0)</f>
        <v>5.8012217057786938E-3</v>
      </c>
      <c r="AC362" s="8">
        <f t="shared" si="21"/>
        <v>0.11874666545011955</v>
      </c>
      <c r="AD362">
        <f>IF($Z362&lt;Keys!$C$3, 1, 0)</f>
        <v>0</v>
      </c>
      <c r="AE362">
        <f>IF($AC362&gt;Keys!$C$4, 1, 0)</f>
        <v>0</v>
      </c>
      <c r="AF362">
        <f>IF($AC362&lt;Keys!$C$5, 1, 0)</f>
        <v>0</v>
      </c>
      <c r="AG362">
        <f t="shared" si="22"/>
        <v>0</v>
      </c>
      <c r="AH362" t="str">
        <f>IFERROR(INDEX(Runs!$E:$E, MATCH($B362, Runs!$A:$A, 0)), $B362)</f>
        <v>Industry NO2</v>
      </c>
      <c r="AI362" t="str">
        <f t="shared" si="23"/>
        <v>Industry NO2</v>
      </c>
      <c r="AJ362" t="str">
        <f>IF($AG362=1, IF($AD362=1, Keys!$C$9, "") &amp; IF($AE362=1, Keys!$C$10, "") &amp; IF($AF362=1, Keys!$C$11, ""), "")</f>
        <v/>
      </c>
      <c r="AK362">
        <f>IF($AG362=1, IFERROR(INDEX($AG$2:$AG$577, MATCH($A362 &amp; Keys!$C$8 &amp; $AH362, $Y$2:$Y$577, 0)), 1), 0)</f>
        <v>0</v>
      </c>
    </row>
    <row r="363" spans="1:37" x14ac:dyDescent="0.25">
      <c r="A363" t="s">
        <v>175</v>
      </c>
      <c r="B363" t="s">
        <v>238</v>
      </c>
      <c r="C363">
        <v>100</v>
      </c>
      <c r="D363">
        <v>311.86309412000003</v>
      </c>
      <c r="E363">
        <v>0.9276430790000002</v>
      </c>
      <c r="F363">
        <v>818.85954359900018</v>
      </c>
      <c r="G363">
        <v>1102.6190304080001</v>
      </c>
      <c r="H363">
        <v>1684.9505291800001</v>
      </c>
      <c r="I363">
        <v>21.326221185000001</v>
      </c>
      <c r="J363">
        <v>135.704064571</v>
      </c>
      <c r="K363">
        <v>103558.518662526</v>
      </c>
      <c r="L363">
        <v>17530.294848211</v>
      </c>
      <c r="M363">
        <v>35.128199904000013</v>
      </c>
      <c r="N363">
        <v>3606.4291031869998</v>
      </c>
      <c r="O363">
        <v>79.828122069000045</v>
      </c>
      <c r="P363">
        <v>3.5087541459999998</v>
      </c>
      <c r="Q363">
        <v>8.4864054879999991</v>
      </c>
      <c r="R363">
        <v>189.21156263799989</v>
      </c>
      <c r="S363">
        <v>2406.0918454380012</v>
      </c>
      <c r="T363">
        <v>3427.7168358210001</v>
      </c>
      <c r="U363">
        <v>11665.798931014</v>
      </c>
      <c r="V363">
        <v>0</v>
      </c>
      <c r="W363">
        <v>0</v>
      </c>
      <c r="Y363" t="str">
        <f>$A363 &amp; Keys!$C$8 &amp; $B363</f>
        <v>North Carolina|Industry PM25</v>
      </c>
      <c r="Z363" s="8">
        <f>IFERROR(INDEX($U363:$W363, MATCH(INDEX(Runs!$D:$D, MATCH($B363, Runs!$A:$A, 0)), $U$1:$W$1, 0)), 0)</f>
        <v>11665.798931014</v>
      </c>
      <c r="AA363" s="8">
        <f t="shared" si="20"/>
        <v>2.673311069085027E-2</v>
      </c>
      <c r="AB363" s="8">
        <f>IFERROR(VLOOKUP(INDEX(Runs!$F:$F, MATCH($B363, Runs!$A:$A, 0)), US_national_yearly!$D:$AM, MATCH(Keys!$C$7, US_national_yearly!$D$1:$AM$1, 0), FALSE), 0)</f>
        <v>2.6833191881203179E-2</v>
      </c>
      <c r="AC363" s="8">
        <f t="shared" si="21"/>
        <v>0.99627024653660323</v>
      </c>
      <c r="AD363">
        <f>IF($Z363&lt;Keys!$C$3, 1, 0)</f>
        <v>0</v>
      </c>
      <c r="AE363">
        <f>IF($AC363&gt;Keys!$C$4, 1, 0)</f>
        <v>0</v>
      </c>
      <c r="AF363">
        <f>IF($AC363&lt;Keys!$C$5, 1, 0)</f>
        <v>0</v>
      </c>
      <c r="AG363">
        <f t="shared" si="22"/>
        <v>0</v>
      </c>
      <c r="AH363" t="str">
        <f>IFERROR(INDEX(Runs!$E:$E, MATCH($B363, Runs!$A:$A, 0)), $B363)</f>
        <v>Industry PM25</v>
      </c>
      <c r="AI363" t="str">
        <f t="shared" si="23"/>
        <v>Industry PM25</v>
      </c>
      <c r="AJ363" t="str">
        <f>IF($AG363=1, IF($AD363=1, Keys!$C$9, "") &amp; IF($AE363=1, Keys!$C$10, "") &amp; IF($AF363=1, Keys!$C$11, ""), "")</f>
        <v/>
      </c>
      <c r="AK363">
        <f>IF($AG363=1, IFERROR(INDEX($AG$2:$AG$577, MATCH($A363 &amp; Keys!$C$8 &amp; $AH363, $Y$2:$Y$577, 0)), 1), 0)</f>
        <v>0</v>
      </c>
    </row>
    <row r="364" spans="1:37" x14ac:dyDescent="0.25">
      <c r="A364" t="s">
        <v>175</v>
      </c>
      <c r="B364" t="s">
        <v>246</v>
      </c>
      <c r="C364">
        <v>100</v>
      </c>
      <c r="D364">
        <v>20.300416099</v>
      </c>
      <c r="E364">
        <v>5.8886665100000013E-2</v>
      </c>
      <c r="F364">
        <v>50.204146458999993</v>
      </c>
      <c r="G364">
        <v>67.606900932999977</v>
      </c>
      <c r="H364">
        <v>103.292839641</v>
      </c>
      <c r="I364">
        <v>1.3575732250000001</v>
      </c>
      <c r="J364">
        <v>8.5495335719999996</v>
      </c>
      <c r="K364">
        <v>6283.1419683300028</v>
      </c>
      <c r="L364">
        <v>1061.4846044989999</v>
      </c>
      <c r="M364">
        <v>2.2060530370000002</v>
      </c>
      <c r="N364">
        <v>221.10388703300001</v>
      </c>
      <c r="O364">
        <v>4.8829068959999979</v>
      </c>
      <c r="P364">
        <v>0.21500720479999999</v>
      </c>
      <c r="Q364">
        <v>0.52017978019999989</v>
      </c>
      <c r="R364">
        <v>11.660995814</v>
      </c>
      <c r="S364">
        <v>148.1654746430001</v>
      </c>
      <c r="T364">
        <v>210.54683549800001</v>
      </c>
      <c r="U364">
        <v>0</v>
      </c>
      <c r="V364">
        <v>6706.5327464520014</v>
      </c>
      <c r="W364">
        <v>0</v>
      </c>
      <c r="Y364" t="str">
        <f>$A364 &amp; Keys!$C$8 &amp; $B364</f>
        <v>North Carolina|Industry SO2</v>
      </c>
      <c r="Z364" s="8">
        <f>IFERROR(INDEX($U364:$W364, MATCH(INDEX(Runs!$D:$D, MATCH($B364, Runs!$A:$A, 0)), $U$1:$W$1, 0)), 0)</f>
        <v>6706.5327464520014</v>
      </c>
      <c r="AA364" s="8">
        <f t="shared" si="20"/>
        <v>3.0269614518380833E-3</v>
      </c>
      <c r="AB364" s="8">
        <f>IFERROR(VLOOKUP(INDEX(Runs!$F:$F, MATCH($B364, Runs!$A:$A, 0)), US_national_yearly!$D:$AM, MATCH(Keys!$C$7, US_national_yearly!$D$1:$AM$1, 0), FALSE), 0)</f>
        <v>5.3000351638639942E-3</v>
      </c>
      <c r="AC364" s="8">
        <f t="shared" si="21"/>
        <v>0.57112101302197305</v>
      </c>
      <c r="AD364">
        <f>IF($Z364&lt;Keys!$C$3, 1, 0)</f>
        <v>0</v>
      </c>
      <c r="AE364">
        <f>IF($AC364&gt;Keys!$C$4, 1, 0)</f>
        <v>0</v>
      </c>
      <c r="AF364">
        <f>IF($AC364&lt;Keys!$C$5, 1, 0)</f>
        <v>0</v>
      </c>
      <c r="AG364">
        <f t="shared" si="22"/>
        <v>0</v>
      </c>
      <c r="AH364" t="str">
        <f>IFERROR(INDEX(Runs!$E:$E, MATCH($B364, Runs!$A:$A, 0)), $B364)</f>
        <v>Industry SO2</v>
      </c>
      <c r="AI364" t="str">
        <f t="shared" si="23"/>
        <v>Industry SO2</v>
      </c>
      <c r="AJ364" t="str">
        <f>IF($AG364=1, IF($AD364=1, Keys!$C$9, "") &amp; IF($AE364=1, Keys!$C$10, "") &amp; IF($AF364=1, Keys!$C$11, ""), "")</f>
        <v/>
      </c>
      <c r="AK364">
        <f>IF($AG364=1, IFERROR(INDEX($AG$2:$AG$577, MATCH($A364 &amp; Keys!$C$8 &amp; $AH364, $Y$2:$Y$577, 0)), 1), 0)</f>
        <v>0</v>
      </c>
    </row>
    <row r="365" spans="1:37" x14ac:dyDescent="0.25">
      <c r="A365" t="s">
        <v>175</v>
      </c>
      <c r="B365" t="s">
        <v>253</v>
      </c>
      <c r="C365">
        <v>100</v>
      </c>
      <c r="D365">
        <v>12.379425826</v>
      </c>
      <c r="E365">
        <v>3.9323401110000003E-2</v>
      </c>
      <c r="F365">
        <v>35.396076051999991</v>
      </c>
      <c r="G365">
        <v>47.665804820999988</v>
      </c>
      <c r="H365">
        <v>72.825798404999972</v>
      </c>
      <c r="I365">
        <v>0.85903224700000003</v>
      </c>
      <c r="J365">
        <v>5.6150804959999983</v>
      </c>
      <c r="K365">
        <v>4487.7871773880006</v>
      </c>
      <c r="L365">
        <v>760.99300721600002</v>
      </c>
      <c r="M365">
        <v>1.449574425</v>
      </c>
      <c r="N365">
        <v>155.88767927800001</v>
      </c>
      <c r="O365">
        <v>3.4526465900000001</v>
      </c>
      <c r="P365">
        <v>0.15257555892999999</v>
      </c>
      <c r="Q365">
        <v>0.36167206629999998</v>
      </c>
      <c r="R365">
        <v>8.2037462040000015</v>
      </c>
      <c r="S365">
        <v>104.21079663499999</v>
      </c>
      <c r="T365">
        <v>148.02090408800001</v>
      </c>
      <c r="U365">
        <v>0</v>
      </c>
      <c r="V365">
        <v>0</v>
      </c>
      <c r="W365">
        <v>8703.7908829420012</v>
      </c>
      <c r="Y365" t="str">
        <f>$A365 &amp; Keys!$C$8 &amp; $B365</f>
        <v>North Carolina|buildings NO2</v>
      </c>
      <c r="Z365" s="8">
        <f>IFERROR(INDEX($U365:$W365, MATCH(INDEX(Runs!$D:$D, MATCH($B365, Runs!$A:$A, 0)), $U$1:$W$1, 0)), 0)</f>
        <v>8703.7908829420012</v>
      </c>
      <c r="AA365" s="8">
        <f t="shared" si="20"/>
        <v>1.4223027635305023E-3</v>
      </c>
      <c r="AB365" s="8">
        <f>IFERROR(VLOOKUP(INDEX(Runs!$F:$F, MATCH($B365, Runs!$A:$A, 0)), US_national_yearly!$D:$AM, MATCH(Keys!$C$7, US_national_yearly!$D$1:$AM$1, 0), FALSE), 0)</f>
        <v>5.6784740124662739E-3</v>
      </c>
      <c r="AC365" s="8">
        <f t="shared" si="21"/>
        <v>0.25047270805643224</v>
      </c>
      <c r="AD365">
        <f>IF($Z365&lt;Keys!$C$3, 1, 0)</f>
        <v>0</v>
      </c>
      <c r="AE365">
        <f>IF($AC365&gt;Keys!$C$4, 1, 0)</f>
        <v>0</v>
      </c>
      <c r="AF365">
        <f>IF($AC365&lt;Keys!$C$5, 1, 0)</f>
        <v>0</v>
      </c>
      <c r="AG365">
        <f t="shared" si="22"/>
        <v>0</v>
      </c>
      <c r="AH365" t="str">
        <f>IFERROR(INDEX(Runs!$E:$E, MATCH($B365, Runs!$A:$A, 0)), $B365)</f>
        <v>Industry NO2</v>
      </c>
      <c r="AI365" t="str">
        <f t="shared" si="23"/>
        <v>buildings NO2</v>
      </c>
      <c r="AJ365" t="str">
        <f>IF($AG365=1, IF($AD365=1, Keys!$C$9, "") &amp; IF($AE365=1, Keys!$C$10, "") &amp; IF($AF365=1, Keys!$C$11, ""), "")</f>
        <v/>
      </c>
      <c r="AK365">
        <f>IF($AG365=1, IFERROR(INDEX($AG$2:$AG$577, MATCH($A365 &amp; Keys!$C$8 &amp; $AH365, $Y$2:$Y$577, 0)), 1), 0)</f>
        <v>0</v>
      </c>
    </row>
    <row r="366" spans="1:37" x14ac:dyDescent="0.25">
      <c r="A366" t="s">
        <v>175</v>
      </c>
      <c r="B366" t="s">
        <v>251</v>
      </c>
      <c r="C366">
        <v>100</v>
      </c>
      <c r="D366">
        <v>2.468739503000001</v>
      </c>
      <c r="E366">
        <v>7.3148803660000013E-3</v>
      </c>
      <c r="F366">
        <v>6.3637019949999987</v>
      </c>
      <c r="G366">
        <v>8.5696537859999982</v>
      </c>
      <c r="H366">
        <v>13.0929585</v>
      </c>
      <c r="I366">
        <v>0.16814844549999991</v>
      </c>
      <c r="J366">
        <v>1.069410025</v>
      </c>
      <c r="K366">
        <v>804.11163121900006</v>
      </c>
      <c r="L366">
        <v>136.01442266699999</v>
      </c>
      <c r="M366">
        <v>0.27602135970000008</v>
      </c>
      <c r="N366">
        <v>28.026314281000001</v>
      </c>
      <c r="O366">
        <v>0.62287086959999993</v>
      </c>
      <c r="P366">
        <v>2.735441403000001E-2</v>
      </c>
      <c r="Q366">
        <v>6.5924552330000011E-2</v>
      </c>
      <c r="R366">
        <v>1.476988355</v>
      </c>
      <c r="S366">
        <v>18.763087711000001</v>
      </c>
      <c r="T366">
        <v>26.65241162400001</v>
      </c>
      <c r="U366">
        <v>100.66485280000001</v>
      </c>
      <c r="V366">
        <v>0</v>
      </c>
      <c r="W366">
        <v>0</v>
      </c>
      <c r="Y366" t="str">
        <f>$A366 &amp; Keys!$C$8 &amp; $B366</f>
        <v>North Carolina|buildings PM25</v>
      </c>
      <c r="Z366" s="8">
        <f>IFERROR(INDEX($U366:$W366, MATCH(INDEX(Runs!$D:$D, MATCH($B366, Runs!$A:$A, 0)), $U$1:$W$1, 0)), 0)</f>
        <v>100.66485280000001</v>
      </c>
      <c r="AA366" s="8">
        <f t="shared" si="20"/>
        <v>2.4524344240634512E-2</v>
      </c>
      <c r="AB366" s="8">
        <f>IFERROR(VLOOKUP(INDEX(Runs!$F:$F, MATCH($B366, Runs!$A:$A, 0)), US_national_yearly!$D:$AM, MATCH(Keys!$C$7, US_national_yearly!$D$1:$AM$1, 0), FALSE), 0)</f>
        <v>2.7627705191843259E-2</v>
      </c>
      <c r="AC366" s="8">
        <f t="shared" si="21"/>
        <v>0.88767214179898746</v>
      </c>
      <c r="AD366">
        <f>IF($Z366&lt;Keys!$C$3, 1, 0)</f>
        <v>0</v>
      </c>
      <c r="AE366">
        <f>IF($AC366&gt;Keys!$C$4, 1, 0)</f>
        <v>0</v>
      </c>
      <c r="AF366">
        <f>IF($AC366&lt;Keys!$C$5, 1, 0)</f>
        <v>0</v>
      </c>
      <c r="AG366">
        <f t="shared" si="22"/>
        <v>0</v>
      </c>
      <c r="AH366" t="str">
        <f>IFERROR(INDEX(Runs!$E:$E, MATCH($B366, Runs!$A:$A, 0)), $B366)</f>
        <v>Industry PM25</v>
      </c>
      <c r="AI366" t="str">
        <f t="shared" si="23"/>
        <v>buildings PM25</v>
      </c>
      <c r="AJ366" t="str">
        <f>IF($AG366=1, IF($AD366=1, Keys!$C$9, "") &amp; IF($AE366=1, Keys!$C$10, "") &amp; IF($AF366=1, Keys!$C$11, ""), "")</f>
        <v/>
      </c>
      <c r="AK366">
        <f>IF($AG366=1, IFERROR(INDEX($AG$2:$AG$577, MATCH($A366 &amp; Keys!$C$8 &amp; $AH366, $Y$2:$Y$577, 0)), 1), 0)</f>
        <v>0</v>
      </c>
    </row>
    <row r="367" spans="1:37" x14ac:dyDescent="0.25">
      <c r="A367" t="s">
        <v>175</v>
      </c>
      <c r="B367" t="s">
        <v>254</v>
      </c>
      <c r="C367">
        <v>100</v>
      </c>
      <c r="D367">
        <v>4.3663070140000011</v>
      </c>
      <c r="E367">
        <v>1.195141152E-2</v>
      </c>
      <c r="F367">
        <v>10.325203717000001</v>
      </c>
      <c r="G367">
        <v>13.904388253</v>
      </c>
      <c r="H367">
        <v>21.243537343</v>
      </c>
      <c r="I367">
        <v>0.29766287749999992</v>
      </c>
      <c r="J367">
        <v>1.8438975360000001</v>
      </c>
      <c r="K367">
        <v>1314.170737146</v>
      </c>
      <c r="L367">
        <v>221.85020414300001</v>
      </c>
      <c r="M367">
        <v>0.4760462346999999</v>
      </c>
      <c r="N367">
        <v>45.473129313000001</v>
      </c>
      <c r="O367">
        <v>1.0199009750000001</v>
      </c>
      <c r="P367">
        <v>4.4270994859999989E-2</v>
      </c>
      <c r="Q367">
        <v>0.1090851692</v>
      </c>
      <c r="R367">
        <v>2.3958902489999989</v>
      </c>
      <c r="S367">
        <v>30.436175038999998</v>
      </c>
      <c r="T367">
        <v>43.23326769800002</v>
      </c>
      <c r="U367">
        <v>0</v>
      </c>
      <c r="V367">
        <v>1227.5019645699999</v>
      </c>
      <c r="W367">
        <v>0</v>
      </c>
      <c r="Y367" t="str">
        <f>$A367 &amp; Keys!$C$8 &amp; $B367</f>
        <v>North Carolina|buildings SO2</v>
      </c>
      <c r="Z367" s="8">
        <f>IFERROR(INDEX($U367:$W367, MATCH(INDEX(Runs!$D:$D, MATCH($B367, Runs!$A:$A, 0)), $U$1:$W$1, 0)), 0)</f>
        <v>1227.5019645699999</v>
      </c>
      <c r="AA367" s="8">
        <f t="shared" si="20"/>
        <v>3.5570672308695979E-3</v>
      </c>
      <c r="AB367" s="8">
        <f>IFERROR(VLOOKUP(INDEX(Runs!$F:$F, MATCH($B367, Runs!$A:$A, 0)), US_national_yearly!$D:$AM, MATCH(Keys!$C$7, US_national_yearly!$D$1:$AM$1, 0), FALSE), 0)</f>
        <v>5.1581943281164694E-3</v>
      </c>
      <c r="AC367" s="8">
        <f t="shared" si="21"/>
        <v>0.68959542905946936</v>
      </c>
      <c r="AD367">
        <f>IF($Z367&lt;Keys!$C$3, 1, 0)</f>
        <v>0</v>
      </c>
      <c r="AE367">
        <f>IF($AC367&gt;Keys!$C$4, 1, 0)</f>
        <v>0</v>
      </c>
      <c r="AF367">
        <f>IF($AC367&lt;Keys!$C$5, 1, 0)</f>
        <v>0</v>
      </c>
      <c r="AG367">
        <f t="shared" si="22"/>
        <v>0</v>
      </c>
      <c r="AH367" t="str">
        <f>IFERROR(INDEX(Runs!$E:$E, MATCH($B367, Runs!$A:$A, 0)), $B367)</f>
        <v>Industry SO2</v>
      </c>
      <c r="AI367" t="str">
        <f t="shared" si="23"/>
        <v>buildings SO2</v>
      </c>
      <c r="AJ367" t="str">
        <f>IF($AG367=1, IF($AD367=1, Keys!$C$9, "") &amp; IF($AE367=1, Keys!$C$10, "") &amp; IF($AF367=1, Keys!$C$11, ""), "")</f>
        <v/>
      </c>
      <c r="AK367">
        <f>IF($AG367=1, IFERROR(INDEX($AG$2:$AG$577, MATCH($A367 &amp; Keys!$C$8 &amp; $AH367, $Y$2:$Y$577, 0)), 1), 0)</f>
        <v>0</v>
      </c>
    </row>
    <row r="368" spans="1:37" x14ac:dyDescent="0.25">
      <c r="A368" t="s">
        <v>175</v>
      </c>
      <c r="B368" t="s">
        <v>249</v>
      </c>
      <c r="C368">
        <v>100</v>
      </c>
      <c r="D368">
        <v>7.3147598789999977</v>
      </c>
      <c r="E368">
        <v>1.998832524E-2</v>
      </c>
      <c r="F368">
        <v>17.317495491999999</v>
      </c>
      <c r="G368">
        <v>23.320495047000001</v>
      </c>
      <c r="H368">
        <v>35.629855053000007</v>
      </c>
      <c r="I368">
        <v>0.49783618299999988</v>
      </c>
      <c r="J368">
        <v>3.0810842489999999</v>
      </c>
      <c r="K368">
        <v>2208.5294156820009</v>
      </c>
      <c r="L368">
        <v>372.58404178699999</v>
      </c>
      <c r="M368">
        <v>0.79423592599999993</v>
      </c>
      <c r="N368">
        <v>76.267845592000015</v>
      </c>
      <c r="O368">
        <v>1.6979088200000001</v>
      </c>
      <c r="P368">
        <v>7.3583849800000031E-2</v>
      </c>
      <c r="Q368">
        <v>0.18395984670000001</v>
      </c>
      <c r="R368">
        <v>4.0074709790000007</v>
      </c>
      <c r="S368">
        <v>50.918875473999989</v>
      </c>
      <c r="T368">
        <v>72.353243022999976</v>
      </c>
      <c r="U368">
        <v>0</v>
      </c>
      <c r="V368">
        <v>0</v>
      </c>
      <c r="W368">
        <v>31654.885220061002</v>
      </c>
      <c r="Y368" t="str">
        <f>$A368 &amp; Keys!$C$8 &amp; $B368</f>
        <v>North Carolina|electricity NO2</v>
      </c>
      <c r="Z368" s="8">
        <f>IFERROR(INDEX($U368:$W368, MATCH(INDEX(Runs!$D:$D, MATCH($B368, Runs!$A:$A, 0)), $U$1:$W$1, 0)), 0)</f>
        <v>31654.885220061002</v>
      </c>
      <c r="AA368" s="8">
        <f t="shared" si="20"/>
        <v>2.3107838894845633E-4</v>
      </c>
      <c r="AB368" s="8">
        <f>IFERROR(VLOOKUP(INDEX(Runs!$F:$F, MATCH($B368, Runs!$A:$A, 0)), US_national_yearly!$D:$AM, MATCH(Keys!$C$7, US_national_yearly!$D$1:$AM$1, 0), FALSE), 0)</f>
        <v>6.1439221592658041E-3</v>
      </c>
      <c r="AC368" s="8">
        <f t="shared" si="21"/>
        <v>3.7610891374976356E-2</v>
      </c>
      <c r="AD368">
        <f>IF($Z368&lt;Keys!$C$3, 1, 0)</f>
        <v>0</v>
      </c>
      <c r="AE368">
        <f>IF($AC368&gt;Keys!$C$4, 1, 0)</f>
        <v>0</v>
      </c>
      <c r="AF368">
        <f>IF($AC368&lt;Keys!$C$5, 1, 0)</f>
        <v>0</v>
      </c>
      <c r="AG368">
        <f t="shared" si="22"/>
        <v>0</v>
      </c>
      <c r="AH368" t="str">
        <f>IFERROR(INDEX(Runs!$E:$E, MATCH($B368, Runs!$A:$A, 0)), $B368)</f>
        <v>Industry NO2</v>
      </c>
      <c r="AI368" t="str">
        <f t="shared" si="23"/>
        <v>electricity NO2</v>
      </c>
      <c r="AJ368" t="str">
        <f>IF($AG368=1, IF($AD368=1, Keys!$C$9, "") &amp; IF($AE368=1, Keys!$C$10, "") &amp; IF($AF368=1, Keys!$C$11, ""), "")</f>
        <v/>
      </c>
      <c r="AK368">
        <f>IF($AG368=1, IFERROR(INDEX($AG$2:$AG$577, MATCH($A368 &amp; Keys!$C$8 &amp; $AH368, $Y$2:$Y$577, 0)), 1), 0)</f>
        <v>0</v>
      </c>
    </row>
    <row r="369" spans="1:37" x14ac:dyDescent="0.25">
      <c r="A369" t="s">
        <v>175</v>
      </c>
      <c r="B369" t="s">
        <v>247</v>
      </c>
      <c r="C369">
        <v>100</v>
      </c>
      <c r="D369">
        <v>18.758293072000001</v>
      </c>
      <c r="E369">
        <v>4.8227379409999993E-2</v>
      </c>
      <c r="F369">
        <v>42.866077938000018</v>
      </c>
      <c r="G369">
        <v>57.72513458200001</v>
      </c>
      <c r="H369">
        <v>88.195147900999956</v>
      </c>
      <c r="I369">
        <v>1.265284499000001</v>
      </c>
      <c r="J369">
        <v>7.796591083</v>
      </c>
      <c r="K369">
        <v>5503.8421989460012</v>
      </c>
      <c r="L369">
        <v>928.97537372600038</v>
      </c>
      <c r="M369">
        <v>2.0143969720000001</v>
      </c>
      <c r="N369">
        <v>188.78636042100001</v>
      </c>
      <c r="O369">
        <v>4.2597728010000004</v>
      </c>
      <c r="P369">
        <v>0.18321368739999991</v>
      </c>
      <c r="Q369">
        <v>0.45836678850000012</v>
      </c>
      <c r="R369">
        <v>9.9269771309999975</v>
      </c>
      <c r="S369">
        <v>126.130324363</v>
      </c>
      <c r="T369">
        <v>179.22948808000001</v>
      </c>
      <c r="U369">
        <v>1906.518753865</v>
      </c>
      <c r="V369">
        <v>0</v>
      </c>
      <c r="W369">
        <v>0</v>
      </c>
      <c r="Y369" t="str">
        <f>$A369 &amp; Keys!$C$8 &amp; $B369</f>
        <v>North Carolina|electricity PM25</v>
      </c>
      <c r="Z369" s="8">
        <f>IFERROR(INDEX($U369:$W369, MATCH(INDEX(Runs!$D:$D, MATCH($B369, Runs!$A:$A, 0)), $U$1:$W$1, 0)), 0)</f>
        <v>1906.518753865</v>
      </c>
      <c r="AA369" s="8">
        <f t="shared" si="20"/>
        <v>9.839028876045491E-3</v>
      </c>
      <c r="AB369" s="8">
        <f>IFERROR(VLOOKUP(INDEX(Runs!$F:$F, MATCH($B369, Runs!$A:$A, 0)), US_national_yearly!$D:$AM, MATCH(Keys!$C$7, US_national_yearly!$D$1:$AM$1, 0), FALSE), 0)</f>
        <v>2.4252978284752182E-2</v>
      </c>
      <c r="AC369" s="8">
        <f t="shared" si="21"/>
        <v>0.40568332517871741</v>
      </c>
      <c r="AD369">
        <f>IF($Z369&lt;Keys!$C$3, 1, 0)</f>
        <v>0</v>
      </c>
      <c r="AE369">
        <f>IF($AC369&gt;Keys!$C$4, 1, 0)</f>
        <v>0</v>
      </c>
      <c r="AF369">
        <f>IF($AC369&lt;Keys!$C$5, 1, 0)</f>
        <v>0</v>
      </c>
      <c r="AG369">
        <f t="shared" si="22"/>
        <v>0</v>
      </c>
      <c r="AH369" t="str">
        <f>IFERROR(INDEX(Runs!$E:$E, MATCH($B369, Runs!$A:$A, 0)), $B369)</f>
        <v>Industry PM25</v>
      </c>
      <c r="AI369" t="str">
        <f t="shared" si="23"/>
        <v>electricity PM25</v>
      </c>
      <c r="AJ369" t="str">
        <f>IF($AG369=1, IF($AD369=1, Keys!$C$9, "") &amp; IF($AE369=1, Keys!$C$10, "") &amp; IF($AF369=1, Keys!$C$11, ""), "")</f>
        <v/>
      </c>
      <c r="AK369">
        <f>IF($AG369=1, IFERROR(INDEX($AG$2:$AG$577, MATCH($A369 &amp; Keys!$C$8 &amp; $AH369, $Y$2:$Y$577, 0)), 1), 0)</f>
        <v>0</v>
      </c>
    </row>
    <row r="370" spans="1:37" x14ac:dyDescent="0.25">
      <c r="A370" t="s">
        <v>175</v>
      </c>
      <c r="B370" t="s">
        <v>250</v>
      </c>
      <c r="C370">
        <v>100</v>
      </c>
      <c r="D370">
        <v>11.421184637</v>
      </c>
      <c r="E370">
        <v>3.0838776240000001E-2</v>
      </c>
      <c r="F370">
        <v>26.982503138999991</v>
      </c>
      <c r="G370">
        <v>36.335798099999991</v>
      </c>
      <c r="H370">
        <v>55.515147102999997</v>
      </c>
      <c r="I370">
        <v>0.77602349600000009</v>
      </c>
      <c r="J370">
        <v>4.8117076659999984</v>
      </c>
      <c r="K370">
        <v>3433.531492953</v>
      </c>
      <c r="L370">
        <v>579.37547066400009</v>
      </c>
      <c r="M370">
        <v>1.241623240999999</v>
      </c>
      <c r="N370">
        <v>118.833448342</v>
      </c>
      <c r="O370">
        <v>2.6573490120000001</v>
      </c>
      <c r="P370">
        <v>0.11524386120000001</v>
      </c>
      <c r="Q370">
        <v>0.28601831850000009</v>
      </c>
      <c r="R370">
        <v>6.2521833750000013</v>
      </c>
      <c r="S370">
        <v>79.435609812999999</v>
      </c>
      <c r="T370">
        <v>112.86406268099999</v>
      </c>
      <c r="U370">
        <v>0</v>
      </c>
      <c r="V370">
        <v>6714.5758558830012</v>
      </c>
      <c r="W370">
        <v>0</v>
      </c>
      <c r="Y370" t="str">
        <f>$A370 &amp; Keys!$C$8 &amp; $B370</f>
        <v>North Carolina|electricity SO2</v>
      </c>
      <c r="Z370" s="8">
        <f>IFERROR(INDEX($U370:$W370, MATCH(INDEX(Runs!$D:$D, MATCH($B370, Runs!$A:$A, 0)), $U$1:$W$1, 0)), 0)</f>
        <v>6714.5758558830012</v>
      </c>
      <c r="AA370" s="8">
        <f t="shared" si="20"/>
        <v>1.7009539965198673E-3</v>
      </c>
      <c r="AB370" s="8">
        <f>IFERROR(VLOOKUP(INDEX(Runs!$F:$F, MATCH($B370, Runs!$A:$A, 0)), US_national_yearly!$D:$AM, MATCH(Keys!$C$7, US_national_yearly!$D$1:$AM$1, 0), FALSE), 0)</f>
        <v>5.7032329662362116E-3</v>
      </c>
      <c r="AC370" s="8">
        <f t="shared" si="21"/>
        <v>0.29824382180943837</v>
      </c>
      <c r="AD370">
        <f>IF($Z370&lt;Keys!$C$3, 1, 0)</f>
        <v>0</v>
      </c>
      <c r="AE370">
        <f>IF($AC370&gt;Keys!$C$4, 1, 0)</f>
        <v>0</v>
      </c>
      <c r="AF370">
        <f>IF($AC370&lt;Keys!$C$5, 1, 0)</f>
        <v>0</v>
      </c>
      <c r="AG370">
        <f t="shared" si="22"/>
        <v>0</v>
      </c>
      <c r="AH370" t="str">
        <f>IFERROR(INDEX(Runs!$E:$E, MATCH($B370, Runs!$A:$A, 0)), $B370)</f>
        <v>Industry SO2</v>
      </c>
      <c r="AI370" t="str">
        <f t="shared" si="23"/>
        <v>electricity SO2</v>
      </c>
      <c r="AJ370" t="str">
        <f>IF($AG370=1, IF($AD370=1, Keys!$C$9, "") &amp; IF($AE370=1, Keys!$C$10, "") &amp; IF($AF370=1, Keys!$C$11, ""), "")</f>
        <v/>
      </c>
      <c r="AK370">
        <f>IF($AG370=1, IFERROR(INDEX($AG$2:$AG$577, MATCH($A370 &amp; Keys!$C$8 &amp; $AH370, $Y$2:$Y$577, 0)), 1), 0)</f>
        <v>0</v>
      </c>
    </row>
    <row r="371" spans="1:37" x14ac:dyDescent="0.25">
      <c r="A371" t="s">
        <v>175</v>
      </c>
      <c r="B371" t="s">
        <v>239</v>
      </c>
      <c r="C371">
        <v>100</v>
      </c>
      <c r="D371">
        <v>125.71523258800001</v>
      </c>
      <c r="E371">
        <v>0.38963866190000013</v>
      </c>
      <c r="F371">
        <v>348.80380746600002</v>
      </c>
      <c r="G371">
        <v>469.696458748</v>
      </c>
      <c r="H371">
        <v>717.68247180499998</v>
      </c>
      <c r="I371">
        <v>8.6618350020000019</v>
      </c>
      <c r="J371">
        <v>56.135272829999991</v>
      </c>
      <c r="K371">
        <v>44164.043040037999</v>
      </c>
      <c r="L371">
        <v>7485.7239062630006</v>
      </c>
      <c r="M371">
        <v>14.509833098</v>
      </c>
      <c r="N371">
        <v>1536.182738019</v>
      </c>
      <c r="O371">
        <v>34.048120924000017</v>
      </c>
      <c r="P371">
        <v>1.5029614716999991</v>
      </c>
      <c r="Q371">
        <v>3.5795883240000008</v>
      </c>
      <c r="R371">
        <v>80.805234810999991</v>
      </c>
      <c r="S371">
        <v>1026.8860535829999</v>
      </c>
      <c r="T371">
        <v>1460.3621763189999</v>
      </c>
      <c r="U371">
        <v>0</v>
      </c>
      <c r="V371">
        <v>0</v>
      </c>
      <c r="W371">
        <v>96832.554702390029</v>
      </c>
      <c r="Y371" t="str">
        <f>$A371 &amp; Keys!$C$8 &amp; $B371</f>
        <v>North Carolina|transportation NO2</v>
      </c>
      <c r="Z371" s="8">
        <f>IFERROR(INDEX($U371:$W371, MATCH(INDEX(Runs!$D:$D, MATCH($B371, Runs!$A:$A, 0)), $U$1:$W$1, 0)), 0)</f>
        <v>96832.554702390029</v>
      </c>
      <c r="AA371" s="8">
        <f t="shared" si="20"/>
        <v>1.2982744591876092E-3</v>
      </c>
      <c r="AB371" s="8">
        <f>IFERROR(VLOOKUP(INDEX(Runs!$F:$F, MATCH($B371, Runs!$A:$A, 0)), US_national_yearly!$D:$AM, MATCH(Keys!$C$7, US_national_yearly!$D$1:$AM$1, 0), FALSE), 0)</f>
        <v>5.7148835886332216E-3</v>
      </c>
      <c r="AC371" s="8">
        <f t="shared" si="21"/>
        <v>0.22717426156673581</v>
      </c>
      <c r="AD371">
        <f>IF($Z371&lt;Keys!$C$3, 1, 0)</f>
        <v>0</v>
      </c>
      <c r="AE371">
        <f>IF($AC371&gt;Keys!$C$4, 1, 0)</f>
        <v>0</v>
      </c>
      <c r="AF371">
        <f>IF($AC371&lt;Keys!$C$5, 1, 0)</f>
        <v>0</v>
      </c>
      <c r="AG371">
        <f t="shared" si="22"/>
        <v>0</v>
      </c>
      <c r="AH371" t="str">
        <f>IFERROR(INDEX(Runs!$E:$E, MATCH($B371, Runs!$A:$A, 0)), $B371)</f>
        <v>Industry NO2</v>
      </c>
      <c r="AI371" t="str">
        <f t="shared" si="23"/>
        <v>transportation NO2</v>
      </c>
      <c r="AJ371" t="str">
        <f>IF($AG371=1, IF($AD371=1, Keys!$C$9, "") &amp; IF($AE371=1, Keys!$C$10, "") &amp; IF($AF371=1, Keys!$C$11, ""), "")</f>
        <v/>
      </c>
      <c r="AK371">
        <f>IF($AG371=1, IFERROR(INDEX($AG$2:$AG$577, MATCH($A371 &amp; Keys!$C$8 &amp; $AH371, $Y$2:$Y$577, 0)), 1), 0)</f>
        <v>0</v>
      </c>
    </row>
    <row r="372" spans="1:37" x14ac:dyDescent="0.25">
      <c r="A372" t="s">
        <v>175</v>
      </c>
      <c r="B372" t="s">
        <v>234</v>
      </c>
      <c r="C372">
        <v>100</v>
      </c>
      <c r="D372">
        <v>77.057277033999995</v>
      </c>
      <c r="E372">
        <v>0.24351136523</v>
      </c>
      <c r="F372">
        <v>220.10066707600001</v>
      </c>
      <c r="G372">
        <v>296.38959780499988</v>
      </c>
      <c r="H372">
        <v>452.86119983499998</v>
      </c>
      <c r="I372">
        <v>5.3308704469999997</v>
      </c>
      <c r="J372">
        <v>34.826294537000003</v>
      </c>
      <c r="K372">
        <v>27887.359519074009</v>
      </c>
      <c r="L372">
        <v>4730.9028588270003</v>
      </c>
      <c r="M372">
        <v>8.9986541870000014</v>
      </c>
      <c r="N372">
        <v>969.35146471600001</v>
      </c>
      <c r="O372">
        <v>21.462371915999999</v>
      </c>
      <c r="P372">
        <v>0.94968355260000004</v>
      </c>
      <c r="Q372">
        <v>2.2467762310000001</v>
      </c>
      <c r="R372">
        <v>51.043514965</v>
      </c>
      <c r="S372">
        <v>648.53905275700026</v>
      </c>
      <c r="T372">
        <v>921.82897596500038</v>
      </c>
      <c r="U372">
        <v>2359.1454143609999</v>
      </c>
      <c r="V372">
        <v>0</v>
      </c>
      <c r="W372">
        <v>0</v>
      </c>
      <c r="Y372" t="str">
        <f>$A372 &amp; Keys!$C$8 &amp; $B372</f>
        <v>North Carolina|transportation PM25</v>
      </c>
      <c r="Z372" s="8">
        <f>IFERROR(INDEX($U372:$W372, MATCH(INDEX(Runs!$D:$D, MATCH($B372, Runs!$A:$A, 0)), $U$1:$W$1, 0)), 0)</f>
        <v>2359.1454143609999</v>
      </c>
      <c r="AA372" s="8">
        <f t="shared" si="20"/>
        <v>3.2663216334577576E-2</v>
      </c>
      <c r="AB372" s="8">
        <f>IFERROR(VLOOKUP(INDEX(Runs!$F:$F, MATCH($B372, Runs!$A:$A, 0)), US_national_yearly!$D:$AM, MATCH(Keys!$C$7, US_national_yearly!$D$1:$AM$1, 0), FALSE), 0)</f>
        <v>2.8248683697579859E-2</v>
      </c>
      <c r="AC372" s="8">
        <f t="shared" si="21"/>
        <v>1.1562739235660713</v>
      </c>
      <c r="AD372">
        <f>IF($Z372&lt;Keys!$C$3, 1, 0)</f>
        <v>0</v>
      </c>
      <c r="AE372">
        <f>IF($AC372&gt;Keys!$C$4, 1, 0)</f>
        <v>0</v>
      </c>
      <c r="AF372">
        <f>IF($AC372&lt;Keys!$C$5, 1, 0)</f>
        <v>0</v>
      </c>
      <c r="AG372">
        <f t="shared" si="22"/>
        <v>0</v>
      </c>
      <c r="AH372" t="str">
        <f>IFERROR(INDEX(Runs!$E:$E, MATCH($B372, Runs!$A:$A, 0)), $B372)</f>
        <v>Industry PM25</v>
      </c>
      <c r="AI372" t="str">
        <f t="shared" si="23"/>
        <v>transportation PM25</v>
      </c>
      <c r="AJ372" t="str">
        <f>IF($AG372=1, IF($AD372=1, Keys!$C$9, "") &amp; IF($AE372=1, Keys!$C$10, "") &amp; IF($AF372=1, Keys!$C$11, ""), "")</f>
        <v/>
      </c>
      <c r="AK372">
        <f>IF($AG372=1, IFERROR(INDEX($AG$2:$AG$577, MATCH($A372 &amp; Keys!$C$8 &amp; $AH372, $Y$2:$Y$577, 0)), 1), 0)</f>
        <v>0</v>
      </c>
    </row>
    <row r="373" spans="1:37" x14ac:dyDescent="0.25">
      <c r="A373" t="s">
        <v>175</v>
      </c>
      <c r="B373" t="s">
        <v>243</v>
      </c>
      <c r="C373">
        <v>100</v>
      </c>
      <c r="D373">
        <v>5.7006260419999988</v>
      </c>
      <c r="E373">
        <v>1.9374242508E-2</v>
      </c>
      <c r="F373">
        <v>18.046127822999999</v>
      </c>
      <c r="G373">
        <v>24.301664471000009</v>
      </c>
      <c r="H373">
        <v>37.129057364999973</v>
      </c>
      <c r="I373">
        <v>0.3951733884000001</v>
      </c>
      <c r="J373">
        <v>2.6796253240000012</v>
      </c>
      <c r="K373">
        <v>2288.9738137020008</v>
      </c>
      <c r="L373">
        <v>389.71036610800002</v>
      </c>
      <c r="M373">
        <v>0.69230916219999983</v>
      </c>
      <c r="N373">
        <v>79.476849658999981</v>
      </c>
      <c r="O373">
        <v>1.7606429620999999</v>
      </c>
      <c r="P373">
        <v>7.8679074919999981E-2</v>
      </c>
      <c r="Q373">
        <v>0.18071696375999999</v>
      </c>
      <c r="R373">
        <v>4.2118718769999974</v>
      </c>
      <c r="S373">
        <v>53.487390184000013</v>
      </c>
      <c r="T373">
        <v>75.936539828999997</v>
      </c>
      <c r="U373">
        <v>0</v>
      </c>
      <c r="V373">
        <v>809.36190838800019</v>
      </c>
      <c r="W373">
        <v>0</v>
      </c>
      <c r="Y373" t="str">
        <f>$A373 &amp; Keys!$C$8 &amp; $B373</f>
        <v>North Carolina|transportation SO2</v>
      </c>
      <c r="Z373" s="8">
        <f>IFERROR(INDEX($U373:$W373, MATCH(INDEX(Runs!$D:$D, MATCH($B373, Runs!$A:$A, 0)), $U$1:$W$1, 0)), 0)</f>
        <v>809.36190838800019</v>
      </c>
      <c r="AA373" s="8">
        <f t="shared" si="20"/>
        <v>7.0433584567303042E-3</v>
      </c>
      <c r="AB373" s="8">
        <f>IFERROR(VLOOKUP(INDEX(Runs!$F:$F, MATCH($B373, Runs!$A:$A, 0)), US_national_yearly!$D:$AM, MATCH(Keys!$C$7, US_national_yearly!$D$1:$AM$1, 0), FALSE), 0)</f>
        <v>5.1800714166247604E-3</v>
      </c>
      <c r="AC373" s="8">
        <f t="shared" si="21"/>
        <v>1.3597029635779863</v>
      </c>
      <c r="AD373">
        <f>IF($Z373&lt;Keys!$C$3, 1, 0)</f>
        <v>0</v>
      </c>
      <c r="AE373">
        <f>IF($AC373&gt;Keys!$C$4, 1, 0)</f>
        <v>0</v>
      </c>
      <c r="AF373">
        <f>IF($AC373&lt;Keys!$C$5, 1, 0)</f>
        <v>0</v>
      </c>
      <c r="AG373">
        <f t="shared" si="22"/>
        <v>0</v>
      </c>
      <c r="AH373" t="str">
        <f>IFERROR(INDEX(Runs!$E:$E, MATCH($B373, Runs!$A:$A, 0)), $B373)</f>
        <v>Industry SO2</v>
      </c>
      <c r="AI373" t="str">
        <f t="shared" si="23"/>
        <v>transportation SO2</v>
      </c>
      <c r="AJ373" t="str">
        <f>IF($AG373=1, IF($AD373=1, Keys!$C$9, "") &amp; IF($AE373=1, Keys!$C$10, "") &amp; IF($AF373=1, Keys!$C$11, ""), "")</f>
        <v/>
      </c>
      <c r="AK373">
        <f>IF($AG373=1, IFERROR(INDEX($AG$2:$AG$577, MATCH($A373 &amp; Keys!$C$8 &amp; $AH373, $Y$2:$Y$577, 0)), 1), 0)</f>
        <v>0</v>
      </c>
    </row>
    <row r="374" spans="1:37" x14ac:dyDescent="0.25">
      <c r="A374" t="s">
        <v>178</v>
      </c>
      <c r="B374" t="s">
        <v>242</v>
      </c>
      <c r="C374">
        <v>53</v>
      </c>
      <c r="D374">
        <v>0.67703571500000015</v>
      </c>
      <c r="E374">
        <v>1.95132518E-3</v>
      </c>
      <c r="F374">
        <v>1.927362376999999</v>
      </c>
      <c r="G374">
        <v>2.5954684410000008</v>
      </c>
      <c r="H374">
        <v>3.9654525749999991</v>
      </c>
      <c r="I374">
        <v>4.4199038600000011E-2</v>
      </c>
      <c r="J374">
        <v>0.46655941600000012</v>
      </c>
      <c r="K374">
        <v>222.3684850569999</v>
      </c>
      <c r="L374">
        <v>37.878076037</v>
      </c>
      <c r="M374">
        <v>6.8911426200000001E-2</v>
      </c>
      <c r="N374">
        <v>8.4882833929999997</v>
      </c>
      <c r="O374">
        <v>0.173654635</v>
      </c>
      <c r="P374">
        <v>3.83444839E-3</v>
      </c>
      <c r="Q374">
        <v>8.4690496099999995E-3</v>
      </c>
      <c r="R374">
        <v>0.45907065400000002</v>
      </c>
      <c r="S374">
        <v>5.8317168590000001</v>
      </c>
      <c r="T374">
        <v>8.2837439799999988</v>
      </c>
      <c r="U374">
        <v>0</v>
      </c>
      <c r="V374">
        <v>0</v>
      </c>
      <c r="W374">
        <v>32372.793517209</v>
      </c>
      <c r="Y374" t="str">
        <f>$A374 &amp; Keys!$C$8 &amp; $B374</f>
        <v>North Dakota|Industry NO2</v>
      </c>
      <c r="Z374" s="8">
        <f>IFERROR(INDEX($U374:$W374, MATCH(INDEX(Runs!$D:$D, MATCH($B374, Runs!$A:$A, 0)), $U$1:$W$1, 0)), 0)</f>
        <v>32372.793517209</v>
      </c>
      <c r="AA374" s="8">
        <f t="shared" si="20"/>
        <v>2.0913725429351529E-5</v>
      </c>
      <c r="AB374" s="8">
        <f>IFERROR(VLOOKUP(INDEX(Runs!$F:$F, MATCH($B374, Runs!$A:$A, 0)), US_national_yearly!$D:$AM, MATCH(Keys!$C$7, US_national_yearly!$D$1:$AM$1, 0), FALSE), 0)</f>
        <v>5.8012217057786938E-3</v>
      </c>
      <c r="AC374" s="8">
        <f t="shared" si="21"/>
        <v>3.6050553642035465E-3</v>
      </c>
      <c r="AD374">
        <f>IF($Z374&lt;Keys!$C$3, 1, 0)</f>
        <v>0</v>
      </c>
      <c r="AE374">
        <f>IF($AC374&gt;Keys!$C$4, 1, 0)</f>
        <v>0</v>
      </c>
      <c r="AF374">
        <f>IF($AC374&lt;Keys!$C$5, 1, 0)</f>
        <v>0</v>
      </c>
      <c r="AG374">
        <f t="shared" si="22"/>
        <v>0</v>
      </c>
      <c r="AH374" t="str">
        <f>IFERROR(INDEX(Runs!$E:$E, MATCH($B374, Runs!$A:$A, 0)), $B374)</f>
        <v>Industry NO2</v>
      </c>
      <c r="AI374" t="str">
        <f t="shared" si="23"/>
        <v>Industry NO2</v>
      </c>
      <c r="AJ374" t="str">
        <f>IF($AG374=1, IF($AD374=1, Keys!$C$9, "") &amp; IF($AE374=1, Keys!$C$10, "") &amp; IF($AF374=1, Keys!$C$11, ""), "")</f>
        <v/>
      </c>
      <c r="AK374">
        <f>IF($AG374=1, IFERROR(INDEX($AG$2:$AG$577, MATCH($A374 &amp; Keys!$C$8 &amp; $AH374, $Y$2:$Y$577, 0)), 1), 0)</f>
        <v>0</v>
      </c>
    </row>
    <row r="375" spans="1:37" x14ac:dyDescent="0.25">
      <c r="A375" t="s">
        <v>178</v>
      </c>
      <c r="B375" t="s">
        <v>238</v>
      </c>
      <c r="C375">
        <v>53</v>
      </c>
      <c r="D375">
        <v>2.4355258229999999</v>
      </c>
      <c r="E375">
        <v>6.9457106099999983E-3</v>
      </c>
      <c r="F375">
        <v>7.0592085229999988</v>
      </c>
      <c r="G375">
        <v>9.506171943</v>
      </c>
      <c r="H375">
        <v>14.524093045000001</v>
      </c>
      <c r="I375">
        <v>0.16211598760000001</v>
      </c>
      <c r="J375">
        <v>1.703468534</v>
      </c>
      <c r="K375">
        <v>833.85269256499998</v>
      </c>
      <c r="L375">
        <v>142.10343078700001</v>
      </c>
      <c r="M375">
        <v>0.25248980869999998</v>
      </c>
      <c r="N375">
        <v>31.089473510999991</v>
      </c>
      <c r="O375">
        <v>0.64509565799999991</v>
      </c>
      <c r="P375">
        <v>1.4065709589999999E-2</v>
      </c>
      <c r="Q375">
        <v>3.1073338580000009E-2</v>
      </c>
      <c r="R375">
        <v>1.66165205</v>
      </c>
      <c r="S375">
        <v>21.103247744000001</v>
      </c>
      <c r="T375">
        <v>29.966567090999991</v>
      </c>
      <c r="U375">
        <v>2225.6610589840011</v>
      </c>
      <c r="V375">
        <v>0</v>
      </c>
      <c r="W375">
        <v>0</v>
      </c>
      <c r="Y375" t="str">
        <f>$A375 &amp; Keys!$C$8 &amp; $B375</f>
        <v>North Dakota|Industry PM25</v>
      </c>
      <c r="Z375" s="8">
        <f>IFERROR(INDEX($U375:$W375, MATCH(INDEX(Runs!$D:$D, MATCH($B375, Runs!$A:$A, 0)), $U$1:$W$1, 0)), 0)</f>
        <v>2225.6610589840011</v>
      </c>
      <c r="AA375" s="8">
        <f t="shared" si="20"/>
        <v>1.0942932272498852E-3</v>
      </c>
      <c r="AB375" s="8">
        <f>IFERROR(VLOOKUP(INDEX(Runs!$F:$F, MATCH($B375, Runs!$A:$A, 0)), US_national_yearly!$D:$AM, MATCH(Keys!$C$7, US_national_yearly!$D$1:$AM$1, 0), FALSE), 0)</f>
        <v>2.6833191881203179E-2</v>
      </c>
      <c r="AC375" s="8">
        <f t="shared" si="21"/>
        <v>4.0781329038102415E-2</v>
      </c>
      <c r="AD375">
        <f>IF($Z375&lt;Keys!$C$3, 1, 0)</f>
        <v>0</v>
      </c>
      <c r="AE375">
        <f>IF($AC375&gt;Keys!$C$4, 1, 0)</f>
        <v>0</v>
      </c>
      <c r="AF375">
        <f>IF($AC375&lt;Keys!$C$5, 1, 0)</f>
        <v>0</v>
      </c>
      <c r="AG375">
        <f t="shared" si="22"/>
        <v>0</v>
      </c>
      <c r="AH375" t="str">
        <f>IFERROR(INDEX(Runs!$E:$E, MATCH($B375, Runs!$A:$A, 0)), $B375)</f>
        <v>Industry PM25</v>
      </c>
      <c r="AI375" t="str">
        <f t="shared" si="23"/>
        <v>Industry PM25</v>
      </c>
      <c r="AJ375" t="str">
        <f>IF($AG375=1, IF($AD375=1, Keys!$C$9, "") &amp; IF($AE375=1, Keys!$C$10, "") &amp; IF($AF375=1, Keys!$C$11, ""), "")</f>
        <v/>
      </c>
      <c r="AK375">
        <f>IF($AG375=1, IFERROR(INDEX($AG$2:$AG$577, MATCH($A375 &amp; Keys!$C$8 &amp; $AH375, $Y$2:$Y$577, 0)), 1), 0)</f>
        <v>0</v>
      </c>
    </row>
    <row r="376" spans="1:37" x14ac:dyDescent="0.25">
      <c r="A376" t="s">
        <v>178</v>
      </c>
      <c r="B376" t="s">
        <v>246</v>
      </c>
      <c r="C376">
        <v>53</v>
      </c>
      <c r="D376">
        <v>1.2189724369999999</v>
      </c>
      <c r="E376">
        <v>3.6015671200000008E-3</v>
      </c>
      <c r="F376">
        <v>3.594674092</v>
      </c>
      <c r="G376">
        <v>4.8407182640000013</v>
      </c>
      <c r="H376">
        <v>7.395911262000002</v>
      </c>
      <c r="I376">
        <v>7.7612323099999991E-2</v>
      </c>
      <c r="J376">
        <v>0.83463990100000007</v>
      </c>
      <c r="K376">
        <v>408.21214966500003</v>
      </c>
      <c r="L376">
        <v>69.673738386999986</v>
      </c>
      <c r="M376">
        <v>0.122932585</v>
      </c>
      <c r="N376">
        <v>15.831303618</v>
      </c>
      <c r="O376">
        <v>0.31995334199999997</v>
      </c>
      <c r="P376">
        <v>7.1946224600000002E-3</v>
      </c>
      <c r="Q376">
        <v>1.5647018000000009E-2</v>
      </c>
      <c r="R376">
        <v>0.86719546999999997</v>
      </c>
      <c r="S376">
        <v>11.014566852</v>
      </c>
      <c r="T376">
        <v>15.642852027</v>
      </c>
      <c r="U376">
        <v>0</v>
      </c>
      <c r="V376">
        <v>5070.7228480389986</v>
      </c>
      <c r="W376">
        <v>0</v>
      </c>
      <c r="Y376" t="str">
        <f>$A376 &amp; Keys!$C$8 &amp; $B376</f>
        <v>North Dakota|Industry SO2</v>
      </c>
      <c r="Z376" s="8">
        <f>IFERROR(INDEX($U376:$W376, MATCH(INDEX(Runs!$D:$D, MATCH($B376, Runs!$A:$A, 0)), $U$1:$W$1, 0)), 0)</f>
        <v>5070.7228480389986</v>
      </c>
      <c r="AA376" s="8">
        <f t="shared" si="20"/>
        <v>2.4039421469690723E-4</v>
      </c>
      <c r="AB376" s="8">
        <f>IFERROR(VLOOKUP(INDEX(Runs!$F:$F, MATCH($B376, Runs!$A:$A, 0)), US_national_yearly!$D:$AM, MATCH(Keys!$C$7, US_national_yearly!$D$1:$AM$1, 0), FALSE), 0)</f>
        <v>5.3000351638639942E-3</v>
      </c>
      <c r="AC376" s="8">
        <f t="shared" si="21"/>
        <v>4.5357098069071615E-2</v>
      </c>
      <c r="AD376">
        <f>IF($Z376&lt;Keys!$C$3, 1, 0)</f>
        <v>0</v>
      </c>
      <c r="AE376">
        <f>IF($AC376&gt;Keys!$C$4, 1, 0)</f>
        <v>0</v>
      </c>
      <c r="AF376">
        <f>IF($AC376&lt;Keys!$C$5, 1, 0)</f>
        <v>0</v>
      </c>
      <c r="AG376">
        <f t="shared" si="22"/>
        <v>0</v>
      </c>
      <c r="AH376" t="str">
        <f>IFERROR(INDEX(Runs!$E:$E, MATCH($B376, Runs!$A:$A, 0)), $B376)</f>
        <v>Industry SO2</v>
      </c>
      <c r="AI376" t="str">
        <f t="shared" si="23"/>
        <v>Industry SO2</v>
      </c>
      <c r="AJ376" t="str">
        <f>IF($AG376=1, IF($AD376=1, Keys!$C$9, "") &amp; IF($AE376=1, Keys!$C$10, "") &amp; IF($AF376=1, Keys!$C$11, ""), "")</f>
        <v/>
      </c>
      <c r="AK376">
        <f>IF($AG376=1, IFERROR(INDEX($AG$2:$AG$577, MATCH($A376 &amp; Keys!$C$8 &amp; $AH376, $Y$2:$Y$577, 0)), 1), 0)</f>
        <v>0</v>
      </c>
    </row>
    <row r="377" spans="1:37" x14ac:dyDescent="0.25">
      <c r="A377" t="s">
        <v>178</v>
      </c>
      <c r="B377" t="s">
        <v>253</v>
      </c>
      <c r="C377">
        <v>53</v>
      </c>
      <c r="D377">
        <v>8.2190412899999996E-2</v>
      </c>
      <c r="E377">
        <v>2.433720161E-4</v>
      </c>
      <c r="F377">
        <v>0.24338217309999999</v>
      </c>
      <c r="G377">
        <v>0.32774973720000011</v>
      </c>
      <c r="H377">
        <v>0.50074489200000005</v>
      </c>
      <c r="I377">
        <v>5.4686954999999997E-3</v>
      </c>
      <c r="J377">
        <v>5.7407446499999987E-2</v>
      </c>
      <c r="K377">
        <v>29.088832335999999</v>
      </c>
      <c r="L377">
        <v>4.9628830510000022</v>
      </c>
      <c r="M377">
        <v>8.5533326199999978E-3</v>
      </c>
      <c r="N377">
        <v>1.0718768023</v>
      </c>
      <c r="O377">
        <v>2.2376390789999999E-2</v>
      </c>
      <c r="P377">
        <v>4.8875672399999995E-4</v>
      </c>
      <c r="Q377">
        <v>1.070930133E-3</v>
      </c>
      <c r="R377">
        <v>5.7027568800000011E-2</v>
      </c>
      <c r="S377">
        <v>0.7240032860000003</v>
      </c>
      <c r="T377">
        <v>1.0273410329999999</v>
      </c>
      <c r="U377">
        <v>0</v>
      </c>
      <c r="V377">
        <v>0</v>
      </c>
      <c r="W377">
        <v>1102.80069475</v>
      </c>
      <c r="Y377" t="str">
        <f>$A377 &amp; Keys!$C$8 &amp; $B377</f>
        <v>North Dakota|buildings NO2</v>
      </c>
      <c r="Z377" s="8">
        <f>IFERROR(INDEX($U377:$W377, MATCH(INDEX(Runs!$D:$D, MATCH($B377, Runs!$A:$A, 0)), $U$1:$W$1, 0)), 0)</f>
        <v>1102.80069475</v>
      </c>
      <c r="AA377" s="8">
        <f t="shared" si="20"/>
        <v>7.4528800436267576E-5</v>
      </c>
      <c r="AB377" s="8">
        <f>IFERROR(VLOOKUP(INDEX(Runs!$F:$F, MATCH($B377, Runs!$A:$A, 0)), US_national_yearly!$D:$AM, MATCH(Keys!$C$7, US_national_yearly!$D$1:$AM$1, 0), FALSE), 0)</f>
        <v>5.6784740124662739E-3</v>
      </c>
      <c r="AC377" s="8">
        <f t="shared" si="21"/>
        <v>1.3124793786614204E-2</v>
      </c>
      <c r="AD377">
        <f>IF($Z377&lt;Keys!$C$3, 1, 0)</f>
        <v>0</v>
      </c>
      <c r="AE377">
        <f>IF($AC377&gt;Keys!$C$4, 1, 0)</f>
        <v>0</v>
      </c>
      <c r="AF377">
        <f>IF($AC377&lt;Keys!$C$5, 1, 0)</f>
        <v>0</v>
      </c>
      <c r="AG377">
        <f t="shared" si="22"/>
        <v>0</v>
      </c>
      <c r="AH377" t="str">
        <f>IFERROR(INDEX(Runs!$E:$E, MATCH($B377, Runs!$A:$A, 0)), $B377)</f>
        <v>Industry NO2</v>
      </c>
      <c r="AI377" t="str">
        <f t="shared" si="23"/>
        <v>buildings NO2</v>
      </c>
      <c r="AJ377" t="str">
        <f>IF($AG377=1, IF($AD377=1, Keys!$C$9, "") &amp; IF($AE377=1, Keys!$C$10, "") &amp; IF($AF377=1, Keys!$C$11, ""), "")</f>
        <v/>
      </c>
      <c r="AK377">
        <f>IF($AG377=1, IFERROR(INDEX($AG$2:$AG$577, MATCH($A377 &amp; Keys!$C$8 &amp; $AH377, $Y$2:$Y$577, 0)), 1), 0)</f>
        <v>0</v>
      </c>
    </row>
    <row r="378" spans="1:37" x14ac:dyDescent="0.25">
      <c r="A378" t="s">
        <v>178</v>
      </c>
      <c r="B378" t="s">
        <v>251</v>
      </c>
      <c r="C378">
        <v>53</v>
      </c>
      <c r="D378">
        <v>1.126675728599999E-2</v>
      </c>
      <c r="E378">
        <v>3.1782154719999997E-5</v>
      </c>
      <c r="F378">
        <v>3.4883205759999987E-2</v>
      </c>
      <c r="G378">
        <v>4.6975356010000011E-2</v>
      </c>
      <c r="H378">
        <v>7.1770176290000015E-2</v>
      </c>
      <c r="I378">
        <v>7.5340683529999993E-4</v>
      </c>
      <c r="J378">
        <v>7.958461642E-3</v>
      </c>
      <c r="K378">
        <v>4.2463000089999996</v>
      </c>
      <c r="L378">
        <v>0.72537716329999991</v>
      </c>
      <c r="M378">
        <v>1.187825104E-3</v>
      </c>
      <c r="N378">
        <v>0.15362873805999999</v>
      </c>
      <c r="O378">
        <v>3.2371472490000009E-3</v>
      </c>
      <c r="P378">
        <v>7.0342911119999988E-5</v>
      </c>
      <c r="Q378">
        <v>1.5212528879999989E-4</v>
      </c>
      <c r="R378">
        <v>8.1196183979999961E-3</v>
      </c>
      <c r="S378">
        <v>0.1030555041</v>
      </c>
      <c r="T378">
        <v>0.14616444049999999</v>
      </c>
      <c r="U378">
        <v>6.9639021369999998</v>
      </c>
      <c r="V378">
        <v>0</v>
      </c>
      <c r="W378">
        <v>0</v>
      </c>
      <c r="Y378" t="str">
        <f>$A378 &amp; Keys!$C$8 &amp; $B378</f>
        <v>North Dakota|buildings PM25</v>
      </c>
      <c r="Z378" s="8">
        <f>IFERROR(INDEX($U378:$W378, MATCH(INDEX(Runs!$D:$D, MATCH($B378, Runs!$A:$A, 0)), $U$1:$W$1, 0)), 0)</f>
        <v>6.9639021369999998</v>
      </c>
      <c r="AA378" s="8">
        <f t="shared" si="20"/>
        <v>1.6178798989920369E-3</v>
      </c>
      <c r="AB378" s="8">
        <f>IFERROR(VLOOKUP(INDEX(Runs!$F:$F, MATCH($B378, Runs!$A:$A, 0)), US_national_yearly!$D:$AM, MATCH(Keys!$C$7, US_national_yearly!$D$1:$AM$1, 0), FALSE), 0)</f>
        <v>2.7627705191843259E-2</v>
      </c>
      <c r="AC378" s="8">
        <f t="shared" si="21"/>
        <v>5.8560053676470242E-2</v>
      </c>
      <c r="AD378">
        <f>IF($Z378&lt;Keys!$C$3, 1, 0)</f>
        <v>0</v>
      </c>
      <c r="AE378">
        <f>IF($AC378&gt;Keys!$C$4, 1, 0)</f>
        <v>0</v>
      </c>
      <c r="AF378">
        <f>IF($AC378&lt;Keys!$C$5, 1, 0)</f>
        <v>0</v>
      </c>
      <c r="AG378">
        <f t="shared" si="22"/>
        <v>0</v>
      </c>
      <c r="AH378" t="str">
        <f>IFERROR(INDEX(Runs!$E:$E, MATCH($B378, Runs!$A:$A, 0)), $B378)</f>
        <v>Industry PM25</v>
      </c>
      <c r="AI378" t="str">
        <f t="shared" si="23"/>
        <v>buildings PM25</v>
      </c>
      <c r="AJ378" t="str">
        <f>IF($AG378=1, IF($AD378=1, Keys!$C$9, "") &amp; IF($AE378=1, Keys!$C$10, "") &amp; IF($AF378=1, Keys!$C$11, ""), "")</f>
        <v/>
      </c>
      <c r="AK378">
        <f>IF($AG378=1, IFERROR(INDEX($AG$2:$AG$577, MATCH($A378 &amp; Keys!$C$8 &amp; $AH378, $Y$2:$Y$577, 0)), 1), 0)</f>
        <v>0</v>
      </c>
    </row>
    <row r="379" spans="1:37" x14ac:dyDescent="0.25">
      <c r="A379" t="s">
        <v>178</v>
      </c>
      <c r="B379" t="s">
        <v>254</v>
      </c>
      <c r="C379">
        <v>53</v>
      </c>
      <c r="D379">
        <v>2.1094173970000001E-2</v>
      </c>
      <c r="E379">
        <v>5.6546374720000008E-5</v>
      </c>
      <c r="F379">
        <v>6.3336444780000001E-2</v>
      </c>
      <c r="G379">
        <v>8.5291813599999988E-2</v>
      </c>
      <c r="H379">
        <v>0.13031106889999999</v>
      </c>
      <c r="I379">
        <v>1.400776657E-3</v>
      </c>
      <c r="J379">
        <v>1.4638247749999989E-2</v>
      </c>
      <c r="K379">
        <v>7.6694692079999989</v>
      </c>
      <c r="L379">
        <v>1.309203704</v>
      </c>
      <c r="M379">
        <v>2.193867781999999E-3</v>
      </c>
      <c r="N379">
        <v>0.27893932727999993</v>
      </c>
      <c r="O379">
        <v>5.868842327E-3</v>
      </c>
      <c r="P379">
        <v>1.2823833609999999E-4</v>
      </c>
      <c r="Q379">
        <v>2.7795199309999999E-4</v>
      </c>
      <c r="R379">
        <v>1.4755995419999999E-2</v>
      </c>
      <c r="S379">
        <v>0.18731259399999989</v>
      </c>
      <c r="T379">
        <v>0.26573185399999999</v>
      </c>
      <c r="U379">
        <v>0</v>
      </c>
      <c r="V379">
        <v>86.585138823000008</v>
      </c>
      <c r="W379">
        <v>0</v>
      </c>
      <c r="Y379" t="str">
        <f>$A379 &amp; Keys!$C$8 &amp; $B379</f>
        <v>North Dakota|buildings SO2</v>
      </c>
      <c r="Z379" s="8">
        <f>IFERROR(INDEX($U379:$W379, MATCH(INDEX(Runs!$D:$D, MATCH($B379, Runs!$A:$A, 0)), $U$1:$W$1, 0)), 0)</f>
        <v>86.585138823000008</v>
      </c>
      <c r="AA379" s="8">
        <f t="shared" si="20"/>
        <v>2.4362349309298167E-4</v>
      </c>
      <c r="AB379" s="8">
        <f>IFERROR(VLOOKUP(INDEX(Runs!$F:$F, MATCH($B379, Runs!$A:$A, 0)), US_national_yearly!$D:$AM, MATCH(Keys!$C$7, US_national_yearly!$D$1:$AM$1, 0), FALSE), 0)</f>
        <v>5.1581943281164694E-3</v>
      </c>
      <c r="AC379" s="8">
        <f t="shared" si="21"/>
        <v>4.7230382881278836E-2</v>
      </c>
      <c r="AD379">
        <f>IF($Z379&lt;Keys!$C$3, 1, 0)</f>
        <v>0</v>
      </c>
      <c r="AE379">
        <f>IF($AC379&gt;Keys!$C$4, 1, 0)</f>
        <v>0</v>
      </c>
      <c r="AF379">
        <f>IF($AC379&lt;Keys!$C$5, 1, 0)</f>
        <v>0</v>
      </c>
      <c r="AG379">
        <f t="shared" si="22"/>
        <v>0</v>
      </c>
      <c r="AH379" t="str">
        <f>IFERROR(INDEX(Runs!$E:$E, MATCH($B379, Runs!$A:$A, 0)), $B379)</f>
        <v>Industry SO2</v>
      </c>
      <c r="AI379" t="str">
        <f t="shared" si="23"/>
        <v>buildings SO2</v>
      </c>
      <c r="AJ379" t="str">
        <f>IF($AG379=1, IF($AD379=1, Keys!$C$9, "") &amp; IF($AE379=1, Keys!$C$10, "") &amp; IF($AF379=1, Keys!$C$11, ""), "")</f>
        <v/>
      </c>
      <c r="AK379">
        <f>IF($AG379=1, IFERROR(INDEX($AG$2:$AG$577, MATCH($A379 &amp; Keys!$C$8 &amp; $AH379, $Y$2:$Y$577, 0)), 1), 0)</f>
        <v>0</v>
      </c>
    </row>
    <row r="380" spans="1:37" x14ac:dyDescent="0.25">
      <c r="A380" t="s">
        <v>178</v>
      </c>
      <c r="B380" t="s">
        <v>249</v>
      </c>
      <c r="C380">
        <v>53</v>
      </c>
      <c r="D380">
        <v>1.8268860339999999</v>
      </c>
      <c r="E380">
        <v>5.0756887499999997E-3</v>
      </c>
      <c r="F380">
        <v>4.7392790760000016</v>
      </c>
      <c r="G380">
        <v>6.3820458899999979</v>
      </c>
      <c r="H380">
        <v>9.7509736109999992</v>
      </c>
      <c r="I380">
        <v>0.1232857805</v>
      </c>
      <c r="J380">
        <v>1.2695912359999999</v>
      </c>
      <c r="K380">
        <v>539.44800475399984</v>
      </c>
      <c r="L380">
        <v>91.602148875999987</v>
      </c>
      <c r="M380">
        <v>0.1876708215999999</v>
      </c>
      <c r="N380">
        <v>20.872298576999999</v>
      </c>
      <c r="O380">
        <v>0.42736305200000008</v>
      </c>
      <c r="P380">
        <v>9.3864877799999993E-3</v>
      </c>
      <c r="Q380">
        <v>2.1638396920000011E-2</v>
      </c>
      <c r="R380">
        <v>1.1387365300000001</v>
      </c>
      <c r="S380">
        <v>14.476063080999999</v>
      </c>
      <c r="T380">
        <v>20.590643286999999</v>
      </c>
      <c r="U380">
        <v>0</v>
      </c>
      <c r="V380">
        <v>0</v>
      </c>
      <c r="W380">
        <v>25379.227740599999</v>
      </c>
      <c r="Y380" t="str">
        <f>$A380 &amp; Keys!$C$8 &amp; $B380</f>
        <v>North Dakota|electricity NO2</v>
      </c>
      <c r="Z380" s="8">
        <f>IFERROR(INDEX($U380:$W380, MATCH(INDEX(Runs!$D:$D, MATCH($B380, Runs!$A:$A, 0)), $U$1:$W$1, 0)), 0)</f>
        <v>25379.227740599999</v>
      </c>
      <c r="AA380" s="8">
        <f t="shared" si="20"/>
        <v>7.1983515521926978E-5</v>
      </c>
      <c r="AB380" s="8">
        <f>IFERROR(VLOOKUP(INDEX(Runs!$F:$F, MATCH($B380, Runs!$A:$A, 0)), US_national_yearly!$D:$AM, MATCH(Keys!$C$7, US_national_yearly!$D$1:$AM$1, 0), FALSE), 0)</f>
        <v>6.1439221592658041E-3</v>
      </c>
      <c r="AC380" s="8">
        <f t="shared" si="21"/>
        <v>1.1716215416786625E-2</v>
      </c>
      <c r="AD380">
        <f>IF($Z380&lt;Keys!$C$3, 1, 0)</f>
        <v>0</v>
      </c>
      <c r="AE380">
        <f>IF($AC380&gt;Keys!$C$4, 1, 0)</f>
        <v>0</v>
      </c>
      <c r="AF380">
        <f>IF($AC380&lt;Keys!$C$5, 1, 0)</f>
        <v>0</v>
      </c>
      <c r="AG380">
        <f t="shared" si="22"/>
        <v>0</v>
      </c>
      <c r="AH380" t="str">
        <f>IFERROR(INDEX(Runs!$E:$E, MATCH($B380, Runs!$A:$A, 0)), $B380)</f>
        <v>Industry NO2</v>
      </c>
      <c r="AI380" t="str">
        <f t="shared" si="23"/>
        <v>electricity NO2</v>
      </c>
      <c r="AJ380" t="str">
        <f>IF($AG380=1, IF($AD380=1, Keys!$C$9, "") &amp; IF($AE380=1, Keys!$C$10, "") &amp; IF($AF380=1, Keys!$C$11, ""), "")</f>
        <v/>
      </c>
      <c r="AK380">
        <f>IF($AG380=1, IFERROR(INDEX($AG$2:$AG$577, MATCH($A380 &amp; Keys!$C$8 &amp; $AH380, $Y$2:$Y$577, 0)), 1), 0)</f>
        <v>0</v>
      </c>
    </row>
    <row r="381" spans="1:37" x14ac:dyDescent="0.25">
      <c r="A381" t="s">
        <v>178</v>
      </c>
      <c r="B381" t="s">
        <v>247</v>
      </c>
      <c r="C381">
        <v>53</v>
      </c>
      <c r="D381">
        <v>0.70541000370000007</v>
      </c>
      <c r="E381">
        <v>2.0074272049999992E-3</v>
      </c>
      <c r="F381">
        <v>1.81961638</v>
      </c>
      <c r="G381">
        <v>2.4503663279999999</v>
      </c>
      <c r="H381">
        <v>3.7437842749999999</v>
      </c>
      <c r="I381">
        <v>4.8263238300000018E-2</v>
      </c>
      <c r="J381">
        <v>0.49647771200000002</v>
      </c>
      <c r="K381">
        <v>207.12028373199999</v>
      </c>
      <c r="L381">
        <v>35.161521159000003</v>
      </c>
      <c r="M381">
        <v>7.3294283099999996E-2</v>
      </c>
      <c r="N381">
        <v>8.013766983</v>
      </c>
      <c r="O381">
        <v>0.1643172642999999</v>
      </c>
      <c r="P381">
        <v>3.598918103E-3</v>
      </c>
      <c r="Q381">
        <v>8.3817179199999984E-3</v>
      </c>
      <c r="R381">
        <v>0.43765451399999999</v>
      </c>
      <c r="S381">
        <v>5.5625141489999992</v>
      </c>
      <c r="T381">
        <v>7.9084653670000007</v>
      </c>
      <c r="U381">
        <v>1104.38751959</v>
      </c>
      <c r="V381">
        <v>0</v>
      </c>
      <c r="W381">
        <v>0</v>
      </c>
      <c r="Y381" t="str">
        <f>$A381 &amp; Keys!$C$8 &amp; $B381</f>
        <v>North Dakota|electricity PM25</v>
      </c>
      <c r="Z381" s="8">
        <f>IFERROR(INDEX($U381:$W381, MATCH(INDEX(Runs!$D:$D, MATCH($B381, Runs!$A:$A, 0)), $U$1:$W$1, 0)), 0)</f>
        <v>1104.38751959</v>
      </c>
      <c r="AA381" s="8">
        <f t="shared" si="20"/>
        <v>6.3873413198465071E-4</v>
      </c>
      <c r="AB381" s="8">
        <f>IFERROR(VLOOKUP(INDEX(Runs!$F:$F, MATCH($B381, Runs!$A:$A, 0)), US_national_yearly!$D:$AM, MATCH(Keys!$C$7, US_national_yearly!$D$1:$AM$1, 0), FALSE), 0)</f>
        <v>2.4252978284752182E-2</v>
      </c>
      <c r="AC381" s="8">
        <f t="shared" si="21"/>
        <v>2.6336317316798245E-2</v>
      </c>
      <c r="AD381">
        <f>IF($Z381&lt;Keys!$C$3, 1, 0)</f>
        <v>0</v>
      </c>
      <c r="AE381">
        <f>IF($AC381&gt;Keys!$C$4, 1, 0)</f>
        <v>0</v>
      </c>
      <c r="AF381">
        <f>IF($AC381&lt;Keys!$C$5, 1, 0)</f>
        <v>0</v>
      </c>
      <c r="AG381">
        <f t="shared" si="22"/>
        <v>0</v>
      </c>
      <c r="AH381" t="str">
        <f>IFERROR(INDEX(Runs!$E:$E, MATCH($B381, Runs!$A:$A, 0)), $B381)</f>
        <v>Industry PM25</v>
      </c>
      <c r="AI381" t="str">
        <f t="shared" si="23"/>
        <v>electricity PM25</v>
      </c>
      <c r="AJ381" t="str">
        <f>IF($AG381=1, IF($AD381=1, Keys!$C$9, "") &amp; IF($AE381=1, Keys!$C$10, "") &amp; IF($AF381=1, Keys!$C$11, ""), "")</f>
        <v/>
      </c>
      <c r="AK381">
        <f>IF($AG381=1, IFERROR(INDEX($AG$2:$AG$577, MATCH($A381 &amp; Keys!$C$8 &amp; $AH381, $Y$2:$Y$577, 0)), 1), 0)</f>
        <v>0</v>
      </c>
    </row>
    <row r="382" spans="1:37" x14ac:dyDescent="0.25">
      <c r="A382" t="s">
        <v>178</v>
      </c>
      <c r="B382" t="s">
        <v>250</v>
      </c>
      <c r="C382">
        <v>53</v>
      </c>
      <c r="D382">
        <v>0.90510103499999972</v>
      </c>
      <c r="E382">
        <v>2.5652100589999998E-3</v>
      </c>
      <c r="F382">
        <v>2.3601711579999991</v>
      </c>
      <c r="G382">
        <v>3.17829725</v>
      </c>
      <c r="H382">
        <v>4.8559555120000004</v>
      </c>
      <c r="I382">
        <v>6.1586285699999993E-2</v>
      </c>
      <c r="J382">
        <v>0.6339631440000002</v>
      </c>
      <c r="K382">
        <v>268.83350584300001</v>
      </c>
      <c r="L382">
        <v>45.655481502000008</v>
      </c>
      <c r="M382">
        <v>9.370667119999998E-2</v>
      </c>
      <c r="N382">
        <v>10.394423919999999</v>
      </c>
      <c r="O382">
        <v>0.21296277089999999</v>
      </c>
      <c r="P382">
        <v>4.6744976399999989E-3</v>
      </c>
      <c r="Q382">
        <v>1.078904774E-2</v>
      </c>
      <c r="R382">
        <v>0.56654344599999984</v>
      </c>
      <c r="S382">
        <v>7.2004178089999993</v>
      </c>
      <c r="T382">
        <v>10.236598905999999</v>
      </c>
      <c r="U382">
        <v>0</v>
      </c>
      <c r="V382">
        <v>13364.919199365</v>
      </c>
      <c r="W382">
        <v>0</v>
      </c>
      <c r="Y382" t="str">
        <f>$A382 &amp; Keys!$C$8 &amp; $B382</f>
        <v>North Dakota|electricity SO2</v>
      </c>
      <c r="Z382" s="8">
        <f>IFERROR(INDEX($U382:$W382, MATCH(INDEX(Runs!$D:$D, MATCH($B382, Runs!$A:$A, 0)), $U$1:$W$1, 0)), 0)</f>
        <v>13364.919199365</v>
      </c>
      <c r="AA382" s="8">
        <f t="shared" si="20"/>
        <v>6.7722147923124243E-5</v>
      </c>
      <c r="AB382" s="8">
        <f>IFERROR(VLOOKUP(INDEX(Runs!$F:$F, MATCH($B382, Runs!$A:$A, 0)), US_national_yearly!$D:$AM, MATCH(Keys!$C$7, US_national_yearly!$D$1:$AM$1, 0), FALSE), 0)</f>
        <v>5.7032329662362116E-3</v>
      </c>
      <c r="AC382" s="8">
        <f t="shared" si="21"/>
        <v>1.1874343608975307E-2</v>
      </c>
      <c r="AD382">
        <f>IF($Z382&lt;Keys!$C$3, 1, 0)</f>
        <v>0</v>
      </c>
      <c r="AE382">
        <f>IF($AC382&gt;Keys!$C$4, 1, 0)</f>
        <v>0</v>
      </c>
      <c r="AF382">
        <f>IF($AC382&lt;Keys!$C$5, 1, 0)</f>
        <v>0</v>
      </c>
      <c r="AG382">
        <f t="shared" si="22"/>
        <v>0</v>
      </c>
      <c r="AH382" t="str">
        <f>IFERROR(INDEX(Runs!$E:$E, MATCH($B382, Runs!$A:$A, 0)), $B382)</f>
        <v>Industry SO2</v>
      </c>
      <c r="AI382" t="str">
        <f t="shared" si="23"/>
        <v>electricity SO2</v>
      </c>
      <c r="AJ382" t="str">
        <f>IF($AG382=1, IF($AD382=1, Keys!$C$9, "") &amp; IF($AE382=1, Keys!$C$10, "") &amp; IF($AF382=1, Keys!$C$11, ""), "")</f>
        <v/>
      </c>
      <c r="AK382">
        <f>IF($AG382=1, IFERROR(INDEX($AG$2:$AG$577, MATCH($A382 &amp; Keys!$C$8 &amp; $AH382, $Y$2:$Y$577, 0)), 1), 0)</f>
        <v>0</v>
      </c>
    </row>
    <row r="383" spans="1:37" x14ac:dyDescent="0.25">
      <c r="A383" t="s">
        <v>178</v>
      </c>
      <c r="B383" t="s">
        <v>239</v>
      </c>
      <c r="C383">
        <v>53</v>
      </c>
      <c r="D383">
        <v>2.5650693969999998</v>
      </c>
      <c r="E383">
        <v>7.1745418300000006E-3</v>
      </c>
      <c r="F383">
        <v>7.4165896170000023</v>
      </c>
      <c r="G383">
        <v>9.9874344480000001</v>
      </c>
      <c r="H383">
        <v>15.259391314</v>
      </c>
      <c r="I383">
        <v>0.16917212000000001</v>
      </c>
      <c r="J383">
        <v>1.759901756000001</v>
      </c>
      <c r="K383">
        <v>883.23481944800005</v>
      </c>
      <c r="L383">
        <v>150.59871630999999</v>
      </c>
      <c r="M383">
        <v>0.26347073700000001</v>
      </c>
      <c r="N383">
        <v>32.663415379</v>
      </c>
      <c r="O383">
        <v>0.68110438199999979</v>
      </c>
      <c r="P383">
        <v>1.4964742560000001E-2</v>
      </c>
      <c r="Q383">
        <v>3.2839490200000002E-2</v>
      </c>
      <c r="R383">
        <v>1.737613602000001</v>
      </c>
      <c r="S383">
        <v>22.064398893</v>
      </c>
      <c r="T383">
        <v>31.322798284000001</v>
      </c>
      <c r="U383">
        <v>0</v>
      </c>
      <c r="V383">
        <v>0</v>
      </c>
      <c r="W383">
        <v>40358.769057400001</v>
      </c>
      <c r="Y383" t="str">
        <f>$A383 &amp; Keys!$C$8 &amp; $B383</f>
        <v>North Dakota|transportation NO2</v>
      </c>
      <c r="Z383" s="8">
        <f>IFERROR(INDEX($U383:$W383, MATCH(INDEX(Runs!$D:$D, MATCH($B383, Runs!$A:$A, 0)), $U$1:$W$1, 0)), 0)</f>
        <v>40358.769057400001</v>
      </c>
      <c r="AA383" s="8">
        <f t="shared" si="20"/>
        <v>6.3556680664661651E-5</v>
      </c>
      <c r="AB383" s="8">
        <f>IFERROR(VLOOKUP(INDEX(Runs!$F:$F, MATCH($B383, Runs!$A:$A, 0)), US_national_yearly!$D:$AM, MATCH(Keys!$C$7, US_national_yearly!$D$1:$AM$1, 0), FALSE), 0)</f>
        <v>5.7148835886332216E-3</v>
      </c>
      <c r="AC383" s="8">
        <f t="shared" si="21"/>
        <v>1.1121255521472825E-2</v>
      </c>
      <c r="AD383">
        <f>IF($Z383&lt;Keys!$C$3, 1, 0)</f>
        <v>0</v>
      </c>
      <c r="AE383">
        <f>IF($AC383&gt;Keys!$C$4, 1, 0)</f>
        <v>0</v>
      </c>
      <c r="AF383">
        <f>IF($AC383&lt;Keys!$C$5, 1, 0)</f>
        <v>0</v>
      </c>
      <c r="AG383">
        <f t="shared" si="22"/>
        <v>0</v>
      </c>
      <c r="AH383" t="str">
        <f>IFERROR(INDEX(Runs!$E:$E, MATCH($B383, Runs!$A:$A, 0)), $B383)</f>
        <v>Industry NO2</v>
      </c>
      <c r="AI383" t="str">
        <f t="shared" si="23"/>
        <v>transportation NO2</v>
      </c>
      <c r="AJ383" t="str">
        <f>IF($AG383=1, IF($AD383=1, Keys!$C$9, "") &amp; IF($AE383=1, Keys!$C$10, "") &amp; IF($AF383=1, Keys!$C$11, ""), "")</f>
        <v/>
      </c>
      <c r="AK383">
        <f>IF($AG383=1, IFERROR(INDEX($AG$2:$AG$577, MATCH($A383 &amp; Keys!$C$8 &amp; $AH383, $Y$2:$Y$577, 0)), 1), 0)</f>
        <v>0</v>
      </c>
    </row>
    <row r="384" spans="1:37" x14ac:dyDescent="0.25">
      <c r="A384" t="s">
        <v>178</v>
      </c>
      <c r="B384" t="s">
        <v>234</v>
      </c>
      <c r="C384">
        <v>53</v>
      </c>
      <c r="D384">
        <v>1.4986174889999999</v>
      </c>
      <c r="E384">
        <v>4.2153191600000006E-3</v>
      </c>
      <c r="F384">
        <v>4.3893796620000014</v>
      </c>
      <c r="G384">
        <v>5.910910135</v>
      </c>
      <c r="H384">
        <v>9.0309634370000023</v>
      </c>
      <c r="I384">
        <v>9.9173134400000015E-2</v>
      </c>
      <c r="J384">
        <v>1.035158198</v>
      </c>
      <c r="K384">
        <v>525.38090252100005</v>
      </c>
      <c r="L384">
        <v>89.603595512999973</v>
      </c>
      <c r="M384">
        <v>0.15471906699999999</v>
      </c>
      <c r="N384">
        <v>19.331253233999998</v>
      </c>
      <c r="O384">
        <v>0.404068445</v>
      </c>
      <c r="P384">
        <v>8.8353459099999969E-3</v>
      </c>
      <c r="Q384">
        <v>1.932881933E-2</v>
      </c>
      <c r="R384">
        <v>1.0257195960000001</v>
      </c>
      <c r="S384">
        <v>13.023107052</v>
      </c>
      <c r="T384">
        <v>18.483015751</v>
      </c>
      <c r="U384">
        <v>1074.0052802360001</v>
      </c>
      <c r="V384">
        <v>0</v>
      </c>
      <c r="W384">
        <v>0</v>
      </c>
      <c r="Y384" t="str">
        <f>$A384 &amp; Keys!$C$8 &amp; $B384</f>
        <v>North Dakota|transportation PM25</v>
      </c>
      <c r="Z384" s="8">
        <f>IFERROR(INDEX($U384:$W384, MATCH(INDEX(Runs!$D:$D, MATCH($B384, Runs!$A:$A, 0)), $U$1:$W$1, 0)), 0)</f>
        <v>1074.0052802360001</v>
      </c>
      <c r="AA384" s="8">
        <f t="shared" si="20"/>
        <v>1.3953539303556276E-3</v>
      </c>
      <c r="AB384" s="8">
        <f>IFERROR(VLOOKUP(INDEX(Runs!$F:$F, MATCH($B384, Runs!$A:$A, 0)), US_national_yearly!$D:$AM, MATCH(Keys!$C$7, US_national_yearly!$D$1:$AM$1, 0), FALSE), 0)</f>
        <v>2.8248683697579859E-2</v>
      </c>
      <c r="AC384" s="8">
        <f t="shared" si="21"/>
        <v>4.9395361047395329E-2</v>
      </c>
      <c r="AD384">
        <f>IF($Z384&lt;Keys!$C$3, 1, 0)</f>
        <v>0</v>
      </c>
      <c r="AE384">
        <f>IF($AC384&gt;Keys!$C$4, 1, 0)</f>
        <v>0</v>
      </c>
      <c r="AF384">
        <f>IF($AC384&lt;Keys!$C$5, 1, 0)</f>
        <v>0</v>
      </c>
      <c r="AG384">
        <f t="shared" si="22"/>
        <v>0</v>
      </c>
      <c r="AH384" t="str">
        <f>IFERROR(INDEX(Runs!$E:$E, MATCH($B384, Runs!$A:$A, 0)), $B384)</f>
        <v>Industry PM25</v>
      </c>
      <c r="AI384" t="str">
        <f t="shared" si="23"/>
        <v>transportation PM25</v>
      </c>
      <c r="AJ384" t="str">
        <f>IF($AG384=1, IF($AD384=1, Keys!$C$9, "") &amp; IF($AE384=1, Keys!$C$10, "") &amp; IF($AF384=1, Keys!$C$11, ""), "")</f>
        <v/>
      </c>
      <c r="AK384">
        <f>IF($AG384=1, IFERROR(INDEX($AG$2:$AG$577, MATCH($A384 &amp; Keys!$C$8 &amp; $AH384, $Y$2:$Y$577, 0)), 1), 0)</f>
        <v>0</v>
      </c>
    </row>
    <row r="385" spans="1:37" x14ac:dyDescent="0.25">
      <c r="A385" t="s">
        <v>178</v>
      </c>
      <c r="B385" t="s">
        <v>243</v>
      </c>
      <c r="C385">
        <v>53</v>
      </c>
      <c r="D385">
        <v>2.8299683079999999E-2</v>
      </c>
      <c r="E385">
        <v>8.5461311000000018E-5</v>
      </c>
      <c r="F385">
        <v>8.7551111599999953E-2</v>
      </c>
      <c r="G385">
        <v>0.1179004136</v>
      </c>
      <c r="H385">
        <v>0.18013134929999999</v>
      </c>
      <c r="I385">
        <v>1.868532592E-3</v>
      </c>
      <c r="J385">
        <v>1.9777641239999991E-2</v>
      </c>
      <c r="K385">
        <v>10.639078207000001</v>
      </c>
      <c r="L385">
        <v>1.816616091</v>
      </c>
      <c r="M385">
        <v>2.9482752699999991E-3</v>
      </c>
      <c r="N385">
        <v>0.38558287450000001</v>
      </c>
      <c r="O385">
        <v>8.1043351799999965E-3</v>
      </c>
      <c r="P385">
        <v>1.756889907E-4</v>
      </c>
      <c r="Q385">
        <v>3.7780980549999993E-4</v>
      </c>
      <c r="R385">
        <v>2.0324573960000009E-2</v>
      </c>
      <c r="S385">
        <v>0.25796585109999998</v>
      </c>
      <c r="T385">
        <v>0.36588274819999977</v>
      </c>
      <c r="U385">
        <v>0</v>
      </c>
      <c r="V385">
        <v>96.24215825899995</v>
      </c>
      <c r="W385">
        <v>0</v>
      </c>
      <c r="Y385" t="str">
        <f>$A385 &amp; Keys!$C$8 &amp; $B385</f>
        <v>North Dakota|transportation SO2</v>
      </c>
      <c r="Z385" s="8">
        <f>IFERROR(INDEX($U385:$W385, MATCH(INDEX(Runs!$D:$D, MATCH($B385, Runs!$A:$A, 0)), $U$1:$W$1, 0)), 0)</f>
        <v>96.24215825899995</v>
      </c>
      <c r="AA385" s="8">
        <f t="shared" si="20"/>
        <v>2.9404663810470597E-4</v>
      </c>
      <c r="AB385" s="8">
        <f>IFERROR(VLOOKUP(INDEX(Runs!$F:$F, MATCH($B385, Runs!$A:$A, 0)), US_national_yearly!$D:$AM, MATCH(Keys!$C$7, US_national_yearly!$D$1:$AM$1, 0), FALSE), 0)</f>
        <v>5.1800714166247604E-3</v>
      </c>
      <c r="AC385" s="8">
        <f t="shared" si="21"/>
        <v>5.6764977633513278E-2</v>
      </c>
      <c r="AD385">
        <f>IF($Z385&lt;Keys!$C$3, 1, 0)</f>
        <v>0</v>
      </c>
      <c r="AE385">
        <f>IF($AC385&gt;Keys!$C$4, 1, 0)</f>
        <v>0</v>
      </c>
      <c r="AF385">
        <f>IF($AC385&lt;Keys!$C$5, 1, 0)</f>
        <v>0</v>
      </c>
      <c r="AG385">
        <f t="shared" si="22"/>
        <v>0</v>
      </c>
      <c r="AH385" t="str">
        <f>IFERROR(INDEX(Runs!$E:$E, MATCH($B385, Runs!$A:$A, 0)), $B385)</f>
        <v>Industry SO2</v>
      </c>
      <c r="AI385" t="str">
        <f t="shared" si="23"/>
        <v>transportation SO2</v>
      </c>
      <c r="AJ385" t="str">
        <f>IF($AG385=1, IF($AD385=1, Keys!$C$9, "") &amp; IF($AE385=1, Keys!$C$10, "") &amp; IF($AF385=1, Keys!$C$11, ""), "")</f>
        <v/>
      </c>
      <c r="AK385">
        <f>IF($AG385=1, IFERROR(INDEX($AG$2:$AG$577, MATCH($A385 &amp; Keys!$C$8 &amp; $AH385, $Y$2:$Y$577, 0)), 1), 0)</f>
        <v>0</v>
      </c>
    </row>
    <row r="386" spans="1:37" x14ac:dyDescent="0.25">
      <c r="A386" t="s">
        <v>181</v>
      </c>
      <c r="B386" t="s">
        <v>242</v>
      </c>
      <c r="C386">
        <v>88</v>
      </c>
      <c r="D386">
        <v>62.895211028000013</v>
      </c>
      <c r="E386">
        <v>0.1491997161000001</v>
      </c>
      <c r="F386">
        <v>128.88913763000011</v>
      </c>
      <c r="G386">
        <v>173.56553291899999</v>
      </c>
      <c r="H386">
        <v>265.18725401400002</v>
      </c>
      <c r="I386">
        <v>4.4797127140000006</v>
      </c>
      <c r="J386">
        <v>25.81723101799999</v>
      </c>
      <c r="K386">
        <v>15813.978744550001</v>
      </c>
      <c r="L386">
        <v>2665.0253049399989</v>
      </c>
      <c r="M386">
        <v>6.4839552369999973</v>
      </c>
      <c r="N386">
        <v>567.64192456300009</v>
      </c>
      <c r="O386">
        <v>12.091981289</v>
      </c>
      <c r="P386">
        <v>0.58878833300000022</v>
      </c>
      <c r="Q386">
        <v>1.3903883349999999</v>
      </c>
      <c r="R386">
        <v>30.01727622000001</v>
      </c>
      <c r="S386">
        <v>381.67302468799983</v>
      </c>
      <c r="T386">
        <v>543.0888406680001</v>
      </c>
      <c r="U386">
        <v>0</v>
      </c>
      <c r="V386">
        <v>0</v>
      </c>
      <c r="W386">
        <v>47460.032048189023</v>
      </c>
      <c r="Y386" t="str">
        <f>$A386 &amp; Keys!$C$8 &amp; $B386</f>
        <v>Ohio|Industry NO2</v>
      </c>
      <c r="Z386" s="8">
        <f>IFERROR(INDEX($U386:$W386, MATCH(INDEX(Runs!$D:$D, MATCH($B386, Runs!$A:$A, 0)), $U$1:$W$1, 0)), 0)</f>
        <v>47460.032048189023</v>
      </c>
      <c r="AA386" s="8">
        <f t="shared" ref="AA386:AA449" si="24">IFERROR($D386/$Z386, 0)</f>
        <v>1.3252247904961111E-3</v>
      </c>
      <c r="AB386" s="8">
        <f>IFERROR(VLOOKUP(INDEX(Runs!$F:$F, MATCH($B386, Runs!$A:$A, 0)), US_national_yearly!$D:$AM, MATCH(Keys!$C$7, US_national_yearly!$D$1:$AM$1, 0), FALSE), 0)</f>
        <v>5.8012217057786938E-3</v>
      </c>
      <c r="AC386" s="8">
        <f t="shared" ref="AC386:AC449" si="25">IFERROR($AA386/$AB386, 0)</f>
        <v>0.22843891471619376</v>
      </c>
      <c r="AD386">
        <f>IF($Z386&lt;Keys!$C$3, 1, 0)</f>
        <v>0</v>
      </c>
      <c r="AE386">
        <f>IF($AC386&gt;Keys!$C$4, 1, 0)</f>
        <v>0</v>
      </c>
      <c r="AF386">
        <f>IF($AC386&lt;Keys!$C$5, 1, 0)</f>
        <v>0</v>
      </c>
      <c r="AG386">
        <f t="shared" ref="AG386:AG449" si="26">IF($AD386+$AE386+$AF386&gt;0, 1, 0)</f>
        <v>0</v>
      </c>
      <c r="AH386" t="str">
        <f>IFERROR(INDEX(Runs!$E:$E, MATCH($B386, Runs!$A:$A, 0)), $B386)</f>
        <v>Industry NO2</v>
      </c>
      <c r="AI386" t="str">
        <f t="shared" ref="AI386:AI449" si="27">IF($AG386=1, $AH386, $B386)</f>
        <v>Industry NO2</v>
      </c>
      <c r="AJ386" t="str">
        <f>IF($AG386=1, IF($AD386=1, Keys!$C$9, "") &amp; IF($AE386=1, Keys!$C$10, "") &amp; IF($AF386=1, Keys!$C$11, ""), "")</f>
        <v/>
      </c>
      <c r="AK386">
        <f>IF($AG386=1, IFERROR(INDEX($AG$2:$AG$577, MATCH($A386 &amp; Keys!$C$8 &amp; $AH386, $Y$2:$Y$577, 0)), 1), 0)</f>
        <v>0</v>
      </c>
    </row>
    <row r="387" spans="1:37" x14ac:dyDescent="0.25">
      <c r="A387" t="s">
        <v>181</v>
      </c>
      <c r="B387" t="s">
        <v>238</v>
      </c>
      <c r="C387">
        <v>88</v>
      </c>
      <c r="D387">
        <v>439.90435936900002</v>
      </c>
      <c r="E387">
        <v>1.149241464000001</v>
      </c>
      <c r="F387">
        <v>960.75087466699983</v>
      </c>
      <c r="G387">
        <v>1293.674981558001</v>
      </c>
      <c r="H387">
        <v>1976.927571008001</v>
      </c>
      <c r="I387">
        <v>31.31945691200001</v>
      </c>
      <c r="J387">
        <v>182.88600880199999</v>
      </c>
      <c r="K387">
        <v>117501.6975873699</v>
      </c>
      <c r="L387">
        <v>19859.272473595</v>
      </c>
      <c r="M387">
        <v>46.022466509999987</v>
      </c>
      <c r="N387">
        <v>4231.3534272330016</v>
      </c>
      <c r="O387">
        <v>89.650707251000043</v>
      </c>
      <c r="P387">
        <v>4.4047988140000003</v>
      </c>
      <c r="Q387">
        <v>10.156143772</v>
      </c>
      <c r="R387">
        <v>223.77449598699991</v>
      </c>
      <c r="S387">
        <v>2847.568075919999</v>
      </c>
      <c r="T387">
        <v>4061.562989508001</v>
      </c>
      <c r="U387">
        <v>13211.10453366</v>
      </c>
      <c r="V387">
        <v>0</v>
      </c>
      <c r="W387">
        <v>0</v>
      </c>
      <c r="Y387" t="str">
        <f>$A387 &amp; Keys!$C$8 &amp; $B387</f>
        <v>Ohio|Industry PM25</v>
      </c>
      <c r="Z387" s="8">
        <f>IFERROR(INDEX($U387:$W387, MATCH(INDEX(Runs!$D:$D, MATCH($B387, Runs!$A:$A, 0)), $U$1:$W$1, 0)), 0)</f>
        <v>13211.10453366</v>
      </c>
      <c r="AA387" s="8">
        <f t="shared" si="24"/>
        <v>3.3298075739858601E-2</v>
      </c>
      <c r="AB387" s="8">
        <f>IFERROR(VLOOKUP(INDEX(Runs!$F:$F, MATCH($B387, Runs!$A:$A, 0)), US_national_yearly!$D:$AM, MATCH(Keys!$C$7, US_national_yearly!$D$1:$AM$1, 0), FALSE), 0)</f>
        <v>2.6833191881203179E-2</v>
      </c>
      <c r="AC387" s="8">
        <f t="shared" si="25"/>
        <v>1.2409286188268982</v>
      </c>
      <c r="AD387">
        <f>IF($Z387&lt;Keys!$C$3, 1, 0)</f>
        <v>0</v>
      </c>
      <c r="AE387">
        <f>IF($AC387&gt;Keys!$C$4, 1, 0)</f>
        <v>0</v>
      </c>
      <c r="AF387">
        <f>IF($AC387&lt;Keys!$C$5, 1, 0)</f>
        <v>0</v>
      </c>
      <c r="AG387">
        <f t="shared" si="26"/>
        <v>0</v>
      </c>
      <c r="AH387" t="str">
        <f>IFERROR(INDEX(Runs!$E:$E, MATCH($B387, Runs!$A:$A, 0)), $B387)</f>
        <v>Industry PM25</v>
      </c>
      <c r="AI387" t="str">
        <f t="shared" si="27"/>
        <v>Industry PM25</v>
      </c>
      <c r="AJ387" t="str">
        <f>IF($AG387=1, IF($AD387=1, Keys!$C$9, "") &amp; IF($AE387=1, Keys!$C$10, "") &amp; IF($AF387=1, Keys!$C$11, ""), "")</f>
        <v/>
      </c>
      <c r="AK387">
        <f>IF($AG387=1, IFERROR(INDEX($AG$2:$AG$577, MATCH($A387 &amp; Keys!$C$8 &amp; $AH387, $Y$2:$Y$577, 0)), 1), 0)</f>
        <v>0</v>
      </c>
    </row>
    <row r="388" spans="1:37" x14ac:dyDescent="0.25">
      <c r="A388" t="s">
        <v>181</v>
      </c>
      <c r="B388" t="s">
        <v>246</v>
      </c>
      <c r="C388">
        <v>88</v>
      </c>
      <c r="D388">
        <v>47.500775874000013</v>
      </c>
      <c r="E388">
        <v>0.1134320692</v>
      </c>
      <c r="F388">
        <v>98.780866675999974</v>
      </c>
      <c r="G388">
        <v>133.021721998</v>
      </c>
      <c r="H388">
        <v>203.238386886</v>
      </c>
      <c r="I388">
        <v>3.3812484040000008</v>
      </c>
      <c r="J388">
        <v>19.664886492000001</v>
      </c>
      <c r="K388">
        <v>12123.397679678999</v>
      </c>
      <c r="L388">
        <v>2043.6964351419999</v>
      </c>
      <c r="M388">
        <v>4.9127640050000014</v>
      </c>
      <c r="N388">
        <v>435.04097555999999</v>
      </c>
      <c r="O388">
        <v>9.2617579320000019</v>
      </c>
      <c r="P388">
        <v>0.44944703099999989</v>
      </c>
      <c r="Q388">
        <v>1.0575681130000001</v>
      </c>
      <c r="R388">
        <v>23.017394247999992</v>
      </c>
      <c r="S388">
        <v>292.64158809499992</v>
      </c>
      <c r="T388">
        <v>416.30519051599998</v>
      </c>
      <c r="U388">
        <v>0</v>
      </c>
      <c r="V388">
        <v>15696.734509346001</v>
      </c>
      <c r="W388">
        <v>0</v>
      </c>
      <c r="Y388" t="str">
        <f>$A388 &amp; Keys!$C$8 &amp; $B388</f>
        <v>Ohio|Industry SO2</v>
      </c>
      <c r="Z388" s="8">
        <f>IFERROR(INDEX($U388:$W388, MATCH(INDEX(Runs!$D:$D, MATCH($B388, Runs!$A:$A, 0)), $U$1:$W$1, 0)), 0)</f>
        <v>15696.734509346001</v>
      </c>
      <c r="AA388" s="8">
        <f t="shared" si="24"/>
        <v>3.0261565452175771E-3</v>
      </c>
      <c r="AB388" s="8">
        <f>IFERROR(VLOOKUP(INDEX(Runs!$F:$F, MATCH($B388, Runs!$A:$A, 0)), US_national_yearly!$D:$AM, MATCH(Keys!$C$7, US_national_yearly!$D$1:$AM$1, 0), FALSE), 0)</f>
        <v>5.3000351638639942E-3</v>
      </c>
      <c r="AC388" s="8">
        <f t="shared" si="25"/>
        <v>0.57096914485589101</v>
      </c>
      <c r="AD388">
        <f>IF($Z388&lt;Keys!$C$3, 1, 0)</f>
        <v>0</v>
      </c>
      <c r="AE388">
        <f>IF($AC388&gt;Keys!$C$4, 1, 0)</f>
        <v>0</v>
      </c>
      <c r="AF388">
        <f>IF($AC388&lt;Keys!$C$5, 1, 0)</f>
        <v>0</v>
      </c>
      <c r="AG388">
        <f t="shared" si="26"/>
        <v>0</v>
      </c>
      <c r="AH388" t="str">
        <f>IFERROR(INDEX(Runs!$E:$E, MATCH($B388, Runs!$A:$A, 0)), $B388)</f>
        <v>Industry SO2</v>
      </c>
      <c r="AI388" t="str">
        <f t="shared" si="27"/>
        <v>Industry SO2</v>
      </c>
      <c r="AJ388" t="str">
        <f>IF($AG388=1, IF($AD388=1, Keys!$C$9, "") &amp; IF($AE388=1, Keys!$C$10, "") &amp; IF($AF388=1, Keys!$C$11, ""), "")</f>
        <v/>
      </c>
      <c r="AK388">
        <f>IF($AG388=1, IFERROR(INDEX($AG$2:$AG$577, MATCH($A388 &amp; Keys!$C$8 &amp; $AH388, $Y$2:$Y$577, 0)), 1), 0)</f>
        <v>0</v>
      </c>
    </row>
    <row r="389" spans="1:37" x14ac:dyDescent="0.25">
      <c r="A389" t="s">
        <v>181</v>
      </c>
      <c r="B389" t="s">
        <v>253</v>
      </c>
      <c r="C389">
        <v>88</v>
      </c>
      <c r="D389">
        <v>51.637476315999969</v>
      </c>
      <c r="E389">
        <v>0.1368892714000001</v>
      </c>
      <c r="F389">
        <v>112.837758261</v>
      </c>
      <c r="G389">
        <v>151.95077278000011</v>
      </c>
      <c r="H389">
        <v>232.160884786</v>
      </c>
      <c r="I389">
        <v>3.6681664530000009</v>
      </c>
      <c r="J389">
        <v>21.448050130999999</v>
      </c>
      <c r="K389">
        <v>13868.293270434</v>
      </c>
      <c r="L389">
        <v>2344.9647039870001</v>
      </c>
      <c r="M389">
        <v>5.3975265309999978</v>
      </c>
      <c r="N389">
        <v>496.94941582700011</v>
      </c>
      <c r="O389">
        <v>10.556486153</v>
      </c>
      <c r="P389">
        <v>0.51931196160000004</v>
      </c>
      <c r="Q389">
        <v>1.1964814159999999</v>
      </c>
      <c r="R389">
        <v>26.419651776999999</v>
      </c>
      <c r="S389">
        <v>335.90097490599999</v>
      </c>
      <c r="T389">
        <v>477.87297224700001</v>
      </c>
      <c r="U389">
        <v>0</v>
      </c>
      <c r="V389">
        <v>0</v>
      </c>
      <c r="W389">
        <v>26958.901602170001</v>
      </c>
      <c r="Y389" t="str">
        <f>$A389 &amp; Keys!$C$8 &amp; $B389</f>
        <v>Ohio|buildings NO2</v>
      </c>
      <c r="Z389" s="8">
        <f>IFERROR(INDEX($U389:$W389, MATCH(INDEX(Runs!$D:$D, MATCH($B389, Runs!$A:$A, 0)), $U$1:$W$1, 0)), 0)</f>
        <v>26958.901602170001</v>
      </c>
      <c r="AA389" s="8">
        <f t="shared" si="24"/>
        <v>1.9154146959697912E-3</v>
      </c>
      <c r="AB389" s="8">
        <f>IFERROR(VLOOKUP(INDEX(Runs!$F:$F, MATCH($B389, Runs!$A:$A, 0)), US_national_yearly!$D:$AM, MATCH(Keys!$C$7, US_national_yearly!$D$1:$AM$1, 0), FALSE), 0)</f>
        <v>5.6784740124662739E-3</v>
      </c>
      <c r="AC389" s="8">
        <f t="shared" si="25"/>
        <v>0.33731151921533381</v>
      </c>
      <c r="AD389">
        <f>IF($Z389&lt;Keys!$C$3, 1, 0)</f>
        <v>0</v>
      </c>
      <c r="AE389">
        <f>IF($AC389&gt;Keys!$C$4, 1, 0)</f>
        <v>0</v>
      </c>
      <c r="AF389">
        <f>IF($AC389&lt;Keys!$C$5, 1, 0)</f>
        <v>0</v>
      </c>
      <c r="AG389">
        <f t="shared" si="26"/>
        <v>0</v>
      </c>
      <c r="AH389" t="str">
        <f>IFERROR(INDEX(Runs!$E:$E, MATCH($B389, Runs!$A:$A, 0)), $B389)</f>
        <v>Industry NO2</v>
      </c>
      <c r="AI389" t="str">
        <f t="shared" si="27"/>
        <v>buildings NO2</v>
      </c>
      <c r="AJ389" t="str">
        <f>IF($AG389=1, IF($AD389=1, Keys!$C$9, "") &amp; IF($AE389=1, Keys!$C$10, "") &amp; IF($AF389=1, Keys!$C$11, ""), "")</f>
        <v/>
      </c>
      <c r="AK389">
        <f>IF($AG389=1, IFERROR(INDEX($AG$2:$AG$577, MATCH($A389 &amp; Keys!$C$8 &amp; $AH389, $Y$2:$Y$577, 0)), 1), 0)</f>
        <v>0</v>
      </c>
    </row>
    <row r="390" spans="1:37" x14ac:dyDescent="0.25">
      <c r="A390" t="s">
        <v>181</v>
      </c>
      <c r="B390" t="s">
        <v>251</v>
      </c>
      <c r="C390">
        <v>88</v>
      </c>
      <c r="D390">
        <v>8.3522425999999985</v>
      </c>
      <c r="E390">
        <v>2.3750723719999998E-2</v>
      </c>
      <c r="F390">
        <v>19.274562138000011</v>
      </c>
      <c r="G390">
        <v>25.95597269400001</v>
      </c>
      <c r="H390">
        <v>39.656406020999988</v>
      </c>
      <c r="I390">
        <v>0.59234165400000027</v>
      </c>
      <c r="J390">
        <v>3.5079678790000002</v>
      </c>
      <c r="K390">
        <v>2347.8656235789999</v>
      </c>
      <c r="L390">
        <v>397.38241965099991</v>
      </c>
      <c r="M390">
        <v>0.88207952199999984</v>
      </c>
      <c r="N390">
        <v>84.886940852999999</v>
      </c>
      <c r="O390">
        <v>1.788590076</v>
      </c>
      <c r="P390">
        <v>8.8964164899999962E-2</v>
      </c>
      <c r="Q390">
        <v>0.2001534884</v>
      </c>
      <c r="R390">
        <v>4.5086812549999991</v>
      </c>
      <c r="S390">
        <v>57.310185720999982</v>
      </c>
      <c r="T390">
        <v>81.489350487999985</v>
      </c>
      <c r="U390">
        <v>214.383970027</v>
      </c>
      <c r="V390">
        <v>0</v>
      </c>
      <c r="W390">
        <v>0</v>
      </c>
      <c r="Y390" t="str">
        <f>$A390 &amp; Keys!$C$8 &amp; $B390</f>
        <v>Ohio|buildings PM25</v>
      </c>
      <c r="Z390" s="8">
        <f>IFERROR(INDEX($U390:$W390, MATCH(INDEX(Runs!$D:$D, MATCH($B390, Runs!$A:$A, 0)), $U$1:$W$1, 0)), 0)</f>
        <v>214.383970027</v>
      </c>
      <c r="AA390" s="8">
        <f t="shared" si="24"/>
        <v>3.8959268265011129E-2</v>
      </c>
      <c r="AB390" s="8">
        <f>IFERROR(VLOOKUP(INDEX(Runs!$F:$F, MATCH($B390, Runs!$A:$A, 0)), US_national_yearly!$D:$AM, MATCH(Keys!$C$7, US_national_yearly!$D$1:$AM$1, 0), FALSE), 0)</f>
        <v>2.7627705191843259E-2</v>
      </c>
      <c r="AC390" s="8">
        <f t="shared" si="25"/>
        <v>1.410152164086121</v>
      </c>
      <c r="AD390">
        <f>IF($Z390&lt;Keys!$C$3, 1, 0)</f>
        <v>0</v>
      </c>
      <c r="AE390">
        <f>IF($AC390&gt;Keys!$C$4, 1, 0)</f>
        <v>0</v>
      </c>
      <c r="AF390">
        <f>IF($AC390&lt;Keys!$C$5, 1, 0)</f>
        <v>0</v>
      </c>
      <c r="AG390">
        <f t="shared" si="26"/>
        <v>0</v>
      </c>
      <c r="AH390" t="str">
        <f>IFERROR(INDEX(Runs!$E:$E, MATCH($B390, Runs!$A:$A, 0)), $B390)</f>
        <v>Industry PM25</v>
      </c>
      <c r="AI390" t="str">
        <f t="shared" si="27"/>
        <v>buildings PM25</v>
      </c>
      <c r="AJ390" t="str">
        <f>IF($AG390=1, IF($AD390=1, Keys!$C$9, "") &amp; IF($AE390=1, Keys!$C$10, "") &amp; IF($AF390=1, Keys!$C$11, ""), "")</f>
        <v/>
      </c>
      <c r="AK390">
        <f>IF($AG390=1, IFERROR(INDEX($AG$2:$AG$577, MATCH($A390 &amp; Keys!$C$8 &amp; $AH390, $Y$2:$Y$577, 0)), 1), 0)</f>
        <v>0</v>
      </c>
    </row>
    <row r="391" spans="1:37" x14ac:dyDescent="0.25">
      <c r="A391" t="s">
        <v>181</v>
      </c>
      <c r="B391" t="s">
        <v>254</v>
      </c>
      <c r="C391">
        <v>88</v>
      </c>
      <c r="D391">
        <v>13.810947354</v>
      </c>
      <c r="E391">
        <v>3.2702177079999992E-2</v>
      </c>
      <c r="F391">
        <v>27.035677787000001</v>
      </c>
      <c r="G391">
        <v>36.407242414999978</v>
      </c>
      <c r="H391">
        <v>55.624883492999992</v>
      </c>
      <c r="I391">
        <v>0.98445761899999984</v>
      </c>
      <c r="J391">
        <v>5.616629322999998</v>
      </c>
      <c r="K391">
        <v>3399.2468547569988</v>
      </c>
      <c r="L391">
        <v>573.93024203899972</v>
      </c>
      <c r="M391">
        <v>1.417104199</v>
      </c>
      <c r="N391">
        <v>119.06780369499999</v>
      </c>
      <c r="O391">
        <v>2.577727046999998</v>
      </c>
      <c r="P391">
        <v>0.1237379305</v>
      </c>
      <c r="Q391">
        <v>0.30055458939999991</v>
      </c>
      <c r="R391">
        <v>6.3508353780000002</v>
      </c>
      <c r="S391">
        <v>80.770393302000016</v>
      </c>
      <c r="T391">
        <v>114.96188252899999</v>
      </c>
      <c r="U391">
        <v>0</v>
      </c>
      <c r="V391">
        <v>1659.733453633999</v>
      </c>
      <c r="W391">
        <v>0</v>
      </c>
      <c r="Y391" t="str">
        <f>$A391 &amp; Keys!$C$8 &amp; $B391</f>
        <v>Ohio|buildings SO2</v>
      </c>
      <c r="Z391" s="8">
        <f>IFERROR(INDEX($U391:$W391, MATCH(INDEX(Runs!$D:$D, MATCH($B391, Runs!$A:$A, 0)), $U$1:$W$1, 0)), 0)</f>
        <v>1659.733453633999</v>
      </c>
      <c r="AA391" s="8">
        <f t="shared" si="24"/>
        <v>8.3211839369513371E-3</v>
      </c>
      <c r="AB391" s="8">
        <f>IFERROR(VLOOKUP(INDEX(Runs!$F:$F, MATCH($B391, Runs!$A:$A, 0)), US_national_yearly!$D:$AM, MATCH(Keys!$C$7, US_national_yearly!$D$1:$AM$1, 0), FALSE), 0)</f>
        <v>5.1581943281164694E-3</v>
      </c>
      <c r="AC391" s="8">
        <f t="shared" si="25"/>
        <v>1.6131970623118892</v>
      </c>
      <c r="AD391">
        <f>IF($Z391&lt;Keys!$C$3, 1, 0)</f>
        <v>0</v>
      </c>
      <c r="AE391">
        <f>IF($AC391&gt;Keys!$C$4, 1, 0)</f>
        <v>0</v>
      </c>
      <c r="AF391">
        <f>IF($AC391&lt;Keys!$C$5, 1, 0)</f>
        <v>0</v>
      </c>
      <c r="AG391">
        <f t="shared" si="26"/>
        <v>0</v>
      </c>
      <c r="AH391" t="str">
        <f>IFERROR(INDEX(Runs!$E:$E, MATCH($B391, Runs!$A:$A, 0)), $B391)</f>
        <v>Industry SO2</v>
      </c>
      <c r="AI391" t="str">
        <f t="shared" si="27"/>
        <v>buildings SO2</v>
      </c>
      <c r="AJ391" t="str">
        <f>IF($AG391=1, IF($AD391=1, Keys!$C$9, "") &amp; IF($AE391=1, Keys!$C$10, "") &amp; IF($AF391=1, Keys!$C$11, ""), "")</f>
        <v/>
      </c>
      <c r="AK391">
        <f>IF($AG391=1, IFERROR(INDEX($AG$2:$AG$577, MATCH($A391 &amp; Keys!$C$8 &amp; $AH391, $Y$2:$Y$577, 0)), 1), 0)</f>
        <v>0</v>
      </c>
    </row>
    <row r="392" spans="1:37" x14ac:dyDescent="0.25">
      <c r="A392" t="s">
        <v>181</v>
      </c>
      <c r="B392" t="s">
        <v>249</v>
      </c>
      <c r="C392">
        <v>88</v>
      </c>
      <c r="D392">
        <v>92.400813890000038</v>
      </c>
      <c r="E392">
        <v>0.2316776663</v>
      </c>
      <c r="F392">
        <v>204.53360981099999</v>
      </c>
      <c r="G392">
        <v>275.42219986700002</v>
      </c>
      <c r="H392">
        <v>420.84114924799991</v>
      </c>
      <c r="I392">
        <v>6.5997703000000012</v>
      </c>
      <c r="J392">
        <v>38.726477912</v>
      </c>
      <c r="K392">
        <v>24729.306534120009</v>
      </c>
      <c r="L392">
        <v>4168.337572716001</v>
      </c>
      <c r="M392">
        <v>9.7213681909999998</v>
      </c>
      <c r="N392">
        <v>900.79695892599989</v>
      </c>
      <c r="O392">
        <v>18.933877320000001</v>
      </c>
      <c r="P392">
        <v>0.93692540599999974</v>
      </c>
      <c r="Q392">
        <v>2.1616598249999992</v>
      </c>
      <c r="R392">
        <v>47.443775365999983</v>
      </c>
      <c r="S392">
        <v>603.40743667900028</v>
      </c>
      <c r="T392">
        <v>859.32837392399972</v>
      </c>
      <c r="U392">
        <v>0</v>
      </c>
      <c r="V392">
        <v>0</v>
      </c>
      <c r="W392">
        <v>39373.307679974023</v>
      </c>
      <c r="Y392" t="str">
        <f>$A392 &amp; Keys!$C$8 &amp; $B392</f>
        <v>Ohio|electricity NO2</v>
      </c>
      <c r="Z392" s="8">
        <f>IFERROR(INDEX($U392:$W392, MATCH(INDEX(Runs!$D:$D, MATCH($B392, Runs!$A:$A, 0)), $U$1:$W$1, 0)), 0)</f>
        <v>39373.307679974023</v>
      </c>
      <c r="AA392" s="8">
        <f t="shared" si="24"/>
        <v>2.3467882008042919E-3</v>
      </c>
      <c r="AB392" s="8">
        <f>IFERROR(VLOOKUP(INDEX(Runs!$F:$F, MATCH($B392, Runs!$A:$A, 0)), US_national_yearly!$D:$AM, MATCH(Keys!$C$7, US_national_yearly!$D$1:$AM$1, 0), FALSE), 0)</f>
        <v>6.1439221592658041E-3</v>
      </c>
      <c r="AC392" s="8">
        <f t="shared" si="25"/>
        <v>0.38196906470649883</v>
      </c>
      <c r="AD392">
        <f>IF($Z392&lt;Keys!$C$3, 1, 0)</f>
        <v>0</v>
      </c>
      <c r="AE392">
        <f>IF($AC392&gt;Keys!$C$4, 1, 0)</f>
        <v>0</v>
      </c>
      <c r="AF392">
        <f>IF($AC392&lt;Keys!$C$5, 1, 0)</f>
        <v>0</v>
      </c>
      <c r="AG392">
        <f t="shared" si="26"/>
        <v>0</v>
      </c>
      <c r="AH392" t="str">
        <f>IFERROR(INDEX(Runs!$E:$E, MATCH($B392, Runs!$A:$A, 0)), $B392)</f>
        <v>Industry NO2</v>
      </c>
      <c r="AI392" t="str">
        <f t="shared" si="27"/>
        <v>electricity NO2</v>
      </c>
      <c r="AJ392" t="str">
        <f>IF($AG392=1, IF($AD392=1, Keys!$C$9, "") &amp; IF($AE392=1, Keys!$C$10, "") &amp; IF($AF392=1, Keys!$C$11, ""), "")</f>
        <v/>
      </c>
      <c r="AK392">
        <f>IF($AG392=1, IFERROR(INDEX($AG$2:$AG$577, MATCH($A392 &amp; Keys!$C$8 &amp; $AH392, $Y$2:$Y$577, 0)), 1), 0)</f>
        <v>0</v>
      </c>
    </row>
    <row r="393" spans="1:37" x14ac:dyDescent="0.25">
      <c r="A393" t="s">
        <v>181</v>
      </c>
      <c r="B393" t="s">
        <v>247</v>
      </c>
      <c r="C393">
        <v>88</v>
      </c>
      <c r="D393">
        <v>59.614234001999982</v>
      </c>
      <c r="E393">
        <v>0.15881158359999989</v>
      </c>
      <c r="F393">
        <v>133.32487944299999</v>
      </c>
      <c r="G393">
        <v>179.53608695700001</v>
      </c>
      <c r="H393">
        <v>274.31928479899989</v>
      </c>
      <c r="I393">
        <v>4.1832918710000007</v>
      </c>
      <c r="J393">
        <v>24.70652463199999</v>
      </c>
      <c r="K393">
        <v>15973.749525851999</v>
      </c>
      <c r="L393">
        <v>2695.4953778439999</v>
      </c>
      <c r="M393">
        <v>6.1857870869999996</v>
      </c>
      <c r="N393">
        <v>587.18025119899994</v>
      </c>
      <c r="O393">
        <v>12.259080984000001</v>
      </c>
      <c r="P393">
        <v>0.61012137800000033</v>
      </c>
      <c r="Q393">
        <v>1.3837207499999999</v>
      </c>
      <c r="R393">
        <v>30.995555943999999</v>
      </c>
      <c r="S393">
        <v>394.16535273699981</v>
      </c>
      <c r="T393">
        <v>561.11356519600008</v>
      </c>
      <c r="U393">
        <v>3824.4050585779992</v>
      </c>
      <c r="V393">
        <v>0</v>
      </c>
      <c r="W393">
        <v>0</v>
      </c>
      <c r="Y393" t="str">
        <f>$A393 &amp; Keys!$C$8 &amp; $B393</f>
        <v>Ohio|electricity PM25</v>
      </c>
      <c r="Z393" s="8">
        <f>IFERROR(INDEX($U393:$W393, MATCH(INDEX(Runs!$D:$D, MATCH($B393, Runs!$A:$A, 0)), $U$1:$W$1, 0)), 0)</f>
        <v>3824.4050585779992</v>
      </c>
      <c r="AA393" s="8">
        <f t="shared" si="24"/>
        <v>1.5587845191316087E-2</v>
      </c>
      <c r="AB393" s="8">
        <f>IFERROR(VLOOKUP(INDEX(Runs!$F:$F, MATCH($B393, Runs!$A:$A, 0)), US_national_yearly!$D:$AM, MATCH(Keys!$C$7, US_national_yearly!$D$1:$AM$1, 0), FALSE), 0)</f>
        <v>2.4252978284752182E-2</v>
      </c>
      <c r="AC393" s="8">
        <f t="shared" si="25"/>
        <v>0.64271880378156054</v>
      </c>
      <c r="AD393">
        <f>IF($Z393&lt;Keys!$C$3, 1, 0)</f>
        <v>0</v>
      </c>
      <c r="AE393">
        <f>IF($AC393&gt;Keys!$C$4, 1, 0)</f>
        <v>0</v>
      </c>
      <c r="AF393">
        <f>IF($AC393&lt;Keys!$C$5, 1, 0)</f>
        <v>0</v>
      </c>
      <c r="AG393">
        <f t="shared" si="26"/>
        <v>0</v>
      </c>
      <c r="AH393" t="str">
        <f>IFERROR(INDEX(Runs!$E:$E, MATCH($B393, Runs!$A:$A, 0)), $B393)</f>
        <v>Industry PM25</v>
      </c>
      <c r="AI393" t="str">
        <f t="shared" si="27"/>
        <v>electricity PM25</v>
      </c>
      <c r="AJ393" t="str">
        <f>IF($AG393=1, IF($AD393=1, Keys!$C$9, "") &amp; IF($AE393=1, Keys!$C$10, "") &amp; IF($AF393=1, Keys!$C$11, ""), "")</f>
        <v/>
      </c>
      <c r="AK393">
        <f>IF($AG393=1, IFERROR(INDEX($AG$2:$AG$577, MATCH($A393 &amp; Keys!$C$8 &amp; $AH393, $Y$2:$Y$577, 0)), 1), 0)</f>
        <v>0</v>
      </c>
    </row>
    <row r="394" spans="1:37" x14ac:dyDescent="0.25">
      <c r="A394" t="s">
        <v>181</v>
      </c>
      <c r="B394" t="s">
        <v>250</v>
      </c>
      <c r="C394">
        <v>88</v>
      </c>
      <c r="D394">
        <v>34.34503011000001</v>
      </c>
      <c r="E394">
        <v>9.1661424899999969E-2</v>
      </c>
      <c r="F394">
        <v>77.568111698000024</v>
      </c>
      <c r="G394">
        <v>104.45505933</v>
      </c>
      <c r="H394">
        <v>159.59554214600001</v>
      </c>
      <c r="I394">
        <v>2.435244019999999</v>
      </c>
      <c r="J394">
        <v>14.367369808999999</v>
      </c>
      <c r="K394">
        <v>9314.3249357289969</v>
      </c>
      <c r="L394">
        <v>1571.8818980860001</v>
      </c>
      <c r="M394">
        <v>3.6030851979999992</v>
      </c>
      <c r="N394">
        <v>341.61871317399988</v>
      </c>
      <c r="O394">
        <v>7.140891427999998</v>
      </c>
      <c r="P394">
        <v>0.35578440399999989</v>
      </c>
      <c r="Q394">
        <v>0.80792017699999963</v>
      </c>
      <c r="R394">
        <v>18.051480093999999</v>
      </c>
      <c r="S394">
        <v>229.52882806900001</v>
      </c>
      <c r="T394">
        <v>326.61574375999987</v>
      </c>
      <c r="U394">
        <v>0</v>
      </c>
      <c r="V394">
        <v>30251.153704327979</v>
      </c>
      <c r="W394">
        <v>0</v>
      </c>
      <c r="Y394" t="str">
        <f>$A394 &amp; Keys!$C$8 &amp; $B394</f>
        <v>Ohio|electricity SO2</v>
      </c>
      <c r="Z394" s="8">
        <f>IFERROR(INDEX($U394:$W394, MATCH(INDEX(Runs!$D:$D, MATCH($B394, Runs!$A:$A, 0)), $U$1:$W$1, 0)), 0)</f>
        <v>30251.153704327979</v>
      </c>
      <c r="AA394" s="8">
        <f t="shared" si="24"/>
        <v>1.1353295958787294E-3</v>
      </c>
      <c r="AB394" s="8">
        <f>IFERROR(VLOOKUP(INDEX(Runs!$F:$F, MATCH($B394, Runs!$A:$A, 0)), US_national_yearly!$D:$AM, MATCH(Keys!$C$7, US_national_yearly!$D$1:$AM$1, 0), FALSE), 0)</f>
        <v>5.7032329662362116E-3</v>
      </c>
      <c r="AC394" s="8">
        <f t="shared" si="25"/>
        <v>0.19906772222001273</v>
      </c>
      <c r="AD394">
        <f>IF($Z394&lt;Keys!$C$3, 1, 0)</f>
        <v>0</v>
      </c>
      <c r="AE394">
        <f>IF($AC394&gt;Keys!$C$4, 1, 0)</f>
        <v>0</v>
      </c>
      <c r="AF394">
        <f>IF($AC394&lt;Keys!$C$5, 1, 0)</f>
        <v>0</v>
      </c>
      <c r="AG394">
        <f t="shared" si="26"/>
        <v>0</v>
      </c>
      <c r="AH394" t="str">
        <f>IFERROR(INDEX(Runs!$E:$E, MATCH($B394, Runs!$A:$A, 0)), $B394)</f>
        <v>Industry SO2</v>
      </c>
      <c r="AI394" t="str">
        <f t="shared" si="27"/>
        <v>electricity SO2</v>
      </c>
      <c r="AJ394" t="str">
        <f>IF($AG394=1, IF($AD394=1, Keys!$C$9, "") &amp; IF($AE394=1, Keys!$C$10, "") &amp; IF($AF394=1, Keys!$C$11, ""), "")</f>
        <v/>
      </c>
      <c r="AK394">
        <f>IF($AG394=1, IFERROR(INDEX($AG$2:$AG$577, MATCH($A394 &amp; Keys!$C$8 &amp; $AH394, $Y$2:$Y$577, 0)), 1), 0)</f>
        <v>0</v>
      </c>
    </row>
    <row r="395" spans="1:37" x14ac:dyDescent="0.25">
      <c r="A395" t="s">
        <v>181</v>
      </c>
      <c r="B395" t="s">
        <v>239</v>
      </c>
      <c r="C395">
        <v>88</v>
      </c>
      <c r="D395">
        <v>175.12983989</v>
      </c>
      <c r="E395">
        <v>0.45281761949999999</v>
      </c>
      <c r="F395">
        <v>381.35954616999999</v>
      </c>
      <c r="G395">
        <v>513.53821499600008</v>
      </c>
      <c r="H395">
        <v>784.66264894499989</v>
      </c>
      <c r="I395">
        <v>12.464289015</v>
      </c>
      <c r="J395">
        <v>72.836285328000017</v>
      </c>
      <c r="K395">
        <v>46741.353434870012</v>
      </c>
      <c r="L395">
        <v>7897.2451635240004</v>
      </c>
      <c r="M395">
        <v>18.311558325</v>
      </c>
      <c r="N395">
        <v>1679.560410111</v>
      </c>
      <c r="O395">
        <v>35.636489227999988</v>
      </c>
      <c r="P395">
        <v>1.751274295</v>
      </c>
      <c r="Q395">
        <v>4.0431933819999992</v>
      </c>
      <c r="R395">
        <v>89.06792799900002</v>
      </c>
      <c r="S395">
        <v>1132.688876485</v>
      </c>
      <c r="T395">
        <v>1612.6279693209999</v>
      </c>
      <c r="U395">
        <v>0</v>
      </c>
      <c r="V395">
        <v>0</v>
      </c>
      <c r="W395">
        <v>110158.1650141</v>
      </c>
      <c r="Y395" t="str">
        <f>$A395 &amp; Keys!$C$8 &amp; $B395</f>
        <v>Ohio|transportation NO2</v>
      </c>
      <c r="Z395" s="8">
        <f>IFERROR(INDEX($U395:$W395, MATCH(INDEX(Runs!$D:$D, MATCH($B395, Runs!$A:$A, 0)), $U$1:$W$1, 0)), 0)</f>
        <v>110158.1650141</v>
      </c>
      <c r="AA395" s="8">
        <f t="shared" si="24"/>
        <v>1.5898035326531064E-3</v>
      </c>
      <c r="AB395" s="8">
        <f>IFERROR(VLOOKUP(INDEX(Runs!$F:$F, MATCH($B395, Runs!$A:$A, 0)), US_national_yearly!$D:$AM, MATCH(Keys!$C$7, US_national_yearly!$D$1:$AM$1, 0), FALSE), 0)</f>
        <v>5.7148835886332216E-3</v>
      </c>
      <c r="AC395" s="8">
        <f t="shared" si="25"/>
        <v>0.27818651211289602</v>
      </c>
      <c r="AD395">
        <f>IF($Z395&lt;Keys!$C$3, 1, 0)</f>
        <v>0</v>
      </c>
      <c r="AE395">
        <f>IF($AC395&gt;Keys!$C$4, 1, 0)</f>
        <v>0</v>
      </c>
      <c r="AF395">
        <f>IF($AC395&lt;Keys!$C$5, 1, 0)</f>
        <v>0</v>
      </c>
      <c r="AG395">
        <f t="shared" si="26"/>
        <v>0</v>
      </c>
      <c r="AH395" t="str">
        <f>IFERROR(INDEX(Runs!$E:$E, MATCH($B395, Runs!$A:$A, 0)), $B395)</f>
        <v>Industry NO2</v>
      </c>
      <c r="AI395" t="str">
        <f t="shared" si="27"/>
        <v>transportation NO2</v>
      </c>
      <c r="AJ395" t="str">
        <f>IF($AG395=1, IF($AD395=1, Keys!$C$9, "") &amp; IF($AE395=1, Keys!$C$10, "") &amp; IF($AF395=1, Keys!$C$11, ""), "")</f>
        <v/>
      </c>
      <c r="AK395">
        <f>IF($AG395=1, IFERROR(INDEX($AG$2:$AG$577, MATCH($A395 &amp; Keys!$C$8 &amp; $AH395, $Y$2:$Y$577, 0)), 1), 0)</f>
        <v>0</v>
      </c>
    </row>
    <row r="396" spans="1:37" x14ac:dyDescent="0.25">
      <c r="A396" t="s">
        <v>181</v>
      </c>
      <c r="B396" t="s">
        <v>234</v>
      </c>
      <c r="C396">
        <v>88</v>
      </c>
      <c r="D396">
        <v>119.49504476200001</v>
      </c>
      <c r="E396">
        <v>0.31823834290000008</v>
      </c>
      <c r="F396">
        <v>264.671816611</v>
      </c>
      <c r="G396">
        <v>356.41024364999998</v>
      </c>
      <c r="H396">
        <v>544.56569487599995</v>
      </c>
      <c r="I396">
        <v>8.5031337460000032</v>
      </c>
      <c r="J396">
        <v>49.855020908000029</v>
      </c>
      <c r="K396">
        <v>32378.552076268999</v>
      </c>
      <c r="L396">
        <v>5474.0292035189968</v>
      </c>
      <c r="M396">
        <v>12.536326060000009</v>
      </c>
      <c r="N396">
        <v>1165.6477551370001</v>
      </c>
      <c r="O396">
        <v>24.6813766</v>
      </c>
      <c r="P396">
        <v>1.2173008270000001</v>
      </c>
      <c r="Q396">
        <v>2.7881770019999998</v>
      </c>
      <c r="R396">
        <v>61.858027499999999</v>
      </c>
      <c r="S396">
        <v>786.5562010710006</v>
      </c>
      <c r="T396">
        <v>1119.4345588699989</v>
      </c>
      <c r="U396">
        <v>2875.1361773789999</v>
      </c>
      <c r="V396">
        <v>0</v>
      </c>
      <c r="W396">
        <v>0</v>
      </c>
      <c r="Y396" t="str">
        <f>$A396 &amp; Keys!$C$8 &amp; $B396</f>
        <v>Ohio|transportation PM25</v>
      </c>
      <c r="Z396" s="8">
        <f>IFERROR(INDEX($U396:$W396, MATCH(INDEX(Runs!$D:$D, MATCH($B396, Runs!$A:$A, 0)), $U$1:$W$1, 0)), 0)</f>
        <v>2875.1361773789999</v>
      </c>
      <c r="AA396" s="8">
        <f t="shared" si="24"/>
        <v>4.1561525225192207E-2</v>
      </c>
      <c r="AB396" s="8">
        <f>IFERROR(VLOOKUP(INDEX(Runs!$F:$F, MATCH($B396, Runs!$A:$A, 0)), US_national_yearly!$D:$AM, MATCH(Keys!$C$7, US_national_yearly!$D$1:$AM$1, 0), FALSE), 0)</f>
        <v>2.8248683697579859E-2</v>
      </c>
      <c r="AC396" s="8">
        <f t="shared" si="25"/>
        <v>1.4712729863853053</v>
      </c>
      <c r="AD396">
        <f>IF($Z396&lt;Keys!$C$3, 1, 0)</f>
        <v>0</v>
      </c>
      <c r="AE396">
        <f>IF($AC396&gt;Keys!$C$4, 1, 0)</f>
        <v>0</v>
      </c>
      <c r="AF396">
        <f>IF($AC396&lt;Keys!$C$5, 1, 0)</f>
        <v>0</v>
      </c>
      <c r="AG396">
        <f t="shared" si="26"/>
        <v>0</v>
      </c>
      <c r="AH396" t="str">
        <f>IFERROR(INDEX(Runs!$E:$E, MATCH($B396, Runs!$A:$A, 0)), $B396)</f>
        <v>Industry PM25</v>
      </c>
      <c r="AI396" t="str">
        <f t="shared" si="27"/>
        <v>transportation PM25</v>
      </c>
      <c r="AJ396" t="str">
        <f>IF($AG396=1, IF($AD396=1, Keys!$C$9, "") &amp; IF($AE396=1, Keys!$C$10, "") &amp; IF($AF396=1, Keys!$C$11, ""), "")</f>
        <v/>
      </c>
      <c r="AK396">
        <f>IF($AG396=1, IFERROR(INDEX($AG$2:$AG$577, MATCH($A396 &amp; Keys!$C$8 &amp; $AH396, $Y$2:$Y$577, 0)), 1), 0)</f>
        <v>0</v>
      </c>
    </row>
    <row r="397" spans="1:37" x14ac:dyDescent="0.25">
      <c r="A397" t="s">
        <v>181</v>
      </c>
      <c r="B397" t="s">
        <v>243</v>
      </c>
      <c r="C397">
        <v>88</v>
      </c>
      <c r="D397">
        <v>3.588676197999999</v>
      </c>
      <c r="E397">
        <v>1.0064288140000001E-2</v>
      </c>
      <c r="F397">
        <v>8.0901412630000014</v>
      </c>
      <c r="G397">
        <v>10.894551691</v>
      </c>
      <c r="H397">
        <v>16.645019472000001</v>
      </c>
      <c r="I397">
        <v>0.25392187960000012</v>
      </c>
      <c r="J397">
        <v>1.4978547710000001</v>
      </c>
      <c r="K397">
        <v>997.75777874100027</v>
      </c>
      <c r="L397">
        <v>169.03864169799999</v>
      </c>
      <c r="M397">
        <v>0.37701557900000021</v>
      </c>
      <c r="N397">
        <v>35.629712425999998</v>
      </c>
      <c r="O397">
        <v>0.75737700799999974</v>
      </c>
      <c r="P397">
        <v>3.7398534690000013E-2</v>
      </c>
      <c r="Q397">
        <v>8.5020851300000005E-2</v>
      </c>
      <c r="R397">
        <v>1.900855933000001</v>
      </c>
      <c r="S397">
        <v>24.161663747999999</v>
      </c>
      <c r="T397">
        <v>34.354327318000003</v>
      </c>
      <c r="U397">
        <v>0</v>
      </c>
      <c r="V397">
        <v>433.50590325299999</v>
      </c>
      <c r="W397">
        <v>0</v>
      </c>
      <c r="Y397" t="str">
        <f>$A397 &amp; Keys!$C$8 &amp; $B397</f>
        <v>Ohio|transportation SO2</v>
      </c>
      <c r="Z397" s="8">
        <f>IFERROR(INDEX($U397:$W397, MATCH(INDEX(Runs!$D:$D, MATCH($B397, Runs!$A:$A, 0)), $U$1:$W$1, 0)), 0)</f>
        <v>433.50590325299999</v>
      </c>
      <c r="AA397" s="8">
        <f t="shared" si="24"/>
        <v>8.2782637354435248E-3</v>
      </c>
      <c r="AB397" s="8">
        <f>IFERROR(VLOOKUP(INDEX(Runs!$F:$F, MATCH($B397, Runs!$A:$A, 0)), US_national_yearly!$D:$AM, MATCH(Keys!$C$7, US_national_yearly!$D$1:$AM$1, 0), FALSE), 0)</f>
        <v>5.1800714166247604E-3</v>
      </c>
      <c r="AC397" s="8">
        <f t="shared" si="25"/>
        <v>1.5980983792763015</v>
      </c>
      <c r="AD397">
        <f>IF($Z397&lt;Keys!$C$3, 1, 0)</f>
        <v>0</v>
      </c>
      <c r="AE397">
        <f>IF($AC397&gt;Keys!$C$4, 1, 0)</f>
        <v>0</v>
      </c>
      <c r="AF397">
        <f>IF($AC397&lt;Keys!$C$5, 1, 0)</f>
        <v>0</v>
      </c>
      <c r="AG397">
        <f t="shared" si="26"/>
        <v>0</v>
      </c>
      <c r="AH397" t="str">
        <f>IFERROR(INDEX(Runs!$E:$E, MATCH($B397, Runs!$A:$A, 0)), $B397)</f>
        <v>Industry SO2</v>
      </c>
      <c r="AI397" t="str">
        <f t="shared" si="27"/>
        <v>transportation SO2</v>
      </c>
      <c r="AJ397" t="str">
        <f>IF($AG397=1, IF($AD397=1, Keys!$C$9, "") &amp; IF($AE397=1, Keys!$C$10, "") &amp; IF($AF397=1, Keys!$C$11, ""), "")</f>
        <v/>
      </c>
      <c r="AK397">
        <f>IF($AG397=1, IFERROR(INDEX($AG$2:$AG$577, MATCH($A397 &amp; Keys!$C$8 &amp; $AH397, $Y$2:$Y$577, 0)), 1), 0)</f>
        <v>0</v>
      </c>
    </row>
    <row r="398" spans="1:37" x14ac:dyDescent="0.25">
      <c r="A398" t="s">
        <v>184</v>
      </c>
      <c r="B398" t="s">
        <v>242</v>
      </c>
      <c r="C398">
        <v>77</v>
      </c>
      <c r="D398">
        <v>3.409247406</v>
      </c>
      <c r="E398">
        <v>1.0593383684E-2</v>
      </c>
      <c r="F398">
        <v>8.2503981180000014</v>
      </c>
      <c r="G398">
        <v>11.110346553999999</v>
      </c>
      <c r="H398">
        <v>16.974768272999999</v>
      </c>
      <c r="I398">
        <v>0.23622540289999999</v>
      </c>
      <c r="J398">
        <v>1.297963744</v>
      </c>
      <c r="K398">
        <v>911.97632523000004</v>
      </c>
      <c r="L398">
        <v>154.51993600899999</v>
      </c>
      <c r="M398">
        <v>0.32354256069999998</v>
      </c>
      <c r="N398">
        <v>36.335512944999998</v>
      </c>
      <c r="O398">
        <v>0.75553391670000003</v>
      </c>
      <c r="P398">
        <v>2.357591237E-2</v>
      </c>
      <c r="Q398">
        <v>6.3281766189999991E-2</v>
      </c>
      <c r="R398">
        <v>1.9456032569999999</v>
      </c>
      <c r="S398">
        <v>24.716251162999999</v>
      </c>
      <c r="T398">
        <v>35.109701814000012</v>
      </c>
      <c r="U398">
        <v>0</v>
      </c>
      <c r="V398">
        <v>0</v>
      </c>
      <c r="W398">
        <v>141104.52194388799</v>
      </c>
      <c r="Y398" t="str">
        <f>$A398 &amp; Keys!$C$8 &amp; $B398</f>
        <v>Oklahoma|Industry NO2</v>
      </c>
      <c r="Z398" s="8">
        <f>IFERROR(INDEX($U398:$W398, MATCH(INDEX(Runs!$D:$D, MATCH($B398, Runs!$A:$A, 0)), $U$1:$W$1, 0)), 0)</f>
        <v>141104.52194388799</v>
      </c>
      <c r="AA398" s="8">
        <f t="shared" si="24"/>
        <v>2.4161149189504576E-5</v>
      </c>
      <c r="AB398" s="8">
        <f>IFERROR(VLOOKUP(INDEX(Runs!$F:$F, MATCH($B398, Runs!$A:$A, 0)), US_national_yearly!$D:$AM, MATCH(Keys!$C$7, US_national_yearly!$D$1:$AM$1, 0), FALSE), 0)</f>
        <v>5.8012217057786938E-3</v>
      </c>
      <c r="AC398" s="8">
        <f t="shared" si="25"/>
        <v>4.164838100470674E-3</v>
      </c>
      <c r="AD398">
        <f>IF($Z398&lt;Keys!$C$3, 1, 0)</f>
        <v>0</v>
      </c>
      <c r="AE398">
        <f>IF($AC398&gt;Keys!$C$4, 1, 0)</f>
        <v>0</v>
      </c>
      <c r="AF398">
        <f>IF($AC398&lt;Keys!$C$5, 1, 0)</f>
        <v>0</v>
      </c>
      <c r="AG398">
        <f t="shared" si="26"/>
        <v>0</v>
      </c>
      <c r="AH398" t="str">
        <f>IFERROR(INDEX(Runs!$E:$E, MATCH($B398, Runs!$A:$A, 0)), $B398)</f>
        <v>Industry NO2</v>
      </c>
      <c r="AI398" t="str">
        <f t="shared" si="27"/>
        <v>Industry NO2</v>
      </c>
      <c r="AJ398" t="str">
        <f>IF($AG398=1, IF($AD398=1, Keys!$C$9, "") &amp; IF($AE398=1, Keys!$C$10, "") &amp; IF($AF398=1, Keys!$C$11, ""), "")</f>
        <v/>
      </c>
      <c r="AK398">
        <f>IF($AG398=1, IFERROR(INDEX($AG$2:$AG$577, MATCH($A398 &amp; Keys!$C$8 &amp; $AH398, $Y$2:$Y$577, 0)), 1), 0)</f>
        <v>0</v>
      </c>
    </row>
    <row r="399" spans="1:37" x14ac:dyDescent="0.25">
      <c r="A399" t="s">
        <v>184</v>
      </c>
      <c r="B399" t="s">
        <v>238</v>
      </c>
      <c r="C399">
        <v>77</v>
      </c>
      <c r="D399">
        <v>85.057334397000005</v>
      </c>
      <c r="E399">
        <v>0.28819896738</v>
      </c>
      <c r="F399">
        <v>225.969160066</v>
      </c>
      <c r="G399">
        <v>304.27936646299997</v>
      </c>
      <c r="H399">
        <v>464.96177179400001</v>
      </c>
      <c r="I399">
        <v>5.9106783609000004</v>
      </c>
      <c r="J399">
        <v>32.975723151999993</v>
      </c>
      <c r="K399">
        <v>24846.693274097001</v>
      </c>
      <c r="L399">
        <v>4225.6759524869994</v>
      </c>
      <c r="M399">
        <v>8.2481921159999967</v>
      </c>
      <c r="N399">
        <v>995.21029832299996</v>
      </c>
      <c r="O399">
        <v>20.523401479</v>
      </c>
      <c r="P399">
        <v>0.64732278779999997</v>
      </c>
      <c r="Q399">
        <v>1.6745146527000001</v>
      </c>
      <c r="R399">
        <v>53.239378049999992</v>
      </c>
      <c r="S399">
        <v>676.80852069500008</v>
      </c>
      <c r="T399">
        <v>963.4670734140002</v>
      </c>
      <c r="U399">
        <v>7475.6702350679998</v>
      </c>
      <c r="V399">
        <v>0</v>
      </c>
      <c r="W399">
        <v>0</v>
      </c>
      <c r="Y399" t="str">
        <f>$A399 &amp; Keys!$C$8 &amp; $B399</f>
        <v>Oklahoma|Industry PM25</v>
      </c>
      <c r="Z399" s="8">
        <f>IFERROR(INDEX($U399:$W399, MATCH(INDEX(Runs!$D:$D, MATCH($B399, Runs!$A:$A, 0)), $U$1:$W$1, 0)), 0)</f>
        <v>7475.6702350679998</v>
      </c>
      <c r="AA399" s="8">
        <f t="shared" si="24"/>
        <v>1.1377887429812012E-2</v>
      </c>
      <c r="AB399" s="8">
        <f>IFERROR(VLOOKUP(INDEX(Runs!$F:$F, MATCH($B399, Runs!$A:$A, 0)), US_national_yearly!$D:$AM, MATCH(Keys!$C$7, US_national_yearly!$D$1:$AM$1, 0), FALSE), 0)</f>
        <v>2.6833191881203179E-2</v>
      </c>
      <c r="AC399" s="8">
        <f t="shared" si="25"/>
        <v>0.42402288479822242</v>
      </c>
      <c r="AD399">
        <f>IF($Z399&lt;Keys!$C$3, 1, 0)</f>
        <v>0</v>
      </c>
      <c r="AE399">
        <f>IF($AC399&gt;Keys!$C$4, 1, 0)</f>
        <v>0</v>
      </c>
      <c r="AF399">
        <f>IF($AC399&lt;Keys!$C$5, 1, 0)</f>
        <v>0</v>
      </c>
      <c r="AG399">
        <f t="shared" si="26"/>
        <v>0</v>
      </c>
      <c r="AH399" t="str">
        <f>IFERROR(INDEX(Runs!$E:$E, MATCH($B399, Runs!$A:$A, 0)), $B399)</f>
        <v>Industry PM25</v>
      </c>
      <c r="AI399" t="str">
        <f t="shared" si="27"/>
        <v>Industry PM25</v>
      </c>
      <c r="AJ399" t="str">
        <f>IF($AG399=1, IF($AD399=1, Keys!$C$9, "") &amp; IF($AE399=1, Keys!$C$10, "") &amp; IF($AF399=1, Keys!$C$11, ""), "")</f>
        <v/>
      </c>
      <c r="AK399">
        <f>IF($AG399=1, IFERROR(INDEX($AG$2:$AG$577, MATCH($A399 &amp; Keys!$C$8 &amp; $AH399, $Y$2:$Y$577, 0)), 1), 0)</f>
        <v>0</v>
      </c>
    </row>
    <row r="400" spans="1:37" x14ac:dyDescent="0.25">
      <c r="A400" t="s">
        <v>184</v>
      </c>
      <c r="B400" t="s">
        <v>246</v>
      </c>
      <c r="C400">
        <v>77</v>
      </c>
      <c r="D400">
        <v>30.392671766999989</v>
      </c>
      <c r="E400">
        <v>9.4344314230000004E-2</v>
      </c>
      <c r="F400">
        <v>76.205324340999994</v>
      </c>
      <c r="G400">
        <v>102.619713249</v>
      </c>
      <c r="H400">
        <v>156.791998181</v>
      </c>
      <c r="I400">
        <v>2.1284424319999991</v>
      </c>
      <c r="J400">
        <v>11.781438708</v>
      </c>
      <c r="K400">
        <v>8476.9874505490025</v>
      </c>
      <c r="L400">
        <v>1437.272020415</v>
      </c>
      <c r="M400">
        <v>2.936749187000002</v>
      </c>
      <c r="N400">
        <v>335.61703577100002</v>
      </c>
      <c r="O400">
        <v>6.9888519359999979</v>
      </c>
      <c r="P400">
        <v>0.21753323520000001</v>
      </c>
      <c r="Q400">
        <v>0.58343644409999995</v>
      </c>
      <c r="R400">
        <v>17.903853073000001</v>
      </c>
      <c r="S400">
        <v>227.480362533</v>
      </c>
      <c r="T400">
        <v>323.30038740100002</v>
      </c>
      <c r="U400">
        <v>0</v>
      </c>
      <c r="V400">
        <v>12573.459046676</v>
      </c>
      <c r="W400">
        <v>0</v>
      </c>
      <c r="Y400" t="str">
        <f>$A400 &amp; Keys!$C$8 &amp; $B400</f>
        <v>Oklahoma|Industry SO2</v>
      </c>
      <c r="Z400" s="8">
        <f>IFERROR(INDEX($U400:$W400, MATCH(INDEX(Runs!$D:$D, MATCH($B400, Runs!$A:$A, 0)), $U$1:$W$1, 0)), 0)</f>
        <v>12573.459046676</v>
      </c>
      <c r="AA400" s="8">
        <f t="shared" si="24"/>
        <v>2.4172084749450699E-3</v>
      </c>
      <c r="AB400" s="8">
        <f>IFERROR(VLOOKUP(INDEX(Runs!$F:$F, MATCH($B400, Runs!$A:$A, 0)), US_national_yearly!$D:$AM, MATCH(Keys!$C$7, US_national_yearly!$D$1:$AM$1, 0), FALSE), 0)</f>
        <v>5.3000351638639942E-3</v>
      </c>
      <c r="AC400" s="8">
        <f t="shared" si="25"/>
        <v>0.45607404483384645</v>
      </c>
      <c r="AD400">
        <f>IF($Z400&lt;Keys!$C$3, 1, 0)</f>
        <v>0</v>
      </c>
      <c r="AE400">
        <f>IF($AC400&gt;Keys!$C$4, 1, 0)</f>
        <v>0</v>
      </c>
      <c r="AF400">
        <f>IF($AC400&lt;Keys!$C$5, 1, 0)</f>
        <v>0</v>
      </c>
      <c r="AG400">
        <f t="shared" si="26"/>
        <v>0</v>
      </c>
      <c r="AH400" t="str">
        <f>IFERROR(INDEX(Runs!$E:$E, MATCH($B400, Runs!$A:$A, 0)), $B400)</f>
        <v>Industry SO2</v>
      </c>
      <c r="AI400" t="str">
        <f t="shared" si="27"/>
        <v>Industry SO2</v>
      </c>
      <c r="AJ400" t="str">
        <f>IF($AG400=1, IF($AD400=1, Keys!$C$9, "") &amp; IF($AE400=1, Keys!$C$10, "") &amp; IF($AF400=1, Keys!$C$11, ""), "")</f>
        <v/>
      </c>
      <c r="AK400">
        <f>IF($AG400=1, IFERROR(INDEX($AG$2:$AG$577, MATCH($A400 &amp; Keys!$C$8 &amp; $AH400, $Y$2:$Y$577, 0)), 1), 0)</f>
        <v>0</v>
      </c>
    </row>
    <row r="401" spans="1:37" x14ac:dyDescent="0.25">
      <c r="A401" t="s">
        <v>184</v>
      </c>
      <c r="B401" t="s">
        <v>253</v>
      </c>
      <c r="C401">
        <v>77</v>
      </c>
      <c r="D401">
        <v>4.5067656713000002</v>
      </c>
      <c r="E401">
        <v>1.5614535793E-2</v>
      </c>
      <c r="F401">
        <v>12.254272593</v>
      </c>
      <c r="G401">
        <v>16.502108612000001</v>
      </c>
      <c r="H401">
        <v>25.212594969000001</v>
      </c>
      <c r="I401">
        <v>0.31222637324000002</v>
      </c>
      <c r="J401">
        <v>1.7546691932</v>
      </c>
      <c r="K401">
        <v>1344.124498296</v>
      </c>
      <c r="L401">
        <v>228.74568762800001</v>
      </c>
      <c r="M401">
        <v>0.43781457560999998</v>
      </c>
      <c r="N401">
        <v>53.968976173999998</v>
      </c>
      <c r="O401">
        <v>1.1100575715000001</v>
      </c>
      <c r="P401">
        <v>3.5147907084E-2</v>
      </c>
      <c r="Q401">
        <v>8.9738499255999998E-2</v>
      </c>
      <c r="R401">
        <v>2.8977279665999989</v>
      </c>
      <c r="S401">
        <v>36.809171008000007</v>
      </c>
      <c r="T401">
        <v>52.28314576399999</v>
      </c>
      <c r="U401">
        <v>0</v>
      </c>
      <c r="V401">
        <v>0</v>
      </c>
      <c r="W401">
        <v>6035.9912178799996</v>
      </c>
      <c r="Y401" t="str">
        <f>$A401 &amp; Keys!$C$8 &amp; $B401</f>
        <v>Oklahoma|buildings NO2</v>
      </c>
      <c r="Z401" s="8">
        <f>IFERROR(INDEX($U401:$W401, MATCH(INDEX(Runs!$D:$D, MATCH($B401, Runs!$A:$A, 0)), $U$1:$W$1, 0)), 0)</f>
        <v>6035.9912178799996</v>
      </c>
      <c r="AA401" s="8">
        <f t="shared" si="24"/>
        <v>7.4664881187201193E-4</v>
      </c>
      <c r="AB401" s="8">
        <f>IFERROR(VLOOKUP(INDEX(Runs!$F:$F, MATCH($B401, Runs!$A:$A, 0)), US_national_yearly!$D:$AM, MATCH(Keys!$C$7, US_national_yearly!$D$1:$AM$1, 0), FALSE), 0)</f>
        <v>5.6784740124662739E-3</v>
      </c>
      <c r="AC401" s="8">
        <f t="shared" si="25"/>
        <v>0.13148758103547745</v>
      </c>
      <c r="AD401">
        <f>IF($Z401&lt;Keys!$C$3, 1, 0)</f>
        <v>0</v>
      </c>
      <c r="AE401">
        <f>IF($AC401&gt;Keys!$C$4, 1, 0)</f>
        <v>0</v>
      </c>
      <c r="AF401">
        <f>IF($AC401&lt;Keys!$C$5, 1, 0)</f>
        <v>0</v>
      </c>
      <c r="AG401">
        <f t="shared" si="26"/>
        <v>0</v>
      </c>
      <c r="AH401" t="str">
        <f>IFERROR(INDEX(Runs!$E:$E, MATCH($B401, Runs!$A:$A, 0)), $B401)</f>
        <v>Industry NO2</v>
      </c>
      <c r="AI401" t="str">
        <f t="shared" si="27"/>
        <v>buildings NO2</v>
      </c>
      <c r="AJ401" t="str">
        <f>IF($AG401=1, IF($AD401=1, Keys!$C$9, "") &amp; IF($AE401=1, Keys!$C$10, "") &amp; IF($AF401=1, Keys!$C$11, ""), "")</f>
        <v/>
      </c>
      <c r="AK401">
        <f>IF($AG401=1, IFERROR(INDEX($AG$2:$AG$577, MATCH($A401 &amp; Keys!$C$8 &amp; $AH401, $Y$2:$Y$577, 0)), 1), 0)</f>
        <v>0</v>
      </c>
    </row>
    <row r="402" spans="1:37" x14ac:dyDescent="0.25">
      <c r="A402" t="s">
        <v>184</v>
      </c>
      <c r="B402" t="s">
        <v>251</v>
      </c>
      <c r="C402">
        <v>77</v>
      </c>
      <c r="D402">
        <v>0.43283975291999988</v>
      </c>
      <c r="E402">
        <v>1.4862424541200001E-3</v>
      </c>
      <c r="F402">
        <v>1.1721124272500001</v>
      </c>
      <c r="G402">
        <v>1.5784209120999999</v>
      </c>
      <c r="H402">
        <v>2.4115544796999999</v>
      </c>
      <c r="I402">
        <v>2.9934906587000001E-2</v>
      </c>
      <c r="J402">
        <v>0.16821388398000001</v>
      </c>
      <c r="K402">
        <v>128.973090477</v>
      </c>
      <c r="L402">
        <v>21.949032269</v>
      </c>
      <c r="M402">
        <v>4.1970120805000018E-2</v>
      </c>
      <c r="N402">
        <v>5.162087819049999</v>
      </c>
      <c r="O402">
        <v>0.10636051969800001</v>
      </c>
      <c r="P402">
        <v>3.3604953694E-3</v>
      </c>
      <c r="Q402">
        <v>8.6009026399999997E-3</v>
      </c>
      <c r="R402">
        <v>0.27712697468000003</v>
      </c>
      <c r="S402">
        <v>3.520313736699999</v>
      </c>
      <c r="T402">
        <v>5.0000068995999998</v>
      </c>
      <c r="U402">
        <v>39.470423145000012</v>
      </c>
      <c r="V402">
        <v>0</v>
      </c>
      <c r="W402">
        <v>0</v>
      </c>
      <c r="Y402" t="str">
        <f>$A402 &amp; Keys!$C$8 &amp; $B402</f>
        <v>Oklahoma|buildings PM25</v>
      </c>
      <c r="Z402" s="8">
        <f>IFERROR(INDEX($U402:$W402, MATCH(INDEX(Runs!$D:$D, MATCH($B402, Runs!$A:$A, 0)), $U$1:$W$1, 0)), 0)</f>
        <v>39.470423145000012</v>
      </c>
      <c r="AA402" s="8">
        <f t="shared" si="24"/>
        <v>1.0966179696880971E-2</v>
      </c>
      <c r="AB402" s="8">
        <f>IFERROR(VLOOKUP(INDEX(Runs!$F:$F, MATCH($B402, Runs!$A:$A, 0)), US_national_yearly!$D:$AM, MATCH(Keys!$C$7, US_national_yearly!$D$1:$AM$1, 0), FALSE), 0)</f>
        <v>2.7627705191843259E-2</v>
      </c>
      <c r="AC402" s="8">
        <f t="shared" si="25"/>
        <v>0.39692691161763954</v>
      </c>
      <c r="AD402">
        <f>IF($Z402&lt;Keys!$C$3, 1, 0)</f>
        <v>0</v>
      </c>
      <c r="AE402">
        <f>IF($AC402&gt;Keys!$C$4, 1, 0)</f>
        <v>0</v>
      </c>
      <c r="AF402">
        <f>IF($AC402&lt;Keys!$C$5, 1, 0)</f>
        <v>0</v>
      </c>
      <c r="AG402">
        <f t="shared" si="26"/>
        <v>0</v>
      </c>
      <c r="AH402" t="str">
        <f>IFERROR(INDEX(Runs!$E:$E, MATCH($B402, Runs!$A:$A, 0)), $B402)</f>
        <v>Industry PM25</v>
      </c>
      <c r="AI402" t="str">
        <f t="shared" si="27"/>
        <v>buildings PM25</v>
      </c>
      <c r="AJ402" t="str">
        <f>IF($AG402=1, IF($AD402=1, Keys!$C$9, "") &amp; IF($AE402=1, Keys!$C$10, "") &amp; IF($AF402=1, Keys!$C$11, ""), "")</f>
        <v/>
      </c>
      <c r="AK402">
        <f>IF($AG402=1, IFERROR(INDEX($AG$2:$AG$577, MATCH($A402 &amp; Keys!$C$8 &amp; $AH402, $Y$2:$Y$577, 0)), 1), 0)</f>
        <v>0</v>
      </c>
    </row>
    <row r="403" spans="1:37" x14ac:dyDescent="0.25">
      <c r="A403" t="s">
        <v>184</v>
      </c>
      <c r="B403" t="s">
        <v>254</v>
      </c>
      <c r="C403">
        <v>77</v>
      </c>
      <c r="D403">
        <v>2.3347278368999989E-2</v>
      </c>
      <c r="E403">
        <v>7.9162095589999998E-5</v>
      </c>
      <c r="F403">
        <v>6.2118645870000003E-2</v>
      </c>
      <c r="G403">
        <v>8.3651877689999987E-2</v>
      </c>
      <c r="H403">
        <v>0.12780549919</v>
      </c>
      <c r="I403">
        <v>1.6199720655000009E-3</v>
      </c>
      <c r="J403">
        <v>9.0653987650000049E-3</v>
      </c>
      <c r="K403">
        <v>6.8303739480000001</v>
      </c>
      <c r="L403">
        <v>1.1614079299</v>
      </c>
      <c r="M403">
        <v>2.2612524347E-3</v>
      </c>
      <c r="N403">
        <v>0.27357602274999998</v>
      </c>
      <c r="O403">
        <v>5.6414566719999986E-3</v>
      </c>
      <c r="P403">
        <v>1.7807568773999999E-4</v>
      </c>
      <c r="Q403">
        <v>4.5940768527000009E-4</v>
      </c>
      <c r="R403">
        <v>1.4680762518000001E-2</v>
      </c>
      <c r="S403">
        <v>0.18648158716999999</v>
      </c>
      <c r="T403">
        <v>0.26484833223999998</v>
      </c>
      <c r="U403">
        <v>0</v>
      </c>
      <c r="V403">
        <v>26.620489473999999</v>
      </c>
      <c r="W403">
        <v>0</v>
      </c>
      <c r="Y403" t="str">
        <f>$A403 &amp; Keys!$C$8 &amp; $B403</f>
        <v>Oklahoma|buildings SO2</v>
      </c>
      <c r="Z403" s="8">
        <f>IFERROR(INDEX($U403:$W403, MATCH(INDEX(Runs!$D:$D, MATCH($B403, Runs!$A:$A, 0)), $U$1:$W$1, 0)), 0)</f>
        <v>26.620489473999999</v>
      </c>
      <c r="AA403" s="8">
        <f t="shared" si="24"/>
        <v>8.7704166340754456E-4</v>
      </c>
      <c r="AB403" s="8">
        <f>IFERROR(VLOOKUP(INDEX(Runs!$F:$F, MATCH($B403, Runs!$A:$A, 0)), US_national_yearly!$D:$AM, MATCH(Keys!$C$7, US_national_yearly!$D$1:$AM$1, 0), FALSE), 0)</f>
        <v>5.1581943281164694E-3</v>
      </c>
      <c r="AC403" s="8">
        <f t="shared" si="25"/>
        <v>0.17002881388685467</v>
      </c>
      <c r="AD403">
        <f>IF($Z403&lt;Keys!$C$3, 1, 0)</f>
        <v>0</v>
      </c>
      <c r="AE403">
        <f>IF($AC403&gt;Keys!$C$4, 1, 0)</f>
        <v>0</v>
      </c>
      <c r="AF403">
        <f>IF($AC403&lt;Keys!$C$5, 1, 0)</f>
        <v>0</v>
      </c>
      <c r="AG403">
        <f t="shared" si="26"/>
        <v>0</v>
      </c>
      <c r="AH403" t="str">
        <f>IFERROR(INDEX(Runs!$E:$E, MATCH($B403, Runs!$A:$A, 0)), $B403)</f>
        <v>Industry SO2</v>
      </c>
      <c r="AI403" t="str">
        <f t="shared" si="27"/>
        <v>buildings SO2</v>
      </c>
      <c r="AJ403" t="str">
        <f>IF($AG403=1, IF($AD403=1, Keys!$C$9, "") &amp; IF($AE403=1, Keys!$C$10, "") &amp; IF($AF403=1, Keys!$C$11, ""), "")</f>
        <v/>
      </c>
      <c r="AK403">
        <f>IF($AG403=1, IFERROR(INDEX($AG$2:$AG$577, MATCH($A403 &amp; Keys!$C$8 &amp; $AH403, $Y$2:$Y$577, 0)), 1), 0)</f>
        <v>0</v>
      </c>
    </row>
    <row r="404" spans="1:37" x14ac:dyDescent="0.25">
      <c r="A404" t="s">
        <v>184</v>
      </c>
      <c r="B404" t="s">
        <v>249</v>
      </c>
      <c r="C404">
        <v>77</v>
      </c>
      <c r="D404">
        <v>2.3234796389999999</v>
      </c>
      <c r="E404">
        <v>7.0605896960000006E-3</v>
      </c>
      <c r="F404">
        <v>5.5059285320000004</v>
      </c>
      <c r="G404">
        <v>7.4145277090000006</v>
      </c>
      <c r="H404">
        <v>11.328155982</v>
      </c>
      <c r="I404">
        <v>0.16237902579999999</v>
      </c>
      <c r="J404">
        <v>0.89071018209999975</v>
      </c>
      <c r="K404">
        <v>614.66698280000003</v>
      </c>
      <c r="L404">
        <v>103.98858072100001</v>
      </c>
      <c r="M404">
        <v>0.22190598469999989</v>
      </c>
      <c r="N404">
        <v>24.248612222999999</v>
      </c>
      <c r="O404">
        <v>0.50769155529999999</v>
      </c>
      <c r="P404">
        <v>1.5746864839999999E-2</v>
      </c>
      <c r="Q404">
        <v>4.320035891E-2</v>
      </c>
      <c r="R404">
        <v>1.2956916089999999</v>
      </c>
      <c r="S404">
        <v>16.460504343</v>
      </c>
      <c r="T404">
        <v>23.383342643999999</v>
      </c>
      <c r="U404">
        <v>0</v>
      </c>
      <c r="V404">
        <v>0</v>
      </c>
      <c r="W404">
        <v>19093.328238138001</v>
      </c>
      <c r="Y404" t="str">
        <f>$A404 &amp; Keys!$C$8 &amp; $B404</f>
        <v>Oklahoma|electricity NO2</v>
      </c>
      <c r="Z404" s="8">
        <f>IFERROR(INDEX($U404:$W404, MATCH(INDEX(Runs!$D:$D, MATCH($B404, Runs!$A:$A, 0)), $U$1:$W$1, 0)), 0)</f>
        <v>19093.328238138001</v>
      </c>
      <c r="AA404" s="8">
        <f t="shared" si="24"/>
        <v>1.2169065602501724E-4</v>
      </c>
      <c r="AB404" s="8">
        <f>IFERROR(VLOOKUP(INDEX(Runs!$F:$F, MATCH($B404, Runs!$A:$A, 0)), US_national_yearly!$D:$AM, MATCH(Keys!$C$7, US_national_yearly!$D$1:$AM$1, 0), FALSE), 0)</f>
        <v>6.1439221592658041E-3</v>
      </c>
      <c r="AC404" s="8">
        <f t="shared" si="25"/>
        <v>1.9806672817540907E-2</v>
      </c>
      <c r="AD404">
        <f>IF($Z404&lt;Keys!$C$3, 1, 0)</f>
        <v>0</v>
      </c>
      <c r="AE404">
        <f>IF($AC404&gt;Keys!$C$4, 1, 0)</f>
        <v>0</v>
      </c>
      <c r="AF404">
        <f>IF($AC404&lt;Keys!$C$5, 1, 0)</f>
        <v>0</v>
      </c>
      <c r="AG404">
        <f t="shared" si="26"/>
        <v>0</v>
      </c>
      <c r="AH404" t="str">
        <f>IFERROR(INDEX(Runs!$E:$E, MATCH($B404, Runs!$A:$A, 0)), $B404)</f>
        <v>Industry NO2</v>
      </c>
      <c r="AI404" t="str">
        <f t="shared" si="27"/>
        <v>electricity NO2</v>
      </c>
      <c r="AJ404" t="str">
        <f>IF($AG404=1, IF($AD404=1, Keys!$C$9, "") &amp; IF($AE404=1, Keys!$C$10, "") &amp; IF($AF404=1, Keys!$C$11, ""), "")</f>
        <v/>
      </c>
      <c r="AK404">
        <f>IF($AG404=1, IFERROR(INDEX($AG$2:$AG$577, MATCH($A404 &amp; Keys!$C$8 &amp; $AH404, $Y$2:$Y$577, 0)), 1), 0)</f>
        <v>0</v>
      </c>
    </row>
    <row r="405" spans="1:37" x14ac:dyDescent="0.25">
      <c r="A405" t="s">
        <v>184</v>
      </c>
      <c r="B405" t="s">
        <v>247</v>
      </c>
      <c r="C405">
        <v>77</v>
      </c>
      <c r="D405">
        <v>6.8068949603000002</v>
      </c>
      <c r="E405">
        <v>2.2716771667000001E-2</v>
      </c>
      <c r="F405">
        <v>17.849525707999991</v>
      </c>
      <c r="G405">
        <v>24.036855407000012</v>
      </c>
      <c r="H405">
        <v>36.724672968999997</v>
      </c>
      <c r="I405">
        <v>0.47212986093999992</v>
      </c>
      <c r="J405">
        <v>2.6416152351999989</v>
      </c>
      <c r="K405">
        <v>1971.9496516060001</v>
      </c>
      <c r="L405">
        <v>335.07182052600001</v>
      </c>
      <c r="M405">
        <v>0.65852852553999985</v>
      </c>
      <c r="N405">
        <v>78.611054084000003</v>
      </c>
      <c r="O405">
        <v>1.6269010634000001</v>
      </c>
      <c r="P405">
        <v>5.1192606431999993E-2</v>
      </c>
      <c r="Q405">
        <v>0.133606050226</v>
      </c>
      <c r="R405">
        <v>4.2139768403000009</v>
      </c>
      <c r="S405">
        <v>53.530871431999998</v>
      </c>
      <c r="T405">
        <v>76.040728875000013</v>
      </c>
      <c r="U405">
        <v>1250.711887317</v>
      </c>
      <c r="V405">
        <v>0</v>
      </c>
      <c r="W405">
        <v>0</v>
      </c>
      <c r="Y405" t="str">
        <f>$A405 &amp; Keys!$C$8 &amp; $B405</f>
        <v>Oklahoma|electricity PM25</v>
      </c>
      <c r="Z405" s="8">
        <f>IFERROR(INDEX($U405:$W405, MATCH(INDEX(Runs!$D:$D, MATCH($B405, Runs!$A:$A, 0)), $U$1:$W$1, 0)), 0)</f>
        <v>1250.711887317</v>
      </c>
      <c r="AA405" s="8">
        <f t="shared" si="24"/>
        <v>5.4424164584395245E-3</v>
      </c>
      <c r="AB405" s="8">
        <f>IFERROR(VLOOKUP(INDEX(Runs!$F:$F, MATCH($B405, Runs!$A:$A, 0)), US_national_yearly!$D:$AM, MATCH(Keys!$C$7, US_national_yearly!$D$1:$AM$1, 0), FALSE), 0)</f>
        <v>2.4252978284752182E-2</v>
      </c>
      <c r="AC405" s="8">
        <f t="shared" si="25"/>
        <v>0.22440198455383786</v>
      </c>
      <c r="AD405">
        <f>IF($Z405&lt;Keys!$C$3, 1, 0)</f>
        <v>0</v>
      </c>
      <c r="AE405">
        <f>IF($AC405&gt;Keys!$C$4, 1, 0)</f>
        <v>0</v>
      </c>
      <c r="AF405">
        <f>IF($AC405&lt;Keys!$C$5, 1, 0)</f>
        <v>0</v>
      </c>
      <c r="AG405">
        <f t="shared" si="26"/>
        <v>0</v>
      </c>
      <c r="AH405" t="str">
        <f>IFERROR(INDEX(Runs!$E:$E, MATCH($B405, Runs!$A:$A, 0)), $B405)</f>
        <v>Industry PM25</v>
      </c>
      <c r="AI405" t="str">
        <f t="shared" si="27"/>
        <v>electricity PM25</v>
      </c>
      <c r="AJ405" t="str">
        <f>IF($AG405=1, IF($AD405=1, Keys!$C$9, "") &amp; IF($AE405=1, Keys!$C$10, "") &amp; IF($AF405=1, Keys!$C$11, ""), "")</f>
        <v/>
      </c>
      <c r="AK405">
        <f>IF($AG405=1, IFERROR(INDEX($AG$2:$AG$577, MATCH($A405 &amp; Keys!$C$8 &amp; $AH405, $Y$2:$Y$577, 0)), 1), 0)</f>
        <v>0</v>
      </c>
    </row>
    <row r="406" spans="1:37" x14ac:dyDescent="0.25">
      <c r="A406" t="s">
        <v>184</v>
      </c>
      <c r="B406" t="s">
        <v>250</v>
      </c>
      <c r="C406">
        <v>77</v>
      </c>
      <c r="D406">
        <v>2.7145658070000001</v>
      </c>
      <c r="E406">
        <v>8.7017439540000002E-3</v>
      </c>
      <c r="F406">
        <v>6.8359468149999998</v>
      </c>
      <c r="G406">
        <v>9.2055899789999991</v>
      </c>
      <c r="H406">
        <v>14.064596829999999</v>
      </c>
      <c r="I406">
        <v>0.18816620470000001</v>
      </c>
      <c r="J406">
        <v>1.0441488821</v>
      </c>
      <c r="K406">
        <v>756.14165166399994</v>
      </c>
      <c r="L406">
        <v>128.27052252799999</v>
      </c>
      <c r="M406">
        <v>0.26023048960000011</v>
      </c>
      <c r="N406">
        <v>30.106133624000002</v>
      </c>
      <c r="O406">
        <v>0.62474302130000015</v>
      </c>
      <c r="P406">
        <v>1.9578355464E-2</v>
      </c>
      <c r="Q406">
        <v>5.1913603940000011E-2</v>
      </c>
      <c r="R406">
        <v>1.6125952509000001</v>
      </c>
      <c r="S406">
        <v>20.485089780999999</v>
      </c>
      <c r="T406">
        <v>29.097273375</v>
      </c>
      <c r="U406">
        <v>0</v>
      </c>
      <c r="V406">
        <v>8341.2306834999999</v>
      </c>
      <c r="W406">
        <v>0</v>
      </c>
      <c r="Y406" t="str">
        <f>$A406 &amp; Keys!$C$8 &amp; $B406</f>
        <v>Oklahoma|electricity SO2</v>
      </c>
      <c r="Z406" s="8">
        <f>IFERROR(INDEX($U406:$W406, MATCH(INDEX(Runs!$D:$D, MATCH($B406, Runs!$A:$A, 0)), $U$1:$W$1, 0)), 0)</f>
        <v>8341.2306834999999</v>
      </c>
      <c r="AA406" s="8">
        <f t="shared" si="24"/>
        <v>3.2543948369270634E-4</v>
      </c>
      <c r="AB406" s="8">
        <f>IFERROR(VLOOKUP(INDEX(Runs!$F:$F, MATCH($B406, Runs!$A:$A, 0)), US_national_yearly!$D:$AM, MATCH(Keys!$C$7, US_national_yearly!$D$1:$AM$1, 0), FALSE), 0)</f>
        <v>5.7032329662362116E-3</v>
      </c>
      <c r="AC406" s="8">
        <f t="shared" si="25"/>
        <v>5.7062281274383342E-2</v>
      </c>
      <c r="AD406">
        <f>IF($Z406&lt;Keys!$C$3, 1, 0)</f>
        <v>0</v>
      </c>
      <c r="AE406">
        <f>IF($AC406&gt;Keys!$C$4, 1, 0)</f>
        <v>0</v>
      </c>
      <c r="AF406">
        <f>IF($AC406&lt;Keys!$C$5, 1, 0)</f>
        <v>0</v>
      </c>
      <c r="AG406">
        <f t="shared" si="26"/>
        <v>0</v>
      </c>
      <c r="AH406" t="str">
        <f>IFERROR(INDEX(Runs!$E:$E, MATCH($B406, Runs!$A:$A, 0)), $B406)</f>
        <v>Industry SO2</v>
      </c>
      <c r="AI406" t="str">
        <f t="shared" si="27"/>
        <v>electricity SO2</v>
      </c>
      <c r="AJ406" t="str">
        <f>IF($AG406=1, IF($AD406=1, Keys!$C$9, "") &amp; IF($AE406=1, Keys!$C$10, "") &amp; IF($AF406=1, Keys!$C$11, ""), "")</f>
        <v/>
      </c>
      <c r="AK406">
        <f>IF($AG406=1, IFERROR(INDEX($AG$2:$AG$577, MATCH($A406 &amp; Keys!$C$8 &amp; $AH406, $Y$2:$Y$577, 0)), 1), 0)</f>
        <v>0</v>
      </c>
    </row>
    <row r="407" spans="1:37" x14ac:dyDescent="0.25">
      <c r="A407" t="s">
        <v>184</v>
      </c>
      <c r="B407" t="s">
        <v>239</v>
      </c>
      <c r="C407">
        <v>77</v>
      </c>
      <c r="D407">
        <v>33.282522698999998</v>
      </c>
      <c r="E407">
        <v>0.11216801167</v>
      </c>
      <c r="F407">
        <v>88.336453157999983</v>
      </c>
      <c r="G407">
        <v>118.95492503</v>
      </c>
      <c r="H407">
        <v>181.75340304700001</v>
      </c>
      <c r="I407">
        <v>2.3114978100000001</v>
      </c>
      <c r="J407">
        <v>12.920106303000001</v>
      </c>
      <c r="K407">
        <v>9724.7306857490021</v>
      </c>
      <c r="L407">
        <v>1653.3956611389999</v>
      </c>
      <c r="M407">
        <v>3.2254378560000001</v>
      </c>
      <c r="N407">
        <v>389.04478123500002</v>
      </c>
      <c r="O407">
        <v>8.028531349999998</v>
      </c>
      <c r="P407">
        <v>0.25304539250000002</v>
      </c>
      <c r="Q407">
        <v>0.6549173075000001</v>
      </c>
      <c r="R407">
        <v>20.837702328999999</v>
      </c>
      <c r="S407">
        <v>264.766589318</v>
      </c>
      <c r="T407">
        <v>376.35294173200009</v>
      </c>
      <c r="U407">
        <v>0</v>
      </c>
      <c r="V407">
        <v>0</v>
      </c>
      <c r="W407">
        <v>64884.652736540003</v>
      </c>
      <c r="Y407" t="str">
        <f>$A407 &amp; Keys!$C$8 &amp; $B407</f>
        <v>Oklahoma|transportation NO2</v>
      </c>
      <c r="Z407" s="8">
        <f>IFERROR(INDEX($U407:$W407, MATCH(INDEX(Runs!$D:$D, MATCH($B407, Runs!$A:$A, 0)), $U$1:$W$1, 0)), 0)</f>
        <v>64884.652736540003</v>
      </c>
      <c r="AA407" s="8">
        <f t="shared" si="24"/>
        <v>5.1294907648102178E-4</v>
      </c>
      <c r="AB407" s="8">
        <f>IFERROR(VLOOKUP(INDEX(Runs!$F:$F, MATCH($B407, Runs!$A:$A, 0)), US_national_yearly!$D:$AM, MATCH(Keys!$C$7, US_national_yearly!$D$1:$AM$1, 0), FALSE), 0)</f>
        <v>5.7148835886332216E-3</v>
      </c>
      <c r="AC407" s="8">
        <f t="shared" si="25"/>
        <v>8.9756697319481063E-2</v>
      </c>
      <c r="AD407">
        <f>IF($Z407&lt;Keys!$C$3, 1, 0)</f>
        <v>0</v>
      </c>
      <c r="AE407">
        <f>IF($AC407&gt;Keys!$C$4, 1, 0)</f>
        <v>0</v>
      </c>
      <c r="AF407">
        <f>IF($AC407&lt;Keys!$C$5, 1, 0)</f>
        <v>0</v>
      </c>
      <c r="AG407">
        <f t="shared" si="26"/>
        <v>0</v>
      </c>
      <c r="AH407" t="str">
        <f>IFERROR(INDEX(Runs!$E:$E, MATCH($B407, Runs!$A:$A, 0)), $B407)</f>
        <v>Industry NO2</v>
      </c>
      <c r="AI407" t="str">
        <f t="shared" si="27"/>
        <v>transportation NO2</v>
      </c>
      <c r="AJ407" t="str">
        <f>IF($AG407=1, IF($AD407=1, Keys!$C$9, "") &amp; IF($AE407=1, Keys!$C$10, "") &amp; IF($AF407=1, Keys!$C$11, ""), "")</f>
        <v/>
      </c>
      <c r="AK407">
        <f>IF($AG407=1, IFERROR(INDEX($AG$2:$AG$577, MATCH($A407 &amp; Keys!$C$8 &amp; $AH407, $Y$2:$Y$577, 0)), 1), 0)</f>
        <v>0</v>
      </c>
    </row>
    <row r="408" spans="1:37" x14ac:dyDescent="0.25">
      <c r="A408" t="s">
        <v>184</v>
      </c>
      <c r="B408" t="s">
        <v>234</v>
      </c>
      <c r="C408">
        <v>77</v>
      </c>
      <c r="D408">
        <v>23.521296323999991</v>
      </c>
      <c r="E408">
        <v>8.151685152999999E-2</v>
      </c>
      <c r="F408">
        <v>63.939684044999993</v>
      </c>
      <c r="G408">
        <v>86.102272018000008</v>
      </c>
      <c r="H408">
        <v>131.556064193</v>
      </c>
      <c r="I408">
        <v>1.6339012482999999</v>
      </c>
      <c r="J408">
        <v>9.1711182410000003</v>
      </c>
      <c r="K408">
        <v>7023.3910531960009</v>
      </c>
      <c r="L408">
        <v>1195.3280031960001</v>
      </c>
      <c r="M408">
        <v>2.2902812839000002</v>
      </c>
      <c r="N408">
        <v>281.59802025599998</v>
      </c>
      <c r="O408">
        <v>5.7969912719999996</v>
      </c>
      <c r="P408">
        <v>0.18336622188000001</v>
      </c>
      <c r="Q408">
        <v>0.46906682397999999</v>
      </c>
      <c r="R408">
        <v>15.103188940000001</v>
      </c>
      <c r="S408">
        <v>191.891009919</v>
      </c>
      <c r="T408">
        <v>272.72025803899999</v>
      </c>
      <c r="U408">
        <v>1414.384208915</v>
      </c>
      <c r="V408">
        <v>0</v>
      </c>
      <c r="W408">
        <v>0</v>
      </c>
      <c r="Y408" t="str">
        <f>$A408 &amp; Keys!$C$8 &amp; $B408</f>
        <v>Oklahoma|transportation PM25</v>
      </c>
      <c r="Z408" s="8">
        <f>IFERROR(INDEX($U408:$W408, MATCH(INDEX(Runs!$D:$D, MATCH($B408, Runs!$A:$A, 0)), $U$1:$W$1, 0)), 0)</f>
        <v>1414.384208915</v>
      </c>
      <c r="AA408" s="8">
        <f t="shared" si="24"/>
        <v>1.663006146119491E-2</v>
      </c>
      <c r="AB408" s="8">
        <f>IFERROR(VLOOKUP(INDEX(Runs!$F:$F, MATCH($B408, Runs!$A:$A, 0)), US_national_yearly!$D:$AM, MATCH(Keys!$C$7, US_national_yearly!$D$1:$AM$1, 0), FALSE), 0)</f>
        <v>2.8248683697579859E-2</v>
      </c>
      <c r="AC408" s="8">
        <f t="shared" si="25"/>
        <v>0.58870217243501699</v>
      </c>
      <c r="AD408">
        <f>IF($Z408&lt;Keys!$C$3, 1, 0)</f>
        <v>0</v>
      </c>
      <c r="AE408">
        <f>IF($AC408&gt;Keys!$C$4, 1, 0)</f>
        <v>0</v>
      </c>
      <c r="AF408">
        <f>IF($AC408&lt;Keys!$C$5, 1, 0)</f>
        <v>0</v>
      </c>
      <c r="AG408">
        <f t="shared" si="26"/>
        <v>0</v>
      </c>
      <c r="AH408" t="str">
        <f>IFERROR(INDEX(Runs!$E:$E, MATCH($B408, Runs!$A:$A, 0)), $B408)</f>
        <v>Industry PM25</v>
      </c>
      <c r="AI408" t="str">
        <f t="shared" si="27"/>
        <v>transportation PM25</v>
      </c>
      <c r="AJ408" t="str">
        <f>IF($AG408=1, IF($AD408=1, Keys!$C$9, "") &amp; IF($AE408=1, Keys!$C$10, "") &amp; IF($AF408=1, Keys!$C$11, ""), "")</f>
        <v/>
      </c>
      <c r="AK408">
        <f>IF($AG408=1, IFERROR(INDEX($AG$2:$AG$577, MATCH($A408 &amp; Keys!$C$8 &amp; $AH408, $Y$2:$Y$577, 0)), 1), 0)</f>
        <v>0</v>
      </c>
    </row>
    <row r="409" spans="1:37" x14ac:dyDescent="0.25">
      <c r="A409" t="s">
        <v>184</v>
      </c>
      <c r="B409" t="s">
        <v>243</v>
      </c>
      <c r="C409">
        <v>77</v>
      </c>
      <c r="D409">
        <v>0.29125631269000002</v>
      </c>
      <c r="E409">
        <v>1.0037542415000001E-3</v>
      </c>
      <c r="F409">
        <v>0.78748224889999996</v>
      </c>
      <c r="G409">
        <v>1.0604602386999999</v>
      </c>
      <c r="H409">
        <v>1.6201995305000001</v>
      </c>
      <c r="I409">
        <v>2.0078709629000002E-2</v>
      </c>
      <c r="J409">
        <v>0.11276443824</v>
      </c>
      <c r="K409">
        <v>85.953260614000001</v>
      </c>
      <c r="L409">
        <v>14.626090276999999</v>
      </c>
      <c r="M409">
        <v>2.8125943233000002E-2</v>
      </c>
      <c r="N409">
        <v>3.4681420181</v>
      </c>
      <c r="O409">
        <v>7.1160372019999987E-2</v>
      </c>
      <c r="P409">
        <v>2.2610140541000001E-3</v>
      </c>
      <c r="Q409">
        <v>5.7533081740000014E-3</v>
      </c>
      <c r="R409">
        <v>0.18643206440999999</v>
      </c>
      <c r="S409">
        <v>2.3681021024</v>
      </c>
      <c r="T409">
        <v>3.3631839270999988</v>
      </c>
      <c r="U409">
        <v>0</v>
      </c>
      <c r="V409">
        <v>319.34863979300002</v>
      </c>
      <c r="W409">
        <v>0</v>
      </c>
      <c r="Y409" t="str">
        <f>$A409 &amp; Keys!$C$8 &amp; $B409</f>
        <v>Oklahoma|transportation SO2</v>
      </c>
      <c r="Z409" s="8">
        <f>IFERROR(INDEX($U409:$W409, MATCH(INDEX(Runs!$D:$D, MATCH($B409, Runs!$A:$A, 0)), $U$1:$W$1, 0)), 0)</f>
        <v>319.34863979300002</v>
      </c>
      <c r="AA409" s="8">
        <f t="shared" si="24"/>
        <v>9.1203241973659478E-4</v>
      </c>
      <c r="AB409" s="8">
        <f>IFERROR(VLOOKUP(INDEX(Runs!$F:$F, MATCH($B409, Runs!$A:$A, 0)), US_national_yearly!$D:$AM, MATCH(Keys!$C$7, US_national_yearly!$D$1:$AM$1, 0), FALSE), 0)</f>
        <v>5.1800714166247604E-3</v>
      </c>
      <c r="AC409" s="8">
        <f t="shared" si="25"/>
        <v>0.17606560728285447</v>
      </c>
      <c r="AD409">
        <f>IF($Z409&lt;Keys!$C$3, 1, 0)</f>
        <v>0</v>
      </c>
      <c r="AE409">
        <f>IF($AC409&gt;Keys!$C$4, 1, 0)</f>
        <v>0</v>
      </c>
      <c r="AF409">
        <f>IF($AC409&lt;Keys!$C$5, 1, 0)</f>
        <v>0</v>
      </c>
      <c r="AG409">
        <f t="shared" si="26"/>
        <v>0</v>
      </c>
      <c r="AH409" t="str">
        <f>IFERROR(INDEX(Runs!$E:$E, MATCH($B409, Runs!$A:$A, 0)), $B409)</f>
        <v>Industry SO2</v>
      </c>
      <c r="AI409" t="str">
        <f t="shared" si="27"/>
        <v>transportation SO2</v>
      </c>
      <c r="AJ409" t="str">
        <f>IF($AG409=1, IF($AD409=1, Keys!$C$9, "") &amp; IF($AE409=1, Keys!$C$10, "") &amp; IF($AF409=1, Keys!$C$11, ""), "")</f>
        <v/>
      </c>
      <c r="AK409">
        <f>IF($AG409=1, IFERROR(INDEX($AG$2:$AG$577, MATCH($A409 &amp; Keys!$C$8 &amp; $AH409, $Y$2:$Y$577, 0)), 1), 0)</f>
        <v>0</v>
      </c>
    </row>
    <row r="410" spans="1:37" x14ac:dyDescent="0.25">
      <c r="A410" t="s">
        <v>187</v>
      </c>
      <c r="B410" t="s">
        <v>242</v>
      </c>
      <c r="C410">
        <v>36</v>
      </c>
      <c r="D410">
        <v>3.5829400769999999</v>
      </c>
      <c r="E410">
        <v>7.2903548919999997E-3</v>
      </c>
      <c r="F410">
        <v>8.5612009679999996</v>
      </c>
      <c r="G410">
        <v>11.528884878</v>
      </c>
      <c r="H410">
        <v>17.614233926000001</v>
      </c>
      <c r="I410">
        <v>0.18075059039999999</v>
      </c>
      <c r="J410">
        <v>1.2103566400000001</v>
      </c>
      <c r="K410">
        <v>1144.3248878639999</v>
      </c>
      <c r="L410">
        <v>194.69106196700011</v>
      </c>
      <c r="M410">
        <v>0.2638888848</v>
      </c>
      <c r="N410">
        <v>37.704319772000012</v>
      </c>
      <c r="O410">
        <v>0.7047032607</v>
      </c>
      <c r="P410">
        <v>1.1784592829999999E-2</v>
      </c>
      <c r="Q410">
        <v>3.9189148719999997E-2</v>
      </c>
      <c r="R410">
        <v>2.0135928029999999</v>
      </c>
      <c r="S410">
        <v>25.56557809800001</v>
      </c>
      <c r="T410">
        <v>36.281992470000013</v>
      </c>
      <c r="U410">
        <v>0</v>
      </c>
      <c r="V410">
        <v>0</v>
      </c>
      <c r="W410">
        <v>11903.134184318</v>
      </c>
      <c r="Y410" t="str">
        <f>$A410 &amp; Keys!$C$8 &amp; $B410</f>
        <v>Oregon|Industry NO2</v>
      </c>
      <c r="Z410" s="8">
        <f>IFERROR(INDEX($U410:$W410, MATCH(INDEX(Runs!$D:$D, MATCH($B410, Runs!$A:$A, 0)), $U$1:$W$1, 0)), 0)</f>
        <v>11903.134184318</v>
      </c>
      <c r="AA410" s="8">
        <f t="shared" si="24"/>
        <v>3.0100812286233062E-4</v>
      </c>
      <c r="AB410" s="8">
        <f>IFERROR(VLOOKUP(INDEX(Runs!$F:$F, MATCH($B410, Runs!$A:$A, 0)), US_national_yearly!$D:$AM, MATCH(Keys!$C$7, US_national_yearly!$D$1:$AM$1, 0), FALSE), 0)</f>
        <v>5.8012217057786938E-3</v>
      </c>
      <c r="AC410" s="8">
        <f t="shared" si="25"/>
        <v>5.1887022790818596E-2</v>
      </c>
      <c r="AD410">
        <f>IF($Z410&lt;Keys!$C$3, 1, 0)</f>
        <v>0</v>
      </c>
      <c r="AE410">
        <f>IF($AC410&gt;Keys!$C$4, 1, 0)</f>
        <v>0</v>
      </c>
      <c r="AF410">
        <f>IF($AC410&lt;Keys!$C$5, 1, 0)</f>
        <v>0</v>
      </c>
      <c r="AG410">
        <f t="shared" si="26"/>
        <v>0</v>
      </c>
      <c r="AH410" t="str">
        <f>IFERROR(INDEX(Runs!$E:$E, MATCH($B410, Runs!$A:$A, 0)), $B410)</f>
        <v>Industry NO2</v>
      </c>
      <c r="AI410" t="str">
        <f t="shared" si="27"/>
        <v>Industry NO2</v>
      </c>
      <c r="AJ410" t="str">
        <f>IF($AG410=1, IF($AD410=1, Keys!$C$9, "") &amp; IF($AE410=1, Keys!$C$10, "") &amp; IF($AF410=1, Keys!$C$11, ""), "")</f>
        <v/>
      </c>
      <c r="AK410">
        <f>IF($AG410=1, IFERROR(INDEX($AG$2:$AG$577, MATCH($A410 &amp; Keys!$C$8 &amp; $AH410, $Y$2:$Y$577, 0)), 1), 0)</f>
        <v>0</v>
      </c>
    </row>
    <row r="411" spans="1:37" x14ac:dyDescent="0.25">
      <c r="A411" t="s">
        <v>187</v>
      </c>
      <c r="B411" t="s">
        <v>238</v>
      </c>
      <c r="C411">
        <v>36</v>
      </c>
      <c r="D411">
        <v>48.006077711000003</v>
      </c>
      <c r="E411">
        <v>9.9849945489999994E-2</v>
      </c>
      <c r="F411">
        <v>117.61797105300001</v>
      </c>
      <c r="G411">
        <v>158.38369561600001</v>
      </c>
      <c r="H411">
        <v>242.00472538599999</v>
      </c>
      <c r="I411">
        <v>2.4159079800000001</v>
      </c>
      <c r="J411">
        <v>16.36411352999999</v>
      </c>
      <c r="K411">
        <v>15923.927142191</v>
      </c>
      <c r="L411">
        <v>2712.939221872</v>
      </c>
      <c r="M411">
        <v>3.5628638239999999</v>
      </c>
      <c r="N411">
        <v>518.00639205499999</v>
      </c>
      <c r="O411">
        <v>9.719767805</v>
      </c>
      <c r="P411">
        <v>0.15916806998999999</v>
      </c>
      <c r="Q411">
        <v>0.54210398329999998</v>
      </c>
      <c r="R411">
        <v>27.659288133</v>
      </c>
      <c r="S411">
        <v>351.28145765300002</v>
      </c>
      <c r="T411">
        <v>499.03734601200011</v>
      </c>
      <c r="U411">
        <v>4109.3235319100004</v>
      </c>
      <c r="V411">
        <v>0</v>
      </c>
      <c r="W411">
        <v>0</v>
      </c>
      <c r="Y411" t="str">
        <f>$A411 &amp; Keys!$C$8 &amp; $B411</f>
        <v>Oregon|Industry PM25</v>
      </c>
      <c r="Z411" s="8">
        <f>IFERROR(INDEX($U411:$W411, MATCH(INDEX(Runs!$D:$D, MATCH($B411, Runs!$A:$A, 0)), $U$1:$W$1, 0)), 0)</f>
        <v>4109.3235319100004</v>
      </c>
      <c r="AA411" s="8">
        <f t="shared" si="24"/>
        <v>1.1682233666495208E-2</v>
      </c>
      <c r="AB411" s="8">
        <f>IFERROR(VLOOKUP(INDEX(Runs!$F:$F, MATCH($B411, Runs!$A:$A, 0)), US_national_yearly!$D:$AM, MATCH(Keys!$C$7, US_national_yearly!$D$1:$AM$1, 0), FALSE), 0)</f>
        <v>2.6833191881203179E-2</v>
      </c>
      <c r="AC411" s="8">
        <f t="shared" si="25"/>
        <v>0.43536504036549922</v>
      </c>
      <c r="AD411">
        <f>IF($Z411&lt;Keys!$C$3, 1, 0)</f>
        <v>0</v>
      </c>
      <c r="AE411">
        <f>IF($AC411&gt;Keys!$C$4, 1, 0)</f>
        <v>0</v>
      </c>
      <c r="AF411">
        <f>IF($AC411&lt;Keys!$C$5, 1, 0)</f>
        <v>0</v>
      </c>
      <c r="AG411">
        <f t="shared" si="26"/>
        <v>0</v>
      </c>
      <c r="AH411" t="str">
        <f>IFERROR(INDEX(Runs!$E:$E, MATCH($B411, Runs!$A:$A, 0)), $B411)</f>
        <v>Industry PM25</v>
      </c>
      <c r="AI411" t="str">
        <f t="shared" si="27"/>
        <v>Industry PM25</v>
      </c>
      <c r="AJ411" t="str">
        <f>IF($AG411=1, IF($AD411=1, Keys!$C$9, "") &amp; IF($AE411=1, Keys!$C$10, "") &amp; IF($AF411=1, Keys!$C$11, ""), "")</f>
        <v/>
      </c>
      <c r="AK411">
        <f>IF($AG411=1, IFERROR(INDEX($AG$2:$AG$577, MATCH($A411 &amp; Keys!$C$8 &amp; $AH411, $Y$2:$Y$577, 0)), 1), 0)</f>
        <v>0</v>
      </c>
    </row>
    <row r="412" spans="1:37" x14ac:dyDescent="0.25">
      <c r="A412" t="s">
        <v>187</v>
      </c>
      <c r="B412" t="s">
        <v>246</v>
      </c>
      <c r="C412">
        <v>36</v>
      </c>
      <c r="D412">
        <v>6.683849726</v>
      </c>
      <c r="E412">
        <v>1.308127815E-2</v>
      </c>
      <c r="F412">
        <v>15.461026572</v>
      </c>
      <c r="G412">
        <v>20.82045608</v>
      </c>
      <c r="H412">
        <v>31.810341119</v>
      </c>
      <c r="I412">
        <v>0.34210642810000003</v>
      </c>
      <c r="J412">
        <v>2.2531382550000001</v>
      </c>
      <c r="K412">
        <v>2048.4872585520002</v>
      </c>
      <c r="L412">
        <v>348.23180639200012</v>
      </c>
      <c r="M412">
        <v>0.49105971510000002</v>
      </c>
      <c r="N412">
        <v>68.091823771000008</v>
      </c>
      <c r="O412">
        <v>1.271396175</v>
      </c>
      <c r="P412">
        <v>2.1504484019999999E-2</v>
      </c>
      <c r="Q412">
        <v>7.1491287109999982E-2</v>
      </c>
      <c r="R412">
        <v>3.631260749</v>
      </c>
      <c r="S412">
        <v>46.109947898000001</v>
      </c>
      <c r="T412">
        <v>65.452979977999988</v>
      </c>
      <c r="U412">
        <v>0</v>
      </c>
      <c r="V412">
        <v>1444.0713309109999</v>
      </c>
      <c r="W412">
        <v>0</v>
      </c>
      <c r="Y412" t="str">
        <f>$A412 &amp; Keys!$C$8 &amp; $B412</f>
        <v>Oregon|Industry SO2</v>
      </c>
      <c r="Z412" s="8">
        <f>IFERROR(INDEX($U412:$W412, MATCH(INDEX(Runs!$D:$D, MATCH($B412, Runs!$A:$A, 0)), $U$1:$W$1, 0)), 0)</f>
        <v>1444.0713309109999</v>
      </c>
      <c r="AA412" s="8">
        <f t="shared" si="24"/>
        <v>4.6284761582957665E-3</v>
      </c>
      <c r="AB412" s="8">
        <f>IFERROR(VLOOKUP(INDEX(Runs!$F:$F, MATCH($B412, Runs!$A:$A, 0)), US_national_yearly!$D:$AM, MATCH(Keys!$C$7, US_national_yearly!$D$1:$AM$1, 0), FALSE), 0)</f>
        <v>5.3000351638639942E-3</v>
      </c>
      <c r="AC412" s="8">
        <f t="shared" si="25"/>
        <v>0.87329159433753134</v>
      </c>
      <c r="AD412">
        <f>IF($Z412&lt;Keys!$C$3, 1, 0)</f>
        <v>0</v>
      </c>
      <c r="AE412">
        <f>IF($AC412&gt;Keys!$C$4, 1, 0)</f>
        <v>0</v>
      </c>
      <c r="AF412">
        <f>IF($AC412&lt;Keys!$C$5, 1, 0)</f>
        <v>0</v>
      </c>
      <c r="AG412">
        <f t="shared" si="26"/>
        <v>0</v>
      </c>
      <c r="AH412" t="str">
        <f>IFERROR(INDEX(Runs!$E:$E, MATCH($B412, Runs!$A:$A, 0)), $B412)</f>
        <v>Industry SO2</v>
      </c>
      <c r="AI412" t="str">
        <f t="shared" si="27"/>
        <v>Industry SO2</v>
      </c>
      <c r="AJ412" t="str">
        <f>IF($AG412=1, IF($AD412=1, Keys!$C$9, "") &amp; IF($AE412=1, Keys!$C$10, "") &amp; IF($AF412=1, Keys!$C$11, ""), "")</f>
        <v/>
      </c>
      <c r="AK412">
        <f>IF($AG412=1, IFERROR(INDEX($AG$2:$AG$577, MATCH($A412 &amp; Keys!$C$8 &amp; $AH412, $Y$2:$Y$577, 0)), 1), 0)</f>
        <v>0</v>
      </c>
    </row>
    <row r="413" spans="1:37" x14ac:dyDescent="0.25">
      <c r="A413" t="s">
        <v>187</v>
      </c>
      <c r="B413" t="s">
        <v>253</v>
      </c>
      <c r="C413">
        <v>36</v>
      </c>
      <c r="D413">
        <v>3.323005530000001</v>
      </c>
      <c r="E413">
        <v>7.0170813350000014E-3</v>
      </c>
      <c r="F413">
        <v>8.3072320430000008</v>
      </c>
      <c r="G413">
        <v>11.186878055999999</v>
      </c>
      <c r="H413">
        <v>17.091708374</v>
      </c>
      <c r="I413">
        <v>0.17091012320000001</v>
      </c>
      <c r="J413">
        <v>1.133571404</v>
      </c>
      <c r="K413">
        <v>1119.1608507020001</v>
      </c>
      <c r="L413">
        <v>190.64667777700001</v>
      </c>
      <c r="M413">
        <v>0.24757092019999999</v>
      </c>
      <c r="N413">
        <v>36.585818473000003</v>
      </c>
      <c r="O413">
        <v>0.68353674460000002</v>
      </c>
      <c r="P413">
        <v>1.1307435269999999E-2</v>
      </c>
      <c r="Q413">
        <v>3.7977075649999997E-2</v>
      </c>
      <c r="R413">
        <v>1.9582279819999999</v>
      </c>
      <c r="S413">
        <v>24.860021568000001</v>
      </c>
      <c r="T413">
        <v>35.274500781</v>
      </c>
      <c r="U413">
        <v>0</v>
      </c>
      <c r="V413">
        <v>0</v>
      </c>
      <c r="W413">
        <v>4062.387773291</v>
      </c>
      <c r="Y413" t="str">
        <f>$A413 &amp; Keys!$C$8 &amp; $B413</f>
        <v>Oregon|buildings NO2</v>
      </c>
      <c r="Z413" s="8">
        <f>IFERROR(INDEX($U413:$W413, MATCH(INDEX(Runs!$D:$D, MATCH($B413, Runs!$A:$A, 0)), $U$1:$W$1, 0)), 0)</f>
        <v>4062.387773291</v>
      </c>
      <c r="AA413" s="8">
        <f t="shared" si="24"/>
        <v>8.17993189091347E-4</v>
      </c>
      <c r="AB413" s="8">
        <f>IFERROR(VLOOKUP(INDEX(Runs!$F:$F, MATCH($B413, Runs!$A:$A, 0)), US_national_yearly!$D:$AM, MATCH(Keys!$C$7, US_national_yearly!$D$1:$AM$1, 0), FALSE), 0)</f>
        <v>5.6784740124662739E-3</v>
      </c>
      <c r="AC413" s="8">
        <f t="shared" si="25"/>
        <v>0.14405158627045936</v>
      </c>
      <c r="AD413">
        <f>IF($Z413&lt;Keys!$C$3, 1, 0)</f>
        <v>0</v>
      </c>
      <c r="AE413">
        <f>IF($AC413&gt;Keys!$C$4, 1, 0)</f>
        <v>0</v>
      </c>
      <c r="AF413">
        <f>IF($AC413&lt;Keys!$C$5, 1, 0)</f>
        <v>0</v>
      </c>
      <c r="AG413">
        <f t="shared" si="26"/>
        <v>0</v>
      </c>
      <c r="AH413" t="str">
        <f>IFERROR(INDEX(Runs!$E:$E, MATCH($B413, Runs!$A:$A, 0)), $B413)</f>
        <v>Industry NO2</v>
      </c>
      <c r="AI413" t="str">
        <f t="shared" si="27"/>
        <v>buildings NO2</v>
      </c>
      <c r="AJ413" t="str">
        <f>IF($AG413=1, IF($AD413=1, Keys!$C$9, "") &amp; IF($AE413=1, Keys!$C$10, "") &amp; IF($AF413=1, Keys!$C$11, ""), "")</f>
        <v/>
      </c>
      <c r="AK413">
        <f>IF($AG413=1, IFERROR(INDEX($AG$2:$AG$577, MATCH($A413 &amp; Keys!$C$8 &amp; $AH413, $Y$2:$Y$577, 0)), 1), 0)</f>
        <v>0</v>
      </c>
    </row>
    <row r="414" spans="1:37" x14ac:dyDescent="0.25">
      <c r="A414" t="s">
        <v>187</v>
      </c>
      <c r="B414" t="s">
        <v>251</v>
      </c>
      <c r="C414">
        <v>36</v>
      </c>
      <c r="D414">
        <v>0.31686738580000001</v>
      </c>
      <c r="E414">
        <v>7.0096163440000014E-4</v>
      </c>
      <c r="F414">
        <v>0.82734841900000011</v>
      </c>
      <c r="G414">
        <v>1.1141457446</v>
      </c>
      <c r="H414">
        <v>1.7022221447000001</v>
      </c>
      <c r="I414">
        <v>1.5823403739999999E-2</v>
      </c>
      <c r="J414">
        <v>0.10962675248000001</v>
      </c>
      <c r="K414">
        <v>114.661349702</v>
      </c>
      <c r="L414">
        <v>19.576822341</v>
      </c>
      <c r="M414">
        <v>2.3740602390000001E-2</v>
      </c>
      <c r="N414">
        <v>3.6437163083000002</v>
      </c>
      <c r="O414">
        <v>6.8765534350000004E-2</v>
      </c>
      <c r="P414">
        <v>1.0831576981000001E-3</v>
      </c>
      <c r="Q414">
        <v>3.80745945E-3</v>
      </c>
      <c r="R414">
        <v>0.19563130299000001</v>
      </c>
      <c r="S414">
        <v>2.4828978589999999</v>
      </c>
      <c r="T414">
        <v>3.5213249109999989</v>
      </c>
      <c r="U414">
        <v>17.751174548000002</v>
      </c>
      <c r="V414">
        <v>0</v>
      </c>
      <c r="W414">
        <v>0</v>
      </c>
      <c r="Y414" t="str">
        <f>$A414 &amp; Keys!$C$8 &amp; $B414</f>
        <v>Oregon|buildings PM25</v>
      </c>
      <c r="Z414" s="8">
        <f>IFERROR(INDEX($U414:$W414, MATCH(INDEX(Runs!$D:$D, MATCH($B414, Runs!$A:$A, 0)), $U$1:$W$1, 0)), 0)</f>
        <v>17.751174548000002</v>
      </c>
      <c r="AA414" s="8">
        <f t="shared" si="24"/>
        <v>1.7850502508618561E-2</v>
      </c>
      <c r="AB414" s="8">
        <f>IFERROR(VLOOKUP(INDEX(Runs!$F:$F, MATCH($B414, Runs!$A:$A, 0)), US_national_yearly!$D:$AM, MATCH(Keys!$C$7, US_national_yearly!$D$1:$AM$1, 0), FALSE), 0)</f>
        <v>2.7627705191843259E-2</v>
      </c>
      <c r="AC414" s="8">
        <f t="shared" si="25"/>
        <v>0.64610876598931943</v>
      </c>
      <c r="AD414">
        <f>IF($Z414&lt;Keys!$C$3, 1, 0)</f>
        <v>0</v>
      </c>
      <c r="AE414">
        <f>IF($AC414&gt;Keys!$C$4, 1, 0)</f>
        <v>0</v>
      </c>
      <c r="AF414">
        <f>IF($AC414&lt;Keys!$C$5, 1, 0)</f>
        <v>0</v>
      </c>
      <c r="AG414">
        <f t="shared" si="26"/>
        <v>0</v>
      </c>
      <c r="AH414" t="str">
        <f>IFERROR(INDEX(Runs!$E:$E, MATCH($B414, Runs!$A:$A, 0)), $B414)</f>
        <v>Industry PM25</v>
      </c>
      <c r="AI414" t="str">
        <f t="shared" si="27"/>
        <v>buildings PM25</v>
      </c>
      <c r="AJ414" t="str">
        <f>IF($AG414=1, IF($AD414=1, Keys!$C$9, "") &amp; IF($AE414=1, Keys!$C$10, "") &amp; IF($AF414=1, Keys!$C$11, ""), "")</f>
        <v/>
      </c>
      <c r="AK414">
        <f>IF($AG414=1, IFERROR(INDEX($AG$2:$AG$577, MATCH($A414 &amp; Keys!$C$8 &amp; $AH414, $Y$2:$Y$577, 0)), 1), 0)</f>
        <v>0</v>
      </c>
    </row>
    <row r="415" spans="1:37" x14ac:dyDescent="0.25">
      <c r="A415" t="s">
        <v>187</v>
      </c>
      <c r="B415" t="s">
        <v>254</v>
      </c>
      <c r="C415">
        <v>36</v>
      </c>
      <c r="D415">
        <v>0.51423797349999989</v>
      </c>
      <c r="E415">
        <v>1.0603514720999999E-3</v>
      </c>
      <c r="F415">
        <v>1.2527834861</v>
      </c>
      <c r="G415">
        <v>1.6870561319999999</v>
      </c>
      <c r="H415">
        <v>2.5775309160000002</v>
      </c>
      <c r="I415">
        <v>2.5615734720000009E-2</v>
      </c>
      <c r="J415">
        <v>0.17601130139999999</v>
      </c>
      <c r="K415">
        <v>172.32507752199999</v>
      </c>
      <c r="L415">
        <v>29.377185841999999</v>
      </c>
      <c r="M415">
        <v>3.7833911849999999E-2</v>
      </c>
      <c r="N415">
        <v>5.5173705341000003</v>
      </c>
      <c r="O415">
        <v>0.10430647996</v>
      </c>
      <c r="P415">
        <v>1.655081902E-3</v>
      </c>
      <c r="Q415">
        <v>5.8793525309999983E-3</v>
      </c>
      <c r="R415">
        <v>0.29560316500000011</v>
      </c>
      <c r="S415">
        <v>3.752269219</v>
      </c>
      <c r="T415">
        <v>5.3229240249999998</v>
      </c>
      <c r="U415">
        <v>0</v>
      </c>
      <c r="V415">
        <v>165.65734502800001</v>
      </c>
      <c r="W415">
        <v>0</v>
      </c>
      <c r="Y415" t="str">
        <f>$A415 &amp; Keys!$C$8 &amp; $B415</f>
        <v>Oregon|buildings SO2</v>
      </c>
      <c r="Z415" s="8">
        <f>IFERROR(INDEX($U415:$W415, MATCH(INDEX(Runs!$D:$D, MATCH($B415, Runs!$A:$A, 0)), $U$1:$W$1, 0)), 0)</f>
        <v>165.65734502800001</v>
      </c>
      <c r="AA415" s="8">
        <f t="shared" si="24"/>
        <v>3.1042268208094337E-3</v>
      </c>
      <c r="AB415" s="8">
        <f>IFERROR(VLOOKUP(INDEX(Runs!$F:$F, MATCH($B415, Runs!$A:$A, 0)), US_national_yearly!$D:$AM, MATCH(Keys!$C$7, US_national_yearly!$D$1:$AM$1, 0), FALSE), 0)</f>
        <v>5.1581943281164694E-3</v>
      </c>
      <c r="AC415" s="8">
        <f t="shared" si="25"/>
        <v>0.60180493857875872</v>
      </c>
      <c r="AD415">
        <f>IF($Z415&lt;Keys!$C$3, 1, 0)</f>
        <v>0</v>
      </c>
      <c r="AE415">
        <f>IF($AC415&gt;Keys!$C$4, 1, 0)</f>
        <v>0</v>
      </c>
      <c r="AF415">
        <f>IF($AC415&lt;Keys!$C$5, 1, 0)</f>
        <v>0</v>
      </c>
      <c r="AG415">
        <f t="shared" si="26"/>
        <v>0</v>
      </c>
      <c r="AH415" t="str">
        <f>IFERROR(INDEX(Runs!$E:$E, MATCH($B415, Runs!$A:$A, 0)), $B415)</f>
        <v>Industry SO2</v>
      </c>
      <c r="AI415" t="str">
        <f t="shared" si="27"/>
        <v>buildings SO2</v>
      </c>
      <c r="AJ415" t="str">
        <f>IF($AG415=1, IF($AD415=1, Keys!$C$9, "") &amp; IF($AE415=1, Keys!$C$10, "") &amp; IF($AF415=1, Keys!$C$11, ""), "")</f>
        <v/>
      </c>
      <c r="AK415">
        <f>IF($AG415=1, IFERROR(INDEX($AG$2:$AG$577, MATCH($A415 &amp; Keys!$C$8 &amp; $AH415, $Y$2:$Y$577, 0)), 1), 0)</f>
        <v>0</v>
      </c>
    </row>
    <row r="416" spans="1:37" x14ac:dyDescent="0.25">
      <c r="A416" t="s">
        <v>187</v>
      </c>
      <c r="B416" t="s">
        <v>249</v>
      </c>
      <c r="C416">
        <v>36</v>
      </c>
      <c r="D416">
        <v>1.1361604399999999E-2</v>
      </c>
      <c r="E416">
        <v>1.79714702E-5</v>
      </c>
      <c r="F416">
        <v>2.20001272E-2</v>
      </c>
      <c r="G416">
        <v>2.9626404000000009E-2</v>
      </c>
      <c r="H416">
        <v>4.5263980300000013E-2</v>
      </c>
      <c r="I416">
        <v>6.0315495599999993E-4</v>
      </c>
      <c r="J416">
        <v>3.6911406499999999E-3</v>
      </c>
      <c r="K416">
        <v>2.802650377</v>
      </c>
      <c r="L416">
        <v>0.47244235699999998</v>
      </c>
      <c r="M416">
        <v>8.2619300000000013E-4</v>
      </c>
      <c r="N416">
        <v>9.6890511500000012E-2</v>
      </c>
      <c r="O416">
        <v>1.8104922199999999E-3</v>
      </c>
      <c r="P416">
        <v>3.19688578E-5</v>
      </c>
      <c r="Q416">
        <v>1.0281966800000001E-4</v>
      </c>
      <c r="R416">
        <v>5.1520806199999991E-3</v>
      </c>
      <c r="S416">
        <v>6.5460552399999997E-2</v>
      </c>
      <c r="T416">
        <v>9.3008996000000024E-2</v>
      </c>
      <c r="U416">
        <v>0</v>
      </c>
      <c r="V416">
        <v>0</v>
      </c>
      <c r="W416">
        <v>1273.42536326</v>
      </c>
      <c r="Y416" t="str">
        <f>$A416 &amp; Keys!$C$8 &amp; $B416</f>
        <v>Oregon|electricity NO2</v>
      </c>
      <c r="Z416" s="8">
        <f>IFERROR(INDEX($U416:$W416, MATCH(INDEX(Runs!$D:$D, MATCH($B416, Runs!$A:$A, 0)), $U$1:$W$1, 0)), 0)</f>
        <v>1273.42536326</v>
      </c>
      <c r="AA416" s="8">
        <f t="shared" si="24"/>
        <v>8.9220811268545919E-6</v>
      </c>
      <c r="AB416" s="8">
        <f>IFERROR(VLOOKUP(INDEX(Runs!$F:$F, MATCH($B416, Runs!$A:$A, 0)), US_national_yearly!$D:$AM, MATCH(Keys!$C$7, US_national_yearly!$D$1:$AM$1, 0), FALSE), 0)</f>
        <v>6.1439221592658041E-3</v>
      </c>
      <c r="AC416" s="8">
        <f t="shared" si="25"/>
        <v>1.4521800399764141E-3</v>
      </c>
      <c r="AD416">
        <f>IF($Z416&lt;Keys!$C$3, 1, 0)</f>
        <v>0</v>
      </c>
      <c r="AE416">
        <f>IF($AC416&gt;Keys!$C$4, 1, 0)</f>
        <v>0</v>
      </c>
      <c r="AF416">
        <f>IF($AC416&lt;Keys!$C$5, 1, 0)</f>
        <v>0</v>
      </c>
      <c r="AG416">
        <f t="shared" si="26"/>
        <v>0</v>
      </c>
      <c r="AH416" t="str">
        <f>IFERROR(INDEX(Runs!$E:$E, MATCH($B416, Runs!$A:$A, 0)), $B416)</f>
        <v>Industry NO2</v>
      </c>
      <c r="AI416" t="str">
        <f t="shared" si="27"/>
        <v>electricity NO2</v>
      </c>
      <c r="AJ416" t="str">
        <f>IF($AG416=1, IF($AD416=1, Keys!$C$9, "") &amp; IF($AE416=1, Keys!$C$10, "") &amp; IF($AF416=1, Keys!$C$11, ""), "")</f>
        <v/>
      </c>
      <c r="AK416">
        <f>IF($AG416=1, IFERROR(INDEX($AG$2:$AG$577, MATCH($A416 &amp; Keys!$C$8 &amp; $AH416, $Y$2:$Y$577, 0)), 1), 0)</f>
        <v>0</v>
      </c>
    </row>
    <row r="417" spans="1:37" x14ac:dyDescent="0.25">
      <c r="A417" t="s">
        <v>187</v>
      </c>
      <c r="B417" t="s">
        <v>247</v>
      </c>
      <c r="C417">
        <v>36</v>
      </c>
      <c r="D417">
        <v>0.8672885699999997</v>
      </c>
      <c r="E417">
        <v>1.837745988E-3</v>
      </c>
      <c r="F417">
        <v>2.109331015</v>
      </c>
      <c r="G417">
        <v>2.840520186</v>
      </c>
      <c r="H417">
        <v>4.3398338110000001</v>
      </c>
      <c r="I417">
        <v>4.6375530900000017E-2</v>
      </c>
      <c r="J417">
        <v>0.28996491800000002</v>
      </c>
      <c r="K417">
        <v>267.23703250800003</v>
      </c>
      <c r="L417">
        <v>45.287281944999997</v>
      </c>
      <c r="M417">
        <v>6.5242838300000008E-2</v>
      </c>
      <c r="N417">
        <v>9.2896850119999996</v>
      </c>
      <c r="O417">
        <v>0.16966798820000001</v>
      </c>
      <c r="P417">
        <v>3.0890690500000001E-3</v>
      </c>
      <c r="Q417">
        <v>8.9041842500000006E-3</v>
      </c>
      <c r="R417">
        <v>0.49338460000000012</v>
      </c>
      <c r="S417">
        <v>6.2672686659999988</v>
      </c>
      <c r="T417">
        <v>8.9013709240000001</v>
      </c>
      <c r="U417">
        <v>340.55583172000001</v>
      </c>
      <c r="V417">
        <v>0</v>
      </c>
      <c r="W417">
        <v>0</v>
      </c>
      <c r="Y417" t="str">
        <f>$A417 &amp; Keys!$C$8 &amp; $B417</f>
        <v>Oregon|electricity PM25</v>
      </c>
      <c r="Z417" s="8">
        <f>IFERROR(INDEX($U417:$W417, MATCH(INDEX(Runs!$D:$D, MATCH($B417, Runs!$A:$A, 0)), $U$1:$W$1, 0)), 0)</f>
        <v>340.55583172000001</v>
      </c>
      <c r="AA417" s="8">
        <f t="shared" si="24"/>
        <v>2.5466854160731906E-3</v>
      </c>
      <c r="AB417" s="8">
        <f>IFERROR(VLOOKUP(INDEX(Runs!$F:$F, MATCH($B417, Runs!$A:$A, 0)), US_national_yearly!$D:$AM, MATCH(Keys!$C$7, US_national_yearly!$D$1:$AM$1, 0), FALSE), 0)</f>
        <v>2.4252978284752182E-2</v>
      </c>
      <c r="AC417" s="8">
        <f t="shared" si="25"/>
        <v>0.10500505901472268</v>
      </c>
      <c r="AD417">
        <f>IF($Z417&lt;Keys!$C$3, 1, 0)</f>
        <v>0</v>
      </c>
      <c r="AE417">
        <f>IF($AC417&gt;Keys!$C$4, 1, 0)</f>
        <v>0</v>
      </c>
      <c r="AF417">
        <f>IF($AC417&lt;Keys!$C$5, 1, 0)</f>
        <v>0</v>
      </c>
      <c r="AG417">
        <f t="shared" si="26"/>
        <v>0</v>
      </c>
      <c r="AH417" t="str">
        <f>IFERROR(INDEX(Runs!$E:$E, MATCH($B417, Runs!$A:$A, 0)), $B417)</f>
        <v>Industry PM25</v>
      </c>
      <c r="AI417" t="str">
        <f t="shared" si="27"/>
        <v>electricity PM25</v>
      </c>
      <c r="AJ417" t="str">
        <f>IF($AG417=1, IF($AD417=1, Keys!$C$9, "") &amp; IF($AE417=1, Keys!$C$10, "") &amp; IF($AF417=1, Keys!$C$11, ""), "")</f>
        <v/>
      </c>
      <c r="AK417">
        <f>IF($AG417=1, IFERROR(INDEX($AG$2:$AG$577, MATCH($A417 &amp; Keys!$C$8 &amp; $AH417, $Y$2:$Y$577, 0)), 1), 0)</f>
        <v>0</v>
      </c>
    </row>
    <row r="418" spans="1:37" x14ac:dyDescent="0.25">
      <c r="A418" t="s">
        <v>187</v>
      </c>
      <c r="B418" t="s">
        <v>250</v>
      </c>
      <c r="C418">
        <v>36</v>
      </c>
      <c r="D418">
        <v>0.25058005199999989</v>
      </c>
      <c r="E418">
        <v>4.35892463E-4</v>
      </c>
      <c r="F418">
        <v>0.51868539100000022</v>
      </c>
      <c r="G418">
        <v>0.69848591599999987</v>
      </c>
      <c r="H418">
        <v>1.067165339</v>
      </c>
      <c r="I418">
        <v>1.3393625500000001E-2</v>
      </c>
      <c r="J418">
        <v>8.2396091800000001E-2</v>
      </c>
      <c r="K418">
        <v>66.368423546000002</v>
      </c>
      <c r="L418">
        <v>11.220731404</v>
      </c>
      <c r="M418">
        <v>1.8515777900000009E-2</v>
      </c>
      <c r="N418">
        <v>2.2843366459999999</v>
      </c>
      <c r="O418">
        <v>4.2888028299999999E-2</v>
      </c>
      <c r="P418">
        <v>7.7333999E-4</v>
      </c>
      <c r="Q418">
        <v>2.4271412600000001E-3</v>
      </c>
      <c r="R418">
        <v>0.1202036574</v>
      </c>
      <c r="S418">
        <v>1.527155617</v>
      </c>
      <c r="T418">
        <v>2.1695871790000001</v>
      </c>
      <c r="U418">
        <v>0</v>
      </c>
      <c r="V418">
        <v>22.682385</v>
      </c>
      <c r="W418">
        <v>0</v>
      </c>
      <c r="Y418" t="str">
        <f>$A418 &amp; Keys!$C$8 &amp; $B418</f>
        <v>Oregon|electricity SO2</v>
      </c>
      <c r="Z418" s="8">
        <f>IFERROR(INDEX($U418:$W418, MATCH(INDEX(Runs!$D:$D, MATCH($B418, Runs!$A:$A, 0)), $U$1:$W$1, 0)), 0)</f>
        <v>22.682385</v>
      </c>
      <c r="AA418" s="8">
        <f t="shared" si="24"/>
        <v>1.1047341450204636E-2</v>
      </c>
      <c r="AB418" s="8">
        <f>IFERROR(VLOOKUP(INDEX(Runs!$F:$F, MATCH($B418, Runs!$A:$A, 0)), US_national_yearly!$D:$AM, MATCH(Keys!$C$7, US_national_yearly!$D$1:$AM$1, 0), FALSE), 0)</f>
        <v>5.7032329662362116E-3</v>
      </c>
      <c r="AC418" s="8">
        <f t="shared" si="25"/>
        <v>1.9370314198290961</v>
      </c>
      <c r="AD418">
        <f>IF($Z418&lt;Keys!$C$3, 1, 0)</f>
        <v>0</v>
      </c>
      <c r="AE418">
        <f>IF($AC418&gt;Keys!$C$4, 1, 0)</f>
        <v>0</v>
      </c>
      <c r="AF418">
        <f>IF($AC418&lt;Keys!$C$5, 1, 0)</f>
        <v>0</v>
      </c>
      <c r="AG418">
        <f t="shared" si="26"/>
        <v>0</v>
      </c>
      <c r="AH418" t="str">
        <f>IFERROR(INDEX(Runs!$E:$E, MATCH($B418, Runs!$A:$A, 0)), $B418)</f>
        <v>Industry SO2</v>
      </c>
      <c r="AI418" t="str">
        <f t="shared" si="27"/>
        <v>electricity SO2</v>
      </c>
      <c r="AJ418" t="str">
        <f>IF($AG418=1, IF($AD418=1, Keys!$C$9, "") &amp; IF($AE418=1, Keys!$C$10, "") &amp; IF($AF418=1, Keys!$C$11, ""), "")</f>
        <v/>
      </c>
      <c r="AK418">
        <f>IF($AG418=1, IFERROR(INDEX($AG$2:$AG$577, MATCH($A418 &amp; Keys!$C$8 &amp; $AH418, $Y$2:$Y$577, 0)), 1), 0)</f>
        <v>0</v>
      </c>
    </row>
    <row r="419" spans="1:37" x14ac:dyDescent="0.25">
      <c r="A419" t="s">
        <v>187</v>
      </c>
      <c r="B419" t="s">
        <v>239</v>
      </c>
      <c r="C419">
        <v>36</v>
      </c>
      <c r="D419">
        <v>32.694036783000001</v>
      </c>
      <c r="E419">
        <v>6.4589676929999978E-2</v>
      </c>
      <c r="F419">
        <v>76.242765046000002</v>
      </c>
      <c r="G419">
        <v>102.669859011</v>
      </c>
      <c r="H419">
        <v>156.869587739</v>
      </c>
      <c r="I419">
        <v>1.661950866</v>
      </c>
      <c r="J419">
        <v>11.067839521</v>
      </c>
      <c r="K419">
        <v>10197.222429683001</v>
      </c>
      <c r="L419">
        <v>1734.6105433709999</v>
      </c>
      <c r="M419">
        <v>2.3994311860000002</v>
      </c>
      <c r="N419">
        <v>335.78221179600013</v>
      </c>
      <c r="O419">
        <v>6.2877657499999984</v>
      </c>
      <c r="P419">
        <v>0.1044421353</v>
      </c>
      <c r="Q419">
        <v>0.35520867639999992</v>
      </c>
      <c r="R419">
        <v>17.911423161999998</v>
      </c>
      <c r="S419">
        <v>227.46967509500001</v>
      </c>
      <c r="T419">
        <v>323.04263583900001</v>
      </c>
      <c r="U419">
        <v>0</v>
      </c>
      <c r="V419">
        <v>0</v>
      </c>
      <c r="W419">
        <v>51911.010625049988</v>
      </c>
      <c r="Y419" t="str">
        <f>$A419 &amp; Keys!$C$8 &amp; $B419</f>
        <v>Oregon|transportation NO2</v>
      </c>
      <c r="Z419" s="8">
        <f>IFERROR(INDEX($U419:$W419, MATCH(INDEX(Runs!$D:$D, MATCH($B419, Runs!$A:$A, 0)), $U$1:$W$1, 0)), 0)</f>
        <v>51911.010625049988</v>
      </c>
      <c r="AA419" s="8">
        <f t="shared" si="24"/>
        <v>6.2980929073307786E-4</v>
      </c>
      <c r="AB419" s="8">
        <f>IFERROR(VLOOKUP(INDEX(Runs!$F:$F, MATCH($B419, Runs!$A:$A, 0)), US_national_yearly!$D:$AM, MATCH(Keys!$C$7, US_national_yearly!$D$1:$AM$1, 0), FALSE), 0)</f>
        <v>5.7148835886332216E-3</v>
      </c>
      <c r="AC419" s="8">
        <f t="shared" si="25"/>
        <v>0.11020509533838183</v>
      </c>
      <c r="AD419">
        <f>IF($Z419&lt;Keys!$C$3, 1, 0)</f>
        <v>0</v>
      </c>
      <c r="AE419">
        <f>IF($AC419&gt;Keys!$C$4, 1, 0)</f>
        <v>0</v>
      </c>
      <c r="AF419">
        <f>IF($AC419&lt;Keys!$C$5, 1, 0)</f>
        <v>0</v>
      </c>
      <c r="AG419">
        <f t="shared" si="26"/>
        <v>0</v>
      </c>
      <c r="AH419" t="str">
        <f>IFERROR(INDEX(Runs!$E:$E, MATCH($B419, Runs!$A:$A, 0)), $B419)</f>
        <v>Industry NO2</v>
      </c>
      <c r="AI419" t="str">
        <f t="shared" si="27"/>
        <v>transportation NO2</v>
      </c>
      <c r="AJ419" t="str">
        <f>IF($AG419=1, IF($AD419=1, Keys!$C$9, "") &amp; IF($AE419=1, Keys!$C$10, "") &amp; IF($AF419=1, Keys!$C$11, ""), "")</f>
        <v/>
      </c>
      <c r="AK419">
        <f>IF($AG419=1, IFERROR(INDEX($AG$2:$AG$577, MATCH($A419 &amp; Keys!$C$8 &amp; $AH419, $Y$2:$Y$577, 0)), 1), 0)</f>
        <v>0</v>
      </c>
    </row>
    <row r="420" spans="1:37" x14ac:dyDescent="0.25">
      <c r="A420" t="s">
        <v>187</v>
      </c>
      <c r="B420" t="s">
        <v>234</v>
      </c>
      <c r="C420">
        <v>36</v>
      </c>
      <c r="D420">
        <v>18.193766723</v>
      </c>
      <c r="E420">
        <v>3.9759033589999992E-2</v>
      </c>
      <c r="F420">
        <v>46.769103785000013</v>
      </c>
      <c r="G420">
        <v>62.980424134000003</v>
      </c>
      <c r="H420">
        <v>96.226839790000014</v>
      </c>
      <c r="I420">
        <v>0.93306133499999966</v>
      </c>
      <c r="J420">
        <v>6.259905622999999</v>
      </c>
      <c r="K420">
        <v>6333.9412589889989</v>
      </c>
      <c r="L420">
        <v>1079.954092941</v>
      </c>
      <c r="M420">
        <v>1.3715107689999999</v>
      </c>
      <c r="N420">
        <v>205.97636770899999</v>
      </c>
      <c r="O420">
        <v>3.8496139189999998</v>
      </c>
      <c r="P420">
        <v>6.3176625430000022E-2</v>
      </c>
      <c r="Q420">
        <v>0.21262022210000001</v>
      </c>
      <c r="R420">
        <v>11.024880114</v>
      </c>
      <c r="S420">
        <v>139.97314931099999</v>
      </c>
      <c r="T420">
        <v>198.6754042</v>
      </c>
      <c r="U420">
        <v>1268.9476710629999</v>
      </c>
      <c r="V420">
        <v>0</v>
      </c>
      <c r="W420">
        <v>0</v>
      </c>
      <c r="Y420" t="str">
        <f>$A420 &amp; Keys!$C$8 &amp; $B420</f>
        <v>Oregon|transportation PM25</v>
      </c>
      <c r="Z420" s="8">
        <f>IFERROR(INDEX($U420:$W420, MATCH(INDEX(Runs!$D:$D, MATCH($B420, Runs!$A:$A, 0)), $U$1:$W$1, 0)), 0)</f>
        <v>1268.9476710629999</v>
      </c>
      <c r="AA420" s="8">
        <f t="shared" si="24"/>
        <v>1.4337680849958963E-2</v>
      </c>
      <c r="AB420" s="8">
        <f>IFERROR(VLOOKUP(INDEX(Runs!$F:$F, MATCH($B420, Runs!$A:$A, 0)), US_national_yearly!$D:$AM, MATCH(Keys!$C$7, US_national_yearly!$D$1:$AM$1, 0), FALSE), 0)</f>
        <v>2.8248683697579859E-2</v>
      </c>
      <c r="AC420" s="8">
        <f t="shared" si="25"/>
        <v>0.50755217494213056</v>
      </c>
      <c r="AD420">
        <f>IF($Z420&lt;Keys!$C$3, 1, 0)</f>
        <v>0</v>
      </c>
      <c r="AE420">
        <f>IF($AC420&gt;Keys!$C$4, 1, 0)</f>
        <v>0</v>
      </c>
      <c r="AF420">
        <f>IF($AC420&lt;Keys!$C$5, 1, 0)</f>
        <v>0</v>
      </c>
      <c r="AG420">
        <f t="shared" si="26"/>
        <v>0</v>
      </c>
      <c r="AH420" t="str">
        <f>IFERROR(INDEX(Runs!$E:$E, MATCH($B420, Runs!$A:$A, 0)), $B420)</f>
        <v>Industry PM25</v>
      </c>
      <c r="AI420" t="str">
        <f t="shared" si="27"/>
        <v>transportation PM25</v>
      </c>
      <c r="AJ420" t="str">
        <f>IF($AG420=1, IF($AD420=1, Keys!$C$9, "") &amp; IF($AE420=1, Keys!$C$10, "") &amp; IF($AF420=1, Keys!$C$11, ""), "")</f>
        <v/>
      </c>
      <c r="AK420">
        <f>IF($AG420=1, IFERROR(INDEX($AG$2:$AG$577, MATCH($A420 &amp; Keys!$C$8 &amp; $AH420, $Y$2:$Y$577, 0)), 1), 0)</f>
        <v>0</v>
      </c>
    </row>
    <row r="421" spans="1:37" x14ac:dyDescent="0.25">
      <c r="A421" t="s">
        <v>187</v>
      </c>
      <c r="B421" t="s">
        <v>243</v>
      </c>
      <c r="C421">
        <v>36</v>
      </c>
      <c r="D421">
        <v>1.0381343721</v>
      </c>
      <c r="E421">
        <v>2.1464213579999989E-3</v>
      </c>
      <c r="F421">
        <v>2.5404949270000001</v>
      </c>
      <c r="G421">
        <v>3.4211450000000001</v>
      </c>
      <c r="H421">
        <v>5.2269299469999986</v>
      </c>
      <c r="I421">
        <v>5.025372010999999E-2</v>
      </c>
      <c r="J421">
        <v>0.3565982332</v>
      </c>
      <c r="K421">
        <v>356.266104611</v>
      </c>
      <c r="L421">
        <v>60.802329264000001</v>
      </c>
      <c r="M421">
        <v>7.6376106659999984E-2</v>
      </c>
      <c r="N421">
        <v>11.188569874000001</v>
      </c>
      <c r="O421">
        <v>0.2135574143</v>
      </c>
      <c r="P421">
        <v>3.2753512949999998E-3</v>
      </c>
      <c r="Q421">
        <v>1.2009101992000001E-2</v>
      </c>
      <c r="R421">
        <v>0.60011714280000006</v>
      </c>
      <c r="S421">
        <v>7.6167678590000003</v>
      </c>
      <c r="T421">
        <v>10.80308198</v>
      </c>
      <c r="U421">
        <v>0</v>
      </c>
      <c r="V421">
        <v>307.321792614</v>
      </c>
      <c r="W421">
        <v>0</v>
      </c>
      <c r="Y421" t="str">
        <f>$A421 &amp; Keys!$C$8 &amp; $B421</f>
        <v>Oregon|transportation SO2</v>
      </c>
      <c r="Z421" s="8">
        <f>IFERROR(INDEX($U421:$W421, MATCH(INDEX(Runs!$D:$D, MATCH($B421, Runs!$A:$A, 0)), $U$1:$W$1, 0)), 0)</f>
        <v>307.321792614</v>
      </c>
      <c r="AA421" s="8">
        <f t="shared" si="24"/>
        <v>3.3780044144279403E-3</v>
      </c>
      <c r="AB421" s="8">
        <f>IFERROR(VLOOKUP(INDEX(Runs!$F:$F, MATCH($B421, Runs!$A:$A, 0)), US_national_yearly!$D:$AM, MATCH(Keys!$C$7, US_national_yearly!$D$1:$AM$1, 0), FALSE), 0)</f>
        <v>5.1800714166247604E-3</v>
      </c>
      <c r="AC421" s="8">
        <f t="shared" si="25"/>
        <v>0.65211541361894698</v>
      </c>
      <c r="AD421">
        <f>IF($Z421&lt;Keys!$C$3, 1, 0)</f>
        <v>0</v>
      </c>
      <c r="AE421">
        <f>IF($AC421&gt;Keys!$C$4, 1, 0)</f>
        <v>0</v>
      </c>
      <c r="AF421">
        <f>IF($AC421&lt;Keys!$C$5, 1, 0)</f>
        <v>0</v>
      </c>
      <c r="AG421">
        <f t="shared" si="26"/>
        <v>0</v>
      </c>
      <c r="AH421" t="str">
        <f>IFERROR(INDEX(Runs!$E:$E, MATCH($B421, Runs!$A:$A, 0)), $B421)</f>
        <v>Industry SO2</v>
      </c>
      <c r="AI421" t="str">
        <f t="shared" si="27"/>
        <v>transportation SO2</v>
      </c>
      <c r="AJ421" t="str">
        <f>IF($AG421=1, IF($AD421=1, Keys!$C$9, "") &amp; IF($AE421=1, Keys!$C$10, "") &amp; IF($AF421=1, Keys!$C$11, ""), "")</f>
        <v/>
      </c>
      <c r="AK421">
        <f>IF($AG421=1, IFERROR(INDEX($AG$2:$AG$577, MATCH($A421 &amp; Keys!$C$8 &amp; $AH421, $Y$2:$Y$577, 0)), 1), 0)</f>
        <v>0</v>
      </c>
    </row>
    <row r="422" spans="1:37" x14ac:dyDescent="0.25">
      <c r="A422" t="s">
        <v>190</v>
      </c>
      <c r="B422" t="s">
        <v>242</v>
      </c>
      <c r="C422">
        <v>67</v>
      </c>
      <c r="D422">
        <v>48.817414688999982</v>
      </c>
      <c r="E422">
        <v>8.5865974840000012E-2</v>
      </c>
      <c r="F422">
        <v>91.641795609999974</v>
      </c>
      <c r="G422">
        <v>123.407928535</v>
      </c>
      <c r="H422">
        <v>188.55013382199999</v>
      </c>
      <c r="I422">
        <v>2.946757561000001</v>
      </c>
      <c r="J422">
        <v>18.591614613000001</v>
      </c>
      <c r="K422">
        <v>12108.860684605001</v>
      </c>
      <c r="L422">
        <v>2041.727530767</v>
      </c>
      <c r="M422">
        <v>5.0366488470000013</v>
      </c>
      <c r="N422">
        <v>403.59985796699988</v>
      </c>
      <c r="O422">
        <v>11.460352632999999</v>
      </c>
      <c r="P422">
        <v>0.45465535789999989</v>
      </c>
      <c r="Q422">
        <v>0.92052926499999987</v>
      </c>
      <c r="R422">
        <v>21.25643590699999</v>
      </c>
      <c r="S422">
        <v>270.29183086900002</v>
      </c>
      <c r="T422">
        <v>384.60701037600012</v>
      </c>
      <c r="U422">
        <v>0</v>
      </c>
      <c r="V422">
        <v>0</v>
      </c>
      <c r="W422">
        <v>111914.15951909999</v>
      </c>
      <c r="Y422" t="str">
        <f>$A422 &amp; Keys!$C$8 &amp; $B422</f>
        <v>Pennsylvania|Industry NO2</v>
      </c>
      <c r="Z422" s="8">
        <f>IFERROR(INDEX($U422:$W422, MATCH(INDEX(Runs!$D:$D, MATCH($B422, Runs!$A:$A, 0)), $U$1:$W$1, 0)), 0)</f>
        <v>111914.15951909999</v>
      </c>
      <c r="AA422" s="8">
        <f t="shared" si="24"/>
        <v>4.3620409516338714E-4</v>
      </c>
      <c r="AB422" s="8">
        <f>IFERROR(VLOOKUP(INDEX(Runs!$F:$F, MATCH($B422, Runs!$A:$A, 0)), US_national_yearly!$D:$AM, MATCH(Keys!$C$7, US_national_yearly!$D$1:$AM$1, 0), FALSE), 0)</f>
        <v>5.8012217057786938E-3</v>
      </c>
      <c r="AC422" s="8">
        <f t="shared" si="25"/>
        <v>7.5191764301798178E-2</v>
      </c>
      <c r="AD422">
        <f>IF($Z422&lt;Keys!$C$3, 1, 0)</f>
        <v>0</v>
      </c>
      <c r="AE422">
        <f>IF($AC422&gt;Keys!$C$4, 1, 0)</f>
        <v>0</v>
      </c>
      <c r="AF422">
        <f>IF($AC422&lt;Keys!$C$5, 1, 0)</f>
        <v>0</v>
      </c>
      <c r="AG422">
        <f t="shared" si="26"/>
        <v>0</v>
      </c>
      <c r="AH422" t="str">
        <f>IFERROR(INDEX(Runs!$E:$E, MATCH($B422, Runs!$A:$A, 0)), $B422)</f>
        <v>Industry NO2</v>
      </c>
      <c r="AI422" t="str">
        <f t="shared" si="27"/>
        <v>Industry NO2</v>
      </c>
      <c r="AJ422" t="str">
        <f>IF($AG422=1, IF($AD422=1, Keys!$C$9, "") &amp; IF($AE422=1, Keys!$C$10, "") &amp; IF($AF422=1, Keys!$C$11, ""), "")</f>
        <v/>
      </c>
      <c r="AK422">
        <f>IF($AG422=1, IFERROR(INDEX($AG$2:$AG$577, MATCH($A422 &amp; Keys!$C$8 &amp; $AH422, $Y$2:$Y$577, 0)), 1), 0)</f>
        <v>0</v>
      </c>
    </row>
    <row r="423" spans="1:37" x14ac:dyDescent="0.25">
      <c r="A423" t="s">
        <v>190</v>
      </c>
      <c r="B423" t="s">
        <v>238</v>
      </c>
      <c r="C423">
        <v>67</v>
      </c>
      <c r="D423">
        <v>853.05448880500035</v>
      </c>
      <c r="E423">
        <v>1.8049597253</v>
      </c>
      <c r="F423">
        <v>1759.839779675</v>
      </c>
      <c r="G423">
        <v>2369.4792475129989</v>
      </c>
      <c r="H423">
        <v>3621.5876143530022</v>
      </c>
      <c r="I423">
        <v>52.057475883999999</v>
      </c>
      <c r="J423">
        <v>327.35279570900002</v>
      </c>
      <c r="K423">
        <v>227570.50911183009</v>
      </c>
      <c r="L423">
        <v>38552.104613992997</v>
      </c>
      <c r="M423">
        <v>89.684445335000007</v>
      </c>
      <c r="N423">
        <v>7750.9066415410016</v>
      </c>
      <c r="O423">
        <v>223.95275930899999</v>
      </c>
      <c r="P423">
        <v>9.4318204270000017</v>
      </c>
      <c r="Q423">
        <v>17.756212959999999</v>
      </c>
      <c r="R423">
        <v>407.06028538300012</v>
      </c>
      <c r="S423">
        <v>5185.7333555919986</v>
      </c>
      <c r="T423">
        <v>7418.8267172549968</v>
      </c>
      <c r="U423">
        <v>18386.059767999999</v>
      </c>
      <c r="V423">
        <v>0</v>
      </c>
      <c r="W423">
        <v>0</v>
      </c>
      <c r="Y423" t="str">
        <f>$A423 &amp; Keys!$C$8 &amp; $B423</f>
        <v>Pennsylvania|Industry PM25</v>
      </c>
      <c r="Z423" s="8">
        <f>IFERROR(INDEX($U423:$W423, MATCH(INDEX(Runs!$D:$D, MATCH($B423, Runs!$A:$A, 0)), $U$1:$W$1, 0)), 0)</f>
        <v>18386.059767999999</v>
      </c>
      <c r="AA423" s="8">
        <f t="shared" si="24"/>
        <v>4.6396808210625869E-2</v>
      </c>
      <c r="AB423" s="8">
        <f>IFERROR(VLOOKUP(INDEX(Runs!$F:$F, MATCH($B423, Runs!$A:$A, 0)), US_national_yearly!$D:$AM, MATCH(Keys!$C$7, US_national_yearly!$D$1:$AM$1, 0), FALSE), 0)</f>
        <v>2.6833191881203179E-2</v>
      </c>
      <c r="AC423" s="8">
        <f t="shared" si="25"/>
        <v>1.7290827127848001</v>
      </c>
      <c r="AD423">
        <f>IF($Z423&lt;Keys!$C$3, 1, 0)</f>
        <v>0</v>
      </c>
      <c r="AE423">
        <f>IF($AC423&gt;Keys!$C$4, 1, 0)</f>
        <v>0</v>
      </c>
      <c r="AF423">
        <f>IF($AC423&lt;Keys!$C$5, 1, 0)</f>
        <v>0</v>
      </c>
      <c r="AG423">
        <f t="shared" si="26"/>
        <v>0</v>
      </c>
      <c r="AH423" t="str">
        <f>IFERROR(INDEX(Runs!$E:$E, MATCH($B423, Runs!$A:$A, 0)), $B423)</f>
        <v>Industry PM25</v>
      </c>
      <c r="AI423" t="str">
        <f t="shared" si="27"/>
        <v>Industry PM25</v>
      </c>
      <c r="AJ423" t="str">
        <f>IF($AG423=1, IF($AD423=1, Keys!$C$9, "") &amp; IF($AE423=1, Keys!$C$10, "") &amp; IF($AF423=1, Keys!$C$11, ""), "")</f>
        <v/>
      </c>
      <c r="AK423">
        <f>IF($AG423=1, IFERROR(INDEX($AG$2:$AG$577, MATCH($A423 &amp; Keys!$C$8 &amp; $AH423, $Y$2:$Y$577, 0)), 1), 0)</f>
        <v>0</v>
      </c>
    </row>
    <row r="424" spans="1:37" x14ac:dyDescent="0.25">
      <c r="A424" t="s">
        <v>190</v>
      </c>
      <c r="B424" t="s">
        <v>246</v>
      </c>
      <c r="C424">
        <v>67</v>
      </c>
      <c r="D424">
        <v>160.865493445</v>
      </c>
      <c r="E424">
        <v>0.29625338689999992</v>
      </c>
      <c r="F424">
        <v>307.4417921549998</v>
      </c>
      <c r="G424">
        <v>414.00418695799999</v>
      </c>
      <c r="H424">
        <v>632.56673451900019</v>
      </c>
      <c r="I424">
        <v>9.8781262109999979</v>
      </c>
      <c r="J424">
        <v>61.37881589500001</v>
      </c>
      <c r="K424">
        <v>40202.149453603997</v>
      </c>
      <c r="L424">
        <v>6780.1706206609988</v>
      </c>
      <c r="M424">
        <v>16.706075822999999</v>
      </c>
      <c r="N424">
        <v>1354.012713632</v>
      </c>
      <c r="O424">
        <v>39.372464233000002</v>
      </c>
      <c r="P424">
        <v>1.621363098</v>
      </c>
      <c r="Q424">
        <v>3.1826779569999988</v>
      </c>
      <c r="R424">
        <v>71.16686374999999</v>
      </c>
      <c r="S424">
        <v>905.19799170700003</v>
      </c>
      <c r="T424">
        <v>1288.9679424650001</v>
      </c>
      <c r="U424">
        <v>0</v>
      </c>
      <c r="V424">
        <v>9673.3648578109969</v>
      </c>
      <c r="W424">
        <v>0</v>
      </c>
      <c r="Y424" t="str">
        <f>$A424 &amp; Keys!$C$8 &amp; $B424</f>
        <v>Pennsylvania|Industry SO2</v>
      </c>
      <c r="Z424" s="8">
        <f>IFERROR(INDEX($U424:$W424, MATCH(INDEX(Runs!$D:$D, MATCH($B424, Runs!$A:$A, 0)), $U$1:$W$1, 0)), 0)</f>
        <v>9673.3648578109969</v>
      </c>
      <c r="AA424" s="8">
        <f t="shared" si="24"/>
        <v>1.662973492776975E-2</v>
      </c>
      <c r="AB424" s="8">
        <f>IFERROR(VLOOKUP(INDEX(Runs!$F:$F, MATCH($B424, Runs!$A:$A, 0)), US_national_yearly!$D:$AM, MATCH(Keys!$C$7, US_national_yearly!$D$1:$AM$1, 0), FALSE), 0)</f>
        <v>5.3000351638639942E-3</v>
      </c>
      <c r="AC424" s="8">
        <f t="shared" si="25"/>
        <v>3.1376650179893959</v>
      </c>
      <c r="AD424">
        <f>IF($Z424&lt;Keys!$C$3, 1, 0)</f>
        <v>0</v>
      </c>
      <c r="AE424">
        <f>IF($AC424&gt;Keys!$C$4, 1, 0)</f>
        <v>0</v>
      </c>
      <c r="AF424">
        <f>IF($AC424&lt;Keys!$C$5, 1, 0)</f>
        <v>0</v>
      </c>
      <c r="AG424">
        <f t="shared" si="26"/>
        <v>0</v>
      </c>
      <c r="AH424" t="str">
        <f>IFERROR(INDEX(Runs!$E:$E, MATCH($B424, Runs!$A:$A, 0)), $B424)</f>
        <v>Industry SO2</v>
      </c>
      <c r="AI424" t="str">
        <f t="shared" si="27"/>
        <v>Industry SO2</v>
      </c>
      <c r="AJ424" t="str">
        <f>IF($AG424=1, IF($AD424=1, Keys!$C$9, "") &amp; IF($AE424=1, Keys!$C$10, "") &amp; IF($AF424=1, Keys!$C$11, ""), "")</f>
        <v/>
      </c>
      <c r="AK424">
        <f>IF($AG424=1, IFERROR(INDEX($AG$2:$AG$577, MATCH($A424 &amp; Keys!$C$8 &amp; $AH424, $Y$2:$Y$577, 0)), 1), 0)</f>
        <v>0</v>
      </c>
    </row>
    <row r="425" spans="1:37" x14ac:dyDescent="0.25">
      <c r="A425" t="s">
        <v>190</v>
      </c>
      <c r="B425" t="s">
        <v>253</v>
      </c>
      <c r="C425">
        <v>67</v>
      </c>
      <c r="D425">
        <v>57.358576753000001</v>
      </c>
      <c r="E425">
        <v>0.12559737385</v>
      </c>
      <c r="F425">
        <v>120.04571933699999</v>
      </c>
      <c r="G425">
        <v>161.65702298299999</v>
      </c>
      <c r="H425">
        <v>246.991514473</v>
      </c>
      <c r="I425">
        <v>3.4479989690000008</v>
      </c>
      <c r="J425">
        <v>22.022449477999999</v>
      </c>
      <c r="K425">
        <v>15559.324778769</v>
      </c>
      <c r="L425">
        <v>2637.5634467350001</v>
      </c>
      <c r="M425">
        <v>5.9950506090000024</v>
      </c>
      <c r="N425">
        <v>528.69425679300014</v>
      </c>
      <c r="O425">
        <v>15.21891608</v>
      </c>
      <c r="P425">
        <v>0.64035554369999981</v>
      </c>
      <c r="Q425">
        <v>1.195680903</v>
      </c>
      <c r="R425">
        <v>28.000807938000001</v>
      </c>
      <c r="S425">
        <v>356.09790982700002</v>
      </c>
      <c r="T425">
        <v>506.83968055899999</v>
      </c>
      <c r="U425">
        <v>0</v>
      </c>
      <c r="V425">
        <v>0</v>
      </c>
      <c r="W425">
        <v>25837.971635091999</v>
      </c>
      <c r="Y425" t="str">
        <f>$A425 &amp; Keys!$C$8 &amp; $B425</f>
        <v>Pennsylvania|buildings NO2</v>
      </c>
      <c r="Z425" s="8">
        <f>IFERROR(INDEX($U425:$W425, MATCH(INDEX(Runs!$D:$D, MATCH($B425, Runs!$A:$A, 0)), $U$1:$W$1, 0)), 0)</f>
        <v>25837.971635091999</v>
      </c>
      <c r="AA425" s="8">
        <f t="shared" si="24"/>
        <v>2.2199334205901095E-3</v>
      </c>
      <c r="AB425" s="8">
        <f>IFERROR(VLOOKUP(INDEX(Runs!$F:$F, MATCH($B425, Runs!$A:$A, 0)), US_national_yearly!$D:$AM, MATCH(Keys!$C$7, US_national_yearly!$D$1:$AM$1, 0), FALSE), 0)</f>
        <v>5.6784740124662739E-3</v>
      </c>
      <c r="AC425" s="8">
        <f t="shared" si="25"/>
        <v>0.39093837811295157</v>
      </c>
      <c r="AD425">
        <f>IF($Z425&lt;Keys!$C$3, 1, 0)</f>
        <v>0</v>
      </c>
      <c r="AE425">
        <f>IF($AC425&gt;Keys!$C$4, 1, 0)</f>
        <v>0</v>
      </c>
      <c r="AF425">
        <f>IF($AC425&lt;Keys!$C$5, 1, 0)</f>
        <v>0</v>
      </c>
      <c r="AG425">
        <f t="shared" si="26"/>
        <v>0</v>
      </c>
      <c r="AH425" t="str">
        <f>IFERROR(INDEX(Runs!$E:$E, MATCH($B425, Runs!$A:$A, 0)), $B425)</f>
        <v>Industry NO2</v>
      </c>
      <c r="AI425" t="str">
        <f t="shared" si="27"/>
        <v>buildings NO2</v>
      </c>
      <c r="AJ425" t="str">
        <f>IF($AG425=1, IF($AD425=1, Keys!$C$9, "") &amp; IF($AE425=1, Keys!$C$10, "") &amp; IF($AF425=1, Keys!$C$11, ""), "")</f>
        <v/>
      </c>
      <c r="AK425">
        <f>IF($AG425=1, IFERROR(INDEX($AG$2:$AG$577, MATCH($A425 &amp; Keys!$C$8 &amp; $AH425, $Y$2:$Y$577, 0)), 1), 0)</f>
        <v>0</v>
      </c>
    </row>
    <row r="426" spans="1:37" x14ac:dyDescent="0.25">
      <c r="A426" t="s">
        <v>190</v>
      </c>
      <c r="B426" t="s">
        <v>251</v>
      </c>
      <c r="C426">
        <v>67</v>
      </c>
      <c r="D426">
        <v>22.243711063999989</v>
      </c>
      <c r="E426">
        <v>5.1342901601999981E-2</v>
      </c>
      <c r="F426">
        <v>48.48586174399999</v>
      </c>
      <c r="G426">
        <v>65.292951571000003</v>
      </c>
      <c r="H426">
        <v>99.757622958999988</v>
      </c>
      <c r="I426">
        <v>1.4024349279999999</v>
      </c>
      <c r="J426">
        <v>8.7728669299999993</v>
      </c>
      <c r="K426">
        <v>6216.4100461389999</v>
      </c>
      <c r="L426">
        <v>1053.2893806029999</v>
      </c>
      <c r="M426">
        <v>2.402771091</v>
      </c>
      <c r="N426">
        <v>213.53643627400001</v>
      </c>
      <c r="O426">
        <v>6.368471701999999</v>
      </c>
      <c r="P426">
        <v>0.28047363117000013</v>
      </c>
      <c r="Q426">
        <v>0.50954275840000007</v>
      </c>
      <c r="R426">
        <v>11.301322165</v>
      </c>
      <c r="S426">
        <v>143.717492026</v>
      </c>
      <c r="T426">
        <v>204.518772275</v>
      </c>
      <c r="U426">
        <v>422.89182216399979</v>
      </c>
      <c r="V426">
        <v>0</v>
      </c>
      <c r="W426">
        <v>0</v>
      </c>
      <c r="Y426" t="str">
        <f>$A426 &amp; Keys!$C$8 &amp; $B426</f>
        <v>Pennsylvania|buildings PM25</v>
      </c>
      <c r="Z426" s="8">
        <f>IFERROR(INDEX($U426:$W426, MATCH(INDEX(Runs!$D:$D, MATCH($B426, Runs!$A:$A, 0)), $U$1:$W$1, 0)), 0)</f>
        <v>422.89182216399979</v>
      </c>
      <c r="AA426" s="8">
        <f t="shared" si="24"/>
        <v>5.2599057012206199E-2</v>
      </c>
      <c r="AB426" s="8">
        <f>IFERROR(VLOOKUP(INDEX(Runs!$F:$F, MATCH($B426, Runs!$A:$A, 0)), US_national_yearly!$D:$AM, MATCH(Keys!$C$7, US_national_yearly!$D$1:$AM$1, 0), FALSE), 0)</f>
        <v>2.7627705191843259E-2</v>
      </c>
      <c r="AC426" s="8">
        <f t="shared" si="25"/>
        <v>1.9038518272496778</v>
      </c>
      <c r="AD426">
        <f>IF($Z426&lt;Keys!$C$3, 1, 0)</f>
        <v>0</v>
      </c>
      <c r="AE426">
        <f>IF($AC426&gt;Keys!$C$4, 1, 0)</f>
        <v>0</v>
      </c>
      <c r="AF426">
        <f>IF($AC426&lt;Keys!$C$5, 1, 0)</f>
        <v>0</v>
      </c>
      <c r="AG426">
        <f t="shared" si="26"/>
        <v>0</v>
      </c>
      <c r="AH426" t="str">
        <f>IFERROR(INDEX(Runs!$E:$E, MATCH($B426, Runs!$A:$A, 0)), $B426)</f>
        <v>Industry PM25</v>
      </c>
      <c r="AI426" t="str">
        <f t="shared" si="27"/>
        <v>buildings PM25</v>
      </c>
      <c r="AJ426" t="str">
        <f>IF($AG426=1, IF($AD426=1, Keys!$C$9, "") &amp; IF($AE426=1, Keys!$C$10, "") &amp; IF($AF426=1, Keys!$C$11, ""), "")</f>
        <v/>
      </c>
      <c r="AK426">
        <f>IF($AG426=1, IFERROR(INDEX($AG$2:$AG$577, MATCH($A426 &amp; Keys!$C$8 &amp; $AH426, $Y$2:$Y$577, 0)), 1), 0)</f>
        <v>0</v>
      </c>
    </row>
    <row r="427" spans="1:37" x14ac:dyDescent="0.25">
      <c r="A427" t="s">
        <v>190</v>
      </c>
      <c r="B427" t="s">
        <v>254</v>
      </c>
      <c r="C427">
        <v>67</v>
      </c>
      <c r="D427">
        <v>7.5314681100000014</v>
      </c>
      <c r="E427">
        <v>1.4927242394E-2</v>
      </c>
      <c r="F427">
        <v>15.525190264000001</v>
      </c>
      <c r="G427">
        <v>20.906915081000012</v>
      </c>
      <c r="H427">
        <v>31.942245813999989</v>
      </c>
      <c r="I427">
        <v>0.4915259863</v>
      </c>
      <c r="J427">
        <v>3.0207053140000002</v>
      </c>
      <c r="K427">
        <v>2005.459698417</v>
      </c>
      <c r="L427">
        <v>338.1937184979999</v>
      </c>
      <c r="M427">
        <v>0.82655113400000002</v>
      </c>
      <c r="N427">
        <v>68.374351159</v>
      </c>
      <c r="O427">
        <v>2.0600997099999998</v>
      </c>
      <c r="P427">
        <v>8.9688299230000018E-2</v>
      </c>
      <c r="Q427">
        <v>0.1698942363999999</v>
      </c>
      <c r="R427">
        <v>3.611139789000001</v>
      </c>
      <c r="S427">
        <v>45.919357330999979</v>
      </c>
      <c r="T427">
        <v>65.334842026000004</v>
      </c>
      <c r="U427">
        <v>0</v>
      </c>
      <c r="V427">
        <v>1119.330390762</v>
      </c>
      <c r="W427">
        <v>0</v>
      </c>
      <c r="Y427" t="str">
        <f>$A427 &amp; Keys!$C$8 &amp; $B427</f>
        <v>Pennsylvania|buildings SO2</v>
      </c>
      <c r="Z427" s="8">
        <f>IFERROR(INDEX($U427:$W427, MATCH(INDEX(Runs!$D:$D, MATCH($B427, Runs!$A:$A, 0)), $U$1:$W$1, 0)), 0)</f>
        <v>1119.330390762</v>
      </c>
      <c r="AA427" s="8">
        <f t="shared" si="24"/>
        <v>6.728547864114409E-3</v>
      </c>
      <c r="AB427" s="8">
        <f>IFERROR(VLOOKUP(INDEX(Runs!$F:$F, MATCH($B427, Runs!$A:$A, 0)), US_national_yearly!$D:$AM, MATCH(Keys!$C$7, US_national_yearly!$D$1:$AM$1, 0), FALSE), 0)</f>
        <v>5.1581943281164694E-3</v>
      </c>
      <c r="AC427" s="8">
        <f t="shared" si="25"/>
        <v>1.3044386147761438</v>
      </c>
      <c r="AD427">
        <f>IF($Z427&lt;Keys!$C$3, 1, 0)</f>
        <v>0</v>
      </c>
      <c r="AE427">
        <f>IF($AC427&gt;Keys!$C$4, 1, 0)</f>
        <v>0</v>
      </c>
      <c r="AF427">
        <f>IF($AC427&lt;Keys!$C$5, 1, 0)</f>
        <v>0</v>
      </c>
      <c r="AG427">
        <f t="shared" si="26"/>
        <v>0</v>
      </c>
      <c r="AH427" t="str">
        <f>IFERROR(INDEX(Runs!$E:$E, MATCH($B427, Runs!$A:$A, 0)), $B427)</f>
        <v>Industry SO2</v>
      </c>
      <c r="AI427" t="str">
        <f t="shared" si="27"/>
        <v>buildings SO2</v>
      </c>
      <c r="AJ427" t="str">
        <f>IF($AG427=1, IF($AD427=1, Keys!$C$9, "") &amp; IF($AE427=1, Keys!$C$10, "") &amp; IF($AF427=1, Keys!$C$11, ""), "")</f>
        <v/>
      </c>
      <c r="AK427">
        <f>IF($AG427=1, IFERROR(INDEX($AG$2:$AG$577, MATCH($A427 &amp; Keys!$C$8 &amp; $AH427, $Y$2:$Y$577, 0)), 1), 0)</f>
        <v>0</v>
      </c>
    </row>
    <row r="428" spans="1:37" x14ac:dyDescent="0.25">
      <c r="A428" t="s">
        <v>190</v>
      </c>
      <c r="B428" t="s">
        <v>249</v>
      </c>
      <c r="C428">
        <v>67</v>
      </c>
      <c r="D428">
        <v>11.357195559000001</v>
      </c>
      <c r="E428">
        <v>2.0209977699999999E-2</v>
      </c>
      <c r="F428">
        <v>21.267536576000001</v>
      </c>
      <c r="G428">
        <v>28.639800375</v>
      </c>
      <c r="H428">
        <v>43.756845519999978</v>
      </c>
      <c r="I428">
        <v>0.69527136900000008</v>
      </c>
      <c r="J428">
        <v>4.3303102950000021</v>
      </c>
      <c r="K428">
        <v>2795.0059796180012</v>
      </c>
      <c r="L428">
        <v>470.74451599600008</v>
      </c>
      <c r="M428">
        <v>1.175152695</v>
      </c>
      <c r="N428">
        <v>93.66418247099999</v>
      </c>
      <c r="O428">
        <v>2.7031135590000011</v>
      </c>
      <c r="P428">
        <v>0.10936929099999999</v>
      </c>
      <c r="Q428">
        <v>0.21901726199999999</v>
      </c>
      <c r="R428">
        <v>4.9187661260000013</v>
      </c>
      <c r="S428">
        <v>62.544025148000003</v>
      </c>
      <c r="T428">
        <v>88.981843588999993</v>
      </c>
      <c r="U428">
        <v>0</v>
      </c>
      <c r="V428">
        <v>0</v>
      </c>
      <c r="W428">
        <v>26803.721189004998</v>
      </c>
      <c r="Y428" t="str">
        <f>$A428 &amp; Keys!$C$8 &amp; $B428</f>
        <v>Pennsylvania|electricity NO2</v>
      </c>
      <c r="Z428" s="8">
        <f>IFERROR(INDEX($U428:$W428, MATCH(INDEX(Runs!$D:$D, MATCH($B428, Runs!$A:$A, 0)), $U$1:$W$1, 0)), 0)</f>
        <v>26803.721189004998</v>
      </c>
      <c r="AA428" s="8">
        <f t="shared" si="24"/>
        <v>4.2371712042948615E-4</v>
      </c>
      <c r="AB428" s="8">
        <f>IFERROR(VLOOKUP(INDEX(Runs!$F:$F, MATCH($B428, Runs!$A:$A, 0)), US_national_yearly!$D:$AM, MATCH(Keys!$C$7, US_national_yearly!$D$1:$AM$1, 0), FALSE), 0)</f>
        <v>6.1439221592658041E-3</v>
      </c>
      <c r="AC428" s="8">
        <f t="shared" si="25"/>
        <v>6.8965248817559915E-2</v>
      </c>
      <c r="AD428">
        <f>IF($Z428&lt;Keys!$C$3, 1, 0)</f>
        <v>0</v>
      </c>
      <c r="AE428">
        <f>IF($AC428&gt;Keys!$C$4, 1, 0)</f>
        <v>0</v>
      </c>
      <c r="AF428">
        <f>IF($AC428&lt;Keys!$C$5, 1, 0)</f>
        <v>0</v>
      </c>
      <c r="AG428">
        <f t="shared" si="26"/>
        <v>0</v>
      </c>
      <c r="AH428" t="str">
        <f>IFERROR(INDEX(Runs!$E:$E, MATCH($B428, Runs!$A:$A, 0)), $B428)</f>
        <v>Industry NO2</v>
      </c>
      <c r="AI428" t="str">
        <f t="shared" si="27"/>
        <v>electricity NO2</v>
      </c>
      <c r="AJ428" t="str">
        <f>IF($AG428=1, IF($AD428=1, Keys!$C$9, "") &amp; IF($AE428=1, Keys!$C$10, "") &amp; IF($AF428=1, Keys!$C$11, ""), "")</f>
        <v/>
      </c>
      <c r="AK428">
        <f>IF($AG428=1, IFERROR(INDEX($AG$2:$AG$577, MATCH($A428 &amp; Keys!$C$8 &amp; $AH428, $Y$2:$Y$577, 0)), 1), 0)</f>
        <v>0</v>
      </c>
    </row>
    <row r="429" spans="1:37" x14ac:dyDescent="0.25">
      <c r="A429" t="s">
        <v>190</v>
      </c>
      <c r="B429" t="s">
        <v>247</v>
      </c>
      <c r="C429">
        <v>67</v>
      </c>
      <c r="D429">
        <v>80.614406368000004</v>
      </c>
      <c r="E429">
        <v>0.15359211786999999</v>
      </c>
      <c r="F429">
        <v>158.33292452000001</v>
      </c>
      <c r="G429">
        <v>213.21508032599999</v>
      </c>
      <c r="H429">
        <v>325.76783903399979</v>
      </c>
      <c r="I429">
        <v>5.1677342139999984</v>
      </c>
      <c r="J429">
        <v>31.581329956000001</v>
      </c>
      <c r="K429">
        <v>20541.426667765991</v>
      </c>
      <c r="L429">
        <v>3459.630638658</v>
      </c>
      <c r="M429">
        <v>8.6219569630000006</v>
      </c>
      <c r="N429">
        <v>697.31584387999987</v>
      </c>
      <c r="O429">
        <v>20.90494686800001</v>
      </c>
      <c r="P429">
        <v>0.8954169545999997</v>
      </c>
      <c r="Q429">
        <v>1.726551553</v>
      </c>
      <c r="R429">
        <v>36.691139612000001</v>
      </c>
      <c r="S429">
        <v>466.61373694299988</v>
      </c>
      <c r="T429">
        <v>664.15761276699993</v>
      </c>
      <c r="U429">
        <v>4339.0541844719992</v>
      </c>
      <c r="V429">
        <v>0</v>
      </c>
      <c r="W429">
        <v>0</v>
      </c>
      <c r="Y429" t="str">
        <f>$A429 &amp; Keys!$C$8 &amp; $B429</f>
        <v>Pennsylvania|electricity PM25</v>
      </c>
      <c r="Z429" s="8">
        <f>IFERROR(INDEX($U429:$W429, MATCH(INDEX(Runs!$D:$D, MATCH($B429, Runs!$A:$A, 0)), $U$1:$W$1, 0)), 0)</f>
        <v>4339.0541844719992</v>
      </c>
      <c r="AA429" s="8">
        <f t="shared" si="24"/>
        <v>1.8578796885388427E-2</v>
      </c>
      <c r="AB429" s="8">
        <f>IFERROR(VLOOKUP(INDEX(Runs!$F:$F, MATCH($B429, Runs!$A:$A, 0)), US_national_yearly!$D:$AM, MATCH(Keys!$C$7, US_national_yearly!$D$1:$AM$1, 0), FALSE), 0)</f>
        <v>2.4252978284752182E-2</v>
      </c>
      <c r="AC429" s="8">
        <f t="shared" si="25"/>
        <v>0.7660418719406884</v>
      </c>
      <c r="AD429">
        <f>IF($Z429&lt;Keys!$C$3, 1, 0)</f>
        <v>0</v>
      </c>
      <c r="AE429">
        <f>IF($AC429&gt;Keys!$C$4, 1, 0)</f>
        <v>0</v>
      </c>
      <c r="AF429">
        <f>IF($AC429&lt;Keys!$C$5, 1, 0)</f>
        <v>0</v>
      </c>
      <c r="AG429">
        <f t="shared" si="26"/>
        <v>0</v>
      </c>
      <c r="AH429" t="str">
        <f>IFERROR(INDEX(Runs!$E:$E, MATCH($B429, Runs!$A:$A, 0)), $B429)</f>
        <v>Industry PM25</v>
      </c>
      <c r="AI429" t="str">
        <f t="shared" si="27"/>
        <v>electricity PM25</v>
      </c>
      <c r="AJ429" t="str">
        <f>IF($AG429=1, IF($AD429=1, Keys!$C$9, "") &amp; IF($AE429=1, Keys!$C$10, "") &amp; IF($AF429=1, Keys!$C$11, ""), "")</f>
        <v/>
      </c>
      <c r="AK429">
        <f>IF($AG429=1, IFERROR(INDEX($AG$2:$AG$577, MATCH($A429 &amp; Keys!$C$8 &amp; $AH429, $Y$2:$Y$577, 0)), 1), 0)</f>
        <v>0</v>
      </c>
    </row>
    <row r="430" spans="1:37" x14ac:dyDescent="0.25">
      <c r="A430" t="s">
        <v>190</v>
      </c>
      <c r="B430" t="s">
        <v>250</v>
      </c>
      <c r="C430">
        <v>67</v>
      </c>
      <c r="D430">
        <v>17.263023672999999</v>
      </c>
      <c r="E430">
        <v>3.1741840179999987E-2</v>
      </c>
      <c r="F430">
        <v>33.175233341999991</v>
      </c>
      <c r="G430">
        <v>44.67518480199999</v>
      </c>
      <c r="H430">
        <v>68.256399118999994</v>
      </c>
      <c r="I430">
        <v>1.088210286</v>
      </c>
      <c r="J430">
        <v>6.6966393710000007</v>
      </c>
      <c r="K430">
        <v>4314.5591666649989</v>
      </c>
      <c r="L430">
        <v>726.37355967800022</v>
      </c>
      <c r="M430">
        <v>1.823183928</v>
      </c>
      <c r="N430">
        <v>146.10681726300001</v>
      </c>
      <c r="O430">
        <v>4.3067223459999999</v>
      </c>
      <c r="P430">
        <v>0.1804974721</v>
      </c>
      <c r="Q430">
        <v>0.35289598100000019</v>
      </c>
      <c r="R430">
        <v>7.6849381259999996</v>
      </c>
      <c r="S430">
        <v>97.716813011999989</v>
      </c>
      <c r="T430">
        <v>139.02398111299999</v>
      </c>
      <c r="U430">
        <v>0</v>
      </c>
      <c r="V430">
        <v>4822.8814255160014</v>
      </c>
      <c r="W430">
        <v>0</v>
      </c>
      <c r="Y430" t="str">
        <f>$A430 &amp; Keys!$C$8 &amp; $B430</f>
        <v>Pennsylvania|electricity SO2</v>
      </c>
      <c r="Z430" s="8">
        <f>IFERROR(INDEX($U430:$W430, MATCH(INDEX(Runs!$D:$D, MATCH($B430, Runs!$A:$A, 0)), $U$1:$W$1, 0)), 0)</f>
        <v>4822.8814255160014</v>
      </c>
      <c r="AA430" s="8">
        <f t="shared" si="24"/>
        <v>3.579400393646009E-3</v>
      </c>
      <c r="AB430" s="8">
        <f>IFERROR(VLOOKUP(INDEX(Runs!$F:$F, MATCH($B430, Runs!$A:$A, 0)), US_national_yearly!$D:$AM, MATCH(Keys!$C$7, US_national_yearly!$D$1:$AM$1, 0), FALSE), 0)</f>
        <v>5.7032329662362116E-3</v>
      </c>
      <c r="AC430" s="8">
        <f t="shared" si="25"/>
        <v>0.62760900963303912</v>
      </c>
      <c r="AD430">
        <f>IF($Z430&lt;Keys!$C$3, 1, 0)</f>
        <v>0</v>
      </c>
      <c r="AE430">
        <f>IF($AC430&gt;Keys!$C$4, 1, 0)</f>
        <v>0</v>
      </c>
      <c r="AF430">
        <f>IF($AC430&lt;Keys!$C$5, 1, 0)</f>
        <v>0</v>
      </c>
      <c r="AG430">
        <f t="shared" si="26"/>
        <v>0</v>
      </c>
      <c r="AH430" t="str">
        <f>IFERROR(INDEX(Runs!$E:$E, MATCH($B430, Runs!$A:$A, 0)), $B430)</f>
        <v>Industry SO2</v>
      </c>
      <c r="AI430" t="str">
        <f t="shared" si="27"/>
        <v>electricity SO2</v>
      </c>
      <c r="AJ430" t="str">
        <f>IF($AG430=1, IF($AD430=1, Keys!$C$9, "") &amp; IF($AE430=1, Keys!$C$10, "") &amp; IF($AF430=1, Keys!$C$11, ""), "")</f>
        <v/>
      </c>
      <c r="AK430">
        <f>IF($AG430=1, IFERROR(INDEX($AG$2:$AG$577, MATCH($A430 &amp; Keys!$C$8 &amp; $AH430, $Y$2:$Y$577, 0)), 1), 0)</f>
        <v>0</v>
      </c>
    </row>
    <row r="431" spans="1:37" x14ac:dyDescent="0.25">
      <c r="A431" t="s">
        <v>190</v>
      </c>
      <c r="B431" t="s">
        <v>239</v>
      </c>
      <c r="C431">
        <v>67</v>
      </c>
      <c r="D431">
        <v>182.71038840000011</v>
      </c>
      <c r="E431">
        <v>0.37154316030000001</v>
      </c>
      <c r="F431">
        <v>366.98245171799988</v>
      </c>
      <c r="G431">
        <v>494.17970720600027</v>
      </c>
      <c r="H431">
        <v>755.07780350300027</v>
      </c>
      <c r="I431">
        <v>11.231767623</v>
      </c>
      <c r="J431">
        <v>70.361645452000005</v>
      </c>
      <c r="K431">
        <v>47533.465509371003</v>
      </c>
      <c r="L431">
        <v>8032.5227273690016</v>
      </c>
      <c r="M431">
        <v>19.175924345000009</v>
      </c>
      <c r="N431">
        <v>1616.239962427001</v>
      </c>
      <c r="O431">
        <v>46.925211711999999</v>
      </c>
      <c r="P431">
        <v>1.9714905739999999</v>
      </c>
      <c r="Q431">
        <v>3.7568693000000009</v>
      </c>
      <c r="R431">
        <v>85.221401806000003</v>
      </c>
      <c r="S431">
        <v>1083.9925395380001</v>
      </c>
      <c r="T431">
        <v>1543.7491733060001</v>
      </c>
      <c r="U431">
        <v>0</v>
      </c>
      <c r="V431">
        <v>0</v>
      </c>
      <c r="W431">
        <v>99177.369599399957</v>
      </c>
      <c r="Y431" t="str">
        <f>$A431 &amp; Keys!$C$8 &amp; $B431</f>
        <v>Pennsylvania|transportation NO2</v>
      </c>
      <c r="Z431" s="8">
        <f>IFERROR(INDEX($U431:$W431, MATCH(INDEX(Runs!$D:$D, MATCH($B431, Runs!$A:$A, 0)), $U$1:$W$1, 0)), 0)</f>
        <v>99177.369599399957</v>
      </c>
      <c r="AA431" s="8">
        <f t="shared" si="24"/>
        <v>1.8422588654852321E-3</v>
      </c>
      <c r="AB431" s="8">
        <f>IFERROR(VLOOKUP(INDEX(Runs!$F:$F, MATCH($B431, Runs!$A:$A, 0)), US_national_yearly!$D:$AM, MATCH(Keys!$C$7, US_national_yearly!$D$1:$AM$1, 0), FALSE), 0)</f>
        <v>5.7148835886332216E-3</v>
      </c>
      <c r="AC431" s="8">
        <f t="shared" si="25"/>
        <v>0.32236157340972699</v>
      </c>
      <c r="AD431">
        <f>IF($Z431&lt;Keys!$C$3, 1, 0)</f>
        <v>0</v>
      </c>
      <c r="AE431">
        <f>IF($AC431&gt;Keys!$C$4, 1, 0)</f>
        <v>0</v>
      </c>
      <c r="AF431">
        <f>IF($AC431&lt;Keys!$C$5, 1, 0)</f>
        <v>0</v>
      </c>
      <c r="AG431">
        <f t="shared" si="26"/>
        <v>0</v>
      </c>
      <c r="AH431" t="str">
        <f>IFERROR(INDEX(Runs!$E:$E, MATCH($B431, Runs!$A:$A, 0)), $B431)</f>
        <v>Industry NO2</v>
      </c>
      <c r="AI431" t="str">
        <f t="shared" si="27"/>
        <v>transportation NO2</v>
      </c>
      <c r="AJ431" t="str">
        <f>IF($AG431=1, IF($AD431=1, Keys!$C$9, "") &amp; IF($AE431=1, Keys!$C$10, "") &amp; IF($AF431=1, Keys!$C$11, ""), "")</f>
        <v/>
      </c>
      <c r="AK431">
        <f>IF($AG431=1, IFERROR(INDEX($AG$2:$AG$577, MATCH($A431 &amp; Keys!$C$8 &amp; $AH431, $Y$2:$Y$577, 0)), 1), 0)</f>
        <v>0</v>
      </c>
    </row>
    <row r="432" spans="1:37" x14ac:dyDescent="0.25">
      <c r="A432" t="s">
        <v>190</v>
      </c>
      <c r="B432" t="s">
        <v>234</v>
      </c>
      <c r="C432">
        <v>67</v>
      </c>
      <c r="D432">
        <v>153.41693695999999</v>
      </c>
      <c r="E432">
        <v>0.34082619400000003</v>
      </c>
      <c r="F432">
        <v>324.45620282400012</v>
      </c>
      <c r="G432">
        <v>436.91303082900009</v>
      </c>
      <c r="H432">
        <v>667.58014311099998</v>
      </c>
      <c r="I432">
        <v>9.4189151980000023</v>
      </c>
      <c r="J432">
        <v>59.505394686999978</v>
      </c>
      <c r="K432">
        <v>41758.007595955009</v>
      </c>
      <c r="L432">
        <v>7073.7927587920003</v>
      </c>
      <c r="M432">
        <v>16.244196196000001</v>
      </c>
      <c r="N432">
        <v>1428.9493767639999</v>
      </c>
      <c r="O432">
        <v>41.594972232000018</v>
      </c>
      <c r="P432">
        <v>1.7814712420000001</v>
      </c>
      <c r="Q432">
        <v>3.2959964500000001</v>
      </c>
      <c r="R432">
        <v>75.545399949000014</v>
      </c>
      <c r="S432">
        <v>960.95374041500008</v>
      </c>
      <c r="T432">
        <v>1368.645907138</v>
      </c>
      <c r="U432">
        <v>2745.291979401999</v>
      </c>
      <c r="V432">
        <v>0</v>
      </c>
      <c r="W432">
        <v>0</v>
      </c>
      <c r="Y432" t="str">
        <f>$A432 &amp; Keys!$C$8 &amp; $B432</f>
        <v>Pennsylvania|transportation PM25</v>
      </c>
      <c r="Z432" s="8">
        <f>IFERROR(INDEX($U432:$W432, MATCH(INDEX(Runs!$D:$D, MATCH($B432, Runs!$A:$A, 0)), $U$1:$W$1, 0)), 0)</f>
        <v>2745.291979401999</v>
      </c>
      <c r="AA432" s="8">
        <f t="shared" si="24"/>
        <v>5.5883650304263253E-2</v>
      </c>
      <c r="AB432" s="8">
        <f>IFERROR(VLOOKUP(INDEX(Runs!$F:$F, MATCH($B432, Runs!$A:$A, 0)), US_national_yearly!$D:$AM, MATCH(Keys!$C$7, US_national_yearly!$D$1:$AM$1, 0), FALSE), 0)</f>
        <v>2.8248683697579859E-2</v>
      </c>
      <c r="AC432" s="8">
        <f t="shared" si="25"/>
        <v>1.9782744889118835</v>
      </c>
      <c r="AD432">
        <f>IF($Z432&lt;Keys!$C$3, 1, 0)</f>
        <v>0</v>
      </c>
      <c r="AE432">
        <f>IF($AC432&gt;Keys!$C$4, 1, 0)</f>
        <v>0</v>
      </c>
      <c r="AF432">
        <f>IF($AC432&lt;Keys!$C$5, 1, 0)</f>
        <v>0</v>
      </c>
      <c r="AG432">
        <f t="shared" si="26"/>
        <v>0</v>
      </c>
      <c r="AH432" t="str">
        <f>IFERROR(INDEX(Runs!$E:$E, MATCH($B432, Runs!$A:$A, 0)), $B432)</f>
        <v>Industry PM25</v>
      </c>
      <c r="AI432" t="str">
        <f t="shared" si="27"/>
        <v>transportation PM25</v>
      </c>
      <c r="AJ432" t="str">
        <f>IF($AG432=1, IF($AD432=1, Keys!$C$9, "") &amp; IF($AE432=1, Keys!$C$10, "") &amp; IF($AF432=1, Keys!$C$11, ""), "")</f>
        <v/>
      </c>
      <c r="AK432">
        <f>IF($AG432=1, IFERROR(INDEX($AG$2:$AG$577, MATCH($A432 &amp; Keys!$C$8 &amp; $AH432, $Y$2:$Y$577, 0)), 1), 0)</f>
        <v>0</v>
      </c>
    </row>
    <row r="433" spans="1:37" x14ac:dyDescent="0.25">
      <c r="A433" t="s">
        <v>190</v>
      </c>
      <c r="B433" t="s">
        <v>243</v>
      </c>
      <c r="C433">
        <v>67</v>
      </c>
      <c r="D433">
        <v>6.1170853069999964</v>
      </c>
      <c r="E433">
        <v>1.4553043369999999E-2</v>
      </c>
      <c r="F433">
        <v>12.906002958</v>
      </c>
      <c r="G433">
        <v>17.379782784</v>
      </c>
      <c r="H433">
        <v>26.553444398</v>
      </c>
      <c r="I433">
        <v>0.36827318589999991</v>
      </c>
      <c r="J433">
        <v>2.349806045999999</v>
      </c>
      <c r="K433">
        <v>1650.333323165001</v>
      </c>
      <c r="L433">
        <v>279.47860686599989</v>
      </c>
      <c r="M433">
        <v>0.63955745770000028</v>
      </c>
      <c r="N433">
        <v>56.839230139999998</v>
      </c>
      <c r="O433">
        <v>1.6277188643</v>
      </c>
      <c r="P433">
        <v>6.9374844320000018E-2</v>
      </c>
      <c r="Q433">
        <v>0.12808691035000011</v>
      </c>
      <c r="R433">
        <v>3.005154239499999</v>
      </c>
      <c r="S433">
        <v>38.21065596399999</v>
      </c>
      <c r="T433">
        <v>54.360465947000002</v>
      </c>
      <c r="U433">
        <v>0</v>
      </c>
      <c r="V433">
        <v>651.92072373500002</v>
      </c>
      <c r="W433">
        <v>0</v>
      </c>
      <c r="Y433" t="str">
        <f>$A433 &amp; Keys!$C$8 &amp; $B433</f>
        <v>Pennsylvania|transportation SO2</v>
      </c>
      <c r="Z433" s="8">
        <f>IFERROR(INDEX($U433:$W433, MATCH(INDEX(Runs!$D:$D, MATCH($B433, Runs!$A:$A, 0)), $U$1:$W$1, 0)), 0)</f>
        <v>651.92072373500002</v>
      </c>
      <c r="AA433" s="8">
        <f t="shared" si="24"/>
        <v>9.3831735735502367E-3</v>
      </c>
      <c r="AB433" s="8">
        <f>IFERROR(VLOOKUP(INDEX(Runs!$F:$F, MATCH($B433, Runs!$A:$A, 0)), US_national_yearly!$D:$AM, MATCH(Keys!$C$7, US_national_yearly!$D$1:$AM$1, 0), FALSE), 0)</f>
        <v>5.1800714166247604E-3</v>
      </c>
      <c r="AC433" s="8">
        <f t="shared" si="25"/>
        <v>1.8113984960586007</v>
      </c>
      <c r="AD433">
        <f>IF($Z433&lt;Keys!$C$3, 1, 0)</f>
        <v>0</v>
      </c>
      <c r="AE433">
        <f>IF($AC433&gt;Keys!$C$4, 1, 0)</f>
        <v>0</v>
      </c>
      <c r="AF433">
        <f>IF($AC433&lt;Keys!$C$5, 1, 0)</f>
        <v>0</v>
      </c>
      <c r="AG433">
        <f t="shared" si="26"/>
        <v>0</v>
      </c>
      <c r="AH433" t="str">
        <f>IFERROR(INDEX(Runs!$E:$E, MATCH($B433, Runs!$A:$A, 0)), $B433)</f>
        <v>Industry SO2</v>
      </c>
      <c r="AI433" t="str">
        <f t="shared" si="27"/>
        <v>transportation SO2</v>
      </c>
      <c r="AJ433" t="str">
        <f>IF($AG433=1, IF($AD433=1, Keys!$C$9, "") &amp; IF($AE433=1, Keys!$C$10, "") &amp; IF($AF433=1, Keys!$C$11, ""), "")</f>
        <v/>
      </c>
      <c r="AK433">
        <f>IF($AG433=1, IFERROR(INDEX($AG$2:$AG$577, MATCH($A433 &amp; Keys!$C$8 &amp; $AH433, $Y$2:$Y$577, 0)), 1), 0)</f>
        <v>0</v>
      </c>
    </row>
    <row r="434" spans="1:37" x14ac:dyDescent="0.25">
      <c r="A434" t="s">
        <v>193</v>
      </c>
      <c r="B434" t="s">
        <v>242</v>
      </c>
      <c r="C434">
        <v>5</v>
      </c>
      <c r="D434">
        <v>0.315619763</v>
      </c>
      <c r="E434">
        <v>6.6457178E-4</v>
      </c>
      <c r="F434">
        <v>0.68327234000000003</v>
      </c>
      <c r="G434">
        <v>0.92012585100000011</v>
      </c>
      <c r="H434">
        <v>1.40579458</v>
      </c>
      <c r="I434">
        <v>2.3682420999999999E-2</v>
      </c>
      <c r="J434">
        <v>0.147584256</v>
      </c>
      <c r="K434">
        <v>95.435104691999982</v>
      </c>
      <c r="L434">
        <v>16.169877799999998</v>
      </c>
      <c r="M434">
        <v>3.3946472999999998E-2</v>
      </c>
      <c r="N434">
        <v>3.0091927709999999</v>
      </c>
      <c r="O434">
        <v>6.5982583999999997E-2</v>
      </c>
      <c r="P434">
        <v>2.3652436000000002E-3</v>
      </c>
      <c r="Q434">
        <v>9.2183021000000007E-3</v>
      </c>
      <c r="R434">
        <v>0.15538406399999999</v>
      </c>
      <c r="S434">
        <v>1.974572397</v>
      </c>
      <c r="T434">
        <v>2.8063361150000001</v>
      </c>
      <c r="U434">
        <v>0</v>
      </c>
      <c r="V434">
        <v>0</v>
      </c>
      <c r="W434">
        <v>922.05586253999991</v>
      </c>
      <c r="Y434" t="str">
        <f>$A434 &amp; Keys!$C$8 &amp; $B434</f>
        <v>Rhode Island|Industry NO2</v>
      </c>
      <c r="Z434" s="8">
        <f>IFERROR(INDEX($U434:$W434, MATCH(INDEX(Runs!$D:$D, MATCH($B434, Runs!$A:$A, 0)), $U$1:$W$1, 0)), 0)</f>
        <v>922.05586253999991</v>
      </c>
      <c r="AA434" s="8">
        <f t="shared" si="24"/>
        <v>3.4230004473976005E-4</v>
      </c>
      <c r="AB434" s="8">
        <f>IFERROR(VLOOKUP(INDEX(Runs!$F:$F, MATCH($B434, Runs!$A:$A, 0)), US_national_yearly!$D:$AM, MATCH(Keys!$C$7, US_national_yearly!$D$1:$AM$1, 0), FALSE), 0)</f>
        <v>5.8012217057786938E-3</v>
      </c>
      <c r="AC434" s="8">
        <f t="shared" si="25"/>
        <v>5.90048203809879E-2</v>
      </c>
      <c r="AD434">
        <f>IF($Z434&lt;Keys!$C$3, 1, 0)</f>
        <v>0</v>
      </c>
      <c r="AE434">
        <f>IF($AC434&gt;Keys!$C$4, 1, 0)</f>
        <v>0</v>
      </c>
      <c r="AF434">
        <f>IF($AC434&lt;Keys!$C$5, 1, 0)</f>
        <v>0</v>
      </c>
      <c r="AG434">
        <f t="shared" si="26"/>
        <v>0</v>
      </c>
      <c r="AH434" t="str">
        <f>IFERROR(INDEX(Runs!$E:$E, MATCH($B434, Runs!$A:$A, 0)), $B434)</f>
        <v>Industry NO2</v>
      </c>
      <c r="AI434" t="str">
        <f t="shared" si="27"/>
        <v>Industry NO2</v>
      </c>
      <c r="AJ434" t="str">
        <f>IF($AG434=1, IF($AD434=1, Keys!$C$9, "") &amp; IF($AE434=1, Keys!$C$10, "") &amp; IF($AF434=1, Keys!$C$11, ""), "")</f>
        <v/>
      </c>
      <c r="AK434">
        <f>IF($AG434=1, IFERROR(INDEX($AG$2:$AG$577, MATCH($A434 &amp; Keys!$C$8 &amp; $AH434, $Y$2:$Y$577, 0)), 1), 0)</f>
        <v>0</v>
      </c>
    </row>
    <row r="435" spans="1:37" x14ac:dyDescent="0.25">
      <c r="A435" t="s">
        <v>193</v>
      </c>
      <c r="B435" t="s">
        <v>238</v>
      </c>
      <c r="C435">
        <v>5</v>
      </c>
      <c r="D435">
        <v>21.676892938000002</v>
      </c>
      <c r="E435">
        <v>4.4625016000000003E-2</v>
      </c>
      <c r="F435">
        <v>46.406349669999997</v>
      </c>
      <c r="G435">
        <v>62.489706228999999</v>
      </c>
      <c r="H435">
        <v>95.485007165999988</v>
      </c>
      <c r="I435">
        <v>1.617431853</v>
      </c>
      <c r="J435">
        <v>10.058748521</v>
      </c>
      <c r="K435">
        <v>6497.1758842999998</v>
      </c>
      <c r="L435">
        <v>1100.8010131200001</v>
      </c>
      <c r="M435">
        <v>2.3352274730000002</v>
      </c>
      <c r="N435">
        <v>204.38106306500001</v>
      </c>
      <c r="O435">
        <v>4.5373856460000006</v>
      </c>
      <c r="P435">
        <v>0.16332458999999999</v>
      </c>
      <c r="Q435">
        <v>0.62697415500000009</v>
      </c>
      <c r="R435">
        <v>10.551670847</v>
      </c>
      <c r="S435">
        <v>134.168909093</v>
      </c>
      <c r="T435">
        <v>191.01949918700001</v>
      </c>
      <c r="U435">
        <v>702.26610501200003</v>
      </c>
      <c r="V435">
        <v>0</v>
      </c>
      <c r="W435">
        <v>0</v>
      </c>
      <c r="Y435" t="str">
        <f>$A435 &amp; Keys!$C$8 &amp; $B435</f>
        <v>Rhode Island|Industry PM25</v>
      </c>
      <c r="Z435" s="8">
        <f>IFERROR(INDEX($U435:$W435, MATCH(INDEX(Runs!$D:$D, MATCH($B435, Runs!$A:$A, 0)), $U$1:$W$1, 0)), 0)</f>
        <v>702.26610501200003</v>
      </c>
      <c r="AA435" s="8">
        <f t="shared" si="24"/>
        <v>3.0867064184493989E-2</v>
      </c>
      <c r="AB435" s="8">
        <f>IFERROR(VLOOKUP(INDEX(Runs!$F:$F, MATCH($B435, Runs!$A:$A, 0)), US_national_yearly!$D:$AM, MATCH(Keys!$C$7, US_national_yearly!$D$1:$AM$1, 0), FALSE), 0)</f>
        <v>2.6833191881203179E-2</v>
      </c>
      <c r="AC435" s="8">
        <f t="shared" si="25"/>
        <v>1.1503314373165037</v>
      </c>
      <c r="AD435">
        <f>IF($Z435&lt;Keys!$C$3, 1, 0)</f>
        <v>0</v>
      </c>
      <c r="AE435">
        <f>IF($AC435&gt;Keys!$C$4, 1, 0)</f>
        <v>0</v>
      </c>
      <c r="AF435">
        <f>IF($AC435&lt;Keys!$C$5, 1, 0)</f>
        <v>0</v>
      </c>
      <c r="AG435">
        <f t="shared" si="26"/>
        <v>0</v>
      </c>
      <c r="AH435" t="str">
        <f>IFERROR(INDEX(Runs!$E:$E, MATCH($B435, Runs!$A:$A, 0)), $B435)</f>
        <v>Industry PM25</v>
      </c>
      <c r="AI435" t="str">
        <f t="shared" si="27"/>
        <v>Industry PM25</v>
      </c>
      <c r="AJ435" t="str">
        <f>IF($AG435=1, IF($AD435=1, Keys!$C$9, "") &amp; IF($AE435=1, Keys!$C$10, "") &amp; IF($AF435=1, Keys!$C$11, ""), "")</f>
        <v/>
      </c>
      <c r="AK435">
        <f>IF($AG435=1, IFERROR(INDEX($AG$2:$AG$577, MATCH($A435 &amp; Keys!$C$8 &amp; $AH435, $Y$2:$Y$577, 0)), 1), 0)</f>
        <v>0</v>
      </c>
    </row>
    <row r="436" spans="1:37" x14ac:dyDescent="0.25">
      <c r="A436" t="s">
        <v>193</v>
      </c>
      <c r="B436" t="s">
        <v>246</v>
      </c>
      <c r="C436">
        <v>5</v>
      </c>
      <c r="D436">
        <v>0.66176781500000004</v>
      </c>
      <c r="E436">
        <v>1.3152299000000001E-3</v>
      </c>
      <c r="F436">
        <v>1.3990720800000001</v>
      </c>
      <c r="G436">
        <v>1.884053234</v>
      </c>
      <c r="H436">
        <v>2.8785152350000001</v>
      </c>
      <c r="I436">
        <v>4.9486504000000001E-2</v>
      </c>
      <c r="J436">
        <v>0.30730396100000001</v>
      </c>
      <c r="K436">
        <v>196.55627370600001</v>
      </c>
      <c r="L436">
        <v>33.259221425</v>
      </c>
      <c r="M436">
        <v>7.1076202000000005E-2</v>
      </c>
      <c r="N436">
        <v>6.1616405490000004</v>
      </c>
      <c r="O436">
        <v>0.13722120199999999</v>
      </c>
      <c r="P436">
        <v>4.9750200000000001E-3</v>
      </c>
      <c r="Q436">
        <v>1.8598188000000002E-2</v>
      </c>
      <c r="R436">
        <v>0.31666664700000002</v>
      </c>
      <c r="S436">
        <v>4.024336173</v>
      </c>
      <c r="T436">
        <v>5.7201549730000014</v>
      </c>
      <c r="U436">
        <v>0</v>
      </c>
      <c r="V436">
        <v>91.752717083000007</v>
      </c>
      <c r="W436">
        <v>0</v>
      </c>
      <c r="Y436" t="str">
        <f>$A436 &amp; Keys!$C$8 &amp; $B436</f>
        <v>Rhode Island|Industry SO2</v>
      </c>
      <c r="Z436" s="8">
        <f>IFERROR(INDEX($U436:$W436, MATCH(INDEX(Runs!$D:$D, MATCH($B436, Runs!$A:$A, 0)), $U$1:$W$1, 0)), 0)</f>
        <v>91.752717083000007</v>
      </c>
      <c r="AA436" s="8">
        <f t="shared" si="24"/>
        <v>7.2125146375922721E-3</v>
      </c>
      <c r="AB436" s="8">
        <f>IFERROR(VLOOKUP(INDEX(Runs!$F:$F, MATCH($B436, Runs!$A:$A, 0)), US_national_yearly!$D:$AM, MATCH(Keys!$C$7, US_national_yearly!$D$1:$AM$1, 0), FALSE), 0)</f>
        <v>5.3000351638639942E-3</v>
      </c>
      <c r="AC436" s="8">
        <f t="shared" si="25"/>
        <v>1.3608427896417923</v>
      </c>
      <c r="AD436">
        <f>IF($Z436&lt;Keys!$C$3, 1, 0)</f>
        <v>0</v>
      </c>
      <c r="AE436">
        <f>IF($AC436&gt;Keys!$C$4, 1, 0)</f>
        <v>0</v>
      </c>
      <c r="AF436">
        <f>IF($AC436&lt;Keys!$C$5, 1, 0)</f>
        <v>0</v>
      </c>
      <c r="AG436">
        <f t="shared" si="26"/>
        <v>0</v>
      </c>
      <c r="AH436" t="str">
        <f>IFERROR(INDEX(Runs!$E:$E, MATCH($B436, Runs!$A:$A, 0)), $B436)</f>
        <v>Industry SO2</v>
      </c>
      <c r="AI436" t="str">
        <f t="shared" si="27"/>
        <v>Industry SO2</v>
      </c>
      <c r="AJ436" t="str">
        <f>IF($AG436=1, IF($AD436=1, Keys!$C$9, "") &amp; IF($AE436=1, Keys!$C$10, "") &amp; IF($AF436=1, Keys!$C$11, ""), "")</f>
        <v/>
      </c>
      <c r="AK436">
        <f>IF($AG436=1, IFERROR(INDEX($AG$2:$AG$577, MATCH($A436 &amp; Keys!$C$8 &amp; $AH436, $Y$2:$Y$577, 0)), 1), 0)</f>
        <v>0</v>
      </c>
    </row>
    <row r="437" spans="1:37" x14ac:dyDescent="0.25">
      <c r="A437" t="s">
        <v>193</v>
      </c>
      <c r="B437" t="s">
        <v>253</v>
      </c>
      <c r="C437">
        <v>5</v>
      </c>
      <c r="D437">
        <v>1.794790777</v>
      </c>
      <c r="E437">
        <v>3.5808241999999999E-3</v>
      </c>
      <c r="F437">
        <v>3.7898537970000001</v>
      </c>
      <c r="G437">
        <v>5.1035737929999998</v>
      </c>
      <c r="H437">
        <v>7.7974467249999986</v>
      </c>
      <c r="I437">
        <v>0.133359481</v>
      </c>
      <c r="J437">
        <v>0.83016534799999986</v>
      </c>
      <c r="K437">
        <v>532.53972097999997</v>
      </c>
      <c r="L437">
        <v>90.147831628999995</v>
      </c>
      <c r="M437">
        <v>0.192992043</v>
      </c>
      <c r="N437">
        <v>16.690874314999999</v>
      </c>
      <c r="O437">
        <v>0.37295730599999999</v>
      </c>
      <c r="P437">
        <v>1.3502666999999999E-2</v>
      </c>
      <c r="Q437">
        <v>5.0808725999999999E-2</v>
      </c>
      <c r="R437">
        <v>0.86208629199999998</v>
      </c>
      <c r="S437">
        <v>10.956138104000001</v>
      </c>
      <c r="T437">
        <v>15.574426470000001</v>
      </c>
      <c r="U437">
        <v>0</v>
      </c>
      <c r="V437">
        <v>0</v>
      </c>
      <c r="W437">
        <v>2248.3090098900002</v>
      </c>
      <c r="Y437" t="str">
        <f>$A437 &amp; Keys!$C$8 &amp; $B437</f>
        <v>Rhode Island|buildings NO2</v>
      </c>
      <c r="Z437" s="8">
        <f>IFERROR(INDEX($U437:$W437, MATCH(INDEX(Runs!$D:$D, MATCH($B437, Runs!$A:$A, 0)), $U$1:$W$1, 0)), 0)</f>
        <v>2248.3090098900002</v>
      </c>
      <c r="AA437" s="8">
        <f t="shared" si="24"/>
        <v>7.9828474160133851E-4</v>
      </c>
      <c r="AB437" s="8">
        <f>IFERROR(VLOOKUP(INDEX(Runs!$F:$F, MATCH($B437, Runs!$A:$A, 0)), US_national_yearly!$D:$AM, MATCH(Keys!$C$7, US_national_yearly!$D$1:$AM$1, 0), FALSE), 0)</f>
        <v>5.6784740124662739E-3</v>
      </c>
      <c r="AC437" s="8">
        <f t="shared" si="25"/>
        <v>0.14058085673172388</v>
      </c>
      <c r="AD437">
        <f>IF($Z437&lt;Keys!$C$3, 1, 0)</f>
        <v>0</v>
      </c>
      <c r="AE437">
        <f>IF($AC437&gt;Keys!$C$4, 1, 0)</f>
        <v>0</v>
      </c>
      <c r="AF437">
        <f>IF($AC437&lt;Keys!$C$5, 1, 0)</f>
        <v>0</v>
      </c>
      <c r="AG437">
        <f t="shared" si="26"/>
        <v>0</v>
      </c>
      <c r="AH437" t="str">
        <f>IFERROR(INDEX(Runs!$E:$E, MATCH($B437, Runs!$A:$A, 0)), $B437)</f>
        <v>Industry NO2</v>
      </c>
      <c r="AI437" t="str">
        <f t="shared" si="27"/>
        <v>buildings NO2</v>
      </c>
      <c r="AJ437" t="str">
        <f>IF($AG437=1, IF($AD437=1, Keys!$C$9, "") &amp; IF($AE437=1, Keys!$C$10, "") &amp; IF($AF437=1, Keys!$C$11, ""), "")</f>
        <v/>
      </c>
      <c r="AK437">
        <f>IF($AG437=1, IFERROR(INDEX($AG$2:$AG$577, MATCH($A437 &amp; Keys!$C$8 &amp; $AH437, $Y$2:$Y$577, 0)), 1), 0)</f>
        <v>0</v>
      </c>
    </row>
    <row r="438" spans="1:37" x14ac:dyDescent="0.25">
      <c r="A438" t="s">
        <v>193</v>
      </c>
      <c r="B438" t="s">
        <v>251</v>
      </c>
      <c r="C438">
        <v>5</v>
      </c>
      <c r="D438">
        <v>1.6591019469999999</v>
      </c>
      <c r="E438">
        <v>3.2828969999999999E-3</v>
      </c>
      <c r="F438">
        <v>3.489541193</v>
      </c>
      <c r="G438">
        <v>4.6991620150000006</v>
      </c>
      <c r="H438">
        <v>7.1795643629999999</v>
      </c>
      <c r="I438">
        <v>0.122928958</v>
      </c>
      <c r="J438">
        <v>0.76577073200000001</v>
      </c>
      <c r="K438">
        <v>490.77421989999999</v>
      </c>
      <c r="L438">
        <v>83.071309486000004</v>
      </c>
      <c r="M438">
        <v>0.17839896599999999</v>
      </c>
      <c r="N438">
        <v>15.368267571000001</v>
      </c>
      <c r="O438">
        <v>0.343666321</v>
      </c>
      <c r="P438">
        <v>1.2455694E-2</v>
      </c>
      <c r="Q438">
        <v>4.6756102000000008E-2</v>
      </c>
      <c r="R438">
        <v>0.79436488100000002</v>
      </c>
      <c r="S438">
        <v>10.095535784999999</v>
      </c>
      <c r="T438">
        <v>14.351132309</v>
      </c>
      <c r="U438">
        <v>59.733208742000002</v>
      </c>
      <c r="V438">
        <v>0</v>
      </c>
      <c r="W438">
        <v>0</v>
      </c>
      <c r="Y438" t="str">
        <f>$A438 &amp; Keys!$C$8 &amp; $B438</f>
        <v>Rhode Island|buildings PM25</v>
      </c>
      <c r="Z438" s="8">
        <f>IFERROR(INDEX($U438:$W438, MATCH(INDEX(Runs!$D:$D, MATCH($B438, Runs!$A:$A, 0)), $U$1:$W$1, 0)), 0)</f>
        <v>59.733208742000002</v>
      </c>
      <c r="AA438" s="8">
        <f t="shared" si="24"/>
        <v>2.7775202135314744E-2</v>
      </c>
      <c r="AB438" s="8">
        <f>IFERROR(VLOOKUP(INDEX(Runs!$F:$F, MATCH($B438, Runs!$A:$A, 0)), US_national_yearly!$D:$AM, MATCH(Keys!$C$7, US_national_yearly!$D$1:$AM$1, 0), FALSE), 0)</f>
        <v>2.7627705191843259E-2</v>
      </c>
      <c r="AC438" s="8">
        <f t="shared" si="25"/>
        <v>1.0053387330741834</v>
      </c>
      <c r="AD438">
        <f>IF($Z438&lt;Keys!$C$3, 1, 0)</f>
        <v>0</v>
      </c>
      <c r="AE438">
        <f>IF($AC438&gt;Keys!$C$4, 1, 0)</f>
        <v>0</v>
      </c>
      <c r="AF438">
        <f>IF($AC438&lt;Keys!$C$5, 1, 0)</f>
        <v>0</v>
      </c>
      <c r="AG438">
        <f t="shared" si="26"/>
        <v>0</v>
      </c>
      <c r="AH438" t="str">
        <f>IFERROR(INDEX(Runs!$E:$E, MATCH($B438, Runs!$A:$A, 0)), $B438)</f>
        <v>Industry PM25</v>
      </c>
      <c r="AI438" t="str">
        <f t="shared" si="27"/>
        <v>buildings PM25</v>
      </c>
      <c r="AJ438" t="str">
        <f>IF($AG438=1, IF($AD438=1, Keys!$C$9, "") &amp; IF($AE438=1, Keys!$C$10, "") &amp; IF($AF438=1, Keys!$C$11, ""), "")</f>
        <v/>
      </c>
      <c r="AK438">
        <f>IF($AG438=1, IFERROR(INDEX($AG$2:$AG$577, MATCH($A438 &amp; Keys!$C$8 &amp; $AH438, $Y$2:$Y$577, 0)), 1), 0)</f>
        <v>0</v>
      </c>
    </row>
    <row r="439" spans="1:37" x14ac:dyDescent="0.25">
      <c r="A439" t="s">
        <v>193</v>
      </c>
      <c r="B439" t="s">
        <v>254</v>
      </c>
      <c r="C439">
        <v>5</v>
      </c>
      <c r="D439">
        <v>0.172840828</v>
      </c>
      <c r="E439">
        <v>3.6875585999999999E-4</v>
      </c>
      <c r="F439">
        <v>0.37603881900000002</v>
      </c>
      <c r="G439">
        <v>0.50639128100000008</v>
      </c>
      <c r="H439">
        <v>0.77367845600000007</v>
      </c>
      <c r="I439">
        <v>1.2959144000000001E-2</v>
      </c>
      <c r="J439">
        <v>8.0867406999999988E-2</v>
      </c>
      <c r="K439">
        <v>52.452770289999997</v>
      </c>
      <c r="L439">
        <v>8.8905920920000003</v>
      </c>
      <c r="M439">
        <v>1.8604135000000001E-2</v>
      </c>
      <c r="N439">
        <v>1.656108556</v>
      </c>
      <c r="O439">
        <v>3.6218158E-2</v>
      </c>
      <c r="P439">
        <v>1.2940186000000001E-3</v>
      </c>
      <c r="Q439">
        <v>5.1020828999999998E-3</v>
      </c>
      <c r="R439">
        <v>8.5694061999999988E-2</v>
      </c>
      <c r="S439">
        <v>1.088962349</v>
      </c>
      <c r="T439">
        <v>1.5476398200000001</v>
      </c>
      <c r="U439">
        <v>0</v>
      </c>
      <c r="V439">
        <v>52.093252544000002</v>
      </c>
      <c r="W439">
        <v>0</v>
      </c>
      <c r="Y439" t="str">
        <f>$A439 &amp; Keys!$C$8 &amp; $B439</f>
        <v>Rhode Island|buildings SO2</v>
      </c>
      <c r="Z439" s="8">
        <f>IFERROR(INDEX($U439:$W439, MATCH(INDEX(Runs!$D:$D, MATCH($B439, Runs!$A:$A, 0)), $U$1:$W$1, 0)), 0)</f>
        <v>52.093252544000002</v>
      </c>
      <c r="AA439" s="8">
        <f t="shared" si="24"/>
        <v>3.317912005091482E-3</v>
      </c>
      <c r="AB439" s="8">
        <f>IFERROR(VLOOKUP(INDEX(Runs!$F:$F, MATCH($B439, Runs!$A:$A, 0)), US_national_yearly!$D:$AM, MATCH(Keys!$C$7, US_national_yearly!$D$1:$AM$1, 0), FALSE), 0)</f>
        <v>5.1581943281164694E-3</v>
      </c>
      <c r="AC439" s="8">
        <f t="shared" si="25"/>
        <v>0.64323129258742529</v>
      </c>
      <c r="AD439">
        <f>IF($Z439&lt;Keys!$C$3, 1, 0)</f>
        <v>0</v>
      </c>
      <c r="AE439">
        <f>IF($AC439&gt;Keys!$C$4, 1, 0)</f>
        <v>0</v>
      </c>
      <c r="AF439">
        <f>IF($AC439&lt;Keys!$C$5, 1, 0)</f>
        <v>0</v>
      </c>
      <c r="AG439">
        <f t="shared" si="26"/>
        <v>0</v>
      </c>
      <c r="AH439" t="str">
        <f>IFERROR(INDEX(Runs!$E:$E, MATCH($B439, Runs!$A:$A, 0)), $B439)</f>
        <v>Industry SO2</v>
      </c>
      <c r="AI439" t="str">
        <f t="shared" si="27"/>
        <v>buildings SO2</v>
      </c>
      <c r="AJ439" t="str">
        <f>IF($AG439=1, IF($AD439=1, Keys!$C$9, "") &amp; IF($AE439=1, Keys!$C$10, "") &amp; IF($AF439=1, Keys!$C$11, ""), "")</f>
        <v/>
      </c>
      <c r="AK439">
        <f>IF($AG439=1, IFERROR(INDEX($AG$2:$AG$577, MATCH($A439 &amp; Keys!$C$8 &amp; $AH439, $Y$2:$Y$577, 0)), 1), 0)</f>
        <v>0</v>
      </c>
    </row>
    <row r="440" spans="1:37" x14ac:dyDescent="0.25">
      <c r="A440" t="s">
        <v>193</v>
      </c>
      <c r="B440" t="s">
        <v>249</v>
      </c>
      <c r="C440">
        <v>5</v>
      </c>
      <c r="D440">
        <v>6.4935829999999998E-3</v>
      </c>
      <c r="E440">
        <v>1.45502424E-5</v>
      </c>
      <c r="F440">
        <v>1.4444932000000001E-2</v>
      </c>
      <c r="G440">
        <v>1.9452222000000002E-2</v>
      </c>
      <c r="H440">
        <v>2.9719608000000002E-2</v>
      </c>
      <c r="I440">
        <v>4.9034749999999998E-4</v>
      </c>
      <c r="J440">
        <v>3.0632086000000002E-3</v>
      </c>
      <c r="K440">
        <v>2.003985342</v>
      </c>
      <c r="L440">
        <v>0.33999684200000002</v>
      </c>
      <c r="M440">
        <v>6.9991679999999992E-4</v>
      </c>
      <c r="N440">
        <v>6.3616761999999993E-2</v>
      </c>
      <c r="O440">
        <v>1.37509164E-3</v>
      </c>
      <c r="P440">
        <v>4.8620150999999998E-5</v>
      </c>
      <c r="Q440">
        <v>1.9817510000000001E-4</v>
      </c>
      <c r="R440">
        <v>3.2965580000000002E-3</v>
      </c>
      <c r="S440">
        <v>4.1889345000000001E-2</v>
      </c>
      <c r="T440">
        <v>5.9528580999999997E-2</v>
      </c>
      <c r="U440">
        <v>0</v>
      </c>
      <c r="V440">
        <v>0</v>
      </c>
      <c r="W440">
        <v>790.83309185199994</v>
      </c>
      <c r="Y440" t="str">
        <f>$A440 &amp; Keys!$C$8 &amp; $B440</f>
        <v>Rhode Island|electricity NO2</v>
      </c>
      <c r="Z440" s="8">
        <f>IFERROR(INDEX($U440:$W440, MATCH(INDEX(Runs!$D:$D, MATCH($B440, Runs!$A:$A, 0)), $U$1:$W$1, 0)), 0)</f>
        <v>790.83309185199994</v>
      </c>
      <c r="AA440" s="8">
        <f t="shared" si="24"/>
        <v>8.2110663639442623E-6</v>
      </c>
      <c r="AB440" s="8">
        <f>IFERROR(VLOOKUP(INDEX(Runs!$F:$F, MATCH($B440, Runs!$A:$A, 0)), US_national_yearly!$D:$AM, MATCH(Keys!$C$7, US_national_yearly!$D$1:$AM$1, 0), FALSE), 0)</f>
        <v>6.1439221592658041E-3</v>
      </c>
      <c r="AC440" s="8">
        <f t="shared" si="25"/>
        <v>1.3364535147244575E-3</v>
      </c>
      <c r="AD440">
        <f>IF($Z440&lt;Keys!$C$3, 1, 0)</f>
        <v>0</v>
      </c>
      <c r="AE440">
        <f>IF($AC440&gt;Keys!$C$4, 1, 0)</f>
        <v>0</v>
      </c>
      <c r="AF440">
        <f>IF($AC440&lt;Keys!$C$5, 1, 0)</f>
        <v>0</v>
      </c>
      <c r="AG440">
        <f t="shared" si="26"/>
        <v>0</v>
      </c>
      <c r="AH440" t="str">
        <f>IFERROR(INDEX(Runs!$E:$E, MATCH($B440, Runs!$A:$A, 0)), $B440)</f>
        <v>Industry NO2</v>
      </c>
      <c r="AI440" t="str">
        <f t="shared" si="27"/>
        <v>electricity NO2</v>
      </c>
      <c r="AJ440" t="str">
        <f>IF($AG440=1, IF($AD440=1, Keys!$C$9, "") &amp; IF($AE440=1, Keys!$C$10, "") &amp; IF($AF440=1, Keys!$C$11, ""), "")</f>
        <v/>
      </c>
      <c r="AK440">
        <f>IF($AG440=1, IFERROR(INDEX($AG$2:$AG$577, MATCH($A440 &amp; Keys!$C$8 &amp; $AH440, $Y$2:$Y$577, 0)), 1), 0)</f>
        <v>0</v>
      </c>
    </row>
    <row r="441" spans="1:37" x14ac:dyDescent="0.25">
      <c r="A441" t="s">
        <v>193</v>
      </c>
      <c r="B441" t="s">
        <v>247</v>
      </c>
      <c r="C441">
        <v>5</v>
      </c>
      <c r="D441">
        <v>3.0713936199999998</v>
      </c>
      <c r="E441">
        <v>6.8501626999999997E-3</v>
      </c>
      <c r="F441">
        <v>6.8224586809999996</v>
      </c>
      <c r="G441">
        <v>9.1873633439999995</v>
      </c>
      <c r="H441">
        <v>14.036973980000001</v>
      </c>
      <c r="I441">
        <v>0.23058569700000001</v>
      </c>
      <c r="J441">
        <v>1.447511217</v>
      </c>
      <c r="K441">
        <v>946.81332087999999</v>
      </c>
      <c r="L441">
        <v>160.66751674</v>
      </c>
      <c r="M441">
        <v>0.330392888</v>
      </c>
      <c r="N441">
        <v>30.046796005000001</v>
      </c>
      <c r="O441">
        <v>0.63527535800000001</v>
      </c>
      <c r="P441">
        <v>2.2480388E-2</v>
      </c>
      <c r="Q441">
        <v>9.2769592999999997E-2</v>
      </c>
      <c r="R441">
        <v>1.5587841389999999</v>
      </c>
      <c r="S441">
        <v>19.809124599</v>
      </c>
      <c r="T441">
        <v>28.157983436999999</v>
      </c>
      <c r="U441">
        <v>114.97664899</v>
      </c>
      <c r="V441">
        <v>0</v>
      </c>
      <c r="W441">
        <v>0</v>
      </c>
      <c r="Y441" t="str">
        <f>$A441 &amp; Keys!$C$8 &amp; $B441</f>
        <v>Rhode Island|electricity PM25</v>
      </c>
      <c r="Z441" s="8">
        <f>IFERROR(INDEX($U441:$W441, MATCH(INDEX(Runs!$D:$D, MATCH($B441, Runs!$A:$A, 0)), $U$1:$W$1, 0)), 0)</f>
        <v>114.97664899</v>
      </c>
      <c r="AA441" s="8">
        <f t="shared" si="24"/>
        <v>2.6713194783291448E-2</v>
      </c>
      <c r="AB441" s="8">
        <f>IFERROR(VLOOKUP(INDEX(Runs!$F:$F, MATCH($B441, Runs!$A:$A, 0)), US_national_yearly!$D:$AM, MATCH(Keys!$C$7, US_national_yearly!$D$1:$AM$1, 0), FALSE), 0)</f>
        <v>2.4252978284752182E-2</v>
      </c>
      <c r="AC441" s="8">
        <f t="shared" si="25"/>
        <v>1.1014397683308859</v>
      </c>
      <c r="AD441">
        <f>IF($Z441&lt;Keys!$C$3, 1, 0)</f>
        <v>0</v>
      </c>
      <c r="AE441">
        <f>IF($AC441&gt;Keys!$C$4, 1, 0)</f>
        <v>0</v>
      </c>
      <c r="AF441">
        <f>IF($AC441&lt;Keys!$C$5, 1, 0)</f>
        <v>0</v>
      </c>
      <c r="AG441">
        <f t="shared" si="26"/>
        <v>0</v>
      </c>
      <c r="AH441" t="str">
        <f>IFERROR(INDEX(Runs!$E:$E, MATCH($B441, Runs!$A:$A, 0)), $B441)</f>
        <v>Industry PM25</v>
      </c>
      <c r="AI441" t="str">
        <f t="shared" si="27"/>
        <v>electricity PM25</v>
      </c>
      <c r="AJ441" t="str">
        <f>IF($AG441=1, IF($AD441=1, Keys!$C$9, "") &amp; IF($AE441=1, Keys!$C$10, "") &amp; IF($AF441=1, Keys!$C$11, ""), "")</f>
        <v/>
      </c>
      <c r="AK441">
        <f>IF($AG441=1, IFERROR(INDEX($AG$2:$AG$577, MATCH($A441 &amp; Keys!$C$8 &amp; $AH441, $Y$2:$Y$577, 0)), 1), 0)</f>
        <v>0</v>
      </c>
    </row>
    <row r="442" spans="1:37" x14ac:dyDescent="0.25">
      <c r="A442" t="s">
        <v>193</v>
      </c>
      <c r="B442" t="s">
        <v>250</v>
      </c>
      <c r="C442">
        <v>5</v>
      </c>
      <c r="D442">
        <v>0.63655227600000008</v>
      </c>
      <c r="E442">
        <v>1.41660463E-3</v>
      </c>
      <c r="F442">
        <v>1.411950574</v>
      </c>
      <c r="G442">
        <v>1.901395497</v>
      </c>
      <c r="H442">
        <v>2.9050130410000001</v>
      </c>
      <c r="I442">
        <v>4.7930539000000001E-2</v>
      </c>
      <c r="J442">
        <v>0.29995192300000001</v>
      </c>
      <c r="K442">
        <v>196.026375669</v>
      </c>
      <c r="L442">
        <v>33.256550670000003</v>
      </c>
      <c r="M442">
        <v>6.854220200000001E-2</v>
      </c>
      <c r="N442">
        <v>6.2183591119999999</v>
      </c>
      <c r="O442">
        <v>0.13345021200000001</v>
      </c>
      <c r="P442">
        <v>4.7258185999999999E-3</v>
      </c>
      <c r="Q442">
        <v>1.9278098E-2</v>
      </c>
      <c r="R442">
        <v>0.32232576699999999</v>
      </c>
      <c r="S442">
        <v>4.0958641189999998</v>
      </c>
      <c r="T442">
        <v>5.8209148129999999</v>
      </c>
      <c r="U442">
        <v>0</v>
      </c>
      <c r="V442">
        <v>1.8035654160000001</v>
      </c>
      <c r="W442">
        <v>0</v>
      </c>
      <c r="Y442" t="str">
        <f>$A442 &amp; Keys!$C$8 &amp; $B442</f>
        <v>Rhode Island|electricity SO2</v>
      </c>
      <c r="Z442" s="8">
        <f>IFERROR(INDEX($U442:$W442, MATCH(INDEX(Runs!$D:$D, MATCH($B442, Runs!$A:$A, 0)), $U$1:$W$1, 0)), 0)</f>
        <v>1.8035654160000001</v>
      </c>
      <c r="AA442" s="8">
        <f t="shared" si="24"/>
        <v>0.35294105240261497</v>
      </c>
      <c r="AB442" s="8">
        <f>IFERROR(VLOOKUP(INDEX(Runs!$F:$F, MATCH($B442, Runs!$A:$A, 0)), US_national_yearly!$D:$AM, MATCH(Keys!$C$7, US_national_yearly!$D$1:$AM$1, 0), FALSE), 0)</f>
        <v>5.7032329662362116E-3</v>
      </c>
      <c r="AC442" s="8">
        <f t="shared" si="25"/>
        <v>61.884382856542274</v>
      </c>
      <c r="AD442">
        <f>IF($Z442&lt;Keys!$C$3, 1, 0)</f>
        <v>0</v>
      </c>
      <c r="AE442">
        <f>IF($AC442&gt;Keys!$C$4, 1, 0)</f>
        <v>1</v>
      </c>
      <c r="AF442">
        <f>IF($AC442&lt;Keys!$C$5, 1, 0)</f>
        <v>0</v>
      </c>
      <c r="AG442">
        <f t="shared" si="26"/>
        <v>1</v>
      </c>
      <c r="AH442" t="str">
        <f>IFERROR(INDEX(Runs!$E:$E, MATCH($B442, Runs!$A:$A, 0)), $B442)</f>
        <v>Industry SO2</v>
      </c>
      <c r="AI442" t="str">
        <f t="shared" si="27"/>
        <v>Industry SO2</v>
      </c>
      <c r="AJ442" t="str">
        <f>IF($AG442=1, IF($AD442=1, Keys!$C$9, "") &amp; IF($AE442=1, Keys!$C$10, "") &amp; IF($AF442=1, Keys!$C$11, ""), "")</f>
        <v xml:space="preserve">factor above max multiple of US; </v>
      </c>
      <c r="AK442">
        <f>IF($AG442=1, IFERROR(INDEX($AG$2:$AG$577, MATCH($A442 &amp; Keys!$C$8 &amp; $AH442, $Y$2:$Y$577, 0)), 1), 0)</f>
        <v>0</v>
      </c>
    </row>
    <row r="443" spans="1:37" x14ac:dyDescent="0.25">
      <c r="A443" t="s">
        <v>193</v>
      </c>
      <c r="B443" t="s">
        <v>239</v>
      </c>
      <c r="C443">
        <v>5</v>
      </c>
      <c r="D443">
        <v>4.9246578660000004</v>
      </c>
      <c r="E443">
        <v>9.0735679999999989E-3</v>
      </c>
      <c r="F443">
        <v>10.069394431999999</v>
      </c>
      <c r="G443">
        <v>13.559777668000001</v>
      </c>
      <c r="H443">
        <v>20.717481088</v>
      </c>
      <c r="I443">
        <v>0.36228234500000001</v>
      </c>
      <c r="J443">
        <v>2.2541830119999999</v>
      </c>
      <c r="K443">
        <v>1426.72227948</v>
      </c>
      <c r="L443">
        <v>241.15764001100001</v>
      </c>
      <c r="M443">
        <v>0.52786471199999996</v>
      </c>
      <c r="N443">
        <v>44.346653187999998</v>
      </c>
      <c r="O443">
        <v>0.99777416799999996</v>
      </c>
      <c r="P443">
        <v>3.6707423000000003E-2</v>
      </c>
      <c r="Q443">
        <v>0.131670659</v>
      </c>
      <c r="R443">
        <v>2.282487073</v>
      </c>
      <c r="S443">
        <v>29.011371166</v>
      </c>
      <c r="T443">
        <v>41.252540599</v>
      </c>
      <c r="U443">
        <v>0</v>
      </c>
      <c r="V443">
        <v>0</v>
      </c>
      <c r="W443">
        <v>7007.8194034999997</v>
      </c>
      <c r="Y443" t="str">
        <f>$A443 &amp; Keys!$C$8 &amp; $B443</f>
        <v>Rhode Island|transportation NO2</v>
      </c>
      <c r="Z443" s="8">
        <f>IFERROR(INDEX($U443:$W443, MATCH(INDEX(Runs!$D:$D, MATCH($B443, Runs!$A:$A, 0)), $U$1:$W$1, 0)), 0)</f>
        <v>7007.8194034999997</v>
      </c>
      <c r="AA443" s="8">
        <f t="shared" si="24"/>
        <v>7.0273755393017391E-4</v>
      </c>
      <c r="AB443" s="8">
        <f>IFERROR(VLOOKUP(INDEX(Runs!$F:$F, MATCH($B443, Runs!$A:$A, 0)), US_national_yearly!$D:$AM, MATCH(Keys!$C$7, US_national_yearly!$D$1:$AM$1, 0), FALSE), 0)</f>
        <v>5.7148835886332216E-3</v>
      </c>
      <c r="AC443" s="8">
        <f t="shared" si="25"/>
        <v>0.12296620622822546</v>
      </c>
      <c r="AD443">
        <f>IF($Z443&lt;Keys!$C$3, 1, 0)</f>
        <v>0</v>
      </c>
      <c r="AE443">
        <f>IF($AC443&gt;Keys!$C$4, 1, 0)</f>
        <v>0</v>
      </c>
      <c r="AF443">
        <f>IF($AC443&lt;Keys!$C$5, 1, 0)</f>
        <v>0</v>
      </c>
      <c r="AG443">
        <f t="shared" si="26"/>
        <v>0</v>
      </c>
      <c r="AH443" t="str">
        <f>IFERROR(INDEX(Runs!$E:$E, MATCH($B443, Runs!$A:$A, 0)), $B443)</f>
        <v>Industry NO2</v>
      </c>
      <c r="AI443" t="str">
        <f t="shared" si="27"/>
        <v>transportation NO2</v>
      </c>
      <c r="AJ443" t="str">
        <f>IF($AG443=1, IF($AD443=1, Keys!$C$9, "") &amp; IF($AE443=1, Keys!$C$10, "") &amp; IF($AF443=1, Keys!$C$11, ""), "")</f>
        <v/>
      </c>
      <c r="AK443">
        <f>IF($AG443=1, IFERROR(INDEX($AG$2:$AG$577, MATCH($A443 &amp; Keys!$C$8 &amp; $AH443, $Y$2:$Y$577, 0)), 1), 0)</f>
        <v>0</v>
      </c>
    </row>
    <row r="444" spans="1:37" x14ac:dyDescent="0.25">
      <c r="A444" t="s">
        <v>193</v>
      </c>
      <c r="B444" t="s">
        <v>234</v>
      </c>
      <c r="C444">
        <v>5</v>
      </c>
      <c r="D444">
        <v>5.4042655169999998</v>
      </c>
      <c r="E444">
        <v>1.0223640000000001E-2</v>
      </c>
      <c r="F444">
        <v>11.141534297</v>
      </c>
      <c r="G444">
        <v>15.003535526</v>
      </c>
      <c r="H444">
        <v>22.923419805999998</v>
      </c>
      <c r="I444">
        <v>0.39776981</v>
      </c>
      <c r="J444">
        <v>2.473698341</v>
      </c>
      <c r="K444">
        <v>1574.9276732400001</v>
      </c>
      <c r="L444">
        <v>266.37629295199997</v>
      </c>
      <c r="M444">
        <v>0.58093315200000006</v>
      </c>
      <c r="N444">
        <v>49.068489628999998</v>
      </c>
      <c r="O444">
        <v>1.1159559999999999</v>
      </c>
      <c r="P444">
        <v>4.0795809000000002E-2</v>
      </c>
      <c r="Q444">
        <v>0.148355239</v>
      </c>
      <c r="R444">
        <v>2.5351993099999999</v>
      </c>
      <c r="S444">
        <v>32.223938534000013</v>
      </c>
      <c r="T444">
        <v>45.822710563000001</v>
      </c>
      <c r="U444">
        <v>190.332941492</v>
      </c>
      <c r="V444">
        <v>0</v>
      </c>
      <c r="W444">
        <v>0</v>
      </c>
      <c r="Y444" t="str">
        <f>$A444 &amp; Keys!$C$8 &amp; $B444</f>
        <v>Rhode Island|transportation PM25</v>
      </c>
      <c r="Z444" s="8">
        <f>IFERROR(INDEX($U444:$W444, MATCH(INDEX(Runs!$D:$D, MATCH($B444, Runs!$A:$A, 0)), $U$1:$W$1, 0)), 0)</f>
        <v>190.332941492</v>
      </c>
      <c r="AA444" s="8">
        <f t="shared" si="24"/>
        <v>2.8393747685695015E-2</v>
      </c>
      <c r="AB444" s="8">
        <f>IFERROR(VLOOKUP(INDEX(Runs!$F:$F, MATCH($B444, Runs!$A:$A, 0)), US_national_yearly!$D:$AM, MATCH(Keys!$C$7, US_national_yearly!$D$1:$AM$1, 0), FALSE), 0)</f>
        <v>2.8248683697579859E-2</v>
      </c>
      <c r="AC444" s="8">
        <f t="shared" si="25"/>
        <v>1.0051352477045712</v>
      </c>
      <c r="AD444">
        <f>IF($Z444&lt;Keys!$C$3, 1, 0)</f>
        <v>0</v>
      </c>
      <c r="AE444">
        <f>IF($AC444&gt;Keys!$C$4, 1, 0)</f>
        <v>0</v>
      </c>
      <c r="AF444">
        <f>IF($AC444&lt;Keys!$C$5, 1, 0)</f>
        <v>0</v>
      </c>
      <c r="AG444">
        <f t="shared" si="26"/>
        <v>0</v>
      </c>
      <c r="AH444" t="str">
        <f>IFERROR(INDEX(Runs!$E:$E, MATCH($B444, Runs!$A:$A, 0)), $B444)</f>
        <v>Industry PM25</v>
      </c>
      <c r="AI444" t="str">
        <f t="shared" si="27"/>
        <v>transportation PM25</v>
      </c>
      <c r="AJ444" t="str">
        <f>IF($AG444=1, IF($AD444=1, Keys!$C$9, "") &amp; IF($AE444=1, Keys!$C$10, "") &amp; IF($AF444=1, Keys!$C$11, ""), "")</f>
        <v/>
      </c>
      <c r="AK444">
        <f>IF($AG444=1, IFERROR(INDEX($AG$2:$AG$577, MATCH($A444 &amp; Keys!$C$8 &amp; $AH444, $Y$2:$Y$577, 0)), 1), 0)</f>
        <v>0</v>
      </c>
    </row>
    <row r="445" spans="1:37" x14ac:dyDescent="0.25">
      <c r="A445" t="s">
        <v>193</v>
      </c>
      <c r="B445" t="s">
        <v>243</v>
      </c>
      <c r="C445">
        <v>5</v>
      </c>
      <c r="D445">
        <v>0.15235500499999999</v>
      </c>
      <c r="E445">
        <v>2.3757246999999999E-4</v>
      </c>
      <c r="F445">
        <v>0.28905287699999999</v>
      </c>
      <c r="G445">
        <v>0.38925201700000001</v>
      </c>
      <c r="H445">
        <v>0.59470977400000002</v>
      </c>
      <c r="I445">
        <v>1.0952580999999999E-2</v>
      </c>
      <c r="J445">
        <v>6.7497661E-2</v>
      </c>
      <c r="K445">
        <v>41.794295323</v>
      </c>
      <c r="L445">
        <v>7.0438116439999998</v>
      </c>
      <c r="M445">
        <v>1.6363046999999999E-2</v>
      </c>
      <c r="N445">
        <v>1.2730146680000001</v>
      </c>
      <c r="O445">
        <v>3.1732476000000003E-2</v>
      </c>
      <c r="P445">
        <v>1.1995536999999999E-3</v>
      </c>
      <c r="Q445">
        <v>3.7759796999999999E-3</v>
      </c>
      <c r="R445">
        <v>6.5806673999999996E-2</v>
      </c>
      <c r="S445">
        <v>0.83648241500000009</v>
      </c>
      <c r="T445">
        <v>1.1893849750000001</v>
      </c>
      <c r="U445">
        <v>0</v>
      </c>
      <c r="V445">
        <v>56.776333502999996</v>
      </c>
      <c r="W445">
        <v>0</v>
      </c>
      <c r="Y445" t="str">
        <f>$A445 &amp; Keys!$C$8 &amp; $B445</f>
        <v>Rhode Island|transportation SO2</v>
      </c>
      <c r="Z445" s="8">
        <f>IFERROR(INDEX($U445:$W445, MATCH(INDEX(Runs!$D:$D, MATCH($B445, Runs!$A:$A, 0)), $U$1:$W$1, 0)), 0)</f>
        <v>56.776333502999996</v>
      </c>
      <c r="AA445" s="8">
        <f t="shared" si="24"/>
        <v>2.6834245115872042E-3</v>
      </c>
      <c r="AB445" s="8">
        <f>IFERROR(VLOOKUP(INDEX(Runs!$F:$F, MATCH($B445, Runs!$A:$A, 0)), US_national_yearly!$D:$AM, MATCH(Keys!$C$7, US_national_yearly!$D$1:$AM$1, 0), FALSE), 0)</f>
        <v>5.1800714166247604E-3</v>
      </c>
      <c r="AC445" s="8">
        <f t="shared" si="25"/>
        <v>0.51802847794242857</v>
      </c>
      <c r="AD445">
        <f>IF($Z445&lt;Keys!$C$3, 1, 0)</f>
        <v>0</v>
      </c>
      <c r="AE445">
        <f>IF($AC445&gt;Keys!$C$4, 1, 0)</f>
        <v>0</v>
      </c>
      <c r="AF445">
        <f>IF($AC445&lt;Keys!$C$5, 1, 0)</f>
        <v>0</v>
      </c>
      <c r="AG445">
        <f t="shared" si="26"/>
        <v>0</v>
      </c>
      <c r="AH445" t="str">
        <f>IFERROR(INDEX(Runs!$E:$E, MATCH($B445, Runs!$A:$A, 0)), $B445)</f>
        <v>Industry SO2</v>
      </c>
      <c r="AI445" t="str">
        <f t="shared" si="27"/>
        <v>transportation SO2</v>
      </c>
      <c r="AJ445" t="str">
        <f>IF($AG445=1, IF($AD445=1, Keys!$C$9, "") &amp; IF($AE445=1, Keys!$C$10, "") &amp; IF($AF445=1, Keys!$C$11, ""), "")</f>
        <v/>
      </c>
      <c r="AK445">
        <f>IF($AG445=1, IFERROR(INDEX($AG$2:$AG$577, MATCH($A445 &amp; Keys!$C$8 &amp; $AH445, $Y$2:$Y$577, 0)), 1), 0)</f>
        <v>0</v>
      </c>
    </row>
    <row r="446" spans="1:37" x14ac:dyDescent="0.25">
      <c r="A446" t="s">
        <v>196</v>
      </c>
      <c r="B446" t="s">
        <v>242</v>
      </c>
      <c r="C446">
        <v>46</v>
      </c>
      <c r="D446">
        <v>11.255088390999999</v>
      </c>
      <c r="E446">
        <v>2.8258615500000001E-2</v>
      </c>
      <c r="F446">
        <v>25.312773146000001</v>
      </c>
      <c r="G446">
        <v>34.087092880999997</v>
      </c>
      <c r="H446">
        <v>52.080118284000001</v>
      </c>
      <c r="I446">
        <v>0.81583875500000014</v>
      </c>
      <c r="J446">
        <v>4.4743517199999996</v>
      </c>
      <c r="K446">
        <v>3173.238970764</v>
      </c>
      <c r="L446">
        <v>535.47371745300006</v>
      </c>
      <c r="M446">
        <v>1.245531983</v>
      </c>
      <c r="N446">
        <v>111.479984311</v>
      </c>
      <c r="O446">
        <v>2.5802565849999999</v>
      </c>
      <c r="P446">
        <v>8.2802529300000011E-2</v>
      </c>
      <c r="Q446">
        <v>0.32687560300000001</v>
      </c>
      <c r="R446">
        <v>5.8794491670000024</v>
      </c>
      <c r="S446">
        <v>74.725821619000001</v>
      </c>
      <c r="T446">
        <v>106.241666018</v>
      </c>
      <c r="U446">
        <v>0</v>
      </c>
      <c r="V446">
        <v>0</v>
      </c>
      <c r="W446">
        <v>23731.937309465</v>
      </c>
      <c r="Y446" t="str">
        <f>$A446 &amp; Keys!$C$8 &amp; $B446</f>
        <v>South Carolina|Industry NO2</v>
      </c>
      <c r="Z446" s="8">
        <f>IFERROR(INDEX($U446:$W446, MATCH(INDEX(Runs!$D:$D, MATCH($B446, Runs!$A:$A, 0)), $U$1:$W$1, 0)), 0)</f>
        <v>23731.937309465</v>
      </c>
      <c r="AA446" s="8">
        <f t="shared" si="24"/>
        <v>4.7425914893644763E-4</v>
      </c>
      <c r="AB446" s="8">
        <f>IFERROR(VLOOKUP(INDEX(Runs!$F:$F, MATCH($B446, Runs!$A:$A, 0)), US_national_yearly!$D:$AM, MATCH(Keys!$C$7, US_national_yearly!$D$1:$AM$1, 0), FALSE), 0)</f>
        <v>5.8012217057786938E-3</v>
      </c>
      <c r="AC446" s="8">
        <f t="shared" si="25"/>
        <v>8.1751598713083171E-2</v>
      </c>
      <c r="AD446">
        <f>IF($Z446&lt;Keys!$C$3, 1, 0)</f>
        <v>0</v>
      </c>
      <c r="AE446">
        <f>IF($AC446&gt;Keys!$C$4, 1, 0)</f>
        <v>0</v>
      </c>
      <c r="AF446">
        <f>IF($AC446&lt;Keys!$C$5, 1, 0)</f>
        <v>0</v>
      </c>
      <c r="AG446">
        <f t="shared" si="26"/>
        <v>0</v>
      </c>
      <c r="AH446" t="str">
        <f>IFERROR(INDEX(Runs!$E:$E, MATCH($B446, Runs!$A:$A, 0)), $B446)</f>
        <v>Industry NO2</v>
      </c>
      <c r="AI446" t="str">
        <f t="shared" si="27"/>
        <v>Industry NO2</v>
      </c>
      <c r="AJ446" t="str">
        <f>IF($AG446=1, IF($AD446=1, Keys!$C$9, "") &amp; IF($AE446=1, Keys!$C$10, "") &amp; IF($AF446=1, Keys!$C$11, ""), "")</f>
        <v/>
      </c>
      <c r="AK446">
        <f>IF($AG446=1, IFERROR(INDEX($AG$2:$AG$577, MATCH($A446 &amp; Keys!$C$8 &amp; $AH446, $Y$2:$Y$577, 0)), 1), 0)</f>
        <v>0</v>
      </c>
    </row>
    <row r="447" spans="1:37" x14ac:dyDescent="0.25">
      <c r="A447" t="s">
        <v>196</v>
      </c>
      <c r="B447" t="s">
        <v>238</v>
      </c>
      <c r="C447">
        <v>46</v>
      </c>
      <c r="D447">
        <v>184.07343909800011</v>
      </c>
      <c r="E447">
        <v>0.41719109100000012</v>
      </c>
      <c r="F447">
        <v>403.2994857650001</v>
      </c>
      <c r="G447">
        <v>543.05167664299995</v>
      </c>
      <c r="H447">
        <v>829.86763184100005</v>
      </c>
      <c r="I447">
        <v>12.048721571</v>
      </c>
      <c r="J447">
        <v>76.376524707000016</v>
      </c>
      <c r="K447">
        <v>50256.627023090012</v>
      </c>
      <c r="L447">
        <v>8489.3954320850007</v>
      </c>
      <c r="M447">
        <v>20.764812416000009</v>
      </c>
      <c r="N447">
        <v>1776.218794249</v>
      </c>
      <c r="O447">
        <v>42.751934259999999</v>
      </c>
      <c r="P447">
        <v>1.499657585</v>
      </c>
      <c r="Q447">
        <v>4.8819756279999993</v>
      </c>
      <c r="R447">
        <v>93.176729593999994</v>
      </c>
      <c r="S447">
        <v>1185.534569511</v>
      </c>
      <c r="T447">
        <v>1690.6332471559999</v>
      </c>
      <c r="U447">
        <v>10469.43833105</v>
      </c>
      <c r="V447">
        <v>0</v>
      </c>
      <c r="W447">
        <v>0</v>
      </c>
      <c r="Y447" t="str">
        <f>$A447 &amp; Keys!$C$8 &amp; $B447</f>
        <v>South Carolina|Industry PM25</v>
      </c>
      <c r="Z447" s="8">
        <f>IFERROR(INDEX($U447:$W447, MATCH(INDEX(Runs!$D:$D, MATCH($B447, Runs!$A:$A, 0)), $U$1:$W$1, 0)), 0)</f>
        <v>10469.43833105</v>
      </c>
      <c r="AA447" s="8">
        <f t="shared" si="24"/>
        <v>1.7581978447886712E-2</v>
      </c>
      <c r="AB447" s="8">
        <f>IFERROR(VLOOKUP(INDEX(Runs!$F:$F, MATCH($B447, Runs!$A:$A, 0)), US_national_yearly!$D:$AM, MATCH(Keys!$C$7, US_national_yearly!$D$1:$AM$1, 0), FALSE), 0)</f>
        <v>2.6833191881203179E-2</v>
      </c>
      <c r="AC447" s="8">
        <f t="shared" si="25"/>
        <v>0.65523246454340001</v>
      </c>
      <c r="AD447">
        <f>IF($Z447&lt;Keys!$C$3, 1, 0)</f>
        <v>0</v>
      </c>
      <c r="AE447">
        <f>IF($AC447&gt;Keys!$C$4, 1, 0)</f>
        <v>0</v>
      </c>
      <c r="AF447">
        <f>IF($AC447&lt;Keys!$C$5, 1, 0)</f>
        <v>0</v>
      </c>
      <c r="AG447">
        <f t="shared" si="26"/>
        <v>0</v>
      </c>
      <c r="AH447" t="str">
        <f>IFERROR(INDEX(Runs!$E:$E, MATCH($B447, Runs!$A:$A, 0)), $B447)</f>
        <v>Industry PM25</v>
      </c>
      <c r="AI447" t="str">
        <f t="shared" si="27"/>
        <v>Industry PM25</v>
      </c>
      <c r="AJ447" t="str">
        <f>IF($AG447=1, IF($AD447=1, Keys!$C$9, "") &amp; IF($AE447=1, Keys!$C$10, "") &amp; IF($AF447=1, Keys!$C$11, ""), "")</f>
        <v/>
      </c>
      <c r="AK447">
        <f>IF($AG447=1, IFERROR(INDEX($AG$2:$AG$577, MATCH($A447 &amp; Keys!$C$8 &amp; $AH447, $Y$2:$Y$577, 0)), 1), 0)</f>
        <v>0</v>
      </c>
    </row>
    <row r="448" spans="1:37" x14ac:dyDescent="0.25">
      <c r="A448" t="s">
        <v>196</v>
      </c>
      <c r="B448" t="s">
        <v>246</v>
      </c>
      <c r="C448">
        <v>46</v>
      </c>
      <c r="D448">
        <v>10.970732969</v>
      </c>
      <c r="E448">
        <v>2.5520706600000002E-2</v>
      </c>
      <c r="F448">
        <v>23.41064848400001</v>
      </c>
      <c r="G448">
        <v>31.525720225000001</v>
      </c>
      <c r="H448">
        <v>48.166367657000009</v>
      </c>
      <c r="I448">
        <v>0.70874077300000005</v>
      </c>
      <c r="J448">
        <v>4.320309602</v>
      </c>
      <c r="K448">
        <v>2924.8925262839998</v>
      </c>
      <c r="L448">
        <v>493.44590142199991</v>
      </c>
      <c r="M448">
        <v>1.171014113</v>
      </c>
      <c r="N448">
        <v>103.102736366</v>
      </c>
      <c r="O448">
        <v>2.4158683810000001</v>
      </c>
      <c r="P448">
        <v>8.32509211E-2</v>
      </c>
      <c r="Q448">
        <v>0.27562020300000001</v>
      </c>
      <c r="R448">
        <v>5.4454580860000004</v>
      </c>
      <c r="S448">
        <v>69.217598055999986</v>
      </c>
      <c r="T448">
        <v>98.424329336999989</v>
      </c>
      <c r="U448">
        <v>0</v>
      </c>
      <c r="V448">
        <v>6299.7499922180014</v>
      </c>
      <c r="W448">
        <v>0</v>
      </c>
      <c r="Y448" t="str">
        <f>$A448 &amp; Keys!$C$8 &amp; $B448</f>
        <v>South Carolina|Industry SO2</v>
      </c>
      <c r="Z448" s="8">
        <f>IFERROR(INDEX($U448:$W448, MATCH(INDEX(Runs!$D:$D, MATCH($B448, Runs!$A:$A, 0)), $U$1:$W$1, 0)), 0)</f>
        <v>6299.7499922180014</v>
      </c>
      <c r="AA448" s="8">
        <f t="shared" si="24"/>
        <v>1.74145529307544E-3</v>
      </c>
      <c r="AB448" s="8">
        <f>IFERROR(VLOOKUP(INDEX(Runs!$F:$F, MATCH($B448, Runs!$A:$A, 0)), US_national_yearly!$D:$AM, MATCH(Keys!$C$7, US_national_yearly!$D$1:$AM$1, 0), FALSE), 0)</f>
        <v>5.3000351638639942E-3</v>
      </c>
      <c r="AC448" s="8">
        <f t="shared" si="25"/>
        <v>0.32857429040260006</v>
      </c>
      <c r="AD448">
        <f>IF($Z448&lt;Keys!$C$3, 1, 0)</f>
        <v>0</v>
      </c>
      <c r="AE448">
        <f>IF($AC448&gt;Keys!$C$4, 1, 0)</f>
        <v>0</v>
      </c>
      <c r="AF448">
        <f>IF($AC448&lt;Keys!$C$5, 1, 0)</f>
        <v>0</v>
      </c>
      <c r="AG448">
        <f t="shared" si="26"/>
        <v>0</v>
      </c>
      <c r="AH448" t="str">
        <f>IFERROR(INDEX(Runs!$E:$E, MATCH($B448, Runs!$A:$A, 0)), $B448)</f>
        <v>Industry SO2</v>
      </c>
      <c r="AI448" t="str">
        <f t="shared" si="27"/>
        <v>Industry SO2</v>
      </c>
      <c r="AJ448" t="str">
        <f>IF($AG448=1, IF($AD448=1, Keys!$C$9, "") &amp; IF($AE448=1, Keys!$C$10, "") &amp; IF($AF448=1, Keys!$C$11, ""), "")</f>
        <v/>
      </c>
      <c r="AK448">
        <f>IF($AG448=1, IFERROR(INDEX($AG$2:$AG$577, MATCH($A448 &amp; Keys!$C$8 &amp; $AH448, $Y$2:$Y$577, 0)), 1), 0)</f>
        <v>0</v>
      </c>
    </row>
    <row r="449" spans="1:37" x14ac:dyDescent="0.25">
      <c r="A449" t="s">
        <v>196</v>
      </c>
      <c r="B449" t="s">
        <v>253</v>
      </c>
      <c r="C449">
        <v>46</v>
      </c>
      <c r="D449">
        <v>2.5107186370000001</v>
      </c>
      <c r="E449">
        <v>5.764535710000001E-3</v>
      </c>
      <c r="F449">
        <v>5.5277416580000001</v>
      </c>
      <c r="G449">
        <v>7.4439065409999996</v>
      </c>
      <c r="H449">
        <v>11.373026575000001</v>
      </c>
      <c r="I449">
        <v>0.16836759430000001</v>
      </c>
      <c r="J449">
        <v>1.0509518120000001</v>
      </c>
      <c r="K449">
        <v>691.82515128200021</v>
      </c>
      <c r="L449">
        <v>116.841755255</v>
      </c>
      <c r="M449">
        <v>0.28591453100000003</v>
      </c>
      <c r="N449">
        <v>24.344674774000001</v>
      </c>
      <c r="O449">
        <v>0.59109929999999999</v>
      </c>
      <c r="P449">
        <v>2.0376432829999999E-2</v>
      </c>
      <c r="Q449">
        <v>6.8842319799999996E-2</v>
      </c>
      <c r="R449">
        <v>1.2806656350000001</v>
      </c>
      <c r="S449">
        <v>16.276871445000001</v>
      </c>
      <c r="T449">
        <v>23.13958542899999</v>
      </c>
      <c r="U449">
        <v>0</v>
      </c>
      <c r="V449">
        <v>0</v>
      </c>
      <c r="W449">
        <v>2929.5285670049998</v>
      </c>
      <c r="Y449" t="str">
        <f>$A449 &amp; Keys!$C$8 &amp; $B449</f>
        <v>South Carolina|buildings NO2</v>
      </c>
      <c r="Z449" s="8">
        <f>IFERROR(INDEX($U449:$W449, MATCH(INDEX(Runs!$D:$D, MATCH($B449, Runs!$A:$A, 0)), $U$1:$W$1, 0)), 0)</f>
        <v>2929.5285670049998</v>
      </c>
      <c r="AA449" s="8">
        <f t="shared" si="24"/>
        <v>8.5703845501900345E-4</v>
      </c>
      <c r="AB449" s="8">
        <f>IFERROR(VLOOKUP(INDEX(Runs!$F:$F, MATCH($B449, Runs!$A:$A, 0)), US_national_yearly!$D:$AM, MATCH(Keys!$C$7, US_national_yearly!$D$1:$AM$1, 0), FALSE), 0)</f>
        <v>5.6784740124662739E-3</v>
      </c>
      <c r="AC449" s="8">
        <f t="shared" si="25"/>
        <v>0.15092760011536527</v>
      </c>
      <c r="AD449">
        <f>IF($Z449&lt;Keys!$C$3, 1, 0)</f>
        <v>0</v>
      </c>
      <c r="AE449">
        <f>IF($AC449&gt;Keys!$C$4, 1, 0)</f>
        <v>0</v>
      </c>
      <c r="AF449">
        <f>IF($AC449&lt;Keys!$C$5, 1, 0)</f>
        <v>0</v>
      </c>
      <c r="AG449">
        <f t="shared" si="26"/>
        <v>0</v>
      </c>
      <c r="AH449" t="str">
        <f>IFERROR(INDEX(Runs!$E:$E, MATCH($B449, Runs!$A:$A, 0)), $B449)</f>
        <v>Industry NO2</v>
      </c>
      <c r="AI449" t="str">
        <f t="shared" si="27"/>
        <v>buildings NO2</v>
      </c>
      <c r="AJ449" t="str">
        <f>IF($AG449=1, IF($AD449=1, Keys!$C$9, "") &amp; IF($AE449=1, Keys!$C$10, "") &amp; IF($AF449=1, Keys!$C$11, ""), "")</f>
        <v/>
      </c>
      <c r="AK449">
        <f>IF($AG449=1, IFERROR(INDEX($AG$2:$AG$577, MATCH($A449 &amp; Keys!$C$8 &amp; $AH449, $Y$2:$Y$577, 0)), 1), 0)</f>
        <v>0</v>
      </c>
    </row>
    <row r="450" spans="1:37" x14ac:dyDescent="0.25">
      <c r="A450" t="s">
        <v>196</v>
      </c>
      <c r="B450" t="s">
        <v>251</v>
      </c>
      <c r="C450">
        <v>46</v>
      </c>
      <c r="D450">
        <v>0.31531715299999991</v>
      </c>
      <c r="E450">
        <v>7.2188327799999996E-4</v>
      </c>
      <c r="F450">
        <v>0.71419299200000008</v>
      </c>
      <c r="G450">
        <v>0.9617655679999999</v>
      </c>
      <c r="H450">
        <v>1.4694109580000001</v>
      </c>
      <c r="I450">
        <v>2.0775042689999999E-2</v>
      </c>
      <c r="J450">
        <v>0.13637325319999999</v>
      </c>
      <c r="K450">
        <v>89.224894360000022</v>
      </c>
      <c r="L450">
        <v>15.082766640999999</v>
      </c>
      <c r="M450">
        <v>3.7563421829999992E-2</v>
      </c>
      <c r="N450">
        <v>3.1453695179999999</v>
      </c>
      <c r="O450">
        <v>8.0567526600000022E-2</v>
      </c>
      <c r="P450">
        <v>2.8962861189999992E-3</v>
      </c>
      <c r="Q450">
        <v>8.8064952899999972E-3</v>
      </c>
      <c r="R450">
        <v>0.16431468530000001</v>
      </c>
      <c r="S450">
        <v>2.0885450090000002</v>
      </c>
      <c r="T450">
        <v>2.9694494800000002</v>
      </c>
      <c r="U450">
        <v>16.872189588000001</v>
      </c>
      <c r="V450">
        <v>0</v>
      </c>
      <c r="W450">
        <v>0</v>
      </c>
      <c r="Y450" t="str">
        <f>$A450 &amp; Keys!$C$8 &amp; $B450</f>
        <v>South Carolina|buildings PM25</v>
      </c>
      <c r="Z450" s="8">
        <f>IFERROR(INDEX($U450:$W450, MATCH(INDEX(Runs!$D:$D, MATCH($B450, Runs!$A:$A, 0)), $U$1:$W$1, 0)), 0)</f>
        <v>16.872189588000001</v>
      </c>
      <c r="AA450" s="8">
        <f t="shared" ref="AA450:AA513" si="28">IFERROR($D450/$Z450, 0)</f>
        <v>1.8688573368347092E-2</v>
      </c>
      <c r="AB450" s="8">
        <f>IFERROR(VLOOKUP(INDEX(Runs!$F:$F, MATCH($B450, Runs!$A:$A, 0)), US_national_yearly!$D:$AM, MATCH(Keys!$C$7, US_national_yearly!$D$1:$AM$1, 0), FALSE), 0)</f>
        <v>2.7627705191843259E-2</v>
      </c>
      <c r="AC450" s="8">
        <f t="shared" ref="AC450:AC513" si="29">IFERROR($AA450/$AB450, 0)</f>
        <v>0.67644320216159914</v>
      </c>
      <c r="AD450">
        <f>IF($Z450&lt;Keys!$C$3, 1, 0)</f>
        <v>0</v>
      </c>
      <c r="AE450">
        <f>IF($AC450&gt;Keys!$C$4, 1, 0)</f>
        <v>0</v>
      </c>
      <c r="AF450">
        <f>IF($AC450&lt;Keys!$C$5, 1, 0)</f>
        <v>0</v>
      </c>
      <c r="AG450">
        <f t="shared" ref="AG450:AG513" si="30">IF($AD450+$AE450+$AF450&gt;0, 1, 0)</f>
        <v>0</v>
      </c>
      <c r="AH450" t="str">
        <f>IFERROR(INDEX(Runs!$E:$E, MATCH($B450, Runs!$A:$A, 0)), $B450)</f>
        <v>Industry PM25</v>
      </c>
      <c r="AI450" t="str">
        <f t="shared" ref="AI450:AI513" si="31">IF($AG450=1, $AH450, $B450)</f>
        <v>buildings PM25</v>
      </c>
      <c r="AJ450" t="str">
        <f>IF($AG450=1, IF($AD450=1, Keys!$C$9, "") &amp; IF($AE450=1, Keys!$C$10, "") &amp; IF($AF450=1, Keys!$C$11, ""), "")</f>
        <v/>
      </c>
      <c r="AK450">
        <f>IF($AG450=1, IFERROR(INDEX($AG$2:$AG$577, MATCH($A450 &amp; Keys!$C$8 &amp; $AH450, $Y$2:$Y$577, 0)), 1), 0)</f>
        <v>0</v>
      </c>
    </row>
    <row r="451" spans="1:37" x14ac:dyDescent="0.25">
      <c r="A451" t="s">
        <v>196</v>
      </c>
      <c r="B451" t="s">
        <v>254</v>
      </c>
      <c r="C451">
        <v>46</v>
      </c>
      <c r="D451">
        <v>0.164957665</v>
      </c>
      <c r="E451">
        <v>3.650242270000001E-4</v>
      </c>
      <c r="F451">
        <v>0.35905763200000013</v>
      </c>
      <c r="G451">
        <v>0.48352379499999992</v>
      </c>
      <c r="H451">
        <v>0.73874030800000001</v>
      </c>
      <c r="I451">
        <v>1.0951492990000001E-2</v>
      </c>
      <c r="J451">
        <v>6.9359172199999999E-2</v>
      </c>
      <c r="K451">
        <v>44.337112369000003</v>
      </c>
      <c r="L451">
        <v>7.479603945</v>
      </c>
      <c r="M451">
        <v>1.8754887250000001E-2</v>
      </c>
      <c r="N451">
        <v>1.581321735</v>
      </c>
      <c r="O451">
        <v>3.7956044600000002E-2</v>
      </c>
      <c r="P451">
        <v>1.3689052069999999E-3</v>
      </c>
      <c r="Q451">
        <v>4.54528057E-3</v>
      </c>
      <c r="R451">
        <v>8.3196005200000006E-2</v>
      </c>
      <c r="S451">
        <v>1.057592018</v>
      </c>
      <c r="T451">
        <v>1.503939637</v>
      </c>
      <c r="U451">
        <v>0</v>
      </c>
      <c r="V451">
        <v>51.154766791000007</v>
      </c>
      <c r="W451">
        <v>0</v>
      </c>
      <c r="Y451" t="str">
        <f>$A451 &amp; Keys!$C$8 &amp; $B451</f>
        <v>South Carolina|buildings SO2</v>
      </c>
      <c r="Z451" s="8">
        <f>IFERROR(INDEX($U451:$W451, MATCH(INDEX(Runs!$D:$D, MATCH($B451, Runs!$A:$A, 0)), $U$1:$W$1, 0)), 0)</f>
        <v>51.154766791000007</v>
      </c>
      <c r="AA451" s="8">
        <f t="shared" si="28"/>
        <v>3.2246782723877473E-3</v>
      </c>
      <c r="AB451" s="8">
        <f>IFERROR(VLOOKUP(INDEX(Runs!$F:$F, MATCH($B451, Runs!$A:$A, 0)), US_national_yearly!$D:$AM, MATCH(Keys!$C$7, US_national_yearly!$D$1:$AM$1, 0), FALSE), 0)</f>
        <v>5.1581943281164694E-3</v>
      </c>
      <c r="AC451" s="8">
        <f t="shared" si="29"/>
        <v>0.62515641467995031</v>
      </c>
      <c r="AD451">
        <f>IF($Z451&lt;Keys!$C$3, 1, 0)</f>
        <v>0</v>
      </c>
      <c r="AE451">
        <f>IF($AC451&gt;Keys!$C$4, 1, 0)</f>
        <v>0</v>
      </c>
      <c r="AF451">
        <f>IF($AC451&lt;Keys!$C$5, 1, 0)</f>
        <v>0</v>
      </c>
      <c r="AG451">
        <f t="shared" si="30"/>
        <v>0</v>
      </c>
      <c r="AH451" t="str">
        <f>IFERROR(INDEX(Runs!$E:$E, MATCH($B451, Runs!$A:$A, 0)), $B451)</f>
        <v>Industry SO2</v>
      </c>
      <c r="AI451" t="str">
        <f t="shared" si="31"/>
        <v>buildings SO2</v>
      </c>
      <c r="AJ451" t="str">
        <f>IF($AG451=1, IF($AD451=1, Keys!$C$9, "") &amp; IF($AE451=1, Keys!$C$10, "") &amp; IF($AF451=1, Keys!$C$11, ""), "")</f>
        <v/>
      </c>
      <c r="AK451">
        <f>IF($AG451=1, IFERROR(INDEX($AG$2:$AG$577, MATCH($A451 &amp; Keys!$C$8 &amp; $AH451, $Y$2:$Y$577, 0)), 1), 0)</f>
        <v>0</v>
      </c>
    </row>
    <row r="452" spans="1:37" x14ac:dyDescent="0.25">
      <c r="A452" t="s">
        <v>196</v>
      </c>
      <c r="B452" t="s">
        <v>249</v>
      </c>
      <c r="C452">
        <v>46</v>
      </c>
      <c r="D452">
        <v>4.8615019380000009</v>
      </c>
      <c r="E452">
        <v>1.261890297E-2</v>
      </c>
      <c r="F452">
        <v>10.879055144000001</v>
      </c>
      <c r="G452">
        <v>14.650189487</v>
      </c>
      <c r="H452">
        <v>22.383138173999999</v>
      </c>
      <c r="I452">
        <v>0.29405269599999989</v>
      </c>
      <c r="J452">
        <v>1.880255966</v>
      </c>
      <c r="K452">
        <v>1380.0166496740001</v>
      </c>
      <c r="L452">
        <v>233.53084793400001</v>
      </c>
      <c r="M452">
        <v>0.52050539200000012</v>
      </c>
      <c r="N452">
        <v>47.912382804999993</v>
      </c>
      <c r="O452">
        <v>1.1358175239999999</v>
      </c>
      <c r="P452">
        <v>3.6723310699999998E-2</v>
      </c>
      <c r="Q452">
        <v>0.1060933718</v>
      </c>
      <c r="R452">
        <v>2.5360844020000002</v>
      </c>
      <c r="S452">
        <v>32.225853504999989</v>
      </c>
      <c r="T452">
        <v>45.798009055000001</v>
      </c>
      <c r="U452">
        <v>0</v>
      </c>
      <c r="V452">
        <v>0</v>
      </c>
      <c r="W452">
        <v>12878.9886813095</v>
      </c>
      <c r="Y452" t="str">
        <f>$A452 &amp; Keys!$C$8 &amp; $B452</f>
        <v>South Carolina|electricity NO2</v>
      </c>
      <c r="Z452" s="8">
        <f>IFERROR(INDEX($U452:$W452, MATCH(INDEX(Runs!$D:$D, MATCH($B452, Runs!$A:$A, 0)), $U$1:$W$1, 0)), 0)</f>
        <v>12878.9886813095</v>
      </c>
      <c r="AA452" s="8">
        <f t="shared" si="28"/>
        <v>3.7747544145723226E-4</v>
      </c>
      <c r="AB452" s="8">
        <f>IFERROR(VLOOKUP(INDEX(Runs!$F:$F, MATCH($B452, Runs!$A:$A, 0)), US_national_yearly!$D:$AM, MATCH(Keys!$C$7, US_national_yearly!$D$1:$AM$1, 0), FALSE), 0)</f>
        <v>6.1439221592658041E-3</v>
      </c>
      <c r="AC452" s="8">
        <f t="shared" si="29"/>
        <v>6.1438838525639847E-2</v>
      </c>
      <c r="AD452">
        <f>IF($Z452&lt;Keys!$C$3, 1, 0)</f>
        <v>0</v>
      </c>
      <c r="AE452">
        <f>IF($AC452&gt;Keys!$C$4, 1, 0)</f>
        <v>0</v>
      </c>
      <c r="AF452">
        <f>IF($AC452&lt;Keys!$C$5, 1, 0)</f>
        <v>0</v>
      </c>
      <c r="AG452">
        <f t="shared" si="30"/>
        <v>0</v>
      </c>
      <c r="AH452" t="str">
        <f>IFERROR(INDEX(Runs!$E:$E, MATCH($B452, Runs!$A:$A, 0)), $B452)</f>
        <v>Industry NO2</v>
      </c>
      <c r="AI452" t="str">
        <f t="shared" si="31"/>
        <v>electricity NO2</v>
      </c>
      <c r="AJ452" t="str">
        <f>IF($AG452=1, IF($AD452=1, Keys!$C$9, "") &amp; IF($AE452=1, Keys!$C$10, "") &amp; IF($AF452=1, Keys!$C$11, ""), "")</f>
        <v/>
      </c>
      <c r="AK452">
        <f>IF($AG452=1, IFERROR(INDEX($AG$2:$AG$577, MATCH($A452 &amp; Keys!$C$8 &amp; $AH452, $Y$2:$Y$577, 0)), 1), 0)</f>
        <v>0</v>
      </c>
    </row>
    <row r="453" spans="1:37" x14ac:dyDescent="0.25">
      <c r="A453" t="s">
        <v>196</v>
      </c>
      <c r="B453" t="s">
        <v>247</v>
      </c>
      <c r="C453">
        <v>46</v>
      </c>
      <c r="D453">
        <v>7.787615569999998</v>
      </c>
      <c r="E453">
        <v>1.8789598899999999E-2</v>
      </c>
      <c r="F453">
        <v>16.478997161999999</v>
      </c>
      <c r="G453">
        <v>22.191269565999999</v>
      </c>
      <c r="H453">
        <v>33.904824625000003</v>
      </c>
      <c r="I453">
        <v>0.42895102899999982</v>
      </c>
      <c r="J453">
        <v>2.7473807069999991</v>
      </c>
      <c r="K453">
        <v>2054.7699231759998</v>
      </c>
      <c r="L453">
        <v>346.70021782200001</v>
      </c>
      <c r="M453">
        <v>0.74588917300000002</v>
      </c>
      <c r="N453">
        <v>72.575091353000005</v>
      </c>
      <c r="O453">
        <v>1.591695122</v>
      </c>
      <c r="P453">
        <v>5.2544801000000002E-2</v>
      </c>
      <c r="Q453">
        <v>0.16059972699999989</v>
      </c>
      <c r="R453">
        <v>3.8409340119999991</v>
      </c>
      <c r="S453">
        <v>48.811968031999989</v>
      </c>
      <c r="T453">
        <v>69.384103208999989</v>
      </c>
      <c r="U453">
        <v>1159.163888801</v>
      </c>
      <c r="V453">
        <v>0</v>
      </c>
      <c r="W453">
        <v>0</v>
      </c>
      <c r="Y453" t="str">
        <f>$A453 &amp; Keys!$C$8 &amp; $B453</f>
        <v>South Carolina|electricity PM25</v>
      </c>
      <c r="Z453" s="8">
        <f>IFERROR(INDEX($U453:$W453, MATCH(INDEX(Runs!$D:$D, MATCH($B453, Runs!$A:$A, 0)), $U$1:$W$1, 0)), 0)</f>
        <v>1159.163888801</v>
      </c>
      <c r="AA453" s="8">
        <f t="shared" si="28"/>
        <v>6.7183041546051304E-3</v>
      </c>
      <c r="AB453" s="8">
        <f>IFERROR(VLOOKUP(INDEX(Runs!$F:$F, MATCH($B453, Runs!$A:$A, 0)), US_national_yearly!$D:$AM, MATCH(Keys!$C$7, US_national_yearly!$D$1:$AM$1, 0), FALSE), 0)</f>
        <v>2.4252978284752182E-2</v>
      </c>
      <c r="AC453" s="8">
        <f t="shared" si="29"/>
        <v>0.27700944913758985</v>
      </c>
      <c r="AD453">
        <f>IF($Z453&lt;Keys!$C$3, 1, 0)</f>
        <v>0</v>
      </c>
      <c r="AE453">
        <f>IF($AC453&gt;Keys!$C$4, 1, 0)</f>
        <v>0</v>
      </c>
      <c r="AF453">
        <f>IF($AC453&lt;Keys!$C$5, 1, 0)</f>
        <v>0</v>
      </c>
      <c r="AG453">
        <f t="shared" si="30"/>
        <v>0</v>
      </c>
      <c r="AH453" t="str">
        <f>IFERROR(INDEX(Runs!$E:$E, MATCH($B453, Runs!$A:$A, 0)), $B453)</f>
        <v>Industry PM25</v>
      </c>
      <c r="AI453" t="str">
        <f t="shared" si="31"/>
        <v>electricity PM25</v>
      </c>
      <c r="AJ453" t="str">
        <f>IF($AG453=1, IF($AD453=1, Keys!$C$9, "") &amp; IF($AE453=1, Keys!$C$10, "") &amp; IF($AF453=1, Keys!$C$11, ""), "")</f>
        <v/>
      </c>
      <c r="AK453">
        <f>IF($AG453=1, IFERROR(INDEX($AG$2:$AG$577, MATCH($A453 &amp; Keys!$C$8 &amp; $AH453, $Y$2:$Y$577, 0)), 1), 0)</f>
        <v>0</v>
      </c>
    </row>
    <row r="454" spans="1:37" x14ac:dyDescent="0.25">
      <c r="A454" t="s">
        <v>196</v>
      </c>
      <c r="B454" t="s">
        <v>250</v>
      </c>
      <c r="C454">
        <v>46</v>
      </c>
      <c r="D454">
        <v>3.1369209829999991</v>
      </c>
      <c r="E454">
        <v>7.9160624499999971E-3</v>
      </c>
      <c r="F454">
        <v>6.8744223259999986</v>
      </c>
      <c r="G454">
        <v>9.257402481999998</v>
      </c>
      <c r="H454">
        <v>14.143758824000001</v>
      </c>
      <c r="I454">
        <v>0.18439102099999991</v>
      </c>
      <c r="J454">
        <v>1.201336752</v>
      </c>
      <c r="K454">
        <v>869.56870989700019</v>
      </c>
      <c r="L454">
        <v>147.02602937699999</v>
      </c>
      <c r="M454">
        <v>0.32524514100000002</v>
      </c>
      <c r="N454">
        <v>30.275583631999989</v>
      </c>
      <c r="O454">
        <v>0.71830104900000002</v>
      </c>
      <c r="P454">
        <v>2.3294427999999999E-2</v>
      </c>
      <c r="Q454">
        <v>6.7848440900000015E-2</v>
      </c>
      <c r="R454">
        <v>1.597043604</v>
      </c>
      <c r="S454">
        <v>20.294740570999998</v>
      </c>
      <c r="T454">
        <v>28.844085508999999</v>
      </c>
      <c r="U454">
        <v>0</v>
      </c>
      <c r="V454">
        <v>6115.0011268860699</v>
      </c>
      <c r="W454">
        <v>0</v>
      </c>
      <c r="Y454" t="str">
        <f>$A454 &amp; Keys!$C$8 &amp; $B454</f>
        <v>South Carolina|electricity SO2</v>
      </c>
      <c r="Z454" s="8">
        <f>IFERROR(INDEX($U454:$W454, MATCH(INDEX(Runs!$D:$D, MATCH($B454, Runs!$A:$A, 0)), $U$1:$W$1, 0)), 0)</f>
        <v>6115.0011268860699</v>
      </c>
      <c r="AA454" s="8">
        <f t="shared" si="28"/>
        <v>5.1298780129537067E-4</v>
      </c>
      <c r="AB454" s="8">
        <f>IFERROR(VLOOKUP(INDEX(Runs!$F:$F, MATCH($B454, Runs!$A:$A, 0)), US_national_yearly!$D:$AM, MATCH(Keys!$C$7, US_national_yearly!$D$1:$AM$1, 0), FALSE), 0)</f>
        <v>5.7032329662362116E-3</v>
      </c>
      <c r="AC454" s="8">
        <f t="shared" si="29"/>
        <v>8.9946843190926412E-2</v>
      </c>
      <c r="AD454">
        <f>IF($Z454&lt;Keys!$C$3, 1, 0)</f>
        <v>0</v>
      </c>
      <c r="AE454">
        <f>IF($AC454&gt;Keys!$C$4, 1, 0)</f>
        <v>0</v>
      </c>
      <c r="AF454">
        <f>IF($AC454&lt;Keys!$C$5, 1, 0)</f>
        <v>0</v>
      </c>
      <c r="AG454">
        <f t="shared" si="30"/>
        <v>0</v>
      </c>
      <c r="AH454" t="str">
        <f>IFERROR(INDEX(Runs!$E:$E, MATCH($B454, Runs!$A:$A, 0)), $B454)</f>
        <v>Industry SO2</v>
      </c>
      <c r="AI454" t="str">
        <f t="shared" si="31"/>
        <v>electricity SO2</v>
      </c>
      <c r="AJ454" t="str">
        <f>IF($AG454=1, IF($AD454=1, Keys!$C$9, "") &amp; IF($AE454=1, Keys!$C$10, "") &amp; IF($AF454=1, Keys!$C$11, ""), "")</f>
        <v/>
      </c>
      <c r="AK454">
        <f>IF($AG454=1, IFERROR(INDEX($AG$2:$AG$577, MATCH($A454 &amp; Keys!$C$8 &amp; $AH454, $Y$2:$Y$577, 0)), 1), 0)</f>
        <v>0</v>
      </c>
    </row>
    <row r="455" spans="1:37" x14ac:dyDescent="0.25">
      <c r="A455" t="s">
        <v>196</v>
      </c>
      <c r="B455" t="s">
        <v>239</v>
      </c>
      <c r="C455">
        <v>46</v>
      </c>
      <c r="D455">
        <v>46.477960750999998</v>
      </c>
      <c r="E455">
        <v>0.10543395260000001</v>
      </c>
      <c r="F455">
        <v>99.688482591999986</v>
      </c>
      <c r="G455">
        <v>134.24241745800001</v>
      </c>
      <c r="H455">
        <v>205.10889781200001</v>
      </c>
      <c r="I455">
        <v>2.9411123720000001</v>
      </c>
      <c r="J455">
        <v>18.323509378000001</v>
      </c>
      <c r="K455">
        <v>12584.787749412</v>
      </c>
      <c r="L455">
        <v>2126.3466350819999</v>
      </c>
      <c r="M455">
        <v>5.0184438599999996</v>
      </c>
      <c r="N455">
        <v>439.039797862</v>
      </c>
      <c r="O455">
        <v>10.240596095000001</v>
      </c>
      <c r="P455">
        <v>0.34404633900000009</v>
      </c>
      <c r="Q455">
        <v>1.11605238</v>
      </c>
      <c r="R455">
        <v>23.172820372</v>
      </c>
      <c r="S455">
        <v>294.52952447700011</v>
      </c>
      <c r="T455">
        <v>418.84846000800007</v>
      </c>
      <c r="U455">
        <v>0</v>
      </c>
      <c r="V455">
        <v>0</v>
      </c>
      <c r="W455">
        <v>61785.112343999979</v>
      </c>
      <c r="Y455" t="str">
        <f>$A455 &amp; Keys!$C$8 &amp; $B455</f>
        <v>South Carolina|transportation NO2</v>
      </c>
      <c r="Z455" s="8">
        <f>IFERROR(INDEX($U455:$W455, MATCH(INDEX(Runs!$D:$D, MATCH($B455, Runs!$A:$A, 0)), $U$1:$W$1, 0)), 0)</f>
        <v>61785.112343999979</v>
      </c>
      <c r="AA455" s="8">
        <f t="shared" si="28"/>
        <v>7.5225178020597264E-4</v>
      </c>
      <c r="AB455" s="8">
        <f>IFERROR(VLOOKUP(INDEX(Runs!$F:$F, MATCH($B455, Runs!$A:$A, 0)), US_national_yearly!$D:$AM, MATCH(Keys!$C$7, US_national_yearly!$D$1:$AM$1, 0), FALSE), 0)</f>
        <v>5.7148835886332216E-3</v>
      </c>
      <c r="AC455" s="8">
        <f t="shared" si="29"/>
        <v>0.13163028932071075</v>
      </c>
      <c r="AD455">
        <f>IF($Z455&lt;Keys!$C$3, 1, 0)</f>
        <v>0</v>
      </c>
      <c r="AE455">
        <f>IF($AC455&gt;Keys!$C$4, 1, 0)</f>
        <v>0</v>
      </c>
      <c r="AF455">
        <f>IF($AC455&lt;Keys!$C$5, 1, 0)</f>
        <v>0</v>
      </c>
      <c r="AG455">
        <f t="shared" si="30"/>
        <v>0</v>
      </c>
      <c r="AH455" t="str">
        <f>IFERROR(INDEX(Runs!$E:$E, MATCH($B455, Runs!$A:$A, 0)), $B455)</f>
        <v>Industry NO2</v>
      </c>
      <c r="AI455" t="str">
        <f t="shared" si="31"/>
        <v>transportation NO2</v>
      </c>
      <c r="AJ455" t="str">
        <f>IF($AG455=1, IF($AD455=1, Keys!$C$9, "") &amp; IF($AE455=1, Keys!$C$10, "") &amp; IF($AF455=1, Keys!$C$11, ""), "")</f>
        <v/>
      </c>
      <c r="AK455">
        <f>IF($AG455=1, IFERROR(INDEX($AG$2:$AG$577, MATCH($A455 &amp; Keys!$C$8 &amp; $AH455, $Y$2:$Y$577, 0)), 1), 0)</f>
        <v>0</v>
      </c>
    </row>
    <row r="456" spans="1:37" x14ac:dyDescent="0.25">
      <c r="A456" t="s">
        <v>196</v>
      </c>
      <c r="B456" t="s">
        <v>234</v>
      </c>
      <c r="C456">
        <v>46</v>
      </c>
      <c r="D456">
        <v>26.054096389000009</v>
      </c>
      <c r="E456">
        <v>5.9394324200000008E-2</v>
      </c>
      <c r="F456">
        <v>56.617965991000013</v>
      </c>
      <c r="G456">
        <v>76.243494773000052</v>
      </c>
      <c r="H456">
        <v>116.490034393</v>
      </c>
      <c r="I456">
        <v>1.666400672</v>
      </c>
      <c r="J456">
        <v>10.522034594000001</v>
      </c>
      <c r="K456">
        <v>7155.0203005169988</v>
      </c>
      <c r="L456">
        <v>1209.3522034990001</v>
      </c>
      <c r="M456">
        <v>2.888637594</v>
      </c>
      <c r="N456">
        <v>249.35149515699999</v>
      </c>
      <c r="O456">
        <v>5.9876609279999986</v>
      </c>
      <c r="P456">
        <v>0.20262073890000001</v>
      </c>
      <c r="Q456">
        <v>0.64310160199999999</v>
      </c>
      <c r="R456">
        <v>13.130810961</v>
      </c>
      <c r="S456">
        <v>166.88033989900001</v>
      </c>
      <c r="T456">
        <v>237.25705409299991</v>
      </c>
      <c r="U456">
        <v>1406.2932062719999</v>
      </c>
      <c r="V456">
        <v>0</v>
      </c>
      <c r="W456">
        <v>0</v>
      </c>
      <c r="Y456" t="str">
        <f>$A456 &amp; Keys!$C$8 &amp; $B456</f>
        <v>South Carolina|transportation PM25</v>
      </c>
      <c r="Z456" s="8">
        <f>IFERROR(INDEX($U456:$W456, MATCH(INDEX(Runs!$D:$D, MATCH($B456, Runs!$A:$A, 0)), $U$1:$W$1, 0)), 0)</f>
        <v>1406.2932062719999</v>
      </c>
      <c r="AA456" s="8">
        <f t="shared" si="28"/>
        <v>1.8526788206612955E-2</v>
      </c>
      <c r="AB456" s="8">
        <f>IFERROR(VLOOKUP(INDEX(Runs!$F:$F, MATCH($B456, Runs!$A:$A, 0)), US_national_yearly!$D:$AM, MATCH(Keys!$C$7, US_national_yearly!$D$1:$AM$1, 0), FALSE), 0)</f>
        <v>2.8248683697579859E-2</v>
      </c>
      <c r="AC456" s="8">
        <f t="shared" si="29"/>
        <v>0.65584607073922507</v>
      </c>
      <c r="AD456">
        <f>IF($Z456&lt;Keys!$C$3, 1, 0)</f>
        <v>0</v>
      </c>
      <c r="AE456">
        <f>IF($AC456&gt;Keys!$C$4, 1, 0)</f>
        <v>0</v>
      </c>
      <c r="AF456">
        <f>IF($AC456&lt;Keys!$C$5, 1, 0)</f>
        <v>0</v>
      </c>
      <c r="AG456">
        <f t="shared" si="30"/>
        <v>0</v>
      </c>
      <c r="AH456" t="str">
        <f>IFERROR(INDEX(Runs!$E:$E, MATCH($B456, Runs!$A:$A, 0)), $B456)</f>
        <v>Industry PM25</v>
      </c>
      <c r="AI456" t="str">
        <f t="shared" si="31"/>
        <v>transportation PM25</v>
      </c>
      <c r="AJ456" t="str">
        <f>IF($AG456=1, IF($AD456=1, Keys!$C$9, "") &amp; IF($AE456=1, Keys!$C$10, "") &amp; IF($AF456=1, Keys!$C$11, ""), "")</f>
        <v/>
      </c>
      <c r="AK456">
        <f>IF($AG456=1, IFERROR(INDEX($AG$2:$AG$577, MATCH($A456 &amp; Keys!$C$8 &amp; $AH456, $Y$2:$Y$577, 0)), 1), 0)</f>
        <v>0</v>
      </c>
    </row>
    <row r="457" spans="1:37" x14ac:dyDescent="0.25">
      <c r="A457" t="s">
        <v>196</v>
      </c>
      <c r="B457" t="s">
        <v>243</v>
      </c>
      <c r="C457">
        <v>46</v>
      </c>
      <c r="D457">
        <v>1.4458532690000001</v>
      </c>
      <c r="E457">
        <v>3.1091540400000001E-3</v>
      </c>
      <c r="F457">
        <v>3.0853561919999999</v>
      </c>
      <c r="G457">
        <v>4.1548814530000007</v>
      </c>
      <c r="H457">
        <v>6.3479488469999996</v>
      </c>
      <c r="I457">
        <v>8.7600096999999974E-2</v>
      </c>
      <c r="J457">
        <v>0.53971199699999983</v>
      </c>
      <c r="K457">
        <v>397.24121779900003</v>
      </c>
      <c r="L457">
        <v>67.238864581000001</v>
      </c>
      <c r="M457">
        <v>0.15192393970000001</v>
      </c>
      <c r="N457">
        <v>13.588186492</v>
      </c>
      <c r="O457">
        <v>0.30332663100000001</v>
      </c>
      <c r="P457">
        <v>1.0183492380000001E-2</v>
      </c>
      <c r="Q457">
        <v>3.0867295999999999E-2</v>
      </c>
      <c r="R457">
        <v>0.72145759199999993</v>
      </c>
      <c r="S457">
        <v>9.1645685769999972</v>
      </c>
      <c r="T457">
        <v>13.016739273000001</v>
      </c>
      <c r="U457">
        <v>0</v>
      </c>
      <c r="V457">
        <v>481.74672405199988</v>
      </c>
      <c r="W457">
        <v>0</v>
      </c>
      <c r="Y457" t="str">
        <f>$A457 &amp; Keys!$C$8 &amp; $B457</f>
        <v>South Carolina|transportation SO2</v>
      </c>
      <c r="Z457" s="8">
        <f>IFERROR(INDEX($U457:$W457, MATCH(INDEX(Runs!$D:$D, MATCH($B457, Runs!$A:$A, 0)), $U$1:$W$1, 0)), 0)</f>
        <v>481.74672405199988</v>
      </c>
      <c r="AA457" s="8">
        <f t="shared" si="28"/>
        <v>3.0012726538934061E-3</v>
      </c>
      <c r="AB457" s="8">
        <f>IFERROR(VLOOKUP(INDEX(Runs!$F:$F, MATCH($B457, Runs!$A:$A, 0)), US_national_yearly!$D:$AM, MATCH(Keys!$C$7, US_national_yearly!$D$1:$AM$1, 0), FALSE), 0)</f>
        <v>5.1800714166247604E-3</v>
      </c>
      <c r="AC457" s="8">
        <f t="shared" si="29"/>
        <v>0.579388277208151</v>
      </c>
      <c r="AD457">
        <f>IF($Z457&lt;Keys!$C$3, 1, 0)</f>
        <v>0</v>
      </c>
      <c r="AE457">
        <f>IF($AC457&gt;Keys!$C$4, 1, 0)</f>
        <v>0</v>
      </c>
      <c r="AF457">
        <f>IF($AC457&lt;Keys!$C$5, 1, 0)</f>
        <v>0</v>
      </c>
      <c r="AG457">
        <f t="shared" si="30"/>
        <v>0</v>
      </c>
      <c r="AH457" t="str">
        <f>IFERROR(INDEX(Runs!$E:$E, MATCH($B457, Runs!$A:$A, 0)), $B457)</f>
        <v>Industry SO2</v>
      </c>
      <c r="AI457" t="str">
        <f t="shared" si="31"/>
        <v>transportation SO2</v>
      </c>
      <c r="AJ457" t="str">
        <f>IF($AG457=1, IF($AD457=1, Keys!$C$9, "") &amp; IF($AE457=1, Keys!$C$10, "") &amp; IF($AF457=1, Keys!$C$11, ""), "")</f>
        <v/>
      </c>
      <c r="AK457">
        <f>IF($AG457=1, IFERROR(INDEX($AG$2:$AG$577, MATCH($A457 &amp; Keys!$C$8 &amp; $AH457, $Y$2:$Y$577, 0)), 1), 0)</f>
        <v>0</v>
      </c>
    </row>
    <row r="458" spans="1:37" x14ac:dyDescent="0.25">
      <c r="A458" t="s">
        <v>199</v>
      </c>
      <c r="B458" t="s">
        <v>242</v>
      </c>
      <c r="C458">
        <v>66</v>
      </c>
      <c r="D458">
        <v>9.3531216400000006E-2</v>
      </c>
      <c r="E458">
        <v>2.8926307199999998E-4</v>
      </c>
      <c r="F458">
        <v>0.25719945629999991</v>
      </c>
      <c r="G458">
        <v>0.34635659190000012</v>
      </c>
      <c r="H458">
        <v>0.52917343390000005</v>
      </c>
      <c r="I458">
        <v>9.0315827999999983E-3</v>
      </c>
      <c r="J458">
        <v>4.1840456599999992E-2</v>
      </c>
      <c r="K458">
        <v>27.348423902</v>
      </c>
      <c r="L458">
        <v>4.6327110780000016</v>
      </c>
      <c r="M458">
        <v>8.0681846499999991E-3</v>
      </c>
      <c r="N458">
        <v>1.1327294821</v>
      </c>
      <c r="O458">
        <v>2.2409293019999998E-2</v>
      </c>
      <c r="P458">
        <v>3.8649943829999997E-4</v>
      </c>
      <c r="Q458">
        <v>1.0317769240000001E-3</v>
      </c>
      <c r="R458">
        <v>6.1555737700000002E-2</v>
      </c>
      <c r="S458">
        <v>0.78147594399999998</v>
      </c>
      <c r="T458">
        <v>1.1088625860000001</v>
      </c>
      <c r="U458">
        <v>0</v>
      </c>
      <c r="V458">
        <v>0</v>
      </c>
      <c r="W458">
        <v>2492.020514155</v>
      </c>
      <c r="Y458" t="str">
        <f>$A458 &amp; Keys!$C$8 &amp; $B458</f>
        <v>South Dakota|Industry NO2</v>
      </c>
      <c r="Z458" s="8">
        <f>IFERROR(INDEX($U458:$W458, MATCH(INDEX(Runs!$D:$D, MATCH($B458, Runs!$A:$A, 0)), $U$1:$W$1, 0)), 0)</f>
        <v>2492.020514155</v>
      </c>
      <c r="AA458" s="8">
        <f t="shared" si="28"/>
        <v>3.7532281884812163E-5</v>
      </c>
      <c r="AB458" s="8">
        <f>IFERROR(VLOOKUP(INDEX(Runs!$F:$F, MATCH($B458, Runs!$A:$A, 0)), US_national_yearly!$D:$AM, MATCH(Keys!$C$7, US_national_yearly!$D$1:$AM$1, 0), FALSE), 0)</f>
        <v>5.8012217057786938E-3</v>
      </c>
      <c r="AC458" s="8">
        <f t="shared" si="29"/>
        <v>6.4697203086421656E-3</v>
      </c>
      <c r="AD458">
        <f>IF($Z458&lt;Keys!$C$3, 1, 0)</f>
        <v>0</v>
      </c>
      <c r="AE458">
        <f>IF($AC458&gt;Keys!$C$4, 1, 0)</f>
        <v>0</v>
      </c>
      <c r="AF458">
        <f>IF($AC458&lt;Keys!$C$5, 1, 0)</f>
        <v>0</v>
      </c>
      <c r="AG458">
        <f t="shared" si="30"/>
        <v>0</v>
      </c>
      <c r="AH458" t="str">
        <f>IFERROR(INDEX(Runs!$E:$E, MATCH($B458, Runs!$A:$A, 0)), $B458)</f>
        <v>Industry NO2</v>
      </c>
      <c r="AI458" t="str">
        <f t="shared" si="31"/>
        <v>Industry NO2</v>
      </c>
      <c r="AJ458" t="str">
        <f>IF($AG458=1, IF($AD458=1, Keys!$C$9, "") &amp; IF($AE458=1, Keys!$C$10, "") &amp; IF($AF458=1, Keys!$C$11, ""), "")</f>
        <v/>
      </c>
      <c r="AK458">
        <f>IF($AG458=1, IFERROR(INDEX($AG$2:$AG$577, MATCH($A458 &amp; Keys!$C$8 &amp; $AH458, $Y$2:$Y$577, 0)), 1), 0)</f>
        <v>0</v>
      </c>
    </row>
    <row r="459" spans="1:37" x14ac:dyDescent="0.25">
      <c r="A459" t="s">
        <v>199</v>
      </c>
      <c r="B459" t="s">
        <v>238</v>
      </c>
      <c r="C459">
        <v>66</v>
      </c>
      <c r="D459">
        <v>2.043747722</v>
      </c>
      <c r="E459">
        <v>6.6459158410000002E-3</v>
      </c>
      <c r="F459">
        <v>6.1226294579999987</v>
      </c>
      <c r="G459">
        <v>8.2449583099999977</v>
      </c>
      <c r="H459">
        <v>12.597079727000001</v>
      </c>
      <c r="I459">
        <v>0.17801542989999999</v>
      </c>
      <c r="J459">
        <v>0.93043795299999998</v>
      </c>
      <c r="K459">
        <v>652.416123836</v>
      </c>
      <c r="L459">
        <v>110.71598429700001</v>
      </c>
      <c r="M459">
        <v>0.1809954906</v>
      </c>
      <c r="N459">
        <v>26.964667495</v>
      </c>
      <c r="O459">
        <v>0.52910970130000012</v>
      </c>
      <c r="P459">
        <v>9.065419509999997E-3</v>
      </c>
      <c r="Q459">
        <v>2.4126548710000011E-2</v>
      </c>
      <c r="R459">
        <v>1.4604803550000001</v>
      </c>
      <c r="S459">
        <v>18.541915590999999</v>
      </c>
      <c r="T459">
        <v>26.313458521000001</v>
      </c>
      <c r="U459">
        <v>968.26007827800015</v>
      </c>
      <c r="V459">
        <v>0</v>
      </c>
      <c r="W459">
        <v>0</v>
      </c>
      <c r="Y459" t="str">
        <f>$A459 &amp; Keys!$C$8 &amp; $B459</f>
        <v>South Dakota|Industry PM25</v>
      </c>
      <c r="Z459" s="8">
        <f>IFERROR(INDEX($U459:$W459, MATCH(INDEX(Runs!$D:$D, MATCH($B459, Runs!$A:$A, 0)), $U$1:$W$1, 0)), 0)</f>
        <v>968.26007827800015</v>
      </c>
      <c r="AA459" s="8">
        <f t="shared" si="28"/>
        <v>2.1107425245030223E-3</v>
      </c>
      <c r="AB459" s="8">
        <f>IFERROR(VLOOKUP(INDEX(Runs!$F:$F, MATCH($B459, Runs!$A:$A, 0)), US_national_yearly!$D:$AM, MATCH(Keys!$C$7, US_national_yearly!$D$1:$AM$1, 0), FALSE), 0)</f>
        <v>2.6833191881203179E-2</v>
      </c>
      <c r="AC459" s="8">
        <f t="shared" si="29"/>
        <v>7.8661626758671624E-2</v>
      </c>
      <c r="AD459">
        <f>IF($Z459&lt;Keys!$C$3, 1, 0)</f>
        <v>0</v>
      </c>
      <c r="AE459">
        <f>IF($AC459&gt;Keys!$C$4, 1, 0)</f>
        <v>0</v>
      </c>
      <c r="AF459">
        <f>IF($AC459&lt;Keys!$C$5, 1, 0)</f>
        <v>0</v>
      </c>
      <c r="AG459">
        <f t="shared" si="30"/>
        <v>0</v>
      </c>
      <c r="AH459" t="str">
        <f>IFERROR(INDEX(Runs!$E:$E, MATCH($B459, Runs!$A:$A, 0)), $B459)</f>
        <v>Industry PM25</v>
      </c>
      <c r="AI459" t="str">
        <f t="shared" si="31"/>
        <v>Industry PM25</v>
      </c>
      <c r="AJ459" t="str">
        <f>IF($AG459=1, IF($AD459=1, Keys!$C$9, "") &amp; IF($AE459=1, Keys!$C$10, "") &amp; IF($AF459=1, Keys!$C$11, ""), "")</f>
        <v/>
      </c>
      <c r="AK459">
        <f>IF($AG459=1, IFERROR(INDEX($AG$2:$AG$577, MATCH($A459 &amp; Keys!$C$8 &amp; $AH459, $Y$2:$Y$577, 0)), 1), 0)</f>
        <v>0</v>
      </c>
    </row>
    <row r="460" spans="1:37" x14ac:dyDescent="0.25">
      <c r="A460" t="s">
        <v>199</v>
      </c>
      <c r="B460" t="s">
        <v>246</v>
      </c>
      <c r="C460">
        <v>66</v>
      </c>
      <c r="D460">
        <v>0.2178817686</v>
      </c>
      <c r="E460">
        <v>6.7768778099999997E-4</v>
      </c>
      <c r="F460">
        <v>0.60881256900000003</v>
      </c>
      <c r="G460">
        <v>0.8198546189999999</v>
      </c>
      <c r="H460">
        <v>1.252598391</v>
      </c>
      <c r="I460">
        <v>2.0200939290000001E-2</v>
      </c>
      <c r="J460">
        <v>9.7167182200000007E-2</v>
      </c>
      <c r="K460">
        <v>64.519110033000018</v>
      </c>
      <c r="L460">
        <v>10.930232637</v>
      </c>
      <c r="M460">
        <v>1.8786870699999989E-2</v>
      </c>
      <c r="N460">
        <v>2.6812655790000002</v>
      </c>
      <c r="O460">
        <v>5.2686486400000003E-2</v>
      </c>
      <c r="P460">
        <v>9.0833379799999995E-4</v>
      </c>
      <c r="Q460">
        <v>2.430259696E-3</v>
      </c>
      <c r="R460">
        <v>0.14541136839999999</v>
      </c>
      <c r="S460">
        <v>1.846228574</v>
      </c>
      <c r="T460">
        <v>2.6200975389999992</v>
      </c>
      <c r="U460">
        <v>0</v>
      </c>
      <c r="V460">
        <v>286.72895494700009</v>
      </c>
      <c r="W460">
        <v>0</v>
      </c>
      <c r="Y460" t="str">
        <f>$A460 &amp; Keys!$C$8 &amp; $B460</f>
        <v>South Dakota|Industry SO2</v>
      </c>
      <c r="Z460" s="8">
        <f>IFERROR(INDEX($U460:$W460, MATCH(INDEX(Runs!$D:$D, MATCH($B460, Runs!$A:$A, 0)), $U$1:$W$1, 0)), 0)</f>
        <v>286.72895494700009</v>
      </c>
      <c r="AA460" s="8">
        <f t="shared" si="28"/>
        <v>7.5988756922116206E-4</v>
      </c>
      <c r="AB460" s="8">
        <f>IFERROR(VLOOKUP(INDEX(Runs!$F:$F, MATCH($B460, Runs!$A:$A, 0)), US_national_yearly!$D:$AM, MATCH(Keys!$C$7, US_national_yearly!$D$1:$AM$1, 0), FALSE), 0)</f>
        <v>5.3000351638639942E-3</v>
      </c>
      <c r="AC460" s="8">
        <f t="shared" si="29"/>
        <v>0.1433740618179532</v>
      </c>
      <c r="AD460">
        <f>IF($Z460&lt;Keys!$C$3, 1, 0)</f>
        <v>0</v>
      </c>
      <c r="AE460">
        <f>IF($AC460&gt;Keys!$C$4, 1, 0)</f>
        <v>0</v>
      </c>
      <c r="AF460">
        <f>IF($AC460&lt;Keys!$C$5, 1, 0)</f>
        <v>0</v>
      </c>
      <c r="AG460">
        <f t="shared" si="30"/>
        <v>0</v>
      </c>
      <c r="AH460" t="str">
        <f>IFERROR(INDEX(Runs!$E:$E, MATCH($B460, Runs!$A:$A, 0)), $B460)</f>
        <v>Industry SO2</v>
      </c>
      <c r="AI460" t="str">
        <f t="shared" si="31"/>
        <v>Industry SO2</v>
      </c>
      <c r="AJ460" t="str">
        <f>IF($AG460=1, IF($AD460=1, Keys!$C$9, "") &amp; IF($AE460=1, Keys!$C$10, "") &amp; IF($AF460=1, Keys!$C$11, ""), "")</f>
        <v/>
      </c>
      <c r="AK460">
        <f>IF($AG460=1, IFERROR(INDEX($AG$2:$AG$577, MATCH($A460 &amp; Keys!$C$8 &amp; $AH460, $Y$2:$Y$577, 0)), 1), 0)</f>
        <v>0</v>
      </c>
    </row>
    <row r="461" spans="1:37" x14ac:dyDescent="0.25">
      <c r="A461" t="s">
        <v>199</v>
      </c>
      <c r="B461" t="s">
        <v>253</v>
      </c>
      <c r="C461">
        <v>66</v>
      </c>
      <c r="D461">
        <v>0.13720789939999989</v>
      </c>
      <c r="E461">
        <v>4.5128991200000021E-4</v>
      </c>
      <c r="F461">
        <v>0.43626234489999988</v>
      </c>
      <c r="G461">
        <v>0.58749092799999991</v>
      </c>
      <c r="H461">
        <v>0.89758523099999976</v>
      </c>
      <c r="I461">
        <v>1.120617501E-2</v>
      </c>
      <c r="J461">
        <v>6.2980980300000017E-2</v>
      </c>
      <c r="K461">
        <v>46.102773827</v>
      </c>
      <c r="L461">
        <v>7.8410162049999981</v>
      </c>
      <c r="M461">
        <v>1.2172588369999991E-2</v>
      </c>
      <c r="N461">
        <v>1.9213385038999991</v>
      </c>
      <c r="O461">
        <v>3.7307903269999998E-2</v>
      </c>
      <c r="P461">
        <v>6.4780788099999987E-4</v>
      </c>
      <c r="Q461">
        <v>1.700617046E-3</v>
      </c>
      <c r="R461">
        <v>0.10537559370000001</v>
      </c>
      <c r="S461">
        <v>1.3377091139999999</v>
      </c>
      <c r="T461">
        <v>1.8979329009999999</v>
      </c>
      <c r="U461">
        <v>0</v>
      </c>
      <c r="V461">
        <v>0</v>
      </c>
      <c r="W461">
        <v>1158.465830225</v>
      </c>
      <c r="Y461" t="str">
        <f>$A461 &amp; Keys!$C$8 &amp; $B461</f>
        <v>South Dakota|buildings NO2</v>
      </c>
      <c r="Z461" s="8">
        <f>IFERROR(INDEX($U461:$W461, MATCH(INDEX(Runs!$D:$D, MATCH($B461, Runs!$A:$A, 0)), $U$1:$W$1, 0)), 0)</f>
        <v>1158.465830225</v>
      </c>
      <c r="AA461" s="8">
        <f t="shared" si="28"/>
        <v>1.1843931501488571E-4</v>
      </c>
      <c r="AB461" s="8">
        <f>IFERROR(VLOOKUP(INDEX(Runs!$F:$F, MATCH($B461, Runs!$A:$A, 0)), US_national_yearly!$D:$AM, MATCH(Keys!$C$7, US_national_yearly!$D$1:$AM$1, 0), FALSE), 0)</f>
        <v>5.6784740124662739E-3</v>
      </c>
      <c r="AC461" s="8">
        <f t="shared" si="29"/>
        <v>2.085759567709022E-2</v>
      </c>
      <c r="AD461">
        <f>IF($Z461&lt;Keys!$C$3, 1, 0)</f>
        <v>0</v>
      </c>
      <c r="AE461">
        <f>IF($AC461&gt;Keys!$C$4, 1, 0)</f>
        <v>0</v>
      </c>
      <c r="AF461">
        <f>IF($AC461&lt;Keys!$C$5, 1, 0)</f>
        <v>0</v>
      </c>
      <c r="AG461">
        <f t="shared" si="30"/>
        <v>0</v>
      </c>
      <c r="AH461" t="str">
        <f>IFERROR(INDEX(Runs!$E:$E, MATCH($B461, Runs!$A:$A, 0)), $B461)</f>
        <v>Industry NO2</v>
      </c>
      <c r="AI461" t="str">
        <f t="shared" si="31"/>
        <v>buildings NO2</v>
      </c>
      <c r="AJ461" t="str">
        <f>IF($AG461=1, IF($AD461=1, Keys!$C$9, "") &amp; IF($AE461=1, Keys!$C$10, "") &amp; IF($AF461=1, Keys!$C$11, ""), "")</f>
        <v/>
      </c>
      <c r="AK461">
        <f>IF($AG461=1, IFERROR(INDEX($AG$2:$AG$577, MATCH($A461 &amp; Keys!$C$8 &amp; $AH461, $Y$2:$Y$577, 0)), 1), 0)</f>
        <v>0</v>
      </c>
    </row>
    <row r="462" spans="1:37" x14ac:dyDescent="0.25">
      <c r="A462" t="s">
        <v>199</v>
      </c>
      <c r="B462" t="s">
        <v>251</v>
      </c>
      <c r="C462">
        <v>66</v>
      </c>
      <c r="D462">
        <v>9.9863348639999974E-2</v>
      </c>
      <c r="E462">
        <v>3.8887145213999992E-4</v>
      </c>
      <c r="F462">
        <v>0.34991236117000002</v>
      </c>
      <c r="G462">
        <v>0.47120802410000001</v>
      </c>
      <c r="H462">
        <v>0.71992508339999994</v>
      </c>
      <c r="I462">
        <v>7.7079402979999996E-3</v>
      </c>
      <c r="J462">
        <v>4.7994163149999991E-2</v>
      </c>
      <c r="K462">
        <v>36.927051640000009</v>
      </c>
      <c r="L462">
        <v>6.2921751869999989</v>
      </c>
      <c r="M462">
        <v>9.2173770120000022E-3</v>
      </c>
      <c r="N462">
        <v>1.5410454686699999</v>
      </c>
      <c r="O462">
        <v>2.9911755817999999E-2</v>
      </c>
      <c r="P462">
        <v>5.2227339732999992E-4</v>
      </c>
      <c r="Q462">
        <v>1.3399974578999999E-3</v>
      </c>
      <c r="R462">
        <v>8.4727437219999993E-2</v>
      </c>
      <c r="S462">
        <v>1.0751462932</v>
      </c>
      <c r="T462">
        <v>1.5243604395000001</v>
      </c>
      <c r="U462">
        <v>32.689580849999992</v>
      </c>
      <c r="V462">
        <v>0</v>
      </c>
      <c r="W462">
        <v>0</v>
      </c>
      <c r="Y462" t="str">
        <f>$A462 &amp; Keys!$C$8 &amp; $B462</f>
        <v>South Dakota|buildings PM25</v>
      </c>
      <c r="Z462" s="8">
        <f>IFERROR(INDEX($U462:$W462, MATCH(INDEX(Runs!$D:$D, MATCH($B462, Runs!$A:$A, 0)), $U$1:$W$1, 0)), 0)</f>
        <v>32.689580849999992</v>
      </c>
      <c r="AA462" s="8">
        <f t="shared" si="28"/>
        <v>3.0548984123790011E-3</v>
      </c>
      <c r="AB462" s="8">
        <f>IFERROR(VLOOKUP(INDEX(Runs!$F:$F, MATCH($B462, Runs!$A:$A, 0)), US_national_yearly!$D:$AM, MATCH(Keys!$C$7, US_national_yearly!$D$1:$AM$1, 0), FALSE), 0)</f>
        <v>2.7627705191843259E-2</v>
      </c>
      <c r="AC462" s="8">
        <f t="shared" si="29"/>
        <v>0.11057372992675926</v>
      </c>
      <c r="AD462">
        <f>IF($Z462&lt;Keys!$C$3, 1, 0)</f>
        <v>0</v>
      </c>
      <c r="AE462">
        <f>IF($AC462&gt;Keys!$C$4, 1, 0)</f>
        <v>0</v>
      </c>
      <c r="AF462">
        <f>IF($AC462&lt;Keys!$C$5, 1, 0)</f>
        <v>0</v>
      </c>
      <c r="AG462">
        <f t="shared" si="30"/>
        <v>0</v>
      </c>
      <c r="AH462" t="str">
        <f>IFERROR(INDEX(Runs!$E:$E, MATCH($B462, Runs!$A:$A, 0)), $B462)</f>
        <v>Industry PM25</v>
      </c>
      <c r="AI462" t="str">
        <f t="shared" si="31"/>
        <v>buildings PM25</v>
      </c>
      <c r="AJ462" t="str">
        <f>IF($AG462=1, IF($AD462=1, Keys!$C$9, "") &amp; IF($AE462=1, Keys!$C$10, "") &amp; IF($AF462=1, Keys!$C$11, ""), "")</f>
        <v/>
      </c>
      <c r="AK462">
        <f>IF($AG462=1, IFERROR(INDEX($AG$2:$AG$577, MATCH($A462 &amp; Keys!$C$8 &amp; $AH462, $Y$2:$Y$577, 0)), 1), 0)</f>
        <v>0</v>
      </c>
    </row>
    <row r="463" spans="1:37" x14ac:dyDescent="0.25">
      <c r="A463" t="s">
        <v>199</v>
      </c>
      <c r="B463" t="s">
        <v>254</v>
      </c>
      <c r="C463">
        <v>66</v>
      </c>
      <c r="D463">
        <v>5.6379315500000018E-3</v>
      </c>
      <c r="E463">
        <v>1.7180502800000001E-5</v>
      </c>
      <c r="F463">
        <v>1.58723819E-2</v>
      </c>
      <c r="G463">
        <v>2.13744973E-2</v>
      </c>
      <c r="H463">
        <v>3.2656506600000003E-2</v>
      </c>
      <c r="I463">
        <v>4.8113257800000002E-4</v>
      </c>
      <c r="J463">
        <v>2.4678459000000001E-3</v>
      </c>
      <c r="K463">
        <v>1.6585558010000001</v>
      </c>
      <c r="L463">
        <v>0.28095974200000012</v>
      </c>
      <c r="M463">
        <v>4.9186999099999997E-4</v>
      </c>
      <c r="N463">
        <v>6.9903385799999995E-2</v>
      </c>
      <c r="O463">
        <v>1.353863135E-3</v>
      </c>
      <c r="P463">
        <v>2.353654074999999E-5</v>
      </c>
      <c r="Q463">
        <v>6.2992356599999986E-5</v>
      </c>
      <c r="R463">
        <v>3.8012533799999999E-3</v>
      </c>
      <c r="S463">
        <v>4.8266595800000013E-2</v>
      </c>
      <c r="T463">
        <v>6.8505711199999972E-2</v>
      </c>
      <c r="U463">
        <v>0</v>
      </c>
      <c r="V463">
        <v>41.926265514000001</v>
      </c>
      <c r="W463">
        <v>0</v>
      </c>
      <c r="Y463" t="str">
        <f>$A463 &amp; Keys!$C$8 &amp; $B463</f>
        <v>South Dakota|buildings SO2</v>
      </c>
      <c r="Z463" s="8">
        <f>IFERROR(INDEX($U463:$W463, MATCH(INDEX(Runs!$D:$D, MATCH($B463, Runs!$A:$A, 0)), $U$1:$W$1, 0)), 0)</f>
        <v>41.926265514000001</v>
      </c>
      <c r="AA463" s="8">
        <f t="shared" si="28"/>
        <v>1.3447254318697634E-4</v>
      </c>
      <c r="AB463" s="8">
        <f>IFERROR(VLOOKUP(INDEX(Runs!$F:$F, MATCH($B463, Runs!$A:$A, 0)), US_national_yearly!$D:$AM, MATCH(Keys!$C$7, US_national_yearly!$D$1:$AM$1, 0), FALSE), 0)</f>
        <v>5.1581943281164694E-3</v>
      </c>
      <c r="AC463" s="8">
        <f t="shared" si="29"/>
        <v>2.6069693119933193E-2</v>
      </c>
      <c r="AD463">
        <f>IF($Z463&lt;Keys!$C$3, 1, 0)</f>
        <v>0</v>
      </c>
      <c r="AE463">
        <f>IF($AC463&gt;Keys!$C$4, 1, 0)</f>
        <v>0</v>
      </c>
      <c r="AF463">
        <f>IF($AC463&lt;Keys!$C$5, 1, 0)</f>
        <v>0</v>
      </c>
      <c r="AG463">
        <f t="shared" si="30"/>
        <v>0</v>
      </c>
      <c r="AH463" t="str">
        <f>IFERROR(INDEX(Runs!$E:$E, MATCH($B463, Runs!$A:$A, 0)), $B463)</f>
        <v>Industry SO2</v>
      </c>
      <c r="AI463" t="str">
        <f t="shared" si="31"/>
        <v>buildings SO2</v>
      </c>
      <c r="AJ463" t="str">
        <f>IF($AG463=1, IF($AD463=1, Keys!$C$9, "") &amp; IF($AE463=1, Keys!$C$10, "") &amp; IF($AF463=1, Keys!$C$11, ""), "")</f>
        <v/>
      </c>
      <c r="AK463">
        <f>IF($AG463=1, IFERROR(INDEX($AG$2:$AG$577, MATCH($A463 &amp; Keys!$C$8 &amp; $AH463, $Y$2:$Y$577, 0)), 1), 0)</f>
        <v>0</v>
      </c>
    </row>
    <row r="464" spans="1:37" x14ac:dyDescent="0.25">
      <c r="A464" t="s">
        <v>199</v>
      </c>
      <c r="B464" t="s">
        <v>249</v>
      </c>
      <c r="C464">
        <v>66</v>
      </c>
      <c r="D464">
        <v>5.534019910000001E-3</v>
      </c>
      <c r="E464">
        <v>1.7399098600000002E-5</v>
      </c>
      <c r="F464">
        <v>1.5940875890000001E-2</v>
      </c>
      <c r="G464">
        <v>2.1466721670000001E-2</v>
      </c>
      <c r="H464">
        <v>3.2797413800000008E-2</v>
      </c>
      <c r="I464">
        <v>4.7905970799999988E-4</v>
      </c>
      <c r="J464">
        <v>2.4253227899999992E-3</v>
      </c>
      <c r="K464">
        <v>1.6656457710000001</v>
      </c>
      <c r="L464">
        <v>0.28223880649999999</v>
      </c>
      <c r="M464">
        <v>4.8334229299999991E-4</v>
      </c>
      <c r="N464">
        <v>7.0205011360000014E-2</v>
      </c>
      <c r="O464">
        <v>1.355084248E-3</v>
      </c>
      <c r="P464">
        <v>2.3424414850000009E-5</v>
      </c>
      <c r="Q464">
        <v>6.2889262899999988E-5</v>
      </c>
      <c r="R464">
        <v>3.8055405199999988E-3</v>
      </c>
      <c r="S464">
        <v>4.8325907500000008E-2</v>
      </c>
      <c r="T464">
        <v>6.8601513000000017E-2</v>
      </c>
      <c r="U464">
        <v>0</v>
      </c>
      <c r="V464">
        <v>0</v>
      </c>
      <c r="W464">
        <v>786.29091023800004</v>
      </c>
      <c r="Y464" t="str">
        <f>$A464 &amp; Keys!$C$8 &amp; $B464</f>
        <v>South Dakota|electricity NO2</v>
      </c>
      <c r="Z464" s="8">
        <f>IFERROR(INDEX($U464:$W464, MATCH(INDEX(Runs!$D:$D, MATCH($B464, Runs!$A:$A, 0)), $U$1:$W$1, 0)), 0)</f>
        <v>786.29091023800004</v>
      </c>
      <c r="AA464" s="8">
        <f t="shared" si="28"/>
        <v>7.0381328817917087E-6</v>
      </c>
      <c r="AB464" s="8">
        <f>IFERROR(VLOOKUP(INDEX(Runs!$F:$F, MATCH($B464, Runs!$A:$A, 0)), US_national_yearly!$D:$AM, MATCH(Keys!$C$7, US_national_yearly!$D$1:$AM$1, 0), FALSE), 0)</f>
        <v>6.1439221592658041E-3</v>
      </c>
      <c r="AC464" s="8">
        <f t="shared" si="29"/>
        <v>1.1455439537392776E-3</v>
      </c>
      <c r="AD464">
        <f>IF($Z464&lt;Keys!$C$3, 1, 0)</f>
        <v>0</v>
      </c>
      <c r="AE464">
        <f>IF($AC464&gt;Keys!$C$4, 1, 0)</f>
        <v>0</v>
      </c>
      <c r="AF464">
        <f>IF($AC464&lt;Keys!$C$5, 1, 0)</f>
        <v>0</v>
      </c>
      <c r="AG464">
        <f t="shared" si="30"/>
        <v>0</v>
      </c>
      <c r="AH464" t="str">
        <f>IFERROR(INDEX(Runs!$E:$E, MATCH($B464, Runs!$A:$A, 0)), $B464)</f>
        <v>Industry NO2</v>
      </c>
      <c r="AI464" t="str">
        <f t="shared" si="31"/>
        <v>electricity NO2</v>
      </c>
      <c r="AJ464" t="str">
        <f>IF($AG464=1, IF($AD464=1, Keys!$C$9, "") &amp; IF($AE464=1, Keys!$C$10, "") &amp; IF($AF464=1, Keys!$C$11, ""), "")</f>
        <v/>
      </c>
      <c r="AK464">
        <f>IF($AG464=1, IFERROR(INDEX($AG$2:$AG$577, MATCH($A464 &amp; Keys!$C$8 &amp; $AH464, $Y$2:$Y$577, 0)), 1), 0)</f>
        <v>0</v>
      </c>
    </row>
    <row r="465" spans="1:37" x14ac:dyDescent="0.25">
      <c r="A465" t="s">
        <v>199</v>
      </c>
      <c r="B465" t="s">
        <v>247</v>
      </c>
      <c r="C465">
        <v>66</v>
      </c>
      <c r="D465">
        <v>1.8347653857999989E-2</v>
      </c>
      <c r="E465">
        <v>6.6807384620000019E-5</v>
      </c>
      <c r="F465">
        <v>6.1464323210000012E-2</v>
      </c>
      <c r="G465">
        <v>8.2770722819999976E-2</v>
      </c>
      <c r="H465">
        <v>0.12645930822000001</v>
      </c>
      <c r="I465">
        <v>1.4441151E-3</v>
      </c>
      <c r="J465">
        <v>8.314264301999998E-3</v>
      </c>
      <c r="K465">
        <v>6.7010752829999989</v>
      </c>
      <c r="L465">
        <v>1.1375253346</v>
      </c>
      <c r="M465">
        <v>1.602177218E-3</v>
      </c>
      <c r="N465">
        <v>0.27069435424999999</v>
      </c>
      <c r="O465">
        <v>5.2905212779999992E-3</v>
      </c>
      <c r="P465">
        <v>8.6756588129999977E-5</v>
      </c>
      <c r="Q465">
        <v>2.2639241190000001E-4</v>
      </c>
      <c r="R465">
        <v>1.3883642348E-2</v>
      </c>
      <c r="S465">
        <v>0.17623762734000001</v>
      </c>
      <c r="T465">
        <v>0.25001748210000002</v>
      </c>
      <c r="U465">
        <v>15.216287619999999</v>
      </c>
      <c r="V465">
        <v>0</v>
      </c>
      <c r="W465">
        <v>0</v>
      </c>
      <c r="Y465" t="str">
        <f>$A465 &amp; Keys!$C$8 &amp; $B465</f>
        <v>South Dakota|electricity PM25</v>
      </c>
      <c r="Z465" s="8">
        <f>IFERROR(INDEX($U465:$W465, MATCH(INDEX(Runs!$D:$D, MATCH($B465, Runs!$A:$A, 0)), $U$1:$W$1, 0)), 0)</f>
        <v>15.216287619999999</v>
      </c>
      <c r="AA465" s="8">
        <f t="shared" si="28"/>
        <v>1.2057904211723878E-3</v>
      </c>
      <c r="AB465" s="8">
        <f>IFERROR(VLOOKUP(INDEX(Runs!$F:$F, MATCH($B465, Runs!$A:$A, 0)), US_national_yearly!$D:$AM, MATCH(Keys!$C$7, US_national_yearly!$D$1:$AM$1, 0), FALSE), 0)</f>
        <v>2.4252978284752182E-2</v>
      </c>
      <c r="AC465" s="8">
        <f t="shared" si="29"/>
        <v>4.9717210274767235E-2</v>
      </c>
      <c r="AD465">
        <f>IF($Z465&lt;Keys!$C$3, 1, 0)</f>
        <v>0</v>
      </c>
      <c r="AE465">
        <f>IF($AC465&gt;Keys!$C$4, 1, 0)</f>
        <v>0</v>
      </c>
      <c r="AF465">
        <f>IF($AC465&lt;Keys!$C$5, 1, 0)</f>
        <v>0</v>
      </c>
      <c r="AG465">
        <f t="shared" si="30"/>
        <v>0</v>
      </c>
      <c r="AH465" t="str">
        <f>IFERROR(INDEX(Runs!$E:$E, MATCH($B465, Runs!$A:$A, 0)), $B465)</f>
        <v>Industry PM25</v>
      </c>
      <c r="AI465" t="str">
        <f t="shared" si="31"/>
        <v>electricity PM25</v>
      </c>
      <c r="AJ465" t="str">
        <f>IF($AG465=1, IF($AD465=1, Keys!$C$9, "") &amp; IF($AE465=1, Keys!$C$10, "") &amp; IF($AF465=1, Keys!$C$11, ""), "")</f>
        <v/>
      </c>
      <c r="AK465">
        <f>IF($AG465=1, IFERROR(INDEX($AG$2:$AG$577, MATCH($A465 &amp; Keys!$C$8 &amp; $AH465, $Y$2:$Y$577, 0)), 1), 0)</f>
        <v>0</v>
      </c>
    </row>
    <row r="466" spans="1:37" x14ac:dyDescent="0.25">
      <c r="A466" t="s">
        <v>199</v>
      </c>
      <c r="B466" t="s">
        <v>250</v>
      </c>
      <c r="C466">
        <v>66</v>
      </c>
      <c r="D466">
        <v>2.0052573230000009E-2</v>
      </c>
      <c r="E466">
        <v>6.4027409000000008E-5</v>
      </c>
      <c r="F466">
        <v>6.1278797100000018E-2</v>
      </c>
      <c r="G466">
        <v>8.2520893899999989E-2</v>
      </c>
      <c r="H466">
        <v>0.12607757529999999</v>
      </c>
      <c r="I466">
        <v>1.681846514E-3</v>
      </c>
      <c r="J466">
        <v>8.9774977499999988E-3</v>
      </c>
      <c r="K466">
        <v>6.4737181430000019</v>
      </c>
      <c r="L466">
        <v>1.099263774</v>
      </c>
      <c r="M466">
        <v>1.7523515839999999E-3</v>
      </c>
      <c r="N466">
        <v>0.26987726629999997</v>
      </c>
      <c r="O466">
        <v>5.2374449499999996E-3</v>
      </c>
      <c r="P466">
        <v>8.9965785599999994E-5</v>
      </c>
      <c r="Q466">
        <v>2.3799388950000001E-4</v>
      </c>
      <c r="R466">
        <v>1.462316956E-2</v>
      </c>
      <c r="S466">
        <v>0.18566316420000001</v>
      </c>
      <c r="T466">
        <v>0.26347915960000001</v>
      </c>
      <c r="U466">
        <v>0</v>
      </c>
      <c r="V466">
        <v>266.72884655700011</v>
      </c>
      <c r="W466">
        <v>0</v>
      </c>
      <c r="Y466" t="str">
        <f>$A466 &amp; Keys!$C$8 &amp; $B466</f>
        <v>South Dakota|electricity SO2</v>
      </c>
      <c r="Z466" s="8">
        <f>IFERROR(INDEX($U466:$W466, MATCH(INDEX(Runs!$D:$D, MATCH($B466, Runs!$A:$A, 0)), $U$1:$W$1, 0)), 0)</f>
        <v>266.72884655700011</v>
      </c>
      <c r="AA466" s="8">
        <f t="shared" si="28"/>
        <v>7.5179619635609092E-5</v>
      </c>
      <c r="AB466" s="8">
        <f>IFERROR(VLOOKUP(INDEX(Runs!$F:$F, MATCH($B466, Runs!$A:$A, 0)), US_national_yearly!$D:$AM, MATCH(Keys!$C$7, US_national_yearly!$D$1:$AM$1, 0), FALSE), 0)</f>
        <v>5.7032329662362116E-3</v>
      </c>
      <c r="AC466" s="8">
        <f t="shared" si="29"/>
        <v>1.3181930333318137E-2</v>
      </c>
      <c r="AD466">
        <f>IF($Z466&lt;Keys!$C$3, 1, 0)</f>
        <v>0</v>
      </c>
      <c r="AE466">
        <f>IF($AC466&gt;Keys!$C$4, 1, 0)</f>
        <v>0</v>
      </c>
      <c r="AF466">
        <f>IF($AC466&lt;Keys!$C$5, 1, 0)</f>
        <v>0</v>
      </c>
      <c r="AG466">
        <f t="shared" si="30"/>
        <v>0</v>
      </c>
      <c r="AH466" t="str">
        <f>IFERROR(INDEX(Runs!$E:$E, MATCH($B466, Runs!$A:$A, 0)), $B466)</f>
        <v>Industry SO2</v>
      </c>
      <c r="AI466" t="str">
        <f t="shared" si="31"/>
        <v>electricity SO2</v>
      </c>
      <c r="AJ466" t="str">
        <f>IF($AG466=1, IF($AD466=1, Keys!$C$9, "") &amp; IF($AE466=1, Keys!$C$10, "") &amp; IF($AF466=1, Keys!$C$11, ""), "")</f>
        <v/>
      </c>
      <c r="AK466">
        <f>IF($AG466=1, IFERROR(INDEX($AG$2:$AG$577, MATCH($A466 &amp; Keys!$C$8 &amp; $AH466, $Y$2:$Y$577, 0)), 1), 0)</f>
        <v>0</v>
      </c>
    </row>
    <row r="467" spans="1:37" x14ac:dyDescent="0.25">
      <c r="A467" t="s">
        <v>199</v>
      </c>
      <c r="B467" t="s">
        <v>239</v>
      </c>
      <c r="C467">
        <v>66</v>
      </c>
      <c r="D467">
        <v>1.890293986000001</v>
      </c>
      <c r="E467">
        <v>6.0395836200000004E-3</v>
      </c>
      <c r="F467">
        <v>5.6683007170000002</v>
      </c>
      <c r="G467">
        <v>7.6331482899999994</v>
      </c>
      <c r="H467">
        <v>11.66230361300001</v>
      </c>
      <c r="I467">
        <v>0.1593412002</v>
      </c>
      <c r="J467">
        <v>0.84772725500000012</v>
      </c>
      <c r="K467">
        <v>595.36791046099984</v>
      </c>
      <c r="L467">
        <v>101.042764288</v>
      </c>
      <c r="M467">
        <v>0.1673978110999999</v>
      </c>
      <c r="N467">
        <v>24.963752620000001</v>
      </c>
      <c r="O467">
        <v>0.48331063399999991</v>
      </c>
      <c r="P467">
        <v>8.405533199999999E-3</v>
      </c>
      <c r="Q467">
        <v>2.2311095270000001E-2</v>
      </c>
      <c r="R467">
        <v>1.360531065</v>
      </c>
      <c r="S467">
        <v>17.275208665000001</v>
      </c>
      <c r="T467">
        <v>24.520889589999999</v>
      </c>
      <c r="U467">
        <v>0</v>
      </c>
      <c r="V467">
        <v>0</v>
      </c>
      <c r="W467">
        <v>22781.893863149991</v>
      </c>
      <c r="Y467" t="str">
        <f>$A467 &amp; Keys!$C$8 &amp; $B467</f>
        <v>South Dakota|transportation NO2</v>
      </c>
      <c r="Z467" s="8">
        <f>IFERROR(INDEX($U467:$W467, MATCH(INDEX(Runs!$D:$D, MATCH($B467, Runs!$A:$A, 0)), $U$1:$W$1, 0)), 0)</f>
        <v>22781.893863149991</v>
      </c>
      <c r="AA467" s="8">
        <f t="shared" si="28"/>
        <v>8.2973522629634224E-5</v>
      </c>
      <c r="AB467" s="8">
        <f>IFERROR(VLOOKUP(INDEX(Runs!$F:$F, MATCH($B467, Runs!$A:$A, 0)), US_national_yearly!$D:$AM, MATCH(Keys!$C$7, US_national_yearly!$D$1:$AM$1, 0), FALSE), 0)</f>
        <v>5.7148835886332216E-3</v>
      </c>
      <c r="AC467" s="8">
        <f t="shared" si="29"/>
        <v>1.4518847382065094E-2</v>
      </c>
      <c r="AD467">
        <f>IF($Z467&lt;Keys!$C$3, 1, 0)</f>
        <v>0</v>
      </c>
      <c r="AE467">
        <f>IF($AC467&gt;Keys!$C$4, 1, 0)</f>
        <v>0</v>
      </c>
      <c r="AF467">
        <f>IF($AC467&lt;Keys!$C$5, 1, 0)</f>
        <v>0</v>
      </c>
      <c r="AG467">
        <f t="shared" si="30"/>
        <v>0</v>
      </c>
      <c r="AH467" t="str">
        <f>IFERROR(INDEX(Runs!$E:$E, MATCH($B467, Runs!$A:$A, 0)), $B467)</f>
        <v>Industry NO2</v>
      </c>
      <c r="AI467" t="str">
        <f t="shared" si="31"/>
        <v>transportation NO2</v>
      </c>
      <c r="AJ467" t="str">
        <f>IF($AG467=1, IF($AD467=1, Keys!$C$9, "") &amp; IF($AE467=1, Keys!$C$10, "") &amp; IF($AF467=1, Keys!$C$11, ""), "")</f>
        <v/>
      </c>
      <c r="AK467">
        <f>IF($AG467=1, IFERROR(INDEX($AG$2:$AG$577, MATCH($A467 &amp; Keys!$C$8 &amp; $AH467, $Y$2:$Y$577, 0)), 1), 0)</f>
        <v>0</v>
      </c>
    </row>
    <row r="468" spans="1:37" x14ac:dyDescent="0.25">
      <c r="A468" t="s">
        <v>199</v>
      </c>
      <c r="B468" t="s">
        <v>234</v>
      </c>
      <c r="C468">
        <v>66</v>
      </c>
      <c r="D468">
        <v>1.220327497</v>
      </c>
      <c r="E468">
        <v>3.9795792190000009E-3</v>
      </c>
      <c r="F468">
        <v>3.7753987059999989</v>
      </c>
      <c r="G468">
        <v>5.0841026369999991</v>
      </c>
      <c r="H468">
        <v>7.7677169399999988</v>
      </c>
      <c r="I468">
        <v>0.1004734322</v>
      </c>
      <c r="J468">
        <v>0.55286180200000012</v>
      </c>
      <c r="K468">
        <v>397.1373278449999</v>
      </c>
      <c r="L468">
        <v>67.458870626999996</v>
      </c>
      <c r="M468">
        <v>0.1081922391</v>
      </c>
      <c r="N468">
        <v>16.627218283000001</v>
      </c>
      <c r="O468">
        <v>0.3218611904</v>
      </c>
      <c r="P468">
        <v>5.5883677799999998E-3</v>
      </c>
      <c r="Q468">
        <v>1.475795014E-2</v>
      </c>
      <c r="R468">
        <v>0.90754412500000015</v>
      </c>
      <c r="S468">
        <v>11.522685652</v>
      </c>
      <c r="T468">
        <v>16.353422210000002</v>
      </c>
      <c r="U468">
        <v>590.28810232000023</v>
      </c>
      <c r="V468">
        <v>0</v>
      </c>
      <c r="W468">
        <v>0</v>
      </c>
      <c r="Y468" t="str">
        <f>$A468 &amp; Keys!$C$8 &amp; $B468</f>
        <v>South Dakota|transportation PM25</v>
      </c>
      <c r="Z468" s="8">
        <f>IFERROR(INDEX($U468:$W468, MATCH(INDEX(Runs!$D:$D, MATCH($B468, Runs!$A:$A, 0)), $U$1:$W$1, 0)), 0)</f>
        <v>590.28810232000023</v>
      </c>
      <c r="AA468" s="8">
        <f t="shared" si="28"/>
        <v>2.0673421879989881E-3</v>
      </c>
      <c r="AB468" s="8">
        <f>IFERROR(VLOOKUP(INDEX(Runs!$F:$F, MATCH($B468, Runs!$A:$A, 0)), US_national_yearly!$D:$AM, MATCH(Keys!$C$7, US_national_yearly!$D$1:$AM$1, 0), FALSE), 0)</f>
        <v>2.8248683697579859E-2</v>
      </c>
      <c r="AC468" s="8">
        <f t="shared" si="29"/>
        <v>7.3183664418887698E-2</v>
      </c>
      <c r="AD468">
        <f>IF($Z468&lt;Keys!$C$3, 1, 0)</f>
        <v>0</v>
      </c>
      <c r="AE468">
        <f>IF($AC468&gt;Keys!$C$4, 1, 0)</f>
        <v>0</v>
      </c>
      <c r="AF468">
        <f>IF($AC468&lt;Keys!$C$5, 1, 0)</f>
        <v>0</v>
      </c>
      <c r="AG468">
        <f t="shared" si="30"/>
        <v>0</v>
      </c>
      <c r="AH468" t="str">
        <f>IFERROR(INDEX(Runs!$E:$E, MATCH($B468, Runs!$A:$A, 0)), $B468)</f>
        <v>Industry PM25</v>
      </c>
      <c r="AI468" t="str">
        <f t="shared" si="31"/>
        <v>transportation PM25</v>
      </c>
      <c r="AJ468" t="str">
        <f>IF($AG468=1, IF($AD468=1, Keys!$C$9, "") &amp; IF($AE468=1, Keys!$C$10, "") &amp; IF($AF468=1, Keys!$C$11, ""), "")</f>
        <v/>
      </c>
      <c r="AK468">
        <f>IF($AG468=1, IFERROR(INDEX($AG$2:$AG$577, MATCH($A468 &amp; Keys!$C$8 &amp; $AH468, $Y$2:$Y$577, 0)), 1), 0)</f>
        <v>0</v>
      </c>
    </row>
    <row r="469" spans="1:37" x14ac:dyDescent="0.25">
      <c r="A469" t="s">
        <v>199</v>
      </c>
      <c r="B469" t="s">
        <v>243</v>
      </c>
      <c r="C469">
        <v>66</v>
      </c>
      <c r="D469">
        <v>1.4048606119999999E-2</v>
      </c>
      <c r="E469">
        <v>4.4323050200000009E-5</v>
      </c>
      <c r="F469">
        <v>4.287666250000001E-2</v>
      </c>
      <c r="G469">
        <v>5.7739723100000008E-2</v>
      </c>
      <c r="H469">
        <v>8.8216242599999994E-2</v>
      </c>
      <c r="I469">
        <v>1.1932018090000001E-3</v>
      </c>
      <c r="J469">
        <v>6.3837931400000008E-3</v>
      </c>
      <c r="K469">
        <v>4.5261000459999998</v>
      </c>
      <c r="L469">
        <v>0.7691431219999999</v>
      </c>
      <c r="M469">
        <v>1.235081227E-3</v>
      </c>
      <c r="N469">
        <v>0.18883262819999999</v>
      </c>
      <c r="O469">
        <v>3.6836320000000001E-3</v>
      </c>
      <c r="P469">
        <v>6.3942282900000022E-5</v>
      </c>
      <c r="Q469">
        <v>1.679859771E-4</v>
      </c>
      <c r="R469">
        <v>1.0357553469999999E-2</v>
      </c>
      <c r="S469">
        <v>0.131485726</v>
      </c>
      <c r="T469">
        <v>0.18654929270000001</v>
      </c>
      <c r="U469">
        <v>0</v>
      </c>
      <c r="V469">
        <v>58.609377701</v>
      </c>
      <c r="W469">
        <v>0</v>
      </c>
      <c r="Y469" t="str">
        <f>$A469 &amp; Keys!$C$8 &amp; $B469</f>
        <v>South Dakota|transportation SO2</v>
      </c>
      <c r="Z469" s="8">
        <f>IFERROR(INDEX($U469:$W469, MATCH(INDEX(Runs!$D:$D, MATCH($B469, Runs!$A:$A, 0)), $U$1:$W$1, 0)), 0)</f>
        <v>58.609377701</v>
      </c>
      <c r="AA469" s="8">
        <f t="shared" si="28"/>
        <v>2.396989470127116E-4</v>
      </c>
      <c r="AB469" s="8">
        <f>IFERROR(VLOOKUP(INDEX(Runs!$F:$F, MATCH($B469, Runs!$A:$A, 0)), US_national_yearly!$D:$AM, MATCH(Keys!$C$7, US_national_yearly!$D$1:$AM$1, 0), FALSE), 0)</f>
        <v>5.1800714166247604E-3</v>
      </c>
      <c r="AC469" s="8">
        <f t="shared" si="29"/>
        <v>4.6273290025197186E-2</v>
      </c>
      <c r="AD469">
        <f>IF($Z469&lt;Keys!$C$3, 1, 0)</f>
        <v>0</v>
      </c>
      <c r="AE469">
        <f>IF($AC469&gt;Keys!$C$4, 1, 0)</f>
        <v>0</v>
      </c>
      <c r="AF469">
        <f>IF($AC469&lt;Keys!$C$5, 1, 0)</f>
        <v>0</v>
      </c>
      <c r="AG469">
        <f t="shared" si="30"/>
        <v>0</v>
      </c>
      <c r="AH469" t="str">
        <f>IFERROR(INDEX(Runs!$E:$E, MATCH($B469, Runs!$A:$A, 0)), $B469)</f>
        <v>Industry SO2</v>
      </c>
      <c r="AI469" t="str">
        <f t="shared" si="31"/>
        <v>transportation SO2</v>
      </c>
      <c r="AJ469" t="str">
        <f>IF($AG469=1, IF($AD469=1, Keys!$C$9, "") &amp; IF($AE469=1, Keys!$C$10, "") &amp; IF($AF469=1, Keys!$C$11, ""), "")</f>
        <v/>
      </c>
      <c r="AK469">
        <f>IF($AG469=1, IFERROR(INDEX($AG$2:$AG$577, MATCH($A469 &amp; Keys!$C$8 &amp; $AH469, $Y$2:$Y$577, 0)), 1), 0)</f>
        <v>0</v>
      </c>
    </row>
    <row r="470" spans="1:37" x14ac:dyDescent="0.25">
      <c r="A470" t="s">
        <v>202</v>
      </c>
      <c r="B470" t="s">
        <v>242</v>
      </c>
      <c r="C470">
        <v>95</v>
      </c>
      <c r="D470">
        <v>9.3929117669999957</v>
      </c>
      <c r="E470">
        <v>2.1429649719999999E-2</v>
      </c>
      <c r="F470">
        <v>19.409334285000011</v>
      </c>
      <c r="G470">
        <v>26.137387963000009</v>
      </c>
      <c r="H470">
        <v>39.933845222000002</v>
      </c>
      <c r="I470">
        <v>1.9106933530000001</v>
      </c>
      <c r="J470">
        <v>11.296781812000001</v>
      </c>
      <c r="K470">
        <v>2433.2195341030001</v>
      </c>
      <c r="L470">
        <v>410.76171724699998</v>
      </c>
      <c r="M470">
        <v>2.796621148999999</v>
      </c>
      <c r="N470">
        <v>85.480567470000011</v>
      </c>
      <c r="O470">
        <v>1.3513707109999999</v>
      </c>
      <c r="P470">
        <v>0.28149501449999997</v>
      </c>
      <c r="Q470">
        <v>0.51711445519999988</v>
      </c>
      <c r="R470">
        <v>4.5509890970000004</v>
      </c>
      <c r="S470">
        <v>57.844108641000012</v>
      </c>
      <c r="T470">
        <v>82.242678928000032</v>
      </c>
      <c r="U470">
        <v>0</v>
      </c>
      <c r="V470">
        <v>0</v>
      </c>
      <c r="W470">
        <v>32363.950015975988</v>
      </c>
      <c r="Y470" t="str">
        <f>$A470 &amp; Keys!$C$8 &amp; $B470</f>
        <v>Tennessee|Industry NO2</v>
      </c>
      <c r="Z470" s="8">
        <f>IFERROR(INDEX($U470:$W470, MATCH(INDEX(Runs!$D:$D, MATCH($B470, Runs!$A:$A, 0)), $U$1:$W$1, 0)), 0)</f>
        <v>32363.950015975988</v>
      </c>
      <c r="AA470" s="8">
        <f t="shared" si="28"/>
        <v>2.9022760702458516E-4</v>
      </c>
      <c r="AB470" s="8">
        <f>IFERROR(VLOOKUP(INDEX(Runs!$F:$F, MATCH($B470, Runs!$A:$A, 0)), US_national_yearly!$D:$AM, MATCH(Keys!$C$7, US_national_yearly!$D$1:$AM$1, 0), FALSE), 0)</f>
        <v>5.8012217057786938E-3</v>
      </c>
      <c r="AC470" s="8">
        <f t="shared" si="29"/>
        <v>5.0028704597771985E-2</v>
      </c>
      <c r="AD470">
        <f>IF($Z470&lt;Keys!$C$3, 1, 0)</f>
        <v>0</v>
      </c>
      <c r="AE470">
        <f>IF($AC470&gt;Keys!$C$4, 1, 0)</f>
        <v>0</v>
      </c>
      <c r="AF470">
        <f>IF($AC470&lt;Keys!$C$5, 1, 0)</f>
        <v>0</v>
      </c>
      <c r="AG470">
        <f t="shared" si="30"/>
        <v>0</v>
      </c>
      <c r="AH470" t="str">
        <f>IFERROR(INDEX(Runs!$E:$E, MATCH($B470, Runs!$A:$A, 0)), $B470)</f>
        <v>Industry NO2</v>
      </c>
      <c r="AI470" t="str">
        <f t="shared" si="31"/>
        <v>Industry NO2</v>
      </c>
      <c r="AJ470" t="str">
        <f>IF($AG470=1, IF($AD470=1, Keys!$C$9, "") &amp; IF($AE470=1, Keys!$C$10, "") &amp; IF($AF470=1, Keys!$C$11, ""), "")</f>
        <v/>
      </c>
      <c r="AK470">
        <f>IF($AG470=1, IFERROR(INDEX($AG$2:$AG$577, MATCH($A470 &amp; Keys!$C$8 &amp; $AH470, $Y$2:$Y$577, 0)), 1), 0)</f>
        <v>0</v>
      </c>
    </row>
    <row r="471" spans="1:37" x14ac:dyDescent="0.25">
      <c r="A471" t="s">
        <v>202</v>
      </c>
      <c r="B471" t="s">
        <v>238</v>
      </c>
      <c r="C471">
        <v>95</v>
      </c>
      <c r="D471">
        <v>244.78604925199991</v>
      </c>
      <c r="E471">
        <v>0.64154862989999994</v>
      </c>
      <c r="F471">
        <v>572.98274765400004</v>
      </c>
      <c r="G471">
        <v>771.53021942700002</v>
      </c>
      <c r="H471">
        <v>1179.0317109600001</v>
      </c>
      <c r="I471">
        <v>50.446053902999992</v>
      </c>
      <c r="J471">
        <v>307.23443219199999</v>
      </c>
      <c r="K471">
        <v>71778.902576839973</v>
      </c>
      <c r="L471">
        <v>12166.166227469001</v>
      </c>
      <c r="M471">
        <v>76.295897262000011</v>
      </c>
      <c r="N471">
        <v>2523.5446780410002</v>
      </c>
      <c r="O471">
        <v>39.822663210000002</v>
      </c>
      <c r="P471">
        <v>8.313763450999998</v>
      </c>
      <c r="Q471">
        <v>14.795872599000001</v>
      </c>
      <c r="R471">
        <v>133.19463002399999</v>
      </c>
      <c r="S471">
        <v>1694.1205229020011</v>
      </c>
      <c r="T471">
        <v>2414.6625067609989</v>
      </c>
      <c r="U471">
        <v>14289.495012507001</v>
      </c>
      <c r="V471">
        <v>0</v>
      </c>
      <c r="W471">
        <v>0</v>
      </c>
      <c r="Y471" t="str">
        <f>$A471 &amp; Keys!$C$8 &amp; $B471</f>
        <v>Tennessee|Industry PM25</v>
      </c>
      <c r="Z471" s="8">
        <f>IFERROR(INDEX($U471:$W471, MATCH(INDEX(Runs!$D:$D, MATCH($B471, Runs!$A:$A, 0)), $U$1:$W$1, 0)), 0)</f>
        <v>14289.495012507001</v>
      </c>
      <c r="AA471" s="8">
        <f t="shared" si="28"/>
        <v>1.7130489848504012E-2</v>
      </c>
      <c r="AB471" s="8">
        <f>IFERROR(VLOOKUP(INDEX(Runs!$F:$F, MATCH($B471, Runs!$A:$A, 0)), US_national_yearly!$D:$AM, MATCH(Keys!$C$7, US_national_yearly!$D$1:$AM$1, 0), FALSE), 0)</f>
        <v>2.6833191881203179E-2</v>
      </c>
      <c r="AC471" s="8">
        <f t="shared" si="29"/>
        <v>0.63840671375752467</v>
      </c>
      <c r="AD471">
        <f>IF($Z471&lt;Keys!$C$3, 1, 0)</f>
        <v>0</v>
      </c>
      <c r="AE471">
        <f>IF($AC471&gt;Keys!$C$4, 1, 0)</f>
        <v>0</v>
      </c>
      <c r="AF471">
        <f>IF($AC471&lt;Keys!$C$5, 1, 0)</f>
        <v>0</v>
      </c>
      <c r="AG471">
        <f t="shared" si="30"/>
        <v>0</v>
      </c>
      <c r="AH471" t="str">
        <f>IFERROR(INDEX(Runs!$E:$E, MATCH($B471, Runs!$A:$A, 0)), $B471)</f>
        <v>Industry PM25</v>
      </c>
      <c r="AI471" t="str">
        <f t="shared" si="31"/>
        <v>Industry PM25</v>
      </c>
      <c r="AJ471" t="str">
        <f>IF($AG471=1, IF($AD471=1, Keys!$C$9, "") &amp; IF($AE471=1, Keys!$C$10, "") &amp; IF($AF471=1, Keys!$C$11, ""), "")</f>
        <v/>
      </c>
      <c r="AK471">
        <f>IF($AG471=1, IFERROR(INDEX($AG$2:$AG$577, MATCH($A471 &amp; Keys!$C$8 &amp; $AH471, $Y$2:$Y$577, 0)), 1), 0)</f>
        <v>0</v>
      </c>
    </row>
    <row r="472" spans="1:37" x14ac:dyDescent="0.25">
      <c r="A472" t="s">
        <v>202</v>
      </c>
      <c r="B472" t="s">
        <v>246</v>
      </c>
      <c r="C472">
        <v>95</v>
      </c>
      <c r="D472">
        <v>21.248618735000012</v>
      </c>
      <c r="E472">
        <v>5.7158591220000013E-2</v>
      </c>
      <c r="F472">
        <v>48.079116108000022</v>
      </c>
      <c r="G472">
        <v>64.744868509</v>
      </c>
      <c r="H472">
        <v>98.921461104999992</v>
      </c>
      <c r="I472">
        <v>4.3289013459999994</v>
      </c>
      <c r="J472">
        <v>26.135363130999998</v>
      </c>
      <c r="K472">
        <v>5870.2901825979989</v>
      </c>
      <c r="L472">
        <v>993.27312615100038</v>
      </c>
      <c r="M472">
        <v>6.4707360070000002</v>
      </c>
      <c r="N472">
        <v>211.745445722</v>
      </c>
      <c r="O472">
        <v>3.273959676</v>
      </c>
      <c r="P472">
        <v>0.69830435899999999</v>
      </c>
      <c r="Q472">
        <v>1.2346961519999999</v>
      </c>
      <c r="R472">
        <v>11.322122691000001</v>
      </c>
      <c r="S472">
        <v>143.95169904400001</v>
      </c>
      <c r="T472">
        <v>204.795397657</v>
      </c>
      <c r="U472">
        <v>0</v>
      </c>
      <c r="V472">
        <v>4505.5686511789991</v>
      </c>
      <c r="W472">
        <v>0</v>
      </c>
      <c r="Y472" t="str">
        <f>$A472 &amp; Keys!$C$8 &amp; $B472</f>
        <v>Tennessee|Industry SO2</v>
      </c>
      <c r="Z472" s="8">
        <f>IFERROR(INDEX($U472:$W472, MATCH(INDEX(Runs!$D:$D, MATCH($B472, Runs!$A:$A, 0)), $U$1:$W$1, 0)), 0)</f>
        <v>4505.5686511789991</v>
      </c>
      <c r="AA472" s="8">
        <f t="shared" si="28"/>
        <v>4.7160792299635159E-3</v>
      </c>
      <c r="AB472" s="8">
        <f>IFERROR(VLOOKUP(INDEX(Runs!$F:$F, MATCH($B472, Runs!$A:$A, 0)), US_national_yearly!$D:$AM, MATCH(Keys!$C$7, US_national_yearly!$D$1:$AM$1, 0), FALSE), 0)</f>
        <v>5.3000351638639942E-3</v>
      </c>
      <c r="AC472" s="8">
        <f t="shared" si="29"/>
        <v>0.88982036612097781</v>
      </c>
      <c r="AD472">
        <f>IF($Z472&lt;Keys!$C$3, 1, 0)</f>
        <v>0</v>
      </c>
      <c r="AE472">
        <f>IF($AC472&gt;Keys!$C$4, 1, 0)</f>
        <v>0</v>
      </c>
      <c r="AF472">
        <f>IF($AC472&lt;Keys!$C$5, 1, 0)</f>
        <v>0</v>
      </c>
      <c r="AG472">
        <f t="shared" si="30"/>
        <v>0</v>
      </c>
      <c r="AH472" t="str">
        <f>IFERROR(INDEX(Runs!$E:$E, MATCH($B472, Runs!$A:$A, 0)), $B472)</f>
        <v>Industry SO2</v>
      </c>
      <c r="AI472" t="str">
        <f t="shared" si="31"/>
        <v>Industry SO2</v>
      </c>
      <c r="AJ472" t="str">
        <f>IF($AG472=1, IF($AD472=1, Keys!$C$9, "") &amp; IF($AE472=1, Keys!$C$10, "") &amp; IF($AF472=1, Keys!$C$11, ""), "")</f>
        <v/>
      </c>
      <c r="AK472">
        <f>IF($AG472=1, IFERROR(INDEX($AG$2:$AG$577, MATCH($A472 &amp; Keys!$C$8 &amp; $AH472, $Y$2:$Y$577, 0)), 1), 0)</f>
        <v>0</v>
      </c>
    </row>
    <row r="473" spans="1:37" x14ac:dyDescent="0.25">
      <c r="A473" t="s">
        <v>202</v>
      </c>
      <c r="B473" t="s">
        <v>253</v>
      </c>
      <c r="C473">
        <v>95</v>
      </c>
      <c r="D473">
        <v>8.1213817659999972</v>
      </c>
      <c r="E473">
        <v>2.4965907459999999E-2</v>
      </c>
      <c r="F473">
        <v>20.578479206000001</v>
      </c>
      <c r="G473">
        <v>27.711828166000011</v>
      </c>
      <c r="H473">
        <v>42.339262720999997</v>
      </c>
      <c r="I473">
        <v>1.6733934939999999</v>
      </c>
      <c r="J473">
        <v>10.471636448</v>
      </c>
      <c r="K473">
        <v>2544.7594334540008</v>
      </c>
      <c r="L473">
        <v>432.63170346300012</v>
      </c>
      <c r="M473">
        <v>2.5921623999999999</v>
      </c>
      <c r="N473">
        <v>90.629570093000012</v>
      </c>
      <c r="O473">
        <v>1.410194291999999</v>
      </c>
      <c r="P473">
        <v>0.30237194340000012</v>
      </c>
      <c r="Q473">
        <v>0.51922641800000002</v>
      </c>
      <c r="R473">
        <v>4.8355543909999987</v>
      </c>
      <c r="S473">
        <v>61.439535870000007</v>
      </c>
      <c r="T473">
        <v>87.302515921000008</v>
      </c>
      <c r="U473">
        <v>0</v>
      </c>
      <c r="V473">
        <v>0</v>
      </c>
      <c r="W473">
        <v>8458.9229037069999</v>
      </c>
      <c r="Y473" t="str">
        <f>$A473 &amp; Keys!$C$8 &amp; $B473</f>
        <v>Tennessee|buildings NO2</v>
      </c>
      <c r="Z473" s="8">
        <f>IFERROR(INDEX($U473:$W473, MATCH(INDEX(Runs!$D:$D, MATCH($B473, Runs!$A:$A, 0)), $U$1:$W$1, 0)), 0)</f>
        <v>8458.9229037069999</v>
      </c>
      <c r="AA473" s="8">
        <f t="shared" si="28"/>
        <v>9.6009643999012215E-4</v>
      </c>
      <c r="AB473" s="8">
        <f>IFERROR(VLOOKUP(INDEX(Runs!$F:$F, MATCH($B473, Runs!$A:$A, 0)), US_national_yearly!$D:$AM, MATCH(Keys!$C$7, US_national_yearly!$D$1:$AM$1, 0), FALSE), 0)</f>
        <v>5.6784740124662739E-3</v>
      </c>
      <c r="AC473" s="8">
        <f t="shared" si="29"/>
        <v>0.1690764874299624</v>
      </c>
      <c r="AD473">
        <f>IF($Z473&lt;Keys!$C$3, 1, 0)</f>
        <v>0</v>
      </c>
      <c r="AE473">
        <f>IF($AC473&gt;Keys!$C$4, 1, 0)</f>
        <v>0</v>
      </c>
      <c r="AF473">
        <f>IF($AC473&lt;Keys!$C$5, 1, 0)</f>
        <v>0</v>
      </c>
      <c r="AG473">
        <f t="shared" si="30"/>
        <v>0</v>
      </c>
      <c r="AH473" t="str">
        <f>IFERROR(INDEX(Runs!$E:$E, MATCH($B473, Runs!$A:$A, 0)), $B473)</f>
        <v>Industry NO2</v>
      </c>
      <c r="AI473" t="str">
        <f t="shared" si="31"/>
        <v>buildings NO2</v>
      </c>
      <c r="AJ473" t="str">
        <f>IF($AG473=1, IF($AD473=1, Keys!$C$9, "") &amp; IF($AE473=1, Keys!$C$10, "") &amp; IF($AF473=1, Keys!$C$11, ""), "")</f>
        <v/>
      </c>
      <c r="AK473">
        <f>IF($AG473=1, IFERROR(INDEX($AG$2:$AG$577, MATCH($A473 &amp; Keys!$C$8 &amp; $AH473, $Y$2:$Y$577, 0)), 1), 0)</f>
        <v>0</v>
      </c>
    </row>
    <row r="474" spans="1:37" x14ac:dyDescent="0.25">
      <c r="A474" t="s">
        <v>202</v>
      </c>
      <c r="B474" t="s">
        <v>251</v>
      </c>
      <c r="C474">
        <v>95</v>
      </c>
      <c r="D474">
        <v>3.590692174</v>
      </c>
      <c r="E474">
        <v>1.2196409272000001E-2</v>
      </c>
      <c r="F474">
        <v>9.6283759440000019</v>
      </c>
      <c r="G474">
        <v>12.96596503300001</v>
      </c>
      <c r="H474">
        <v>19.809940893000011</v>
      </c>
      <c r="I474">
        <v>0.74324879970000013</v>
      </c>
      <c r="J474">
        <v>4.7689327050000001</v>
      </c>
      <c r="K474">
        <v>1224.354038894</v>
      </c>
      <c r="L474">
        <v>209.21171804599999</v>
      </c>
      <c r="M474">
        <v>1.1823177592</v>
      </c>
      <c r="N474">
        <v>42.40428187000002</v>
      </c>
      <c r="O474">
        <v>0.67025285420000003</v>
      </c>
      <c r="P474">
        <v>0.14380028779000001</v>
      </c>
      <c r="Q474">
        <v>0.24469619300000001</v>
      </c>
      <c r="R474">
        <v>2.2598463147999999</v>
      </c>
      <c r="S474">
        <v>28.693966327000009</v>
      </c>
      <c r="T474">
        <v>40.72714210500002</v>
      </c>
      <c r="U474">
        <v>129.098427716</v>
      </c>
      <c r="V474">
        <v>0</v>
      </c>
      <c r="W474">
        <v>0</v>
      </c>
      <c r="Y474" t="str">
        <f>$A474 &amp; Keys!$C$8 &amp; $B474</f>
        <v>Tennessee|buildings PM25</v>
      </c>
      <c r="Z474" s="8">
        <f>IFERROR(INDEX($U474:$W474, MATCH(INDEX(Runs!$D:$D, MATCH($B474, Runs!$A:$A, 0)), $U$1:$W$1, 0)), 0)</f>
        <v>129.098427716</v>
      </c>
      <c r="AA474" s="8">
        <f t="shared" si="28"/>
        <v>2.7813601122231035E-2</v>
      </c>
      <c r="AB474" s="8">
        <f>IFERROR(VLOOKUP(INDEX(Runs!$F:$F, MATCH($B474, Runs!$A:$A, 0)), US_national_yearly!$D:$AM, MATCH(Keys!$C$7, US_national_yearly!$D$1:$AM$1, 0), FALSE), 0)</f>
        <v>2.7627705191843259E-2</v>
      </c>
      <c r="AC474" s="8">
        <f t="shared" si="29"/>
        <v>1.0067286055463869</v>
      </c>
      <c r="AD474">
        <f>IF($Z474&lt;Keys!$C$3, 1, 0)</f>
        <v>0</v>
      </c>
      <c r="AE474">
        <f>IF($AC474&gt;Keys!$C$4, 1, 0)</f>
        <v>0</v>
      </c>
      <c r="AF474">
        <f>IF($AC474&lt;Keys!$C$5, 1, 0)</f>
        <v>0</v>
      </c>
      <c r="AG474">
        <f t="shared" si="30"/>
        <v>0</v>
      </c>
      <c r="AH474" t="str">
        <f>IFERROR(INDEX(Runs!$E:$E, MATCH($B474, Runs!$A:$A, 0)), $B474)</f>
        <v>Industry PM25</v>
      </c>
      <c r="AI474" t="str">
        <f t="shared" si="31"/>
        <v>buildings PM25</v>
      </c>
      <c r="AJ474" t="str">
        <f>IF($AG474=1, IF($AD474=1, Keys!$C$9, "") &amp; IF($AE474=1, Keys!$C$10, "") &amp; IF($AF474=1, Keys!$C$11, ""), "")</f>
        <v/>
      </c>
      <c r="AK474">
        <f>IF($AG474=1, IFERROR(INDEX($AG$2:$AG$577, MATCH($A474 &amp; Keys!$C$8 &amp; $AH474, $Y$2:$Y$577, 0)), 1), 0)</f>
        <v>0</v>
      </c>
    </row>
    <row r="475" spans="1:37" x14ac:dyDescent="0.25">
      <c r="A475" t="s">
        <v>202</v>
      </c>
      <c r="B475" t="s">
        <v>254</v>
      </c>
      <c r="C475">
        <v>95</v>
      </c>
      <c r="D475">
        <v>4.4643044540000014</v>
      </c>
      <c r="E475">
        <v>1.7907540015000001E-2</v>
      </c>
      <c r="F475">
        <v>12.820922478</v>
      </c>
      <c r="G475">
        <v>17.265165927999991</v>
      </c>
      <c r="H475">
        <v>26.378484912000001</v>
      </c>
      <c r="I475">
        <v>0.89495639199999999</v>
      </c>
      <c r="J475">
        <v>5.8123725469999989</v>
      </c>
      <c r="K475">
        <v>1488.077363716</v>
      </c>
      <c r="L475">
        <v>253.71048710400001</v>
      </c>
      <c r="M475">
        <v>1.4373811649999999</v>
      </c>
      <c r="N475">
        <v>56.464573317999999</v>
      </c>
      <c r="O475">
        <v>0.83852821620000006</v>
      </c>
      <c r="P475">
        <v>0.18854165889999999</v>
      </c>
      <c r="Q475">
        <v>0.30144556109999998</v>
      </c>
      <c r="R475">
        <v>3.054124284999999</v>
      </c>
      <c r="S475">
        <v>38.83031532199999</v>
      </c>
      <c r="T475">
        <v>55.236913752000007</v>
      </c>
      <c r="U475">
        <v>0</v>
      </c>
      <c r="V475">
        <v>1340.6638477179999</v>
      </c>
      <c r="W475">
        <v>0</v>
      </c>
      <c r="Y475" t="str">
        <f>$A475 &amp; Keys!$C$8 &amp; $B475</f>
        <v>Tennessee|buildings SO2</v>
      </c>
      <c r="Z475" s="8">
        <f>IFERROR(INDEX($U475:$W475, MATCH(INDEX(Runs!$D:$D, MATCH($B475, Runs!$A:$A, 0)), $U$1:$W$1, 0)), 0)</f>
        <v>1340.6638477179999</v>
      </c>
      <c r="AA475" s="8">
        <f t="shared" si="28"/>
        <v>3.329920816167961E-3</v>
      </c>
      <c r="AB475" s="8">
        <f>IFERROR(VLOOKUP(INDEX(Runs!$F:$F, MATCH($B475, Runs!$A:$A, 0)), US_national_yearly!$D:$AM, MATCH(Keys!$C$7, US_national_yearly!$D$1:$AM$1, 0), FALSE), 0)</f>
        <v>5.1581943281164694E-3</v>
      </c>
      <c r="AC475" s="8">
        <f t="shared" si="29"/>
        <v>0.6455593962439744</v>
      </c>
      <c r="AD475">
        <f>IF($Z475&lt;Keys!$C$3, 1, 0)</f>
        <v>0</v>
      </c>
      <c r="AE475">
        <f>IF($AC475&gt;Keys!$C$4, 1, 0)</f>
        <v>0</v>
      </c>
      <c r="AF475">
        <f>IF($AC475&lt;Keys!$C$5, 1, 0)</f>
        <v>0</v>
      </c>
      <c r="AG475">
        <f t="shared" si="30"/>
        <v>0</v>
      </c>
      <c r="AH475" t="str">
        <f>IFERROR(INDEX(Runs!$E:$E, MATCH($B475, Runs!$A:$A, 0)), $B475)</f>
        <v>Industry SO2</v>
      </c>
      <c r="AI475" t="str">
        <f t="shared" si="31"/>
        <v>buildings SO2</v>
      </c>
      <c r="AJ475" t="str">
        <f>IF($AG475=1, IF($AD475=1, Keys!$C$9, "") &amp; IF($AE475=1, Keys!$C$10, "") &amp; IF($AF475=1, Keys!$C$11, ""), "")</f>
        <v/>
      </c>
      <c r="AK475">
        <f>IF($AG475=1, IFERROR(INDEX($AG$2:$AG$577, MATCH($A475 &amp; Keys!$C$8 &amp; $AH475, $Y$2:$Y$577, 0)), 1), 0)</f>
        <v>0</v>
      </c>
    </row>
    <row r="476" spans="1:37" x14ac:dyDescent="0.25">
      <c r="A476" t="s">
        <v>202</v>
      </c>
      <c r="B476" t="s">
        <v>249</v>
      </c>
      <c r="C476">
        <v>95</v>
      </c>
      <c r="D476">
        <v>1.559752076000001</v>
      </c>
      <c r="E476">
        <v>2.7961306470000009E-3</v>
      </c>
      <c r="F476">
        <v>2.7574352059999998</v>
      </c>
      <c r="G476">
        <v>3.7132873800000001</v>
      </c>
      <c r="H476">
        <v>5.6732711110000036</v>
      </c>
      <c r="I476">
        <v>0.31031754199999989</v>
      </c>
      <c r="J476">
        <v>1.775852889</v>
      </c>
      <c r="K476">
        <v>361.68896137099989</v>
      </c>
      <c r="L476">
        <v>60.67949546900001</v>
      </c>
      <c r="M476">
        <v>0.43874312890000028</v>
      </c>
      <c r="N476">
        <v>12.143993697000001</v>
      </c>
      <c r="O476">
        <v>0.20179563699999989</v>
      </c>
      <c r="P476">
        <v>3.8138742720000007E-2</v>
      </c>
      <c r="Q476">
        <v>7.6776518199999963E-2</v>
      </c>
      <c r="R476">
        <v>0.6419819374000002</v>
      </c>
      <c r="S476">
        <v>8.1604575909999983</v>
      </c>
      <c r="T476">
        <v>11.603603661999999</v>
      </c>
      <c r="U476">
        <v>0</v>
      </c>
      <c r="V476">
        <v>0</v>
      </c>
      <c r="W476">
        <v>4297.7828946529999</v>
      </c>
      <c r="Y476" t="str">
        <f>$A476 &amp; Keys!$C$8 &amp; $B476</f>
        <v>Tennessee|electricity NO2</v>
      </c>
      <c r="Z476" s="8">
        <f>IFERROR(INDEX($U476:$W476, MATCH(INDEX(Runs!$D:$D, MATCH($B476, Runs!$A:$A, 0)), $U$1:$W$1, 0)), 0)</f>
        <v>4297.7828946529999</v>
      </c>
      <c r="AA476" s="8">
        <f t="shared" si="28"/>
        <v>3.6292016470644323E-4</v>
      </c>
      <c r="AB476" s="8">
        <f>IFERROR(VLOOKUP(INDEX(Runs!$F:$F, MATCH($B476, Runs!$A:$A, 0)), US_national_yearly!$D:$AM, MATCH(Keys!$C$7, US_national_yearly!$D$1:$AM$1, 0), FALSE), 0)</f>
        <v>6.1439221592658041E-3</v>
      </c>
      <c r="AC476" s="8">
        <f t="shared" si="29"/>
        <v>5.9069785602526584E-2</v>
      </c>
      <c r="AD476">
        <f>IF($Z476&lt;Keys!$C$3, 1, 0)</f>
        <v>0</v>
      </c>
      <c r="AE476">
        <f>IF($AC476&gt;Keys!$C$4, 1, 0)</f>
        <v>0</v>
      </c>
      <c r="AF476">
        <f>IF($AC476&lt;Keys!$C$5, 1, 0)</f>
        <v>0</v>
      </c>
      <c r="AG476">
        <f t="shared" si="30"/>
        <v>0</v>
      </c>
      <c r="AH476" t="str">
        <f>IFERROR(INDEX(Runs!$E:$E, MATCH($B476, Runs!$A:$A, 0)), $B476)</f>
        <v>Industry NO2</v>
      </c>
      <c r="AI476" t="str">
        <f t="shared" si="31"/>
        <v>electricity NO2</v>
      </c>
      <c r="AJ476" t="str">
        <f>IF($AG476=1, IF($AD476=1, Keys!$C$9, "") &amp; IF($AE476=1, Keys!$C$10, "") &amp; IF($AF476=1, Keys!$C$11, ""), "")</f>
        <v/>
      </c>
      <c r="AK476">
        <f>IF($AG476=1, IFERROR(INDEX($AG$2:$AG$577, MATCH($A476 &amp; Keys!$C$8 &amp; $AH476, $Y$2:$Y$577, 0)), 1), 0)</f>
        <v>0</v>
      </c>
    </row>
    <row r="477" spans="1:37" x14ac:dyDescent="0.25">
      <c r="A477" t="s">
        <v>202</v>
      </c>
      <c r="B477" t="s">
        <v>247</v>
      </c>
      <c r="C477">
        <v>95</v>
      </c>
      <c r="D477">
        <v>5.8552087419999994</v>
      </c>
      <c r="E477">
        <v>1.807516639400001E-2</v>
      </c>
      <c r="F477">
        <v>13.782583843999999</v>
      </c>
      <c r="G477">
        <v>18.560175948000001</v>
      </c>
      <c r="H477">
        <v>28.357064131000001</v>
      </c>
      <c r="I477">
        <v>1.1638354500000001</v>
      </c>
      <c r="J477">
        <v>7.1111713040000009</v>
      </c>
      <c r="K477">
        <v>1628.7635843820001</v>
      </c>
      <c r="L477">
        <v>275.62501343100013</v>
      </c>
      <c r="M477">
        <v>1.7570944709999989</v>
      </c>
      <c r="N477">
        <v>60.699823922999997</v>
      </c>
      <c r="O477">
        <v>0.92109095759999993</v>
      </c>
      <c r="P477">
        <v>0.19799389970000009</v>
      </c>
      <c r="Q477">
        <v>0.34003656240000002</v>
      </c>
      <c r="R477">
        <v>3.2707357140000011</v>
      </c>
      <c r="S477">
        <v>41.600624559000003</v>
      </c>
      <c r="T477">
        <v>59.216621109999998</v>
      </c>
      <c r="U477">
        <v>757.5793317560001</v>
      </c>
      <c r="V477">
        <v>0</v>
      </c>
      <c r="W477">
        <v>0</v>
      </c>
      <c r="Y477" t="str">
        <f>$A477 &amp; Keys!$C$8 &amp; $B477</f>
        <v>Tennessee|electricity PM25</v>
      </c>
      <c r="Z477" s="8">
        <f>IFERROR(INDEX($U477:$W477, MATCH(INDEX(Runs!$D:$D, MATCH($B477, Runs!$A:$A, 0)), $U$1:$W$1, 0)), 0)</f>
        <v>757.5793317560001</v>
      </c>
      <c r="AA477" s="8">
        <f t="shared" si="28"/>
        <v>7.7288390754116235E-3</v>
      </c>
      <c r="AB477" s="8">
        <f>IFERROR(VLOOKUP(INDEX(Runs!$F:$F, MATCH($B477, Runs!$A:$A, 0)), US_national_yearly!$D:$AM, MATCH(Keys!$C$7, US_national_yearly!$D$1:$AM$1, 0), FALSE), 0)</f>
        <v>2.4252978284752182E-2</v>
      </c>
      <c r="AC477" s="8">
        <f t="shared" si="29"/>
        <v>0.31867587496545674</v>
      </c>
      <c r="AD477">
        <f>IF($Z477&lt;Keys!$C$3, 1, 0)</f>
        <v>0</v>
      </c>
      <c r="AE477">
        <f>IF($AC477&gt;Keys!$C$4, 1, 0)</f>
        <v>0</v>
      </c>
      <c r="AF477">
        <f>IF($AC477&lt;Keys!$C$5, 1, 0)</f>
        <v>0</v>
      </c>
      <c r="AG477">
        <f t="shared" si="30"/>
        <v>0</v>
      </c>
      <c r="AH477" t="str">
        <f>IFERROR(INDEX(Runs!$E:$E, MATCH($B477, Runs!$A:$A, 0)), $B477)</f>
        <v>Industry PM25</v>
      </c>
      <c r="AI477" t="str">
        <f t="shared" si="31"/>
        <v>electricity PM25</v>
      </c>
      <c r="AJ477" t="str">
        <f>IF($AG477=1, IF($AD477=1, Keys!$C$9, "") &amp; IF($AE477=1, Keys!$C$10, "") &amp; IF($AF477=1, Keys!$C$11, ""), "")</f>
        <v/>
      </c>
      <c r="AK477">
        <f>IF($AG477=1, IFERROR(INDEX($AG$2:$AG$577, MATCH($A477 &amp; Keys!$C$8 &amp; $AH477, $Y$2:$Y$577, 0)), 1), 0)</f>
        <v>0</v>
      </c>
    </row>
    <row r="478" spans="1:37" x14ac:dyDescent="0.25">
      <c r="A478" t="s">
        <v>202</v>
      </c>
      <c r="B478" t="s">
        <v>250</v>
      </c>
      <c r="C478">
        <v>95</v>
      </c>
      <c r="D478">
        <v>1.205415627</v>
      </c>
      <c r="E478">
        <v>3.028502957999999E-3</v>
      </c>
      <c r="F478">
        <v>2.6344310900000001</v>
      </c>
      <c r="G478">
        <v>3.5476467610000002</v>
      </c>
      <c r="H478">
        <v>5.4201922110000016</v>
      </c>
      <c r="I478">
        <v>0.24176592840000019</v>
      </c>
      <c r="J478">
        <v>1.4532471250000001</v>
      </c>
      <c r="K478">
        <v>325.72338151100001</v>
      </c>
      <c r="L478">
        <v>55.026948609000023</v>
      </c>
      <c r="M478">
        <v>0.35908979800000002</v>
      </c>
      <c r="N478">
        <v>11.602270062000001</v>
      </c>
      <c r="O478">
        <v>0.18262479309999999</v>
      </c>
      <c r="P478">
        <v>3.7630664630000019E-2</v>
      </c>
      <c r="Q478">
        <v>6.7841670000000007E-2</v>
      </c>
      <c r="R478">
        <v>0.61904755000000011</v>
      </c>
      <c r="S478">
        <v>7.8687005069999989</v>
      </c>
      <c r="T478">
        <v>11.188093819000001</v>
      </c>
      <c r="U478">
        <v>0</v>
      </c>
      <c r="V478">
        <v>2125.154789144</v>
      </c>
      <c r="W478">
        <v>0</v>
      </c>
      <c r="Y478" t="str">
        <f>$A478 &amp; Keys!$C$8 &amp; $B478</f>
        <v>Tennessee|electricity SO2</v>
      </c>
      <c r="Z478" s="8">
        <f>IFERROR(INDEX($U478:$W478, MATCH(INDEX(Runs!$D:$D, MATCH($B478, Runs!$A:$A, 0)), $U$1:$W$1, 0)), 0)</f>
        <v>2125.154789144</v>
      </c>
      <c r="AA478" s="8">
        <f t="shared" si="28"/>
        <v>5.6721309579785219E-4</v>
      </c>
      <c r="AB478" s="8">
        <f>IFERROR(VLOOKUP(INDEX(Runs!$F:$F, MATCH($B478, Runs!$A:$A, 0)), US_national_yearly!$D:$AM, MATCH(Keys!$C$7, US_national_yearly!$D$1:$AM$1, 0), FALSE), 0)</f>
        <v>5.7032329662362116E-3</v>
      </c>
      <c r="AC478" s="8">
        <f t="shared" si="29"/>
        <v>9.9454660042088111E-2</v>
      </c>
      <c r="AD478">
        <f>IF($Z478&lt;Keys!$C$3, 1, 0)</f>
        <v>0</v>
      </c>
      <c r="AE478">
        <f>IF($AC478&gt;Keys!$C$4, 1, 0)</f>
        <v>0</v>
      </c>
      <c r="AF478">
        <f>IF($AC478&lt;Keys!$C$5, 1, 0)</f>
        <v>0</v>
      </c>
      <c r="AG478">
        <f t="shared" si="30"/>
        <v>0</v>
      </c>
      <c r="AH478" t="str">
        <f>IFERROR(INDEX(Runs!$E:$E, MATCH($B478, Runs!$A:$A, 0)), $B478)</f>
        <v>Industry SO2</v>
      </c>
      <c r="AI478" t="str">
        <f t="shared" si="31"/>
        <v>electricity SO2</v>
      </c>
      <c r="AJ478" t="str">
        <f>IF($AG478=1, IF($AD478=1, Keys!$C$9, "") &amp; IF($AE478=1, Keys!$C$10, "") &amp; IF($AF478=1, Keys!$C$11, ""), "")</f>
        <v/>
      </c>
      <c r="AK478">
        <f>IF($AG478=1, IFERROR(INDEX($AG$2:$AG$577, MATCH($A478 &amp; Keys!$C$8 &amp; $AH478, $Y$2:$Y$577, 0)), 1), 0)</f>
        <v>0</v>
      </c>
    </row>
    <row r="479" spans="1:37" x14ac:dyDescent="0.25">
      <c r="A479" t="s">
        <v>202</v>
      </c>
      <c r="B479" t="s">
        <v>239</v>
      </c>
      <c r="C479">
        <v>95</v>
      </c>
      <c r="D479">
        <v>70.375496944999981</v>
      </c>
      <c r="E479">
        <v>0.19479101909999991</v>
      </c>
      <c r="F479">
        <v>167.64737746200001</v>
      </c>
      <c r="G479">
        <v>225.75544282699991</v>
      </c>
      <c r="H479">
        <v>344.93772618600008</v>
      </c>
      <c r="I479">
        <v>14.493132984000001</v>
      </c>
      <c r="J479">
        <v>88.921596884999985</v>
      </c>
      <c r="K479">
        <v>20825.633695052002</v>
      </c>
      <c r="L479">
        <v>3531.1025890680012</v>
      </c>
      <c r="M479">
        <v>22.023826501999999</v>
      </c>
      <c r="N479">
        <v>738.340546475</v>
      </c>
      <c r="O479">
        <v>11.553869127</v>
      </c>
      <c r="P479">
        <v>2.4458948570000012</v>
      </c>
      <c r="Q479">
        <v>4.2999077680000006</v>
      </c>
      <c r="R479">
        <v>39.250709407999992</v>
      </c>
      <c r="S479">
        <v>498.90782029000007</v>
      </c>
      <c r="T479">
        <v>709.63248237999994</v>
      </c>
      <c r="U479">
        <v>0</v>
      </c>
      <c r="V479">
        <v>0</v>
      </c>
      <c r="W479">
        <v>81336.018939440022</v>
      </c>
      <c r="Y479" t="str">
        <f>$A479 &amp; Keys!$C$8 &amp; $B479</f>
        <v>Tennessee|transportation NO2</v>
      </c>
      <c r="Z479" s="8">
        <f>IFERROR(INDEX($U479:$W479, MATCH(INDEX(Runs!$D:$D, MATCH($B479, Runs!$A:$A, 0)), $U$1:$W$1, 0)), 0)</f>
        <v>81336.018939440022</v>
      </c>
      <c r="AA479" s="8">
        <f t="shared" si="28"/>
        <v>8.652439332861759E-4</v>
      </c>
      <c r="AB479" s="8">
        <f>IFERROR(VLOOKUP(INDEX(Runs!$F:$F, MATCH($B479, Runs!$A:$A, 0)), US_national_yearly!$D:$AM, MATCH(Keys!$C$7, US_national_yearly!$D$1:$AM$1, 0), FALSE), 0)</f>
        <v>5.7148835886332216E-3</v>
      </c>
      <c r="AC479" s="8">
        <f t="shared" si="29"/>
        <v>0.15140184745094845</v>
      </c>
      <c r="AD479">
        <f>IF($Z479&lt;Keys!$C$3, 1, 0)</f>
        <v>0</v>
      </c>
      <c r="AE479">
        <f>IF($AC479&gt;Keys!$C$4, 1, 0)</f>
        <v>0</v>
      </c>
      <c r="AF479">
        <f>IF($AC479&lt;Keys!$C$5, 1, 0)</f>
        <v>0</v>
      </c>
      <c r="AG479">
        <f t="shared" si="30"/>
        <v>0</v>
      </c>
      <c r="AH479" t="str">
        <f>IFERROR(INDEX(Runs!$E:$E, MATCH($B479, Runs!$A:$A, 0)), $B479)</f>
        <v>Industry NO2</v>
      </c>
      <c r="AI479" t="str">
        <f t="shared" si="31"/>
        <v>transportation NO2</v>
      </c>
      <c r="AJ479" t="str">
        <f>IF($AG479=1, IF($AD479=1, Keys!$C$9, "") &amp; IF($AE479=1, Keys!$C$10, "") &amp; IF($AF479=1, Keys!$C$11, ""), "")</f>
        <v/>
      </c>
      <c r="AK479">
        <f>IF($AG479=1, IFERROR(INDEX($AG$2:$AG$577, MATCH($A479 &amp; Keys!$C$8 &amp; $AH479, $Y$2:$Y$577, 0)), 1), 0)</f>
        <v>0</v>
      </c>
    </row>
    <row r="480" spans="1:37" x14ac:dyDescent="0.25">
      <c r="A480" t="s">
        <v>202</v>
      </c>
      <c r="B480" t="s">
        <v>234</v>
      </c>
      <c r="C480">
        <v>95</v>
      </c>
      <c r="D480">
        <v>41.828842788000003</v>
      </c>
      <c r="E480">
        <v>0.1196206678</v>
      </c>
      <c r="F480">
        <v>102.53779102199999</v>
      </c>
      <c r="G480">
        <v>138.079521806</v>
      </c>
      <c r="H480">
        <v>210.970996555</v>
      </c>
      <c r="I480">
        <v>8.639376884999999</v>
      </c>
      <c r="J480">
        <v>53.451602517999987</v>
      </c>
      <c r="K480">
        <v>12758.862270095</v>
      </c>
      <c r="L480">
        <v>2165.8224212649998</v>
      </c>
      <c r="M480">
        <v>13.239390995000001</v>
      </c>
      <c r="N480">
        <v>451.58830938300002</v>
      </c>
      <c r="O480">
        <v>7.0667218379999976</v>
      </c>
      <c r="P480">
        <v>1.500435674</v>
      </c>
      <c r="Q480">
        <v>2.614916112</v>
      </c>
      <c r="R480">
        <v>24.01283308799999</v>
      </c>
      <c r="S480">
        <v>305.159027176</v>
      </c>
      <c r="T480">
        <v>433.84440254499998</v>
      </c>
      <c r="U480">
        <v>1747.7049060060001</v>
      </c>
      <c r="V480">
        <v>0</v>
      </c>
      <c r="W480">
        <v>0</v>
      </c>
      <c r="Y480" t="str">
        <f>$A480 &amp; Keys!$C$8 &amp; $B480</f>
        <v>Tennessee|transportation PM25</v>
      </c>
      <c r="Z480" s="8">
        <f>IFERROR(INDEX($U480:$W480, MATCH(INDEX(Runs!$D:$D, MATCH($B480, Runs!$A:$A, 0)), $U$1:$W$1, 0)), 0)</f>
        <v>1747.7049060060001</v>
      </c>
      <c r="AA480" s="8">
        <f t="shared" si="28"/>
        <v>2.3933584350684656E-2</v>
      </c>
      <c r="AB480" s="8">
        <f>IFERROR(VLOOKUP(INDEX(Runs!$F:$F, MATCH($B480, Runs!$A:$A, 0)), US_national_yearly!$D:$AM, MATCH(Keys!$C$7, US_national_yearly!$D$1:$AM$1, 0), FALSE), 0)</f>
        <v>2.8248683697579859E-2</v>
      </c>
      <c r="AC480" s="8">
        <f t="shared" si="29"/>
        <v>0.84724600292561991</v>
      </c>
      <c r="AD480">
        <f>IF($Z480&lt;Keys!$C$3, 1, 0)</f>
        <v>0</v>
      </c>
      <c r="AE480">
        <f>IF($AC480&gt;Keys!$C$4, 1, 0)</f>
        <v>0</v>
      </c>
      <c r="AF480">
        <f>IF($AC480&lt;Keys!$C$5, 1, 0)</f>
        <v>0</v>
      </c>
      <c r="AG480">
        <f t="shared" si="30"/>
        <v>0</v>
      </c>
      <c r="AH480" t="str">
        <f>IFERROR(INDEX(Runs!$E:$E, MATCH($B480, Runs!$A:$A, 0)), $B480)</f>
        <v>Industry PM25</v>
      </c>
      <c r="AI480" t="str">
        <f t="shared" si="31"/>
        <v>transportation PM25</v>
      </c>
      <c r="AJ480" t="str">
        <f>IF($AG480=1, IF($AD480=1, Keys!$C$9, "") &amp; IF($AE480=1, Keys!$C$10, "") &amp; IF($AF480=1, Keys!$C$11, ""), "")</f>
        <v/>
      </c>
      <c r="AK480">
        <f>IF($AG480=1, IFERROR(INDEX($AG$2:$AG$577, MATCH($A480 &amp; Keys!$C$8 &amp; $AH480, $Y$2:$Y$577, 0)), 1), 0)</f>
        <v>0</v>
      </c>
    </row>
    <row r="481" spans="1:37" x14ac:dyDescent="0.25">
      <c r="A481" t="s">
        <v>202</v>
      </c>
      <c r="B481" t="s">
        <v>243</v>
      </c>
      <c r="C481">
        <v>95</v>
      </c>
      <c r="D481">
        <v>2.540490823999999</v>
      </c>
      <c r="E481">
        <v>9.0888842540000018E-3</v>
      </c>
      <c r="F481">
        <v>6.905366169999998</v>
      </c>
      <c r="G481">
        <v>9.2990723090000049</v>
      </c>
      <c r="H481">
        <v>14.207425209</v>
      </c>
      <c r="I481">
        <v>0.51670109500000005</v>
      </c>
      <c r="J481">
        <v>3.2996692310000002</v>
      </c>
      <c r="K481">
        <v>825.38388732800047</v>
      </c>
      <c r="L481">
        <v>140.5647573870001</v>
      </c>
      <c r="M481">
        <v>0.81628367899999998</v>
      </c>
      <c r="N481">
        <v>30.411863688</v>
      </c>
      <c r="O481">
        <v>0.46141775340000019</v>
      </c>
      <c r="P481">
        <v>0.10158400053</v>
      </c>
      <c r="Q481">
        <v>0.16770442729999999</v>
      </c>
      <c r="R481">
        <v>1.635821685</v>
      </c>
      <c r="S481">
        <v>20.790921217000001</v>
      </c>
      <c r="T481">
        <v>29.55742077799999</v>
      </c>
      <c r="U481">
        <v>0</v>
      </c>
      <c r="V481">
        <v>618.87358903500012</v>
      </c>
      <c r="W481">
        <v>0</v>
      </c>
      <c r="Y481" t="str">
        <f>$A481 &amp; Keys!$C$8 &amp; $B481</f>
        <v>Tennessee|transportation SO2</v>
      </c>
      <c r="Z481" s="8">
        <f>IFERROR(INDEX($U481:$W481, MATCH(INDEX(Runs!$D:$D, MATCH($B481, Runs!$A:$A, 0)), $U$1:$W$1, 0)), 0)</f>
        <v>618.87358903500012</v>
      </c>
      <c r="AA481" s="8">
        <f t="shared" si="28"/>
        <v>4.1050238190990613E-3</v>
      </c>
      <c r="AB481" s="8">
        <f>IFERROR(VLOOKUP(INDEX(Runs!$F:$F, MATCH($B481, Runs!$A:$A, 0)), US_national_yearly!$D:$AM, MATCH(Keys!$C$7, US_national_yearly!$D$1:$AM$1, 0), FALSE), 0)</f>
        <v>5.1800714166247604E-3</v>
      </c>
      <c r="AC481" s="8">
        <f t="shared" si="29"/>
        <v>0.79246471504707938</v>
      </c>
      <c r="AD481">
        <f>IF($Z481&lt;Keys!$C$3, 1, 0)</f>
        <v>0</v>
      </c>
      <c r="AE481">
        <f>IF($AC481&gt;Keys!$C$4, 1, 0)</f>
        <v>0</v>
      </c>
      <c r="AF481">
        <f>IF($AC481&lt;Keys!$C$5, 1, 0)</f>
        <v>0</v>
      </c>
      <c r="AG481">
        <f t="shared" si="30"/>
        <v>0</v>
      </c>
      <c r="AH481" t="str">
        <f>IFERROR(INDEX(Runs!$E:$E, MATCH($B481, Runs!$A:$A, 0)), $B481)</f>
        <v>Industry SO2</v>
      </c>
      <c r="AI481" t="str">
        <f t="shared" si="31"/>
        <v>transportation SO2</v>
      </c>
      <c r="AJ481" t="str">
        <f>IF($AG481=1, IF($AD481=1, Keys!$C$9, "") &amp; IF($AE481=1, Keys!$C$10, "") &amp; IF($AF481=1, Keys!$C$11, ""), "")</f>
        <v/>
      </c>
      <c r="AK481">
        <f>IF($AG481=1, IFERROR(INDEX($AG$2:$AG$577, MATCH($A481 &amp; Keys!$C$8 &amp; $AH481, $Y$2:$Y$577, 0)), 1), 0)</f>
        <v>0</v>
      </c>
    </row>
    <row r="482" spans="1:37" x14ac:dyDescent="0.25">
      <c r="A482" t="s">
        <v>205</v>
      </c>
      <c r="B482" t="s">
        <v>242</v>
      </c>
      <c r="C482">
        <v>254</v>
      </c>
      <c r="D482">
        <v>138.11581715299999</v>
      </c>
      <c r="E482">
        <v>0.52191524776700038</v>
      </c>
      <c r="F482">
        <v>509.06127882300001</v>
      </c>
      <c r="G482">
        <v>685.50844813499987</v>
      </c>
      <c r="H482">
        <v>1047.399316494</v>
      </c>
      <c r="I482">
        <v>10.09770754379999</v>
      </c>
      <c r="J482">
        <v>62.29730012209999</v>
      </c>
      <c r="K482">
        <v>57599.957766269021</v>
      </c>
      <c r="L482">
        <v>9825.5052330160015</v>
      </c>
      <c r="M482">
        <v>15.35963912750001</v>
      </c>
      <c r="N482">
        <v>2241.9690434519998</v>
      </c>
      <c r="O482">
        <v>46.234634542299979</v>
      </c>
      <c r="P482">
        <v>1.600692888095</v>
      </c>
      <c r="Q482">
        <v>3.00916223711</v>
      </c>
      <c r="R482">
        <v>119.59145502040001</v>
      </c>
      <c r="S482">
        <v>1520.1717582310021</v>
      </c>
      <c r="T482">
        <v>2162.327321720998</v>
      </c>
      <c r="U482">
        <v>0</v>
      </c>
      <c r="V482">
        <v>0</v>
      </c>
      <c r="W482">
        <v>332680.58984928217</v>
      </c>
      <c r="Y482" t="str">
        <f>$A482 &amp; Keys!$C$8 &amp; $B482</f>
        <v>Texas|Industry NO2</v>
      </c>
      <c r="Z482" s="8">
        <f>IFERROR(INDEX($U482:$W482, MATCH(INDEX(Runs!$D:$D, MATCH($B482, Runs!$A:$A, 0)), $U$1:$W$1, 0)), 0)</f>
        <v>332680.58984928217</v>
      </c>
      <c r="AA482" s="8">
        <f t="shared" si="28"/>
        <v>4.1516043125801858E-4</v>
      </c>
      <c r="AB482" s="8">
        <f>IFERROR(VLOOKUP(INDEX(Runs!$F:$F, MATCH($B482, Runs!$A:$A, 0)), US_national_yearly!$D:$AM, MATCH(Keys!$C$7, US_national_yearly!$D$1:$AM$1, 0), FALSE), 0)</f>
        <v>5.8012217057786938E-3</v>
      </c>
      <c r="AC482" s="8">
        <f t="shared" si="29"/>
        <v>7.1564310470063633E-2</v>
      </c>
      <c r="AD482">
        <f>IF($Z482&lt;Keys!$C$3, 1, 0)</f>
        <v>0</v>
      </c>
      <c r="AE482">
        <f>IF($AC482&gt;Keys!$C$4, 1, 0)</f>
        <v>0</v>
      </c>
      <c r="AF482">
        <f>IF($AC482&lt;Keys!$C$5, 1, 0)</f>
        <v>0</v>
      </c>
      <c r="AG482">
        <f t="shared" si="30"/>
        <v>0</v>
      </c>
      <c r="AH482" t="str">
        <f>IFERROR(INDEX(Runs!$E:$E, MATCH($B482, Runs!$A:$A, 0)), $B482)</f>
        <v>Industry NO2</v>
      </c>
      <c r="AI482" t="str">
        <f t="shared" si="31"/>
        <v>Industry NO2</v>
      </c>
      <c r="AJ482" t="str">
        <f>IF($AG482=1, IF($AD482=1, Keys!$C$9, "") &amp; IF($AE482=1, Keys!$C$10, "") &amp; IF($AF482=1, Keys!$C$11, ""), "")</f>
        <v/>
      </c>
      <c r="AK482">
        <f>IF($AG482=1, IFERROR(INDEX($AG$2:$AG$577, MATCH($A482 &amp; Keys!$C$8 &amp; $AH482, $Y$2:$Y$577, 0)), 1), 0)</f>
        <v>0</v>
      </c>
    </row>
    <row r="483" spans="1:37" x14ac:dyDescent="0.25">
      <c r="A483" t="s">
        <v>205</v>
      </c>
      <c r="B483" t="s">
        <v>238</v>
      </c>
      <c r="C483">
        <v>254</v>
      </c>
      <c r="D483">
        <v>863.1774750540003</v>
      </c>
      <c r="E483">
        <v>3.349716007724</v>
      </c>
      <c r="F483">
        <v>3330.788922659</v>
      </c>
      <c r="G483">
        <v>4484.7959039189946</v>
      </c>
      <c r="H483">
        <v>6854.125296713004</v>
      </c>
      <c r="I483">
        <v>64.559960644000029</v>
      </c>
      <c r="J483">
        <v>399.98175742100028</v>
      </c>
      <c r="K483">
        <v>377057.53911266022</v>
      </c>
      <c r="L483">
        <v>64362.416262279992</v>
      </c>
      <c r="M483">
        <v>99.022907001900066</v>
      </c>
      <c r="N483">
        <v>14669.710123291001</v>
      </c>
      <c r="O483">
        <v>302.21484893590019</v>
      </c>
      <c r="P483">
        <v>10.444129298349999</v>
      </c>
      <c r="Q483">
        <v>19.61977738565</v>
      </c>
      <c r="R483">
        <v>778.07108919099994</v>
      </c>
      <c r="S483">
        <v>9903.1268096369949</v>
      </c>
      <c r="T483">
        <v>14138.613944928011</v>
      </c>
      <c r="U483">
        <v>27347.138468730009</v>
      </c>
      <c r="V483">
        <v>0</v>
      </c>
      <c r="W483">
        <v>0</v>
      </c>
      <c r="Y483" t="str">
        <f>$A483 &amp; Keys!$C$8 &amp; $B483</f>
        <v>Texas|Industry PM25</v>
      </c>
      <c r="Z483" s="8">
        <f>IFERROR(INDEX($U483:$W483, MATCH(INDEX(Runs!$D:$D, MATCH($B483, Runs!$A:$A, 0)), $U$1:$W$1, 0)), 0)</f>
        <v>27347.138468730009</v>
      </c>
      <c r="AA483" s="8">
        <f t="shared" si="28"/>
        <v>3.1563721960928291E-2</v>
      </c>
      <c r="AB483" s="8">
        <f>IFERROR(VLOOKUP(INDEX(Runs!$F:$F, MATCH($B483, Runs!$A:$A, 0)), US_national_yearly!$D:$AM, MATCH(Keys!$C$7, US_national_yearly!$D$1:$AM$1, 0), FALSE), 0)</f>
        <v>2.6833191881203179E-2</v>
      </c>
      <c r="AC483" s="8">
        <f t="shared" si="29"/>
        <v>1.176293975784479</v>
      </c>
      <c r="AD483">
        <f>IF($Z483&lt;Keys!$C$3, 1, 0)</f>
        <v>0</v>
      </c>
      <c r="AE483">
        <f>IF($AC483&gt;Keys!$C$4, 1, 0)</f>
        <v>0</v>
      </c>
      <c r="AF483">
        <f>IF($AC483&lt;Keys!$C$5, 1, 0)</f>
        <v>0</v>
      </c>
      <c r="AG483">
        <f t="shared" si="30"/>
        <v>0</v>
      </c>
      <c r="AH483" t="str">
        <f>IFERROR(INDEX(Runs!$E:$E, MATCH($B483, Runs!$A:$A, 0)), $B483)</f>
        <v>Industry PM25</v>
      </c>
      <c r="AI483" t="str">
        <f t="shared" si="31"/>
        <v>Industry PM25</v>
      </c>
      <c r="AJ483" t="str">
        <f>IF($AG483=1, IF($AD483=1, Keys!$C$9, "") &amp; IF($AE483=1, Keys!$C$10, "") &amp; IF($AF483=1, Keys!$C$11, ""), "")</f>
        <v/>
      </c>
      <c r="AK483">
        <f>IF($AG483=1, IFERROR(INDEX($AG$2:$AG$577, MATCH($A483 &amp; Keys!$C$8 &amp; $AH483, $Y$2:$Y$577, 0)), 1), 0)</f>
        <v>0</v>
      </c>
    </row>
    <row r="484" spans="1:37" x14ac:dyDescent="0.25">
      <c r="A484" t="s">
        <v>205</v>
      </c>
      <c r="B484" t="s">
        <v>246</v>
      </c>
      <c r="C484">
        <v>254</v>
      </c>
      <c r="D484">
        <v>268.98513766799988</v>
      </c>
      <c r="E484">
        <v>0.96931067908999979</v>
      </c>
      <c r="F484">
        <v>979.849377377</v>
      </c>
      <c r="G484">
        <v>1319.4695573009999</v>
      </c>
      <c r="H484">
        <v>2016.067809736001</v>
      </c>
      <c r="I484">
        <v>19.918986459900012</v>
      </c>
      <c r="J484">
        <v>121.23419767</v>
      </c>
      <c r="K484">
        <v>109604.2250147439</v>
      </c>
      <c r="L484">
        <v>18674.363092045009</v>
      </c>
      <c r="M484">
        <v>29.921111759400009</v>
      </c>
      <c r="N484">
        <v>4315.3867444139996</v>
      </c>
      <c r="O484">
        <v>88.441544611999944</v>
      </c>
      <c r="P484">
        <v>3.0810893762800009</v>
      </c>
      <c r="Q484">
        <v>5.7614027854099996</v>
      </c>
      <c r="R484">
        <v>229.62816718400009</v>
      </c>
      <c r="S484">
        <v>2919.629577994001</v>
      </c>
      <c r="T484">
        <v>4155.0762605529999</v>
      </c>
      <c r="U484">
        <v>0</v>
      </c>
      <c r="V484">
        <v>48866.230884976023</v>
      </c>
      <c r="W484">
        <v>0</v>
      </c>
      <c r="Y484" t="str">
        <f>$A484 &amp; Keys!$C$8 &amp; $B484</f>
        <v>Texas|Industry SO2</v>
      </c>
      <c r="Z484" s="8">
        <f>IFERROR(INDEX($U484:$W484, MATCH(INDEX(Runs!$D:$D, MATCH($B484, Runs!$A:$A, 0)), $U$1:$W$1, 0)), 0)</f>
        <v>48866.230884976023</v>
      </c>
      <c r="AA484" s="8">
        <f t="shared" si="28"/>
        <v>5.5045198452311917E-3</v>
      </c>
      <c r="AB484" s="8">
        <f>IFERROR(VLOOKUP(INDEX(Runs!$F:$F, MATCH($B484, Runs!$A:$A, 0)), US_national_yearly!$D:$AM, MATCH(Keys!$C$7, US_national_yearly!$D$1:$AM$1, 0), FALSE), 0)</f>
        <v>5.3000351638639942E-3</v>
      </c>
      <c r="AC484" s="8">
        <f t="shared" si="29"/>
        <v>1.0385817593742375</v>
      </c>
      <c r="AD484">
        <f>IF($Z484&lt;Keys!$C$3, 1, 0)</f>
        <v>0</v>
      </c>
      <c r="AE484">
        <f>IF($AC484&gt;Keys!$C$4, 1, 0)</f>
        <v>0</v>
      </c>
      <c r="AF484">
        <f>IF($AC484&lt;Keys!$C$5, 1, 0)</f>
        <v>0</v>
      </c>
      <c r="AG484">
        <f t="shared" si="30"/>
        <v>0</v>
      </c>
      <c r="AH484" t="str">
        <f>IFERROR(INDEX(Runs!$E:$E, MATCH($B484, Runs!$A:$A, 0)), $B484)</f>
        <v>Industry SO2</v>
      </c>
      <c r="AI484" t="str">
        <f t="shared" si="31"/>
        <v>Industry SO2</v>
      </c>
      <c r="AJ484" t="str">
        <f>IF($AG484=1, IF($AD484=1, Keys!$C$9, "") &amp; IF($AE484=1, Keys!$C$10, "") &amp; IF($AF484=1, Keys!$C$11, ""), "")</f>
        <v/>
      </c>
      <c r="AK484">
        <f>IF($AG484=1, IFERROR(INDEX($AG$2:$AG$577, MATCH($A484 &amp; Keys!$C$8 &amp; $AH484, $Y$2:$Y$577, 0)), 1), 0)</f>
        <v>0</v>
      </c>
    </row>
    <row r="485" spans="1:37" x14ac:dyDescent="0.25">
      <c r="A485" t="s">
        <v>205</v>
      </c>
      <c r="B485" t="s">
        <v>253</v>
      </c>
      <c r="C485">
        <v>254</v>
      </c>
      <c r="D485">
        <v>38.079522089799987</v>
      </c>
      <c r="E485">
        <v>0.14901470620390009</v>
      </c>
      <c r="F485">
        <v>147.91580121850001</v>
      </c>
      <c r="G485">
        <v>199.18926071000001</v>
      </c>
      <c r="H485">
        <v>304.33038896469992</v>
      </c>
      <c r="I485">
        <v>2.8488815318599969</v>
      </c>
      <c r="J485">
        <v>17.761831149950019</v>
      </c>
      <c r="K485">
        <v>16785.049979774019</v>
      </c>
      <c r="L485">
        <v>2863.6442314909982</v>
      </c>
      <c r="M485">
        <v>4.3768123909599996</v>
      </c>
      <c r="N485">
        <v>651.43545089319991</v>
      </c>
      <c r="O485">
        <v>13.43089962581</v>
      </c>
      <c r="P485">
        <v>0.46355104041610001</v>
      </c>
      <c r="Q485">
        <v>0.86941498783199966</v>
      </c>
      <c r="R485">
        <v>34.723575491200002</v>
      </c>
      <c r="S485">
        <v>441.35130306399981</v>
      </c>
      <c r="T485">
        <v>627.53290388300104</v>
      </c>
      <c r="U485">
        <v>0</v>
      </c>
      <c r="V485">
        <v>0</v>
      </c>
      <c r="W485">
        <v>18449.901351962992</v>
      </c>
      <c r="Y485" t="str">
        <f>$A485 &amp; Keys!$C$8 &amp; $B485</f>
        <v>Texas|buildings NO2</v>
      </c>
      <c r="Z485" s="8">
        <f>IFERROR(INDEX($U485:$W485, MATCH(INDEX(Runs!$D:$D, MATCH($B485, Runs!$A:$A, 0)), $U$1:$W$1, 0)), 0)</f>
        <v>18449.901351962992</v>
      </c>
      <c r="AA485" s="8">
        <f t="shared" si="28"/>
        <v>2.0639417720110728E-3</v>
      </c>
      <c r="AB485" s="8">
        <f>IFERROR(VLOOKUP(INDEX(Runs!$F:$F, MATCH($B485, Runs!$A:$A, 0)), US_national_yearly!$D:$AM, MATCH(Keys!$C$7, US_national_yearly!$D$1:$AM$1, 0), FALSE), 0)</f>
        <v>5.6784740124662739E-3</v>
      </c>
      <c r="AC485" s="8">
        <f t="shared" si="29"/>
        <v>0.3634676794293652</v>
      </c>
      <c r="AD485">
        <f>IF($Z485&lt;Keys!$C$3, 1, 0)</f>
        <v>0</v>
      </c>
      <c r="AE485">
        <f>IF($AC485&gt;Keys!$C$4, 1, 0)</f>
        <v>0</v>
      </c>
      <c r="AF485">
        <f>IF($AC485&lt;Keys!$C$5, 1, 0)</f>
        <v>0</v>
      </c>
      <c r="AG485">
        <f t="shared" si="30"/>
        <v>0</v>
      </c>
      <c r="AH485" t="str">
        <f>IFERROR(INDEX(Runs!$E:$E, MATCH($B485, Runs!$A:$A, 0)), $B485)</f>
        <v>Industry NO2</v>
      </c>
      <c r="AI485" t="str">
        <f t="shared" si="31"/>
        <v>buildings NO2</v>
      </c>
      <c r="AJ485" t="str">
        <f>IF($AG485=1, IF($AD485=1, Keys!$C$9, "") &amp; IF($AE485=1, Keys!$C$10, "") &amp; IF($AF485=1, Keys!$C$11, ""), "")</f>
        <v/>
      </c>
      <c r="AK485">
        <f>IF($AG485=1, IFERROR(INDEX($AG$2:$AG$577, MATCH($A485 &amp; Keys!$C$8 &amp; $AH485, $Y$2:$Y$577, 0)), 1), 0)</f>
        <v>0</v>
      </c>
    </row>
    <row r="486" spans="1:37" x14ac:dyDescent="0.25">
      <c r="A486" t="s">
        <v>205</v>
      </c>
      <c r="B486" t="s">
        <v>251</v>
      </c>
      <c r="C486">
        <v>254</v>
      </c>
      <c r="D486">
        <v>3.8152264317500011</v>
      </c>
      <c r="E486">
        <v>1.5628080617500002E-2</v>
      </c>
      <c r="F486">
        <v>15.093295687819991</v>
      </c>
      <c r="G486">
        <v>20.32532602769</v>
      </c>
      <c r="H486">
        <v>31.05360614828</v>
      </c>
      <c r="I486">
        <v>0.28299357404200021</v>
      </c>
      <c r="J486">
        <v>1.7841650698669991</v>
      </c>
      <c r="K486">
        <v>1714.632626093</v>
      </c>
      <c r="L486">
        <v>292.72835025199998</v>
      </c>
      <c r="M486">
        <v>0.43929978689499999</v>
      </c>
      <c r="N486">
        <v>66.472227863789982</v>
      </c>
      <c r="O486">
        <v>1.3706520765489989</v>
      </c>
      <c r="P486">
        <v>4.7402105522600033E-2</v>
      </c>
      <c r="Q486">
        <v>8.8458693312300052E-2</v>
      </c>
      <c r="R486">
        <v>3.5487369105119981</v>
      </c>
      <c r="S486">
        <v>45.098072605750041</v>
      </c>
      <c r="T486">
        <v>64.099317458619964</v>
      </c>
      <c r="U486">
        <v>110.6121108708099</v>
      </c>
      <c r="V486">
        <v>0</v>
      </c>
      <c r="W486">
        <v>0</v>
      </c>
      <c r="Y486" t="str">
        <f>$A486 &amp; Keys!$C$8 &amp; $B486</f>
        <v>Texas|buildings PM25</v>
      </c>
      <c r="Z486" s="8">
        <f>IFERROR(INDEX($U486:$W486, MATCH(INDEX(Runs!$D:$D, MATCH($B486, Runs!$A:$A, 0)), $U$1:$W$1, 0)), 0)</f>
        <v>110.6121108708099</v>
      </c>
      <c r="AA486" s="8">
        <f t="shared" si="28"/>
        <v>3.4491941268583313E-2</v>
      </c>
      <c r="AB486" s="8">
        <f>IFERROR(VLOOKUP(INDEX(Runs!$F:$F, MATCH($B486, Runs!$A:$A, 0)), US_national_yearly!$D:$AM, MATCH(Keys!$C$7, US_national_yearly!$D$1:$AM$1, 0), FALSE), 0)</f>
        <v>2.7627705191843259E-2</v>
      </c>
      <c r="AC486" s="8">
        <f t="shared" si="29"/>
        <v>1.2484548039395844</v>
      </c>
      <c r="AD486">
        <f>IF($Z486&lt;Keys!$C$3, 1, 0)</f>
        <v>0</v>
      </c>
      <c r="AE486">
        <f>IF($AC486&gt;Keys!$C$4, 1, 0)</f>
        <v>0</v>
      </c>
      <c r="AF486">
        <f>IF($AC486&lt;Keys!$C$5, 1, 0)</f>
        <v>0</v>
      </c>
      <c r="AG486">
        <f t="shared" si="30"/>
        <v>0</v>
      </c>
      <c r="AH486" t="str">
        <f>IFERROR(INDEX(Runs!$E:$E, MATCH($B486, Runs!$A:$A, 0)), $B486)</f>
        <v>Industry PM25</v>
      </c>
      <c r="AI486" t="str">
        <f t="shared" si="31"/>
        <v>buildings PM25</v>
      </c>
      <c r="AJ486" t="str">
        <f>IF($AG486=1, IF($AD486=1, Keys!$C$9, "") &amp; IF($AE486=1, Keys!$C$10, "") &amp; IF($AF486=1, Keys!$C$11, ""), "")</f>
        <v/>
      </c>
      <c r="AK486">
        <f>IF($AG486=1, IFERROR(INDEX($AG$2:$AG$577, MATCH($A486 &amp; Keys!$C$8 &amp; $AH486, $Y$2:$Y$577, 0)), 1), 0)</f>
        <v>0</v>
      </c>
    </row>
    <row r="487" spans="1:37" x14ac:dyDescent="0.25">
      <c r="A487" t="s">
        <v>205</v>
      </c>
      <c r="B487" t="s">
        <v>254</v>
      </c>
      <c r="C487">
        <v>254</v>
      </c>
      <c r="D487">
        <v>0.49792707107900008</v>
      </c>
      <c r="E487">
        <v>1.9792435568630009E-3</v>
      </c>
      <c r="F487">
        <v>1.9505390605429991</v>
      </c>
      <c r="G487">
        <v>2.626687124572999</v>
      </c>
      <c r="H487">
        <v>4.0131211723430011</v>
      </c>
      <c r="I487">
        <v>3.7107051435299993E-2</v>
      </c>
      <c r="J487">
        <v>0.23206309936020009</v>
      </c>
      <c r="K487">
        <v>220.52604179959991</v>
      </c>
      <c r="L487">
        <v>37.646469580440019</v>
      </c>
      <c r="M487">
        <v>5.7159505255599978E-2</v>
      </c>
      <c r="N487">
        <v>8.5903473574589988</v>
      </c>
      <c r="O487">
        <v>0.17672619055489999</v>
      </c>
      <c r="P487">
        <v>6.119892427819006E-3</v>
      </c>
      <c r="Q487">
        <v>1.139304037041E-2</v>
      </c>
      <c r="R487">
        <v>0.45854402268540001</v>
      </c>
      <c r="S487">
        <v>5.8273462286319946</v>
      </c>
      <c r="T487">
        <v>8.2827021771600098</v>
      </c>
      <c r="U487">
        <v>0</v>
      </c>
      <c r="V487">
        <v>96.033918949799883</v>
      </c>
      <c r="W487">
        <v>0</v>
      </c>
      <c r="Y487" t="str">
        <f>$A487 &amp; Keys!$C$8 &amp; $B487</f>
        <v>Texas|buildings SO2</v>
      </c>
      <c r="Z487" s="8">
        <f>IFERROR(INDEX($U487:$W487, MATCH(INDEX(Runs!$D:$D, MATCH($B487, Runs!$A:$A, 0)), $U$1:$W$1, 0)), 0)</f>
        <v>96.033918949799883</v>
      </c>
      <c r="AA487" s="8">
        <f t="shared" si="28"/>
        <v>5.1849083794995709E-3</v>
      </c>
      <c r="AB487" s="8">
        <f>IFERROR(VLOOKUP(INDEX(Runs!$F:$F, MATCH($B487, Runs!$A:$A, 0)), US_national_yearly!$D:$AM, MATCH(Keys!$C$7, US_national_yearly!$D$1:$AM$1, 0), FALSE), 0)</f>
        <v>5.1581943281164694E-3</v>
      </c>
      <c r="AC487" s="8">
        <f t="shared" si="29"/>
        <v>1.0051789540455054</v>
      </c>
      <c r="AD487">
        <f>IF($Z487&lt;Keys!$C$3, 1, 0)</f>
        <v>0</v>
      </c>
      <c r="AE487">
        <f>IF($AC487&gt;Keys!$C$4, 1, 0)</f>
        <v>0</v>
      </c>
      <c r="AF487">
        <f>IF($AC487&lt;Keys!$C$5, 1, 0)</f>
        <v>0</v>
      </c>
      <c r="AG487">
        <f t="shared" si="30"/>
        <v>0</v>
      </c>
      <c r="AH487" t="str">
        <f>IFERROR(INDEX(Runs!$E:$E, MATCH($B487, Runs!$A:$A, 0)), $B487)</f>
        <v>Industry SO2</v>
      </c>
      <c r="AI487" t="str">
        <f t="shared" si="31"/>
        <v>buildings SO2</v>
      </c>
      <c r="AJ487" t="str">
        <f>IF($AG487=1, IF($AD487=1, Keys!$C$9, "") &amp; IF($AE487=1, Keys!$C$10, "") &amp; IF($AF487=1, Keys!$C$11, ""), "")</f>
        <v/>
      </c>
      <c r="AK487">
        <f>IF($AG487=1, IFERROR(INDEX($AG$2:$AG$577, MATCH($A487 &amp; Keys!$C$8 &amp; $AH487, $Y$2:$Y$577, 0)), 1), 0)</f>
        <v>0</v>
      </c>
    </row>
    <row r="488" spans="1:37" x14ac:dyDescent="0.25">
      <c r="A488" t="s">
        <v>205</v>
      </c>
      <c r="B488" t="s">
        <v>249</v>
      </c>
      <c r="C488">
        <v>254</v>
      </c>
      <c r="D488">
        <v>64.508654921900003</v>
      </c>
      <c r="E488">
        <v>0.22282459941000021</v>
      </c>
      <c r="F488">
        <v>223.68062641299991</v>
      </c>
      <c r="G488">
        <v>301.21676201199989</v>
      </c>
      <c r="H488">
        <v>460.21407881899989</v>
      </c>
      <c r="I488">
        <v>4.7884981764700001</v>
      </c>
      <c r="J488">
        <v>28.900121006800031</v>
      </c>
      <c r="K488">
        <v>25473.74348067497</v>
      </c>
      <c r="L488">
        <v>4334.941104431</v>
      </c>
      <c r="M488">
        <v>7.1235769439699954</v>
      </c>
      <c r="N488">
        <v>985.11146724399964</v>
      </c>
      <c r="O488">
        <v>20.456577679599999</v>
      </c>
      <c r="P488">
        <v>0.70401341199100043</v>
      </c>
      <c r="Q488">
        <v>1.352538257945999</v>
      </c>
      <c r="R488">
        <v>52.343895118699997</v>
      </c>
      <c r="S488">
        <v>665.26610773500045</v>
      </c>
      <c r="T488">
        <v>945.81099959899962</v>
      </c>
      <c r="U488">
        <v>0</v>
      </c>
      <c r="V488">
        <v>0</v>
      </c>
      <c r="W488">
        <v>81794.377993907998</v>
      </c>
      <c r="Y488" t="str">
        <f>$A488 &amp; Keys!$C$8 &amp; $B488</f>
        <v>Texas|electricity NO2</v>
      </c>
      <c r="Z488" s="8">
        <f>IFERROR(INDEX($U488:$W488, MATCH(INDEX(Runs!$D:$D, MATCH($B488, Runs!$A:$A, 0)), $U$1:$W$1, 0)), 0)</f>
        <v>81794.377993907998</v>
      </c>
      <c r="AA488" s="8">
        <f t="shared" si="28"/>
        <v>7.8866856749866814E-4</v>
      </c>
      <c r="AB488" s="8">
        <f>IFERROR(VLOOKUP(INDEX(Runs!$F:$F, MATCH($B488, Runs!$A:$A, 0)), US_national_yearly!$D:$AM, MATCH(Keys!$C$7, US_national_yearly!$D$1:$AM$1, 0), FALSE), 0)</f>
        <v>6.1439221592658041E-3</v>
      </c>
      <c r="AC488" s="8">
        <f t="shared" si="29"/>
        <v>0.12836565097252367</v>
      </c>
      <c r="AD488">
        <f>IF($Z488&lt;Keys!$C$3, 1, 0)</f>
        <v>0</v>
      </c>
      <c r="AE488">
        <f>IF($AC488&gt;Keys!$C$4, 1, 0)</f>
        <v>0</v>
      </c>
      <c r="AF488">
        <f>IF($AC488&lt;Keys!$C$5, 1, 0)</f>
        <v>0</v>
      </c>
      <c r="AG488">
        <f t="shared" si="30"/>
        <v>0</v>
      </c>
      <c r="AH488" t="str">
        <f>IFERROR(INDEX(Runs!$E:$E, MATCH($B488, Runs!$A:$A, 0)), $B488)</f>
        <v>Industry NO2</v>
      </c>
      <c r="AI488" t="str">
        <f t="shared" si="31"/>
        <v>electricity NO2</v>
      </c>
      <c r="AJ488" t="str">
        <f>IF($AG488=1, IF($AD488=1, Keys!$C$9, "") &amp; IF($AE488=1, Keys!$C$10, "") &amp; IF($AF488=1, Keys!$C$11, ""), "")</f>
        <v/>
      </c>
      <c r="AK488">
        <f>IF($AG488=1, IFERROR(INDEX($AG$2:$AG$577, MATCH($A488 &amp; Keys!$C$8 &amp; $AH488, $Y$2:$Y$577, 0)), 1), 0)</f>
        <v>0</v>
      </c>
    </row>
    <row r="489" spans="1:37" x14ac:dyDescent="0.25">
      <c r="A489" t="s">
        <v>205</v>
      </c>
      <c r="B489" t="s">
        <v>247</v>
      </c>
      <c r="C489">
        <v>254</v>
      </c>
      <c r="D489">
        <v>71.098120744500008</v>
      </c>
      <c r="E489">
        <v>0.25374065878699981</v>
      </c>
      <c r="F489">
        <v>258.68837294669987</v>
      </c>
      <c r="G489">
        <v>348.35862682819999</v>
      </c>
      <c r="H489">
        <v>532.24294482100026</v>
      </c>
      <c r="I489">
        <v>5.3239062227199989</v>
      </c>
      <c r="J489">
        <v>32.55464150340002</v>
      </c>
      <c r="K489">
        <v>29459.663680589991</v>
      </c>
      <c r="L489">
        <v>5017.8364953799964</v>
      </c>
      <c r="M489">
        <v>8.0197362651999953</v>
      </c>
      <c r="N489">
        <v>1139.2899445958999</v>
      </c>
      <c r="O489">
        <v>23.61764393628</v>
      </c>
      <c r="P489">
        <v>0.81215050088259988</v>
      </c>
      <c r="Q489">
        <v>1.5502849880299989</v>
      </c>
      <c r="R489">
        <v>60.592172224579983</v>
      </c>
      <c r="S489">
        <v>770.07923750000066</v>
      </c>
      <c r="T489">
        <v>1094.8194055890001</v>
      </c>
      <c r="U489">
        <v>5468.8400436729999</v>
      </c>
      <c r="V489">
        <v>0</v>
      </c>
      <c r="W489">
        <v>0</v>
      </c>
      <c r="Y489" t="str">
        <f>$A489 &amp; Keys!$C$8 &amp; $B489</f>
        <v>Texas|electricity PM25</v>
      </c>
      <c r="Z489" s="8">
        <f>IFERROR(INDEX($U489:$W489, MATCH(INDEX(Runs!$D:$D, MATCH($B489, Runs!$A:$A, 0)), $U$1:$W$1, 0)), 0)</f>
        <v>5468.8400436729999</v>
      </c>
      <c r="AA489" s="8">
        <f t="shared" si="28"/>
        <v>1.3000585165542502E-2</v>
      </c>
      <c r="AB489" s="8">
        <f>IFERROR(VLOOKUP(INDEX(Runs!$F:$F, MATCH($B489, Runs!$A:$A, 0)), US_national_yearly!$D:$AM, MATCH(Keys!$C$7, US_national_yearly!$D$1:$AM$1, 0), FALSE), 0)</f>
        <v>2.4252978284752182E-2</v>
      </c>
      <c r="AC489" s="8">
        <f t="shared" si="29"/>
        <v>0.53604077045316756</v>
      </c>
      <c r="AD489">
        <f>IF($Z489&lt;Keys!$C$3, 1, 0)</f>
        <v>0</v>
      </c>
      <c r="AE489">
        <f>IF($AC489&gt;Keys!$C$4, 1, 0)</f>
        <v>0</v>
      </c>
      <c r="AF489">
        <f>IF($AC489&lt;Keys!$C$5, 1, 0)</f>
        <v>0</v>
      </c>
      <c r="AG489">
        <f t="shared" si="30"/>
        <v>0</v>
      </c>
      <c r="AH489" t="str">
        <f>IFERROR(INDEX(Runs!$E:$E, MATCH($B489, Runs!$A:$A, 0)), $B489)</f>
        <v>Industry PM25</v>
      </c>
      <c r="AI489" t="str">
        <f t="shared" si="31"/>
        <v>electricity PM25</v>
      </c>
      <c r="AJ489" t="str">
        <f>IF($AG489=1, IF($AD489=1, Keys!$C$9, "") &amp; IF($AE489=1, Keys!$C$10, "") &amp; IF($AF489=1, Keys!$C$11, ""), "")</f>
        <v/>
      </c>
      <c r="AK489">
        <f>IF($AG489=1, IFERROR(INDEX($AG$2:$AG$577, MATCH($A489 &amp; Keys!$C$8 &amp; $AH489, $Y$2:$Y$577, 0)), 1), 0)</f>
        <v>0</v>
      </c>
    </row>
    <row r="490" spans="1:37" x14ac:dyDescent="0.25">
      <c r="A490" t="s">
        <v>205</v>
      </c>
      <c r="B490" t="s">
        <v>250</v>
      </c>
      <c r="C490">
        <v>254</v>
      </c>
      <c r="D490">
        <v>46.843592135599991</v>
      </c>
      <c r="E490">
        <v>0.16215516294599999</v>
      </c>
      <c r="F490">
        <v>165.23007752640009</v>
      </c>
      <c r="G490">
        <v>222.50546209699991</v>
      </c>
      <c r="H490">
        <v>339.95353637199992</v>
      </c>
      <c r="I490">
        <v>3.4864047884399989</v>
      </c>
      <c r="J490">
        <v>21.136041988000009</v>
      </c>
      <c r="K490">
        <v>18782.61774630698</v>
      </c>
      <c r="L490">
        <v>3196.8537330869999</v>
      </c>
      <c r="M490">
        <v>5.2083824683699991</v>
      </c>
      <c r="N490">
        <v>727.68907599539989</v>
      </c>
      <c r="O490">
        <v>15.080427318120011</v>
      </c>
      <c r="P490">
        <v>0.51893763626799994</v>
      </c>
      <c r="Q490">
        <v>0.99501287558500007</v>
      </c>
      <c r="R490">
        <v>38.70218033830001</v>
      </c>
      <c r="S490">
        <v>491.90269358500018</v>
      </c>
      <c r="T490">
        <v>699.36025165700039</v>
      </c>
      <c r="U490">
        <v>0</v>
      </c>
      <c r="V490">
        <v>67936.685426508993</v>
      </c>
      <c r="W490">
        <v>0</v>
      </c>
      <c r="Y490" t="str">
        <f>$A490 &amp; Keys!$C$8 &amp; $B490</f>
        <v>Texas|electricity SO2</v>
      </c>
      <c r="Z490" s="8">
        <f>IFERROR(INDEX($U490:$W490, MATCH(INDEX(Runs!$D:$D, MATCH($B490, Runs!$A:$A, 0)), $U$1:$W$1, 0)), 0)</f>
        <v>67936.685426508993</v>
      </c>
      <c r="AA490" s="8">
        <f t="shared" si="28"/>
        <v>6.8951836318646112E-4</v>
      </c>
      <c r="AB490" s="8">
        <f>IFERROR(VLOOKUP(INDEX(Runs!$F:$F, MATCH($B490, Runs!$A:$A, 0)), US_national_yearly!$D:$AM, MATCH(Keys!$C$7, US_national_yearly!$D$1:$AM$1, 0), FALSE), 0)</f>
        <v>5.7032329662362116E-3</v>
      </c>
      <c r="AC490" s="8">
        <f t="shared" si="29"/>
        <v>0.12089956122579743</v>
      </c>
      <c r="AD490">
        <f>IF($Z490&lt;Keys!$C$3, 1, 0)</f>
        <v>0</v>
      </c>
      <c r="AE490">
        <f>IF($AC490&gt;Keys!$C$4, 1, 0)</f>
        <v>0</v>
      </c>
      <c r="AF490">
        <f>IF($AC490&lt;Keys!$C$5, 1, 0)</f>
        <v>0</v>
      </c>
      <c r="AG490">
        <f t="shared" si="30"/>
        <v>0</v>
      </c>
      <c r="AH490" t="str">
        <f>IFERROR(INDEX(Runs!$E:$E, MATCH($B490, Runs!$A:$A, 0)), $B490)</f>
        <v>Industry SO2</v>
      </c>
      <c r="AI490" t="str">
        <f t="shared" si="31"/>
        <v>electricity SO2</v>
      </c>
      <c r="AJ490" t="str">
        <f>IF($AG490=1, IF($AD490=1, Keys!$C$9, "") &amp; IF($AE490=1, Keys!$C$10, "") &amp; IF($AF490=1, Keys!$C$11, ""), "")</f>
        <v/>
      </c>
      <c r="AK490">
        <f>IF($AG490=1, IFERROR(INDEX($AG$2:$AG$577, MATCH($A490 &amp; Keys!$C$8 &amp; $AH490, $Y$2:$Y$577, 0)), 1), 0)</f>
        <v>0</v>
      </c>
    </row>
    <row r="491" spans="1:37" x14ac:dyDescent="0.25">
      <c r="A491" t="s">
        <v>205</v>
      </c>
      <c r="B491" t="s">
        <v>239</v>
      </c>
      <c r="C491">
        <v>254</v>
      </c>
      <c r="D491">
        <v>449.25213455599987</v>
      </c>
      <c r="E491">
        <v>1.716078244393999</v>
      </c>
      <c r="F491">
        <v>1707.5855332780011</v>
      </c>
      <c r="G491">
        <v>2299.3793839239979</v>
      </c>
      <c r="H491">
        <v>3513.5336174180002</v>
      </c>
      <c r="I491">
        <v>33.548024584599993</v>
      </c>
      <c r="J491">
        <v>207.21171501800001</v>
      </c>
      <c r="K491">
        <v>193114.62774920711</v>
      </c>
      <c r="L491">
        <v>32935.173827399987</v>
      </c>
      <c r="M491">
        <v>51.168217133799978</v>
      </c>
      <c r="N491">
        <v>7520.4985346200001</v>
      </c>
      <c r="O491">
        <v>154.9074494116</v>
      </c>
      <c r="P491">
        <v>5.3525902212489962</v>
      </c>
      <c r="Q491">
        <v>10.063366320300011</v>
      </c>
      <c r="R491">
        <v>399.86973113879992</v>
      </c>
      <c r="S491">
        <v>5085.472984516995</v>
      </c>
      <c r="T491">
        <v>7243.2799032770008</v>
      </c>
      <c r="U491">
        <v>0</v>
      </c>
      <c r="V491">
        <v>0</v>
      </c>
      <c r="W491">
        <v>283024.18245611037</v>
      </c>
      <c r="Y491" t="str">
        <f>$A491 &amp; Keys!$C$8 &amp; $B491</f>
        <v>Texas|transportation NO2</v>
      </c>
      <c r="Z491" s="8">
        <f>IFERROR(INDEX($U491:$W491, MATCH(INDEX(Runs!$D:$D, MATCH($B491, Runs!$A:$A, 0)), $U$1:$W$1, 0)), 0)</f>
        <v>283024.18245611037</v>
      </c>
      <c r="AA491" s="8">
        <f t="shared" si="28"/>
        <v>1.5873277352392568E-3</v>
      </c>
      <c r="AB491" s="8">
        <f>IFERROR(VLOOKUP(INDEX(Runs!$F:$F, MATCH($B491, Runs!$A:$A, 0)), US_national_yearly!$D:$AM, MATCH(Keys!$C$7, US_national_yearly!$D$1:$AM$1, 0), FALSE), 0)</f>
        <v>5.7148835886332216E-3</v>
      </c>
      <c r="AC491" s="8">
        <f t="shared" si="29"/>
        <v>0.27775329289233763</v>
      </c>
      <c r="AD491">
        <f>IF($Z491&lt;Keys!$C$3, 1, 0)</f>
        <v>0</v>
      </c>
      <c r="AE491">
        <f>IF($AC491&gt;Keys!$C$4, 1, 0)</f>
        <v>0</v>
      </c>
      <c r="AF491">
        <f>IF($AC491&lt;Keys!$C$5, 1, 0)</f>
        <v>0</v>
      </c>
      <c r="AG491">
        <f t="shared" si="30"/>
        <v>0</v>
      </c>
      <c r="AH491" t="str">
        <f>IFERROR(INDEX(Runs!$E:$E, MATCH($B491, Runs!$A:$A, 0)), $B491)</f>
        <v>Industry NO2</v>
      </c>
      <c r="AI491" t="str">
        <f t="shared" si="31"/>
        <v>transportation NO2</v>
      </c>
      <c r="AJ491" t="str">
        <f>IF($AG491=1, IF($AD491=1, Keys!$C$9, "") &amp; IF($AE491=1, Keys!$C$10, "") &amp; IF($AF491=1, Keys!$C$11, ""), "")</f>
        <v/>
      </c>
      <c r="AK491">
        <f>IF($AG491=1, IFERROR(INDEX($AG$2:$AG$577, MATCH($A491 &amp; Keys!$C$8 &amp; $AH491, $Y$2:$Y$577, 0)), 1), 0)</f>
        <v>0</v>
      </c>
    </row>
    <row r="492" spans="1:37" x14ac:dyDescent="0.25">
      <c r="A492" t="s">
        <v>205</v>
      </c>
      <c r="B492" t="s">
        <v>234</v>
      </c>
      <c r="C492">
        <v>254</v>
      </c>
      <c r="D492">
        <v>224.17253206999999</v>
      </c>
      <c r="E492">
        <v>0.87458883401399989</v>
      </c>
      <c r="F492">
        <v>867.43574504200046</v>
      </c>
      <c r="G492">
        <v>1168.0932371690001</v>
      </c>
      <c r="H492">
        <v>1784.772807109</v>
      </c>
      <c r="I492">
        <v>16.796926532219981</v>
      </c>
      <c r="J492">
        <v>104.47338295589999</v>
      </c>
      <c r="K492">
        <v>98365.178485507931</v>
      </c>
      <c r="L492">
        <v>16778.659080105012</v>
      </c>
      <c r="M492">
        <v>25.766105038559989</v>
      </c>
      <c r="N492">
        <v>3820.3017893200008</v>
      </c>
      <c r="O492">
        <v>78.765272172270031</v>
      </c>
      <c r="P492">
        <v>2.7185418771230001</v>
      </c>
      <c r="Q492">
        <v>5.1073058130389999</v>
      </c>
      <c r="R492">
        <v>203.36503333350009</v>
      </c>
      <c r="S492">
        <v>2585.5237420449989</v>
      </c>
      <c r="T492">
        <v>3679.1434624309968</v>
      </c>
      <c r="U492">
        <v>6331.3230814609969</v>
      </c>
      <c r="V492">
        <v>0</v>
      </c>
      <c r="W492">
        <v>0</v>
      </c>
      <c r="Y492" t="str">
        <f>$A492 &amp; Keys!$C$8 &amp; $B492</f>
        <v>Texas|transportation PM25</v>
      </c>
      <c r="Z492" s="8">
        <f>IFERROR(INDEX($U492:$W492, MATCH(INDEX(Runs!$D:$D, MATCH($B492, Runs!$A:$A, 0)), $U$1:$W$1, 0)), 0)</f>
        <v>6331.3230814609969</v>
      </c>
      <c r="AA492" s="8">
        <f t="shared" si="28"/>
        <v>3.5406901398920651E-2</v>
      </c>
      <c r="AB492" s="8">
        <f>IFERROR(VLOOKUP(INDEX(Runs!$F:$F, MATCH($B492, Runs!$A:$A, 0)), US_national_yearly!$D:$AM, MATCH(Keys!$C$7, US_national_yearly!$D$1:$AM$1, 0), FALSE), 0)</f>
        <v>2.8248683697579859E-2</v>
      </c>
      <c r="AC492" s="8">
        <f t="shared" si="29"/>
        <v>1.2534000443338906</v>
      </c>
      <c r="AD492">
        <f>IF($Z492&lt;Keys!$C$3, 1, 0)</f>
        <v>0</v>
      </c>
      <c r="AE492">
        <f>IF($AC492&gt;Keys!$C$4, 1, 0)</f>
        <v>0</v>
      </c>
      <c r="AF492">
        <f>IF($AC492&lt;Keys!$C$5, 1, 0)</f>
        <v>0</v>
      </c>
      <c r="AG492">
        <f t="shared" si="30"/>
        <v>0</v>
      </c>
      <c r="AH492" t="str">
        <f>IFERROR(INDEX(Runs!$E:$E, MATCH($B492, Runs!$A:$A, 0)), $B492)</f>
        <v>Industry PM25</v>
      </c>
      <c r="AI492" t="str">
        <f t="shared" si="31"/>
        <v>transportation PM25</v>
      </c>
      <c r="AJ492" t="str">
        <f>IF($AG492=1, IF($AD492=1, Keys!$C$9, "") &amp; IF($AE492=1, Keys!$C$10, "") &amp; IF($AF492=1, Keys!$C$11, ""), "")</f>
        <v/>
      </c>
      <c r="AK492">
        <f>IF($AG492=1, IFERROR(INDEX($AG$2:$AG$577, MATCH($A492 &amp; Keys!$C$8 &amp; $AH492, $Y$2:$Y$577, 0)), 1), 0)</f>
        <v>0</v>
      </c>
    </row>
    <row r="493" spans="1:37" x14ac:dyDescent="0.25">
      <c r="A493" t="s">
        <v>205</v>
      </c>
      <c r="B493" t="s">
        <v>243</v>
      </c>
      <c r="C493">
        <v>254</v>
      </c>
      <c r="D493">
        <v>15.974326901119991</v>
      </c>
      <c r="E493">
        <v>6.4746838656299988E-2</v>
      </c>
      <c r="F493">
        <v>62.835983177020019</v>
      </c>
      <c r="G493">
        <v>84.617603912500016</v>
      </c>
      <c r="H493">
        <v>129.28194743700001</v>
      </c>
      <c r="I493">
        <v>1.184326149001999</v>
      </c>
      <c r="J493">
        <v>7.4322772177500021</v>
      </c>
      <c r="K493">
        <v>7088.8370908080014</v>
      </c>
      <c r="L493">
        <v>1210.204400060001</v>
      </c>
      <c r="M493">
        <v>1.830121589077</v>
      </c>
      <c r="N493">
        <v>276.73553452651998</v>
      </c>
      <c r="O493">
        <v>5.6860789418459969</v>
      </c>
      <c r="P493">
        <v>0.19737728382639999</v>
      </c>
      <c r="Q493">
        <v>0.36630329283820001</v>
      </c>
      <c r="R493">
        <v>14.78281343509</v>
      </c>
      <c r="S493">
        <v>187.85801371950001</v>
      </c>
      <c r="T493">
        <v>267.00650351430011</v>
      </c>
      <c r="U493">
        <v>0</v>
      </c>
      <c r="V493">
        <v>2621.6088723909979</v>
      </c>
      <c r="W493">
        <v>0</v>
      </c>
      <c r="Y493" t="str">
        <f>$A493 &amp; Keys!$C$8 &amp; $B493</f>
        <v>Texas|transportation SO2</v>
      </c>
      <c r="Z493" s="8">
        <f>IFERROR(INDEX($U493:$W493, MATCH(INDEX(Runs!$D:$D, MATCH($B493, Runs!$A:$A, 0)), $U$1:$W$1, 0)), 0)</f>
        <v>2621.6088723909979</v>
      </c>
      <c r="AA493" s="8">
        <f t="shared" si="28"/>
        <v>6.0933295844970391E-3</v>
      </c>
      <c r="AB493" s="8">
        <f>IFERROR(VLOOKUP(INDEX(Runs!$F:$F, MATCH($B493, Runs!$A:$A, 0)), US_national_yearly!$D:$AM, MATCH(Keys!$C$7, US_national_yearly!$D$1:$AM$1, 0), FALSE), 0)</f>
        <v>5.1800714166247604E-3</v>
      </c>
      <c r="AC493" s="8">
        <f t="shared" si="29"/>
        <v>1.1763022349346954</v>
      </c>
      <c r="AD493">
        <f>IF($Z493&lt;Keys!$C$3, 1, 0)</f>
        <v>0</v>
      </c>
      <c r="AE493">
        <f>IF($AC493&gt;Keys!$C$4, 1, 0)</f>
        <v>0</v>
      </c>
      <c r="AF493">
        <f>IF($AC493&lt;Keys!$C$5, 1, 0)</f>
        <v>0</v>
      </c>
      <c r="AG493">
        <f t="shared" si="30"/>
        <v>0</v>
      </c>
      <c r="AH493" t="str">
        <f>IFERROR(INDEX(Runs!$E:$E, MATCH($B493, Runs!$A:$A, 0)), $B493)</f>
        <v>Industry SO2</v>
      </c>
      <c r="AI493" t="str">
        <f t="shared" si="31"/>
        <v>transportation SO2</v>
      </c>
      <c r="AJ493" t="str">
        <f>IF($AG493=1, IF($AD493=1, Keys!$C$9, "") &amp; IF($AE493=1, Keys!$C$10, "") &amp; IF($AF493=1, Keys!$C$11, ""), "")</f>
        <v/>
      </c>
      <c r="AK493">
        <f>IF($AG493=1, IFERROR(INDEX($AG$2:$AG$577, MATCH($A493 &amp; Keys!$C$8 &amp; $AH493, $Y$2:$Y$577, 0)), 1), 0)</f>
        <v>0</v>
      </c>
    </row>
    <row r="494" spans="1:37" x14ac:dyDescent="0.25">
      <c r="A494" t="s">
        <v>208</v>
      </c>
      <c r="B494" t="s">
        <v>242</v>
      </c>
      <c r="C494">
        <v>29</v>
      </c>
      <c r="D494">
        <v>1.689781991</v>
      </c>
      <c r="E494">
        <v>7.8021889669999999E-3</v>
      </c>
      <c r="F494">
        <v>8.4875536500000024</v>
      </c>
      <c r="G494">
        <v>11.429709119</v>
      </c>
      <c r="H494">
        <v>17.462706466</v>
      </c>
      <c r="I494">
        <v>9.2930384069999983E-2</v>
      </c>
      <c r="J494">
        <v>0.64918672810000011</v>
      </c>
      <c r="K494">
        <v>818.92553294000004</v>
      </c>
      <c r="L494">
        <v>140.31497887699999</v>
      </c>
      <c r="M494">
        <v>0.12243658391999999</v>
      </c>
      <c r="N494">
        <v>37.379969234999997</v>
      </c>
      <c r="O494">
        <v>0.2490081146</v>
      </c>
      <c r="P494">
        <v>1.1138860428E-2</v>
      </c>
      <c r="Q494">
        <v>1.9602277772999999E-2</v>
      </c>
      <c r="R494">
        <v>1.9783164445000001</v>
      </c>
      <c r="S494">
        <v>25.092990899</v>
      </c>
      <c r="T494">
        <v>35.552361051000013</v>
      </c>
      <c r="U494">
        <v>0</v>
      </c>
      <c r="V494">
        <v>0</v>
      </c>
      <c r="W494">
        <v>23467.726813106001</v>
      </c>
      <c r="Y494" t="str">
        <f>$A494 &amp; Keys!$C$8 &amp; $B494</f>
        <v>Utah|Industry NO2</v>
      </c>
      <c r="Z494" s="8">
        <f>IFERROR(INDEX($U494:$W494, MATCH(INDEX(Runs!$D:$D, MATCH($B494, Runs!$A:$A, 0)), $U$1:$W$1, 0)), 0)</f>
        <v>23467.726813106001</v>
      </c>
      <c r="AA494" s="8">
        <f t="shared" si="28"/>
        <v>7.2004502372863358E-5</v>
      </c>
      <c r="AB494" s="8">
        <f>IFERROR(VLOOKUP(INDEX(Runs!$F:$F, MATCH($B494, Runs!$A:$A, 0)), US_national_yearly!$D:$AM, MATCH(Keys!$C$7, US_national_yearly!$D$1:$AM$1, 0), FALSE), 0)</f>
        <v>5.8012217057786938E-3</v>
      </c>
      <c r="AC494" s="8">
        <f t="shared" si="29"/>
        <v>1.2411954933757914E-2</v>
      </c>
      <c r="AD494">
        <f>IF($Z494&lt;Keys!$C$3, 1, 0)</f>
        <v>0</v>
      </c>
      <c r="AE494">
        <f>IF($AC494&gt;Keys!$C$4, 1, 0)</f>
        <v>0</v>
      </c>
      <c r="AF494">
        <f>IF($AC494&lt;Keys!$C$5, 1, 0)</f>
        <v>0</v>
      </c>
      <c r="AG494">
        <f t="shared" si="30"/>
        <v>0</v>
      </c>
      <c r="AH494" t="str">
        <f>IFERROR(INDEX(Runs!$E:$E, MATCH($B494, Runs!$A:$A, 0)), $B494)</f>
        <v>Industry NO2</v>
      </c>
      <c r="AI494" t="str">
        <f t="shared" si="31"/>
        <v>Industry NO2</v>
      </c>
      <c r="AJ494" t="str">
        <f>IF($AG494=1, IF($AD494=1, Keys!$C$9, "") &amp; IF($AE494=1, Keys!$C$10, "") &amp; IF($AF494=1, Keys!$C$11, ""), "")</f>
        <v/>
      </c>
      <c r="AK494">
        <f>IF($AG494=1, IFERROR(INDEX($AG$2:$AG$577, MATCH($A494 &amp; Keys!$C$8 &amp; $AH494, $Y$2:$Y$577, 0)), 1), 0)</f>
        <v>0</v>
      </c>
    </row>
    <row r="495" spans="1:37" x14ac:dyDescent="0.25">
      <c r="A495" t="s">
        <v>208</v>
      </c>
      <c r="B495" t="s">
        <v>238</v>
      </c>
      <c r="C495">
        <v>29</v>
      </c>
      <c r="D495">
        <v>39.084955090999983</v>
      </c>
      <c r="E495">
        <v>0.17726064320000001</v>
      </c>
      <c r="F495">
        <v>194.17935244700001</v>
      </c>
      <c r="G495">
        <v>261.47417118599998</v>
      </c>
      <c r="H495">
        <v>399.54703788199998</v>
      </c>
      <c r="I495">
        <v>2.1301764207999998</v>
      </c>
      <c r="J495">
        <v>14.887704919999999</v>
      </c>
      <c r="K495">
        <v>18879.592965764001</v>
      </c>
      <c r="L495">
        <v>3236.3089718820002</v>
      </c>
      <c r="M495">
        <v>2.7950191889</v>
      </c>
      <c r="N495">
        <v>855.200561515</v>
      </c>
      <c r="O495">
        <v>5.5563810130000011</v>
      </c>
      <c r="P495">
        <v>0.2512825809</v>
      </c>
      <c r="Q495">
        <v>0.45359512878000002</v>
      </c>
      <c r="R495">
        <v>45.122588337000003</v>
      </c>
      <c r="S495">
        <v>572.74845400499999</v>
      </c>
      <c r="T495">
        <v>813.17624026599992</v>
      </c>
      <c r="U495">
        <v>2165.8691922019998</v>
      </c>
      <c r="V495">
        <v>0</v>
      </c>
      <c r="W495">
        <v>0</v>
      </c>
      <c r="Y495" t="str">
        <f>$A495 &amp; Keys!$C$8 &amp; $B495</f>
        <v>Utah|Industry PM25</v>
      </c>
      <c r="Z495" s="8">
        <f>IFERROR(INDEX($U495:$W495, MATCH(INDEX(Runs!$D:$D, MATCH($B495, Runs!$A:$A, 0)), $U$1:$W$1, 0)), 0)</f>
        <v>2165.8691922019998</v>
      </c>
      <c r="AA495" s="8">
        <f t="shared" si="28"/>
        <v>1.8045852091031878E-2</v>
      </c>
      <c r="AB495" s="8">
        <f>IFERROR(VLOOKUP(INDEX(Runs!$F:$F, MATCH($B495, Runs!$A:$A, 0)), US_national_yearly!$D:$AM, MATCH(Keys!$C$7, US_national_yearly!$D$1:$AM$1, 0), FALSE), 0)</f>
        <v>2.6833191881203179E-2</v>
      </c>
      <c r="AC495" s="8">
        <f t="shared" si="29"/>
        <v>0.6725197721883065</v>
      </c>
      <c r="AD495">
        <f>IF($Z495&lt;Keys!$C$3, 1, 0)</f>
        <v>0</v>
      </c>
      <c r="AE495">
        <f>IF($AC495&gt;Keys!$C$4, 1, 0)</f>
        <v>0</v>
      </c>
      <c r="AF495">
        <f>IF($AC495&lt;Keys!$C$5, 1, 0)</f>
        <v>0</v>
      </c>
      <c r="AG495">
        <f t="shared" si="30"/>
        <v>0</v>
      </c>
      <c r="AH495" t="str">
        <f>IFERROR(INDEX(Runs!$E:$E, MATCH($B495, Runs!$A:$A, 0)), $B495)</f>
        <v>Industry PM25</v>
      </c>
      <c r="AI495" t="str">
        <f t="shared" si="31"/>
        <v>Industry PM25</v>
      </c>
      <c r="AJ495" t="str">
        <f>IF($AG495=1, IF($AD495=1, Keys!$C$9, "") &amp; IF($AE495=1, Keys!$C$10, "") &amp; IF($AF495=1, Keys!$C$11, ""), "")</f>
        <v/>
      </c>
      <c r="AK495">
        <f>IF($AG495=1, IFERROR(INDEX($AG$2:$AG$577, MATCH($A495 &amp; Keys!$C$8 &amp; $AH495, $Y$2:$Y$577, 0)), 1), 0)</f>
        <v>0</v>
      </c>
    </row>
    <row r="496" spans="1:37" x14ac:dyDescent="0.25">
      <c r="A496" t="s">
        <v>208</v>
      </c>
      <c r="B496" t="s">
        <v>246</v>
      </c>
      <c r="C496">
        <v>29</v>
      </c>
      <c r="D496">
        <v>13.515770604</v>
      </c>
      <c r="E496">
        <v>6.231419584999999E-2</v>
      </c>
      <c r="F496">
        <v>67.757143604999996</v>
      </c>
      <c r="G496">
        <v>91.243114486999971</v>
      </c>
      <c r="H496">
        <v>139.41011788899999</v>
      </c>
      <c r="I496">
        <v>0.73539224190000008</v>
      </c>
      <c r="J496">
        <v>5.2005724630000012</v>
      </c>
      <c r="K496">
        <v>6541.2807383749987</v>
      </c>
      <c r="L496">
        <v>1120.5243608820001</v>
      </c>
      <c r="M496">
        <v>0.97257386860000006</v>
      </c>
      <c r="N496">
        <v>298.41037598100002</v>
      </c>
      <c r="O496">
        <v>1.9620272999999999</v>
      </c>
      <c r="P496">
        <v>8.9164223079999966E-2</v>
      </c>
      <c r="Q496">
        <v>0.15733835148</v>
      </c>
      <c r="R496">
        <v>15.78813667</v>
      </c>
      <c r="S496">
        <v>200.30113000200001</v>
      </c>
      <c r="T496">
        <v>283.96714230899988</v>
      </c>
      <c r="U496">
        <v>0</v>
      </c>
      <c r="V496">
        <v>1480.6813313069999</v>
      </c>
      <c r="W496">
        <v>0</v>
      </c>
      <c r="Y496" t="str">
        <f>$A496 &amp; Keys!$C$8 &amp; $B496</f>
        <v>Utah|Industry SO2</v>
      </c>
      <c r="Z496" s="8">
        <f>IFERROR(INDEX($U496:$W496, MATCH(INDEX(Runs!$D:$D, MATCH($B496, Runs!$A:$A, 0)), $U$1:$W$1, 0)), 0)</f>
        <v>1480.6813313069999</v>
      </c>
      <c r="AA496" s="8">
        <f t="shared" si="28"/>
        <v>9.1280752436242348E-3</v>
      </c>
      <c r="AB496" s="8">
        <f>IFERROR(VLOOKUP(INDEX(Runs!$F:$F, MATCH($B496, Runs!$A:$A, 0)), US_national_yearly!$D:$AM, MATCH(Keys!$C$7, US_national_yearly!$D$1:$AM$1, 0), FALSE), 0)</f>
        <v>5.3000351638639942E-3</v>
      </c>
      <c r="AC496" s="8">
        <f t="shared" si="29"/>
        <v>1.7222669211442374</v>
      </c>
      <c r="AD496">
        <f>IF($Z496&lt;Keys!$C$3, 1, 0)</f>
        <v>0</v>
      </c>
      <c r="AE496">
        <f>IF($AC496&gt;Keys!$C$4, 1, 0)</f>
        <v>0</v>
      </c>
      <c r="AF496">
        <f>IF($AC496&lt;Keys!$C$5, 1, 0)</f>
        <v>0</v>
      </c>
      <c r="AG496">
        <f t="shared" si="30"/>
        <v>0</v>
      </c>
      <c r="AH496" t="str">
        <f>IFERROR(INDEX(Runs!$E:$E, MATCH($B496, Runs!$A:$A, 0)), $B496)</f>
        <v>Industry SO2</v>
      </c>
      <c r="AI496" t="str">
        <f t="shared" si="31"/>
        <v>Industry SO2</v>
      </c>
      <c r="AJ496" t="str">
        <f>IF($AG496=1, IF($AD496=1, Keys!$C$9, "") &amp; IF($AE496=1, Keys!$C$10, "") &amp; IF($AF496=1, Keys!$C$11, ""), "")</f>
        <v/>
      </c>
      <c r="AK496">
        <f>IF($AG496=1, IFERROR(INDEX($AG$2:$AG$577, MATCH($A496 &amp; Keys!$C$8 &amp; $AH496, $Y$2:$Y$577, 0)), 1), 0)</f>
        <v>0</v>
      </c>
    </row>
    <row r="497" spans="1:37" x14ac:dyDescent="0.25">
      <c r="A497" t="s">
        <v>208</v>
      </c>
      <c r="B497" t="s">
        <v>253</v>
      </c>
      <c r="C497">
        <v>29</v>
      </c>
      <c r="D497">
        <v>5.6764516899999986</v>
      </c>
      <c r="E497">
        <v>2.6755521311000001E-2</v>
      </c>
      <c r="F497">
        <v>29.108426720000001</v>
      </c>
      <c r="G497">
        <v>39.198439827000001</v>
      </c>
      <c r="H497">
        <v>59.889573355000003</v>
      </c>
      <c r="I497">
        <v>0.31822012122999987</v>
      </c>
      <c r="J497">
        <v>2.1933442524000011</v>
      </c>
      <c r="K497">
        <v>2787.8355093150012</v>
      </c>
      <c r="L497">
        <v>477.79345916199998</v>
      </c>
      <c r="M497">
        <v>0.41689321210000008</v>
      </c>
      <c r="N497">
        <v>128.19643990200001</v>
      </c>
      <c r="O497">
        <v>0.86511180129999998</v>
      </c>
      <c r="P497">
        <v>3.7929479320000001E-2</v>
      </c>
      <c r="Q497">
        <v>6.6136801380000013E-2</v>
      </c>
      <c r="R497">
        <v>6.7892331646999988</v>
      </c>
      <c r="S497">
        <v>86.117936137000001</v>
      </c>
      <c r="T497">
        <v>122.031909093</v>
      </c>
      <c r="U497">
        <v>0</v>
      </c>
      <c r="V497">
        <v>0</v>
      </c>
      <c r="W497">
        <v>4520.0230753680007</v>
      </c>
      <c r="Y497" t="str">
        <f>$A497 &amp; Keys!$C$8 &amp; $B497</f>
        <v>Utah|buildings NO2</v>
      </c>
      <c r="Z497" s="8">
        <f>IFERROR(INDEX($U497:$W497, MATCH(INDEX(Runs!$D:$D, MATCH($B497, Runs!$A:$A, 0)), $U$1:$W$1, 0)), 0)</f>
        <v>4520.0230753680007</v>
      </c>
      <c r="AA497" s="8">
        <f t="shared" si="28"/>
        <v>1.2558457324994621E-3</v>
      </c>
      <c r="AB497" s="8">
        <f>IFERROR(VLOOKUP(INDEX(Runs!$F:$F, MATCH($B497, Runs!$A:$A, 0)), US_national_yearly!$D:$AM, MATCH(Keys!$C$7, US_national_yearly!$D$1:$AM$1, 0), FALSE), 0)</f>
        <v>5.6784740124662739E-3</v>
      </c>
      <c r="AC497" s="8">
        <f t="shared" si="29"/>
        <v>0.22115901732444901</v>
      </c>
      <c r="AD497">
        <f>IF($Z497&lt;Keys!$C$3, 1, 0)</f>
        <v>0</v>
      </c>
      <c r="AE497">
        <f>IF($AC497&gt;Keys!$C$4, 1, 0)</f>
        <v>0</v>
      </c>
      <c r="AF497">
        <f>IF($AC497&lt;Keys!$C$5, 1, 0)</f>
        <v>0</v>
      </c>
      <c r="AG497">
        <f t="shared" si="30"/>
        <v>0</v>
      </c>
      <c r="AH497" t="str">
        <f>IFERROR(INDEX(Runs!$E:$E, MATCH($B497, Runs!$A:$A, 0)), $B497)</f>
        <v>Industry NO2</v>
      </c>
      <c r="AI497" t="str">
        <f t="shared" si="31"/>
        <v>buildings NO2</v>
      </c>
      <c r="AJ497" t="str">
        <f>IF($AG497=1, IF($AD497=1, Keys!$C$9, "") &amp; IF($AE497=1, Keys!$C$10, "") &amp; IF($AF497=1, Keys!$C$11, ""), "")</f>
        <v/>
      </c>
      <c r="AK497">
        <f>IF($AG497=1, IFERROR(INDEX($AG$2:$AG$577, MATCH($A497 &amp; Keys!$C$8 &amp; $AH497, $Y$2:$Y$577, 0)), 1), 0)</f>
        <v>0</v>
      </c>
    </row>
    <row r="498" spans="1:37" x14ac:dyDescent="0.25">
      <c r="A498" t="s">
        <v>208</v>
      </c>
      <c r="B498" t="s">
        <v>251</v>
      </c>
      <c r="C498">
        <v>29</v>
      </c>
      <c r="D498">
        <v>0.45352578237000002</v>
      </c>
      <c r="E498">
        <v>2.0672621115999999E-3</v>
      </c>
      <c r="F498">
        <v>2.2631653414000001</v>
      </c>
      <c r="G498">
        <v>3.0476823867</v>
      </c>
      <c r="H498">
        <v>4.6563355325</v>
      </c>
      <c r="I498">
        <v>2.4985830961999991E-2</v>
      </c>
      <c r="J498">
        <v>0.17358140960999999</v>
      </c>
      <c r="K498">
        <v>218.83036984099999</v>
      </c>
      <c r="L498">
        <v>37.500131380000013</v>
      </c>
      <c r="M498">
        <v>3.2751673906999998E-2</v>
      </c>
      <c r="N498">
        <v>9.9671832606000006</v>
      </c>
      <c r="O498">
        <v>6.5534392188000001E-2</v>
      </c>
      <c r="P498">
        <v>2.9315145953999998E-3</v>
      </c>
      <c r="Q498">
        <v>5.2206735730000002E-3</v>
      </c>
      <c r="R498">
        <v>0.52754785719999997</v>
      </c>
      <c r="S498">
        <v>6.6913058361999997</v>
      </c>
      <c r="T498">
        <v>9.4798856765000021</v>
      </c>
      <c r="U498">
        <v>22.935893065999998</v>
      </c>
      <c r="V498">
        <v>0</v>
      </c>
      <c r="W498">
        <v>0</v>
      </c>
      <c r="Y498" t="str">
        <f>$A498 &amp; Keys!$C$8 &amp; $B498</f>
        <v>Utah|buildings PM25</v>
      </c>
      <c r="Z498" s="8">
        <f>IFERROR(INDEX($U498:$W498, MATCH(INDEX(Runs!$D:$D, MATCH($B498, Runs!$A:$A, 0)), $U$1:$W$1, 0)), 0)</f>
        <v>22.935893065999998</v>
      </c>
      <c r="AA498" s="8">
        <f t="shared" si="28"/>
        <v>1.9773626475539482E-2</v>
      </c>
      <c r="AB498" s="8">
        <f>IFERROR(VLOOKUP(INDEX(Runs!$F:$F, MATCH($B498, Runs!$A:$A, 0)), US_national_yearly!$D:$AM, MATCH(Keys!$C$7, US_national_yearly!$D$1:$AM$1, 0), FALSE), 0)</f>
        <v>2.7627705191843259E-2</v>
      </c>
      <c r="AC498" s="8">
        <f t="shared" si="29"/>
        <v>0.71571729675823392</v>
      </c>
      <c r="AD498">
        <f>IF($Z498&lt;Keys!$C$3, 1, 0)</f>
        <v>0</v>
      </c>
      <c r="AE498">
        <f>IF($AC498&gt;Keys!$C$4, 1, 0)</f>
        <v>0</v>
      </c>
      <c r="AF498">
        <f>IF($AC498&lt;Keys!$C$5, 1, 0)</f>
        <v>0</v>
      </c>
      <c r="AG498">
        <f t="shared" si="30"/>
        <v>0</v>
      </c>
      <c r="AH498" t="str">
        <f>IFERROR(INDEX(Runs!$E:$E, MATCH($B498, Runs!$A:$A, 0)), $B498)</f>
        <v>Industry PM25</v>
      </c>
      <c r="AI498" t="str">
        <f t="shared" si="31"/>
        <v>buildings PM25</v>
      </c>
      <c r="AJ498" t="str">
        <f>IF($AG498=1, IF($AD498=1, Keys!$C$9, "") &amp; IF($AE498=1, Keys!$C$10, "") &amp; IF($AF498=1, Keys!$C$11, ""), "")</f>
        <v/>
      </c>
      <c r="AK498">
        <f>IF($AG498=1, IFERROR(INDEX($AG$2:$AG$577, MATCH($A498 &amp; Keys!$C$8 &amp; $AH498, $Y$2:$Y$577, 0)), 1), 0)</f>
        <v>0</v>
      </c>
    </row>
    <row r="499" spans="1:37" x14ac:dyDescent="0.25">
      <c r="A499" t="s">
        <v>208</v>
      </c>
      <c r="B499" t="s">
        <v>254</v>
      </c>
      <c r="C499">
        <v>29</v>
      </c>
      <c r="D499">
        <v>4.0013256229999988E-2</v>
      </c>
      <c r="E499">
        <v>1.8882058156000011E-4</v>
      </c>
      <c r="F499">
        <v>0.20509220750000001</v>
      </c>
      <c r="G499">
        <v>0.27618676839999989</v>
      </c>
      <c r="H499">
        <v>0.42196532390000002</v>
      </c>
      <c r="I499">
        <v>2.2637419339999998E-3</v>
      </c>
      <c r="J499">
        <v>1.5496459089999999E-2</v>
      </c>
      <c r="K499">
        <v>19.531451873999998</v>
      </c>
      <c r="L499">
        <v>3.3461734129999998</v>
      </c>
      <c r="M499">
        <v>2.953365340999999E-3</v>
      </c>
      <c r="N499">
        <v>0.90324429979999987</v>
      </c>
      <c r="O499">
        <v>6.2094571750000004E-3</v>
      </c>
      <c r="P499">
        <v>2.71522043E-4</v>
      </c>
      <c r="Q499">
        <v>4.6596340480000001E-4</v>
      </c>
      <c r="R499">
        <v>4.7841932990000002E-2</v>
      </c>
      <c r="S499">
        <v>0.6067841130999998</v>
      </c>
      <c r="T499">
        <v>0.85957304799999978</v>
      </c>
      <c r="U499">
        <v>0</v>
      </c>
      <c r="V499">
        <v>38.933943524000007</v>
      </c>
      <c r="W499">
        <v>0</v>
      </c>
      <c r="Y499" t="str">
        <f>$A499 &amp; Keys!$C$8 &amp; $B499</f>
        <v>Utah|buildings SO2</v>
      </c>
      <c r="Z499" s="8">
        <f>IFERROR(INDEX($U499:$W499, MATCH(INDEX(Runs!$D:$D, MATCH($B499, Runs!$A:$A, 0)), $U$1:$W$1, 0)), 0)</f>
        <v>38.933943524000007</v>
      </c>
      <c r="AA499" s="8">
        <f t="shared" si="28"/>
        <v>1.0277216384550068E-3</v>
      </c>
      <c r="AB499" s="8">
        <f>IFERROR(VLOOKUP(INDEX(Runs!$F:$F, MATCH($B499, Runs!$A:$A, 0)), US_national_yearly!$D:$AM, MATCH(Keys!$C$7, US_national_yearly!$D$1:$AM$1, 0), FALSE), 0)</f>
        <v>5.1581943281164694E-3</v>
      </c>
      <c r="AC499" s="8">
        <f t="shared" si="29"/>
        <v>0.19924058169989159</v>
      </c>
      <c r="AD499">
        <f>IF($Z499&lt;Keys!$C$3, 1, 0)</f>
        <v>0</v>
      </c>
      <c r="AE499">
        <f>IF($AC499&gt;Keys!$C$4, 1, 0)</f>
        <v>0</v>
      </c>
      <c r="AF499">
        <f>IF($AC499&lt;Keys!$C$5, 1, 0)</f>
        <v>0</v>
      </c>
      <c r="AG499">
        <f t="shared" si="30"/>
        <v>0</v>
      </c>
      <c r="AH499" t="str">
        <f>IFERROR(INDEX(Runs!$E:$E, MATCH($B499, Runs!$A:$A, 0)), $B499)</f>
        <v>Industry SO2</v>
      </c>
      <c r="AI499" t="str">
        <f t="shared" si="31"/>
        <v>buildings SO2</v>
      </c>
      <c r="AJ499" t="str">
        <f>IF($AG499=1, IF($AD499=1, Keys!$C$9, "") &amp; IF($AE499=1, Keys!$C$10, "") &amp; IF($AF499=1, Keys!$C$11, ""), "")</f>
        <v/>
      </c>
      <c r="AK499">
        <f>IF($AG499=1, IFERROR(INDEX($AG$2:$AG$577, MATCH($A499 &amp; Keys!$C$8 &amp; $AH499, $Y$2:$Y$577, 0)), 1), 0)</f>
        <v>0</v>
      </c>
    </row>
    <row r="500" spans="1:37" x14ac:dyDescent="0.25">
      <c r="A500" t="s">
        <v>208</v>
      </c>
      <c r="B500" t="s">
        <v>249</v>
      </c>
      <c r="C500">
        <v>29</v>
      </c>
      <c r="D500">
        <v>1.270985883</v>
      </c>
      <c r="E500">
        <v>6.222500257E-3</v>
      </c>
      <c r="F500">
        <v>6.7555301579999991</v>
      </c>
      <c r="G500">
        <v>9.0972980940000028</v>
      </c>
      <c r="H500">
        <v>13.899142271000001</v>
      </c>
      <c r="I500">
        <v>7.7455999600000006E-2</v>
      </c>
      <c r="J500">
        <v>0.50366407300000005</v>
      </c>
      <c r="K500">
        <v>619.38478476599994</v>
      </c>
      <c r="L500">
        <v>106.018541371</v>
      </c>
      <c r="M500">
        <v>9.9414226100000003E-2</v>
      </c>
      <c r="N500">
        <v>29.751970523000001</v>
      </c>
      <c r="O500">
        <v>0.21778856499999991</v>
      </c>
      <c r="P500">
        <v>9.3015221499999998E-3</v>
      </c>
      <c r="Q500">
        <v>1.4544532900000001E-2</v>
      </c>
      <c r="R500">
        <v>1.577400436</v>
      </c>
      <c r="S500">
        <v>20.005205052000001</v>
      </c>
      <c r="T500">
        <v>28.337433730000001</v>
      </c>
      <c r="U500">
        <v>0</v>
      </c>
      <c r="V500">
        <v>0</v>
      </c>
      <c r="W500">
        <v>21584.479624181</v>
      </c>
      <c r="Y500" t="str">
        <f>$A500 &amp; Keys!$C$8 &amp; $B500</f>
        <v>Utah|electricity NO2</v>
      </c>
      <c r="Z500" s="8">
        <f>IFERROR(INDEX($U500:$W500, MATCH(INDEX(Runs!$D:$D, MATCH($B500, Runs!$A:$A, 0)), $U$1:$W$1, 0)), 0)</f>
        <v>21584.479624181</v>
      </c>
      <c r="AA500" s="8">
        <f t="shared" si="28"/>
        <v>5.8884249476004044E-5</v>
      </c>
      <c r="AB500" s="8">
        <f>IFERROR(VLOOKUP(INDEX(Runs!$F:$F, MATCH($B500, Runs!$A:$A, 0)), US_national_yearly!$D:$AM, MATCH(Keys!$C$7, US_national_yearly!$D$1:$AM$1, 0), FALSE), 0)</f>
        <v>6.1439221592658041E-3</v>
      </c>
      <c r="AC500" s="8">
        <f t="shared" si="29"/>
        <v>9.5841464051101659E-3</v>
      </c>
      <c r="AD500">
        <f>IF($Z500&lt;Keys!$C$3, 1, 0)</f>
        <v>0</v>
      </c>
      <c r="AE500">
        <f>IF($AC500&gt;Keys!$C$4, 1, 0)</f>
        <v>0</v>
      </c>
      <c r="AF500">
        <f>IF($AC500&lt;Keys!$C$5, 1, 0)</f>
        <v>0</v>
      </c>
      <c r="AG500">
        <f t="shared" si="30"/>
        <v>0</v>
      </c>
      <c r="AH500" t="str">
        <f>IFERROR(INDEX(Runs!$E:$E, MATCH($B500, Runs!$A:$A, 0)), $B500)</f>
        <v>Industry NO2</v>
      </c>
      <c r="AI500" t="str">
        <f t="shared" si="31"/>
        <v>electricity NO2</v>
      </c>
      <c r="AJ500" t="str">
        <f>IF($AG500=1, IF($AD500=1, Keys!$C$9, "") &amp; IF($AE500=1, Keys!$C$10, "") &amp; IF($AF500=1, Keys!$C$11, ""), "")</f>
        <v/>
      </c>
      <c r="AK500">
        <f>IF($AG500=1, IFERROR(INDEX($AG$2:$AG$577, MATCH($A500 &amp; Keys!$C$8 &amp; $AH500, $Y$2:$Y$577, 0)), 1), 0)</f>
        <v>0</v>
      </c>
    </row>
    <row r="501" spans="1:37" x14ac:dyDescent="0.25">
      <c r="A501" t="s">
        <v>208</v>
      </c>
      <c r="B501" t="s">
        <v>247</v>
      </c>
      <c r="C501">
        <v>29</v>
      </c>
      <c r="D501">
        <v>2.1374732220000001</v>
      </c>
      <c r="E501">
        <v>1.0605544175E-2</v>
      </c>
      <c r="F501">
        <v>11.52426912</v>
      </c>
      <c r="G501">
        <v>15.519073397</v>
      </c>
      <c r="H501">
        <v>23.710611043</v>
      </c>
      <c r="I501">
        <v>0.12993281957</v>
      </c>
      <c r="J501">
        <v>0.84834006239999993</v>
      </c>
      <c r="K501">
        <v>1065.2114267649999</v>
      </c>
      <c r="L501">
        <v>182.49405888700011</v>
      </c>
      <c r="M501">
        <v>0.1659355284</v>
      </c>
      <c r="N501">
        <v>50.753953560000006</v>
      </c>
      <c r="O501">
        <v>0.36633693779999998</v>
      </c>
      <c r="P501">
        <v>1.5342682726E-2</v>
      </c>
      <c r="Q501">
        <v>2.4984682349999999E-2</v>
      </c>
      <c r="R501">
        <v>2.6944345649999999</v>
      </c>
      <c r="S501">
        <v>34.172039869000002</v>
      </c>
      <c r="T501">
        <v>48.406144191000003</v>
      </c>
      <c r="U501">
        <v>867.80447834100016</v>
      </c>
      <c r="V501">
        <v>0</v>
      </c>
      <c r="W501">
        <v>0</v>
      </c>
      <c r="Y501" t="str">
        <f>$A501 &amp; Keys!$C$8 &amp; $B501</f>
        <v>Utah|electricity PM25</v>
      </c>
      <c r="Z501" s="8">
        <f>IFERROR(INDEX($U501:$W501, MATCH(INDEX(Runs!$D:$D, MATCH($B501, Runs!$A:$A, 0)), $U$1:$W$1, 0)), 0)</f>
        <v>867.80447834100016</v>
      </c>
      <c r="AA501" s="8">
        <f t="shared" si="28"/>
        <v>2.4630815758017888E-3</v>
      </c>
      <c r="AB501" s="8">
        <f>IFERROR(VLOOKUP(INDEX(Runs!$F:$F, MATCH($B501, Runs!$A:$A, 0)), US_national_yearly!$D:$AM, MATCH(Keys!$C$7, US_national_yearly!$D$1:$AM$1, 0), FALSE), 0)</f>
        <v>2.4252978284752182E-2</v>
      </c>
      <c r="AC501" s="8">
        <f t="shared" si="29"/>
        <v>0.10155790133825854</v>
      </c>
      <c r="AD501">
        <f>IF($Z501&lt;Keys!$C$3, 1, 0)</f>
        <v>0</v>
      </c>
      <c r="AE501">
        <f>IF($AC501&gt;Keys!$C$4, 1, 0)</f>
        <v>0</v>
      </c>
      <c r="AF501">
        <f>IF($AC501&lt;Keys!$C$5, 1, 0)</f>
        <v>0</v>
      </c>
      <c r="AG501">
        <f t="shared" si="30"/>
        <v>0</v>
      </c>
      <c r="AH501" t="str">
        <f>IFERROR(INDEX(Runs!$E:$E, MATCH($B501, Runs!$A:$A, 0)), $B501)</f>
        <v>Industry PM25</v>
      </c>
      <c r="AI501" t="str">
        <f t="shared" si="31"/>
        <v>electricity PM25</v>
      </c>
      <c r="AJ501" t="str">
        <f>IF($AG501=1, IF($AD501=1, Keys!$C$9, "") &amp; IF($AE501=1, Keys!$C$10, "") &amp; IF($AF501=1, Keys!$C$11, ""), "")</f>
        <v/>
      </c>
      <c r="AK501">
        <f>IF($AG501=1, IFERROR(INDEX($AG$2:$AG$577, MATCH($A501 &amp; Keys!$C$8 &amp; $AH501, $Y$2:$Y$577, 0)), 1), 0)</f>
        <v>0</v>
      </c>
    </row>
    <row r="502" spans="1:37" x14ac:dyDescent="0.25">
      <c r="A502" t="s">
        <v>208</v>
      </c>
      <c r="B502" t="s">
        <v>250</v>
      </c>
      <c r="C502">
        <v>29</v>
      </c>
      <c r="D502">
        <v>3.4444202260000001</v>
      </c>
      <c r="E502">
        <v>1.6874620239999999E-2</v>
      </c>
      <c r="F502">
        <v>18.310402096000001</v>
      </c>
      <c r="G502">
        <v>24.657532734000011</v>
      </c>
      <c r="H502">
        <v>37.672818665999998</v>
      </c>
      <c r="I502">
        <v>0.21002656719999999</v>
      </c>
      <c r="J502">
        <v>1.3638789870000001</v>
      </c>
      <c r="K502">
        <v>1683.4533535160001</v>
      </c>
      <c r="L502">
        <v>288.20669822399998</v>
      </c>
      <c r="M502">
        <v>0.26826804360000001</v>
      </c>
      <c r="N502">
        <v>80.640753496000002</v>
      </c>
      <c r="O502">
        <v>0.58845052229999983</v>
      </c>
      <c r="P502">
        <v>2.500092642E-2</v>
      </c>
      <c r="Q502">
        <v>3.9633327070000002E-2</v>
      </c>
      <c r="R502">
        <v>4.2758092960000003</v>
      </c>
      <c r="S502">
        <v>54.228711870000012</v>
      </c>
      <c r="T502">
        <v>76.821205222000003</v>
      </c>
      <c r="U502">
        <v>0</v>
      </c>
      <c r="V502">
        <v>5135.8269111110003</v>
      </c>
      <c r="W502">
        <v>0</v>
      </c>
      <c r="Y502" t="str">
        <f>$A502 &amp; Keys!$C$8 &amp; $B502</f>
        <v>Utah|electricity SO2</v>
      </c>
      <c r="Z502" s="8">
        <f>IFERROR(INDEX($U502:$W502, MATCH(INDEX(Runs!$D:$D, MATCH($B502, Runs!$A:$A, 0)), $U$1:$W$1, 0)), 0)</f>
        <v>5135.8269111110003</v>
      </c>
      <c r="AA502" s="8">
        <f t="shared" si="28"/>
        <v>6.7066516952669084E-4</v>
      </c>
      <c r="AB502" s="8">
        <f>IFERROR(VLOOKUP(INDEX(Runs!$F:$F, MATCH($B502, Runs!$A:$A, 0)), US_national_yearly!$D:$AM, MATCH(Keys!$C$7, US_national_yearly!$D$1:$AM$1, 0), FALSE), 0)</f>
        <v>5.7032329662362116E-3</v>
      </c>
      <c r="AC502" s="8">
        <f t="shared" si="29"/>
        <v>0.11759385834264617</v>
      </c>
      <c r="AD502">
        <f>IF($Z502&lt;Keys!$C$3, 1, 0)</f>
        <v>0</v>
      </c>
      <c r="AE502">
        <f>IF($AC502&gt;Keys!$C$4, 1, 0)</f>
        <v>0</v>
      </c>
      <c r="AF502">
        <f>IF($AC502&lt;Keys!$C$5, 1, 0)</f>
        <v>0</v>
      </c>
      <c r="AG502">
        <f t="shared" si="30"/>
        <v>0</v>
      </c>
      <c r="AH502" t="str">
        <f>IFERROR(INDEX(Runs!$E:$E, MATCH($B502, Runs!$A:$A, 0)), $B502)</f>
        <v>Industry SO2</v>
      </c>
      <c r="AI502" t="str">
        <f t="shared" si="31"/>
        <v>electricity SO2</v>
      </c>
      <c r="AJ502" t="str">
        <f>IF($AG502=1, IF($AD502=1, Keys!$C$9, "") &amp; IF($AE502=1, Keys!$C$10, "") &amp; IF($AF502=1, Keys!$C$11, ""), "")</f>
        <v/>
      </c>
      <c r="AK502">
        <f>IF($AG502=1, IFERROR(INDEX($AG$2:$AG$577, MATCH($A502 &amp; Keys!$C$8 &amp; $AH502, $Y$2:$Y$577, 0)), 1), 0)</f>
        <v>0</v>
      </c>
    </row>
    <row r="503" spans="1:37" x14ac:dyDescent="0.25">
      <c r="A503" t="s">
        <v>208</v>
      </c>
      <c r="B503" t="s">
        <v>239</v>
      </c>
      <c r="C503">
        <v>29</v>
      </c>
      <c r="D503">
        <v>45.623697863999993</v>
      </c>
      <c r="E503">
        <v>0.21233556146999999</v>
      </c>
      <c r="F503">
        <v>231.014915438</v>
      </c>
      <c r="G503">
        <v>311.07444547699998</v>
      </c>
      <c r="H503">
        <v>475.34266207899992</v>
      </c>
      <c r="I503">
        <v>2.534076658</v>
      </c>
      <c r="J503">
        <v>17.515476224</v>
      </c>
      <c r="K503">
        <v>22196.909318712002</v>
      </c>
      <c r="L503">
        <v>3804.8166672980001</v>
      </c>
      <c r="M503">
        <v>3.328234063</v>
      </c>
      <c r="N503">
        <v>1017.432022994</v>
      </c>
      <c r="O503">
        <v>6.8079083810000007</v>
      </c>
      <c r="P503">
        <v>0.30192766545999999</v>
      </c>
      <c r="Q503">
        <v>0.52878418800000004</v>
      </c>
      <c r="R503">
        <v>53.713453506999997</v>
      </c>
      <c r="S503">
        <v>681.78908747299988</v>
      </c>
      <c r="T503">
        <v>968.02365085899999</v>
      </c>
      <c r="U503">
        <v>0</v>
      </c>
      <c r="V503">
        <v>0</v>
      </c>
      <c r="W503">
        <v>43977.579528460003</v>
      </c>
      <c r="Y503" t="str">
        <f>$A503 &amp; Keys!$C$8 &amp; $B503</f>
        <v>Utah|transportation NO2</v>
      </c>
      <c r="Z503" s="8">
        <f>IFERROR(INDEX($U503:$W503, MATCH(INDEX(Runs!$D:$D, MATCH($B503, Runs!$A:$A, 0)), $U$1:$W$1, 0)), 0)</f>
        <v>43977.579528460003</v>
      </c>
      <c r="AA503" s="8">
        <f t="shared" si="28"/>
        <v>1.0374308534755695E-3</v>
      </c>
      <c r="AB503" s="8">
        <f>IFERROR(VLOOKUP(INDEX(Runs!$F:$F, MATCH($B503, Runs!$A:$A, 0)), US_national_yearly!$D:$AM, MATCH(Keys!$C$7, US_national_yearly!$D$1:$AM$1, 0), FALSE), 0)</f>
        <v>5.7148835886332216E-3</v>
      </c>
      <c r="AC503" s="8">
        <f t="shared" si="29"/>
        <v>0.18153140608830542</v>
      </c>
      <c r="AD503">
        <f>IF($Z503&lt;Keys!$C$3, 1, 0)</f>
        <v>0</v>
      </c>
      <c r="AE503">
        <f>IF($AC503&gt;Keys!$C$4, 1, 0)</f>
        <v>0</v>
      </c>
      <c r="AF503">
        <f>IF($AC503&lt;Keys!$C$5, 1, 0)</f>
        <v>0</v>
      </c>
      <c r="AG503">
        <f t="shared" si="30"/>
        <v>0</v>
      </c>
      <c r="AH503" t="str">
        <f>IFERROR(INDEX(Runs!$E:$E, MATCH($B503, Runs!$A:$A, 0)), $B503)</f>
        <v>Industry NO2</v>
      </c>
      <c r="AI503" t="str">
        <f t="shared" si="31"/>
        <v>transportation NO2</v>
      </c>
      <c r="AJ503" t="str">
        <f>IF($AG503=1, IF($AD503=1, Keys!$C$9, "") &amp; IF($AE503=1, Keys!$C$10, "") &amp; IF($AF503=1, Keys!$C$11, ""), "")</f>
        <v/>
      </c>
      <c r="AK503">
        <f>IF($AG503=1, IFERROR(INDEX($AG$2:$AG$577, MATCH($A503 &amp; Keys!$C$8 &amp; $AH503, $Y$2:$Y$577, 0)), 1), 0)</f>
        <v>0</v>
      </c>
    </row>
    <row r="504" spans="1:37" x14ac:dyDescent="0.25">
      <c r="A504" t="s">
        <v>208</v>
      </c>
      <c r="B504" t="s">
        <v>234</v>
      </c>
      <c r="C504">
        <v>29</v>
      </c>
      <c r="D504">
        <v>22.25102771200001</v>
      </c>
      <c r="E504">
        <v>0.101967213349</v>
      </c>
      <c r="F504">
        <v>111.483904741</v>
      </c>
      <c r="G504">
        <v>150.12413512699999</v>
      </c>
      <c r="H504">
        <v>229.38248886699989</v>
      </c>
      <c r="I504">
        <v>1.2260412101</v>
      </c>
      <c r="J504">
        <v>8.4879583090000015</v>
      </c>
      <c r="K504">
        <v>10769.80473147</v>
      </c>
      <c r="L504">
        <v>1845.8603037590001</v>
      </c>
      <c r="M504">
        <v>1.6049865400000001</v>
      </c>
      <c r="N504">
        <v>490.99052873499988</v>
      </c>
      <c r="O504">
        <v>3.2197186382999989</v>
      </c>
      <c r="P504">
        <v>0.14408307819999999</v>
      </c>
      <c r="Q504">
        <v>0.25646263492999988</v>
      </c>
      <c r="R504">
        <v>25.942598145000009</v>
      </c>
      <c r="S504">
        <v>329.17797951699998</v>
      </c>
      <c r="T504">
        <v>466.89358903899989</v>
      </c>
      <c r="U504">
        <v>966.419534613</v>
      </c>
      <c r="V504">
        <v>0</v>
      </c>
      <c r="W504">
        <v>0</v>
      </c>
      <c r="Y504" t="str">
        <f>$A504 &amp; Keys!$C$8 &amp; $B504</f>
        <v>Utah|transportation PM25</v>
      </c>
      <c r="Z504" s="8">
        <f>IFERROR(INDEX($U504:$W504, MATCH(INDEX(Runs!$D:$D, MATCH($B504, Runs!$A:$A, 0)), $U$1:$W$1, 0)), 0)</f>
        <v>966.419534613</v>
      </c>
      <c r="AA504" s="8">
        <f t="shared" si="28"/>
        <v>2.302419075263247E-2</v>
      </c>
      <c r="AB504" s="8">
        <f>IFERROR(VLOOKUP(INDEX(Runs!$F:$F, MATCH($B504, Runs!$A:$A, 0)), US_national_yearly!$D:$AM, MATCH(Keys!$C$7, US_national_yearly!$D$1:$AM$1, 0), FALSE), 0)</f>
        <v>2.8248683697579859E-2</v>
      </c>
      <c r="AC504" s="8">
        <f t="shared" si="29"/>
        <v>0.81505357910198895</v>
      </c>
      <c r="AD504">
        <f>IF($Z504&lt;Keys!$C$3, 1, 0)</f>
        <v>0</v>
      </c>
      <c r="AE504">
        <f>IF($AC504&gt;Keys!$C$4, 1, 0)</f>
        <v>0</v>
      </c>
      <c r="AF504">
        <f>IF($AC504&lt;Keys!$C$5, 1, 0)</f>
        <v>0</v>
      </c>
      <c r="AG504">
        <f t="shared" si="30"/>
        <v>0</v>
      </c>
      <c r="AH504" t="str">
        <f>IFERROR(INDEX(Runs!$E:$E, MATCH($B504, Runs!$A:$A, 0)), $B504)</f>
        <v>Industry PM25</v>
      </c>
      <c r="AI504" t="str">
        <f t="shared" si="31"/>
        <v>transportation PM25</v>
      </c>
      <c r="AJ504" t="str">
        <f>IF($AG504=1, IF($AD504=1, Keys!$C$9, "") &amp; IF($AE504=1, Keys!$C$10, "") &amp; IF($AF504=1, Keys!$C$11, ""), "")</f>
        <v/>
      </c>
      <c r="AK504">
        <f>IF($AG504=1, IFERROR(INDEX($AG$2:$AG$577, MATCH($A504 &amp; Keys!$C$8 &amp; $AH504, $Y$2:$Y$577, 0)), 1), 0)</f>
        <v>0</v>
      </c>
    </row>
    <row r="505" spans="1:37" x14ac:dyDescent="0.25">
      <c r="A505" t="s">
        <v>208</v>
      </c>
      <c r="B505" t="s">
        <v>243</v>
      </c>
      <c r="C505">
        <v>29</v>
      </c>
      <c r="D505">
        <v>0.65394287499999992</v>
      </c>
      <c r="E505">
        <v>2.9447560037999991E-3</v>
      </c>
      <c r="F505">
        <v>3.1969880170999998</v>
      </c>
      <c r="G505">
        <v>4.3052090327999997</v>
      </c>
      <c r="H505">
        <v>6.5776270289999994</v>
      </c>
      <c r="I505">
        <v>3.4328834820000001E-2</v>
      </c>
      <c r="J505">
        <v>0.24874630040000001</v>
      </c>
      <c r="K505">
        <v>315.17813013199998</v>
      </c>
      <c r="L505">
        <v>54.023405964000013</v>
      </c>
      <c r="M505">
        <v>4.5878142769999998E-2</v>
      </c>
      <c r="N505">
        <v>14.0798240789</v>
      </c>
      <c r="O505">
        <v>9.0261947780000004E-2</v>
      </c>
      <c r="P505">
        <v>4.1399324754000004E-3</v>
      </c>
      <c r="Q505">
        <v>7.6017737269999993E-3</v>
      </c>
      <c r="R505">
        <v>0.74502410625000004</v>
      </c>
      <c r="S505">
        <v>9.4502858519999986</v>
      </c>
      <c r="T505">
        <v>13.390072948</v>
      </c>
      <c r="U505">
        <v>0</v>
      </c>
      <c r="V505">
        <v>281.06128173399998</v>
      </c>
      <c r="W505">
        <v>0</v>
      </c>
      <c r="Y505" t="str">
        <f>$A505 &amp; Keys!$C$8 &amp; $B505</f>
        <v>Utah|transportation SO2</v>
      </c>
      <c r="Z505" s="8">
        <f>IFERROR(INDEX($U505:$W505, MATCH(INDEX(Runs!$D:$D, MATCH($B505, Runs!$A:$A, 0)), $U$1:$W$1, 0)), 0)</f>
        <v>281.06128173399998</v>
      </c>
      <c r="AA505" s="8">
        <f t="shared" si="28"/>
        <v>2.3266914281665444E-3</v>
      </c>
      <c r="AB505" s="8">
        <f>IFERROR(VLOOKUP(INDEX(Runs!$F:$F, MATCH($B505, Runs!$A:$A, 0)), US_national_yearly!$D:$AM, MATCH(Keys!$C$7, US_national_yearly!$D$1:$AM$1, 0), FALSE), 0)</f>
        <v>5.1800714166247604E-3</v>
      </c>
      <c r="AC505" s="8">
        <f t="shared" si="29"/>
        <v>0.44916203678183531</v>
      </c>
      <c r="AD505">
        <f>IF($Z505&lt;Keys!$C$3, 1, 0)</f>
        <v>0</v>
      </c>
      <c r="AE505">
        <f>IF($AC505&gt;Keys!$C$4, 1, 0)</f>
        <v>0</v>
      </c>
      <c r="AF505">
        <f>IF($AC505&lt;Keys!$C$5, 1, 0)</f>
        <v>0</v>
      </c>
      <c r="AG505">
        <f t="shared" si="30"/>
        <v>0</v>
      </c>
      <c r="AH505" t="str">
        <f>IFERROR(INDEX(Runs!$E:$E, MATCH($B505, Runs!$A:$A, 0)), $B505)</f>
        <v>Industry SO2</v>
      </c>
      <c r="AI505" t="str">
        <f t="shared" si="31"/>
        <v>transportation SO2</v>
      </c>
      <c r="AJ505" t="str">
        <f>IF($AG505=1, IF($AD505=1, Keys!$C$9, "") &amp; IF($AE505=1, Keys!$C$10, "") &amp; IF($AF505=1, Keys!$C$11, ""), "")</f>
        <v/>
      </c>
      <c r="AK505">
        <f>IF($AG505=1, IFERROR(INDEX($AG$2:$AG$577, MATCH($A505 &amp; Keys!$C$8 &amp; $AH505, $Y$2:$Y$577, 0)), 1), 0)</f>
        <v>0</v>
      </c>
    </row>
    <row r="506" spans="1:37" x14ac:dyDescent="0.25">
      <c r="A506" t="s">
        <v>211</v>
      </c>
      <c r="B506" t="s">
        <v>242</v>
      </c>
      <c r="C506">
        <v>14</v>
      </c>
      <c r="D506">
        <v>3.1847338000000003E-2</v>
      </c>
      <c r="E506">
        <v>4.2381961000000002E-5</v>
      </c>
      <c r="F506">
        <v>6.5494417999999985E-2</v>
      </c>
      <c r="G506">
        <v>8.8197841999999999E-2</v>
      </c>
      <c r="H506">
        <v>0.13475098099999999</v>
      </c>
      <c r="I506">
        <v>2.42042628E-3</v>
      </c>
      <c r="J506">
        <v>1.08262045E-2</v>
      </c>
      <c r="K506">
        <v>9.4433197530000026</v>
      </c>
      <c r="L506">
        <v>1.5852986099999999</v>
      </c>
      <c r="M506">
        <v>2.4641316999999999E-3</v>
      </c>
      <c r="N506">
        <v>0.28844324100000002</v>
      </c>
      <c r="O506">
        <v>4.504517999999999E-3</v>
      </c>
      <c r="P506">
        <v>6.1109479000000011E-5</v>
      </c>
      <c r="Q506">
        <v>4.8629044999999978E-4</v>
      </c>
      <c r="R506">
        <v>1.3924260799999999E-2</v>
      </c>
      <c r="S506">
        <v>0.177093794</v>
      </c>
      <c r="T506">
        <v>0.25204404499999999</v>
      </c>
      <c r="U506">
        <v>0</v>
      </c>
      <c r="V506">
        <v>0</v>
      </c>
      <c r="W506">
        <v>833.28798999000003</v>
      </c>
      <c r="Y506" t="str">
        <f>$A506 &amp; Keys!$C$8 &amp; $B506</f>
        <v>Vermont|Industry NO2</v>
      </c>
      <c r="Z506" s="8">
        <f>IFERROR(INDEX($U506:$W506, MATCH(INDEX(Runs!$D:$D, MATCH($B506, Runs!$A:$A, 0)), $U$1:$W$1, 0)), 0)</f>
        <v>833.28798999000003</v>
      </c>
      <c r="AA506" s="8">
        <f t="shared" si="28"/>
        <v>3.8218885166438308E-5</v>
      </c>
      <c r="AB506" s="8">
        <f>IFERROR(VLOOKUP(INDEX(Runs!$F:$F, MATCH($B506, Runs!$A:$A, 0)), US_national_yearly!$D:$AM, MATCH(Keys!$C$7, US_national_yearly!$D$1:$AM$1, 0), FALSE), 0)</f>
        <v>5.8012217057786938E-3</v>
      </c>
      <c r="AC506" s="8">
        <f t="shared" si="29"/>
        <v>6.5880752546257351E-3</v>
      </c>
      <c r="AD506">
        <f>IF($Z506&lt;Keys!$C$3, 1, 0)</f>
        <v>0</v>
      </c>
      <c r="AE506">
        <f>IF($AC506&gt;Keys!$C$4, 1, 0)</f>
        <v>0</v>
      </c>
      <c r="AF506">
        <f>IF($AC506&lt;Keys!$C$5, 1, 0)</f>
        <v>0</v>
      </c>
      <c r="AG506">
        <f t="shared" si="30"/>
        <v>0</v>
      </c>
      <c r="AH506" t="str">
        <f>IFERROR(INDEX(Runs!$E:$E, MATCH($B506, Runs!$A:$A, 0)), $B506)</f>
        <v>Industry NO2</v>
      </c>
      <c r="AI506" t="str">
        <f t="shared" si="31"/>
        <v>Industry NO2</v>
      </c>
      <c r="AJ506" t="str">
        <f>IF($AG506=1, IF($AD506=1, Keys!$C$9, "") &amp; IF($AE506=1, Keys!$C$10, "") &amp; IF($AF506=1, Keys!$C$11, ""), "")</f>
        <v/>
      </c>
      <c r="AK506">
        <f>IF($AG506=1, IFERROR(INDEX($AG$2:$AG$577, MATCH($A506 &amp; Keys!$C$8 &amp; $AH506, $Y$2:$Y$577, 0)), 1), 0)</f>
        <v>0</v>
      </c>
    </row>
    <row r="507" spans="1:37" x14ac:dyDescent="0.25">
      <c r="A507" t="s">
        <v>211</v>
      </c>
      <c r="B507" t="s">
        <v>238</v>
      </c>
      <c r="C507">
        <v>14</v>
      </c>
      <c r="D507">
        <v>3.044455793</v>
      </c>
      <c r="E507">
        <v>4.0146396000000006E-3</v>
      </c>
      <c r="F507">
        <v>6.1990530120000003</v>
      </c>
      <c r="G507">
        <v>8.3478269119999986</v>
      </c>
      <c r="H507">
        <v>12.754412423</v>
      </c>
      <c r="I507">
        <v>0.23070963799999999</v>
      </c>
      <c r="J507">
        <v>1.046525031</v>
      </c>
      <c r="K507">
        <v>892.30285269700005</v>
      </c>
      <c r="L507">
        <v>149.75399955699999</v>
      </c>
      <c r="M507">
        <v>0.234147786</v>
      </c>
      <c r="N507">
        <v>27.301292347</v>
      </c>
      <c r="O507">
        <v>0.43648090499999997</v>
      </c>
      <c r="P507">
        <v>5.7796012000000006E-3</v>
      </c>
      <c r="Q507">
        <v>4.6186533999999987E-2</v>
      </c>
      <c r="R507">
        <v>1.3252324390000001</v>
      </c>
      <c r="S507">
        <v>16.857094914000001</v>
      </c>
      <c r="T507">
        <v>24.001154222</v>
      </c>
      <c r="U507">
        <v>540.29351721</v>
      </c>
      <c r="V507">
        <v>0</v>
      </c>
      <c r="W507">
        <v>0</v>
      </c>
      <c r="Y507" t="str">
        <f>$A507 &amp; Keys!$C$8 &amp; $B507</f>
        <v>Vermont|Industry PM25</v>
      </c>
      <c r="Z507" s="8">
        <f>IFERROR(INDEX($U507:$W507, MATCH(INDEX(Runs!$D:$D, MATCH($B507, Runs!$A:$A, 0)), $U$1:$W$1, 0)), 0)</f>
        <v>540.29351721</v>
      </c>
      <c r="AA507" s="8">
        <f t="shared" si="28"/>
        <v>5.6348182904750422E-3</v>
      </c>
      <c r="AB507" s="8">
        <f>IFERROR(VLOOKUP(INDEX(Runs!$F:$F, MATCH($B507, Runs!$A:$A, 0)), US_national_yearly!$D:$AM, MATCH(Keys!$C$7, US_national_yearly!$D$1:$AM$1, 0), FALSE), 0)</f>
        <v>2.6833191881203179E-2</v>
      </c>
      <c r="AC507" s="8">
        <f t="shared" si="29"/>
        <v>0.20999433520326996</v>
      </c>
      <c r="AD507">
        <f>IF($Z507&lt;Keys!$C$3, 1, 0)</f>
        <v>0</v>
      </c>
      <c r="AE507">
        <f>IF($AC507&gt;Keys!$C$4, 1, 0)</f>
        <v>0</v>
      </c>
      <c r="AF507">
        <f>IF($AC507&lt;Keys!$C$5, 1, 0)</f>
        <v>0</v>
      </c>
      <c r="AG507">
        <f t="shared" si="30"/>
        <v>0</v>
      </c>
      <c r="AH507" t="str">
        <f>IFERROR(INDEX(Runs!$E:$E, MATCH($B507, Runs!$A:$A, 0)), $B507)</f>
        <v>Industry PM25</v>
      </c>
      <c r="AI507" t="str">
        <f t="shared" si="31"/>
        <v>Industry PM25</v>
      </c>
      <c r="AJ507" t="str">
        <f>IF($AG507=1, IF($AD507=1, Keys!$C$9, "") &amp; IF($AE507=1, Keys!$C$10, "") &amp; IF($AF507=1, Keys!$C$11, ""), "")</f>
        <v/>
      </c>
      <c r="AK507">
        <f>IF($AG507=1, IFERROR(INDEX($AG$2:$AG$577, MATCH($A507 &amp; Keys!$C$8 &amp; $AH507, $Y$2:$Y$577, 0)), 1), 0)</f>
        <v>0</v>
      </c>
    </row>
    <row r="508" spans="1:37" x14ac:dyDescent="0.25">
      <c r="A508" t="s">
        <v>211</v>
      </c>
      <c r="B508" t="s">
        <v>246</v>
      </c>
      <c r="C508">
        <v>14</v>
      </c>
      <c r="D508">
        <v>0.16062183199999999</v>
      </c>
      <c r="E508">
        <v>2.15431253E-4</v>
      </c>
      <c r="F508">
        <v>0.33152361699999999</v>
      </c>
      <c r="G508">
        <v>0.4464449350000001</v>
      </c>
      <c r="H508">
        <v>0.68209120700000014</v>
      </c>
      <c r="I508">
        <v>1.2315301400000001E-2</v>
      </c>
      <c r="J508">
        <v>5.5472923E-2</v>
      </c>
      <c r="K508">
        <v>47.604870407999996</v>
      </c>
      <c r="L508">
        <v>7.9915072019999993</v>
      </c>
      <c r="M508">
        <v>1.2597059400000001E-2</v>
      </c>
      <c r="N508">
        <v>1.460059759</v>
      </c>
      <c r="O508">
        <v>2.3192348000000002E-2</v>
      </c>
      <c r="P508">
        <v>3.0987499999999987E-4</v>
      </c>
      <c r="Q508">
        <v>2.4619607100000002E-3</v>
      </c>
      <c r="R508">
        <v>7.0802224999999996E-2</v>
      </c>
      <c r="S508">
        <v>0.9004612369999998</v>
      </c>
      <c r="T508">
        <v>1.281503026</v>
      </c>
      <c r="U508">
        <v>0</v>
      </c>
      <c r="V508">
        <v>40.748255811000007</v>
      </c>
      <c r="W508">
        <v>0</v>
      </c>
      <c r="Y508" t="str">
        <f>$A508 &amp; Keys!$C$8 &amp; $B508</f>
        <v>Vermont|Industry SO2</v>
      </c>
      <c r="Z508" s="8">
        <f>IFERROR(INDEX($U508:$W508, MATCH(INDEX(Runs!$D:$D, MATCH($B508, Runs!$A:$A, 0)), $U$1:$W$1, 0)), 0)</f>
        <v>40.748255811000007</v>
      </c>
      <c r="AA508" s="8">
        <f t="shared" si="28"/>
        <v>3.9418087671040892E-3</v>
      </c>
      <c r="AB508" s="8">
        <f>IFERROR(VLOOKUP(INDEX(Runs!$F:$F, MATCH($B508, Runs!$A:$A, 0)), US_national_yearly!$D:$AM, MATCH(Keys!$C$7, US_national_yearly!$D$1:$AM$1, 0), FALSE), 0)</f>
        <v>5.3000351638639942E-3</v>
      </c>
      <c r="AC508" s="8">
        <f t="shared" si="29"/>
        <v>0.74373256879116834</v>
      </c>
      <c r="AD508">
        <f>IF($Z508&lt;Keys!$C$3, 1, 0)</f>
        <v>0</v>
      </c>
      <c r="AE508">
        <f>IF($AC508&gt;Keys!$C$4, 1, 0)</f>
        <v>0</v>
      </c>
      <c r="AF508">
        <f>IF($AC508&lt;Keys!$C$5, 1, 0)</f>
        <v>0</v>
      </c>
      <c r="AG508">
        <f t="shared" si="30"/>
        <v>0</v>
      </c>
      <c r="AH508" t="str">
        <f>IFERROR(INDEX(Runs!$E:$E, MATCH($B508, Runs!$A:$A, 0)), $B508)</f>
        <v>Industry SO2</v>
      </c>
      <c r="AI508" t="str">
        <f t="shared" si="31"/>
        <v>Industry SO2</v>
      </c>
      <c r="AJ508" t="str">
        <f>IF($AG508=1, IF($AD508=1, Keys!$C$9, "") &amp; IF($AE508=1, Keys!$C$10, "") &amp; IF($AF508=1, Keys!$C$11, ""), "")</f>
        <v/>
      </c>
      <c r="AK508">
        <f>IF($AG508=1, IFERROR(INDEX($AG$2:$AG$577, MATCH($A508 &amp; Keys!$C$8 &amp; $AH508, $Y$2:$Y$577, 0)), 1), 0)</f>
        <v>0</v>
      </c>
    </row>
    <row r="509" spans="1:37" x14ac:dyDescent="0.25">
      <c r="A509" t="s">
        <v>211</v>
      </c>
      <c r="B509" t="s">
        <v>253</v>
      </c>
      <c r="C509">
        <v>14</v>
      </c>
      <c r="D509">
        <v>0.30481491500000002</v>
      </c>
      <c r="E509">
        <v>3.9256101000000011E-4</v>
      </c>
      <c r="F509">
        <v>0.60974990600000001</v>
      </c>
      <c r="G509">
        <v>0.82111682600000024</v>
      </c>
      <c r="H509">
        <v>1.2545269889999999</v>
      </c>
      <c r="I509">
        <v>2.2633633300000001E-2</v>
      </c>
      <c r="J509">
        <v>0.104956783</v>
      </c>
      <c r="K509">
        <v>87.666588978999997</v>
      </c>
      <c r="L509">
        <v>14.702857463999999</v>
      </c>
      <c r="M509">
        <v>2.32122531E-2</v>
      </c>
      <c r="N509">
        <v>2.6853937210000001</v>
      </c>
      <c r="O509">
        <v>4.2746225999999991E-2</v>
      </c>
      <c r="P509">
        <v>5.7398360999999986E-4</v>
      </c>
      <c r="Q509">
        <v>4.5029040999999999E-3</v>
      </c>
      <c r="R509">
        <v>0.131237293</v>
      </c>
      <c r="S509">
        <v>1.6691730250000001</v>
      </c>
      <c r="T509">
        <v>2.375759245999999</v>
      </c>
      <c r="U509">
        <v>0</v>
      </c>
      <c r="V509">
        <v>0</v>
      </c>
      <c r="W509">
        <v>1548.1663619399999</v>
      </c>
      <c r="Y509" t="str">
        <f>$A509 &amp; Keys!$C$8 &amp; $B509</f>
        <v>Vermont|buildings NO2</v>
      </c>
      <c r="Z509" s="8">
        <f>IFERROR(INDEX($U509:$W509, MATCH(INDEX(Runs!$D:$D, MATCH($B509, Runs!$A:$A, 0)), $U$1:$W$1, 0)), 0)</f>
        <v>1548.1663619399999</v>
      </c>
      <c r="AA509" s="8">
        <f t="shared" si="28"/>
        <v>1.9688770050399357E-4</v>
      </c>
      <c r="AB509" s="8">
        <f>IFERROR(VLOOKUP(INDEX(Runs!$F:$F, MATCH($B509, Runs!$A:$A, 0)), US_national_yearly!$D:$AM, MATCH(Keys!$C$7, US_national_yearly!$D$1:$AM$1, 0), FALSE), 0)</f>
        <v>5.6784740124662739E-3</v>
      </c>
      <c r="AC509" s="8">
        <f t="shared" si="29"/>
        <v>3.4672642697977471E-2</v>
      </c>
      <c r="AD509">
        <f>IF($Z509&lt;Keys!$C$3, 1, 0)</f>
        <v>0</v>
      </c>
      <c r="AE509">
        <f>IF($AC509&gt;Keys!$C$4, 1, 0)</f>
        <v>0</v>
      </c>
      <c r="AF509">
        <f>IF($AC509&lt;Keys!$C$5, 1, 0)</f>
        <v>0</v>
      </c>
      <c r="AG509">
        <f t="shared" si="30"/>
        <v>0</v>
      </c>
      <c r="AH509" t="str">
        <f>IFERROR(INDEX(Runs!$E:$E, MATCH($B509, Runs!$A:$A, 0)), $B509)</f>
        <v>Industry NO2</v>
      </c>
      <c r="AI509" t="str">
        <f t="shared" si="31"/>
        <v>buildings NO2</v>
      </c>
      <c r="AJ509" t="str">
        <f>IF($AG509=1, IF($AD509=1, Keys!$C$9, "") &amp; IF($AE509=1, Keys!$C$10, "") &amp; IF($AF509=1, Keys!$C$11, ""), "")</f>
        <v/>
      </c>
      <c r="AK509">
        <f>IF($AG509=1, IFERROR(INDEX($AG$2:$AG$577, MATCH($A509 &amp; Keys!$C$8 &amp; $AH509, $Y$2:$Y$577, 0)), 1), 0)</f>
        <v>0</v>
      </c>
    </row>
    <row r="510" spans="1:37" x14ac:dyDescent="0.25">
      <c r="A510" t="s">
        <v>211</v>
      </c>
      <c r="B510" t="s">
        <v>251</v>
      </c>
      <c r="C510">
        <v>14</v>
      </c>
      <c r="D510">
        <v>0.20812868200000001</v>
      </c>
      <c r="E510">
        <v>2.47034131E-4</v>
      </c>
      <c r="F510">
        <v>0.39151087099999998</v>
      </c>
      <c r="G510">
        <v>0.52722652800000003</v>
      </c>
      <c r="H510">
        <v>0.80551160899999996</v>
      </c>
      <c r="I510">
        <v>1.45405567E-2</v>
      </c>
      <c r="J510">
        <v>7.068566200000001E-2</v>
      </c>
      <c r="K510">
        <v>56.294645645000003</v>
      </c>
      <c r="L510">
        <v>9.4219129680000009</v>
      </c>
      <c r="M510">
        <v>1.50306976E-2</v>
      </c>
      <c r="N510">
        <v>1.7242490079999999</v>
      </c>
      <c r="O510">
        <v>2.7855352999999999E-2</v>
      </c>
      <c r="P510">
        <v>3.7461465999999991E-4</v>
      </c>
      <c r="Q510">
        <v>2.8467338E-3</v>
      </c>
      <c r="R510">
        <v>8.5738210999999981E-2</v>
      </c>
      <c r="S510">
        <v>1.0905835319999999</v>
      </c>
      <c r="T510">
        <v>1.5524752509999999</v>
      </c>
      <c r="U510">
        <v>41.243348048999998</v>
      </c>
      <c r="V510">
        <v>0</v>
      </c>
      <c r="W510">
        <v>0</v>
      </c>
      <c r="Y510" t="str">
        <f>$A510 &amp; Keys!$C$8 &amp; $B510</f>
        <v>Vermont|buildings PM25</v>
      </c>
      <c r="Z510" s="8">
        <f>IFERROR(INDEX($U510:$W510, MATCH(INDEX(Runs!$D:$D, MATCH($B510, Runs!$A:$A, 0)), $U$1:$W$1, 0)), 0)</f>
        <v>41.243348048999998</v>
      </c>
      <c r="AA510" s="8">
        <f t="shared" si="28"/>
        <v>5.0463575787476926E-3</v>
      </c>
      <c r="AB510" s="8">
        <f>IFERROR(VLOOKUP(INDEX(Runs!$F:$F, MATCH($B510, Runs!$A:$A, 0)), US_national_yearly!$D:$AM, MATCH(Keys!$C$7, US_national_yearly!$D$1:$AM$1, 0), FALSE), 0)</f>
        <v>2.7627705191843259E-2</v>
      </c>
      <c r="AC510" s="8">
        <f t="shared" si="29"/>
        <v>0.18265569086199629</v>
      </c>
      <c r="AD510">
        <f>IF($Z510&lt;Keys!$C$3, 1, 0)</f>
        <v>0</v>
      </c>
      <c r="AE510">
        <f>IF($AC510&gt;Keys!$C$4, 1, 0)</f>
        <v>0</v>
      </c>
      <c r="AF510">
        <f>IF($AC510&lt;Keys!$C$5, 1, 0)</f>
        <v>0</v>
      </c>
      <c r="AG510">
        <f t="shared" si="30"/>
        <v>0</v>
      </c>
      <c r="AH510" t="str">
        <f>IFERROR(INDEX(Runs!$E:$E, MATCH($B510, Runs!$A:$A, 0)), $B510)</f>
        <v>Industry PM25</v>
      </c>
      <c r="AI510" t="str">
        <f t="shared" si="31"/>
        <v>buildings PM25</v>
      </c>
      <c r="AJ510" t="str">
        <f>IF($AG510=1, IF($AD510=1, Keys!$C$9, "") &amp; IF($AE510=1, Keys!$C$10, "") &amp; IF($AF510=1, Keys!$C$11, ""), "")</f>
        <v/>
      </c>
      <c r="AK510">
        <f>IF($AG510=1, IFERROR(INDEX($AG$2:$AG$577, MATCH($A510 &amp; Keys!$C$8 &amp; $AH510, $Y$2:$Y$577, 0)), 1), 0)</f>
        <v>0</v>
      </c>
    </row>
    <row r="511" spans="1:37" x14ac:dyDescent="0.25">
      <c r="A511" t="s">
        <v>211</v>
      </c>
      <c r="B511" t="s">
        <v>254</v>
      </c>
      <c r="C511">
        <v>14</v>
      </c>
      <c r="D511">
        <v>1.55825648E-2</v>
      </c>
      <c r="E511">
        <v>2.0272009500000001E-5</v>
      </c>
      <c r="F511">
        <v>3.1379270000000001E-2</v>
      </c>
      <c r="G511">
        <v>4.2256792000000001E-2</v>
      </c>
      <c r="H511">
        <v>6.4561025000000008E-2</v>
      </c>
      <c r="I511">
        <v>1.17320208E-3</v>
      </c>
      <c r="J511">
        <v>5.3620717999999998E-3</v>
      </c>
      <c r="K511">
        <v>4.5141159049999988</v>
      </c>
      <c r="L511">
        <v>0.75731478100000016</v>
      </c>
      <c r="M511">
        <v>1.19633086E-3</v>
      </c>
      <c r="N511">
        <v>0.138197087</v>
      </c>
      <c r="O511">
        <v>2.2047101500000002E-3</v>
      </c>
      <c r="P511">
        <v>2.9452818E-5</v>
      </c>
      <c r="Q511">
        <v>2.3329034499999999E-4</v>
      </c>
      <c r="R511">
        <v>6.7317610999999989E-3</v>
      </c>
      <c r="S511">
        <v>8.5617297999999994E-2</v>
      </c>
      <c r="T511">
        <v>0.121853119</v>
      </c>
      <c r="U511">
        <v>0</v>
      </c>
      <c r="V511">
        <v>20.807111045999999</v>
      </c>
      <c r="W511">
        <v>0</v>
      </c>
      <c r="Y511" t="str">
        <f>$A511 &amp; Keys!$C$8 &amp; $B511</f>
        <v>Vermont|buildings SO2</v>
      </c>
      <c r="Z511" s="8">
        <f>IFERROR(INDEX($U511:$W511, MATCH(INDEX(Runs!$D:$D, MATCH($B511, Runs!$A:$A, 0)), $U$1:$W$1, 0)), 0)</f>
        <v>20.807111045999999</v>
      </c>
      <c r="AA511" s="8">
        <f t="shared" si="28"/>
        <v>7.4890573542623663E-4</v>
      </c>
      <c r="AB511" s="8">
        <f>IFERROR(VLOOKUP(INDEX(Runs!$F:$F, MATCH($B511, Runs!$A:$A, 0)), US_national_yearly!$D:$AM, MATCH(Keys!$C$7, US_national_yearly!$D$1:$AM$1, 0), FALSE), 0)</f>
        <v>5.1581943281164694E-3</v>
      </c>
      <c r="AC511" s="8">
        <f t="shared" si="29"/>
        <v>0.14518757685108422</v>
      </c>
      <c r="AD511">
        <f>IF($Z511&lt;Keys!$C$3, 1, 0)</f>
        <v>0</v>
      </c>
      <c r="AE511">
        <f>IF($AC511&gt;Keys!$C$4, 1, 0)</f>
        <v>0</v>
      </c>
      <c r="AF511">
        <f>IF($AC511&lt;Keys!$C$5, 1, 0)</f>
        <v>0</v>
      </c>
      <c r="AG511">
        <f t="shared" si="30"/>
        <v>0</v>
      </c>
      <c r="AH511" t="str">
        <f>IFERROR(INDEX(Runs!$E:$E, MATCH($B511, Runs!$A:$A, 0)), $B511)</f>
        <v>Industry SO2</v>
      </c>
      <c r="AI511" t="str">
        <f t="shared" si="31"/>
        <v>buildings SO2</v>
      </c>
      <c r="AJ511" t="str">
        <f>IF($AG511=1, IF($AD511=1, Keys!$C$9, "") &amp; IF($AE511=1, Keys!$C$10, "") &amp; IF($AF511=1, Keys!$C$11, ""), "")</f>
        <v/>
      </c>
      <c r="AK511">
        <f>IF($AG511=1, IFERROR(INDEX($AG$2:$AG$577, MATCH($A511 &amp; Keys!$C$8 &amp; $AH511, $Y$2:$Y$577, 0)), 1), 0)</f>
        <v>0</v>
      </c>
    </row>
    <row r="512" spans="1:37" x14ac:dyDescent="0.25">
      <c r="A512" t="s">
        <v>211</v>
      </c>
      <c r="B512" t="s">
        <v>249</v>
      </c>
      <c r="C512">
        <v>14</v>
      </c>
      <c r="D512">
        <v>4.9271372199999988E-9</v>
      </c>
      <c r="E512">
        <v>4.9964511999999989E-12</v>
      </c>
      <c r="F512">
        <v>8.2806748000000004E-9</v>
      </c>
      <c r="G512">
        <v>1.11687117E-8</v>
      </c>
      <c r="H512">
        <v>1.7040809799999999E-8</v>
      </c>
      <c r="I512">
        <v>3.2941474599999999E-10</v>
      </c>
      <c r="J512">
        <v>1.5238918800000001E-9</v>
      </c>
      <c r="K512">
        <v>1.15361025E-6</v>
      </c>
      <c r="L512">
        <v>1.9237668199999999E-7</v>
      </c>
      <c r="M512">
        <v>3.3749851399999998E-10</v>
      </c>
      <c r="N512">
        <v>3.6490196299999999E-8</v>
      </c>
      <c r="O512">
        <v>6.8940402400000001E-10</v>
      </c>
      <c r="P512">
        <v>7.8596240000000019E-12</v>
      </c>
      <c r="Q512">
        <v>5.9396826000000012E-11</v>
      </c>
      <c r="R512">
        <v>1.84564181E-9</v>
      </c>
      <c r="S512">
        <v>2.346278829999999E-8</v>
      </c>
      <c r="T512">
        <v>3.3354044099999998E-8</v>
      </c>
      <c r="U512">
        <v>0</v>
      </c>
      <c r="V512">
        <v>0</v>
      </c>
      <c r="W512">
        <v>19.621617634</v>
      </c>
      <c r="Y512" t="str">
        <f>$A512 &amp; Keys!$C$8 &amp; $B512</f>
        <v>Vermont|electricity NO2</v>
      </c>
      <c r="Z512" s="8">
        <f>IFERROR(INDEX($U512:$W512, MATCH(INDEX(Runs!$D:$D, MATCH($B512, Runs!$A:$A, 0)), $U$1:$W$1, 0)), 0)</f>
        <v>19.621617634</v>
      </c>
      <c r="AA512" s="8">
        <f t="shared" si="28"/>
        <v>2.5110759530153826E-10</v>
      </c>
      <c r="AB512" s="8">
        <f>IFERROR(VLOOKUP(INDEX(Runs!$F:$F, MATCH($B512, Runs!$A:$A, 0)), US_national_yearly!$D:$AM, MATCH(Keys!$C$7, US_national_yearly!$D$1:$AM$1, 0), FALSE), 0)</f>
        <v>6.1439221592658041E-3</v>
      </c>
      <c r="AC512" s="8">
        <f t="shared" si="29"/>
        <v>4.0870894648760575E-8</v>
      </c>
      <c r="AD512">
        <f>IF($Z512&lt;Keys!$C$3, 1, 0)</f>
        <v>0</v>
      </c>
      <c r="AE512">
        <f>IF($AC512&gt;Keys!$C$4, 1, 0)</f>
        <v>0</v>
      </c>
      <c r="AF512">
        <f>IF($AC512&lt;Keys!$C$5, 1, 0)</f>
        <v>1</v>
      </c>
      <c r="AG512">
        <f t="shared" si="30"/>
        <v>1</v>
      </c>
      <c r="AH512" t="str">
        <f>IFERROR(INDEX(Runs!$E:$E, MATCH($B512, Runs!$A:$A, 0)), $B512)</f>
        <v>Industry NO2</v>
      </c>
      <c r="AI512" t="str">
        <f t="shared" si="31"/>
        <v>Industry NO2</v>
      </c>
      <c r="AJ512" t="str">
        <f>IF($AG512=1, IF($AD512=1, Keys!$C$9, "") &amp; IF($AE512=1, Keys!$C$10, "") &amp; IF($AF512=1, Keys!$C$11, ""), "")</f>
        <v xml:space="preserve">factor below min fraction of US; </v>
      </c>
      <c r="AK512">
        <f>IF($AG512=1, IFERROR(INDEX($AG$2:$AG$577, MATCH($A512 &amp; Keys!$C$8 &amp; $AH512, $Y$2:$Y$577, 0)), 1), 0)</f>
        <v>0</v>
      </c>
    </row>
    <row r="513" spans="1:37" x14ac:dyDescent="0.25">
      <c r="A513" t="s">
        <v>211</v>
      </c>
      <c r="B513" t="s">
        <v>247</v>
      </c>
      <c r="C513">
        <v>14</v>
      </c>
      <c r="D513">
        <v>6.3273307000000006E-3</v>
      </c>
      <c r="E513">
        <v>7.1570159099999989E-6</v>
      </c>
      <c r="F513">
        <v>1.1920728699999999E-2</v>
      </c>
      <c r="G513">
        <v>1.6053009399999998E-2</v>
      </c>
      <c r="H513">
        <v>2.4526205499999999E-2</v>
      </c>
      <c r="I513">
        <v>4.0835562300000001E-4</v>
      </c>
      <c r="J513">
        <v>1.9132973100000001E-3</v>
      </c>
      <c r="K513">
        <v>1.6799555269999999</v>
      </c>
      <c r="L513">
        <v>0.27989534300000002</v>
      </c>
      <c r="M513">
        <v>3.9338033599999999E-4</v>
      </c>
      <c r="N513">
        <v>5.2499943599999987E-2</v>
      </c>
      <c r="O513">
        <v>1.0387537750000001E-3</v>
      </c>
      <c r="P513">
        <v>1.1242522399999999E-5</v>
      </c>
      <c r="Q513">
        <v>7.95238571E-5</v>
      </c>
      <c r="R513">
        <v>2.7065725200000001E-3</v>
      </c>
      <c r="S513">
        <v>3.4429154599999998E-2</v>
      </c>
      <c r="T513">
        <v>4.9014568600000002E-2</v>
      </c>
      <c r="U513">
        <v>1.8158341474999999</v>
      </c>
      <c r="V513">
        <v>0</v>
      </c>
      <c r="W513">
        <v>0</v>
      </c>
      <c r="Y513" t="str">
        <f>$A513 &amp; Keys!$C$8 &amp; $B513</f>
        <v>Vermont|electricity PM25</v>
      </c>
      <c r="Z513" s="8">
        <f>IFERROR(INDEX($U513:$W513, MATCH(INDEX(Runs!$D:$D, MATCH($B513, Runs!$A:$A, 0)), $U$1:$W$1, 0)), 0)</f>
        <v>1.8158341474999999</v>
      </c>
      <c r="AA513" s="8">
        <f t="shared" si="28"/>
        <v>3.4845311774268201E-3</v>
      </c>
      <c r="AB513" s="8">
        <f>IFERROR(VLOOKUP(INDEX(Runs!$F:$F, MATCH($B513, Runs!$A:$A, 0)), US_national_yearly!$D:$AM, MATCH(Keys!$C$7, US_national_yearly!$D$1:$AM$1, 0), FALSE), 0)</f>
        <v>2.4252978284752182E-2</v>
      </c>
      <c r="AC513" s="8">
        <f t="shared" si="29"/>
        <v>0.14367436182539037</v>
      </c>
      <c r="AD513">
        <f>IF($Z513&lt;Keys!$C$3, 1, 0)</f>
        <v>0</v>
      </c>
      <c r="AE513">
        <f>IF($AC513&gt;Keys!$C$4, 1, 0)</f>
        <v>0</v>
      </c>
      <c r="AF513">
        <f>IF($AC513&lt;Keys!$C$5, 1, 0)</f>
        <v>0</v>
      </c>
      <c r="AG513">
        <f t="shared" si="30"/>
        <v>0</v>
      </c>
      <c r="AH513" t="str">
        <f>IFERROR(INDEX(Runs!$E:$E, MATCH($B513, Runs!$A:$A, 0)), $B513)</f>
        <v>Industry PM25</v>
      </c>
      <c r="AI513" t="str">
        <f t="shared" si="31"/>
        <v>electricity PM25</v>
      </c>
      <c r="AJ513" t="str">
        <f>IF($AG513=1, IF($AD513=1, Keys!$C$9, "") &amp; IF($AE513=1, Keys!$C$10, "") &amp; IF($AF513=1, Keys!$C$11, ""), "")</f>
        <v/>
      </c>
      <c r="AK513">
        <f>IF($AG513=1, IFERROR(INDEX($AG$2:$AG$577, MATCH($A513 &amp; Keys!$C$8 &amp; $AH513, $Y$2:$Y$577, 0)), 1), 0)</f>
        <v>0</v>
      </c>
    </row>
    <row r="514" spans="1:37" x14ac:dyDescent="0.25">
      <c r="A514" t="s">
        <v>211</v>
      </c>
      <c r="B514" t="s">
        <v>250</v>
      </c>
      <c r="C514">
        <v>14</v>
      </c>
      <c r="D514">
        <v>2.603371550000001E-3</v>
      </c>
      <c r="E514">
        <v>3.0150974099999999E-6</v>
      </c>
      <c r="F514">
        <v>4.9513848200000007E-3</v>
      </c>
      <c r="G514">
        <v>6.6677683999999994E-3</v>
      </c>
      <c r="H514">
        <v>1.01871888E-2</v>
      </c>
      <c r="I514">
        <v>1.7318136600000001E-4</v>
      </c>
      <c r="J514">
        <v>7.9782512000000001E-4</v>
      </c>
      <c r="K514">
        <v>0.70043335900000003</v>
      </c>
      <c r="L514">
        <v>0.11685641500000001</v>
      </c>
      <c r="M514">
        <v>1.68502844E-4</v>
      </c>
      <c r="N514">
        <v>2.1806342020000001E-2</v>
      </c>
      <c r="O514">
        <v>4.1847317499999989E-4</v>
      </c>
      <c r="P514">
        <v>4.6631926800000002E-6</v>
      </c>
      <c r="Q514">
        <v>3.3677472700000002E-5</v>
      </c>
      <c r="R514">
        <v>1.1127238900000001E-3</v>
      </c>
      <c r="S514">
        <v>1.41541424E-2</v>
      </c>
      <c r="T514">
        <v>2.01495127E-2</v>
      </c>
      <c r="U514">
        <v>0</v>
      </c>
      <c r="V514">
        <v>1.3507E-5</v>
      </c>
      <c r="W514">
        <v>0</v>
      </c>
      <c r="Y514" t="str">
        <f>$A514 &amp; Keys!$C$8 &amp; $B514</f>
        <v>Vermont|electricity SO2</v>
      </c>
      <c r="Z514" s="8">
        <f>IFERROR(INDEX($U514:$W514, MATCH(INDEX(Runs!$D:$D, MATCH($B514, Runs!$A:$A, 0)), $U$1:$W$1, 0)), 0)</f>
        <v>1.3507E-5</v>
      </c>
      <c r="AA514" s="8">
        <f t="shared" ref="AA514:AA577" si="32">IFERROR($D514/$Z514, 0)</f>
        <v>192.74239653513001</v>
      </c>
      <c r="AB514" s="8">
        <f>IFERROR(VLOOKUP(INDEX(Runs!$F:$F, MATCH($B514, Runs!$A:$A, 0)), US_national_yearly!$D:$AM, MATCH(Keys!$C$7, US_national_yearly!$D$1:$AM$1, 0), FALSE), 0)</f>
        <v>5.7032329662362116E-3</v>
      </c>
      <c r="AC514" s="8">
        <f t="shared" ref="AC514:AC577" si="33">IFERROR($AA514/$AB514, 0)</f>
        <v>33795.287282877442</v>
      </c>
      <c r="AD514">
        <f>IF($Z514&lt;Keys!$C$3, 1, 0)</f>
        <v>1</v>
      </c>
      <c r="AE514">
        <f>IF($AC514&gt;Keys!$C$4, 1, 0)</f>
        <v>1</v>
      </c>
      <c r="AF514">
        <f>IF($AC514&lt;Keys!$C$5, 1, 0)</f>
        <v>0</v>
      </c>
      <c r="AG514">
        <f t="shared" ref="AG514:AG577" si="34">IF($AD514+$AE514+$AF514&gt;0, 1, 0)</f>
        <v>1</v>
      </c>
      <c r="AH514" t="str">
        <f>IFERROR(INDEX(Runs!$E:$E, MATCH($B514, Runs!$A:$A, 0)), $B514)</f>
        <v>Industry SO2</v>
      </c>
      <c r="AI514" t="str">
        <f t="shared" ref="AI514:AI577" si="35">IF($AG514=1, $AH514, $B514)</f>
        <v>Industry SO2</v>
      </c>
      <c r="AJ514" t="str">
        <f>IF($AG514=1, IF($AD514=1, Keys!$C$9, "") &amp; IF($AE514=1, Keys!$C$10, "") &amp; IF($AF514=1, Keys!$C$11, ""), "")</f>
        <v xml:space="preserve">tons reduced below floor; factor above max multiple of US; </v>
      </c>
      <c r="AK514">
        <f>IF($AG514=1, IFERROR(INDEX($AG$2:$AG$577, MATCH($A514 &amp; Keys!$C$8 &amp; $AH514, $Y$2:$Y$577, 0)), 1), 0)</f>
        <v>0</v>
      </c>
    </row>
    <row r="515" spans="1:37" x14ac:dyDescent="0.25">
      <c r="A515" t="s">
        <v>211</v>
      </c>
      <c r="B515" t="s">
        <v>239</v>
      </c>
      <c r="C515">
        <v>14</v>
      </c>
      <c r="D515">
        <v>1.3716026109999999</v>
      </c>
      <c r="E515">
        <v>1.7889952399999999E-3</v>
      </c>
      <c r="F515">
        <v>2.7692727389999998</v>
      </c>
      <c r="G515">
        <v>3.729211408999999</v>
      </c>
      <c r="H515">
        <v>5.6976606899999993</v>
      </c>
      <c r="I515">
        <v>0.10291459999999999</v>
      </c>
      <c r="J515">
        <v>0.46912546700000002</v>
      </c>
      <c r="K515">
        <v>398.526722656</v>
      </c>
      <c r="L515">
        <v>66.867800767999995</v>
      </c>
      <c r="M515">
        <v>0.105291668</v>
      </c>
      <c r="N515">
        <v>12.196144838</v>
      </c>
      <c r="O515">
        <v>0.192915051</v>
      </c>
      <c r="P515">
        <v>2.5923804000000002E-3</v>
      </c>
      <c r="Q515">
        <v>2.0555824800000001E-2</v>
      </c>
      <c r="R515">
        <v>0.59354171499999997</v>
      </c>
      <c r="S515">
        <v>7.5493715870000004</v>
      </c>
      <c r="T515">
        <v>10.746433559</v>
      </c>
      <c r="U515">
        <v>0</v>
      </c>
      <c r="V515">
        <v>0</v>
      </c>
      <c r="W515">
        <v>6830.8344048999998</v>
      </c>
      <c r="Y515" t="str">
        <f>$A515 &amp; Keys!$C$8 &amp; $B515</f>
        <v>Vermont|transportation NO2</v>
      </c>
      <c r="Z515" s="8">
        <f>IFERROR(INDEX($U515:$W515, MATCH(INDEX(Runs!$D:$D, MATCH($B515, Runs!$A:$A, 0)), $U$1:$W$1, 0)), 0)</f>
        <v>6830.8344048999998</v>
      </c>
      <c r="AA515" s="8">
        <f t="shared" si="32"/>
        <v>2.0079576369412509E-4</v>
      </c>
      <c r="AB515" s="8">
        <f>IFERROR(VLOOKUP(INDEX(Runs!$F:$F, MATCH($B515, Runs!$A:$A, 0)), US_national_yearly!$D:$AM, MATCH(Keys!$C$7, US_national_yearly!$D$1:$AM$1, 0), FALSE), 0)</f>
        <v>5.7148835886332216E-3</v>
      </c>
      <c r="AC515" s="8">
        <f t="shared" si="33"/>
        <v>3.5135582480368188E-2</v>
      </c>
      <c r="AD515">
        <f>IF($Z515&lt;Keys!$C$3, 1, 0)</f>
        <v>0</v>
      </c>
      <c r="AE515">
        <f>IF($AC515&gt;Keys!$C$4, 1, 0)</f>
        <v>0</v>
      </c>
      <c r="AF515">
        <f>IF($AC515&lt;Keys!$C$5, 1, 0)</f>
        <v>0</v>
      </c>
      <c r="AG515">
        <f t="shared" si="34"/>
        <v>0</v>
      </c>
      <c r="AH515" t="str">
        <f>IFERROR(INDEX(Runs!$E:$E, MATCH($B515, Runs!$A:$A, 0)), $B515)</f>
        <v>Industry NO2</v>
      </c>
      <c r="AI515" t="str">
        <f t="shared" si="35"/>
        <v>transportation NO2</v>
      </c>
      <c r="AJ515" t="str">
        <f>IF($AG515=1, IF($AD515=1, Keys!$C$9, "") &amp; IF($AE515=1, Keys!$C$10, "") &amp; IF($AF515=1, Keys!$C$11, ""), "")</f>
        <v/>
      </c>
      <c r="AK515">
        <f>IF($AG515=1, IFERROR(INDEX($AG$2:$AG$577, MATCH($A515 &amp; Keys!$C$8 &amp; $AH515, $Y$2:$Y$577, 0)), 1), 0)</f>
        <v>0</v>
      </c>
    </row>
    <row r="516" spans="1:37" x14ac:dyDescent="0.25">
      <c r="A516" t="s">
        <v>211</v>
      </c>
      <c r="B516" t="s">
        <v>234</v>
      </c>
      <c r="C516">
        <v>14</v>
      </c>
      <c r="D516">
        <v>1.4634863140000001</v>
      </c>
      <c r="E516">
        <v>1.9583256100000001E-3</v>
      </c>
      <c r="F516">
        <v>3.0139004530000002</v>
      </c>
      <c r="G516">
        <v>4.0586336140000014</v>
      </c>
      <c r="H516">
        <v>6.2009780609999998</v>
      </c>
      <c r="I516">
        <v>0.11218655900000001</v>
      </c>
      <c r="J516">
        <v>0.50420816299999993</v>
      </c>
      <c r="K516">
        <v>433.42045507500001</v>
      </c>
      <c r="L516">
        <v>72.756936236000001</v>
      </c>
      <c r="M516">
        <v>0.11405755200000001</v>
      </c>
      <c r="N516">
        <v>13.273512128</v>
      </c>
      <c r="O516">
        <v>0.212288539</v>
      </c>
      <c r="P516">
        <v>2.8101872000000001E-3</v>
      </c>
      <c r="Q516">
        <v>2.2474767499999999E-2</v>
      </c>
      <c r="R516">
        <v>0.64326822699999997</v>
      </c>
      <c r="S516">
        <v>8.1816442969999983</v>
      </c>
      <c r="T516">
        <v>11.646087766000001</v>
      </c>
      <c r="U516">
        <v>256.93764608700002</v>
      </c>
      <c r="V516">
        <v>0</v>
      </c>
      <c r="W516">
        <v>0</v>
      </c>
      <c r="Y516" t="str">
        <f>$A516 &amp; Keys!$C$8 &amp; $B516</f>
        <v>Vermont|transportation PM25</v>
      </c>
      <c r="Z516" s="8">
        <f>IFERROR(INDEX($U516:$W516, MATCH(INDEX(Runs!$D:$D, MATCH($B516, Runs!$A:$A, 0)), $U$1:$W$1, 0)), 0)</f>
        <v>256.93764608700002</v>
      </c>
      <c r="AA516" s="8">
        <f t="shared" si="32"/>
        <v>5.6958812236664541E-3</v>
      </c>
      <c r="AB516" s="8">
        <f>IFERROR(VLOOKUP(INDEX(Runs!$F:$F, MATCH($B516, Runs!$A:$A, 0)), US_national_yearly!$D:$AM, MATCH(Keys!$C$7, US_national_yearly!$D$1:$AM$1, 0), FALSE), 0)</f>
        <v>2.8248683697579859E-2</v>
      </c>
      <c r="AC516" s="8">
        <f t="shared" si="33"/>
        <v>0.20163350918026796</v>
      </c>
      <c r="AD516">
        <f>IF($Z516&lt;Keys!$C$3, 1, 0)</f>
        <v>0</v>
      </c>
      <c r="AE516">
        <f>IF($AC516&gt;Keys!$C$4, 1, 0)</f>
        <v>0</v>
      </c>
      <c r="AF516">
        <f>IF($AC516&lt;Keys!$C$5, 1, 0)</f>
        <v>0</v>
      </c>
      <c r="AG516">
        <f t="shared" si="34"/>
        <v>0</v>
      </c>
      <c r="AH516" t="str">
        <f>IFERROR(INDEX(Runs!$E:$E, MATCH($B516, Runs!$A:$A, 0)), $B516)</f>
        <v>Industry PM25</v>
      </c>
      <c r="AI516" t="str">
        <f t="shared" si="35"/>
        <v>transportation PM25</v>
      </c>
      <c r="AJ516" t="str">
        <f>IF($AG516=1, IF($AD516=1, Keys!$C$9, "") &amp; IF($AE516=1, Keys!$C$10, "") &amp; IF($AF516=1, Keys!$C$11, ""), "")</f>
        <v/>
      </c>
      <c r="AK516">
        <f>IF($AG516=1, IFERROR(INDEX($AG$2:$AG$577, MATCH($A516 &amp; Keys!$C$8 &amp; $AH516, $Y$2:$Y$577, 0)), 1), 0)</f>
        <v>0</v>
      </c>
    </row>
    <row r="517" spans="1:37" x14ac:dyDescent="0.25">
      <c r="A517" t="s">
        <v>211</v>
      </c>
      <c r="B517" t="s">
        <v>243</v>
      </c>
      <c r="C517">
        <v>14</v>
      </c>
      <c r="D517">
        <v>3.0369299000000009E-2</v>
      </c>
      <c r="E517">
        <v>4.4761148600000002E-5</v>
      </c>
      <c r="F517">
        <v>6.7321072999999981E-2</v>
      </c>
      <c r="G517">
        <v>9.0657694999999996E-2</v>
      </c>
      <c r="H517">
        <v>0.13850922600000001</v>
      </c>
      <c r="I517">
        <v>2.51930639E-3</v>
      </c>
      <c r="J517">
        <v>1.0623588E-2</v>
      </c>
      <c r="K517">
        <v>9.6962427209999991</v>
      </c>
      <c r="L517">
        <v>1.631639898</v>
      </c>
      <c r="M517">
        <v>2.5304576399999999E-3</v>
      </c>
      <c r="N517">
        <v>0.29648799399999998</v>
      </c>
      <c r="O517">
        <v>4.6477738000000003E-3</v>
      </c>
      <c r="P517">
        <v>6.1816987000000006E-5</v>
      </c>
      <c r="Q517">
        <v>5.1230169000000001E-4</v>
      </c>
      <c r="R517">
        <v>1.406582E-2</v>
      </c>
      <c r="S517">
        <v>0.17887249799999999</v>
      </c>
      <c r="T517">
        <v>0.25452403200000012</v>
      </c>
      <c r="U517">
        <v>0</v>
      </c>
      <c r="V517">
        <v>32.840038489999998</v>
      </c>
      <c r="W517">
        <v>0</v>
      </c>
      <c r="Y517" t="str">
        <f>$A517 &amp; Keys!$C$8 &amp; $B517</f>
        <v>Vermont|transportation SO2</v>
      </c>
      <c r="Z517" s="8">
        <f>IFERROR(INDEX($U517:$W517, MATCH(INDEX(Runs!$D:$D, MATCH($B517, Runs!$A:$A, 0)), $U$1:$W$1, 0)), 0)</f>
        <v>32.840038489999998</v>
      </c>
      <c r="AA517" s="8">
        <f t="shared" si="32"/>
        <v>9.2476441552428925E-4</v>
      </c>
      <c r="AB517" s="8">
        <f>IFERROR(VLOOKUP(INDEX(Runs!$F:$F, MATCH($B517, Runs!$A:$A, 0)), US_national_yearly!$D:$AM, MATCH(Keys!$C$7, US_national_yearly!$D$1:$AM$1, 0), FALSE), 0)</f>
        <v>5.1800714166247604E-3</v>
      </c>
      <c r="AC517" s="8">
        <f t="shared" si="33"/>
        <v>0.17852348764080339</v>
      </c>
      <c r="AD517">
        <f>IF($Z517&lt;Keys!$C$3, 1, 0)</f>
        <v>0</v>
      </c>
      <c r="AE517">
        <f>IF($AC517&gt;Keys!$C$4, 1, 0)</f>
        <v>0</v>
      </c>
      <c r="AF517">
        <f>IF($AC517&lt;Keys!$C$5, 1, 0)</f>
        <v>0</v>
      </c>
      <c r="AG517">
        <f t="shared" si="34"/>
        <v>0</v>
      </c>
      <c r="AH517" t="str">
        <f>IFERROR(INDEX(Runs!$E:$E, MATCH($B517, Runs!$A:$A, 0)), $B517)</f>
        <v>Industry SO2</v>
      </c>
      <c r="AI517" t="str">
        <f t="shared" si="35"/>
        <v>transportation SO2</v>
      </c>
      <c r="AJ517" t="str">
        <f>IF($AG517=1, IF($AD517=1, Keys!$C$9, "") &amp; IF($AE517=1, Keys!$C$10, "") &amp; IF($AF517=1, Keys!$C$11, ""), "")</f>
        <v/>
      </c>
      <c r="AK517">
        <f>IF($AG517=1, IFERROR(INDEX($AG$2:$AG$577, MATCH($A517 &amp; Keys!$C$8 &amp; $AH517, $Y$2:$Y$577, 0)), 1), 0)</f>
        <v>0</v>
      </c>
    </row>
    <row r="518" spans="1:37" x14ac:dyDescent="0.25">
      <c r="A518" t="s">
        <v>214</v>
      </c>
      <c r="B518" t="s">
        <v>242</v>
      </c>
      <c r="C518">
        <v>133</v>
      </c>
      <c r="D518">
        <v>10.980983028000001</v>
      </c>
      <c r="E518">
        <v>2.480513287E-2</v>
      </c>
      <c r="F518">
        <v>28.347888931</v>
      </c>
      <c r="G518">
        <v>38.174438582000001</v>
      </c>
      <c r="H518">
        <v>58.324455048999987</v>
      </c>
      <c r="I518">
        <v>0.77024639000000017</v>
      </c>
      <c r="J518">
        <v>4.9540545079999987</v>
      </c>
      <c r="K518">
        <v>3737.1901630960001</v>
      </c>
      <c r="L518">
        <v>629.87832796000032</v>
      </c>
      <c r="M518">
        <v>1.274792728</v>
      </c>
      <c r="N518">
        <v>124.846782562</v>
      </c>
      <c r="O518">
        <v>2.8378936210000019</v>
      </c>
      <c r="P518">
        <v>0.12004788740000009</v>
      </c>
      <c r="Q518">
        <v>0.30617570929999988</v>
      </c>
      <c r="R518">
        <v>6.629999424000002</v>
      </c>
      <c r="S518">
        <v>84.534566075000001</v>
      </c>
      <c r="T518">
        <v>120.246225188</v>
      </c>
      <c r="U518">
        <v>0</v>
      </c>
      <c r="V518">
        <v>0</v>
      </c>
      <c r="W518">
        <v>31262.11985205501</v>
      </c>
      <c r="Y518" t="str">
        <f>$A518 &amp; Keys!$C$8 &amp; $B518</f>
        <v>Virginia|Industry NO2</v>
      </c>
      <c r="Z518" s="8">
        <f>IFERROR(INDEX($U518:$W518, MATCH(INDEX(Runs!$D:$D, MATCH($B518, Runs!$A:$A, 0)), $U$1:$W$1, 0)), 0)</f>
        <v>31262.11985205501</v>
      </c>
      <c r="AA518" s="8">
        <f t="shared" si="32"/>
        <v>3.512552277314031E-4</v>
      </c>
      <c r="AB518" s="8">
        <f>IFERROR(VLOOKUP(INDEX(Runs!$F:$F, MATCH($B518, Runs!$A:$A, 0)), US_national_yearly!$D:$AM, MATCH(Keys!$C$7, US_national_yearly!$D$1:$AM$1, 0), FALSE), 0)</f>
        <v>5.8012217057786938E-3</v>
      </c>
      <c r="AC518" s="8">
        <f t="shared" si="33"/>
        <v>6.0548492291117216E-2</v>
      </c>
      <c r="AD518">
        <f>IF($Z518&lt;Keys!$C$3, 1, 0)</f>
        <v>0</v>
      </c>
      <c r="AE518">
        <f>IF($AC518&gt;Keys!$C$4, 1, 0)</f>
        <v>0</v>
      </c>
      <c r="AF518">
        <f>IF($AC518&lt;Keys!$C$5, 1, 0)</f>
        <v>0</v>
      </c>
      <c r="AG518">
        <f t="shared" si="34"/>
        <v>0</v>
      </c>
      <c r="AH518" t="str">
        <f>IFERROR(INDEX(Runs!$E:$E, MATCH($B518, Runs!$A:$A, 0)), $B518)</f>
        <v>Industry NO2</v>
      </c>
      <c r="AI518" t="str">
        <f t="shared" si="35"/>
        <v>Industry NO2</v>
      </c>
      <c r="AJ518" t="str">
        <f>IF($AG518=1, IF($AD518=1, Keys!$C$9, "") &amp; IF($AE518=1, Keys!$C$10, "") &amp; IF($AF518=1, Keys!$C$11, ""), "")</f>
        <v/>
      </c>
      <c r="AK518">
        <f>IF($AG518=1, IFERROR(INDEX($AG$2:$AG$577, MATCH($A518 &amp; Keys!$C$8 &amp; $AH518, $Y$2:$Y$577, 0)), 1), 0)</f>
        <v>0</v>
      </c>
    </row>
    <row r="519" spans="1:37" x14ac:dyDescent="0.25">
      <c r="A519" t="s">
        <v>214</v>
      </c>
      <c r="B519" t="s">
        <v>238</v>
      </c>
      <c r="C519">
        <v>133</v>
      </c>
      <c r="D519">
        <v>228.344077771</v>
      </c>
      <c r="E519">
        <v>0.60183483910000002</v>
      </c>
      <c r="F519">
        <v>672.96601777799992</v>
      </c>
      <c r="G519">
        <v>906.16716398500046</v>
      </c>
      <c r="H519">
        <v>1384.7521252720001</v>
      </c>
      <c r="I519">
        <v>16.323900708</v>
      </c>
      <c r="J519">
        <v>107.430140678</v>
      </c>
      <c r="K519">
        <v>87189.438723249026</v>
      </c>
      <c r="L519">
        <v>14734.043981553999</v>
      </c>
      <c r="M519">
        <v>27.808794000999981</v>
      </c>
      <c r="N519">
        <v>2963.8853070350001</v>
      </c>
      <c r="O519">
        <v>66.286066584999986</v>
      </c>
      <c r="P519">
        <v>2.873340143600001</v>
      </c>
      <c r="Q519">
        <v>6.9551612559999976</v>
      </c>
      <c r="R519">
        <v>156.88844393400001</v>
      </c>
      <c r="S519">
        <v>2003.1236517719999</v>
      </c>
      <c r="T519">
        <v>2856.5481681179999</v>
      </c>
      <c r="U519">
        <v>9880.1537359660051</v>
      </c>
      <c r="V519">
        <v>0</v>
      </c>
      <c r="W519">
        <v>0</v>
      </c>
      <c r="Y519" t="str">
        <f>$A519 &amp; Keys!$C$8 &amp; $B519</f>
        <v>Virginia|Industry PM25</v>
      </c>
      <c r="Z519" s="8">
        <f>IFERROR(INDEX($U519:$W519, MATCH(INDEX(Runs!$D:$D, MATCH($B519, Runs!$A:$A, 0)), $U$1:$W$1, 0)), 0)</f>
        <v>9880.1537359660051</v>
      </c>
      <c r="AA519" s="8">
        <f t="shared" si="32"/>
        <v>2.3111389141625971E-2</v>
      </c>
      <c r="AB519" s="8">
        <f>IFERROR(VLOOKUP(INDEX(Runs!$F:$F, MATCH($B519, Runs!$A:$A, 0)), US_national_yearly!$D:$AM, MATCH(Keys!$C$7, US_national_yearly!$D$1:$AM$1, 0), FALSE), 0)</f>
        <v>2.6833191881203179E-2</v>
      </c>
      <c r="AC519" s="8">
        <f t="shared" si="33"/>
        <v>0.86129854562012231</v>
      </c>
      <c r="AD519">
        <f>IF($Z519&lt;Keys!$C$3, 1, 0)</f>
        <v>0</v>
      </c>
      <c r="AE519">
        <f>IF($AC519&gt;Keys!$C$4, 1, 0)</f>
        <v>0</v>
      </c>
      <c r="AF519">
        <f>IF($AC519&lt;Keys!$C$5, 1, 0)</f>
        <v>0</v>
      </c>
      <c r="AG519">
        <f t="shared" si="34"/>
        <v>0</v>
      </c>
      <c r="AH519" t="str">
        <f>IFERROR(INDEX(Runs!$E:$E, MATCH($B519, Runs!$A:$A, 0)), $B519)</f>
        <v>Industry PM25</v>
      </c>
      <c r="AI519" t="str">
        <f t="shared" si="35"/>
        <v>Industry PM25</v>
      </c>
      <c r="AJ519" t="str">
        <f>IF($AG519=1, IF($AD519=1, Keys!$C$9, "") &amp; IF($AE519=1, Keys!$C$10, "") &amp; IF($AF519=1, Keys!$C$11, ""), "")</f>
        <v/>
      </c>
      <c r="AK519">
        <f>IF($AG519=1, IFERROR(INDEX($AG$2:$AG$577, MATCH($A519 &amp; Keys!$C$8 &amp; $AH519, $Y$2:$Y$577, 0)), 1), 0)</f>
        <v>0</v>
      </c>
    </row>
    <row r="520" spans="1:37" x14ac:dyDescent="0.25">
      <c r="A520" t="s">
        <v>214</v>
      </c>
      <c r="B520" t="s">
        <v>246</v>
      </c>
      <c r="C520">
        <v>133</v>
      </c>
      <c r="D520">
        <v>15.678033943000001</v>
      </c>
      <c r="E520">
        <v>3.6263180089999993E-2</v>
      </c>
      <c r="F520">
        <v>41.338083457999993</v>
      </c>
      <c r="G520">
        <v>55.667491990999977</v>
      </c>
      <c r="H520">
        <v>85.051334194999981</v>
      </c>
      <c r="I520">
        <v>1.108766484</v>
      </c>
      <c r="J520">
        <v>7.1470186230000001</v>
      </c>
      <c r="K520">
        <v>5427.0238659130018</v>
      </c>
      <c r="L520">
        <v>915.3113221579996</v>
      </c>
      <c r="M520">
        <v>1.8400079739999999</v>
      </c>
      <c r="N520">
        <v>182.056909644</v>
      </c>
      <c r="O520">
        <v>4.1278615649999999</v>
      </c>
      <c r="P520">
        <v>0.1754439351999999</v>
      </c>
      <c r="Q520">
        <v>0.44340084250000011</v>
      </c>
      <c r="R520">
        <v>9.6779686359999975</v>
      </c>
      <c r="S520">
        <v>123.39101273199999</v>
      </c>
      <c r="T520">
        <v>175.51449245099991</v>
      </c>
      <c r="U520">
        <v>0</v>
      </c>
      <c r="V520">
        <v>6742.4631633760027</v>
      </c>
      <c r="W520">
        <v>0</v>
      </c>
      <c r="Y520" t="str">
        <f>$A520 &amp; Keys!$C$8 &amp; $B520</f>
        <v>Virginia|Industry SO2</v>
      </c>
      <c r="Z520" s="8">
        <f>IFERROR(INDEX($U520:$W520, MATCH(INDEX(Runs!$D:$D, MATCH($B520, Runs!$A:$A, 0)), $U$1:$W$1, 0)), 0)</f>
        <v>6742.4631633760027</v>
      </c>
      <c r="AA520" s="8">
        <f t="shared" si="32"/>
        <v>2.3252680160212977E-3</v>
      </c>
      <c r="AB520" s="8">
        <f>IFERROR(VLOOKUP(INDEX(Runs!$F:$F, MATCH($B520, Runs!$A:$A, 0)), US_national_yearly!$D:$AM, MATCH(Keys!$C$7, US_national_yearly!$D$1:$AM$1, 0), FALSE), 0)</f>
        <v>5.3000351638639942E-3</v>
      </c>
      <c r="AC520" s="8">
        <f t="shared" si="33"/>
        <v>0.43872690352606253</v>
      </c>
      <c r="AD520">
        <f>IF($Z520&lt;Keys!$C$3, 1, 0)</f>
        <v>0</v>
      </c>
      <c r="AE520">
        <f>IF($AC520&gt;Keys!$C$4, 1, 0)</f>
        <v>0</v>
      </c>
      <c r="AF520">
        <f>IF($AC520&lt;Keys!$C$5, 1, 0)</f>
        <v>0</v>
      </c>
      <c r="AG520">
        <f t="shared" si="34"/>
        <v>0</v>
      </c>
      <c r="AH520" t="str">
        <f>IFERROR(INDEX(Runs!$E:$E, MATCH($B520, Runs!$A:$A, 0)), $B520)</f>
        <v>Industry SO2</v>
      </c>
      <c r="AI520" t="str">
        <f t="shared" si="35"/>
        <v>Industry SO2</v>
      </c>
      <c r="AJ520" t="str">
        <f>IF($AG520=1, IF($AD520=1, Keys!$C$9, "") &amp; IF($AE520=1, Keys!$C$10, "") &amp; IF($AF520=1, Keys!$C$11, ""), "")</f>
        <v/>
      </c>
      <c r="AK520">
        <f>IF($AG520=1, IFERROR(INDEX($AG$2:$AG$577, MATCH($A520 &amp; Keys!$C$8 &amp; $AH520, $Y$2:$Y$577, 0)), 1), 0)</f>
        <v>0</v>
      </c>
    </row>
    <row r="521" spans="1:37" x14ac:dyDescent="0.25">
      <c r="A521" t="s">
        <v>214</v>
      </c>
      <c r="B521" t="s">
        <v>253</v>
      </c>
      <c r="C521">
        <v>133</v>
      </c>
      <c r="D521">
        <v>8.8167630940000024</v>
      </c>
      <c r="E521">
        <v>2.3834575724000009E-2</v>
      </c>
      <c r="F521">
        <v>27.28111207100001</v>
      </c>
      <c r="G521">
        <v>36.73787556500001</v>
      </c>
      <c r="H521">
        <v>56.129605977000011</v>
      </c>
      <c r="I521">
        <v>0.64438130100000002</v>
      </c>
      <c r="J521">
        <v>4.3345338319999991</v>
      </c>
      <c r="K521">
        <v>3610.899276239998</v>
      </c>
      <c r="L521">
        <v>613.39655086400012</v>
      </c>
      <c r="M521">
        <v>1.118223682</v>
      </c>
      <c r="N521">
        <v>120.148593613</v>
      </c>
      <c r="O521">
        <v>2.7267202409000011</v>
      </c>
      <c r="P521">
        <v>0.11749360164</v>
      </c>
      <c r="Q521">
        <v>0.28688159279999997</v>
      </c>
      <c r="R521">
        <v>6.4621060170000026</v>
      </c>
      <c r="S521">
        <v>82.29951398099999</v>
      </c>
      <c r="T521">
        <v>117.0474750780001</v>
      </c>
      <c r="U521">
        <v>0</v>
      </c>
      <c r="V521">
        <v>0</v>
      </c>
      <c r="W521">
        <v>8791.3501882100027</v>
      </c>
      <c r="Y521" t="str">
        <f>$A521 &amp; Keys!$C$8 &amp; $B521</f>
        <v>Virginia|buildings NO2</v>
      </c>
      <c r="Z521" s="8">
        <f>IFERROR(INDEX($U521:$W521, MATCH(INDEX(Runs!$D:$D, MATCH($B521, Runs!$A:$A, 0)), $U$1:$W$1, 0)), 0)</f>
        <v>8791.3501882100027</v>
      </c>
      <c r="AA521" s="8">
        <f t="shared" si="32"/>
        <v>1.0028906715403149E-3</v>
      </c>
      <c r="AB521" s="8">
        <f>IFERROR(VLOOKUP(INDEX(Runs!$F:$F, MATCH($B521, Runs!$A:$A, 0)), US_national_yearly!$D:$AM, MATCH(Keys!$C$7, US_national_yearly!$D$1:$AM$1, 0), FALSE), 0)</f>
        <v>5.6784740124662739E-3</v>
      </c>
      <c r="AC521" s="8">
        <f t="shared" si="33"/>
        <v>0.17661270780470467</v>
      </c>
      <c r="AD521">
        <f>IF($Z521&lt;Keys!$C$3, 1, 0)</f>
        <v>0</v>
      </c>
      <c r="AE521">
        <f>IF($AC521&gt;Keys!$C$4, 1, 0)</f>
        <v>0</v>
      </c>
      <c r="AF521">
        <f>IF($AC521&lt;Keys!$C$5, 1, 0)</f>
        <v>0</v>
      </c>
      <c r="AG521">
        <f t="shared" si="34"/>
        <v>0</v>
      </c>
      <c r="AH521" t="str">
        <f>IFERROR(INDEX(Runs!$E:$E, MATCH($B521, Runs!$A:$A, 0)), $B521)</f>
        <v>Industry NO2</v>
      </c>
      <c r="AI521" t="str">
        <f t="shared" si="35"/>
        <v>buildings NO2</v>
      </c>
      <c r="AJ521" t="str">
        <f>IF($AG521=1, IF($AD521=1, Keys!$C$9, "") &amp; IF($AE521=1, Keys!$C$10, "") &amp; IF($AF521=1, Keys!$C$11, ""), "")</f>
        <v/>
      </c>
      <c r="AK521">
        <f>IF($AG521=1, IFERROR(INDEX($AG$2:$AG$577, MATCH($A521 &amp; Keys!$C$8 &amp; $AH521, $Y$2:$Y$577, 0)), 1), 0)</f>
        <v>0</v>
      </c>
    </row>
    <row r="522" spans="1:37" x14ac:dyDescent="0.25">
      <c r="A522" t="s">
        <v>214</v>
      </c>
      <c r="B522" t="s">
        <v>251</v>
      </c>
      <c r="C522">
        <v>133</v>
      </c>
      <c r="D522">
        <v>2.4737360453999999</v>
      </c>
      <c r="E522">
        <v>6.7864568486000034E-3</v>
      </c>
      <c r="F522">
        <v>7.9130397906000001</v>
      </c>
      <c r="G522">
        <v>10.656056272000001</v>
      </c>
      <c r="H522">
        <v>16.28064812400001</v>
      </c>
      <c r="I522">
        <v>0.18248541058000001</v>
      </c>
      <c r="J522">
        <v>1.2385916411</v>
      </c>
      <c r="K522">
        <v>1045.0894112430001</v>
      </c>
      <c r="L522">
        <v>177.51167323499999</v>
      </c>
      <c r="M522">
        <v>0.31963704160000012</v>
      </c>
      <c r="N522">
        <v>34.849744186600013</v>
      </c>
      <c r="O522">
        <v>0.78893490190000037</v>
      </c>
      <c r="P522">
        <v>3.4155859045999999E-2</v>
      </c>
      <c r="Q522">
        <v>8.2936050339999998E-2</v>
      </c>
      <c r="R522">
        <v>1.8797466584999989</v>
      </c>
      <c r="S522">
        <v>23.946368993000011</v>
      </c>
      <c r="T522">
        <v>34.057298398999997</v>
      </c>
      <c r="U522">
        <v>80.883300315999946</v>
      </c>
      <c r="V522">
        <v>0</v>
      </c>
      <c r="W522">
        <v>0</v>
      </c>
      <c r="Y522" t="str">
        <f>$A522 &amp; Keys!$C$8 &amp; $B522</f>
        <v>Virginia|buildings PM25</v>
      </c>
      <c r="Z522" s="8">
        <f>IFERROR(INDEX($U522:$W522, MATCH(INDEX(Runs!$D:$D, MATCH($B522, Runs!$A:$A, 0)), $U$1:$W$1, 0)), 0)</f>
        <v>80.883300315999946</v>
      </c>
      <c r="AA522" s="8">
        <f t="shared" si="32"/>
        <v>3.0584014694448085E-2</v>
      </c>
      <c r="AB522" s="8">
        <f>IFERROR(VLOOKUP(INDEX(Runs!$F:$F, MATCH($B522, Runs!$A:$A, 0)), US_national_yearly!$D:$AM, MATCH(Keys!$C$7, US_national_yearly!$D$1:$AM$1, 0), FALSE), 0)</f>
        <v>2.7627705191843259E-2</v>
      </c>
      <c r="AC522" s="8">
        <f t="shared" si="33"/>
        <v>1.1070052500588301</v>
      </c>
      <c r="AD522">
        <f>IF($Z522&lt;Keys!$C$3, 1, 0)</f>
        <v>0</v>
      </c>
      <c r="AE522">
        <f>IF($AC522&gt;Keys!$C$4, 1, 0)</f>
        <v>0</v>
      </c>
      <c r="AF522">
        <f>IF($AC522&lt;Keys!$C$5, 1, 0)</f>
        <v>0</v>
      </c>
      <c r="AG522">
        <f t="shared" si="34"/>
        <v>0</v>
      </c>
      <c r="AH522" t="str">
        <f>IFERROR(INDEX(Runs!$E:$E, MATCH($B522, Runs!$A:$A, 0)), $B522)</f>
        <v>Industry PM25</v>
      </c>
      <c r="AI522" t="str">
        <f t="shared" si="35"/>
        <v>buildings PM25</v>
      </c>
      <c r="AJ522" t="str">
        <f>IF($AG522=1, IF($AD522=1, Keys!$C$9, "") &amp; IF($AE522=1, Keys!$C$10, "") &amp; IF($AF522=1, Keys!$C$11, ""), "")</f>
        <v/>
      </c>
      <c r="AK522">
        <f>IF($AG522=1, IFERROR(INDEX($AG$2:$AG$577, MATCH($A522 &amp; Keys!$C$8 &amp; $AH522, $Y$2:$Y$577, 0)), 1), 0)</f>
        <v>0</v>
      </c>
    </row>
    <row r="523" spans="1:37" x14ac:dyDescent="0.25">
      <c r="A523" t="s">
        <v>214</v>
      </c>
      <c r="B523" t="s">
        <v>254</v>
      </c>
      <c r="C523">
        <v>133</v>
      </c>
      <c r="D523">
        <v>4.0373636270000004</v>
      </c>
      <c r="E523">
        <v>1.0751389518999999E-2</v>
      </c>
      <c r="F523">
        <v>12.256160513999999</v>
      </c>
      <c r="G523">
        <v>16.504691925999989</v>
      </c>
      <c r="H523">
        <v>25.21639574500001</v>
      </c>
      <c r="I523">
        <v>0.2919263399</v>
      </c>
      <c r="J523">
        <v>1.9533261840000009</v>
      </c>
      <c r="K523">
        <v>1617.633751548999</v>
      </c>
      <c r="L523">
        <v>274.4633740110001</v>
      </c>
      <c r="M523">
        <v>0.50386563660000017</v>
      </c>
      <c r="N523">
        <v>53.977248185000008</v>
      </c>
      <c r="O523">
        <v>1.2223362414000001</v>
      </c>
      <c r="P523">
        <v>5.2623461570000023E-2</v>
      </c>
      <c r="Q523">
        <v>0.12838853340000009</v>
      </c>
      <c r="R523">
        <v>2.8905763087</v>
      </c>
      <c r="S523">
        <v>36.823398152000017</v>
      </c>
      <c r="T523">
        <v>52.365946184999999</v>
      </c>
      <c r="U523">
        <v>0</v>
      </c>
      <c r="V523">
        <v>1063.7600978820001</v>
      </c>
      <c r="W523">
        <v>0</v>
      </c>
      <c r="Y523" t="str">
        <f>$A523 &amp; Keys!$C$8 &amp; $B523</f>
        <v>Virginia|buildings SO2</v>
      </c>
      <c r="Z523" s="8">
        <f>IFERROR(INDEX($U523:$W523, MATCH(INDEX(Runs!$D:$D, MATCH($B523, Runs!$A:$A, 0)), $U$1:$W$1, 0)), 0)</f>
        <v>1063.7600978820001</v>
      </c>
      <c r="AA523" s="8">
        <f t="shared" si="32"/>
        <v>3.7953704364720904E-3</v>
      </c>
      <c r="AB523" s="8">
        <f>IFERROR(VLOOKUP(INDEX(Runs!$F:$F, MATCH($B523, Runs!$A:$A, 0)), US_national_yearly!$D:$AM, MATCH(Keys!$C$7, US_national_yearly!$D$1:$AM$1, 0), FALSE), 0)</f>
        <v>5.1581943281164694E-3</v>
      </c>
      <c r="AC523" s="8">
        <f t="shared" si="33"/>
        <v>0.73579438754064574</v>
      </c>
      <c r="AD523">
        <f>IF($Z523&lt;Keys!$C$3, 1, 0)</f>
        <v>0</v>
      </c>
      <c r="AE523">
        <f>IF($AC523&gt;Keys!$C$4, 1, 0)</f>
        <v>0</v>
      </c>
      <c r="AF523">
        <f>IF($AC523&lt;Keys!$C$5, 1, 0)</f>
        <v>0</v>
      </c>
      <c r="AG523">
        <f t="shared" si="34"/>
        <v>0</v>
      </c>
      <c r="AH523" t="str">
        <f>IFERROR(INDEX(Runs!$E:$E, MATCH($B523, Runs!$A:$A, 0)), $B523)</f>
        <v>Industry SO2</v>
      </c>
      <c r="AI523" t="str">
        <f t="shared" si="35"/>
        <v>buildings SO2</v>
      </c>
      <c r="AJ523" t="str">
        <f>IF($AG523=1, IF($AD523=1, Keys!$C$9, "") &amp; IF($AE523=1, Keys!$C$10, "") &amp; IF($AF523=1, Keys!$C$11, ""), "")</f>
        <v/>
      </c>
      <c r="AK523">
        <f>IF($AG523=1, IFERROR(INDEX($AG$2:$AG$577, MATCH($A523 &amp; Keys!$C$8 &amp; $AH523, $Y$2:$Y$577, 0)), 1), 0)</f>
        <v>0</v>
      </c>
    </row>
    <row r="524" spans="1:37" x14ac:dyDescent="0.25">
      <c r="A524" t="s">
        <v>214</v>
      </c>
      <c r="B524" t="s">
        <v>249</v>
      </c>
      <c r="C524">
        <v>133</v>
      </c>
      <c r="D524">
        <v>0.8716371638</v>
      </c>
      <c r="E524">
        <v>2.0673956699999991E-3</v>
      </c>
      <c r="F524">
        <v>2.2474128390000012</v>
      </c>
      <c r="G524">
        <v>3.0264701920000001</v>
      </c>
      <c r="H524">
        <v>4.6239239359999988</v>
      </c>
      <c r="I524">
        <v>5.877932847000001E-2</v>
      </c>
      <c r="J524">
        <v>0.38010280699999988</v>
      </c>
      <c r="K524">
        <v>290.36828336899998</v>
      </c>
      <c r="L524">
        <v>49.052330550999997</v>
      </c>
      <c r="M524">
        <v>9.7872706339999962E-2</v>
      </c>
      <c r="N524">
        <v>9.8978069669999993</v>
      </c>
      <c r="O524">
        <v>0.22209640559999999</v>
      </c>
      <c r="P524">
        <v>9.5544359379999989E-3</v>
      </c>
      <c r="Q524">
        <v>2.369749912999999E-2</v>
      </c>
      <c r="R524">
        <v>0.52764692379999978</v>
      </c>
      <c r="S524">
        <v>6.724036626000002</v>
      </c>
      <c r="T524">
        <v>9.5633496190000002</v>
      </c>
      <c r="U524">
        <v>0</v>
      </c>
      <c r="V524">
        <v>0</v>
      </c>
      <c r="W524">
        <v>6983.3214978889991</v>
      </c>
      <c r="Y524" t="str">
        <f>$A524 &amp; Keys!$C$8 &amp; $B524</f>
        <v>Virginia|electricity NO2</v>
      </c>
      <c r="Z524" s="8">
        <f>IFERROR(INDEX($U524:$W524, MATCH(INDEX(Runs!$D:$D, MATCH($B524, Runs!$A:$A, 0)), $U$1:$W$1, 0)), 0)</f>
        <v>6983.3214978889991</v>
      </c>
      <c r="AA524" s="8">
        <f t="shared" si="32"/>
        <v>1.2481698917391799E-4</v>
      </c>
      <c r="AB524" s="8">
        <f>IFERROR(VLOOKUP(INDEX(Runs!$F:$F, MATCH($B524, Runs!$A:$A, 0)), US_national_yearly!$D:$AM, MATCH(Keys!$C$7, US_national_yearly!$D$1:$AM$1, 0), FALSE), 0)</f>
        <v>6.1439221592658041E-3</v>
      </c>
      <c r="AC524" s="8">
        <f t="shared" si="33"/>
        <v>2.0315522550310692E-2</v>
      </c>
      <c r="AD524">
        <f>IF($Z524&lt;Keys!$C$3, 1, 0)</f>
        <v>0</v>
      </c>
      <c r="AE524">
        <f>IF($AC524&gt;Keys!$C$4, 1, 0)</f>
        <v>0</v>
      </c>
      <c r="AF524">
        <f>IF($AC524&lt;Keys!$C$5, 1, 0)</f>
        <v>0</v>
      </c>
      <c r="AG524">
        <f t="shared" si="34"/>
        <v>0</v>
      </c>
      <c r="AH524" t="str">
        <f>IFERROR(INDEX(Runs!$E:$E, MATCH($B524, Runs!$A:$A, 0)), $B524)</f>
        <v>Industry NO2</v>
      </c>
      <c r="AI524" t="str">
        <f t="shared" si="35"/>
        <v>electricity NO2</v>
      </c>
      <c r="AJ524" t="str">
        <f>IF($AG524=1, IF($AD524=1, Keys!$C$9, "") &amp; IF($AE524=1, Keys!$C$10, "") &amp; IF($AF524=1, Keys!$C$11, ""), "")</f>
        <v/>
      </c>
      <c r="AK524">
        <f>IF($AG524=1, IFERROR(INDEX($AG$2:$AG$577, MATCH($A524 &amp; Keys!$C$8 &amp; $AH524, $Y$2:$Y$577, 0)), 1), 0)</f>
        <v>0</v>
      </c>
    </row>
    <row r="525" spans="1:37" x14ac:dyDescent="0.25">
      <c r="A525" t="s">
        <v>214</v>
      </c>
      <c r="B525" t="s">
        <v>247</v>
      </c>
      <c r="C525">
        <v>133</v>
      </c>
      <c r="D525">
        <v>13.516586191999989</v>
      </c>
      <c r="E525">
        <v>3.4388583409000001E-2</v>
      </c>
      <c r="F525">
        <v>38.113310255999998</v>
      </c>
      <c r="G525">
        <v>51.324795626000018</v>
      </c>
      <c r="H525">
        <v>78.41668446700001</v>
      </c>
      <c r="I525">
        <v>0.95969826869999986</v>
      </c>
      <c r="J525">
        <v>6.3133627460000001</v>
      </c>
      <c r="K525">
        <v>4899.4080740890004</v>
      </c>
      <c r="L525">
        <v>822.93295881300037</v>
      </c>
      <c r="M525">
        <v>1.6262028379999991</v>
      </c>
      <c r="N525">
        <v>167.85479034900001</v>
      </c>
      <c r="O525">
        <v>3.731823931999998</v>
      </c>
      <c r="P525">
        <v>0.16167639509000001</v>
      </c>
      <c r="Q525">
        <v>0.40266296979999988</v>
      </c>
      <c r="R525">
        <v>8.8895793540000039</v>
      </c>
      <c r="S525">
        <v>113.930173358</v>
      </c>
      <c r="T525">
        <v>162.082629978</v>
      </c>
      <c r="U525">
        <v>1517.617991467999</v>
      </c>
      <c r="V525">
        <v>0</v>
      </c>
      <c r="W525">
        <v>0</v>
      </c>
      <c r="Y525" t="str">
        <f>$A525 &amp; Keys!$C$8 &amp; $B525</f>
        <v>Virginia|electricity PM25</v>
      </c>
      <c r="Z525" s="8">
        <f>IFERROR(INDEX($U525:$W525, MATCH(INDEX(Runs!$D:$D, MATCH($B525, Runs!$A:$A, 0)), $U$1:$W$1, 0)), 0)</f>
        <v>1517.617991467999</v>
      </c>
      <c r="AA525" s="8">
        <f t="shared" si="32"/>
        <v>8.906448307801974E-3</v>
      </c>
      <c r="AB525" s="8">
        <f>IFERROR(VLOOKUP(INDEX(Runs!$F:$F, MATCH($B525, Runs!$A:$A, 0)), US_national_yearly!$D:$AM, MATCH(Keys!$C$7, US_national_yearly!$D$1:$AM$1, 0), FALSE), 0)</f>
        <v>2.4252978284752182E-2</v>
      </c>
      <c r="AC525" s="8">
        <f t="shared" si="33"/>
        <v>0.36723111707074124</v>
      </c>
      <c r="AD525">
        <f>IF($Z525&lt;Keys!$C$3, 1, 0)</f>
        <v>0</v>
      </c>
      <c r="AE525">
        <f>IF($AC525&gt;Keys!$C$4, 1, 0)</f>
        <v>0</v>
      </c>
      <c r="AF525">
        <f>IF($AC525&lt;Keys!$C$5, 1, 0)</f>
        <v>0</v>
      </c>
      <c r="AG525">
        <f t="shared" si="34"/>
        <v>0</v>
      </c>
      <c r="AH525" t="str">
        <f>IFERROR(INDEX(Runs!$E:$E, MATCH($B525, Runs!$A:$A, 0)), $B525)</f>
        <v>Industry PM25</v>
      </c>
      <c r="AI525" t="str">
        <f t="shared" si="35"/>
        <v>electricity PM25</v>
      </c>
      <c r="AJ525" t="str">
        <f>IF($AG525=1, IF($AD525=1, Keys!$C$9, "") &amp; IF($AE525=1, Keys!$C$10, "") &amp; IF($AF525=1, Keys!$C$11, ""), "")</f>
        <v/>
      </c>
      <c r="AK525">
        <f>IF($AG525=1, IFERROR(INDEX($AG$2:$AG$577, MATCH($A525 &amp; Keys!$C$8 &amp; $AH525, $Y$2:$Y$577, 0)), 1), 0)</f>
        <v>0</v>
      </c>
    </row>
    <row r="526" spans="1:37" x14ac:dyDescent="0.25">
      <c r="A526" t="s">
        <v>214</v>
      </c>
      <c r="B526" t="s">
        <v>250</v>
      </c>
      <c r="C526">
        <v>133</v>
      </c>
      <c r="D526">
        <v>3.035960709999999</v>
      </c>
      <c r="E526">
        <v>7.3183805049999986E-3</v>
      </c>
      <c r="F526">
        <v>7.9397461500000004</v>
      </c>
      <c r="G526">
        <v>10.692021198999999</v>
      </c>
      <c r="H526">
        <v>16.335593060000001</v>
      </c>
      <c r="I526">
        <v>0.20807976219999991</v>
      </c>
      <c r="J526">
        <v>1.3463533569999999</v>
      </c>
      <c r="K526">
        <v>1029.146141041</v>
      </c>
      <c r="L526">
        <v>173.77517109499999</v>
      </c>
      <c r="M526">
        <v>0.34682677639999981</v>
      </c>
      <c r="N526">
        <v>34.967360409000008</v>
      </c>
      <c r="O526">
        <v>0.78617283790000003</v>
      </c>
      <c r="P526">
        <v>3.3784665540000008E-2</v>
      </c>
      <c r="Q526">
        <v>8.401547783999995E-2</v>
      </c>
      <c r="R526">
        <v>1.8642459179999999</v>
      </c>
      <c r="S526">
        <v>23.762944709999999</v>
      </c>
      <c r="T526">
        <v>33.797806634999993</v>
      </c>
      <c r="U526">
        <v>0</v>
      </c>
      <c r="V526">
        <v>705.63621305150002</v>
      </c>
      <c r="W526">
        <v>0</v>
      </c>
      <c r="Y526" t="str">
        <f>$A526 &amp; Keys!$C$8 &amp; $B526</f>
        <v>Virginia|electricity SO2</v>
      </c>
      <c r="Z526" s="8">
        <f>IFERROR(INDEX($U526:$W526, MATCH(INDEX(Runs!$D:$D, MATCH($B526, Runs!$A:$A, 0)), $U$1:$W$1, 0)), 0)</f>
        <v>705.63621305150002</v>
      </c>
      <c r="AA526" s="8">
        <f t="shared" si="32"/>
        <v>4.3024445937533294E-3</v>
      </c>
      <c r="AB526" s="8">
        <f>IFERROR(VLOOKUP(INDEX(Runs!$F:$F, MATCH($B526, Runs!$A:$A, 0)), US_national_yearly!$D:$AM, MATCH(Keys!$C$7, US_national_yearly!$D$1:$AM$1, 0), FALSE), 0)</f>
        <v>5.7032329662362116E-3</v>
      </c>
      <c r="AC526" s="8">
        <f t="shared" si="33"/>
        <v>0.75438696248676695</v>
      </c>
      <c r="AD526">
        <f>IF($Z526&lt;Keys!$C$3, 1, 0)</f>
        <v>0</v>
      </c>
      <c r="AE526">
        <f>IF($AC526&gt;Keys!$C$4, 1, 0)</f>
        <v>0</v>
      </c>
      <c r="AF526">
        <f>IF($AC526&lt;Keys!$C$5, 1, 0)</f>
        <v>0</v>
      </c>
      <c r="AG526">
        <f t="shared" si="34"/>
        <v>0</v>
      </c>
      <c r="AH526" t="str">
        <f>IFERROR(INDEX(Runs!$E:$E, MATCH($B526, Runs!$A:$A, 0)), $B526)</f>
        <v>Industry SO2</v>
      </c>
      <c r="AI526" t="str">
        <f t="shared" si="35"/>
        <v>electricity SO2</v>
      </c>
      <c r="AJ526" t="str">
        <f>IF($AG526=1, IF($AD526=1, Keys!$C$9, "") &amp; IF($AE526=1, Keys!$C$10, "") &amp; IF($AF526=1, Keys!$C$11, ""), "")</f>
        <v/>
      </c>
      <c r="AK526">
        <f>IF($AG526=1, IFERROR(INDEX($AG$2:$AG$577, MATCH($A526 &amp; Keys!$C$8 &amp; $AH526, $Y$2:$Y$577, 0)), 1), 0)</f>
        <v>0</v>
      </c>
    </row>
    <row r="527" spans="1:37" x14ac:dyDescent="0.25">
      <c r="A527" t="s">
        <v>214</v>
      </c>
      <c r="B527" t="s">
        <v>239</v>
      </c>
      <c r="C527">
        <v>133</v>
      </c>
      <c r="D527">
        <v>72.782502447999974</v>
      </c>
      <c r="E527">
        <v>0.18485635821999999</v>
      </c>
      <c r="F527">
        <v>205.86520458100011</v>
      </c>
      <c r="G527">
        <v>277.21935799099992</v>
      </c>
      <c r="H527">
        <v>423.57276202900022</v>
      </c>
      <c r="I527">
        <v>5.0563360759999991</v>
      </c>
      <c r="J527">
        <v>33.316363693999989</v>
      </c>
      <c r="K527">
        <v>27277.81399268801</v>
      </c>
      <c r="L527">
        <v>4623.5886087660019</v>
      </c>
      <c r="M527">
        <v>8.6040000780000021</v>
      </c>
      <c r="N527">
        <v>906.65732460100003</v>
      </c>
      <c r="O527">
        <v>20.605109862999999</v>
      </c>
      <c r="P527">
        <v>0.88102077550000013</v>
      </c>
      <c r="Q527">
        <v>2.1535613960000002</v>
      </c>
      <c r="R527">
        <v>48.237356576000003</v>
      </c>
      <c r="S527">
        <v>614.74718770300024</v>
      </c>
      <c r="T527">
        <v>874.82273499699954</v>
      </c>
      <c r="U527">
        <v>0</v>
      </c>
      <c r="V527">
        <v>0</v>
      </c>
      <c r="W527">
        <v>84434.699991189991</v>
      </c>
      <c r="Y527" t="str">
        <f>$A527 &amp; Keys!$C$8 &amp; $B527</f>
        <v>Virginia|transportation NO2</v>
      </c>
      <c r="Z527" s="8">
        <f>IFERROR(INDEX($U527:$W527, MATCH(INDEX(Runs!$D:$D, MATCH($B527, Runs!$A:$A, 0)), $U$1:$W$1, 0)), 0)</f>
        <v>84434.699991189991</v>
      </c>
      <c r="AA527" s="8">
        <f t="shared" si="32"/>
        <v>8.6199752537279321E-4</v>
      </c>
      <c r="AB527" s="8">
        <f>IFERROR(VLOOKUP(INDEX(Runs!$F:$F, MATCH($B527, Runs!$A:$A, 0)), US_national_yearly!$D:$AM, MATCH(Keys!$C$7, US_national_yearly!$D$1:$AM$1, 0), FALSE), 0)</f>
        <v>5.7148835886332216E-3</v>
      </c>
      <c r="AC527" s="8">
        <f t="shared" si="33"/>
        <v>0.15083378550129831</v>
      </c>
      <c r="AD527">
        <f>IF($Z527&lt;Keys!$C$3, 1, 0)</f>
        <v>0</v>
      </c>
      <c r="AE527">
        <f>IF($AC527&gt;Keys!$C$4, 1, 0)</f>
        <v>0</v>
      </c>
      <c r="AF527">
        <f>IF($AC527&lt;Keys!$C$5, 1, 0)</f>
        <v>0</v>
      </c>
      <c r="AG527">
        <f t="shared" si="34"/>
        <v>0</v>
      </c>
      <c r="AH527" t="str">
        <f>IFERROR(INDEX(Runs!$E:$E, MATCH($B527, Runs!$A:$A, 0)), $B527)</f>
        <v>Industry NO2</v>
      </c>
      <c r="AI527" t="str">
        <f t="shared" si="35"/>
        <v>transportation NO2</v>
      </c>
      <c r="AJ527" t="str">
        <f>IF($AG527=1, IF($AD527=1, Keys!$C$9, "") &amp; IF($AE527=1, Keys!$C$10, "") &amp; IF($AF527=1, Keys!$C$11, ""), "")</f>
        <v/>
      </c>
      <c r="AK527">
        <f>IF($AG527=1, IFERROR(INDEX($AG$2:$AG$577, MATCH($A527 &amp; Keys!$C$8 &amp; $AH527, $Y$2:$Y$577, 0)), 1), 0)</f>
        <v>0</v>
      </c>
    </row>
    <row r="528" spans="1:37" x14ac:dyDescent="0.25">
      <c r="A528" t="s">
        <v>214</v>
      </c>
      <c r="B528" t="s">
        <v>234</v>
      </c>
      <c r="C528">
        <v>133</v>
      </c>
      <c r="D528">
        <v>62.409167992000008</v>
      </c>
      <c r="E528">
        <v>0.16887824933000001</v>
      </c>
      <c r="F528">
        <v>195.24599126800001</v>
      </c>
      <c r="G528">
        <v>262.91925399899998</v>
      </c>
      <c r="H528">
        <v>401.72388732399997</v>
      </c>
      <c r="I528">
        <v>4.5355113500000019</v>
      </c>
      <c r="J528">
        <v>30.566549435999999</v>
      </c>
      <c r="K528">
        <v>25755.995622024991</v>
      </c>
      <c r="L528">
        <v>4371.3635095569998</v>
      </c>
      <c r="M528">
        <v>7.8996930949999964</v>
      </c>
      <c r="N528">
        <v>859.88913259100002</v>
      </c>
      <c r="O528">
        <v>19.449655696000001</v>
      </c>
      <c r="P528">
        <v>0.84087642948999985</v>
      </c>
      <c r="Q528">
        <v>2.0356804038999989</v>
      </c>
      <c r="R528">
        <v>46.133247427999983</v>
      </c>
      <c r="S528">
        <v>588.0247116500002</v>
      </c>
      <c r="T528">
        <v>837.04805782799974</v>
      </c>
      <c r="U528">
        <v>2075.4696696770002</v>
      </c>
      <c r="V528">
        <v>0</v>
      </c>
      <c r="W528">
        <v>0</v>
      </c>
      <c r="Y528" t="str">
        <f>$A528 &amp; Keys!$C$8 &amp; $B528</f>
        <v>Virginia|transportation PM25</v>
      </c>
      <c r="Z528" s="8">
        <f>IFERROR(INDEX($U528:$W528, MATCH(INDEX(Runs!$D:$D, MATCH($B528, Runs!$A:$A, 0)), $U$1:$W$1, 0)), 0)</f>
        <v>2075.4696696770002</v>
      </c>
      <c r="AA528" s="8">
        <f t="shared" si="32"/>
        <v>3.0069901239131371E-2</v>
      </c>
      <c r="AB528" s="8">
        <f>IFERROR(VLOOKUP(INDEX(Runs!$F:$F, MATCH($B528, Runs!$A:$A, 0)), US_national_yearly!$D:$AM, MATCH(Keys!$C$7, US_national_yearly!$D$1:$AM$1, 0), FALSE), 0)</f>
        <v>2.8248683697579859E-2</v>
      </c>
      <c r="AC528" s="8">
        <f t="shared" si="33"/>
        <v>1.0644708815833264</v>
      </c>
      <c r="AD528">
        <f>IF($Z528&lt;Keys!$C$3, 1, 0)</f>
        <v>0</v>
      </c>
      <c r="AE528">
        <f>IF($AC528&gt;Keys!$C$4, 1, 0)</f>
        <v>0</v>
      </c>
      <c r="AF528">
        <f>IF($AC528&lt;Keys!$C$5, 1, 0)</f>
        <v>0</v>
      </c>
      <c r="AG528">
        <f t="shared" si="34"/>
        <v>0</v>
      </c>
      <c r="AH528" t="str">
        <f>IFERROR(INDEX(Runs!$E:$E, MATCH($B528, Runs!$A:$A, 0)), $B528)</f>
        <v>Industry PM25</v>
      </c>
      <c r="AI528" t="str">
        <f t="shared" si="35"/>
        <v>transportation PM25</v>
      </c>
      <c r="AJ528" t="str">
        <f>IF($AG528=1, IF($AD528=1, Keys!$C$9, "") &amp; IF($AE528=1, Keys!$C$10, "") &amp; IF($AF528=1, Keys!$C$11, ""), "")</f>
        <v/>
      </c>
      <c r="AK528">
        <f>IF($AG528=1, IFERROR(INDEX($AG$2:$AG$577, MATCH($A528 &amp; Keys!$C$8 &amp; $AH528, $Y$2:$Y$577, 0)), 1), 0)</f>
        <v>0</v>
      </c>
    </row>
    <row r="529" spans="1:37" x14ac:dyDescent="0.25">
      <c r="A529" t="s">
        <v>214</v>
      </c>
      <c r="B529" t="s">
        <v>243</v>
      </c>
      <c r="C529">
        <v>133</v>
      </c>
      <c r="D529">
        <v>3.946322326999999</v>
      </c>
      <c r="E529">
        <v>1.0861160462999999E-2</v>
      </c>
      <c r="F529">
        <v>12.323545648</v>
      </c>
      <c r="G529">
        <v>16.595411900999991</v>
      </c>
      <c r="H529">
        <v>25.355085720000002</v>
      </c>
      <c r="I529">
        <v>0.27499687421000008</v>
      </c>
      <c r="J529">
        <v>1.8879834460000009</v>
      </c>
      <c r="K529">
        <v>1689.491173220001</v>
      </c>
      <c r="L529">
        <v>288.32295429399989</v>
      </c>
      <c r="M529">
        <v>0.48815728089999988</v>
      </c>
      <c r="N529">
        <v>54.274043268999989</v>
      </c>
      <c r="O529">
        <v>1.259680399300001</v>
      </c>
      <c r="P529">
        <v>5.3701819708999982E-2</v>
      </c>
      <c r="Q529">
        <v>0.12930470146</v>
      </c>
      <c r="R529">
        <v>2.9183676575999988</v>
      </c>
      <c r="S529">
        <v>37.121466568999978</v>
      </c>
      <c r="T529">
        <v>52.743816192999972</v>
      </c>
      <c r="U529">
        <v>0</v>
      </c>
      <c r="V529">
        <v>946.26792461399975</v>
      </c>
      <c r="W529">
        <v>0</v>
      </c>
      <c r="Y529" t="str">
        <f>$A529 &amp; Keys!$C$8 &amp; $B529</f>
        <v>Virginia|transportation SO2</v>
      </c>
      <c r="Z529" s="8">
        <f>IFERROR(INDEX($U529:$W529, MATCH(INDEX(Runs!$D:$D, MATCH($B529, Runs!$A:$A, 0)), $U$1:$W$1, 0)), 0)</f>
        <v>946.26792461399975</v>
      </c>
      <c r="AA529" s="8">
        <f t="shared" si="32"/>
        <v>4.1704069474929918E-3</v>
      </c>
      <c r="AB529" s="8">
        <f>IFERROR(VLOOKUP(INDEX(Runs!$F:$F, MATCH($B529, Runs!$A:$A, 0)), US_national_yearly!$D:$AM, MATCH(Keys!$C$7, US_national_yearly!$D$1:$AM$1, 0), FALSE), 0)</f>
        <v>5.1800714166247604E-3</v>
      </c>
      <c r="AC529" s="8">
        <f t="shared" si="33"/>
        <v>0.80508676658561451</v>
      </c>
      <c r="AD529">
        <f>IF($Z529&lt;Keys!$C$3, 1, 0)</f>
        <v>0</v>
      </c>
      <c r="AE529">
        <f>IF($AC529&gt;Keys!$C$4, 1, 0)</f>
        <v>0</v>
      </c>
      <c r="AF529">
        <f>IF($AC529&lt;Keys!$C$5, 1, 0)</f>
        <v>0</v>
      </c>
      <c r="AG529">
        <f t="shared" si="34"/>
        <v>0</v>
      </c>
      <c r="AH529" t="str">
        <f>IFERROR(INDEX(Runs!$E:$E, MATCH($B529, Runs!$A:$A, 0)), $B529)</f>
        <v>Industry SO2</v>
      </c>
      <c r="AI529" t="str">
        <f t="shared" si="35"/>
        <v>transportation SO2</v>
      </c>
      <c r="AJ529" t="str">
        <f>IF($AG529=1, IF($AD529=1, Keys!$C$9, "") &amp; IF($AE529=1, Keys!$C$10, "") &amp; IF($AF529=1, Keys!$C$11, ""), "")</f>
        <v/>
      </c>
      <c r="AK529">
        <f>IF($AG529=1, IFERROR(INDEX($AG$2:$AG$577, MATCH($A529 &amp; Keys!$C$8 &amp; $AH529, $Y$2:$Y$577, 0)), 1), 0)</f>
        <v>0</v>
      </c>
    </row>
    <row r="530" spans="1:37" x14ac:dyDescent="0.25">
      <c r="A530" t="s">
        <v>217</v>
      </c>
      <c r="B530" t="s">
        <v>242</v>
      </c>
      <c r="C530">
        <v>39</v>
      </c>
      <c r="D530">
        <v>8.9259845010000003</v>
      </c>
      <c r="E530">
        <v>1.7320180011000001E-2</v>
      </c>
      <c r="F530">
        <v>23.553595051999999</v>
      </c>
      <c r="G530">
        <v>31.718134756000001</v>
      </c>
      <c r="H530">
        <v>48.46064312299999</v>
      </c>
      <c r="I530">
        <v>0.50513484189999991</v>
      </c>
      <c r="J530">
        <v>3.628043023</v>
      </c>
      <c r="K530">
        <v>3065.7920177719998</v>
      </c>
      <c r="L530">
        <v>520.95387457300001</v>
      </c>
      <c r="M530">
        <v>0.68060362869999991</v>
      </c>
      <c r="N530">
        <v>103.732372931</v>
      </c>
      <c r="O530">
        <v>1.8993578234999999</v>
      </c>
      <c r="P530">
        <v>3.5971152800000003E-2</v>
      </c>
      <c r="Q530">
        <v>0.10802862370999999</v>
      </c>
      <c r="R530">
        <v>5.5123127260000011</v>
      </c>
      <c r="S530">
        <v>70.053562983000006</v>
      </c>
      <c r="T530">
        <v>99.583481529000011</v>
      </c>
      <c r="U530">
        <v>0</v>
      </c>
      <c r="V530">
        <v>0</v>
      </c>
      <c r="W530">
        <v>14801.255375506</v>
      </c>
      <c r="Y530" t="str">
        <f>$A530 &amp; Keys!$C$8 &amp; $B530</f>
        <v>Washington|Industry NO2</v>
      </c>
      <c r="Z530" s="8">
        <f>IFERROR(INDEX($U530:$W530, MATCH(INDEX(Runs!$D:$D, MATCH($B530, Runs!$A:$A, 0)), $U$1:$W$1, 0)), 0)</f>
        <v>14801.255375506</v>
      </c>
      <c r="AA530" s="8">
        <f t="shared" si="32"/>
        <v>6.0305590806650439E-4</v>
      </c>
      <c r="AB530" s="8">
        <f>IFERROR(VLOOKUP(INDEX(Runs!$F:$F, MATCH($B530, Runs!$A:$A, 0)), US_national_yearly!$D:$AM, MATCH(Keys!$C$7, US_national_yearly!$D$1:$AM$1, 0), FALSE), 0)</f>
        <v>5.8012217057786938E-3</v>
      </c>
      <c r="AC530" s="8">
        <f t="shared" si="33"/>
        <v>0.10395325996001675</v>
      </c>
      <c r="AD530">
        <f>IF($Z530&lt;Keys!$C$3, 1, 0)</f>
        <v>0</v>
      </c>
      <c r="AE530">
        <f>IF($AC530&gt;Keys!$C$4, 1, 0)</f>
        <v>0</v>
      </c>
      <c r="AF530">
        <f>IF($AC530&lt;Keys!$C$5, 1, 0)</f>
        <v>0</v>
      </c>
      <c r="AG530">
        <f t="shared" si="34"/>
        <v>0</v>
      </c>
      <c r="AH530" t="str">
        <f>IFERROR(INDEX(Runs!$E:$E, MATCH($B530, Runs!$A:$A, 0)), $B530)</f>
        <v>Industry NO2</v>
      </c>
      <c r="AI530" t="str">
        <f t="shared" si="35"/>
        <v>Industry NO2</v>
      </c>
      <c r="AJ530" t="str">
        <f>IF($AG530=1, IF($AD530=1, Keys!$C$9, "") &amp; IF($AE530=1, Keys!$C$10, "") &amp; IF($AF530=1, Keys!$C$11, ""), "")</f>
        <v/>
      </c>
      <c r="AK530">
        <f>IF($AG530=1, IFERROR(INDEX($AG$2:$AG$577, MATCH($A530 &amp; Keys!$C$8 &amp; $AH530, $Y$2:$Y$577, 0)), 1), 0)</f>
        <v>0</v>
      </c>
    </row>
    <row r="531" spans="1:37" x14ac:dyDescent="0.25">
      <c r="A531" t="s">
        <v>217</v>
      </c>
      <c r="B531" t="s">
        <v>238</v>
      </c>
      <c r="C531">
        <v>39</v>
      </c>
      <c r="D531">
        <v>126.75185403099999</v>
      </c>
      <c r="E531">
        <v>0.25979362850999999</v>
      </c>
      <c r="F531">
        <v>350.30352041100002</v>
      </c>
      <c r="G531">
        <v>471.71129845399997</v>
      </c>
      <c r="H531">
        <v>720.77770220399998</v>
      </c>
      <c r="I531">
        <v>6.9010594550000013</v>
      </c>
      <c r="J531">
        <v>50.365657069999997</v>
      </c>
      <c r="K531">
        <v>45316.708679405987</v>
      </c>
      <c r="L531">
        <v>7713.4385475670006</v>
      </c>
      <c r="M531">
        <v>9.4472739920000048</v>
      </c>
      <c r="N531">
        <v>1542.792521069</v>
      </c>
      <c r="O531">
        <v>27.993522031000001</v>
      </c>
      <c r="P531">
        <v>0.54701159350000006</v>
      </c>
      <c r="Q531">
        <v>1.4903321266</v>
      </c>
      <c r="R531">
        <v>82.901706704999995</v>
      </c>
      <c r="S531">
        <v>1054.1130441289999</v>
      </c>
      <c r="T531">
        <v>1500.6883775189999</v>
      </c>
      <c r="U531">
        <v>7492.5311332889987</v>
      </c>
      <c r="V531">
        <v>0</v>
      </c>
      <c r="W531">
        <v>0</v>
      </c>
      <c r="Y531" t="str">
        <f>$A531 &amp; Keys!$C$8 &amp; $B531</f>
        <v>Washington|Industry PM25</v>
      </c>
      <c r="Z531" s="8">
        <f>IFERROR(INDEX($U531:$W531, MATCH(INDEX(Runs!$D:$D, MATCH($B531, Runs!$A:$A, 0)), $U$1:$W$1, 0)), 0)</f>
        <v>7492.5311332889987</v>
      </c>
      <c r="AA531" s="8">
        <f t="shared" si="32"/>
        <v>1.6917094073569727E-2</v>
      </c>
      <c r="AB531" s="8">
        <f>IFERROR(VLOOKUP(INDEX(Runs!$F:$F, MATCH($B531, Runs!$A:$A, 0)), US_national_yearly!$D:$AM, MATCH(Keys!$C$7, US_national_yearly!$D$1:$AM$1, 0), FALSE), 0)</f>
        <v>2.6833191881203179E-2</v>
      </c>
      <c r="AC531" s="8">
        <f t="shared" si="33"/>
        <v>0.63045403425972069</v>
      </c>
      <c r="AD531">
        <f>IF($Z531&lt;Keys!$C$3, 1, 0)</f>
        <v>0</v>
      </c>
      <c r="AE531">
        <f>IF($AC531&gt;Keys!$C$4, 1, 0)</f>
        <v>0</v>
      </c>
      <c r="AF531">
        <f>IF($AC531&lt;Keys!$C$5, 1, 0)</f>
        <v>0</v>
      </c>
      <c r="AG531">
        <f t="shared" si="34"/>
        <v>0</v>
      </c>
      <c r="AH531" t="str">
        <f>IFERROR(INDEX(Runs!$E:$E, MATCH($B531, Runs!$A:$A, 0)), $B531)</f>
        <v>Industry PM25</v>
      </c>
      <c r="AI531" t="str">
        <f t="shared" si="35"/>
        <v>Industry PM25</v>
      </c>
      <c r="AJ531" t="str">
        <f>IF($AG531=1, IF($AD531=1, Keys!$C$9, "") &amp; IF($AE531=1, Keys!$C$10, "") &amp; IF($AF531=1, Keys!$C$11, ""), "")</f>
        <v/>
      </c>
      <c r="AK531">
        <f>IF($AG531=1, IFERROR(INDEX($AG$2:$AG$577, MATCH($A531 &amp; Keys!$C$8 &amp; $AH531, $Y$2:$Y$577, 0)), 1), 0)</f>
        <v>0</v>
      </c>
    </row>
    <row r="532" spans="1:37" x14ac:dyDescent="0.25">
      <c r="A532" t="s">
        <v>217</v>
      </c>
      <c r="B532" t="s">
        <v>246</v>
      </c>
      <c r="C532">
        <v>39</v>
      </c>
      <c r="D532">
        <v>10.280017062000001</v>
      </c>
      <c r="E532">
        <v>2.0853329601E-2</v>
      </c>
      <c r="F532">
        <v>28.277963603</v>
      </c>
      <c r="G532">
        <v>38.080265795000003</v>
      </c>
      <c r="H532">
        <v>58.180604246000001</v>
      </c>
      <c r="I532">
        <v>0.5705498726999999</v>
      </c>
      <c r="J532">
        <v>4.0398657289999997</v>
      </c>
      <c r="K532">
        <v>3640.5103449909998</v>
      </c>
      <c r="L532">
        <v>619.14235173299994</v>
      </c>
      <c r="M532">
        <v>0.77015372150000017</v>
      </c>
      <c r="N532">
        <v>124.53883364399999</v>
      </c>
      <c r="O532">
        <v>2.25506612</v>
      </c>
      <c r="P532">
        <v>4.4709740549999988E-2</v>
      </c>
      <c r="Q532">
        <v>0.12374333512000001</v>
      </c>
      <c r="R532">
        <v>6.6771006479999997</v>
      </c>
      <c r="S532">
        <v>84.856162417999997</v>
      </c>
      <c r="T532">
        <v>120.62025033499999</v>
      </c>
      <c r="U532">
        <v>0</v>
      </c>
      <c r="V532">
        <v>4403.5932643120004</v>
      </c>
      <c r="W532">
        <v>0</v>
      </c>
      <c r="Y532" t="str">
        <f>$A532 &amp; Keys!$C$8 &amp; $B532</f>
        <v>Washington|Industry SO2</v>
      </c>
      <c r="Z532" s="8">
        <f>IFERROR(INDEX($U532:$W532, MATCH(INDEX(Runs!$D:$D, MATCH($B532, Runs!$A:$A, 0)), $U$1:$W$1, 0)), 0)</f>
        <v>4403.5932643120004</v>
      </c>
      <c r="AA532" s="8">
        <f t="shared" si="32"/>
        <v>2.3344610741669186E-3</v>
      </c>
      <c r="AB532" s="8">
        <f>IFERROR(VLOOKUP(INDEX(Runs!$F:$F, MATCH($B532, Runs!$A:$A, 0)), US_national_yearly!$D:$AM, MATCH(Keys!$C$7, US_national_yearly!$D$1:$AM$1, 0), FALSE), 0)</f>
        <v>5.3000351638639942E-3</v>
      </c>
      <c r="AC532" s="8">
        <f t="shared" si="33"/>
        <v>0.44046143129076493</v>
      </c>
      <c r="AD532">
        <f>IF($Z532&lt;Keys!$C$3, 1, 0)</f>
        <v>0</v>
      </c>
      <c r="AE532">
        <f>IF($AC532&gt;Keys!$C$4, 1, 0)</f>
        <v>0</v>
      </c>
      <c r="AF532">
        <f>IF($AC532&lt;Keys!$C$5, 1, 0)</f>
        <v>0</v>
      </c>
      <c r="AG532">
        <f t="shared" si="34"/>
        <v>0</v>
      </c>
      <c r="AH532" t="str">
        <f>IFERROR(INDEX(Runs!$E:$E, MATCH($B532, Runs!$A:$A, 0)), $B532)</f>
        <v>Industry SO2</v>
      </c>
      <c r="AI532" t="str">
        <f t="shared" si="35"/>
        <v>Industry SO2</v>
      </c>
      <c r="AJ532" t="str">
        <f>IF($AG532=1, IF($AD532=1, Keys!$C$9, "") &amp; IF($AE532=1, Keys!$C$10, "") &amp; IF($AF532=1, Keys!$C$11, ""), "")</f>
        <v/>
      </c>
      <c r="AK532">
        <f>IF($AG532=1, IFERROR(INDEX($AG$2:$AG$577, MATCH($A532 &amp; Keys!$C$8 &amp; $AH532, $Y$2:$Y$577, 0)), 1), 0)</f>
        <v>0</v>
      </c>
    </row>
    <row r="533" spans="1:37" x14ac:dyDescent="0.25">
      <c r="A533" t="s">
        <v>217</v>
      </c>
      <c r="B533" t="s">
        <v>253</v>
      </c>
      <c r="C533">
        <v>39</v>
      </c>
      <c r="D533">
        <v>8.9228825979999993</v>
      </c>
      <c r="E533">
        <v>1.9061083656E-2</v>
      </c>
      <c r="F533">
        <v>25.761470256999999</v>
      </c>
      <c r="G533">
        <v>34.691463679000002</v>
      </c>
      <c r="H533">
        <v>53.003012884000007</v>
      </c>
      <c r="I533">
        <v>0.47656090099999998</v>
      </c>
      <c r="J533">
        <v>3.5446017680000002</v>
      </c>
      <c r="K533">
        <v>3378.4919426639999</v>
      </c>
      <c r="L533">
        <v>575.64576353500024</v>
      </c>
      <c r="M533">
        <v>0.6525859383999999</v>
      </c>
      <c r="N533">
        <v>113.45594681999999</v>
      </c>
      <c r="O533">
        <v>2.0639741425000002</v>
      </c>
      <c r="P533">
        <v>3.9802021096E-2</v>
      </c>
      <c r="Q533">
        <v>0.10793084127999999</v>
      </c>
      <c r="R533">
        <v>6.1187967949999988</v>
      </c>
      <c r="S533">
        <v>77.761052784</v>
      </c>
      <c r="T533">
        <v>110.534599853</v>
      </c>
      <c r="U533">
        <v>0</v>
      </c>
      <c r="V533">
        <v>0</v>
      </c>
      <c r="W533">
        <v>7276.0927690849994</v>
      </c>
      <c r="Y533" t="str">
        <f>$A533 &amp; Keys!$C$8 &amp; $B533</f>
        <v>Washington|buildings NO2</v>
      </c>
      <c r="Z533" s="8">
        <f>IFERROR(INDEX($U533:$W533, MATCH(INDEX(Runs!$D:$D, MATCH($B533, Runs!$A:$A, 0)), $U$1:$W$1, 0)), 0)</f>
        <v>7276.0927690849994</v>
      </c>
      <c r="AA533" s="8">
        <f t="shared" si="32"/>
        <v>1.2263288664916363E-3</v>
      </c>
      <c r="AB533" s="8">
        <f>IFERROR(VLOOKUP(INDEX(Runs!$F:$F, MATCH($B533, Runs!$A:$A, 0)), US_national_yearly!$D:$AM, MATCH(Keys!$C$7, US_national_yearly!$D$1:$AM$1, 0), FALSE), 0)</f>
        <v>5.6784740124662739E-3</v>
      </c>
      <c r="AC533" s="8">
        <f t="shared" si="33"/>
        <v>0.21596098948404227</v>
      </c>
      <c r="AD533">
        <f>IF($Z533&lt;Keys!$C$3, 1, 0)</f>
        <v>0</v>
      </c>
      <c r="AE533">
        <f>IF($AC533&gt;Keys!$C$4, 1, 0)</f>
        <v>0</v>
      </c>
      <c r="AF533">
        <f>IF($AC533&lt;Keys!$C$5, 1, 0)</f>
        <v>0</v>
      </c>
      <c r="AG533">
        <f t="shared" si="34"/>
        <v>0</v>
      </c>
      <c r="AH533" t="str">
        <f>IFERROR(INDEX(Runs!$E:$E, MATCH($B533, Runs!$A:$A, 0)), $B533)</f>
        <v>Industry NO2</v>
      </c>
      <c r="AI533" t="str">
        <f t="shared" si="35"/>
        <v>buildings NO2</v>
      </c>
      <c r="AJ533" t="str">
        <f>IF($AG533=1, IF($AD533=1, Keys!$C$9, "") &amp; IF($AE533=1, Keys!$C$10, "") &amp; IF($AF533=1, Keys!$C$11, ""), "")</f>
        <v/>
      </c>
      <c r="AK533">
        <f>IF($AG533=1, IFERROR(INDEX($AG$2:$AG$577, MATCH($A533 &amp; Keys!$C$8 &amp; $AH533, $Y$2:$Y$577, 0)), 1), 0)</f>
        <v>0</v>
      </c>
    </row>
    <row r="534" spans="1:37" x14ac:dyDescent="0.25">
      <c r="A534" t="s">
        <v>217</v>
      </c>
      <c r="B534" t="s">
        <v>251</v>
      </c>
      <c r="C534">
        <v>39</v>
      </c>
      <c r="D534">
        <v>0.77175945079999997</v>
      </c>
      <c r="E534">
        <v>1.6517642524E-3</v>
      </c>
      <c r="F534">
        <v>2.2387238557</v>
      </c>
      <c r="G534">
        <v>3.0147694169000001</v>
      </c>
      <c r="H534">
        <v>4.6060464059999999</v>
      </c>
      <c r="I534">
        <v>4.1014489760000009E-2</v>
      </c>
      <c r="J534">
        <v>0.30964672279999989</v>
      </c>
      <c r="K534">
        <v>295.85207754200002</v>
      </c>
      <c r="L534">
        <v>50.419120643000007</v>
      </c>
      <c r="M534">
        <v>5.6268598950000012E-2</v>
      </c>
      <c r="N534">
        <v>9.8595396786000009</v>
      </c>
      <c r="O534">
        <v>0.17984390675999989</v>
      </c>
      <c r="P534">
        <v>3.410139433E-3</v>
      </c>
      <c r="Q534">
        <v>9.3846472240000003E-3</v>
      </c>
      <c r="R534">
        <v>0.53144048380000009</v>
      </c>
      <c r="S534">
        <v>6.7534678989999994</v>
      </c>
      <c r="T534">
        <v>9.5984322320000004</v>
      </c>
      <c r="U534">
        <v>36.619228776999996</v>
      </c>
      <c r="V534">
        <v>0</v>
      </c>
      <c r="W534">
        <v>0</v>
      </c>
      <c r="Y534" t="str">
        <f>$A534 &amp; Keys!$C$8 &amp; $B534</f>
        <v>Washington|buildings PM25</v>
      </c>
      <c r="Z534" s="8">
        <f>IFERROR(INDEX($U534:$W534, MATCH(INDEX(Runs!$D:$D, MATCH($B534, Runs!$A:$A, 0)), $U$1:$W$1, 0)), 0)</f>
        <v>36.619228776999996</v>
      </c>
      <c r="AA534" s="8">
        <f t="shared" si="32"/>
        <v>2.107525135222757E-2</v>
      </c>
      <c r="AB534" s="8">
        <f>IFERROR(VLOOKUP(INDEX(Runs!$F:$F, MATCH($B534, Runs!$A:$A, 0)), US_national_yearly!$D:$AM, MATCH(Keys!$C$7, US_national_yearly!$D$1:$AM$1, 0), FALSE), 0)</f>
        <v>2.7627705191843259E-2</v>
      </c>
      <c r="AC534" s="8">
        <f t="shared" si="33"/>
        <v>0.76283032578651444</v>
      </c>
      <c r="AD534">
        <f>IF($Z534&lt;Keys!$C$3, 1, 0)</f>
        <v>0</v>
      </c>
      <c r="AE534">
        <f>IF($AC534&gt;Keys!$C$4, 1, 0)</f>
        <v>0</v>
      </c>
      <c r="AF534">
        <f>IF($AC534&lt;Keys!$C$5, 1, 0)</f>
        <v>0</v>
      </c>
      <c r="AG534">
        <f t="shared" si="34"/>
        <v>0</v>
      </c>
      <c r="AH534" t="str">
        <f>IFERROR(INDEX(Runs!$E:$E, MATCH($B534, Runs!$A:$A, 0)), $B534)</f>
        <v>Industry PM25</v>
      </c>
      <c r="AI534" t="str">
        <f t="shared" si="35"/>
        <v>buildings PM25</v>
      </c>
      <c r="AJ534" t="str">
        <f>IF($AG534=1, IF($AD534=1, Keys!$C$9, "") &amp; IF($AE534=1, Keys!$C$10, "") &amp; IF($AF534=1, Keys!$C$11, ""), "")</f>
        <v/>
      </c>
      <c r="AK534">
        <f>IF($AG534=1, IFERROR(INDEX($AG$2:$AG$577, MATCH($A534 &amp; Keys!$C$8 &amp; $AH534, $Y$2:$Y$577, 0)), 1), 0)</f>
        <v>0</v>
      </c>
    </row>
    <row r="535" spans="1:37" x14ac:dyDescent="0.25">
      <c r="A535" t="s">
        <v>217</v>
      </c>
      <c r="B535" t="s">
        <v>254</v>
      </c>
      <c r="C535">
        <v>39</v>
      </c>
      <c r="D535">
        <v>1.5379554261999999</v>
      </c>
      <c r="E535">
        <v>3.300749598599999E-3</v>
      </c>
      <c r="F535">
        <v>4.4705676314999989</v>
      </c>
      <c r="G535">
        <v>6.0202712870000008</v>
      </c>
      <c r="H535">
        <v>9.1979425730000006</v>
      </c>
      <c r="I535">
        <v>8.0952844180000011E-2</v>
      </c>
      <c r="J535">
        <v>0.61612688660000003</v>
      </c>
      <c r="K535">
        <v>591.98837602799995</v>
      </c>
      <c r="L535">
        <v>100.90595820199999</v>
      </c>
      <c r="M535">
        <v>0.11088955846</v>
      </c>
      <c r="N535">
        <v>19.688781491499999</v>
      </c>
      <c r="O535">
        <v>0.35954607083000001</v>
      </c>
      <c r="P535">
        <v>6.7664994909999998E-3</v>
      </c>
      <c r="Q535">
        <v>1.8190295068E-2</v>
      </c>
      <c r="R535">
        <v>1.0636364520999999</v>
      </c>
      <c r="S535">
        <v>13.517081002999999</v>
      </c>
      <c r="T535">
        <v>19.212694597999999</v>
      </c>
      <c r="U535">
        <v>0</v>
      </c>
      <c r="V535">
        <v>323.16547489599992</v>
      </c>
      <c r="W535">
        <v>0</v>
      </c>
      <c r="Y535" t="str">
        <f>$A535 &amp; Keys!$C$8 &amp; $B535</f>
        <v>Washington|buildings SO2</v>
      </c>
      <c r="Z535" s="8">
        <f>IFERROR(INDEX($U535:$W535, MATCH(INDEX(Runs!$D:$D, MATCH($B535, Runs!$A:$A, 0)), $U$1:$W$1, 0)), 0)</f>
        <v>323.16547489599992</v>
      </c>
      <c r="AA535" s="8">
        <f t="shared" si="32"/>
        <v>4.7590338253024706E-3</v>
      </c>
      <c r="AB535" s="8">
        <f>IFERROR(VLOOKUP(INDEX(Runs!$F:$F, MATCH($B535, Runs!$A:$A, 0)), US_national_yearly!$D:$AM, MATCH(Keys!$C$7, US_national_yearly!$D$1:$AM$1, 0), FALSE), 0)</f>
        <v>5.1581943281164694E-3</v>
      </c>
      <c r="AC535" s="8">
        <f t="shared" si="33"/>
        <v>0.92261623401075832</v>
      </c>
      <c r="AD535">
        <f>IF($Z535&lt;Keys!$C$3, 1, 0)</f>
        <v>0</v>
      </c>
      <c r="AE535">
        <f>IF($AC535&gt;Keys!$C$4, 1, 0)</f>
        <v>0</v>
      </c>
      <c r="AF535">
        <f>IF($AC535&lt;Keys!$C$5, 1, 0)</f>
        <v>0</v>
      </c>
      <c r="AG535">
        <f t="shared" si="34"/>
        <v>0</v>
      </c>
      <c r="AH535" t="str">
        <f>IFERROR(INDEX(Runs!$E:$E, MATCH($B535, Runs!$A:$A, 0)), $B535)</f>
        <v>Industry SO2</v>
      </c>
      <c r="AI535" t="str">
        <f t="shared" si="35"/>
        <v>buildings SO2</v>
      </c>
      <c r="AJ535" t="str">
        <f>IF($AG535=1, IF($AD535=1, Keys!$C$9, "") &amp; IF($AE535=1, Keys!$C$10, "") &amp; IF($AF535=1, Keys!$C$11, ""), "")</f>
        <v/>
      </c>
      <c r="AK535">
        <f>IF($AG535=1, IFERROR(INDEX($AG$2:$AG$577, MATCH($A535 &amp; Keys!$C$8 &amp; $AH535, $Y$2:$Y$577, 0)), 1), 0)</f>
        <v>0</v>
      </c>
    </row>
    <row r="536" spans="1:37" x14ac:dyDescent="0.25">
      <c r="A536" t="s">
        <v>217</v>
      </c>
      <c r="B536" t="s">
        <v>249</v>
      </c>
      <c r="C536">
        <v>39</v>
      </c>
      <c r="D536">
        <v>7.0403452259999999E-2</v>
      </c>
      <c r="E536">
        <v>1.4882049538999999E-4</v>
      </c>
      <c r="F536">
        <v>0.19982542442000001</v>
      </c>
      <c r="G536">
        <v>0.26909427720000012</v>
      </c>
      <c r="H536">
        <v>0.41112920619999999</v>
      </c>
      <c r="I536">
        <v>3.8108215890000001E-3</v>
      </c>
      <c r="J536">
        <v>2.713926493E-2</v>
      </c>
      <c r="K536">
        <v>25.677622746000001</v>
      </c>
      <c r="L536">
        <v>4.3706920789999986</v>
      </c>
      <c r="M536">
        <v>5.0589200699999986E-3</v>
      </c>
      <c r="N536">
        <v>0.88004890782</v>
      </c>
      <c r="O536">
        <v>1.5835219072999999E-2</v>
      </c>
      <c r="P536">
        <v>3.0716192405999998E-4</v>
      </c>
      <c r="Q536">
        <v>8.0330883939999989E-4</v>
      </c>
      <c r="R536">
        <v>4.7477422870000001E-2</v>
      </c>
      <c r="S536">
        <v>0.60336323640000011</v>
      </c>
      <c r="T536">
        <v>0.85759638390000004</v>
      </c>
      <c r="U536">
        <v>0</v>
      </c>
      <c r="V536">
        <v>0</v>
      </c>
      <c r="W536">
        <v>1004.2172768200001</v>
      </c>
      <c r="Y536" t="str">
        <f>$A536 &amp; Keys!$C$8 &amp; $B536</f>
        <v>Washington|electricity NO2</v>
      </c>
      <c r="Z536" s="8">
        <f>IFERROR(INDEX($U536:$W536, MATCH(INDEX(Runs!$D:$D, MATCH($B536, Runs!$A:$A, 0)), $U$1:$W$1, 0)), 0)</f>
        <v>1004.2172768200001</v>
      </c>
      <c r="AA536" s="8">
        <f t="shared" si="32"/>
        <v>7.0107788309461041E-5</v>
      </c>
      <c r="AB536" s="8">
        <f>IFERROR(VLOOKUP(INDEX(Runs!$F:$F, MATCH($B536, Runs!$A:$A, 0)), US_national_yearly!$D:$AM, MATCH(Keys!$C$7, US_national_yearly!$D$1:$AM$1, 0), FALSE), 0)</f>
        <v>6.1439221592658041E-3</v>
      </c>
      <c r="AC536" s="8">
        <f t="shared" si="33"/>
        <v>1.1410917406192999E-2</v>
      </c>
      <c r="AD536">
        <f>IF($Z536&lt;Keys!$C$3, 1, 0)</f>
        <v>0</v>
      </c>
      <c r="AE536">
        <f>IF($AC536&gt;Keys!$C$4, 1, 0)</f>
        <v>0</v>
      </c>
      <c r="AF536">
        <f>IF($AC536&lt;Keys!$C$5, 1, 0)</f>
        <v>0</v>
      </c>
      <c r="AG536">
        <f t="shared" si="34"/>
        <v>0</v>
      </c>
      <c r="AH536" t="str">
        <f>IFERROR(INDEX(Runs!$E:$E, MATCH($B536, Runs!$A:$A, 0)), $B536)</f>
        <v>Industry NO2</v>
      </c>
      <c r="AI536" t="str">
        <f t="shared" si="35"/>
        <v>electricity NO2</v>
      </c>
      <c r="AJ536" t="str">
        <f>IF($AG536=1, IF($AD536=1, Keys!$C$9, "") &amp; IF($AE536=1, Keys!$C$10, "") &amp; IF($AF536=1, Keys!$C$11, ""), "")</f>
        <v/>
      </c>
      <c r="AK536">
        <f>IF($AG536=1, IFERROR(INDEX($AG$2:$AG$577, MATCH($A536 &amp; Keys!$C$8 &amp; $AH536, $Y$2:$Y$577, 0)), 1), 0)</f>
        <v>0</v>
      </c>
    </row>
    <row r="537" spans="1:37" x14ac:dyDescent="0.25">
      <c r="A537" t="s">
        <v>217</v>
      </c>
      <c r="B537" t="s">
        <v>247</v>
      </c>
      <c r="C537">
        <v>39</v>
      </c>
      <c r="D537">
        <v>2.1928341709999999</v>
      </c>
      <c r="E537">
        <v>4.3750667586999999E-3</v>
      </c>
      <c r="F537">
        <v>5.9310504220000011</v>
      </c>
      <c r="G537">
        <v>7.9870206450000003</v>
      </c>
      <c r="H537">
        <v>12.202811681</v>
      </c>
      <c r="I537">
        <v>0.12142812583</v>
      </c>
      <c r="J537">
        <v>0.81006198710000032</v>
      </c>
      <c r="K537">
        <v>738.23782047999987</v>
      </c>
      <c r="L537">
        <v>125.427029387</v>
      </c>
      <c r="M537">
        <v>0.16186059839</v>
      </c>
      <c r="N537">
        <v>26.120882748</v>
      </c>
      <c r="O537">
        <v>0.46193546149999998</v>
      </c>
      <c r="P537">
        <v>9.0636218749999987E-3</v>
      </c>
      <c r="Q537">
        <v>2.3535488332000011E-2</v>
      </c>
      <c r="R537">
        <v>1.406548247099999</v>
      </c>
      <c r="S537">
        <v>17.876194180999999</v>
      </c>
      <c r="T537">
        <v>25.411761618</v>
      </c>
      <c r="U537">
        <v>192.95827724</v>
      </c>
      <c r="V537">
        <v>0</v>
      </c>
      <c r="W537">
        <v>0</v>
      </c>
      <c r="Y537" t="str">
        <f>$A537 &amp; Keys!$C$8 &amp; $B537</f>
        <v>Washington|electricity PM25</v>
      </c>
      <c r="Z537" s="8">
        <f>IFERROR(INDEX($U537:$W537, MATCH(INDEX(Runs!$D:$D, MATCH($B537, Runs!$A:$A, 0)), $U$1:$W$1, 0)), 0)</f>
        <v>192.95827724</v>
      </c>
      <c r="AA537" s="8">
        <f t="shared" si="32"/>
        <v>1.1364291816684132E-2</v>
      </c>
      <c r="AB537" s="8">
        <f>IFERROR(VLOOKUP(INDEX(Runs!$F:$F, MATCH($B537, Runs!$A:$A, 0)), US_national_yearly!$D:$AM, MATCH(Keys!$C$7, US_national_yearly!$D$1:$AM$1, 0), FALSE), 0)</f>
        <v>2.4252978284752182E-2</v>
      </c>
      <c r="AC537" s="8">
        <f t="shared" si="33"/>
        <v>0.46857304217473567</v>
      </c>
      <c r="AD537">
        <f>IF($Z537&lt;Keys!$C$3, 1, 0)</f>
        <v>0</v>
      </c>
      <c r="AE537">
        <f>IF($AC537&gt;Keys!$C$4, 1, 0)</f>
        <v>0</v>
      </c>
      <c r="AF537">
        <f>IF($AC537&lt;Keys!$C$5, 1, 0)</f>
        <v>0</v>
      </c>
      <c r="AG537">
        <f t="shared" si="34"/>
        <v>0</v>
      </c>
      <c r="AH537" t="str">
        <f>IFERROR(INDEX(Runs!$E:$E, MATCH($B537, Runs!$A:$A, 0)), $B537)</f>
        <v>Industry PM25</v>
      </c>
      <c r="AI537" t="str">
        <f t="shared" si="35"/>
        <v>electricity PM25</v>
      </c>
      <c r="AJ537" t="str">
        <f>IF($AG537=1, IF($AD537=1, Keys!$C$9, "") &amp; IF($AE537=1, Keys!$C$10, "") &amp; IF($AF537=1, Keys!$C$11, ""), "")</f>
        <v/>
      </c>
      <c r="AK537">
        <f>IF($AG537=1, IFERROR(INDEX($AG$2:$AG$577, MATCH($A537 &amp; Keys!$C$8 &amp; $AH537, $Y$2:$Y$577, 0)), 1), 0)</f>
        <v>0</v>
      </c>
    </row>
    <row r="538" spans="1:37" x14ac:dyDescent="0.25">
      <c r="A538" t="s">
        <v>217</v>
      </c>
      <c r="B538" t="s">
        <v>250</v>
      </c>
      <c r="C538">
        <v>39</v>
      </c>
      <c r="D538">
        <v>0.49940716410000008</v>
      </c>
      <c r="E538">
        <v>1.0221090940000001E-3</v>
      </c>
      <c r="F538">
        <v>1.383406106</v>
      </c>
      <c r="G538">
        <v>1.8629591409999999</v>
      </c>
      <c r="H538">
        <v>2.8462784179999998</v>
      </c>
      <c r="I538">
        <v>2.7321153510000001E-2</v>
      </c>
      <c r="J538">
        <v>0.1935055919</v>
      </c>
      <c r="K538">
        <v>172.993272744</v>
      </c>
      <c r="L538">
        <v>29.394340803999999</v>
      </c>
      <c r="M538">
        <v>3.7338794920000008E-2</v>
      </c>
      <c r="N538">
        <v>6.0926436650000007</v>
      </c>
      <c r="O538">
        <v>0.10875860457</v>
      </c>
      <c r="P538">
        <v>2.206087028000001E-3</v>
      </c>
      <c r="Q538">
        <v>5.7620639919999991E-3</v>
      </c>
      <c r="R538">
        <v>0.32747146310000003</v>
      </c>
      <c r="S538">
        <v>4.1617473700000014</v>
      </c>
      <c r="T538">
        <v>5.9155969349999999</v>
      </c>
      <c r="U538">
        <v>0</v>
      </c>
      <c r="V538">
        <v>24.286890490000001</v>
      </c>
      <c r="W538">
        <v>0</v>
      </c>
      <c r="Y538" t="str">
        <f>$A538 &amp; Keys!$C$8 &amp; $B538</f>
        <v>Washington|electricity SO2</v>
      </c>
      <c r="Z538" s="8">
        <f>IFERROR(INDEX($U538:$W538, MATCH(INDEX(Runs!$D:$D, MATCH($B538, Runs!$A:$A, 0)), $U$1:$W$1, 0)), 0)</f>
        <v>24.286890490000001</v>
      </c>
      <c r="AA538" s="8">
        <f t="shared" si="32"/>
        <v>2.0562828506417004E-2</v>
      </c>
      <c r="AB538" s="8">
        <f>IFERROR(VLOOKUP(INDEX(Runs!$F:$F, MATCH($B538, Runs!$A:$A, 0)), US_national_yearly!$D:$AM, MATCH(Keys!$C$7, US_national_yearly!$D$1:$AM$1, 0), FALSE), 0)</f>
        <v>5.7032329662362116E-3</v>
      </c>
      <c r="AC538" s="8">
        <f t="shared" si="33"/>
        <v>3.6054687978119233</v>
      </c>
      <c r="AD538">
        <f>IF($Z538&lt;Keys!$C$3, 1, 0)</f>
        <v>0</v>
      </c>
      <c r="AE538">
        <f>IF($AC538&gt;Keys!$C$4, 1, 0)</f>
        <v>0</v>
      </c>
      <c r="AF538">
        <f>IF($AC538&lt;Keys!$C$5, 1, 0)</f>
        <v>0</v>
      </c>
      <c r="AG538">
        <f t="shared" si="34"/>
        <v>0</v>
      </c>
      <c r="AH538" t="str">
        <f>IFERROR(INDEX(Runs!$E:$E, MATCH($B538, Runs!$A:$A, 0)), $B538)</f>
        <v>Industry SO2</v>
      </c>
      <c r="AI538" t="str">
        <f t="shared" si="35"/>
        <v>electricity SO2</v>
      </c>
      <c r="AJ538" t="str">
        <f>IF($AG538=1, IF($AD538=1, Keys!$C$9, "") &amp; IF($AE538=1, Keys!$C$10, "") &amp; IF($AF538=1, Keys!$C$11, ""), "")</f>
        <v/>
      </c>
      <c r="AK538">
        <f>IF($AG538=1, IFERROR(INDEX($AG$2:$AG$577, MATCH($A538 &amp; Keys!$C$8 &amp; $AH538, $Y$2:$Y$577, 0)), 1), 0)</f>
        <v>0</v>
      </c>
    </row>
    <row r="539" spans="1:37" x14ac:dyDescent="0.25">
      <c r="A539" t="s">
        <v>217</v>
      </c>
      <c r="B539" t="s">
        <v>239</v>
      </c>
      <c r="C539">
        <v>39</v>
      </c>
      <c r="D539">
        <v>100.44543300700001</v>
      </c>
      <c r="E539">
        <v>0.20796912985999999</v>
      </c>
      <c r="F539">
        <v>280.97625015599999</v>
      </c>
      <c r="G539">
        <v>378.36097282899999</v>
      </c>
      <c r="H539">
        <v>578.12249462699981</v>
      </c>
      <c r="I539">
        <v>5.4989805560000002</v>
      </c>
      <c r="J539">
        <v>39.954352541000013</v>
      </c>
      <c r="K539">
        <v>36195.036900755993</v>
      </c>
      <c r="L539">
        <v>6162.0078641409991</v>
      </c>
      <c r="M539">
        <v>7.5431182350000006</v>
      </c>
      <c r="N539">
        <v>1237.4597176120001</v>
      </c>
      <c r="O539">
        <v>22.458641233000002</v>
      </c>
      <c r="P539">
        <v>0.45225182339999997</v>
      </c>
      <c r="Q539">
        <v>1.2112361107</v>
      </c>
      <c r="R539">
        <v>66.558669723999984</v>
      </c>
      <c r="S539">
        <v>846.21367570500001</v>
      </c>
      <c r="T539">
        <v>1204.2943449429999</v>
      </c>
      <c r="U539">
        <v>0</v>
      </c>
      <c r="V539">
        <v>0</v>
      </c>
      <c r="W539">
        <v>105920.72763910001</v>
      </c>
      <c r="Y539" t="str">
        <f>$A539 &amp; Keys!$C$8 &amp; $B539</f>
        <v>Washington|transportation NO2</v>
      </c>
      <c r="Z539" s="8">
        <f>IFERROR(INDEX($U539:$W539, MATCH(INDEX(Runs!$D:$D, MATCH($B539, Runs!$A:$A, 0)), $U$1:$W$1, 0)), 0)</f>
        <v>105920.72763910001</v>
      </c>
      <c r="AA539" s="8">
        <f t="shared" si="32"/>
        <v>9.4830761878113431E-4</v>
      </c>
      <c r="AB539" s="8">
        <f>IFERROR(VLOOKUP(INDEX(Runs!$F:$F, MATCH($B539, Runs!$A:$A, 0)), US_national_yearly!$D:$AM, MATCH(Keys!$C$7, US_national_yearly!$D$1:$AM$1, 0), FALSE), 0)</f>
        <v>5.7148835886332216E-3</v>
      </c>
      <c r="AC539" s="8">
        <f t="shared" si="33"/>
        <v>0.16593647168374479</v>
      </c>
      <c r="AD539">
        <f>IF($Z539&lt;Keys!$C$3, 1, 0)</f>
        <v>0</v>
      </c>
      <c r="AE539">
        <f>IF($AC539&gt;Keys!$C$4, 1, 0)</f>
        <v>0</v>
      </c>
      <c r="AF539">
        <f>IF($AC539&lt;Keys!$C$5, 1, 0)</f>
        <v>0</v>
      </c>
      <c r="AG539">
        <f t="shared" si="34"/>
        <v>0</v>
      </c>
      <c r="AH539" t="str">
        <f>IFERROR(INDEX(Runs!$E:$E, MATCH($B539, Runs!$A:$A, 0)), $B539)</f>
        <v>Industry NO2</v>
      </c>
      <c r="AI539" t="str">
        <f t="shared" si="35"/>
        <v>transportation NO2</v>
      </c>
      <c r="AJ539" t="str">
        <f>IF($AG539=1, IF($AD539=1, Keys!$C$9, "") &amp; IF($AE539=1, Keys!$C$10, "") &amp; IF($AF539=1, Keys!$C$11, ""), "")</f>
        <v/>
      </c>
      <c r="AK539">
        <f>IF($AG539=1, IFERROR(INDEX($AG$2:$AG$577, MATCH($A539 &amp; Keys!$C$8 &amp; $AH539, $Y$2:$Y$577, 0)), 1), 0)</f>
        <v>0</v>
      </c>
    </row>
    <row r="540" spans="1:37" x14ac:dyDescent="0.25">
      <c r="A540" t="s">
        <v>217</v>
      </c>
      <c r="B540" t="s">
        <v>234</v>
      </c>
      <c r="C540">
        <v>39</v>
      </c>
      <c r="D540">
        <v>40.547923851999983</v>
      </c>
      <c r="E540">
        <v>8.5464776859999994E-2</v>
      </c>
      <c r="F540">
        <v>115.497331059</v>
      </c>
      <c r="G540">
        <v>155.531522913</v>
      </c>
      <c r="H540">
        <v>237.63434059299999</v>
      </c>
      <c r="I540">
        <v>2.1874650680000012</v>
      </c>
      <c r="J540">
        <v>16.118100173999999</v>
      </c>
      <c r="K540">
        <v>14986.573571114001</v>
      </c>
      <c r="L540">
        <v>2552.2611544020001</v>
      </c>
      <c r="M540">
        <v>3.005760871000001</v>
      </c>
      <c r="N540">
        <v>508.66319456499991</v>
      </c>
      <c r="O540">
        <v>9.2325326500000013</v>
      </c>
      <c r="P540">
        <v>0.18278761425000001</v>
      </c>
      <c r="Q540">
        <v>0.49072009339999978</v>
      </c>
      <c r="R540">
        <v>27.399026769999999</v>
      </c>
      <c r="S540">
        <v>348.25341603800001</v>
      </c>
      <c r="T540">
        <v>495.24138902300001</v>
      </c>
      <c r="U540">
        <v>2222.3174369459998</v>
      </c>
      <c r="V540">
        <v>0</v>
      </c>
      <c r="W540">
        <v>0</v>
      </c>
      <c r="Y540" t="str">
        <f>$A540 &amp; Keys!$C$8 &amp; $B540</f>
        <v>Washington|transportation PM25</v>
      </c>
      <c r="Z540" s="8">
        <f>IFERROR(INDEX($U540:$W540, MATCH(INDEX(Runs!$D:$D, MATCH($B540, Runs!$A:$A, 0)), $U$1:$W$1, 0)), 0)</f>
        <v>2222.3174369459998</v>
      </c>
      <c r="AA540" s="8">
        <f t="shared" si="32"/>
        <v>1.8245783963123922E-2</v>
      </c>
      <c r="AB540" s="8">
        <f>IFERROR(VLOOKUP(INDEX(Runs!$F:$F, MATCH($B540, Runs!$A:$A, 0)), US_national_yearly!$D:$AM, MATCH(Keys!$C$7, US_national_yearly!$D$1:$AM$1, 0), FALSE), 0)</f>
        <v>2.8248683697579859E-2</v>
      </c>
      <c r="AC540" s="8">
        <f t="shared" si="33"/>
        <v>0.64589855437006038</v>
      </c>
      <c r="AD540">
        <f>IF($Z540&lt;Keys!$C$3, 1, 0)</f>
        <v>0</v>
      </c>
      <c r="AE540">
        <f>IF($AC540&gt;Keys!$C$4, 1, 0)</f>
        <v>0</v>
      </c>
      <c r="AF540">
        <f>IF($AC540&lt;Keys!$C$5, 1, 0)</f>
        <v>0</v>
      </c>
      <c r="AG540">
        <f t="shared" si="34"/>
        <v>0</v>
      </c>
      <c r="AH540" t="str">
        <f>IFERROR(INDEX(Runs!$E:$E, MATCH($B540, Runs!$A:$A, 0)), $B540)</f>
        <v>Industry PM25</v>
      </c>
      <c r="AI540" t="str">
        <f t="shared" si="35"/>
        <v>transportation PM25</v>
      </c>
      <c r="AJ540" t="str">
        <f>IF($AG540=1, IF($AD540=1, Keys!$C$9, "") &amp; IF($AE540=1, Keys!$C$10, "") &amp; IF($AF540=1, Keys!$C$11, ""), "")</f>
        <v/>
      </c>
      <c r="AK540">
        <f>IF($AG540=1, IFERROR(INDEX($AG$2:$AG$577, MATCH($A540 &amp; Keys!$C$8 &amp; $AH540, $Y$2:$Y$577, 0)), 1), 0)</f>
        <v>0</v>
      </c>
    </row>
    <row r="541" spans="1:37" x14ac:dyDescent="0.25">
      <c r="A541" t="s">
        <v>217</v>
      </c>
      <c r="B541" t="s">
        <v>243</v>
      </c>
      <c r="C541">
        <v>39</v>
      </c>
      <c r="D541">
        <v>3.686788038</v>
      </c>
      <c r="E541">
        <v>7.8573814546000001E-3</v>
      </c>
      <c r="F541">
        <v>10.644276379000001</v>
      </c>
      <c r="G541">
        <v>14.334054927</v>
      </c>
      <c r="H541">
        <v>21.900034286</v>
      </c>
      <c r="I541">
        <v>0.1944778778</v>
      </c>
      <c r="J541">
        <v>1.4595559522999999</v>
      </c>
      <c r="K541">
        <v>1413.998660511</v>
      </c>
      <c r="L541">
        <v>241.01026689</v>
      </c>
      <c r="M541">
        <v>0.26426014754999999</v>
      </c>
      <c r="N541">
        <v>46.878365592000009</v>
      </c>
      <c r="O541">
        <v>0.85925458399999988</v>
      </c>
      <c r="P541">
        <v>1.6262644305999989E-2</v>
      </c>
      <c r="Q541">
        <v>4.3720637707000007E-2</v>
      </c>
      <c r="R541">
        <v>2.5322198715000002</v>
      </c>
      <c r="S541">
        <v>32.180287459000013</v>
      </c>
      <c r="T541">
        <v>45.740397600000001</v>
      </c>
      <c r="U541">
        <v>0</v>
      </c>
      <c r="V541">
        <v>839.84201769999981</v>
      </c>
      <c r="W541">
        <v>0</v>
      </c>
      <c r="Y541" t="str">
        <f>$A541 &amp; Keys!$C$8 &amp; $B541</f>
        <v>Washington|transportation SO2</v>
      </c>
      <c r="Z541" s="8">
        <f>IFERROR(INDEX($U541:$W541, MATCH(INDEX(Runs!$D:$D, MATCH($B541, Runs!$A:$A, 0)), $U$1:$W$1, 0)), 0)</f>
        <v>839.84201769999981</v>
      </c>
      <c r="AA541" s="8">
        <f t="shared" si="32"/>
        <v>4.3898589976441955E-3</v>
      </c>
      <c r="AB541" s="8">
        <f>IFERROR(VLOOKUP(INDEX(Runs!$F:$F, MATCH($B541, Runs!$A:$A, 0)), US_national_yearly!$D:$AM, MATCH(Keys!$C$7, US_national_yearly!$D$1:$AM$1, 0), FALSE), 0)</f>
        <v>5.1800714166247604E-3</v>
      </c>
      <c r="AC541" s="8">
        <f t="shared" si="33"/>
        <v>0.84745144315105736</v>
      </c>
      <c r="AD541">
        <f>IF($Z541&lt;Keys!$C$3, 1, 0)</f>
        <v>0</v>
      </c>
      <c r="AE541">
        <f>IF($AC541&gt;Keys!$C$4, 1, 0)</f>
        <v>0</v>
      </c>
      <c r="AF541">
        <f>IF($AC541&lt;Keys!$C$5, 1, 0)</f>
        <v>0</v>
      </c>
      <c r="AG541">
        <f t="shared" si="34"/>
        <v>0</v>
      </c>
      <c r="AH541" t="str">
        <f>IFERROR(INDEX(Runs!$E:$E, MATCH($B541, Runs!$A:$A, 0)), $B541)</f>
        <v>Industry SO2</v>
      </c>
      <c r="AI541" t="str">
        <f t="shared" si="35"/>
        <v>transportation SO2</v>
      </c>
      <c r="AJ541" t="str">
        <f>IF($AG541=1, IF($AD541=1, Keys!$C$9, "") &amp; IF($AE541=1, Keys!$C$10, "") &amp; IF($AF541=1, Keys!$C$11, ""), "")</f>
        <v/>
      </c>
      <c r="AK541">
        <f>IF($AG541=1, IFERROR(INDEX($AG$2:$AG$577, MATCH($A541 &amp; Keys!$C$8 &amp; $AH541, $Y$2:$Y$577, 0)), 1), 0)</f>
        <v>0</v>
      </c>
    </row>
    <row r="542" spans="1:37" x14ac:dyDescent="0.25">
      <c r="A542" t="s">
        <v>220</v>
      </c>
      <c r="B542" t="s">
        <v>242</v>
      </c>
      <c r="C542">
        <v>55</v>
      </c>
      <c r="D542">
        <v>5.5742555100000004</v>
      </c>
      <c r="E542">
        <v>9.4282583000000007E-3</v>
      </c>
      <c r="F542">
        <v>9.5362755490000009</v>
      </c>
      <c r="G542">
        <v>12.841875085</v>
      </c>
      <c r="H542">
        <v>19.62057858999999</v>
      </c>
      <c r="I542">
        <v>0.53795318499999989</v>
      </c>
      <c r="J542">
        <v>1.9058387750000001</v>
      </c>
      <c r="K542">
        <v>1235.9402962219999</v>
      </c>
      <c r="L542">
        <v>206.79569231299999</v>
      </c>
      <c r="M542">
        <v>0.45236441399999988</v>
      </c>
      <c r="N542">
        <v>41.998729223999987</v>
      </c>
      <c r="O542">
        <v>0.96339249299999985</v>
      </c>
      <c r="P542">
        <v>1.8194002399999999E-2</v>
      </c>
      <c r="Q542">
        <v>0.20765559400000011</v>
      </c>
      <c r="R542">
        <v>2.2313346799999989</v>
      </c>
      <c r="S542">
        <v>28.373010012000009</v>
      </c>
      <c r="T542">
        <v>40.372405144000012</v>
      </c>
      <c r="U542">
        <v>0</v>
      </c>
      <c r="V542">
        <v>0</v>
      </c>
      <c r="W542">
        <v>51874.980848281994</v>
      </c>
      <c r="Y542" t="str">
        <f>$A542 &amp; Keys!$C$8 &amp; $B542</f>
        <v>West Virginia|Industry NO2</v>
      </c>
      <c r="Z542" s="8">
        <f>IFERROR(INDEX($U542:$W542, MATCH(INDEX(Runs!$D:$D, MATCH($B542, Runs!$A:$A, 0)), $U$1:$W$1, 0)), 0)</f>
        <v>51874.980848281994</v>
      </c>
      <c r="AA542" s="8">
        <f t="shared" si="32"/>
        <v>1.0745556757510803E-4</v>
      </c>
      <c r="AB542" s="8">
        <f>IFERROR(VLOOKUP(INDEX(Runs!$F:$F, MATCH($B542, Runs!$A:$A, 0)), US_national_yearly!$D:$AM, MATCH(Keys!$C$7, US_national_yearly!$D$1:$AM$1, 0), FALSE), 0)</f>
        <v>5.8012217057786938E-3</v>
      </c>
      <c r="AC542" s="8">
        <f t="shared" si="33"/>
        <v>1.8522920347634662E-2</v>
      </c>
      <c r="AD542">
        <f>IF($Z542&lt;Keys!$C$3, 1, 0)</f>
        <v>0</v>
      </c>
      <c r="AE542">
        <f>IF($AC542&gt;Keys!$C$4, 1, 0)</f>
        <v>0</v>
      </c>
      <c r="AF542">
        <f>IF($AC542&lt;Keys!$C$5, 1, 0)</f>
        <v>0</v>
      </c>
      <c r="AG542">
        <f t="shared" si="34"/>
        <v>0</v>
      </c>
      <c r="AH542" t="str">
        <f>IFERROR(INDEX(Runs!$E:$E, MATCH($B542, Runs!$A:$A, 0)), $B542)</f>
        <v>Industry NO2</v>
      </c>
      <c r="AI542" t="str">
        <f t="shared" si="35"/>
        <v>Industry NO2</v>
      </c>
      <c r="AJ542" t="str">
        <f>IF($AG542=1, IF($AD542=1, Keys!$C$9, "") &amp; IF($AE542=1, Keys!$C$10, "") &amp; IF($AF542=1, Keys!$C$11, ""), "")</f>
        <v/>
      </c>
      <c r="AK542">
        <f>IF($AG542=1, IFERROR(INDEX($AG$2:$AG$577, MATCH($A542 &amp; Keys!$C$8 &amp; $AH542, $Y$2:$Y$577, 0)), 1), 0)</f>
        <v>0</v>
      </c>
    </row>
    <row r="543" spans="1:37" x14ac:dyDescent="0.25">
      <c r="A543" t="s">
        <v>220</v>
      </c>
      <c r="B543" t="s">
        <v>238</v>
      </c>
      <c r="C543">
        <v>55</v>
      </c>
      <c r="D543">
        <v>33.902681135999991</v>
      </c>
      <c r="E543">
        <v>5.8945151799999991E-2</v>
      </c>
      <c r="F543">
        <v>59.984723503999987</v>
      </c>
      <c r="G543">
        <v>80.775192857999997</v>
      </c>
      <c r="H543">
        <v>123.421292184</v>
      </c>
      <c r="I543">
        <v>3.0024262820000001</v>
      </c>
      <c r="J543">
        <v>11.544602094</v>
      </c>
      <c r="K543">
        <v>7817.9708114800014</v>
      </c>
      <c r="L543">
        <v>1309.073312553001</v>
      </c>
      <c r="M543">
        <v>2.6412407749999991</v>
      </c>
      <c r="N543">
        <v>264.18120854599999</v>
      </c>
      <c r="O543">
        <v>6.0084990350000016</v>
      </c>
      <c r="P543">
        <v>0.114083566</v>
      </c>
      <c r="Q543">
        <v>1.1171215249999999</v>
      </c>
      <c r="R543">
        <v>13.928515273</v>
      </c>
      <c r="S543">
        <v>177.182298723</v>
      </c>
      <c r="T543">
        <v>252.38618183899999</v>
      </c>
      <c r="U543">
        <v>3953.5936891680012</v>
      </c>
      <c r="V543">
        <v>0</v>
      </c>
      <c r="W543">
        <v>0</v>
      </c>
      <c r="Y543" t="str">
        <f>$A543 &amp; Keys!$C$8 &amp; $B543</f>
        <v>West Virginia|Industry PM25</v>
      </c>
      <c r="Z543" s="8">
        <f>IFERROR(INDEX($U543:$W543, MATCH(INDEX(Runs!$D:$D, MATCH($B543, Runs!$A:$A, 0)), $U$1:$W$1, 0)), 0)</f>
        <v>3953.5936891680012</v>
      </c>
      <c r="AA543" s="8">
        <f t="shared" si="32"/>
        <v>8.5751556182634709E-3</v>
      </c>
      <c r="AB543" s="8">
        <f>IFERROR(VLOOKUP(INDEX(Runs!$F:$F, MATCH($B543, Runs!$A:$A, 0)), US_national_yearly!$D:$AM, MATCH(Keys!$C$7, US_national_yearly!$D$1:$AM$1, 0), FALSE), 0)</f>
        <v>2.6833191881203179E-2</v>
      </c>
      <c r="AC543" s="8">
        <f t="shared" si="33"/>
        <v>0.31957270145973288</v>
      </c>
      <c r="AD543">
        <f>IF($Z543&lt;Keys!$C$3, 1, 0)</f>
        <v>0</v>
      </c>
      <c r="AE543">
        <f>IF($AC543&gt;Keys!$C$4, 1, 0)</f>
        <v>0</v>
      </c>
      <c r="AF543">
        <f>IF($AC543&lt;Keys!$C$5, 1, 0)</f>
        <v>0</v>
      </c>
      <c r="AG543">
        <f t="shared" si="34"/>
        <v>0</v>
      </c>
      <c r="AH543" t="str">
        <f>IFERROR(INDEX(Runs!$E:$E, MATCH($B543, Runs!$A:$A, 0)), $B543)</f>
        <v>Industry PM25</v>
      </c>
      <c r="AI543" t="str">
        <f t="shared" si="35"/>
        <v>Industry PM25</v>
      </c>
      <c r="AJ543" t="str">
        <f>IF($AG543=1, IF($AD543=1, Keys!$C$9, "") &amp; IF($AE543=1, Keys!$C$10, "") &amp; IF($AF543=1, Keys!$C$11, ""), "")</f>
        <v/>
      </c>
      <c r="AK543">
        <f>IF($AG543=1, IFERROR(INDEX($AG$2:$AG$577, MATCH($A543 &amp; Keys!$C$8 &amp; $AH543, $Y$2:$Y$577, 0)), 1), 0)</f>
        <v>0</v>
      </c>
    </row>
    <row r="544" spans="1:37" x14ac:dyDescent="0.25">
      <c r="A544" t="s">
        <v>220</v>
      </c>
      <c r="B544" t="s">
        <v>246</v>
      </c>
      <c r="C544">
        <v>55</v>
      </c>
      <c r="D544">
        <v>17.708229956</v>
      </c>
      <c r="E544">
        <v>2.935141929999999E-2</v>
      </c>
      <c r="F544">
        <v>29.843063647000001</v>
      </c>
      <c r="G544">
        <v>40.187190024000003</v>
      </c>
      <c r="H544">
        <v>61.402159435999991</v>
      </c>
      <c r="I544">
        <v>1.625921709</v>
      </c>
      <c r="J544">
        <v>6.2908281959999988</v>
      </c>
      <c r="K544">
        <v>3912.2756781889998</v>
      </c>
      <c r="L544">
        <v>654.40417388699973</v>
      </c>
      <c r="M544">
        <v>1.4451497390000001</v>
      </c>
      <c r="N544">
        <v>131.432413107</v>
      </c>
      <c r="O544">
        <v>3.0391482189999999</v>
      </c>
      <c r="P544">
        <v>6.0322607499999972E-2</v>
      </c>
      <c r="Q544">
        <v>0.60221102600000009</v>
      </c>
      <c r="R544">
        <v>6.9517090269999997</v>
      </c>
      <c r="S544">
        <v>88.413685424999983</v>
      </c>
      <c r="T544">
        <v>125.86965967099999</v>
      </c>
      <c r="U544">
        <v>0</v>
      </c>
      <c r="V544">
        <v>4314.5799083290003</v>
      </c>
      <c r="W544">
        <v>0</v>
      </c>
      <c r="Y544" t="str">
        <f>$A544 &amp; Keys!$C$8 &amp; $B544</f>
        <v>West Virginia|Industry SO2</v>
      </c>
      <c r="Z544" s="8">
        <f>IFERROR(INDEX($U544:$W544, MATCH(INDEX(Runs!$D:$D, MATCH($B544, Runs!$A:$A, 0)), $U$1:$W$1, 0)), 0)</f>
        <v>4314.5799083290003</v>
      </c>
      <c r="AA544" s="8">
        <f t="shared" si="32"/>
        <v>4.10427673892781E-3</v>
      </c>
      <c r="AB544" s="8">
        <f>IFERROR(VLOOKUP(INDEX(Runs!$F:$F, MATCH($B544, Runs!$A:$A, 0)), US_national_yearly!$D:$AM, MATCH(Keys!$C$7, US_national_yearly!$D$1:$AM$1, 0), FALSE), 0)</f>
        <v>5.3000351638639942E-3</v>
      </c>
      <c r="AC544" s="8">
        <f t="shared" si="33"/>
        <v>0.77438669971683438</v>
      </c>
      <c r="AD544">
        <f>IF($Z544&lt;Keys!$C$3, 1, 0)</f>
        <v>0</v>
      </c>
      <c r="AE544">
        <f>IF($AC544&gt;Keys!$C$4, 1, 0)</f>
        <v>0</v>
      </c>
      <c r="AF544">
        <f>IF($AC544&lt;Keys!$C$5, 1, 0)</f>
        <v>0</v>
      </c>
      <c r="AG544">
        <f t="shared" si="34"/>
        <v>0</v>
      </c>
      <c r="AH544" t="str">
        <f>IFERROR(INDEX(Runs!$E:$E, MATCH($B544, Runs!$A:$A, 0)), $B544)</f>
        <v>Industry SO2</v>
      </c>
      <c r="AI544" t="str">
        <f t="shared" si="35"/>
        <v>Industry SO2</v>
      </c>
      <c r="AJ544" t="str">
        <f>IF($AG544=1, IF($AD544=1, Keys!$C$9, "") &amp; IF($AE544=1, Keys!$C$10, "") &amp; IF($AF544=1, Keys!$C$11, ""), "")</f>
        <v/>
      </c>
      <c r="AK544">
        <f>IF($AG544=1, IFERROR(INDEX($AG$2:$AG$577, MATCH($A544 &amp; Keys!$C$8 &amp; $AH544, $Y$2:$Y$577, 0)), 1), 0)</f>
        <v>0</v>
      </c>
    </row>
    <row r="545" spans="1:37" x14ac:dyDescent="0.25">
      <c r="A545" t="s">
        <v>220</v>
      </c>
      <c r="B545" t="s">
        <v>253</v>
      </c>
      <c r="C545">
        <v>55</v>
      </c>
      <c r="D545">
        <v>1.9606780859999999</v>
      </c>
      <c r="E545">
        <v>3.2863827999999999E-3</v>
      </c>
      <c r="F545">
        <v>3.3578351359999989</v>
      </c>
      <c r="G545">
        <v>4.5218068749999993</v>
      </c>
      <c r="H545">
        <v>6.9085737589999976</v>
      </c>
      <c r="I545">
        <v>0.17883269169999991</v>
      </c>
      <c r="J545">
        <v>0.64674756400000022</v>
      </c>
      <c r="K545">
        <v>440.58207789099998</v>
      </c>
      <c r="L545">
        <v>73.74669649400002</v>
      </c>
      <c r="M545">
        <v>0.1564190694</v>
      </c>
      <c r="N545">
        <v>14.788215770000001</v>
      </c>
      <c r="O545">
        <v>0.34108455500000001</v>
      </c>
      <c r="P545">
        <v>6.677141099999998E-3</v>
      </c>
      <c r="Q545">
        <v>6.7144262900000001E-2</v>
      </c>
      <c r="R545">
        <v>0.7811475710000001</v>
      </c>
      <c r="S545">
        <v>9.9323335969999977</v>
      </c>
      <c r="T545">
        <v>14.130257454000001</v>
      </c>
      <c r="U545">
        <v>0</v>
      </c>
      <c r="V545">
        <v>0</v>
      </c>
      <c r="W545">
        <v>6200.1736729950007</v>
      </c>
      <c r="Y545" t="str">
        <f>$A545 &amp; Keys!$C$8 &amp; $B545</f>
        <v>West Virginia|buildings NO2</v>
      </c>
      <c r="Z545" s="8">
        <f>IFERROR(INDEX($U545:$W545, MATCH(INDEX(Runs!$D:$D, MATCH($B545, Runs!$A:$A, 0)), $U$1:$W$1, 0)), 0)</f>
        <v>6200.1736729950007</v>
      </c>
      <c r="AA545" s="8">
        <f t="shared" si="32"/>
        <v>3.1622954281745018E-4</v>
      </c>
      <c r="AB545" s="8">
        <f>IFERROR(VLOOKUP(INDEX(Runs!$F:$F, MATCH($B545, Runs!$A:$A, 0)), US_national_yearly!$D:$AM, MATCH(Keys!$C$7, US_national_yearly!$D$1:$AM$1, 0), FALSE), 0)</f>
        <v>5.6784740124662739E-3</v>
      </c>
      <c r="AC545" s="8">
        <f t="shared" si="33"/>
        <v>5.5689176726566619E-2</v>
      </c>
      <c r="AD545">
        <f>IF($Z545&lt;Keys!$C$3, 1, 0)</f>
        <v>0</v>
      </c>
      <c r="AE545">
        <f>IF($AC545&gt;Keys!$C$4, 1, 0)</f>
        <v>0</v>
      </c>
      <c r="AF545">
        <f>IF($AC545&lt;Keys!$C$5, 1, 0)</f>
        <v>0</v>
      </c>
      <c r="AG545">
        <f t="shared" si="34"/>
        <v>0</v>
      </c>
      <c r="AH545" t="str">
        <f>IFERROR(INDEX(Runs!$E:$E, MATCH($B545, Runs!$A:$A, 0)), $B545)</f>
        <v>Industry NO2</v>
      </c>
      <c r="AI545" t="str">
        <f t="shared" si="35"/>
        <v>buildings NO2</v>
      </c>
      <c r="AJ545" t="str">
        <f>IF($AG545=1, IF($AD545=1, Keys!$C$9, "") &amp; IF($AE545=1, Keys!$C$10, "") &amp; IF($AF545=1, Keys!$C$11, ""), "")</f>
        <v/>
      </c>
      <c r="AK545">
        <f>IF($AG545=1, IFERROR(INDEX($AG$2:$AG$577, MATCH($A545 &amp; Keys!$C$8 &amp; $AH545, $Y$2:$Y$577, 0)), 1), 0)</f>
        <v>0</v>
      </c>
    </row>
    <row r="546" spans="1:37" x14ac:dyDescent="0.25">
      <c r="A546" t="s">
        <v>220</v>
      </c>
      <c r="B546" t="s">
        <v>251</v>
      </c>
      <c r="C546">
        <v>55</v>
      </c>
      <c r="D546">
        <v>0.22302888400000001</v>
      </c>
      <c r="E546">
        <v>3.7348573799999988E-4</v>
      </c>
      <c r="F546">
        <v>0.38477268599999992</v>
      </c>
      <c r="G546">
        <v>0.5181527760000002</v>
      </c>
      <c r="H546">
        <v>0.79164775300000023</v>
      </c>
      <c r="I546">
        <v>1.9321141279999988E-2</v>
      </c>
      <c r="J546">
        <v>7.0676263800000014E-2</v>
      </c>
      <c r="K546">
        <v>50.927933926999998</v>
      </c>
      <c r="L546">
        <v>8.5161941890000001</v>
      </c>
      <c r="M546">
        <v>1.6798261969999999E-2</v>
      </c>
      <c r="N546">
        <v>1.6945732149999999</v>
      </c>
      <c r="O546">
        <v>3.8590672900000018E-2</v>
      </c>
      <c r="P546">
        <v>7.3985285399999988E-4</v>
      </c>
      <c r="Q546">
        <v>7.2865267799999993E-3</v>
      </c>
      <c r="R546">
        <v>8.9043881999999977E-2</v>
      </c>
      <c r="S546">
        <v>1.132144571</v>
      </c>
      <c r="T546">
        <v>1.6104709079999999</v>
      </c>
      <c r="U546">
        <v>32.850581875999993</v>
      </c>
      <c r="V546">
        <v>0</v>
      </c>
      <c r="W546">
        <v>0</v>
      </c>
      <c r="Y546" t="str">
        <f>$A546 &amp; Keys!$C$8 &amp; $B546</f>
        <v>West Virginia|buildings PM25</v>
      </c>
      <c r="Z546" s="8">
        <f>IFERROR(INDEX($U546:$W546, MATCH(INDEX(Runs!$D:$D, MATCH($B546, Runs!$A:$A, 0)), $U$1:$W$1, 0)), 0)</f>
        <v>32.850581875999993</v>
      </c>
      <c r="AA546" s="8">
        <f t="shared" si="32"/>
        <v>6.789191279529227E-3</v>
      </c>
      <c r="AB546" s="8">
        <f>IFERROR(VLOOKUP(INDEX(Runs!$F:$F, MATCH($B546, Runs!$A:$A, 0)), US_national_yearly!$D:$AM, MATCH(Keys!$C$7, US_national_yearly!$D$1:$AM$1, 0), FALSE), 0)</f>
        <v>2.7627705191843259E-2</v>
      </c>
      <c r="AC546" s="8">
        <f t="shared" si="33"/>
        <v>0.24573851618822298</v>
      </c>
      <c r="AD546">
        <f>IF($Z546&lt;Keys!$C$3, 1, 0)</f>
        <v>0</v>
      </c>
      <c r="AE546">
        <f>IF($AC546&gt;Keys!$C$4, 1, 0)</f>
        <v>0</v>
      </c>
      <c r="AF546">
        <f>IF($AC546&lt;Keys!$C$5, 1, 0)</f>
        <v>0</v>
      </c>
      <c r="AG546">
        <f t="shared" si="34"/>
        <v>0</v>
      </c>
      <c r="AH546" t="str">
        <f>IFERROR(INDEX(Runs!$E:$E, MATCH($B546, Runs!$A:$A, 0)), $B546)</f>
        <v>Industry PM25</v>
      </c>
      <c r="AI546" t="str">
        <f t="shared" si="35"/>
        <v>buildings PM25</v>
      </c>
      <c r="AJ546" t="str">
        <f>IF($AG546=1, IF($AD546=1, Keys!$C$9, "") &amp; IF($AE546=1, Keys!$C$10, "") &amp; IF($AF546=1, Keys!$C$11, ""), "")</f>
        <v/>
      </c>
      <c r="AK546">
        <f>IF($AG546=1, IFERROR(INDEX($AG$2:$AG$577, MATCH($A546 &amp; Keys!$C$8 &amp; $AH546, $Y$2:$Y$577, 0)), 1), 0)</f>
        <v>0</v>
      </c>
    </row>
    <row r="547" spans="1:37" x14ac:dyDescent="0.25">
      <c r="A547" t="s">
        <v>220</v>
      </c>
      <c r="B547" t="s">
        <v>254</v>
      </c>
      <c r="C547">
        <v>55</v>
      </c>
      <c r="D547">
        <v>0.17108950100000009</v>
      </c>
      <c r="E547">
        <v>3.1047082900000008E-4</v>
      </c>
      <c r="F547">
        <v>0.31648037000000001</v>
      </c>
      <c r="G547">
        <v>0.42618718399999989</v>
      </c>
      <c r="H547">
        <v>0.65114022199999999</v>
      </c>
      <c r="I547">
        <v>1.255277386E-2</v>
      </c>
      <c r="J547">
        <v>4.9714011999999988E-2</v>
      </c>
      <c r="K547">
        <v>41.653512862000007</v>
      </c>
      <c r="L547">
        <v>6.9681756260000016</v>
      </c>
      <c r="M547">
        <v>1.1442230019999999E-2</v>
      </c>
      <c r="N547">
        <v>1.3938077760000001</v>
      </c>
      <c r="O547">
        <v>3.08568935E-2</v>
      </c>
      <c r="P547">
        <v>5.8140653499999973E-4</v>
      </c>
      <c r="Q547">
        <v>4.6988217399999976E-3</v>
      </c>
      <c r="R547">
        <v>7.3118064200000027E-2</v>
      </c>
      <c r="S547">
        <v>0.92960492899999969</v>
      </c>
      <c r="T547">
        <v>1.3222361419999999</v>
      </c>
      <c r="U547">
        <v>0</v>
      </c>
      <c r="V547">
        <v>160.17421330800011</v>
      </c>
      <c r="W547">
        <v>0</v>
      </c>
      <c r="Y547" t="str">
        <f>$A547 &amp; Keys!$C$8 &amp; $B547</f>
        <v>West Virginia|buildings SO2</v>
      </c>
      <c r="Z547" s="8">
        <f>IFERROR(INDEX($U547:$W547, MATCH(INDEX(Runs!$D:$D, MATCH($B547, Runs!$A:$A, 0)), $U$1:$W$1, 0)), 0)</f>
        <v>160.17421330800011</v>
      </c>
      <c r="AA547" s="8">
        <f t="shared" si="32"/>
        <v>1.0681463480704655E-3</v>
      </c>
      <c r="AB547" s="8">
        <f>IFERROR(VLOOKUP(INDEX(Runs!$F:$F, MATCH($B547, Runs!$A:$A, 0)), US_national_yearly!$D:$AM, MATCH(Keys!$C$7, US_national_yearly!$D$1:$AM$1, 0), FALSE), 0)</f>
        <v>5.1581943281164694E-3</v>
      </c>
      <c r="AC547" s="8">
        <f t="shared" si="33"/>
        <v>0.20707757019703105</v>
      </c>
      <c r="AD547">
        <f>IF($Z547&lt;Keys!$C$3, 1, 0)</f>
        <v>0</v>
      </c>
      <c r="AE547">
        <f>IF($AC547&gt;Keys!$C$4, 1, 0)</f>
        <v>0</v>
      </c>
      <c r="AF547">
        <f>IF($AC547&lt;Keys!$C$5, 1, 0)</f>
        <v>0</v>
      </c>
      <c r="AG547">
        <f t="shared" si="34"/>
        <v>0</v>
      </c>
      <c r="AH547" t="str">
        <f>IFERROR(INDEX(Runs!$E:$E, MATCH($B547, Runs!$A:$A, 0)), $B547)</f>
        <v>Industry SO2</v>
      </c>
      <c r="AI547" t="str">
        <f t="shared" si="35"/>
        <v>buildings SO2</v>
      </c>
      <c r="AJ547" t="str">
        <f>IF($AG547=1, IF($AD547=1, Keys!$C$9, "") &amp; IF($AE547=1, Keys!$C$10, "") &amp; IF($AF547=1, Keys!$C$11, ""), "")</f>
        <v/>
      </c>
      <c r="AK547">
        <f>IF($AG547=1, IFERROR(INDEX($AG$2:$AG$577, MATCH($A547 &amp; Keys!$C$8 &amp; $AH547, $Y$2:$Y$577, 0)), 1), 0)</f>
        <v>0</v>
      </c>
    </row>
    <row r="548" spans="1:37" x14ac:dyDescent="0.25">
      <c r="A548" t="s">
        <v>220</v>
      </c>
      <c r="B548" t="s">
        <v>249</v>
      </c>
      <c r="C548">
        <v>55</v>
      </c>
      <c r="D548">
        <v>5.8059748579999999</v>
      </c>
      <c r="E548">
        <v>1.00954754E-2</v>
      </c>
      <c r="F548">
        <v>10.53955569</v>
      </c>
      <c r="G548">
        <v>14.192929367</v>
      </c>
      <c r="H548">
        <v>21.684789080000002</v>
      </c>
      <c r="I548">
        <v>0.46926258199999998</v>
      </c>
      <c r="J548">
        <v>1.825985878</v>
      </c>
      <c r="K548">
        <v>1447.020286185</v>
      </c>
      <c r="L548">
        <v>243.072575242</v>
      </c>
      <c r="M548">
        <v>0.42699543699999998</v>
      </c>
      <c r="N548">
        <v>46.417274136999993</v>
      </c>
      <c r="O548">
        <v>1.0803768760000001</v>
      </c>
      <c r="P548">
        <v>2.0468487899999999E-2</v>
      </c>
      <c r="Q548">
        <v>0.16985686899999999</v>
      </c>
      <c r="R548">
        <v>2.371858994000001</v>
      </c>
      <c r="S548">
        <v>30.164140685</v>
      </c>
      <c r="T548">
        <v>42.930665788000013</v>
      </c>
      <c r="U548">
        <v>0</v>
      </c>
      <c r="V548">
        <v>0</v>
      </c>
      <c r="W548">
        <v>41474.474584249998</v>
      </c>
      <c r="Y548" t="str">
        <f>$A548 &amp; Keys!$C$8 &amp; $B548</f>
        <v>West Virginia|electricity NO2</v>
      </c>
      <c r="Z548" s="8">
        <f>IFERROR(INDEX($U548:$W548, MATCH(INDEX(Runs!$D:$D, MATCH($B548, Runs!$A:$A, 0)), $U$1:$W$1, 0)), 0)</f>
        <v>41474.474584249998</v>
      </c>
      <c r="AA548" s="8">
        <f t="shared" si="32"/>
        <v>1.3998911176574201E-4</v>
      </c>
      <c r="AB548" s="8">
        <f>IFERROR(VLOOKUP(INDEX(Runs!$F:$F, MATCH($B548, Runs!$A:$A, 0)), US_national_yearly!$D:$AM, MATCH(Keys!$C$7, US_national_yearly!$D$1:$AM$1, 0), FALSE), 0)</f>
        <v>6.1439221592658041E-3</v>
      </c>
      <c r="AC548" s="8">
        <f t="shared" si="33"/>
        <v>2.2784974831528571E-2</v>
      </c>
      <c r="AD548">
        <f>IF($Z548&lt;Keys!$C$3, 1, 0)</f>
        <v>0</v>
      </c>
      <c r="AE548">
        <f>IF($AC548&gt;Keys!$C$4, 1, 0)</f>
        <v>0</v>
      </c>
      <c r="AF548">
        <f>IF($AC548&lt;Keys!$C$5, 1, 0)</f>
        <v>0</v>
      </c>
      <c r="AG548">
        <f t="shared" si="34"/>
        <v>0</v>
      </c>
      <c r="AH548" t="str">
        <f>IFERROR(INDEX(Runs!$E:$E, MATCH($B548, Runs!$A:$A, 0)), $B548)</f>
        <v>Industry NO2</v>
      </c>
      <c r="AI548" t="str">
        <f t="shared" si="35"/>
        <v>electricity NO2</v>
      </c>
      <c r="AJ548" t="str">
        <f>IF($AG548=1, IF($AD548=1, Keys!$C$9, "") &amp; IF($AE548=1, Keys!$C$10, "") &amp; IF($AF548=1, Keys!$C$11, ""), "")</f>
        <v/>
      </c>
      <c r="AK548">
        <f>IF($AG548=1, IFERROR(INDEX($AG$2:$AG$577, MATCH($A548 &amp; Keys!$C$8 &amp; $AH548, $Y$2:$Y$577, 0)), 1), 0)</f>
        <v>0</v>
      </c>
    </row>
    <row r="549" spans="1:37" x14ac:dyDescent="0.25">
      <c r="A549" t="s">
        <v>220</v>
      </c>
      <c r="B549" t="s">
        <v>247</v>
      </c>
      <c r="C549">
        <v>55</v>
      </c>
      <c r="D549">
        <v>3.2118675380000008</v>
      </c>
      <c r="E549">
        <v>5.6245949999999996E-3</v>
      </c>
      <c r="F549">
        <v>5.9802967759999994</v>
      </c>
      <c r="G549">
        <v>8.0532788929999981</v>
      </c>
      <c r="H549">
        <v>12.304253892</v>
      </c>
      <c r="I549">
        <v>0.25071238410000002</v>
      </c>
      <c r="J549">
        <v>1.0736376529999989</v>
      </c>
      <c r="K549">
        <v>847.85806066299983</v>
      </c>
      <c r="L549">
        <v>142.80532426100001</v>
      </c>
      <c r="M549">
        <v>0.24399791160000001</v>
      </c>
      <c r="N549">
        <v>26.337829561</v>
      </c>
      <c r="O549">
        <v>0.623258541</v>
      </c>
      <c r="P549">
        <v>1.18417595E-2</v>
      </c>
      <c r="Q549">
        <v>8.6630968099999997E-2</v>
      </c>
      <c r="R549">
        <v>1.31765073</v>
      </c>
      <c r="S549">
        <v>16.757051295</v>
      </c>
      <c r="T549">
        <v>23.848559323999989</v>
      </c>
      <c r="U549">
        <v>2602.8968738110002</v>
      </c>
      <c r="V549">
        <v>0</v>
      </c>
      <c r="W549">
        <v>0</v>
      </c>
      <c r="Y549" t="str">
        <f>$A549 &amp; Keys!$C$8 &amp; $B549</f>
        <v>West Virginia|electricity PM25</v>
      </c>
      <c r="Z549" s="8">
        <f>IFERROR(INDEX($U549:$W549, MATCH(INDEX(Runs!$D:$D, MATCH($B549, Runs!$A:$A, 0)), $U$1:$W$1, 0)), 0)</f>
        <v>2602.8968738110002</v>
      </c>
      <c r="AA549" s="8">
        <f t="shared" si="32"/>
        <v>1.2339588134728456E-3</v>
      </c>
      <c r="AB549" s="8">
        <f>IFERROR(VLOOKUP(INDEX(Runs!$F:$F, MATCH($B549, Runs!$A:$A, 0)), US_national_yearly!$D:$AM, MATCH(Keys!$C$7, US_national_yearly!$D$1:$AM$1, 0), FALSE), 0)</f>
        <v>2.4252978284752182E-2</v>
      </c>
      <c r="AC549" s="8">
        <f t="shared" si="33"/>
        <v>5.0878650819088642E-2</v>
      </c>
      <c r="AD549">
        <f>IF($Z549&lt;Keys!$C$3, 1, 0)</f>
        <v>0</v>
      </c>
      <c r="AE549">
        <f>IF($AC549&gt;Keys!$C$4, 1, 0)</f>
        <v>0</v>
      </c>
      <c r="AF549">
        <f>IF($AC549&lt;Keys!$C$5, 1, 0)</f>
        <v>0</v>
      </c>
      <c r="AG549">
        <f t="shared" si="34"/>
        <v>0</v>
      </c>
      <c r="AH549" t="str">
        <f>IFERROR(INDEX(Runs!$E:$E, MATCH($B549, Runs!$A:$A, 0)), $B549)</f>
        <v>Industry PM25</v>
      </c>
      <c r="AI549" t="str">
        <f t="shared" si="35"/>
        <v>electricity PM25</v>
      </c>
      <c r="AJ549" t="str">
        <f>IF($AG549=1, IF($AD549=1, Keys!$C$9, "") &amp; IF($AE549=1, Keys!$C$10, "") &amp; IF($AF549=1, Keys!$C$11, ""), "")</f>
        <v/>
      </c>
      <c r="AK549">
        <f>IF($AG549=1, IFERROR(INDEX($AG$2:$AG$577, MATCH($A549 &amp; Keys!$C$8 &amp; $AH549, $Y$2:$Y$577, 0)), 1), 0)</f>
        <v>0</v>
      </c>
    </row>
    <row r="550" spans="1:37" x14ac:dyDescent="0.25">
      <c r="A550" t="s">
        <v>220</v>
      </c>
      <c r="B550" t="s">
        <v>250</v>
      </c>
      <c r="C550">
        <v>55</v>
      </c>
      <c r="D550">
        <v>2.8656870269999999</v>
      </c>
      <c r="E550">
        <v>5.0174943999999992E-3</v>
      </c>
      <c r="F550">
        <v>5.2643657710000014</v>
      </c>
      <c r="G550">
        <v>7.0892052510000019</v>
      </c>
      <c r="H550">
        <v>10.831200967999999</v>
      </c>
      <c r="I550">
        <v>0.23325459900000001</v>
      </c>
      <c r="J550">
        <v>0.91812210399999983</v>
      </c>
      <c r="K550">
        <v>728.37123170699977</v>
      </c>
      <c r="L550">
        <v>122.45028419800001</v>
      </c>
      <c r="M550">
        <v>0.21419084199999999</v>
      </c>
      <c r="N550">
        <v>23.184771990000002</v>
      </c>
      <c r="O550">
        <v>0.54138112700000007</v>
      </c>
      <c r="P550">
        <v>1.0248126099999999E-2</v>
      </c>
      <c r="Q550">
        <v>8.3659368000000012E-2</v>
      </c>
      <c r="R550">
        <v>1.177684773</v>
      </c>
      <c r="S550">
        <v>14.976821984000001</v>
      </c>
      <c r="T550">
        <v>21.313438173000009</v>
      </c>
      <c r="U550">
        <v>0</v>
      </c>
      <c r="V550">
        <v>20798.349903471</v>
      </c>
      <c r="W550">
        <v>0</v>
      </c>
      <c r="Y550" t="str">
        <f>$A550 &amp; Keys!$C$8 &amp; $B550</f>
        <v>West Virginia|electricity SO2</v>
      </c>
      <c r="Z550" s="8">
        <f>IFERROR(INDEX($U550:$W550, MATCH(INDEX(Runs!$D:$D, MATCH($B550, Runs!$A:$A, 0)), $U$1:$W$1, 0)), 0)</f>
        <v>20798.349903471</v>
      </c>
      <c r="AA550" s="8">
        <f t="shared" si="32"/>
        <v>1.3778434540721667E-4</v>
      </c>
      <c r="AB550" s="8">
        <f>IFERROR(VLOOKUP(INDEX(Runs!$F:$F, MATCH($B550, Runs!$A:$A, 0)), US_national_yearly!$D:$AM, MATCH(Keys!$C$7, US_national_yearly!$D$1:$AM$1, 0), FALSE), 0)</f>
        <v>5.7032329662362116E-3</v>
      </c>
      <c r="AC550" s="8">
        <f t="shared" si="33"/>
        <v>2.4158989510496182E-2</v>
      </c>
      <c r="AD550">
        <f>IF($Z550&lt;Keys!$C$3, 1, 0)</f>
        <v>0</v>
      </c>
      <c r="AE550">
        <f>IF($AC550&gt;Keys!$C$4, 1, 0)</f>
        <v>0</v>
      </c>
      <c r="AF550">
        <f>IF($AC550&lt;Keys!$C$5, 1, 0)</f>
        <v>0</v>
      </c>
      <c r="AG550">
        <f t="shared" si="34"/>
        <v>0</v>
      </c>
      <c r="AH550" t="str">
        <f>IFERROR(INDEX(Runs!$E:$E, MATCH($B550, Runs!$A:$A, 0)), $B550)</f>
        <v>Industry SO2</v>
      </c>
      <c r="AI550" t="str">
        <f t="shared" si="35"/>
        <v>electricity SO2</v>
      </c>
      <c r="AJ550" t="str">
        <f>IF($AG550=1, IF($AD550=1, Keys!$C$9, "") &amp; IF($AE550=1, Keys!$C$10, "") &amp; IF($AF550=1, Keys!$C$11, ""), "")</f>
        <v/>
      </c>
      <c r="AK550">
        <f>IF($AG550=1, IFERROR(INDEX($AG$2:$AG$577, MATCH($A550 &amp; Keys!$C$8 &amp; $AH550, $Y$2:$Y$577, 0)), 1), 0)</f>
        <v>0</v>
      </c>
    </row>
    <row r="551" spans="1:37" x14ac:dyDescent="0.25">
      <c r="A551" t="s">
        <v>220</v>
      </c>
      <c r="B551" t="s">
        <v>239</v>
      </c>
      <c r="C551">
        <v>55</v>
      </c>
      <c r="D551">
        <v>9.2082840639999972</v>
      </c>
      <c r="E551">
        <v>1.6131821099999999E-2</v>
      </c>
      <c r="F551">
        <v>16.344421787000002</v>
      </c>
      <c r="G551">
        <v>22.009939178</v>
      </c>
      <c r="H551">
        <v>33.628157387999998</v>
      </c>
      <c r="I551">
        <v>0.83904182400000016</v>
      </c>
      <c r="J551">
        <v>3.1146830650000008</v>
      </c>
      <c r="K551">
        <v>2116.093031071</v>
      </c>
      <c r="L551">
        <v>354.16476844699997</v>
      </c>
      <c r="M551">
        <v>0.72365252399999991</v>
      </c>
      <c r="N551">
        <v>71.982518352999989</v>
      </c>
      <c r="O551">
        <v>1.6335050120000001</v>
      </c>
      <c r="P551">
        <v>3.0728318399999999E-2</v>
      </c>
      <c r="Q551">
        <v>0.31855889700000012</v>
      </c>
      <c r="R551">
        <v>3.815559984000001</v>
      </c>
      <c r="S551">
        <v>48.521608118999978</v>
      </c>
      <c r="T551">
        <v>69.052578829999987</v>
      </c>
      <c r="U551">
        <v>0</v>
      </c>
      <c r="V551">
        <v>0</v>
      </c>
      <c r="W551">
        <v>23260.246331539998</v>
      </c>
      <c r="Y551" t="str">
        <f>$A551 &amp; Keys!$C$8 &amp; $B551</f>
        <v>West Virginia|transportation NO2</v>
      </c>
      <c r="Z551" s="8">
        <f>IFERROR(INDEX($U551:$W551, MATCH(INDEX(Runs!$D:$D, MATCH($B551, Runs!$A:$A, 0)), $U$1:$W$1, 0)), 0)</f>
        <v>23260.246331539998</v>
      </c>
      <c r="AA551" s="8">
        <f t="shared" si="32"/>
        <v>3.958807629441963E-4</v>
      </c>
      <c r="AB551" s="8">
        <f>IFERROR(VLOOKUP(INDEX(Runs!$F:$F, MATCH($B551, Runs!$A:$A, 0)), US_national_yearly!$D:$AM, MATCH(Keys!$C$7, US_national_yearly!$D$1:$AM$1, 0), FALSE), 0)</f>
        <v>5.7148835886332216E-3</v>
      </c>
      <c r="AC551" s="8">
        <f t="shared" si="33"/>
        <v>6.9271885735624511E-2</v>
      </c>
      <c r="AD551">
        <f>IF($Z551&lt;Keys!$C$3, 1, 0)</f>
        <v>0</v>
      </c>
      <c r="AE551">
        <f>IF($AC551&gt;Keys!$C$4, 1, 0)</f>
        <v>0</v>
      </c>
      <c r="AF551">
        <f>IF($AC551&lt;Keys!$C$5, 1, 0)</f>
        <v>0</v>
      </c>
      <c r="AG551">
        <f t="shared" si="34"/>
        <v>0</v>
      </c>
      <c r="AH551" t="str">
        <f>IFERROR(INDEX(Runs!$E:$E, MATCH($B551, Runs!$A:$A, 0)), $B551)</f>
        <v>Industry NO2</v>
      </c>
      <c r="AI551" t="str">
        <f t="shared" si="35"/>
        <v>transportation NO2</v>
      </c>
      <c r="AJ551" t="str">
        <f>IF($AG551=1, IF($AD551=1, Keys!$C$9, "") &amp; IF($AE551=1, Keys!$C$10, "") &amp; IF($AF551=1, Keys!$C$11, ""), "")</f>
        <v/>
      </c>
      <c r="AK551">
        <f>IF($AG551=1, IFERROR(INDEX($AG$2:$AG$577, MATCH($A551 &amp; Keys!$C$8 &amp; $AH551, $Y$2:$Y$577, 0)), 1), 0)</f>
        <v>0</v>
      </c>
    </row>
    <row r="552" spans="1:37" x14ac:dyDescent="0.25">
      <c r="A552" t="s">
        <v>220</v>
      </c>
      <c r="B552" t="s">
        <v>234</v>
      </c>
      <c r="C552">
        <v>55</v>
      </c>
      <c r="D552">
        <v>5.1368617330000008</v>
      </c>
      <c r="E552">
        <v>9.1511093000000016E-3</v>
      </c>
      <c r="F552">
        <v>9.3041473680000024</v>
      </c>
      <c r="G552">
        <v>12.529326040000001</v>
      </c>
      <c r="H552">
        <v>19.14289531</v>
      </c>
      <c r="I552">
        <v>0.47749952620000002</v>
      </c>
      <c r="J552">
        <v>1.7809154169999999</v>
      </c>
      <c r="K552">
        <v>1209.416625868</v>
      </c>
      <c r="L552">
        <v>202.56440009100001</v>
      </c>
      <c r="M552">
        <v>0.41451338999999998</v>
      </c>
      <c r="N552">
        <v>40.976368718000003</v>
      </c>
      <c r="O552">
        <v>0.92606338799999988</v>
      </c>
      <c r="P552">
        <v>1.73158055E-2</v>
      </c>
      <c r="Q552">
        <v>0.18202600599999999</v>
      </c>
      <c r="R552">
        <v>2.161478253999999</v>
      </c>
      <c r="S552">
        <v>27.48436456000001</v>
      </c>
      <c r="T552">
        <v>39.105114999000008</v>
      </c>
      <c r="U552">
        <v>504.05576342900002</v>
      </c>
      <c r="V552">
        <v>0</v>
      </c>
      <c r="W552">
        <v>0</v>
      </c>
      <c r="Y552" t="str">
        <f>$A552 &amp; Keys!$C$8 &amp; $B552</f>
        <v>West Virginia|transportation PM25</v>
      </c>
      <c r="Z552" s="8">
        <f>IFERROR(INDEX($U552:$W552, MATCH(INDEX(Runs!$D:$D, MATCH($B552, Runs!$A:$A, 0)), $U$1:$W$1, 0)), 0)</f>
        <v>504.05576342900002</v>
      </c>
      <c r="AA552" s="8">
        <f t="shared" si="32"/>
        <v>1.0191058421899317E-2</v>
      </c>
      <c r="AB552" s="8">
        <f>IFERROR(VLOOKUP(INDEX(Runs!$F:$F, MATCH($B552, Runs!$A:$A, 0)), US_national_yearly!$D:$AM, MATCH(Keys!$C$7, US_national_yearly!$D$1:$AM$1, 0), FALSE), 0)</f>
        <v>2.8248683697579859E-2</v>
      </c>
      <c r="AC552" s="8">
        <f t="shared" si="33"/>
        <v>0.36076224049945421</v>
      </c>
      <c r="AD552">
        <f>IF($Z552&lt;Keys!$C$3, 1, 0)</f>
        <v>0</v>
      </c>
      <c r="AE552">
        <f>IF($AC552&gt;Keys!$C$4, 1, 0)</f>
        <v>0</v>
      </c>
      <c r="AF552">
        <f>IF($AC552&lt;Keys!$C$5, 1, 0)</f>
        <v>0</v>
      </c>
      <c r="AG552">
        <f t="shared" si="34"/>
        <v>0</v>
      </c>
      <c r="AH552" t="str">
        <f>IFERROR(INDEX(Runs!$E:$E, MATCH($B552, Runs!$A:$A, 0)), $B552)</f>
        <v>Industry PM25</v>
      </c>
      <c r="AI552" t="str">
        <f t="shared" si="35"/>
        <v>transportation PM25</v>
      </c>
      <c r="AJ552" t="str">
        <f>IF($AG552=1, IF($AD552=1, Keys!$C$9, "") &amp; IF($AE552=1, Keys!$C$10, "") &amp; IF($AF552=1, Keys!$C$11, ""), "")</f>
        <v/>
      </c>
      <c r="AK552">
        <f>IF($AG552=1, IFERROR(INDEX($AG$2:$AG$577, MATCH($A552 &amp; Keys!$C$8 &amp; $AH552, $Y$2:$Y$577, 0)), 1), 0)</f>
        <v>0</v>
      </c>
    </row>
    <row r="553" spans="1:37" x14ac:dyDescent="0.25">
      <c r="A553" t="s">
        <v>220</v>
      </c>
      <c r="B553" t="s">
        <v>243</v>
      </c>
      <c r="C553">
        <v>55</v>
      </c>
      <c r="D553">
        <v>0.119601506</v>
      </c>
      <c r="E553">
        <v>2.1047154499999991E-4</v>
      </c>
      <c r="F553">
        <v>0.21567056700000001</v>
      </c>
      <c r="G553">
        <v>0.29043204699999992</v>
      </c>
      <c r="H553">
        <v>0.44372972900000007</v>
      </c>
      <c r="I553">
        <v>1.127898718E-2</v>
      </c>
      <c r="J553">
        <v>4.0533518499999997E-2</v>
      </c>
      <c r="K553">
        <v>27.952608090999998</v>
      </c>
      <c r="L553">
        <v>4.6813417010000009</v>
      </c>
      <c r="M553">
        <v>9.7153176600000002E-3</v>
      </c>
      <c r="N553">
        <v>0.94983234299999997</v>
      </c>
      <c r="O553">
        <v>2.1389190700000001E-2</v>
      </c>
      <c r="P553">
        <v>3.9965704400000008E-4</v>
      </c>
      <c r="Q553">
        <v>4.3232229700000012E-3</v>
      </c>
      <c r="R553">
        <v>5.0281697199999989E-2</v>
      </c>
      <c r="S553">
        <v>0.63930063999999986</v>
      </c>
      <c r="T553">
        <v>0.90939122299999964</v>
      </c>
      <c r="U553">
        <v>0</v>
      </c>
      <c r="V553">
        <v>74.479735515999977</v>
      </c>
      <c r="W553">
        <v>0</v>
      </c>
      <c r="Y553" t="str">
        <f>$A553 &amp; Keys!$C$8 &amp; $B553</f>
        <v>West Virginia|transportation SO2</v>
      </c>
      <c r="Z553" s="8">
        <f>IFERROR(INDEX($U553:$W553, MATCH(INDEX(Runs!$D:$D, MATCH($B553, Runs!$A:$A, 0)), $U$1:$W$1, 0)), 0)</f>
        <v>74.479735515999977</v>
      </c>
      <c r="AA553" s="8">
        <f t="shared" si="32"/>
        <v>1.6058261374237402E-3</v>
      </c>
      <c r="AB553" s="8">
        <f>IFERROR(VLOOKUP(INDEX(Runs!$F:$F, MATCH($B553, Runs!$A:$A, 0)), US_national_yearly!$D:$AM, MATCH(Keys!$C$7, US_national_yearly!$D$1:$AM$1, 0), FALSE), 0)</f>
        <v>5.1800714166247604E-3</v>
      </c>
      <c r="AC553" s="8">
        <f t="shared" si="33"/>
        <v>0.31000077185616626</v>
      </c>
      <c r="AD553">
        <f>IF($Z553&lt;Keys!$C$3, 1, 0)</f>
        <v>0</v>
      </c>
      <c r="AE553">
        <f>IF($AC553&gt;Keys!$C$4, 1, 0)</f>
        <v>0</v>
      </c>
      <c r="AF553">
        <f>IF($AC553&lt;Keys!$C$5, 1, 0)</f>
        <v>0</v>
      </c>
      <c r="AG553">
        <f t="shared" si="34"/>
        <v>0</v>
      </c>
      <c r="AH553" t="str">
        <f>IFERROR(INDEX(Runs!$E:$E, MATCH($B553, Runs!$A:$A, 0)), $B553)</f>
        <v>Industry SO2</v>
      </c>
      <c r="AI553" t="str">
        <f t="shared" si="35"/>
        <v>transportation SO2</v>
      </c>
      <c r="AJ553" t="str">
        <f>IF($AG553=1, IF($AD553=1, Keys!$C$9, "") &amp; IF($AE553=1, Keys!$C$10, "") &amp; IF($AF553=1, Keys!$C$11, ""), "")</f>
        <v/>
      </c>
      <c r="AK553">
        <f>IF($AG553=1, IFERROR(INDEX($AG$2:$AG$577, MATCH($A553 &amp; Keys!$C$8 &amp; $AH553, $Y$2:$Y$577, 0)), 1), 0)</f>
        <v>0</v>
      </c>
    </row>
    <row r="554" spans="1:37" x14ac:dyDescent="0.25">
      <c r="A554" t="s">
        <v>223</v>
      </c>
      <c r="B554" t="s">
        <v>242</v>
      </c>
      <c r="C554">
        <v>72</v>
      </c>
      <c r="D554">
        <v>14.070464210000001</v>
      </c>
      <c r="E554">
        <v>2.382162911999999E-2</v>
      </c>
      <c r="F554">
        <v>32.720082019999992</v>
      </c>
      <c r="G554">
        <v>44.061860058000008</v>
      </c>
      <c r="H554">
        <v>67.320760085999993</v>
      </c>
      <c r="I554">
        <v>0.753094928</v>
      </c>
      <c r="J554">
        <v>5.0038011030000007</v>
      </c>
      <c r="K554">
        <v>4000.817844819001</v>
      </c>
      <c r="L554">
        <v>673.58874389399989</v>
      </c>
      <c r="M554">
        <v>1.0460789450000001</v>
      </c>
      <c r="N554">
        <v>144.10270216399999</v>
      </c>
      <c r="O554">
        <v>2.383173563000001</v>
      </c>
      <c r="P554">
        <v>5.4010810749999992E-2</v>
      </c>
      <c r="Q554">
        <v>0.1595653809</v>
      </c>
      <c r="R554">
        <v>7.6869112340000001</v>
      </c>
      <c r="S554">
        <v>97.706494593000002</v>
      </c>
      <c r="T554">
        <v>138.94290367799999</v>
      </c>
      <c r="U554">
        <v>0</v>
      </c>
      <c r="V554">
        <v>0</v>
      </c>
      <c r="W554">
        <v>20596.62586298</v>
      </c>
      <c r="Y554" t="str">
        <f>$A554 &amp; Keys!$C$8 &amp; $B554</f>
        <v>Wisconsin|Industry NO2</v>
      </c>
      <c r="Z554" s="8">
        <f>IFERROR(INDEX($U554:$W554, MATCH(INDEX(Runs!$D:$D, MATCH($B554, Runs!$A:$A, 0)), $U$1:$W$1, 0)), 0)</f>
        <v>20596.62586298</v>
      </c>
      <c r="AA554" s="8">
        <f t="shared" si="32"/>
        <v>6.8314413747205057E-4</v>
      </c>
      <c r="AB554" s="8">
        <f>IFERROR(VLOOKUP(INDEX(Runs!$F:$F, MATCH($B554, Runs!$A:$A, 0)), US_national_yearly!$D:$AM, MATCH(Keys!$C$7, US_national_yearly!$D$1:$AM$1, 0), FALSE), 0)</f>
        <v>5.8012217057786938E-3</v>
      </c>
      <c r="AC554" s="8">
        <f t="shared" si="33"/>
        <v>0.11775866741854725</v>
      </c>
      <c r="AD554">
        <f>IF($Z554&lt;Keys!$C$3, 1, 0)</f>
        <v>0</v>
      </c>
      <c r="AE554">
        <f>IF($AC554&gt;Keys!$C$4, 1, 0)</f>
        <v>0</v>
      </c>
      <c r="AF554">
        <f>IF($AC554&lt;Keys!$C$5, 1, 0)</f>
        <v>0</v>
      </c>
      <c r="AG554">
        <f t="shared" si="34"/>
        <v>0</v>
      </c>
      <c r="AH554" t="str">
        <f>IFERROR(INDEX(Runs!$E:$E, MATCH($B554, Runs!$A:$A, 0)), $B554)</f>
        <v>Industry NO2</v>
      </c>
      <c r="AI554" t="str">
        <f t="shared" si="35"/>
        <v>Industry NO2</v>
      </c>
      <c r="AJ554" t="str">
        <f>IF($AG554=1, IF($AD554=1, Keys!$C$9, "") &amp; IF($AE554=1, Keys!$C$10, "") &amp; IF($AF554=1, Keys!$C$11, ""), "")</f>
        <v/>
      </c>
      <c r="AK554">
        <f>IF($AG554=1, IFERROR(INDEX($AG$2:$AG$577, MATCH($A554 &amp; Keys!$C$8 &amp; $AH554, $Y$2:$Y$577, 0)), 1), 0)</f>
        <v>0</v>
      </c>
    </row>
    <row r="555" spans="1:37" x14ac:dyDescent="0.25">
      <c r="A555" t="s">
        <v>223</v>
      </c>
      <c r="B555" t="s">
        <v>238</v>
      </c>
      <c r="C555">
        <v>72</v>
      </c>
      <c r="D555">
        <v>138.82206674999989</v>
      </c>
      <c r="E555">
        <v>0.2473669812</v>
      </c>
      <c r="F555">
        <v>333.46642353200002</v>
      </c>
      <c r="G555">
        <v>449.03042205499992</v>
      </c>
      <c r="H555">
        <v>686.15109542099992</v>
      </c>
      <c r="I555">
        <v>7.9094020610000006</v>
      </c>
      <c r="J555">
        <v>52.815913289999997</v>
      </c>
      <c r="K555">
        <v>40946.984210593997</v>
      </c>
      <c r="L555">
        <v>6919.502613957</v>
      </c>
      <c r="M555">
        <v>10.906894479</v>
      </c>
      <c r="N555">
        <v>1468.6479410080001</v>
      </c>
      <c r="O555">
        <v>21.760660767000001</v>
      </c>
      <c r="P555">
        <v>0.53411340130000007</v>
      </c>
      <c r="Q555">
        <v>1.5597896040000001</v>
      </c>
      <c r="R555">
        <v>78.102296232000015</v>
      </c>
      <c r="S555">
        <v>993.26924737800005</v>
      </c>
      <c r="T555">
        <v>1414.8792738730001</v>
      </c>
      <c r="U555">
        <v>8418.3201162600017</v>
      </c>
      <c r="V555">
        <v>0</v>
      </c>
      <c r="W555">
        <v>0</v>
      </c>
      <c r="Y555" t="str">
        <f>$A555 &amp; Keys!$C$8 &amp; $B555</f>
        <v>Wisconsin|Industry PM25</v>
      </c>
      <c r="Z555" s="8">
        <f>IFERROR(INDEX($U555:$W555, MATCH(INDEX(Runs!$D:$D, MATCH($B555, Runs!$A:$A, 0)), $U$1:$W$1, 0)), 0)</f>
        <v>8418.3201162600017</v>
      </c>
      <c r="AA555" s="8">
        <f t="shared" si="32"/>
        <v>1.6490471356852394E-2</v>
      </c>
      <c r="AB555" s="8">
        <f>IFERROR(VLOOKUP(INDEX(Runs!$F:$F, MATCH($B555, Runs!$A:$A, 0)), US_national_yearly!$D:$AM, MATCH(Keys!$C$7, US_national_yearly!$D$1:$AM$1, 0), FALSE), 0)</f>
        <v>2.6833191881203179E-2</v>
      </c>
      <c r="AC555" s="8">
        <f t="shared" si="33"/>
        <v>0.61455496721596037</v>
      </c>
      <c r="AD555">
        <f>IF($Z555&lt;Keys!$C$3, 1, 0)</f>
        <v>0</v>
      </c>
      <c r="AE555">
        <f>IF($AC555&gt;Keys!$C$4, 1, 0)</f>
        <v>0</v>
      </c>
      <c r="AF555">
        <f>IF($AC555&lt;Keys!$C$5, 1, 0)</f>
        <v>0</v>
      </c>
      <c r="AG555">
        <f t="shared" si="34"/>
        <v>0</v>
      </c>
      <c r="AH555" t="str">
        <f>IFERROR(INDEX(Runs!$E:$E, MATCH($B555, Runs!$A:$A, 0)), $B555)</f>
        <v>Industry PM25</v>
      </c>
      <c r="AI555" t="str">
        <f t="shared" si="35"/>
        <v>Industry PM25</v>
      </c>
      <c r="AJ555" t="str">
        <f>IF($AG555=1, IF($AD555=1, Keys!$C$9, "") &amp; IF($AE555=1, Keys!$C$10, "") &amp; IF($AF555=1, Keys!$C$11, ""), "")</f>
        <v/>
      </c>
      <c r="AK555">
        <f>IF($AG555=1, IFERROR(INDEX($AG$2:$AG$577, MATCH($A555 &amp; Keys!$C$8 &amp; $AH555, $Y$2:$Y$577, 0)), 1), 0)</f>
        <v>0</v>
      </c>
    </row>
    <row r="556" spans="1:37" x14ac:dyDescent="0.25">
      <c r="A556" t="s">
        <v>223</v>
      </c>
      <c r="B556" t="s">
        <v>246</v>
      </c>
      <c r="C556">
        <v>72</v>
      </c>
      <c r="D556">
        <v>9.4533949270000015</v>
      </c>
      <c r="E556">
        <v>1.658773471E-2</v>
      </c>
      <c r="F556">
        <v>22.25245682900001</v>
      </c>
      <c r="G556">
        <v>29.966073776000009</v>
      </c>
      <c r="H556">
        <v>45.783397070000007</v>
      </c>
      <c r="I556">
        <v>0.53652613300000018</v>
      </c>
      <c r="J556">
        <v>3.5117601170000001</v>
      </c>
      <c r="K556">
        <v>2732.3206050919989</v>
      </c>
      <c r="L556">
        <v>460.72967507099997</v>
      </c>
      <c r="M556">
        <v>0.73971375699999986</v>
      </c>
      <c r="N556">
        <v>98.001927675000019</v>
      </c>
      <c r="O556">
        <v>1.4718318690000001</v>
      </c>
      <c r="P556">
        <v>3.6495545700000007E-2</v>
      </c>
      <c r="Q556">
        <v>0.1063806129</v>
      </c>
      <c r="R556">
        <v>5.2119211729999986</v>
      </c>
      <c r="S556">
        <v>66.233293091999997</v>
      </c>
      <c r="T556">
        <v>94.142206861999981</v>
      </c>
      <c r="U556">
        <v>0</v>
      </c>
      <c r="V556">
        <v>9367.9640593330005</v>
      </c>
      <c r="W556">
        <v>0</v>
      </c>
      <c r="Y556" t="str">
        <f>$A556 &amp; Keys!$C$8 &amp; $B556</f>
        <v>Wisconsin|Industry SO2</v>
      </c>
      <c r="Z556" s="8">
        <f>IFERROR(INDEX($U556:$W556, MATCH(INDEX(Runs!$D:$D, MATCH($B556, Runs!$A:$A, 0)), $U$1:$W$1, 0)), 0)</f>
        <v>9367.9640593330005</v>
      </c>
      <c r="AA556" s="8">
        <f t="shared" si="32"/>
        <v>1.0091194700498332E-3</v>
      </c>
      <c r="AB556" s="8">
        <f>IFERROR(VLOOKUP(INDEX(Runs!$F:$F, MATCH($B556, Runs!$A:$A, 0)), US_national_yearly!$D:$AM, MATCH(Keys!$C$7, US_national_yearly!$D$1:$AM$1, 0), FALSE), 0)</f>
        <v>5.3000351638639942E-3</v>
      </c>
      <c r="AC556" s="8">
        <f t="shared" si="33"/>
        <v>0.1903986367732198</v>
      </c>
      <c r="AD556">
        <f>IF($Z556&lt;Keys!$C$3, 1, 0)</f>
        <v>0</v>
      </c>
      <c r="AE556">
        <f>IF($AC556&gt;Keys!$C$4, 1, 0)</f>
        <v>0</v>
      </c>
      <c r="AF556">
        <f>IF($AC556&lt;Keys!$C$5, 1, 0)</f>
        <v>0</v>
      </c>
      <c r="AG556">
        <f t="shared" si="34"/>
        <v>0</v>
      </c>
      <c r="AH556" t="str">
        <f>IFERROR(INDEX(Runs!$E:$E, MATCH($B556, Runs!$A:$A, 0)), $B556)</f>
        <v>Industry SO2</v>
      </c>
      <c r="AI556" t="str">
        <f t="shared" si="35"/>
        <v>Industry SO2</v>
      </c>
      <c r="AJ556" t="str">
        <f>IF($AG556=1, IF($AD556=1, Keys!$C$9, "") &amp; IF($AE556=1, Keys!$C$10, "") &amp; IF($AF556=1, Keys!$C$11, ""), "")</f>
        <v/>
      </c>
      <c r="AK556">
        <f>IF($AG556=1, IFERROR(INDEX($AG$2:$AG$577, MATCH($A556 &amp; Keys!$C$8 &amp; $AH556, $Y$2:$Y$577, 0)), 1), 0)</f>
        <v>0</v>
      </c>
    </row>
    <row r="557" spans="1:37" x14ac:dyDescent="0.25">
      <c r="A557" t="s">
        <v>223</v>
      </c>
      <c r="B557" t="s">
        <v>253</v>
      </c>
      <c r="C557">
        <v>72</v>
      </c>
      <c r="D557">
        <v>10.913538696</v>
      </c>
      <c r="E557">
        <v>2.1052800218999999E-2</v>
      </c>
      <c r="F557">
        <v>28.058012774999991</v>
      </c>
      <c r="G557">
        <v>37.783977347999993</v>
      </c>
      <c r="H557">
        <v>57.72825647099998</v>
      </c>
      <c r="I557">
        <v>0.62563782099999998</v>
      </c>
      <c r="J557">
        <v>4.3224556589999992</v>
      </c>
      <c r="K557">
        <v>3423.8691757229999</v>
      </c>
      <c r="L557">
        <v>580.21318481899993</v>
      </c>
      <c r="M557">
        <v>0.89495033119999978</v>
      </c>
      <c r="N557">
        <v>123.570246594</v>
      </c>
      <c r="O557">
        <v>1.8531670090000001</v>
      </c>
      <c r="P557">
        <v>4.4442716350000022E-2</v>
      </c>
      <c r="Q557">
        <v>0.12670705589999989</v>
      </c>
      <c r="R557">
        <v>6.6090571770000004</v>
      </c>
      <c r="S557">
        <v>83.981918050999965</v>
      </c>
      <c r="T557">
        <v>119.359166251</v>
      </c>
      <c r="U557">
        <v>0</v>
      </c>
      <c r="V557">
        <v>0</v>
      </c>
      <c r="W557">
        <v>14489.684233078</v>
      </c>
      <c r="Y557" t="str">
        <f>$A557 &amp; Keys!$C$8 &amp; $B557</f>
        <v>Wisconsin|buildings NO2</v>
      </c>
      <c r="Z557" s="8">
        <f>IFERROR(INDEX($U557:$W557, MATCH(INDEX(Runs!$D:$D, MATCH($B557, Runs!$A:$A, 0)), $U$1:$W$1, 0)), 0)</f>
        <v>14489.684233078</v>
      </c>
      <c r="AA557" s="8">
        <f t="shared" si="32"/>
        <v>7.5319368734660616E-4</v>
      </c>
      <c r="AB557" s="8">
        <f>IFERROR(VLOOKUP(INDEX(Runs!$F:$F, MATCH($B557, Runs!$A:$A, 0)), US_national_yearly!$D:$AM, MATCH(Keys!$C$7, US_national_yearly!$D$1:$AM$1, 0), FALSE), 0)</f>
        <v>5.6784740124662739E-3</v>
      </c>
      <c r="AC557" s="8">
        <f t="shared" si="33"/>
        <v>0.13264015749531963</v>
      </c>
      <c r="AD557">
        <f>IF($Z557&lt;Keys!$C$3, 1, 0)</f>
        <v>0</v>
      </c>
      <c r="AE557">
        <f>IF($AC557&gt;Keys!$C$4, 1, 0)</f>
        <v>0</v>
      </c>
      <c r="AF557">
        <f>IF($AC557&lt;Keys!$C$5, 1, 0)</f>
        <v>0</v>
      </c>
      <c r="AG557">
        <f t="shared" si="34"/>
        <v>0</v>
      </c>
      <c r="AH557" t="str">
        <f>IFERROR(INDEX(Runs!$E:$E, MATCH($B557, Runs!$A:$A, 0)), $B557)</f>
        <v>Industry NO2</v>
      </c>
      <c r="AI557" t="str">
        <f t="shared" si="35"/>
        <v>buildings NO2</v>
      </c>
      <c r="AJ557" t="str">
        <f>IF($AG557=1, IF($AD557=1, Keys!$C$9, "") &amp; IF($AE557=1, Keys!$C$10, "") &amp; IF($AF557=1, Keys!$C$11, ""), "")</f>
        <v/>
      </c>
      <c r="AK557">
        <f>IF($AG557=1, IFERROR(INDEX($AG$2:$AG$577, MATCH($A557 &amp; Keys!$C$8 &amp; $AH557, $Y$2:$Y$577, 0)), 1), 0)</f>
        <v>0</v>
      </c>
    </row>
    <row r="558" spans="1:37" x14ac:dyDescent="0.25">
      <c r="A558" t="s">
        <v>223</v>
      </c>
      <c r="B558" t="s">
        <v>251</v>
      </c>
      <c r="C558">
        <v>72</v>
      </c>
      <c r="D558">
        <v>2.2590997050000001</v>
      </c>
      <c r="E558">
        <v>3.9054110665000009E-3</v>
      </c>
      <c r="F558">
        <v>5.3261952679999993</v>
      </c>
      <c r="G558">
        <v>7.1724940000000004</v>
      </c>
      <c r="H558">
        <v>10.958358064</v>
      </c>
      <c r="I558">
        <v>0.12964204479999999</v>
      </c>
      <c r="J558">
        <v>0.87785230279999971</v>
      </c>
      <c r="K558">
        <v>653.28425031400002</v>
      </c>
      <c r="L558">
        <v>110.317103563</v>
      </c>
      <c r="M558">
        <v>0.17519166649000001</v>
      </c>
      <c r="N558">
        <v>23.457047331999998</v>
      </c>
      <c r="O558">
        <v>0.33326834129999999</v>
      </c>
      <c r="P558">
        <v>8.3785711349999986E-3</v>
      </c>
      <c r="Q558">
        <v>2.4379124499999998E-2</v>
      </c>
      <c r="R558">
        <v>1.2532776687</v>
      </c>
      <c r="S558">
        <v>15.928350307000001</v>
      </c>
      <c r="T558">
        <v>22.643148755999999</v>
      </c>
      <c r="U558">
        <v>129.30050391699999</v>
      </c>
      <c r="V558">
        <v>0</v>
      </c>
      <c r="W558">
        <v>0</v>
      </c>
      <c r="Y558" t="str">
        <f>$A558 &amp; Keys!$C$8 &amp; $B558</f>
        <v>Wisconsin|buildings PM25</v>
      </c>
      <c r="Z558" s="8">
        <f>IFERROR(INDEX($U558:$W558, MATCH(INDEX(Runs!$D:$D, MATCH($B558, Runs!$A:$A, 0)), $U$1:$W$1, 0)), 0)</f>
        <v>129.30050391699999</v>
      </c>
      <c r="AA558" s="8">
        <f t="shared" si="32"/>
        <v>1.7471700701569975E-2</v>
      </c>
      <c r="AB558" s="8">
        <f>IFERROR(VLOOKUP(INDEX(Runs!$F:$F, MATCH($B558, Runs!$A:$A, 0)), US_national_yearly!$D:$AM, MATCH(Keys!$C$7, US_national_yearly!$D$1:$AM$1, 0), FALSE), 0)</f>
        <v>2.7627705191843259E-2</v>
      </c>
      <c r="AC558" s="8">
        <f t="shared" si="33"/>
        <v>0.63239782603182981</v>
      </c>
      <c r="AD558">
        <f>IF($Z558&lt;Keys!$C$3, 1, 0)</f>
        <v>0</v>
      </c>
      <c r="AE558">
        <f>IF($AC558&gt;Keys!$C$4, 1, 0)</f>
        <v>0</v>
      </c>
      <c r="AF558">
        <f>IF($AC558&lt;Keys!$C$5, 1, 0)</f>
        <v>0</v>
      </c>
      <c r="AG558">
        <f t="shared" si="34"/>
        <v>0</v>
      </c>
      <c r="AH558" t="str">
        <f>IFERROR(INDEX(Runs!$E:$E, MATCH($B558, Runs!$A:$A, 0)), $B558)</f>
        <v>Industry PM25</v>
      </c>
      <c r="AI558" t="str">
        <f t="shared" si="35"/>
        <v>buildings PM25</v>
      </c>
      <c r="AJ558" t="str">
        <f>IF($AG558=1, IF($AD558=1, Keys!$C$9, "") &amp; IF($AE558=1, Keys!$C$10, "") &amp; IF($AF558=1, Keys!$C$11, ""), "")</f>
        <v/>
      </c>
      <c r="AK558">
        <f>IF($AG558=1, IFERROR(INDEX($AG$2:$AG$577, MATCH($A558 &amp; Keys!$C$8 &amp; $AH558, $Y$2:$Y$577, 0)), 1), 0)</f>
        <v>0</v>
      </c>
    </row>
    <row r="559" spans="1:37" x14ac:dyDescent="0.25">
      <c r="A559" t="s">
        <v>223</v>
      </c>
      <c r="B559" t="s">
        <v>254</v>
      </c>
      <c r="C559">
        <v>72</v>
      </c>
      <c r="D559">
        <v>1.3963287</v>
      </c>
      <c r="E559">
        <v>2.5176562909999989E-3</v>
      </c>
      <c r="F559">
        <v>3.377995995</v>
      </c>
      <c r="G559">
        <v>4.5489647309999999</v>
      </c>
      <c r="H559">
        <v>6.9500366229999999</v>
      </c>
      <c r="I559">
        <v>8.1026885099999987E-2</v>
      </c>
      <c r="J559">
        <v>0.54109650559999978</v>
      </c>
      <c r="K559">
        <v>414.68397596199981</v>
      </c>
      <c r="L559">
        <v>70.069682436000008</v>
      </c>
      <c r="M559">
        <v>0.1124486899</v>
      </c>
      <c r="N559">
        <v>14.876997349</v>
      </c>
      <c r="O559">
        <v>0.21734873290000001</v>
      </c>
      <c r="P559">
        <v>5.4438243779999984E-3</v>
      </c>
      <c r="Q559">
        <v>1.5736176710000001E-2</v>
      </c>
      <c r="R559">
        <v>0.79218798869999985</v>
      </c>
      <c r="S559">
        <v>10.066915498</v>
      </c>
      <c r="T559">
        <v>14.307542228000001</v>
      </c>
      <c r="U559">
        <v>0</v>
      </c>
      <c r="V559">
        <v>568.93949781200013</v>
      </c>
      <c r="W559">
        <v>0</v>
      </c>
      <c r="Y559" t="str">
        <f>$A559 &amp; Keys!$C$8 &amp; $B559</f>
        <v>Wisconsin|buildings SO2</v>
      </c>
      <c r="Z559" s="8">
        <f>IFERROR(INDEX($U559:$W559, MATCH(INDEX(Runs!$D:$D, MATCH($B559, Runs!$A:$A, 0)), $U$1:$W$1, 0)), 0)</f>
        <v>568.93949781200013</v>
      </c>
      <c r="AA559" s="8">
        <f t="shared" si="32"/>
        <v>2.4542657090427596E-3</v>
      </c>
      <c r="AB559" s="8">
        <f>IFERROR(VLOOKUP(INDEX(Runs!$F:$F, MATCH($B559, Runs!$A:$A, 0)), US_national_yearly!$D:$AM, MATCH(Keys!$C$7, US_national_yearly!$D$1:$AM$1, 0), FALSE), 0)</f>
        <v>5.1581943281164694E-3</v>
      </c>
      <c r="AC559" s="8">
        <f t="shared" si="33"/>
        <v>0.47579938888012818</v>
      </c>
      <c r="AD559">
        <f>IF($Z559&lt;Keys!$C$3, 1, 0)</f>
        <v>0</v>
      </c>
      <c r="AE559">
        <f>IF($AC559&gt;Keys!$C$4, 1, 0)</f>
        <v>0</v>
      </c>
      <c r="AF559">
        <f>IF($AC559&lt;Keys!$C$5, 1, 0)</f>
        <v>0</v>
      </c>
      <c r="AG559">
        <f t="shared" si="34"/>
        <v>0</v>
      </c>
      <c r="AH559" t="str">
        <f>IFERROR(INDEX(Runs!$E:$E, MATCH($B559, Runs!$A:$A, 0)), $B559)</f>
        <v>Industry SO2</v>
      </c>
      <c r="AI559" t="str">
        <f t="shared" si="35"/>
        <v>buildings SO2</v>
      </c>
      <c r="AJ559" t="str">
        <f>IF($AG559=1, IF($AD559=1, Keys!$C$9, "") &amp; IF($AE559=1, Keys!$C$10, "") &amp; IF($AF559=1, Keys!$C$11, ""), "")</f>
        <v/>
      </c>
      <c r="AK559">
        <f>IF($AG559=1, IFERROR(INDEX($AG$2:$AG$577, MATCH($A559 &amp; Keys!$C$8 &amp; $AH559, $Y$2:$Y$577, 0)), 1), 0)</f>
        <v>0</v>
      </c>
    </row>
    <row r="560" spans="1:37" x14ac:dyDescent="0.25">
      <c r="A560" t="s">
        <v>223</v>
      </c>
      <c r="B560" t="s">
        <v>249</v>
      </c>
      <c r="C560">
        <v>72</v>
      </c>
      <c r="D560">
        <v>2.3724732980000001</v>
      </c>
      <c r="E560">
        <v>4.2140183609999998E-3</v>
      </c>
      <c r="F560">
        <v>5.6187157070000007</v>
      </c>
      <c r="G560">
        <v>7.5664137450000002</v>
      </c>
      <c r="H560">
        <v>11.560205918999999</v>
      </c>
      <c r="I560">
        <v>0.1402782917</v>
      </c>
      <c r="J560">
        <v>0.9117524749999999</v>
      </c>
      <c r="K560">
        <v>680.71440403099984</v>
      </c>
      <c r="L560">
        <v>114.8460468919999</v>
      </c>
      <c r="M560">
        <v>0.1979895257</v>
      </c>
      <c r="N560">
        <v>24.745335370999999</v>
      </c>
      <c r="O560">
        <v>0.35477948640000001</v>
      </c>
      <c r="P560">
        <v>9.4280070400000002E-3</v>
      </c>
      <c r="Q560">
        <v>2.6278252179999999E-2</v>
      </c>
      <c r="R560">
        <v>1.322327356</v>
      </c>
      <c r="S560">
        <v>16.803376320000002</v>
      </c>
      <c r="T560">
        <v>23.881043806000012</v>
      </c>
      <c r="U560">
        <v>0</v>
      </c>
      <c r="V560">
        <v>0</v>
      </c>
      <c r="W560">
        <v>11837.403453445701</v>
      </c>
      <c r="Y560" t="str">
        <f>$A560 &amp; Keys!$C$8 &amp; $B560</f>
        <v>Wisconsin|electricity NO2</v>
      </c>
      <c r="Z560" s="8">
        <f>IFERROR(INDEX($U560:$W560, MATCH(INDEX(Runs!$D:$D, MATCH($B560, Runs!$A:$A, 0)), $U$1:$W$1, 0)), 0)</f>
        <v>11837.403453445701</v>
      </c>
      <c r="AA560" s="8">
        <f t="shared" si="32"/>
        <v>2.004217654091537E-4</v>
      </c>
      <c r="AB560" s="8">
        <f>IFERROR(VLOOKUP(INDEX(Runs!$F:$F, MATCH($B560, Runs!$A:$A, 0)), US_national_yearly!$D:$AM, MATCH(Keys!$C$7, US_national_yearly!$D$1:$AM$1, 0), FALSE), 0)</f>
        <v>6.1439221592658041E-3</v>
      </c>
      <c r="AC560" s="8">
        <f t="shared" si="33"/>
        <v>3.2621143337060766E-2</v>
      </c>
      <c r="AD560">
        <f>IF($Z560&lt;Keys!$C$3, 1, 0)</f>
        <v>0</v>
      </c>
      <c r="AE560">
        <f>IF($AC560&gt;Keys!$C$4, 1, 0)</f>
        <v>0</v>
      </c>
      <c r="AF560">
        <f>IF($AC560&lt;Keys!$C$5, 1, 0)</f>
        <v>0</v>
      </c>
      <c r="AG560">
        <f t="shared" si="34"/>
        <v>0</v>
      </c>
      <c r="AH560" t="str">
        <f>IFERROR(INDEX(Runs!$E:$E, MATCH($B560, Runs!$A:$A, 0)), $B560)</f>
        <v>Industry NO2</v>
      </c>
      <c r="AI560" t="str">
        <f t="shared" si="35"/>
        <v>electricity NO2</v>
      </c>
      <c r="AJ560" t="str">
        <f>IF($AG560=1, IF($AD560=1, Keys!$C$9, "") &amp; IF($AE560=1, Keys!$C$10, "") &amp; IF($AF560=1, Keys!$C$11, ""), "")</f>
        <v/>
      </c>
      <c r="AK560">
        <f>IF($AG560=1, IFERROR(INDEX($AG$2:$AG$577, MATCH($A560 &amp; Keys!$C$8 &amp; $AH560, $Y$2:$Y$577, 0)), 1), 0)</f>
        <v>0</v>
      </c>
    </row>
    <row r="561" spans="1:37" x14ac:dyDescent="0.25">
      <c r="A561" t="s">
        <v>223</v>
      </c>
      <c r="B561" t="s">
        <v>247</v>
      </c>
      <c r="C561">
        <v>72</v>
      </c>
      <c r="D561">
        <v>5.890978021000004</v>
      </c>
      <c r="E561">
        <v>1.257349611E-2</v>
      </c>
      <c r="F561">
        <v>15.998302308</v>
      </c>
      <c r="G561">
        <v>21.543946423000001</v>
      </c>
      <c r="H561">
        <v>32.915816622999998</v>
      </c>
      <c r="I561">
        <v>0.33545266099999999</v>
      </c>
      <c r="J561">
        <v>2.3976968740000002</v>
      </c>
      <c r="K561">
        <v>1919.2789400649999</v>
      </c>
      <c r="L561">
        <v>325.69654051200013</v>
      </c>
      <c r="M561">
        <v>0.49132654229999989</v>
      </c>
      <c r="N561">
        <v>70.458065354000013</v>
      </c>
      <c r="O561">
        <v>1.0828849521999999</v>
      </c>
      <c r="P561">
        <v>2.5554991483999999E-2</v>
      </c>
      <c r="Q561">
        <v>7.0902055860000007E-2</v>
      </c>
      <c r="R561">
        <v>3.7818238869999998</v>
      </c>
      <c r="S561">
        <v>48.055766532999982</v>
      </c>
      <c r="T561">
        <v>68.297288611999988</v>
      </c>
      <c r="U561">
        <v>675.5715907314999</v>
      </c>
      <c r="V561">
        <v>0</v>
      </c>
      <c r="W561">
        <v>0</v>
      </c>
      <c r="Y561" t="str">
        <f>$A561 &amp; Keys!$C$8 &amp; $B561</f>
        <v>Wisconsin|electricity PM25</v>
      </c>
      <c r="Z561" s="8">
        <f>IFERROR(INDEX($U561:$W561, MATCH(INDEX(Runs!$D:$D, MATCH($B561, Runs!$A:$A, 0)), $U$1:$W$1, 0)), 0)</f>
        <v>675.5715907314999</v>
      </c>
      <c r="AA561" s="8">
        <f t="shared" si="32"/>
        <v>8.7199907483103776E-3</v>
      </c>
      <c r="AB561" s="8">
        <f>IFERROR(VLOOKUP(INDEX(Runs!$F:$F, MATCH($B561, Runs!$A:$A, 0)), US_national_yearly!$D:$AM, MATCH(Keys!$C$7, US_national_yearly!$D$1:$AM$1, 0), FALSE), 0)</f>
        <v>2.4252978284752182E-2</v>
      </c>
      <c r="AC561" s="8">
        <f t="shared" si="33"/>
        <v>0.35954308975704752</v>
      </c>
      <c r="AD561">
        <f>IF($Z561&lt;Keys!$C$3, 1, 0)</f>
        <v>0</v>
      </c>
      <c r="AE561">
        <f>IF($AC561&gt;Keys!$C$4, 1, 0)</f>
        <v>0</v>
      </c>
      <c r="AF561">
        <f>IF($AC561&lt;Keys!$C$5, 1, 0)</f>
        <v>0</v>
      </c>
      <c r="AG561">
        <f t="shared" si="34"/>
        <v>0</v>
      </c>
      <c r="AH561" t="str">
        <f>IFERROR(INDEX(Runs!$E:$E, MATCH($B561, Runs!$A:$A, 0)), $B561)</f>
        <v>Industry PM25</v>
      </c>
      <c r="AI561" t="str">
        <f t="shared" si="35"/>
        <v>electricity PM25</v>
      </c>
      <c r="AJ561" t="str">
        <f>IF($AG561=1, IF($AD561=1, Keys!$C$9, "") &amp; IF($AE561=1, Keys!$C$10, "") &amp; IF($AF561=1, Keys!$C$11, ""), "")</f>
        <v/>
      </c>
      <c r="AK561">
        <f>IF($AG561=1, IFERROR(INDEX($AG$2:$AG$577, MATCH($A561 &amp; Keys!$C$8 &amp; $AH561, $Y$2:$Y$577, 0)), 1), 0)</f>
        <v>0</v>
      </c>
    </row>
    <row r="562" spans="1:37" x14ac:dyDescent="0.25">
      <c r="A562" t="s">
        <v>223</v>
      </c>
      <c r="B562" t="s">
        <v>250</v>
      </c>
      <c r="C562">
        <v>72</v>
      </c>
      <c r="D562">
        <v>3.0426442539999998</v>
      </c>
      <c r="E562">
        <v>5.8883890319999998E-3</v>
      </c>
      <c r="F562">
        <v>7.7689106440000009</v>
      </c>
      <c r="G562">
        <v>10.461959545999999</v>
      </c>
      <c r="H562">
        <v>15.984122306</v>
      </c>
      <c r="I562">
        <v>0.17474443210000001</v>
      </c>
      <c r="J562">
        <v>1.2052820799999999</v>
      </c>
      <c r="K562">
        <v>940.68127916299977</v>
      </c>
      <c r="L562">
        <v>159.271243013</v>
      </c>
      <c r="M562">
        <v>0.25295380690000002</v>
      </c>
      <c r="N562">
        <v>34.214992496000008</v>
      </c>
      <c r="O562">
        <v>0.52078160679999996</v>
      </c>
      <c r="P562">
        <v>1.2694031729999999E-2</v>
      </c>
      <c r="Q562">
        <v>3.5811281120000003E-2</v>
      </c>
      <c r="R562">
        <v>1.832430988</v>
      </c>
      <c r="S562">
        <v>23.284700336</v>
      </c>
      <c r="T562">
        <v>33.090600813000009</v>
      </c>
      <c r="U562">
        <v>0</v>
      </c>
      <c r="V562">
        <v>2897.6503352405002</v>
      </c>
      <c r="W562">
        <v>0</v>
      </c>
      <c r="Y562" t="str">
        <f>$A562 &amp; Keys!$C$8 &amp; $B562</f>
        <v>Wisconsin|electricity SO2</v>
      </c>
      <c r="Z562" s="8">
        <f>IFERROR(INDEX($U562:$W562, MATCH(INDEX(Runs!$D:$D, MATCH($B562, Runs!$A:$A, 0)), $U$1:$W$1, 0)), 0)</f>
        <v>2897.6503352405002</v>
      </c>
      <c r="AA562" s="8">
        <f t="shared" si="32"/>
        <v>1.0500384456316623E-3</v>
      </c>
      <c r="AB562" s="8">
        <f>IFERROR(VLOOKUP(INDEX(Runs!$F:$F, MATCH($B562, Runs!$A:$A, 0)), US_national_yearly!$D:$AM, MATCH(Keys!$C$7, US_national_yearly!$D$1:$AM$1, 0), FALSE), 0)</f>
        <v>5.7032329662362116E-3</v>
      </c>
      <c r="AC562" s="8">
        <f t="shared" si="33"/>
        <v>0.18411284474051989</v>
      </c>
      <c r="AD562">
        <f>IF($Z562&lt;Keys!$C$3, 1, 0)</f>
        <v>0</v>
      </c>
      <c r="AE562">
        <f>IF($AC562&gt;Keys!$C$4, 1, 0)</f>
        <v>0</v>
      </c>
      <c r="AF562">
        <f>IF($AC562&lt;Keys!$C$5, 1, 0)</f>
        <v>0</v>
      </c>
      <c r="AG562">
        <f t="shared" si="34"/>
        <v>0</v>
      </c>
      <c r="AH562" t="str">
        <f>IFERROR(INDEX(Runs!$E:$E, MATCH($B562, Runs!$A:$A, 0)), $B562)</f>
        <v>Industry SO2</v>
      </c>
      <c r="AI562" t="str">
        <f t="shared" si="35"/>
        <v>electricity SO2</v>
      </c>
      <c r="AJ562" t="str">
        <f>IF($AG562=1, IF($AD562=1, Keys!$C$9, "") &amp; IF($AE562=1, Keys!$C$10, "") &amp; IF($AF562=1, Keys!$C$11, ""), "")</f>
        <v/>
      </c>
      <c r="AK562">
        <f>IF($AG562=1, IFERROR(INDEX($AG$2:$AG$577, MATCH($A562 &amp; Keys!$C$8 &amp; $AH562, $Y$2:$Y$577, 0)), 1), 0)</f>
        <v>0</v>
      </c>
    </row>
    <row r="563" spans="1:37" x14ac:dyDescent="0.25">
      <c r="A563" t="s">
        <v>223</v>
      </c>
      <c r="B563" t="s">
        <v>239</v>
      </c>
      <c r="C563">
        <v>72</v>
      </c>
      <c r="D563">
        <v>38.712838292000008</v>
      </c>
      <c r="E563">
        <v>7.0819150179999971E-2</v>
      </c>
      <c r="F563">
        <v>94.014073896000014</v>
      </c>
      <c r="G563">
        <v>126.601531081</v>
      </c>
      <c r="H563">
        <v>193.43303461400001</v>
      </c>
      <c r="I563">
        <v>2.280002284</v>
      </c>
      <c r="J563">
        <v>15.025611658000001</v>
      </c>
      <c r="K563">
        <v>11595.995960742999</v>
      </c>
      <c r="L563">
        <v>1959.547929699</v>
      </c>
      <c r="M563">
        <v>3.1639536499999998</v>
      </c>
      <c r="N563">
        <v>414.04863959099998</v>
      </c>
      <c r="O563">
        <v>6.1013574410000002</v>
      </c>
      <c r="P563">
        <v>0.15058617409999989</v>
      </c>
      <c r="Q563">
        <v>0.44107726139999998</v>
      </c>
      <c r="R563">
        <v>22.022217264999998</v>
      </c>
      <c r="S563">
        <v>279.88655282600001</v>
      </c>
      <c r="T563">
        <v>397.963694546</v>
      </c>
      <c r="U563">
        <v>0</v>
      </c>
      <c r="V563">
        <v>0</v>
      </c>
      <c r="W563">
        <v>64313.400366600021</v>
      </c>
      <c r="Y563" t="str">
        <f>$A563 &amp; Keys!$C$8 &amp; $B563</f>
        <v>Wisconsin|transportation NO2</v>
      </c>
      <c r="Z563" s="8">
        <f>IFERROR(INDEX($U563:$W563, MATCH(INDEX(Runs!$D:$D, MATCH($B563, Runs!$A:$A, 0)), $U$1:$W$1, 0)), 0)</f>
        <v>64313.400366600021</v>
      </c>
      <c r="AA563" s="8">
        <f t="shared" si="32"/>
        <v>6.0194046763704955E-4</v>
      </c>
      <c r="AB563" s="8">
        <f>IFERROR(VLOOKUP(INDEX(Runs!$F:$F, MATCH($B563, Runs!$A:$A, 0)), US_national_yearly!$D:$AM, MATCH(Keys!$C$7, US_national_yearly!$D$1:$AM$1, 0), FALSE), 0)</f>
        <v>5.7148835886332216E-3</v>
      </c>
      <c r="AC563" s="8">
        <f t="shared" si="33"/>
        <v>0.1053285615186101</v>
      </c>
      <c r="AD563">
        <f>IF($Z563&lt;Keys!$C$3, 1, 0)</f>
        <v>0</v>
      </c>
      <c r="AE563">
        <f>IF($AC563&gt;Keys!$C$4, 1, 0)</f>
        <v>0</v>
      </c>
      <c r="AF563">
        <f>IF($AC563&lt;Keys!$C$5, 1, 0)</f>
        <v>0</v>
      </c>
      <c r="AG563">
        <f t="shared" si="34"/>
        <v>0</v>
      </c>
      <c r="AH563" t="str">
        <f>IFERROR(INDEX(Runs!$E:$E, MATCH($B563, Runs!$A:$A, 0)), $B563)</f>
        <v>Industry NO2</v>
      </c>
      <c r="AI563" t="str">
        <f t="shared" si="35"/>
        <v>transportation NO2</v>
      </c>
      <c r="AJ563" t="str">
        <f>IF($AG563=1, IF($AD563=1, Keys!$C$9, "") &amp; IF($AE563=1, Keys!$C$10, "") &amp; IF($AF563=1, Keys!$C$11, ""), "")</f>
        <v/>
      </c>
      <c r="AK563">
        <f>IF($AG563=1, IFERROR(INDEX($AG$2:$AG$577, MATCH($A563 &amp; Keys!$C$8 &amp; $AH563, $Y$2:$Y$577, 0)), 1), 0)</f>
        <v>0</v>
      </c>
    </row>
    <row r="564" spans="1:37" x14ac:dyDescent="0.25">
      <c r="A564" t="s">
        <v>223</v>
      </c>
      <c r="B564" t="s">
        <v>234</v>
      </c>
      <c r="C564">
        <v>72</v>
      </c>
      <c r="D564">
        <v>27.105166105999999</v>
      </c>
      <c r="E564">
        <v>4.9163076580000013E-2</v>
      </c>
      <c r="F564">
        <v>65.691002595000015</v>
      </c>
      <c r="G564">
        <v>88.461413446999998</v>
      </c>
      <c r="H564">
        <v>135.15780521900001</v>
      </c>
      <c r="I564">
        <v>1.5740793870000001</v>
      </c>
      <c r="J564">
        <v>10.490769308000001</v>
      </c>
      <c r="K564">
        <v>8089.7339561930021</v>
      </c>
      <c r="L564">
        <v>1367.127776222</v>
      </c>
      <c r="M564">
        <v>2.172099516999999</v>
      </c>
      <c r="N564">
        <v>289.31022126099998</v>
      </c>
      <c r="O564">
        <v>4.2732484150000003</v>
      </c>
      <c r="P564">
        <v>0.10439191220000001</v>
      </c>
      <c r="Q564">
        <v>0.30586438440000002</v>
      </c>
      <c r="R564">
        <v>15.410331699</v>
      </c>
      <c r="S564">
        <v>195.85300332899999</v>
      </c>
      <c r="T564">
        <v>278.45833161200011</v>
      </c>
      <c r="U564">
        <v>1692.629834542</v>
      </c>
      <c r="V564">
        <v>0</v>
      </c>
      <c r="W564">
        <v>0</v>
      </c>
      <c r="Y564" t="str">
        <f>$A564 &amp; Keys!$C$8 &amp; $B564</f>
        <v>Wisconsin|transportation PM25</v>
      </c>
      <c r="Z564" s="8">
        <f>IFERROR(INDEX($U564:$W564, MATCH(INDEX(Runs!$D:$D, MATCH($B564, Runs!$A:$A, 0)), $U$1:$W$1, 0)), 0)</f>
        <v>1692.629834542</v>
      </c>
      <c r="AA564" s="8">
        <f t="shared" si="32"/>
        <v>1.6013640757628643E-2</v>
      </c>
      <c r="AB564" s="8">
        <f>IFERROR(VLOOKUP(INDEX(Runs!$F:$F, MATCH($B564, Runs!$A:$A, 0)), US_national_yearly!$D:$AM, MATCH(Keys!$C$7, US_national_yearly!$D$1:$AM$1, 0), FALSE), 0)</f>
        <v>2.8248683697579859E-2</v>
      </c>
      <c r="AC564" s="8">
        <f t="shared" si="33"/>
        <v>0.56688095378407222</v>
      </c>
      <c r="AD564">
        <f>IF($Z564&lt;Keys!$C$3, 1, 0)</f>
        <v>0</v>
      </c>
      <c r="AE564">
        <f>IF($AC564&gt;Keys!$C$4, 1, 0)</f>
        <v>0</v>
      </c>
      <c r="AF564">
        <f>IF($AC564&lt;Keys!$C$5, 1, 0)</f>
        <v>0</v>
      </c>
      <c r="AG564">
        <f t="shared" si="34"/>
        <v>0</v>
      </c>
      <c r="AH564" t="str">
        <f>IFERROR(INDEX(Runs!$E:$E, MATCH($B564, Runs!$A:$A, 0)), $B564)</f>
        <v>Industry PM25</v>
      </c>
      <c r="AI564" t="str">
        <f t="shared" si="35"/>
        <v>transportation PM25</v>
      </c>
      <c r="AJ564" t="str">
        <f>IF($AG564=1, IF($AD564=1, Keys!$C$9, "") &amp; IF($AE564=1, Keys!$C$10, "") &amp; IF($AF564=1, Keys!$C$11, ""), "")</f>
        <v/>
      </c>
      <c r="AK564">
        <f>IF($AG564=1, IFERROR(INDEX($AG$2:$AG$577, MATCH($A564 &amp; Keys!$C$8 &amp; $AH564, $Y$2:$Y$577, 0)), 1), 0)</f>
        <v>0</v>
      </c>
    </row>
    <row r="565" spans="1:37" x14ac:dyDescent="0.25">
      <c r="A565" t="s">
        <v>223</v>
      </c>
      <c r="B565" t="s">
        <v>243</v>
      </c>
      <c r="C565">
        <v>72</v>
      </c>
      <c r="D565">
        <v>0.78866042300000017</v>
      </c>
      <c r="E565">
        <v>1.6011466896999999E-3</v>
      </c>
      <c r="F565">
        <v>2.1209903140000002</v>
      </c>
      <c r="G565">
        <v>2.8562233220000008</v>
      </c>
      <c r="H565">
        <v>4.3638177169999999</v>
      </c>
      <c r="I565">
        <v>4.4799566099999993E-2</v>
      </c>
      <c r="J565">
        <v>0.3180318775999999</v>
      </c>
      <c r="K565">
        <v>257.63507510200009</v>
      </c>
      <c r="L565">
        <v>43.743355377999997</v>
      </c>
      <c r="M565">
        <v>6.6129720900000008E-2</v>
      </c>
      <c r="N565">
        <v>9.3410313530000018</v>
      </c>
      <c r="O565">
        <v>0.14309386599999999</v>
      </c>
      <c r="P565">
        <v>3.335352509999999E-3</v>
      </c>
      <c r="Q565">
        <v>9.3988097699999988E-3</v>
      </c>
      <c r="R565">
        <v>0.50072158670000011</v>
      </c>
      <c r="S565">
        <v>6.361734225000002</v>
      </c>
      <c r="T565">
        <v>9.0384608909999962</v>
      </c>
      <c r="U565">
        <v>0</v>
      </c>
      <c r="V565">
        <v>263.18765420000022</v>
      </c>
      <c r="W565">
        <v>0</v>
      </c>
      <c r="Y565" t="str">
        <f>$A565 &amp; Keys!$C$8 &amp; $B565</f>
        <v>Wisconsin|transportation SO2</v>
      </c>
      <c r="Z565" s="8">
        <f>IFERROR(INDEX($U565:$W565, MATCH(INDEX(Runs!$D:$D, MATCH($B565, Runs!$A:$A, 0)), $U$1:$W$1, 0)), 0)</f>
        <v>263.18765420000022</v>
      </c>
      <c r="AA565" s="8">
        <f t="shared" si="32"/>
        <v>2.99657073732146E-3</v>
      </c>
      <c r="AB565" s="8">
        <f>IFERROR(VLOOKUP(INDEX(Runs!$F:$F, MATCH($B565, Runs!$A:$A, 0)), US_national_yearly!$D:$AM, MATCH(Keys!$C$7, US_national_yearly!$D$1:$AM$1, 0), FALSE), 0)</f>
        <v>5.1800714166247604E-3</v>
      </c>
      <c r="AC565" s="8">
        <f t="shared" si="33"/>
        <v>0.57848058382059342</v>
      </c>
      <c r="AD565">
        <f>IF($Z565&lt;Keys!$C$3, 1, 0)</f>
        <v>0</v>
      </c>
      <c r="AE565">
        <f>IF($AC565&gt;Keys!$C$4, 1, 0)</f>
        <v>0</v>
      </c>
      <c r="AF565">
        <f>IF($AC565&lt;Keys!$C$5, 1, 0)</f>
        <v>0</v>
      </c>
      <c r="AG565">
        <f t="shared" si="34"/>
        <v>0</v>
      </c>
      <c r="AH565" t="str">
        <f>IFERROR(INDEX(Runs!$E:$E, MATCH($B565, Runs!$A:$A, 0)), $B565)</f>
        <v>Industry SO2</v>
      </c>
      <c r="AI565" t="str">
        <f t="shared" si="35"/>
        <v>transportation SO2</v>
      </c>
      <c r="AJ565" t="str">
        <f>IF($AG565=1, IF($AD565=1, Keys!$C$9, "") &amp; IF($AE565=1, Keys!$C$10, "") &amp; IF($AF565=1, Keys!$C$11, ""), "")</f>
        <v/>
      </c>
      <c r="AK565">
        <f>IF($AG565=1, IFERROR(INDEX($AG$2:$AG$577, MATCH($A565 &amp; Keys!$C$8 &amp; $AH565, $Y$2:$Y$577, 0)), 1), 0)</f>
        <v>0</v>
      </c>
    </row>
    <row r="566" spans="1:37" x14ac:dyDescent="0.25">
      <c r="A566" t="s">
        <v>226</v>
      </c>
      <c r="B566" t="s">
        <v>242</v>
      </c>
      <c r="C566">
        <v>23</v>
      </c>
      <c r="D566">
        <v>0.99081349899999993</v>
      </c>
      <c r="E566">
        <v>2.56497948E-3</v>
      </c>
      <c r="F566">
        <v>3.0274082949999999</v>
      </c>
      <c r="G566">
        <v>4.076815496</v>
      </c>
      <c r="H566">
        <v>6.2287868039999994</v>
      </c>
      <c r="I566">
        <v>6.5256066000000001E-2</v>
      </c>
      <c r="J566">
        <v>0.314891853</v>
      </c>
      <c r="K566">
        <v>327.27643477900011</v>
      </c>
      <c r="L566">
        <v>55.560589964000002</v>
      </c>
      <c r="M566">
        <v>6.8967930999999996E-2</v>
      </c>
      <c r="N566">
        <v>13.333010594999999</v>
      </c>
      <c r="O566">
        <v>0.20451022399999999</v>
      </c>
      <c r="P566">
        <v>8.6123181000000021E-3</v>
      </c>
      <c r="Q566">
        <v>1.5258531299999999E-2</v>
      </c>
      <c r="R566">
        <v>0.71609889399999993</v>
      </c>
      <c r="S566">
        <v>9.093378104000001</v>
      </c>
      <c r="T566">
        <v>12.90956278</v>
      </c>
      <c r="U566">
        <v>0</v>
      </c>
      <c r="V566">
        <v>0</v>
      </c>
      <c r="W566">
        <v>45230.945723390003</v>
      </c>
      <c r="Y566" t="str">
        <f>$A566 &amp; Keys!$C$8 &amp; $B566</f>
        <v>Wyoming|Industry NO2</v>
      </c>
      <c r="Z566" s="8">
        <f>IFERROR(INDEX($U566:$W566, MATCH(INDEX(Runs!$D:$D, MATCH($B566, Runs!$A:$A, 0)), $U$1:$W$1, 0)), 0)</f>
        <v>45230.945723390003</v>
      </c>
      <c r="AA566" s="8">
        <f t="shared" si="32"/>
        <v>2.1905655147237538E-5</v>
      </c>
      <c r="AB566" s="8">
        <f>IFERROR(VLOOKUP(INDEX(Runs!$F:$F, MATCH($B566, Runs!$A:$A, 0)), US_national_yearly!$D:$AM, MATCH(Keys!$C$7, US_national_yearly!$D$1:$AM$1, 0), FALSE), 0)</f>
        <v>5.8012217057786938E-3</v>
      </c>
      <c r="AC566" s="8">
        <f t="shared" si="33"/>
        <v>3.7760417129752083E-3</v>
      </c>
      <c r="AD566">
        <f>IF($Z566&lt;Keys!$C$3, 1, 0)</f>
        <v>0</v>
      </c>
      <c r="AE566">
        <f>IF($AC566&gt;Keys!$C$4, 1, 0)</f>
        <v>0</v>
      </c>
      <c r="AF566">
        <f>IF($AC566&lt;Keys!$C$5, 1, 0)</f>
        <v>0</v>
      </c>
      <c r="AG566">
        <f t="shared" si="34"/>
        <v>0</v>
      </c>
      <c r="AH566" t="str">
        <f>IFERROR(INDEX(Runs!$E:$E, MATCH($B566, Runs!$A:$A, 0)), $B566)</f>
        <v>Industry NO2</v>
      </c>
      <c r="AI566" t="str">
        <f t="shared" si="35"/>
        <v>Industry NO2</v>
      </c>
      <c r="AJ566" t="str">
        <f>IF($AG566=1, IF($AD566=1, Keys!$C$9, "") &amp; IF($AE566=1, Keys!$C$10, "") &amp; IF($AF566=1, Keys!$C$11, ""), "")</f>
        <v/>
      </c>
      <c r="AK566">
        <f>IF($AG566=1, IFERROR(INDEX($AG$2:$AG$577, MATCH($A566 &amp; Keys!$C$8 &amp; $AH566, $Y$2:$Y$577, 0)), 1), 0)</f>
        <v>0</v>
      </c>
    </row>
    <row r="567" spans="1:37" x14ac:dyDescent="0.25">
      <c r="A567" t="s">
        <v>226</v>
      </c>
      <c r="B567" t="s">
        <v>238</v>
      </c>
      <c r="C567">
        <v>23</v>
      </c>
      <c r="D567">
        <v>2.3168539880000001</v>
      </c>
      <c r="E567">
        <v>5.4620084300000009E-3</v>
      </c>
      <c r="F567">
        <v>6.455348014000001</v>
      </c>
      <c r="G567">
        <v>8.6929605359999993</v>
      </c>
      <c r="H567">
        <v>13.281735155</v>
      </c>
      <c r="I567">
        <v>0.14844961000000001</v>
      </c>
      <c r="J567">
        <v>0.71468401900000023</v>
      </c>
      <c r="K567">
        <v>725.87815690400009</v>
      </c>
      <c r="L567">
        <v>123.28979203199999</v>
      </c>
      <c r="M567">
        <v>0.157218739</v>
      </c>
      <c r="N567">
        <v>28.430043704999999</v>
      </c>
      <c r="O567">
        <v>0.44169675900000011</v>
      </c>
      <c r="P567">
        <v>1.8025456499999998E-2</v>
      </c>
      <c r="Q567">
        <v>3.3428367600000002E-2</v>
      </c>
      <c r="R567">
        <v>1.5211261730000001</v>
      </c>
      <c r="S567">
        <v>19.318358289999999</v>
      </c>
      <c r="T567">
        <v>27.433010523</v>
      </c>
      <c r="U567">
        <v>3602.5084691970001</v>
      </c>
      <c r="V567">
        <v>0</v>
      </c>
      <c r="W567">
        <v>0</v>
      </c>
      <c r="Y567" t="str">
        <f>$A567 &amp; Keys!$C$8 &amp; $B567</f>
        <v>Wyoming|Industry PM25</v>
      </c>
      <c r="Z567" s="8">
        <f>IFERROR(INDEX($U567:$W567, MATCH(INDEX(Runs!$D:$D, MATCH($B567, Runs!$A:$A, 0)), $U$1:$W$1, 0)), 0)</f>
        <v>3602.5084691970001</v>
      </c>
      <c r="AA567" s="8">
        <f t="shared" si="32"/>
        <v>6.4312242644537834E-4</v>
      </c>
      <c r="AB567" s="8">
        <f>IFERROR(VLOOKUP(INDEX(Runs!$F:$F, MATCH($B567, Runs!$A:$A, 0)), US_national_yearly!$D:$AM, MATCH(Keys!$C$7, US_national_yearly!$D$1:$AM$1, 0), FALSE), 0)</f>
        <v>2.6833191881203179E-2</v>
      </c>
      <c r="AC567" s="8">
        <f t="shared" si="33"/>
        <v>2.3967421739934328E-2</v>
      </c>
      <c r="AD567">
        <f>IF($Z567&lt;Keys!$C$3, 1, 0)</f>
        <v>0</v>
      </c>
      <c r="AE567">
        <f>IF($AC567&gt;Keys!$C$4, 1, 0)</f>
        <v>0</v>
      </c>
      <c r="AF567">
        <f>IF($AC567&lt;Keys!$C$5, 1, 0)</f>
        <v>0</v>
      </c>
      <c r="AG567">
        <f t="shared" si="34"/>
        <v>0</v>
      </c>
      <c r="AH567" t="str">
        <f>IFERROR(INDEX(Runs!$E:$E, MATCH($B567, Runs!$A:$A, 0)), $B567)</f>
        <v>Industry PM25</v>
      </c>
      <c r="AI567" t="str">
        <f t="shared" si="35"/>
        <v>Industry PM25</v>
      </c>
      <c r="AJ567" t="str">
        <f>IF($AG567=1, IF($AD567=1, Keys!$C$9, "") &amp; IF($AE567=1, Keys!$C$10, "") &amp; IF($AF567=1, Keys!$C$11, ""), "")</f>
        <v/>
      </c>
      <c r="AK567">
        <f>IF($AG567=1, IFERROR(INDEX($AG$2:$AG$577, MATCH($A567 &amp; Keys!$C$8 &amp; $AH567, $Y$2:$Y$577, 0)), 1), 0)</f>
        <v>0</v>
      </c>
    </row>
    <row r="568" spans="1:37" x14ac:dyDescent="0.25">
      <c r="A568" t="s">
        <v>226</v>
      </c>
      <c r="B568" t="s">
        <v>246</v>
      </c>
      <c r="C568">
        <v>23</v>
      </c>
      <c r="D568">
        <v>2.5556224689999998</v>
      </c>
      <c r="E568">
        <v>6.3060111800000004E-3</v>
      </c>
      <c r="F568">
        <v>7.3961899090000003</v>
      </c>
      <c r="G568">
        <v>9.9599335350000011</v>
      </c>
      <c r="H568">
        <v>15.217480633999999</v>
      </c>
      <c r="I568">
        <v>0.167207204</v>
      </c>
      <c r="J568">
        <v>0.81926706299999996</v>
      </c>
      <c r="K568">
        <v>825.40902202199993</v>
      </c>
      <c r="L568">
        <v>140.157216987</v>
      </c>
      <c r="M568">
        <v>0.18099621799999999</v>
      </c>
      <c r="N568">
        <v>32.573604078000002</v>
      </c>
      <c r="O568">
        <v>0.49151071400000013</v>
      </c>
      <c r="P568">
        <v>2.0115320799999999E-2</v>
      </c>
      <c r="Q568">
        <v>3.7493825000000001E-2</v>
      </c>
      <c r="R568">
        <v>1.740197918</v>
      </c>
      <c r="S568">
        <v>22.096982699000002</v>
      </c>
      <c r="T568">
        <v>31.369864593999999</v>
      </c>
      <c r="U568">
        <v>0</v>
      </c>
      <c r="V568">
        <v>8886.7192728710015</v>
      </c>
      <c r="W568">
        <v>0</v>
      </c>
      <c r="Y568" t="str">
        <f>$A568 &amp; Keys!$C$8 &amp; $B568</f>
        <v>Wyoming|Industry SO2</v>
      </c>
      <c r="Z568" s="8">
        <f>IFERROR(INDEX($U568:$W568, MATCH(INDEX(Runs!$D:$D, MATCH($B568, Runs!$A:$A, 0)), $U$1:$W$1, 0)), 0)</f>
        <v>8886.7192728710015</v>
      </c>
      <c r="AA568" s="8">
        <f t="shared" si="32"/>
        <v>2.8757772025067737E-4</v>
      </c>
      <c r="AB568" s="8">
        <f>IFERROR(VLOOKUP(INDEX(Runs!$F:$F, MATCH($B568, Runs!$A:$A, 0)), US_national_yearly!$D:$AM, MATCH(Keys!$C$7, US_national_yearly!$D$1:$AM$1, 0), FALSE), 0)</f>
        <v>5.3000351638639942E-3</v>
      </c>
      <c r="AC568" s="8">
        <f t="shared" si="33"/>
        <v>5.425958722149659E-2</v>
      </c>
      <c r="AD568">
        <f>IF($Z568&lt;Keys!$C$3, 1, 0)</f>
        <v>0</v>
      </c>
      <c r="AE568">
        <f>IF($AC568&gt;Keys!$C$4, 1, 0)</f>
        <v>0</v>
      </c>
      <c r="AF568">
        <f>IF($AC568&lt;Keys!$C$5, 1, 0)</f>
        <v>0</v>
      </c>
      <c r="AG568">
        <f t="shared" si="34"/>
        <v>0</v>
      </c>
      <c r="AH568" t="str">
        <f>IFERROR(INDEX(Runs!$E:$E, MATCH($B568, Runs!$A:$A, 0)), $B568)</f>
        <v>Industry SO2</v>
      </c>
      <c r="AI568" t="str">
        <f t="shared" si="35"/>
        <v>Industry SO2</v>
      </c>
      <c r="AJ568" t="str">
        <f>IF($AG568=1, IF($AD568=1, Keys!$C$9, "") &amp; IF($AE568=1, Keys!$C$10, "") &amp; IF($AF568=1, Keys!$C$11, ""), "")</f>
        <v/>
      </c>
      <c r="AK568">
        <f>IF($AG568=1, IFERROR(INDEX($AG$2:$AG$577, MATCH($A568 &amp; Keys!$C$8 &amp; $AH568, $Y$2:$Y$577, 0)), 1), 0)</f>
        <v>0</v>
      </c>
    </row>
    <row r="569" spans="1:37" x14ac:dyDescent="0.25">
      <c r="A569" t="s">
        <v>226</v>
      </c>
      <c r="B569" t="s">
        <v>253</v>
      </c>
      <c r="C569">
        <v>23</v>
      </c>
      <c r="D569">
        <v>7.9618437E-2</v>
      </c>
      <c r="E569">
        <v>1.810724E-4</v>
      </c>
      <c r="F569">
        <v>0.21191156799999999</v>
      </c>
      <c r="G569">
        <v>0.28536994300000001</v>
      </c>
      <c r="H569">
        <v>0.43599594899999988</v>
      </c>
      <c r="I569">
        <v>5.1685949999999989E-3</v>
      </c>
      <c r="J569">
        <v>2.45396134E-2</v>
      </c>
      <c r="K569">
        <v>24.333644885999998</v>
      </c>
      <c r="L569">
        <v>4.1318715309999989</v>
      </c>
      <c r="M569">
        <v>5.4384418000000007E-3</v>
      </c>
      <c r="N569">
        <v>0.93327745999999989</v>
      </c>
      <c r="O569">
        <v>1.45523449E-2</v>
      </c>
      <c r="P569">
        <v>5.8660658899999996E-4</v>
      </c>
      <c r="Q569">
        <v>1.1070590000000001E-3</v>
      </c>
      <c r="R569">
        <v>4.9809358400000003E-2</v>
      </c>
      <c r="S569">
        <v>0.63237840999999995</v>
      </c>
      <c r="T569">
        <v>0.89736456799999997</v>
      </c>
      <c r="U569">
        <v>0</v>
      </c>
      <c r="V569">
        <v>0</v>
      </c>
      <c r="W569">
        <v>984.66145963000008</v>
      </c>
      <c r="Y569" t="str">
        <f>$A569 &amp; Keys!$C$8 &amp; $B569</f>
        <v>Wyoming|buildings NO2</v>
      </c>
      <c r="Z569" s="8">
        <f>IFERROR(INDEX($U569:$W569, MATCH(INDEX(Runs!$D:$D, MATCH($B569, Runs!$A:$A, 0)), $U$1:$W$1, 0)), 0)</f>
        <v>984.66145963000008</v>
      </c>
      <c r="AA569" s="8">
        <f t="shared" si="32"/>
        <v>8.085869130078241E-5</v>
      </c>
      <c r="AB569" s="8">
        <f>IFERROR(VLOOKUP(INDEX(Runs!$F:$F, MATCH($B569, Runs!$A:$A, 0)), US_national_yearly!$D:$AM, MATCH(Keys!$C$7, US_national_yearly!$D$1:$AM$1, 0), FALSE), 0)</f>
        <v>5.6784740124662739E-3</v>
      </c>
      <c r="AC569" s="8">
        <f t="shared" si="33"/>
        <v>1.4239510671928544E-2</v>
      </c>
      <c r="AD569">
        <f>IF($Z569&lt;Keys!$C$3, 1, 0)</f>
        <v>0</v>
      </c>
      <c r="AE569">
        <f>IF($AC569&gt;Keys!$C$4, 1, 0)</f>
        <v>0</v>
      </c>
      <c r="AF569">
        <f>IF($AC569&lt;Keys!$C$5, 1, 0)</f>
        <v>0</v>
      </c>
      <c r="AG569">
        <f t="shared" si="34"/>
        <v>0</v>
      </c>
      <c r="AH569" t="str">
        <f>IFERROR(INDEX(Runs!$E:$E, MATCH($B569, Runs!$A:$A, 0)), $B569)</f>
        <v>Industry NO2</v>
      </c>
      <c r="AI569" t="str">
        <f t="shared" si="35"/>
        <v>buildings NO2</v>
      </c>
      <c r="AJ569" t="str">
        <f>IF($AG569=1, IF($AD569=1, Keys!$C$9, "") &amp; IF($AE569=1, Keys!$C$10, "") &amp; IF($AF569=1, Keys!$C$11, ""), "")</f>
        <v/>
      </c>
      <c r="AK569">
        <f>IF($AG569=1, IFERROR(INDEX($AG$2:$AG$577, MATCH($A569 &amp; Keys!$C$8 &amp; $AH569, $Y$2:$Y$577, 0)), 1), 0)</f>
        <v>0</v>
      </c>
    </row>
    <row r="570" spans="1:37" x14ac:dyDescent="0.25">
      <c r="A570" t="s">
        <v>226</v>
      </c>
      <c r="B570" t="s">
        <v>251</v>
      </c>
      <c r="C570">
        <v>23</v>
      </c>
      <c r="D570">
        <v>5.9749857999999998E-3</v>
      </c>
      <c r="E570">
        <v>1.4603537399999999E-5</v>
      </c>
      <c r="F570">
        <v>1.7389720300000001E-2</v>
      </c>
      <c r="G570">
        <v>2.3417811600000001E-2</v>
      </c>
      <c r="H570">
        <v>3.5778339000000013E-2</v>
      </c>
      <c r="I570">
        <v>3.8577989999999998E-4</v>
      </c>
      <c r="J570">
        <v>1.94794683E-3</v>
      </c>
      <c r="K570">
        <v>2.1162553200000001</v>
      </c>
      <c r="L570">
        <v>0.36005009999999998</v>
      </c>
      <c r="M570">
        <v>4.5250485000000008E-4</v>
      </c>
      <c r="N570">
        <v>7.6585870900000005E-2</v>
      </c>
      <c r="O570">
        <v>1.0641008599999999E-3</v>
      </c>
      <c r="P570">
        <v>4.2988960099999993E-5</v>
      </c>
      <c r="Q570">
        <v>8.1874102999999991E-5</v>
      </c>
      <c r="R570">
        <v>3.9564899800000001E-3</v>
      </c>
      <c r="S570">
        <v>5.020719869999999E-2</v>
      </c>
      <c r="T570">
        <v>7.1187331000000006E-2</v>
      </c>
      <c r="U570">
        <v>8.9321962049999986</v>
      </c>
      <c r="V570">
        <v>0</v>
      </c>
      <c r="W570">
        <v>0</v>
      </c>
      <c r="Y570" t="str">
        <f>$A570 &amp; Keys!$C$8 &amp; $B570</f>
        <v>Wyoming|buildings PM25</v>
      </c>
      <c r="Z570" s="8">
        <f>IFERROR(INDEX($U570:$W570, MATCH(INDEX(Runs!$D:$D, MATCH($B570, Runs!$A:$A, 0)), $U$1:$W$1, 0)), 0)</f>
        <v>8.9321962049999986</v>
      </c>
      <c r="AA570" s="8">
        <f t="shared" si="32"/>
        <v>6.6892684205205506E-4</v>
      </c>
      <c r="AB570" s="8">
        <f>IFERROR(VLOOKUP(INDEX(Runs!$F:$F, MATCH($B570, Runs!$A:$A, 0)), US_national_yearly!$D:$AM, MATCH(Keys!$C$7, US_national_yearly!$D$1:$AM$1, 0), FALSE), 0)</f>
        <v>2.7627705191843259E-2</v>
      </c>
      <c r="AC570" s="8">
        <f t="shared" si="33"/>
        <v>2.4212175329333813E-2</v>
      </c>
      <c r="AD570">
        <f>IF($Z570&lt;Keys!$C$3, 1, 0)</f>
        <v>0</v>
      </c>
      <c r="AE570">
        <f>IF($AC570&gt;Keys!$C$4, 1, 0)</f>
        <v>0</v>
      </c>
      <c r="AF570">
        <f>IF($AC570&lt;Keys!$C$5, 1, 0)</f>
        <v>0</v>
      </c>
      <c r="AG570">
        <f t="shared" si="34"/>
        <v>0</v>
      </c>
      <c r="AH570" t="str">
        <f>IFERROR(INDEX(Runs!$E:$E, MATCH($B570, Runs!$A:$A, 0)), $B570)</f>
        <v>Industry PM25</v>
      </c>
      <c r="AI570" t="str">
        <f t="shared" si="35"/>
        <v>buildings PM25</v>
      </c>
      <c r="AJ570" t="str">
        <f>IF($AG570=1, IF($AD570=1, Keys!$C$9, "") &amp; IF($AE570=1, Keys!$C$10, "") &amp; IF($AF570=1, Keys!$C$11, ""), "")</f>
        <v/>
      </c>
      <c r="AK570">
        <f>IF($AG570=1, IFERROR(INDEX($AG$2:$AG$577, MATCH($A570 &amp; Keys!$C$8 &amp; $AH570, $Y$2:$Y$577, 0)), 1), 0)</f>
        <v>0</v>
      </c>
    </row>
    <row r="571" spans="1:37" x14ac:dyDescent="0.25">
      <c r="A571" t="s">
        <v>226</v>
      </c>
      <c r="B571" t="s">
        <v>254</v>
      </c>
      <c r="C571">
        <v>23</v>
      </c>
      <c r="D571">
        <v>4.1184557000000007E-3</v>
      </c>
      <c r="E571">
        <v>9.8852944999999983E-6</v>
      </c>
      <c r="F571">
        <v>1.18309603E-2</v>
      </c>
      <c r="G571">
        <v>1.5932125299999999E-2</v>
      </c>
      <c r="H571">
        <v>2.4341517E-2</v>
      </c>
      <c r="I571">
        <v>2.6600137000000002E-4</v>
      </c>
      <c r="J571">
        <v>1.3176070700000001E-3</v>
      </c>
      <c r="K571">
        <v>1.465848695</v>
      </c>
      <c r="L571">
        <v>0.24931534499999999</v>
      </c>
      <c r="M571">
        <v>3.1212215999999997E-4</v>
      </c>
      <c r="N571">
        <v>5.2104602600000001E-2</v>
      </c>
      <c r="O571">
        <v>7.3545508999999984E-4</v>
      </c>
      <c r="P571">
        <v>2.9904107099999991E-5</v>
      </c>
      <c r="Q571">
        <v>5.6296859000000008E-5</v>
      </c>
      <c r="R571">
        <v>2.6644920499999999E-3</v>
      </c>
      <c r="S571">
        <v>3.3811931199999992E-2</v>
      </c>
      <c r="T571">
        <v>4.7940797000000007E-2</v>
      </c>
      <c r="U571">
        <v>0</v>
      </c>
      <c r="V571">
        <v>40.053911378000002</v>
      </c>
      <c r="W571">
        <v>0</v>
      </c>
      <c r="Y571" t="str">
        <f>$A571 &amp; Keys!$C$8 &amp; $B571</f>
        <v>Wyoming|buildings SO2</v>
      </c>
      <c r="Z571" s="8">
        <f>IFERROR(INDEX($U571:$W571, MATCH(INDEX(Runs!$D:$D, MATCH($B571, Runs!$A:$A, 0)), $U$1:$W$1, 0)), 0)</f>
        <v>40.053911378000002</v>
      </c>
      <c r="AA571" s="8">
        <f t="shared" si="32"/>
        <v>1.0282280951622872E-4</v>
      </c>
      <c r="AB571" s="8">
        <f>IFERROR(VLOOKUP(INDEX(Runs!$F:$F, MATCH($B571, Runs!$A:$A, 0)), US_national_yearly!$D:$AM, MATCH(Keys!$C$7, US_national_yearly!$D$1:$AM$1, 0), FALSE), 0)</f>
        <v>5.1581943281164694E-3</v>
      </c>
      <c r="AC571" s="8">
        <f t="shared" si="33"/>
        <v>1.9933876658302402E-2</v>
      </c>
      <c r="AD571">
        <f>IF($Z571&lt;Keys!$C$3, 1, 0)</f>
        <v>0</v>
      </c>
      <c r="AE571">
        <f>IF($AC571&gt;Keys!$C$4, 1, 0)</f>
        <v>0</v>
      </c>
      <c r="AF571">
        <f>IF($AC571&lt;Keys!$C$5, 1, 0)</f>
        <v>0</v>
      </c>
      <c r="AG571">
        <f t="shared" si="34"/>
        <v>0</v>
      </c>
      <c r="AH571" t="str">
        <f>IFERROR(INDEX(Runs!$E:$E, MATCH($B571, Runs!$A:$A, 0)), $B571)</f>
        <v>Industry SO2</v>
      </c>
      <c r="AI571" t="str">
        <f t="shared" si="35"/>
        <v>buildings SO2</v>
      </c>
      <c r="AJ571" t="str">
        <f>IF($AG571=1, IF($AD571=1, Keys!$C$9, "") &amp; IF($AE571=1, Keys!$C$10, "") &amp; IF($AF571=1, Keys!$C$11, ""), "")</f>
        <v/>
      </c>
      <c r="AK571">
        <f>IF($AG571=1, IFERROR(INDEX($AG$2:$AG$577, MATCH($A571 &amp; Keys!$C$8 &amp; $AH571, $Y$2:$Y$577, 0)), 1), 0)</f>
        <v>0</v>
      </c>
    </row>
    <row r="572" spans="1:37" x14ac:dyDescent="0.25">
      <c r="A572" t="s">
        <v>226</v>
      </c>
      <c r="B572" t="s">
        <v>249</v>
      </c>
      <c r="C572">
        <v>23</v>
      </c>
      <c r="D572">
        <v>0.47172441199999998</v>
      </c>
      <c r="E572">
        <v>1.2578524800000001E-3</v>
      </c>
      <c r="F572">
        <v>1.462845349</v>
      </c>
      <c r="G572">
        <v>1.9699293019999999</v>
      </c>
      <c r="H572">
        <v>3.0097332030000001</v>
      </c>
      <c r="I572">
        <v>3.1263152000000002E-2</v>
      </c>
      <c r="J572">
        <v>0.169558929</v>
      </c>
      <c r="K572">
        <v>162.608771467</v>
      </c>
      <c r="L572">
        <v>27.649749311000001</v>
      </c>
      <c r="M572">
        <v>3.6777162000000009E-2</v>
      </c>
      <c r="N572">
        <v>6.4425078539999996</v>
      </c>
      <c r="O572">
        <v>8.8781737999999971E-2</v>
      </c>
      <c r="P572">
        <v>3.5251369100000002E-3</v>
      </c>
      <c r="Q572">
        <v>7.1709168000000014E-3</v>
      </c>
      <c r="R572">
        <v>0.347067024</v>
      </c>
      <c r="S572">
        <v>4.4063608419999998</v>
      </c>
      <c r="T572">
        <v>6.253053855000001</v>
      </c>
      <c r="U572">
        <v>0</v>
      </c>
      <c r="V572">
        <v>0</v>
      </c>
      <c r="W572">
        <v>15096.796633811</v>
      </c>
      <c r="Y572" t="str">
        <f>$A572 &amp; Keys!$C$8 &amp; $B572</f>
        <v>Wyoming|electricity NO2</v>
      </c>
      <c r="Z572" s="8">
        <f>IFERROR(INDEX($U572:$W572, MATCH(INDEX(Runs!$D:$D, MATCH($B572, Runs!$A:$A, 0)), $U$1:$W$1, 0)), 0)</f>
        <v>15096.796633811</v>
      </c>
      <c r="AA572" s="8">
        <f t="shared" si="32"/>
        <v>3.1246656058379916E-5</v>
      </c>
      <c r="AB572" s="8">
        <f>IFERROR(VLOOKUP(INDEX(Runs!$F:$F, MATCH($B572, Runs!$A:$A, 0)), US_national_yearly!$D:$AM, MATCH(Keys!$C$7, US_national_yearly!$D$1:$AM$1, 0), FALSE), 0)</f>
        <v>6.1439221592658041E-3</v>
      </c>
      <c r="AC572" s="8">
        <f t="shared" si="33"/>
        <v>5.0857831932743557E-3</v>
      </c>
      <c r="AD572">
        <f>IF($Z572&lt;Keys!$C$3, 1, 0)</f>
        <v>0</v>
      </c>
      <c r="AE572">
        <f>IF($AC572&gt;Keys!$C$4, 1, 0)</f>
        <v>0</v>
      </c>
      <c r="AF572">
        <f>IF($AC572&lt;Keys!$C$5, 1, 0)</f>
        <v>0</v>
      </c>
      <c r="AG572">
        <f t="shared" si="34"/>
        <v>0</v>
      </c>
      <c r="AH572" t="str">
        <f>IFERROR(INDEX(Runs!$E:$E, MATCH($B572, Runs!$A:$A, 0)), $B572)</f>
        <v>Industry NO2</v>
      </c>
      <c r="AI572" t="str">
        <f t="shared" si="35"/>
        <v>electricity NO2</v>
      </c>
      <c r="AJ572" t="str">
        <f>IF($AG572=1, IF($AD572=1, Keys!$C$9, "") &amp; IF($AE572=1, Keys!$C$10, "") &amp; IF($AF572=1, Keys!$C$11, ""), "")</f>
        <v/>
      </c>
      <c r="AK572">
        <f>IF($AG572=1, IFERROR(INDEX($AG$2:$AG$577, MATCH($A572 &amp; Keys!$C$8 &amp; $AH572, $Y$2:$Y$577, 0)), 1), 0)</f>
        <v>0</v>
      </c>
    </row>
    <row r="573" spans="1:37" x14ac:dyDescent="0.25">
      <c r="A573" t="s">
        <v>226</v>
      </c>
      <c r="B573" t="s">
        <v>247</v>
      </c>
      <c r="C573">
        <v>23</v>
      </c>
      <c r="D573">
        <v>0.12086298099999999</v>
      </c>
      <c r="E573">
        <v>3.5356746500000009E-4</v>
      </c>
      <c r="F573">
        <v>0.40803301699999989</v>
      </c>
      <c r="G573">
        <v>0.54947562300000008</v>
      </c>
      <c r="H573">
        <v>0.83950578099999984</v>
      </c>
      <c r="I573">
        <v>7.9372044999999995E-3</v>
      </c>
      <c r="J573">
        <v>4.5490534899999997E-2</v>
      </c>
      <c r="K573">
        <v>44.606060745000008</v>
      </c>
      <c r="L573">
        <v>7.5984174930000004</v>
      </c>
      <c r="M573">
        <v>9.6983794999999998E-3</v>
      </c>
      <c r="N573">
        <v>1.7970144210000001</v>
      </c>
      <c r="O573">
        <v>2.3379886200000002E-2</v>
      </c>
      <c r="P573">
        <v>9.3133229999999977E-4</v>
      </c>
      <c r="Q573">
        <v>1.8883531800000001E-3</v>
      </c>
      <c r="R573">
        <v>9.7399843299999997E-2</v>
      </c>
      <c r="S573">
        <v>1.2364177730000001</v>
      </c>
      <c r="T573">
        <v>1.7541397379999999</v>
      </c>
      <c r="U573">
        <v>439.31928617499989</v>
      </c>
      <c r="V573">
        <v>0</v>
      </c>
      <c r="W573">
        <v>0</v>
      </c>
      <c r="Y573" t="str">
        <f>$A573 &amp; Keys!$C$8 &amp; $B573</f>
        <v>Wyoming|electricity PM25</v>
      </c>
      <c r="Z573" s="8">
        <f>IFERROR(INDEX($U573:$W573, MATCH(INDEX(Runs!$D:$D, MATCH($B573, Runs!$A:$A, 0)), $U$1:$W$1, 0)), 0)</f>
        <v>439.31928617499989</v>
      </c>
      <c r="AA573" s="8">
        <f t="shared" si="32"/>
        <v>2.751142160234118E-4</v>
      </c>
      <c r="AB573" s="8">
        <f>IFERROR(VLOOKUP(INDEX(Runs!$F:$F, MATCH($B573, Runs!$A:$A, 0)), US_national_yearly!$D:$AM, MATCH(Keys!$C$7, US_national_yearly!$D$1:$AM$1, 0), FALSE), 0)</f>
        <v>2.4252978284752182E-2</v>
      </c>
      <c r="AC573" s="8">
        <f t="shared" si="33"/>
        <v>1.1343522960080156E-2</v>
      </c>
      <c r="AD573">
        <f>IF($Z573&lt;Keys!$C$3, 1, 0)</f>
        <v>0</v>
      </c>
      <c r="AE573">
        <f>IF($AC573&gt;Keys!$C$4, 1, 0)</f>
        <v>0</v>
      </c>
      <c r="AF573">
        <f>IF($AC573&lt;Keys!$C$5, 1, 0)</f>
        <v>0</v>
      </c>
      <c r="AG573">
        <f t="shared" si="34"/>
        <v>0</v>
      </c>
      <c r="AH573" t="str">
        <f>IFERROR(INDEX(Runs!$E:$E, MATCH($B573, Runs!$A:$A, 0)), $B573)</f>
        <v>Industry PM25</v>
      </c>
      <c r="AI573" t="str">
        <f t="shared" si="35"/>
        <v>electricity PM25</v>
      </c>
      <c r="AJ573" t="str">
        <f>IF($AG573=1, IF($AD573=1, Keys!$C$9, "") &amp; IF($AE573=1, Keys!$C$10, "") &amp; IF($AF573=1, Keys!$C$11, ""), "")</f>
        <v/>
      </c>
      <c r="AK573">
        <f>IF($AG573=1, IFERROR(INDEX($AG$2:$AG$577, MATCH($A573 &amp; Keys!$C$8 &amp; $AH573, $Y$2:$Y$577, 0)), 1), 0)</f>
        <v>0</v>
      </c>
    </row>
    <row r="574" spans="1:37" x14ac:dyDescent="0.25">
      <c r="A574" t="s">
        <v>226</v>
      </c>
      <c r="B574" t="s">
        <v>250</v>
      </c>
      <c r="C574">
        <v>23</v>
      </c>
      <c r="D574">
        <v>0.29555852500000002</v>
      </c>
      <c r="E574">
        <v>7.8322440000000004E-4</v>
      </c>
      <c r="F574">
        <v>0.91249450500000018</v>
      </c>
      <c r="G574">
        <v>1.2288053000000001</v>
      </c>
      <c r="H574">
        <v>1.877409667</v>
      </c>
      <c r="I574">
        <v>1.95637743E-2</v>
      </c>
      <c r="J574">
        <v>0.104354843</v>
      </c>
      <c r="K574">
        <v>101.464582155</v>
      </c>
      <c r="L574">
        <v>17.25397300700001</v>
      </c>
      <c r="M574">
        <v>2.2641783999999991E-2</v>
      </c>
      <c r="N574">
        <v>4.0187094720000003</v>
      </c>
      <c r="O574">
        <v>5.6049504999999993E-2</v>
      </c>
      <c r="P574">
        <v>2.239838909999999E-3</v>
      </c>
      <c r="Q574">
        <v>4.4623481999999997E-3</v>
      </c>
      <c r="R574">
        <v>0.21641342399999999</v>
      </c>
      <c r="S574">
        <v>2.7475464239999989</v>
      </c>
      <c r="T574">
        <v>3.8988707169999999</v>
      </c>
      <c r="U574">
        <v>0</v>
      </c>
      <c r="V574">
        <v>6355.8623494089998</v>
      </c>
      <c r="W574">
        <v>0</v>
      </c>
      <c r="Y574" t="str">
        <f>$A574 &amp; Keys!$C$8 &amp; $B574</f>
        <v>Wyoming|electricity SO2</v>
      </c>
      <c r="Z574" s="8">
        <f>IFERROR(INDEX($U574:$W574, MATCH(INDEX(Runs!$D:$D, MATCH($B574, Runs!$A:$A, 0)), $U$1:$W$1, 0)), 0)</f>
        <v>6355.8623494089998</v>
      </c>
      <c r="AA574" s="8">
        <f t="shared" si="32"/>
        <v>4.6501719003949567E-5</v>
      </c>
      <c r="AB574" s="8">
        <f>IFERROR(VLOOKUP(INDEX(Runs!$F:$F, MATCH($B574, Runs!$A:$A, 0)), US_national_yearly!$D:$AM, MATCH(Keys!$C$7, US_national_yearly!$D$1:$AM$1, 0), FALSE), 0)</f>
        <v>5.7032329662362116E-3</v>
      </c>
      <c r="AC574" s="8">
        <f t="shared" si="33"/>
        <v>8.1535717161204946E-3</v>
      </c>
      <c r="AD574">
        <f>IF($Z574&lt;Keys!$C$3, 1, 0)</f>
        <v>0</v>
      </c>
      <c r="AE574">
        <f>IF($AC574&gt;Keys!$C$4, 1, 0)</f>
        <v>0</v>
      </c>
      <c r="AF574">
        <f>IF($AC574&lt;Keys!$C$5, 1, 0)</f>
        <v>0</v>
      </c>
      <c r="AG574">
        <f t="shared" si="34"/>
        <v>0</v>
      </c>
      <c r="AH574" t="str">
        <f>IFERROR(INDEX(Runs!$E:$E, MATCH($B574, Runs!$A:$A, 0)), $B574)</f>
        <v>Industry SO2</v>
      </c>
      <c r="AI574" t="str">
        <f t="shared" si="35"/>
        <v>electricity SO2</v>
      </c>
      <c r="AJ574" t="str">
        <f>IF($AG574=1, IF($AD574=1, Keys!$C$9, "") &amp; IF($AE574=1, Keys!$C$10, "") &amp; IF($AF574=1, Keys!$C$11, ""), "")</f>
        <v/>
      </c>
      <c r="AK574">
        <f>IF($AG574=1, IFERROR(INDEX($AG$2:$AG$577, MATCH($A574 &amp; Keys!$C$8 &amp; $AH574, $Y$2:$Y$577, 0)), 1), 0)</f>
        <v>0</v>
      </c>
    </row>
    <row r="575" spans="1:37" x14ac:dyDescent="0.25">
      <c r="A575" t="s">
        <v>226</v>
      </c>
      <c r="B575" t="s">
        <v>239</v>
      </c>
      <c r="C575">
        <v>23</v>
      </c>
      <c r="D575">
        <v>2.037558026000001</v>
      </c>
      <c r="E575">
        <v>4.64057893E-3</v>
      </c>
      <c r="F575">
        <v>5.5015298640000019</v>
      </c>
      <c r="G575">
        <v>7.4085481609999997</v>
      </c>
      <c r="H575">
        <v>11.319220364</v>
      </c>
      <c r="I575">
        <v>0.132501691</v>
      </c>
      <c r="J575">
        <v>0.63466605799999987</v>
      </c>
      <c r="K575">
        <v>629.40360987600002</v>
      </c>
      <c r="L575">
        <v>106.817436359</v>
      </c>
      <c r="M575">
        <v>0.14134316599999999</v>
      </c>
      <c r="N575">
        <v>24.229298389</v>
      </c>
      <c r="O575">
        <v>0.37408781699999999</v>
      </c>
      <c r="P575">
        <v>1.5107790100000001E-2</v>
      </c>
      <c r="Q575">
        <v>2.868039800000001E-2</v>
      </c>
      <c r="R575">
        <v>1.2901239600000001</v>
      </c>
      <c r="S575">
        <v>16.382102444000001</v>
      </c>
      <c r="T575">
        <v>23.256162702000001</v>
      </c>
      <c r="U575">
        <v>0</v>
      </c>
      <c r="V575">
        <v>0</v>
      </c>
      <c r="W575">
        <v>31031.421952299999</v>
      </c>
      <c r="Y575" t="str">
        <f>$A575 &amp; Keys!$C$8 &amp; $B575</f>
        <v>Wyoming|transportation NO2</v>
      </c>
      <c r="Z575" s="8">
        <f>IFERROR(INDEX($U575:$W575, MATCH(INDEX(Runs!$D:$D, MATCH($B575, Runs!$A:$A, 0)), $U$1:$W$1, 0)), 0)</f>
        <v>31031.421952299999</v>
      </c>
      <c r="AA575" s="8">
        <f t="shared" si="32"/>
        <v>6.5661123397182277E-5</v>
      </c>
      <c r="AB575" s="8">
        <f>IFERROR(VLOOKUP(INDEX(Runs!$F:$F, MATCH($B575, Runs!$A:$A, 0)), US_national_yearly!$D:$AM, MATCH(Keys!$C$7, US_national_yearly!$D$1:$AM$1, 0), FALSE), 0)</f>
        <v>5.7148835886332216E-3</v>
      </c>
      <c r="AC575" s="8">
        <f t="shared" si="33"/>
        <v>1.1489494471555084E-2</v>
      </c>
      <c r="AD575">
        <f>IF($Z575&lt;Keys!$C$3, 1, 0)</f>
        <v>0</v>
      </c>
      <c r="AE575">
        <f>IF($AC575&gt;Keys!$C$4, 1, 0)</f>
        <v>0</v>
      </c>
      <c r="AF575">
        <f>IF($AC575&lt;Keys!$C$5, 1, 0)</f>
        <v>0</v>
      </c>
      <c r="AG575">
        <f t="shared" si="34"/>
        <v>0</v>
      </c>
      <c r="AH575" t="str">
        <f>IFERROR(INDEX(Runs!$E:$E, MATCH($B575, Runs!$A:$A, 0)), $B575)</f>
        <v>Industry NO2</v>
      </c>
      <c r="AI575" t="str">
        <f t="shared" si="35"/>
        <v>transportation NO2</v>
      </c>
      <c r="AJ575" t="str">
        <f>IF($AG575=1, IF($AD575=1, Keys!$C$9, "") &amp; IF($AE575=1, Keys!$C$10, "") &amp; IF($AF575=1, Keys!$C$11, ""), "")</f>
        <v/>
      </c>
      <c r="AK575">
        <f>IF($AG575=1, IFERROR(INDEX($AG$2:$AG$577, MATCH($A575 &amp; Keys!$C$8 &amp; $AH575, $Y$2:$Y$577, 0)), 1), 0)</f>
        <v>0</v>
      </c>
    </row>
    <row r="576" spans="1:37" x14ac:dyDescent="0.25">
      <c r="A576" t="s">
        <v>226</v>
      </c>
      <c r="B576" t="s">
        <v>234</v>
      </c>
      <c r="C576">
        <v>23</v>
      </c>
      <c r="D576">
        <v>0.4208989010000001</v>
      </c>
      <c r="E576">
        <v>9.253500299999999E-4</v>
      </c>
      <c r="F576">
        <v>1.0996324850000001</v>
      </c>
      <c r="G576">
        <v>1.480813428</v>
      </c>
      <c r="H576">
        <v>2.2624365040000001</v>
      </c>
      <c r="I576">
        <v>2.7228657E-2</v>
      </c>
      <c r="J576">
        <v>0.12960503600000001</v>
      </c>
      <c r="K576">
        <v>127.07272259299999</v>
      </c>
      <c r="L576">
        <v>21.562411566000009</v>
      </c>
      <c r="M576">
        <v>2.8827659999999991E-2</v>
      </c>
      <c r="N576">
        <v>4.8428824170000002</v>
      </c>
      <c r="O576">
        <v>7.550062099999999E-2</v>
      </c>
      <c r="P576">
        <v>3.0237245499999989E-3</v>
      </c>
      <c r="Q576">
        <v>5.8039981999999987E-3</v>
      </c>
      <c r="R576">
        <v>0.25794265599999999</v>
      </c>
      <c r="S576">
        <v>3.2753020349999988</v>
      </c>
      <c r="T576">
        <v>4.6489909060000008</v>
      </c>
      <c r="U576">
        <v>508.98980776000008</v>
      </c>
      <c r="V576">
        <v>0</v>
      </c>
      <c r="W576">
        <v>0</v>
      </c>
      <c r="Y576" t="str">
        <f>$A576 &amp; Keys!$C$8 &amp; $B576</f>
        <v>Wyoming|transportation PM25</v>
      </c>
      <c r="Z576" s="8">
        <f>IFERROR(INDEX($U576:$W576, MATCH(INDEX(Runs!$D:$D, MATCH($B576, Runs!$A:$A, 0)), $U$1:$W$1, 0)), 0)</f>
        <v>508.98980776000008</v>
      </c>
      <c r="AA576" s="8">
        <f t="shared" si="32"/>
        <v>8.2692991997683225E-4</v>
      </c>
      <c r="AB576" s="8">
        <f>IFERROR(VLOOKUP(INDEX(Runs!$F:$F, MATCH($B576, Runs!$A:$A, 0)), US_national_yearly!$D:$AM, MATCH(Keys!$C$7, US_national_yearly!$D$1:$AM$1, 0), FALSE), 0)</f>
        <v>2.8248683697579859E-2</v>
      </c>
      <c r="AC576" s="8">
        <f t="shared" si="33"/>
        <v>2.9273219553507111E-2</v>
      </c>
      <c r="AD576">
        <f>IF($Z576&lt;Keys!$C$3, 1, 0)</f>
        <v>0</v>
      </c>
      <c r="AE576">
        <f>IF($AC576&gt;Keys!$C$4, 1, 0)</f>
        <v>0</v>
      </c>
      <c r="AF576">
        <f>IF($AC576&lt;Keys!$C$5, 1, 0)</f>
        <v>0</v>
      </c>
      <c r="AG576">
        <f t="shared" si="34"/>
        <v>0</v>
      </c>
      <c r="AH576" t="str">
        <f>IFERROR(INDEX(Runs!$E:$E, MATCH($B576, Runs!$A:$A, 0)), $B576)</f>
        <v>Industry PM25</v>
      </c>
      <c r="AI576" t="str">
        <f t="shared" si="35"/>
        <v>transportation PM25</v>
      </c>
      <c r="AJ576" t="str">
        <f>IF($AG576=1, IF($AD576=1, Keys!$C$9, "") &amp; IF($AE576=1, Keys!$C$10, "") &amp; IF($AF576=1, Keys!$C$11, ""), "")</f>
        <v/>
      </c>
      <c r="AK576">
        <f>IF($AG576=1, IFERROR(INDEX($AG$2:$AG$577, MATCH($A576 &amp; Keys!$C$8 &amp; $AH576, $Y$2:$Y$577, 0)), 1), 0)</f>
        <v>0</v>
      </c>
    </row>
    <row r="577" spans="1:37" x14ac:dyDescent="0.25">
      <c r="A577" t="s">
        <v>226</v>
      </c>
      <c r="B577" t="s">
        <v>243</v>
      </c>
      <c r="C577">
        <v>23</v>
      </c>
      <c r="D577">
        <v>9.4947899999999995E-3</v>
      </c>
      <c r="E577">
        <v>2.1242351200000001E-5</v>
      </c>
      <c r="F577">
        <v>2.48565169E-2</v>
      </c>
      <c r="G577">
        <v>3.3472950199999997E-2</v>
      </c>
      <c r="H577">
        <v>5.1140844999999997E-2</v>
      </c>
      <c r="I577">
        <v>6.1204030999999996E-4</v>
      </c>
      <c r="J577">
        <v>2.9111101999999998E-3</v>
      </c>
      <c r="K577">
        <v>2.8635623209999999</v>
      </c>
      <c r="L577">
        <v>0.48624727999999989</v>
      </c>
      <c r="M577">
        <v>6.4200830999999996E-4</v>
      </c>
      <c r="N577">
        <v>0.10947031209999999</v>
      </c>
      <c r="O577">
        <v>1.7326117900000001E-3</v>
      </c>
      <c r="P577">
        <v>6.9369823999999966E-5</v>
      </c>
      <c r="Q577">
        <v>1.3298311999999999E-4</v>
      </c>
      <c r="R577">
        <v>5.8658305000000004E-3</v>
      </c>
      <c r="S577">
        <v>7.4484382000000002E-2</v>
      </c>
      <c r="T577">
        <v>0.105723706</v>
      </c>
      <c r="U577">
        <v>0</v>
      </c>
      <c r="V577">
        <v>59.925683333000002</v>
      </c>
      <c r="W577">
        <v>0</v>
      </c>
      <c r="Y577" t="str">
        <f>$A577 &amp; Keys!$C$8 &amp; $B577</f>
        <v>Wyoming|transportation SO2</v>
      </c>
      <c r="Z577" s="8">
        <f>IFERROR(INDEX($U577:$W577, MATCH(INDEX(Runs!$D:$D, MATCH($B577, Runs!$A:$A, 0)), $U$1:$W$1, 0)), 0)</f>
        <v>59.925683333000002</v>
      </c>
      <c r="AA577" s="8">
        <f t="shared" si="32"/>
        <v>1.5844274895020493E-4</v>
      </c>
      <c r="AB577" s="8">
        <f>IFERROR(VLOOKUP(INDEX(Runs!$F:$F, MATCH($B577, Runs!$A:$A, 0)), US_national_yearly!$D:$AM, MATCH(Keys!$C$7, US_national_yearly!$D$1:$AM$1, 0), FALSE), 0)</f>
        <v>5.1800714166247604E-3</v>
      </c>
      <c r="AC577" s="8">
        <f t="shared" si="33"/>
        <v>3.0586981569733517E-2</v>
      </c>
      <c r="AD577">
        <f>IF($Z577&lt;Keys!$C$3, 1, 0)</f>
        <v>0</v>
      </c>
      <c r="AE577">
        <f>IF($AC577&gt;Keys!$C$4, 1, 0)</f>
        <v>0</v>
      </c>
      <c r="AF577">
        <f>IF($AC577&lt;Keys!$C$5, 1, 0)</f>
        <v>0</v>
      </c>
      <c r="AG577">
        <f t="shared" si="34"/>
        <v>0</v>
      </c>
      <c r="AH577" t="str">
        <f>IFERROR(INDEX(Runs!$E:$E, MATCH($B577, Runs!$A:$A, 0)), $B577)</f>
        <v>Industry SO2</v>
      </c>
      <c r="AI577" t="str">
        <f t="shared" si="35"/>
        <v>transportation SO2</v>
      </c>
      <c r="AJ577" t="str">
        <f>IF($AG577=1, IF($AD577=1, Keys!$C$9, "") &amp; IF($AE577=1, Keys!$C$10, "") &amp; IF($AF577=1, Keys!$C$11, ""), "")</f>
        <v/>
      </c>
      <c r="AK577">
        <f>IF($AG577=1, IFERROR(INDEX($AG$2:$AG$577, MATCH($A577 &amp; Keys!$C$8 &amp; $AH577, $Y$2:$Y$577, 0)), 1), 0)</f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331"/>
  <sheetViews>
    <sheetView workbookViewId="0"/>
  </sheetViews>
  <sheetFormatPr defaultRowHeight="15" x14ac:dyDescent="0.25"/>
  <cols>
    <col min="1" max="1" width="14" customWidth="1"/>
    <col min="2" max="2" width="10" customWidth="1"/>
    <col min="3" max="3" width="36" customWidth="1"/>
    <col min="4" max="4" width="50" customWidth="1"/>
  </cols>
  <sheetData>
    <row r="1" spans="1:39" x14ac:dyDescent="0.25">
      <c r="A1" s="5" t="s">
        <v>288</v>
      </c>
      <c r="B1" s="5" t="s">
        <v>289</v>
      </c>
      <c r="C1" s="5" t="s">
        <v>290</v>
      </c>
      <c r="D1" s="5" t="s">
        <v>291</v>
      </c>
      <c r="E1" s="5">
        <v>2016</v>
      </c>
      <c r="F1" s="5">
        <v>2017</v>
      </c>
      <c r="G1" s="5">
        <v>2018</v>
      </c>
      <c r="H1" s="5">
        <v>2019</v>
      </c>
      <c r="I1" s="5">
        <v>2020</v>
      </c>
      <c r="J1" s="5">
        <v>2021</v>
      </c>
      <c r="K1" s="5">
        <v>2022</v>
      </c>
      <c r="L1" s="5">
        <v>2023</v>
      </c>
      <c r="M1" s="5">
        <v>2024</v>
      </c>
      <c r="N1" s="5">
        <v>2025</v>
      </c>
      <c r="O1" s="5">
        <v>2026</v>
      </c>
      <c r="P1" s="5">
        <v>2027</v>
      </c>
      <c r="Q1" s="5">
        <v>2028</v>
      </c>
      <c r="R1" s="5">
        <v>2029</v>
      </c>
      <c r="S1" s="5">
        <v>2030</v>
      </c>
      <c r="T1" s="5">
        <v>2031</v>
      </c>
      <c r="U1" s="5">
        <v>2032</v>
      </c>
      <c r="V1" s="5">
        <v>2033</v>
      </c>
      <c r="W1" s="5">
        <v>2034</v>
      </c>
      <c r="X1" s="5">
        <v>2035</v>
      </c>
      <c r="Y1" s="5">
        <v>2036</v>
      </c>
      <c r="Z1" s="5">
        <v>2037</v>
      </c>
      <c r="AA1" s="5">
        <v>2038</v>
      </c>
      <c r="AB1" s="5">
        <v>2039</v>
      </c>
      <c r="AC1" s="5">
        <v>2040</v>
      </c>
      <c r="AD1" s="5">
        <v>2041</v>
      </c>
      <c r="AE1" s="5">
        <v>2042</v>
      </c>
      <c r="AF1" s="5">
        <v>2043</v>
      </c>
      <c r="AG1" s="5">
        <v>2044</v>
      </c>
      <c r="AH1" s="5">
        <v>2045</v>
      </c>
      <c r="AI1" s="5">
        <v>2046</v>
      </c>
      <c r="AJ1" s="5">
        <v>2047</v>
      </c>
      <c r="AK1" s="5">
        <v>2048</v>
      </c>
      <c r="AL1" s="5">
        <v>2049</v>
      </c>
      <c r="AM1" s="5">
        <v>2050</v>
      </c>
    </row>
    <row r="2" spans="1:39" x14ac:dyDescent="0.25">
      <c r="A2" t="s">
        <v>235</v>
      </c>
      <c r="B2" t="s">
        <v>240</v>
      </c>
      <c r="C2" t="s">
        <v>53</v>
      </c>
      <c r="D2" t="s">
        <v>292</v>
      </c>
      <c r="E2" s="8">
        <v>5.30771734227192E-3</v>
      </c>
      <c r="F2" s="8">
        <v>5.3538922374212006E-3</v>
      </c>
      <c r="G2" s="8">
        <v>5.400067132570483E-3</v>
      </c>
      <c r="H2" s="8">
        <v>5.4462420277197644E-3</v>
      </c>
      <c r="I2" s="8">
        <v>5.4924169228690459E-3</v>
      </c>
      <c r="J2" s="8">
        <v>5.5385918180183274E-3</v>
      </c>
      <c r="K2" s="8">
        <v>5.5847667131676089E-3</v>
      </c>
      <c r="L2" s="8">
        <v>5.6309416083168903E-3</v>
      </c>
      <c r="M2" s="8">
        <v>5.7148835886332216E-3</v>
      </c>
      <c r="N2" s="8">
        <v>5.7988255689495546E-3</v>
      </c>
      <c r="O2" s="8">
        <v>5.8827675492658859E-3</v>
      </c>
      <c r="P2" s="8">
        <v>5.9667095295822181E-3</v>
      </c>
      <c r="Q2" s="8">
        <v>6.0506515098985502E-3</v>
      </c>
      <c r="R2" s="8">
        <v>6.2014311524625897E-3</v>
      </c>
      <c r="S2" s="8">
        <v>6.3522107950266301E-3</v>
      </c>
      <c r="T2" s="8">
        <v>6.4495419143857221E-3</v>
      </c>
      <c r="U2" s="8">
        <v>6.5468730337448142E-3</v>
      </c>
      <c r="V2" s="8">
        <v>6.6442041531039062E-3</v>
      </c>
      <c r="W2" s="8">
        <v>6.7415352724629982E-3</v>
      </c>
      <c r="X2" s="8">
        <v>6.8388663918220903E-3</v>
      </c>
      <c r="Y2" s="8">
        <v>6.9109689066643261E-3</v>
      </c>
      <c r="Z2" s="8">
        <v>6.9830714215065618E-3</v>
      </c>
      <c r="AA2" s="8">
        <v>7.0551739363487976E-3</v>
      </c>
      <c r="AB2" s="8">
        <v>7.1272764511910343E-3</v>
      </c>
      <c r="AC2" s="8">
        <v>7.1993789660332701E-3</v>
      </c>
      <c r="AD2" s="8">
        <v>7.2321502850917416E-3</v>
      </c>
      <c r="AE2" s="8">
        <v>7.2649216041502139E-3</v>
      </c>
      <c r="AF2" s="8">
        <v>7.2976929232086863E-3</v>
      </c>
      <c r="AG2" s="8">
        <v>7.3304642422671578E-3</v>
      </c>
      <c r="AH2" s="8">
        <v>7.3632355613256302E-3</v>
      </c>
      <c r="AI2" s="8">
        <v>7.364370741006928E-3</v>
      </c>
      <c r="AJ2" s="8">
        <v>7.3655059206882258E-3</v>
      </c>
      <c r="AK2" s="8">
        <v>7.3666411003695236E-3</v>
      </c>
      <c r="AL2" s="8">
        <v>7.3677762800508223E-3</v>
      </c>
      <c r="AM2" s="8">
        <v>7.3689114597321201E-3</v>
      </c>
    </row>
    <row r="3" spans="1:39" x14ac:dyDescent="0.25">
      <c r="A3" t="s">
        <v>235</v>
      </c>
      <c r="B3" t="s">
        <v>240</v>
      </c>
      <c r="C3" t="s">
        <v>293</v>
      </c>
      <c r="D3" t="s">
        <v>294</v>
      </c>
      <c r="E3" s="8">
        <v>1.03201952356161E-5</v>
      </c>
      <c r="F3" s="8">
        <v>1.0204686627447669E-5</v>
      </c>
      <c r="G3" s="8">
        <v>1.0089178019279251E-5</v>
      </c>
      <c r="H3" s="8">
        <v>9.9736694111108182E-6</v>
      </c>
      <c r="I3" s="8">
        <v>9.8581608029423926E-6</v>
      </c>
      <c r="J3" s="8">
        <v>9.7426521947739653E-6</v>
      </c>
      <c r="K3" s="8">
        <v>9.627143586605538E-6</v>
      </c>
      <c r="L3" s="8">
        <v>9.5116349784371107E-6</v>
      </c>
      <c r="M3" s="8">
        <v>9.4218676803320166E-6</v>
      </c>
      <c r="N3" s="8">
        <v>9.3321003822269226E-6</v>
      </c>
      <c r="O3" s="8">
        <v>9.2423330841218285E-6</v>
      </c>
      <c r="P3" s="8">
        <v>9.1525657860167344E-6</v>
      </c>
      <c r="Q3" s="8">
        <v>9.0627984879116404E-6</v>
      </c>
      <c r="R3" s="8">
        <v>6.0163331661705854E-6</v>
      </c>
      <c r="S3" s="8">
        <v>2.9698678444295299E-6</v>
      </c>
      <c r="T3" s="8">
        <v>2.9488680431280401E-6</v>
      </c>
      <c r="U3" s="8">
        <v>2.9278682418265498E-6</v>
      </c>
      <c r="V3" s="8">
        <v>2.90686844052506E-6</v>
      </c>
      <c r="W3" s="8">
        <v>2.8858686392235701E-6</v>
      </c>
      <c r="X3" s="8">
        <v>2.8648688379220799E-6</v>
      </c>
      <c r="Y3" s="8">
        <v>2.8509300478720199E-6</v>
      </c>
      <c r="Z3" s="8">
        <v>2.83699125782196E-6</v>
      </c>
      <c r="AA3" s="8">
        <v>2.8230524677719E-6</v>
      </c>
      <c r="AB3" s="8">
        <v>2.8091136777218401E-6</v>
      </c>
      <c r="AC3" s="8">
        <v>2.7951748876717801E-6</v>
      </c>
      <c r="AD3" s="8">
        <v>2.7784182454318881E-6</v>
      </c>
      <c r="AE3" s="8">
        <v>2.761661603191996E-6</v>
      </c>
      <c r="AF3" s="8">
        <v>2.744904960952104E-6</v>
      </c>
      <c r="AG3" s="8">
        <v>2.7281483187122119E-6</v>
      </c>
      <c r="AH3" s="8">
        <v>2.7113916764723198E-6</v>
      </c>
      <c r="AI3" s="8">
        <v>2.6936455820221282E-6</v>
      </c>
      <c r="AJ3" s="8">
        <v>2.6758994875719361E-6</v>
      </c>
      <c r="AK3" s="8">
        <v>2.6581533931217441E-6</v>
      </c>
      <c r="AL3" s="8">
        <v>2.640407298671552E-6</v>
      </c>
      <c r="AM3" s="8">
        <v>2.62266120422136E-6</v>
      </c>
    </row>
    <row r="4" spans="1:39" x14ac:dyDescent="0.25">
      <c r="A4" t="s">
        <v>235</v>
      </c>
      <c r="B4" t="s">
        <v>240</v>
      </c>
      <c r="C4" t="s">
        <v>295</v>
      </c>
      <c r="D4" t="s">
        <v>296</v>
      </c>
      <c r="E4" s="8">
        <v>0.52066088137127597</v>
      </c>
      <c r="F4" s="8">
        <v>0.52207376619797574</v>
      </c>
      <c r="G4" s="8">
        <v>0.5234866510246754</v>
      </c>
      <c r="H4" s="8">
        <v>0.52489953585137517</v>
      </c>
      <c r="I4" s="8">
        <v>0.52631242067807482</v>
      </c>
      <c r="J4" s="8">
        <v>0.52772530550477459</v>
      </c>
      <c r="K4" s="8">
        <v>0.52913819033147425</v>
      </c>
      <c r="L4" s="8">
        <v>0.53055107515817401</v>
      </c>
      <c r="M4" s="8">
        <v>0.535761912021263</v>
      </c>
      <c r="N4" s="8">
        <v>0.54097274888435198</v>
      </c>
      <c r="O4" s="8">
        <v>0.54618358574744108</v>
      </c>
      <c r="P4" s="8">
        <v>0.55139442261053007</v>
      </c>
      <c r="Q4" s="8">
        <v>0.55660525947361905</v>
      </c>
      <c r="R4" s="8">
        <v>0.56263694647486395</v>
      </c>
      <c r="S4" s="8">
        <v>0.56866863347610896</v>
      </c>
      <c r="T4" s="8">
        <v>0.5728242083599826</v>
      </c>
      <c r="U4" s="8">
        <v>0.57697978324385624</v>
      </c>
      <c r="V4" s="8">
        <v>0.58113535812772976</v>
      </c>
      <c r="W4" s="8">
        <v>0.5852909330116034</v>
      </c>
      <c r="X4" s="8">
        <v>0.58944650789547703</v>
      </c>
      <c r="Y4" s="8">
        <v>0.59087899407618505</v>
      </c>
      <c r="Z4" s="8">
        <v>0.59231148025689306</v>
      </c>
      <c r="AA4" s="8">
        <v>0.59374396643760097</v>
      </c>
      <c r="AB4" s="8">
        <v>0.59517645261830898</v>
      </c>
      <c r="AC4" s="8">
        <v>0.596608938799017</v>
      </c>
      <c r="AD4" s="8">
        <v>0.59849026207985423</v>
      </c>
      <c r="AE4" s="8">
        <v>0.60037158536069146</v>
      </c>
      <c r="AF4" s="8">
        <v>0.60225290864152858</v>
      </c>
      <c r="AG4" s="8">
        <v>0.60413423192236582</v>
      </c>
      <c r="AH4" s="8">
        <v>0.60601555520320305</v>
      </c>
      <c r="AI4" s="8">
        <v>0.6081352320331378</v>
      </c>
      <c r="AJ4" s="8">
        <v>0.61025490886307265</v>
      </c>
      <c r="AK4" s="8">
        <v>0.6123745856930074</v>
      </c>
      <c r="AL4" s="8">
        <v>0.61449426252294226</v>
      </c>
      <c r="AM4" s="8">
        <v>0.61661393935287701</v>
      </c>
    </row>
    <row r="5" spans="1:39" x14ac:dyDescent="0.25">
      <c r="A5" t="s">
        <v>235</v>
      </c>
      <c r="B5" t="s">
        <v>240</v>
      </c>
      <c r="C5" t="s">
        <v>297</v>
      </c>
      <c r="D5" t="s">
        <v>298</v>
      </c>
      <c r="E5" s="8">
        <v>0.82781077227033395</v>
      </c>
      <c r="F5" s="8">
        <v>0.83315162373381313</v>
      </c>
      <c r="G5" s="8">
        <v>0.8384924751972922</v>
      </c>
      <c r="H5" s="8">
        <v>0.84383332666077138</v>
      </c>
      <c r="I5" s="8">
        <v>0.84917417812425056</v>
      </c>
      <c r="J5" s="8">
        <v>0.85451502958772974</v>
      </c>
      <c r="K5" s="8">
        <v>0.8598558810512088</v>
      </c>
      <c r="L5" s="8">
        <v>0.86519673251468798</v>
      </c>
      <c r="M5" s="8">
        <v>0.87718934501489121</v>
      </c>
      <c r="N5" s="8">
        <v>0.88918195751509443</v>
      </c>
      <c r="O5" s="8">
        <v>0.90117457001529755</v>
      </c>
      <c r="P5" s="8">
        <v>0.91316718251550077</v>
      </c>
      <c r="Q5" s="8">
        <v>0.925159795015704</v>
      </c>
      <c r="R5" s="8">
        <v>0.93473422024424657</v>
      </c>
      <c r="S5" s="8">
        <v>0.94430864547278903</v>
      </c>
      <c r="T5" s="8">
        <v>0.94760402576418967</v>
      </c>
      <c r="U5" s="8">
        <v>0.9508994060555902</v>
      </c>
      <c r="V5" s="8">
        <v>0.95419478634699084</v>
      </c>
      <c r="W5" s="8">
        <v>0.95749016663839137</v>
      </c>
      <c r="X5" s="8">
        <v>0.96078554692979201</v>
      </c>
      <c r="Y5" s="8">
        <v>0.9646067857833508</v>
      </c>
      <c r="Z5" s="8">
        <v>0.96842802463690958</v>
      </c>
      <c r="AA5" s="8">
        <v>0.97224926349046847</v>
      </c>
      <c r="AB5" s="8">
        <v>0.97607050234402726</v>
      </c>
      <c r="AC5" s="8">
        <v>0.97989174119758604</v>
      </c>
      <c r="AD5" s="8">
        <v>0.98488349619861282</v>
      </c>
      <c r="AE5" s="8">
        <v>0.98987525119963959</v>
      </c>
      <c r="AF5" s="8">
        <v>0.99486700620066637</v>
      </c>
      <c r="AG5" s="8">
        <v>0.99985876120169315</v>
      </c>
      <c r="AH5" s="8">
        <v>1.0048505162027199</v>
      </c>
      <c r="AI5" s="8">
        <v>1.0094885738374779</v>
      </c>
      <c r="AJ5" s="8">
        <v>1.0141266314722359</v>
      </c>
      <c r="AK5" s="8">
        <v>1.0187646891069939</v>
      </c>
      <c r="AL5" s="8">
        <v>1.0234027467417519</v>
      </c>
      <c r="AM5" s="8">
        <v>1.0280408043765099</v>
      </c>
    </row>
    <row r="6" spans="1:39" x14ac:dyDescent="0.25">
      <c r="A6" t="s">
        <v>235</v>
      </c>
      <c r="B6" t="s">
        <v>240</v>
      </c>
      <c r="C6" t="s">
        <v>299</v>
      </c>
      <c r="D6" t="s">
        <v>300</v>
      </c>
      <c r="E6" s="8">
        <v>0.97646940063908205</v>
      </c>
      <c r="F6" s="8">
        <v>0.98276936460031028</v>
      </c>
      <c r="G6" s="8">
        <v>0.98906932856153862</v>
      </c>
      <c r="H6" s="8">
        <v>0.99536929252276685</v>
      </c>
      <c r="I6" s="8">
        <v>1.0016692564839951</v>
      </c>
      <c r="J6" s="8">
        <v>1.007969220445224</v>
      </c>
      <c r="K6" s="8">
        <v>1.014269184406452</v>
      </c>
      <c r="L6" s="8">
        <v>1.02056914836768</v>
      </c>
      <c r="M6" s="8">
        <v>1.03471539957255</v>
      </c>
      <c r="N6" s="8">
        <v>1.04886165077742</v>
      </c>
      <c r="O6" s="8">
        <v>1.06300790198229</v>
      </c>
      <c r="P6" s="8">
        <v>1.07715415318716</v>
      </c>
      <c r="Q6" s="8">
        <v>1.09130040439203</v>
      </c>
      <c r="R6" s="8">
        <v>1.102594209174065</v>
      </c>
      <c r="S6" s="8">
        <v>1.1138880139561</v>
      </c>
      <c r="T6" s="8">
        <v>1.117775180108652</v>
      </c>
      <c r="U6" s="8">
        <v>1.1216623462612041</v>
      </c>
      <c r="V6" s="8">
        <v>1.125549512413756</v>
      </c>
      <c r="W6" s="8">
        <v>1.1294366785663079</v>
      </c>
      <c r="X6" s="8">
        <v>1.1333238447188601</v>
      </c>
      <c r="Y6" s="8">
        <v>1.1378313033393941</v>
      </c>
      <c r="Z6" s="8">
        <v>1.1423387619599279</v>
      </c>
      <c r="AA6" s="8">
        <v>1.1468462205804619</v>
      </c>
      <c r="AB6" s="8">
        <v>1.151353679200996</v>
      </c>
      <c r="AC6" s="8">
        <v>1.15586113782153</v>
      </c>
      <c r="AD6" s="8">
        <v>1.1617493143948801</v>
      </c>
      <c r="AE6" s="8">
        <v>1.1676374909682301</v>
      </c>
      <c r="AF6" s="8">
        <v>1.1735256675415799</v>
      </c>
      <c r="AG6" s="8">
        <v>1.17941384411493</v>
      </c>
      <c r="AH6" s="8">
        <v>1.1853020206882801</v>
      </c>
      <c r="AI6" s="8">
        <v>1.190772982770798</v>
      </c>
      <c r="AJ6" s="8">
        <v>1.196243944853316</v>
      </c>
      <c r="AK6" s="8">
        <v>1.2017149069358339</v>
      </c>
      <c r="AL6" s="8">
        <v>1.2071858690183519</v>
      </c>
      <c r="AM6" s="8">
        <v>1.2126568311008701</v>
      </c>
    </row>
    <row r="7" spans="1:39" x14ac:dyDescent="0.25">
      <c r="A7" t="s">
        <v>235</v>
      </c>
      <c r="B7" t="s">
        <v>240</v>
      </c>
      <c r="C7" t="s">
        <v>301</v>
      </c>
      <c r="D7" t="s">
        <v>302</v>
      </c>
      <c r="E7" s="8">
        <v>0.41776090934612897</v>
      </c>
      <c r="F7" s="8">
        <v>0.42045621005413097</v>
      </c>
      <c r="G7" s="8">
        <v>0.42315151076213298</v>
      </c>
      <c r="H7" s="8">
        <v>0.42584681147013498</v>
      </c>
      <c r="I7" s="8">
        <v>0.42854211217813698</v>
      </c>
      <c r="J7" s="8">
        <v>0.43123741288613898</v>
      </c>
      <c r="K7" s="8">
        <v>0.43393271359414098</v>
      </c>
      <c r="L7" s="8">
        <v>0.43662801430214299</v>
      </c>
      <c r="M7" s="8">
        <v>0.44268017605755339</v>
      </c>
      <c r="N7" s="8">
        <v>0.44873233781296379</v>
      </c>
      <c r="O7" s="8">
        <v>0.45478449956837419</v>
      </c>
      <c r="P7" s="8">
        <v>0.46083666132378459</v>
      </c>
      <c r="Q7" s="8">
        <v>0.46688882307919499</v>
      </c>
      <c r="R7" s="8">
        <v>0.47172062850422453</v>
      </c>
      <c r="S7" s="8">
        <v>0.476552433929254</v>
      </c>
      <c r="T7" s="8">
        <v>0.47821547227398042</v>
      </c>
      <c r="U7" s="8">
        <v>0.47987851061870679</v>
      </c>
      <c r="V7" s="8">
        <v>0.48154154896343321</v>
      </c>
      <c r="W7" s="8">
        <v>0.48320458730815963</v>
      </c>
      <c r="X7" s="8">
        <v>0.48486762565288599</v>
      </c>
      <c r="Y7" s="8">
        <v>0.48679604246204899</v>
      </c>
      <c r="Z7" s="8">
        <v>0.488724459271212</v>
      </c>
      <c r="AA7" s="8">
        <v>0.490652876080375</v>
      </c>
      <c r="AB7" s="8">
        <v>0.492581292889538</v>
      </c>
      <c r="AC7" s="8">
        <v>0.49450970969870101</v>
      </c>
      <c r="AD7" s="8">
        <v>0.49702883625472999</v>
      </c>
      <c r="AE7" s="8">
        <v>0.49954796281075903</v>
      </c>
      <c r="AF7" s="8">
        <v>0.50206708936678801</v>
      </c>
      <c r="AG7" s="8">
        <v>0.50458621592281694</v>
      </c>
      <c r="AH7" s="8">
        <v>0.50710534247884598</v>
      </c>
      <c r="AI7" s="8">
        <v>0.50944597300993355</v>
      </c>
      <c r="AJ7" s="8">
        <v>0.51178660354102112</v>
      </c>
      <c r="AK7" s="8">
        <v>0.51412723407210881</v>
      </c>
      <c r="AL7" s="8">
        <v>0.51646786460319638</v>
      </c>
      <c r="AM7" s="8">
        <v>0.51880849513428395</v>
      </c>
    </row>
    <row r="8" spans="1:39" x14ac:dyDescent="0.25">
      <c r="A8" t="s">
        <v>235</v>
      </c>
      <c r="B8" t="s">
        <v>240</v>
      </c>
      <c r="C8" t="s">
        <v>303</v>
      </c>
      <c r="D8" t="s">
        <v>304</v>
      </c>
      <c r="E8" s="8">
        <v>0.78261062678306104</v>
      </c>
      <c r="F8" s="8">
        <v>0.78765985694195573</v>
      </c>
      <c r="G8" s="8">
        <v>0.79270908710085042</v>
      </c>
      <c r="H8" s="8">
        <v>0.79775831725974511</v>
      </c>
      <c r="I8" s="8">
        <v>0.80280754741863991</v>
      </c>
      <c r="J8" s="8">
        <v>0.8078567775775346</v>
      </c>
      <c r="K8" s="8">
        <v>0.81290600773642929</v>
      </c>
      <c r="L8" s="8">
        <v>0.81795523789532398</v>
      </c>
      <c r="M8" s="8">
        <v>0.82929302946416616</v>
      </c>
      <c r="N8" s="8">
        <v>0.84063082103300835</v>
      </c>
      <c r="O8" s="8">
        <v>0.85196861260185064</v>
      </c>
      <c r="P8" s="8">
        <v>0.86330640417069282</v>
      </c>
      <c r="Q8" s="8">
        <v>0.874644195739535</v>
      </c>
      <c r="R8" s="8">
        <v>0.883695837964665</v>
      </c>
      <c r="S8" s="8">
        <v>0.892747480189795</v>
      </c>
      <c r="T8" s="8">
        <v>0.89586292605516482</v>
      </c>
      <c r="U8" s="8">
        <v>0.89897837192053465</v>
      </c>
      <c r="V8" s="8">
        <v>0.90209381778590436</v>
      </c>
      <c r="W8" s="8">
        <v>0.90520926365127419</v>
      </c>
      <c r="X8" s="8">
        <v>0.90832470951664401</v>
      </c>
      <c r="Y8" s="8">
        <v>0.91193730099772896</v>
      </c>
      <c r="Z8" s="8">
        <v>0.91554989247881402</v>
      </c>
      <c r="AA8" s="8">
        <v>0.91916248395989897</v>
      </c>
      <c r="AB8" s="8">
        <v>0.92277507544098403</v>
      </c>
      <c r="AC8" s="8">
        <v>0.92638766692206898</v>
      </c>
      <c r="AD8" s="8">
        <v>0.93110686199543113</v>
      </c>
      <c r="AE8" s="8">
        <v>0.9358260570687934</v>
      </c>
      <c r="AF8" s="8">
        <v>0.94054525214215556</v>
      </c>
      <c r="AG8" s="8">
        <v>0.94526444721551783</v>
      </c>
      <c r="AH8" s="8">
        <v>0.94998364228887999</v>
      </c>
      <c r="AI8" s="8">
        <v>0.95436845259067238</v>
      </c>
      <c r="AJ8" s="8">
        <v>0.95875326289246476</v>
      </c>
      <c r="AK8" s="8">
        <v>0.96313807319425726</v>
      </c>
      <c r="AL8" s="8">
        <v>0.96752288349604965</v>
      </c>
      <c r="AM8" s="8">
        <v>0.97190769379784203</v>
      </c>
    </row>
    <row r="9" spans="1:39" x14ac:dyDescent="0.25">
      <c r="A9" t="s">
        <v>235</v>
      </c>
      <c r="B9" t="s">
        <v>240</v>
      </c>
      <c r="C9" t="s">
        <v>305</v>
      </c>
      <c r="D9" t="s">
        <v>306</v>
      </c>
      <c r="E9" s="8">
        <v>2.1908660504453E-2</v>
      </c>
      <c r="F9" s="8">
        <v>2.214744328327567E-2</v>
      </c>
      <c r="G9" s="8">
        <v>2.2386226062098339E-2</v>
      </c>
      <c r="H9" s="8">
        <v>2.2625008840921019E-2</v>
      </c>
      <c r="I9" s="8">
        <v>2.2863791619743681E-2</v>
      </c>
      <c r="J9" s="8">
        <v>2.3102574398566361E-2</v>
      </c>
      <c r="K9" s="8">
        <v>2.3341357177389031E-2</v>
      </c>
      <c r="L9" s="8">
        <v>2.35801399562117E-2</v>
      </c>
      <c r="M9" s="8">
        <v>2.372967102977722E-2</v>
      </c>
      <c r="N9" s="8">
        <v>2.3879202103342739E-2</v>
      </c>
      <c r="O9" s="8">
        <v>2.4028733176908259E-2</v>
      </c>
      <c r="P9" s="8">
        <v>2.4178264250473779E-2</v>
      </c>
      <c r="Q9" s="8">
        <v>2.4327795324039302E-2</v>
      </c>
      <c r="R9" s="8">
        <v>2.44753371735675E-2</v>
      </c>
      <c r="S9" s="8">
        <v>2.4622879023095699E-2</v>
      </c>
      <c r="T9" s="8">
        <v>2.4754943563359479E-2</v>
      </c>
      <c r="U9" s="8">
        <v>2.4887008103623261E-2</v>
      </c>
      <c r="V9" s="8">
        <v>2.5019072643887041E-2</v>
      </c>
      <c r="W9" s="8">
        <v>2.515113718415082E-2</v>
      </c>
      <c r="X9" s="8">
        <v>2.5283201724414599E-2</v>
      </c>
      <c r="Y9" s="8">
        <v>2.5403307038980361E-2</v>
      </c>
      <c r="Z9" s="8">
        <v>2.5523412353546122E-2</v>
      </c>
      <c r="AA9" s="8">
        <v>2.5643517668111879E-2</v>
      </c>
      <c r="AB9" s="8">
        <v>2.5763622982677641E-2</v>
      </c>
      <c r="AC9" s="8">
        <v>2.5883728297243402E-2</v>
      </c>
      <c r="AD9" s="8">
        <v>2.599471802026156E-2</v>
      </c>
      <c r="AE9" s="8">
        <v>2.6105707743279721E-2</v>
      </c>
      <c r="AF9" s="8">
        <v>2.6216697466297879E-2</v>
      </c>
      <c r="AG9" s="8">
        <v>2.6327687189316041E-2</v>
      </c>
      <c r="AH9" s="8">
        <v>2.6438676912334199E-2</v>
      </c>
      <c r="AI9" s="8">
        <v>2.6540772147290739E-2</v>
      </c>
      <c r="AJ9" s="8">
        <v>2.664286738224728E-2</v>
      </c>
      <c r="AK9" s="8">
        <v>2.674496261720382E-2</v>
      </c>
      <c r="AL9" s="8">
        <v>2.684705785216036E-2</v>
      </c>
      <c r="AM9" s="8">
        <v>2.69491530871169E-2</v>
      </c>
    </row>
    <row r="10" spans="1:39" x14ac:dyDescent="0.25">
      <c r="A10" t="s">
        <v>235</v>
      </c>
      <c r="B10" t="s">
        <v>240</v>
      </c>
      <c r="C10" t="s">
        <v>307</v>
      </c>
      <c r="D10" t="s">
        <v>308</v>
      </c>
      <c r="E10" s="8">
        <v>0.14530587919303001</v>
      </c>
      <c r="F10" s="8">
        <v>0.14612414193665241</v>
      </c>
      <c r="G10" s="8">
        <v>0.14694240468027489</v>
      </c>
      <c r="H10" s="8">
        <v>0.14776066742389729</v>
      </c>
      <c r="I10" s="8">
        <v>0.14857893016751969</v>
      </c>
      <c r="J10" s="8">
        <v>0.14939719291114209</v>
      </c>
      <c r="K10" s="8">
        <v>0.1502154556547646</v>
      </c>
      <c r="L10" s="8">
        <v>0.151033718398387</v>
      </c>
      <c r="M10" s="8">
        <v>0.1524682084608848</v>
      </c>
      <c r="N10" s="8">
        <v>0.15390269852338259</v>
      </c>
      <c r="O10" s="8">
        <v>0.15533718858588039</v>
      </c>
      <c r="P10" s="8">
        <v>0.15677167864837821</v>
      </c>
      <c r="Q10" s="8">
        <v>0.15820616871087601</v>
      </c>
      <c r="R10" s="8">
        <v>0.1597835676606085</v>
      </c>
      <c r="S10" s="8">
        <v>0.16136096661034099</v>
      </c>
      <c r="T10" s="8">
        <v>0.16257984875156761</v>
      </c>
      <c r="U10" s="8">
        <v>0.1637987308927942</v>
      </c>
      <c r="V10" s="8">
        <v>0.16501761303402079</v>
      </c>
      <c r="W10" s="8">
        <v>0.16623649517524741</v>
      </c>
      <c r="X10" s="8">
        <v>0.167455377316474</v>
      </c>
      <c r="Y10" s="8">
        <v>0.16810407952755321</v>
      </c>
      <c r="Z10" s="8">
        <v>0.1687527817386324</v>
      </c>
      <c r="AA10" s="8">
        <v>0.16940148394971161</v>
      </c>
      <c r="AB10" s="8">
        <v>0.17005018616079079</v>
      </c>
      <c r="AC10" s="8">
        <v>0.17069888837187</v>
      </c>
      <c r="AD10" s="8">
        <v>0.17143698291529161</v>
      </c>
      <c r="AE10" s="8">
        <v>0.17217507745871319</v>
      </c>
      <c r="AF10" s="8">
        <v>0.1729131720021348</v>
      </c>
      <c r="AG10" s="8">
        <v>0.1736512665455564</v>
      </c>
      <c r="AH10" s="8">
        <v>0.17438936108897801</v>
      </c>
      <c r="AI10" s="8">
        <v>0.17515153603531039</v>
      </c>
      <c r="AJ10" s="8">
        <v>0.1759137109816428</v>
      </c>
      <c r="AK10" s="8">
        <v>0.1766758859279752</v>
      </c>
      <c r="AL10" s="8">
        <v>0.17743806087430761</v>
      </c>
      <c r="AM10" s="8">
        <v>0.17820023582064001</v>
      </c>
    </row>
    <row r="11" spans="1:39" x14ac:dyDescent="0.25">
      <c r="A11" t="s">
        <v>235</v>
      </c>
      <c r="B11" t="s">
        <v>240</v>
      </c>
      <c r="C11" t="s">
        <v>309</v>
      </c>
      <c r="D11" t="s">
        <v>310</v>
      </c>
      <c r="E11" s="8">
        <v>8.5179682819493396E-3</v>
      </c>
      <c r="F11" s="8">
        <v>8.5987927605896079E-3</v>
      </c>
      <c r="G11" s="8">
        <v>8.6796172392298778E-3</v>
      </c>
      <c r="H11" s="8">
        <v>8.760441717870146E-3</v>
      </c>
      <c r="I11" s="8">
        <v>8.8412661965104142E-3</v>
      </c>
      <c r="J11" s="8">
        <v>8.9220906751506825E-3</v>
      </c>
      <c r="K11" s="8">
        <v>9.0029151537909524E-3</v>
      </c>
      <c r="L11" s="8">
        <v>9.0837396324312206E-3</v>
      </c>
      <c r="M11" s="8">
        <v>9.1734366332611381E-3</v>
      </c>
      <c r="N11" s="8">
        <v>9.2631336340910555E-3</v>
      </c>
      <c r="O11" s="8">
        <v>9.3528306349209746E-3</v>
      </c>
      <c r="P11" s="8">
        <v>9.4425276357508921E-3</v>
      </c>
      <c r="Q11" s="8">
        <v>9.5322246365808095E-3</v>
      </c>
      <c r="R11" s="8">
        <v>9.6250304394095154E-3</v>
      </c>
      <c r="S11" s="8">
        <v>9.7178362422382196E-3</v>
      </c>
      <c r="T11" s="8">
        <v>9.8053651221661955E-3</v>
      </c>
      <c r="U11" s="8">
        <v>9.8928940020941714E-3</v>
      </c>
      <c r="V11" s="8">
        <v>9.980422882022149E-3</v>
      </c>
      <c r="W11" s="8">
        <v>1.006795176195012E-2</v>
      </c>
      <c r="X11" s="8">
        <v>1.0155480641878101E-2</v>
      </c>
      <c r="Y11" s="8">
        <v>1.0229886273962799E-2</v>
      </c>
      <c r="Z11" s="8">
        <v>1.0304291906047499E-2</v>
      </c>
      <c r="AA11" s="8">
        <v>1.0378697538132199E-2</v>
      </c>
      <c r="AB11" s="8">
        <v>1.04531031702169E-2</v>
      </c>
      <c r="AC11" s="8">
        <v>1.05275088023016E-2</v>
      </c>
      <c r="AD11" s="8">
        <v>1.059152835184292E-2</v>
      </c>
      <c r="AE11" s="8">
        <v>1.0655547901384239E-2</v>
      </c>
      <c r="AF11" s="8">
        <v>1.071956745092556E-2</v>
      </c>
      <c r="AG11" s="8">
        <v>1.0783587000466881E-2</v>
      </c>
      <c r="AH11" s="8">
        <v>1.08476065500082E-2</v>
      </c>
      <c r="AI11" s="8">
        <v>1.090725275657594E-2</v>
      </c>
      <c r="AJ11" s="8">
        <v>1.096689896314368E-2</v>
      </c>
      <c r="AK11" s="8">
        <v>1.1026545169711421E-2</v>
      </c>
      <c r="AL11" s="8">
        <v>1.1086191376279159E-2</v>
      </c>
      <c r="AM11" s="8">
        <v>1.11458375828469E-2</v>
      </c>
    </row>
    <row r="12" spans="1:39" x14ac:dyDescent="0.25">
      <c r="A12" t="s">
        <v>235</v>
      </c>
      <c r="B12" t="s">
        <v>240</v>
      </c>
      <c r="C12" t="s">
        <v>311</v>
      </c>
      <c r="D12" t="s">
        <v>312</v>
      </c>
      <c r="E12" s="8">
        <v>3.8257808694650502E-4</v>
      </c>
      <c r="F12" s="8">
        <v>3.9314226424617E-4</v>
      </c>
      <c r="G12" s="8">
        <v>4.0370644154583498E-4</v>
      </c>
      <c r="H12" s="8">
        <v>4.1427061884550002E-4</v>
      </c>
      <c r="I12" s="8">
        <v>4.24834796145165E-4</v>
      </c>
      <c r="J12" s="8">
        <v>4.3539897344482999E-4</v>
      </c>
      <c r="K12" s="8">
        <v>4.4596315074449502E-4</v>
      </c>
      <c r="L12" s="8">
        <v>4.5652732804416001E-4</v>
      </c>
      <c r="M12" s="8">
        <v>4.6820658430109702E-4</v>
      </c>
      <c r="N12" s="8">
        <v>4.7988584055803397E-4</v>
      </c>
      <c r="O12" s="8">
        <v>4.9156509681497098E-4</v>
      </c>
      <c r="P12" s="8">
        <v>5.03244353071908E-4</v>
      </c>
      <c r="Q12" s="8">
        <v>5.1492360932884501E-4</v>
      </c>
      <c r="R12" s="8">
        <v>5.2608937582504143E-4</v>
      </c>
      <c r="S12" s="8">
        <v>5.3725514232123796E-4</v>
      </c>
      <c r="T12" s="8">
        <v>5.4673510762143782E-4</v>
      </c>
      <c r="U12" s="8">
        <v>5.5621507292163757E-4</v>
      </c>
      <c r="V12" s="8">
        <v>5.6569503822183744E-4</v>
      </c>
      <c r="W12" s="8">
        <v>5.7517500352203719E-4</v>
      </c>
      <c r="X12" s="8">
        <v>5.8465496882223705E-4</v>
      </c>
      <c r="Y12" s="8">
        <v>5.9099249630801859E-4</v>
      </c>
      <c r="Z12" s="8">
        <v>5.9733002379380024E-4</v>
      </c>
      <c r="AA12" s="8">
        <v>6.0366755127958178E-4</v>
      </c>
      <c r="AB12" s="8">
        <v>6.1000507876536342E-4</v>
      </c>
      <c r="AC12" s="8">
        <v>6.1634260625114496E-4</v>
      </c>
      <c r="AD12" s="8">
        <v>6.1973808175092363E-4</v>
      </c>
      <c r="AE12" s="8">
        <v>6.2313355725070218E-4</v>
      </c>
      <c r="AF12" s="8">
        <v>6.2652903275048084E-4</v>
      </c>
      <c r="AG12" s="8">
        <v>6.2992450825025939E-4</v>
      </c>
      <c r="AH12" s="8">
        <v>6.3331998375003805E-4</v>
      </c>
      <c r="AI12" s="8">
        <v>6.35640350125895E-4</v>
      </c>
      <c r="AJ12" s="8">
        <v>6.3796071650175205E-4</v>
      </c>
      <c r="AK12" s="8">
        <v>6.40281082877609E-4</v>
      </c>
      <c r="AL12" s="8">
        <v>6.4260144925346605E-4</v>
      </c>
      <c r="AM12" s="8">
        <v>6.4492181562932299E-4</v>
      </c>
    </row>
    <row r="13" spans="1:39" x14ac:dyDescent="0.25">
      <c r="A13" t="s">
        <v>235</v>
      </c>
      <c r="B13" t="s">
        <v>240</v>
      </c>
      <c r="C13" t="s">
        <v>313</v>
      </c>
      <c r="D13" t="s">
        <v>314</v>
      </c>
      <c r="E13" s="8">
        <v>6.4952332304323099E-4</v>
      </c>
      <c r="F13" s="8">
        <v>6.7074379235705943E-4</v>
      </c>
      <c r="G13" s="8">
        <v>6.9196426167088786E-4</v>
      </c>
      <c r="H13" s="8">
        <v>7.1318473098471629E-4</v>
      </c>
      <c r="I13" s="8">
        <v>7.3440520029854472E-4</v>
      </c>
      <c r="J13" s="8">
        <v>7.5562566961237315E-4</v>
      </c>
      <c r="K13" s="8">
        <v>7.7684613892620158E-4</v>
      </c>
      <c r="L13" s="8">
        <v>7.9806660824003001E-4</v>
      </c>
      <c r="M13" s="8">
        <v>8.2155411659821378E-4</v>
      </c>
      <c r="N13" s="8">
        <v>8.4504162495639755E-4</v>
      </c>
      <c r="O13" s="8">
        <v>8.6852913331458143E-4</v>
      </c>
      <c r="P13" s="8">
        <v>8.9201664167276519E-4</v>
      </c>
      <c r="Q13" s="8">
        <v>9.1550415003094896E-4</v>
      </c>
      <c r="R13" s="8">
        <v>9.3745317777647647E-4</v>
      </c>
      <c r="S13" s="8">
        <v>9.5940220552200397E-4</v>
      </c>
      <c r="T13" s="8">
        <v>9.7670650488591707E-4</v>
      </c>
      <c r="U13" s="8">
        <v>9.9401080424983039E-4</v>
      </c>
      <c r="V13" s="8">
        <v>1.0113151036137431E-3</v>
      </c>
      <c r="W13" s="8">
        <v>1.028619402977657E-3</v>
      </c>
      <c r="X13" s="8">
        <v>1.0459237023415699E-3</v>
      </c>
      <c r="Y13" s="8">
        <v>1.05633449361908E-3</v>
      </c>
      <c r="Z13" s="8">
        <v>1.0667452848965901E-3</v>
      </c>
      <c r="AA13" s="8">
        <v>1.0771560761740999E-3</v>
      </c>
      <c r="AB13" s="8">
        <v>1.08756686745161E-3</v>
      </c>
      <c r="AC13" s="8">
        <v>1.0979776587291201E-3</v>
      </c>
      <c r="AD13" s="8">
        <v>1.102700065657504E-3</v>
      </c>
      <c r="AE13" s="8">
        <v>1.107422472585888E-3</v>
      </c>
      <c r="AF13" s="8">
        <v>1.112144879514272E-3</v>
      </c>
      <c r="AG13" s="8">
        <v>1.116867286442656E-3</v>
      </c>
      <c r="AH13" s="8">
        <v>1.1215896933710399E-3</v>
      </c>
      <c r="AI13" s="8">
        <v>1.124745454165188E-3</v>
      </c>
      <c r="AJ13" s="8">
        <v>1.1279012149593361E-3</v>
      </c>
      <c r="AK13" s="8">
        <v>1.1310569757534839E-3</v>
      </c>
      <c r="AL13" s="8">
        <v>1.134212736547632E-3</v>
      </c>
      <c r="AM13" s="8">
        <v>1.1373684973417801E-3</v>
      </c>
    </row>
    <row r="14" spans="1:39" x14ac:dyDescent="0.25">
      <c r="A14" t="s">
        <v>235</v>
      </c>
      <c r="B14" t="s">
        <v>240</v>
      </c>
      <c r="C14" t="s">
        <v>315</v>
      </c>
      <c r="D14" t="s">
        <v>316</v>
      </c>
      <c r="E14" s="8">
        <v>0.84444526544818699</v>
      </c>
      <c r="F14" s="8">
        <v>0.84570166762203625</v>
      </c>
      <c r="G14" s="8">
        <v>0.84695806979588562</v>
      </c>
      <c r="H14" s="8">
        <v>0.84821447196973487</v>
      </c>
      <c r="I14" s="8">
        <v>0.84947087414358413</v>
      </c>
      <c r="J14" s="8">
        <v>0.85072727631743339</v>
      </c>
      <c r="K14" s="8">
        <v>0.85198367849128276</v>
      </c>
      <c r="L14" s="8">
        <v>0.85324008066513202</v>
      </c>
      <c r="M14" s="8">
        <v>0.85455024960722559</v>
      </c>
      <c r="N14" s="8">
        <v>0.85586041854931916</v>
      </c>
      <c r="O14" s="8">
        <v>0.85717058749141284</v>
      </c>
      <c r="P14" s="8">
        <v>0.85848075643350641</v>
      </c>
      <c r="Q14" s="8">
        <v>0.85979092537559998</v>
      </c>
      <c r="R14" s="8">
        <v>0.86215677863801599</v>
      </c>
      <c r="S14" s="8">
        <v>0.86452263190043199</v>
      </c>
      <c r="T14" s="8">
        <v>0.86915014732619922</v>
      </c>
      <c r="U14" s="8">
        <v>0.87377766275196644</v>
      </c>
      <c r="V14" s="8">
        <v>0.87840517817773356</v>
      </c>
      <c r="W14" s="8">
        <v>0.88303269360350078</v>
      </c>
      <c r="X14" s="8">
        <v>0.88766020902926801</v>
      </c>
      <c r="Y14" s="8">
        <v>0.89428576185257036</v>
      </c>
      <c r="Z14" s="8">
        <v>0.90091131467587282</v>
      </c>
      <c r="AA14" s="8">
        <v>0.90753686749917517</v>
      </c>
      <c r="AB14" s="8">
        <v>0.91416242032247763</v>
      </c>
      <c r="AC14" s="8">
        <v>0.92078797314577998</v>
      </c>
      <c r="AD14" s="8">
        <v>0.92741213296078218</v>
      </c>
      <c r="AE14" s="8">
        <v>0.93403629277578437</v>
      </c>
      <c r="AF14" s="8">
        <v>0.94066045259078657</v>
      </c>
      <c r="AG14" s="8">
        <v>0.94728461240578876</v>
      </c>
      <c r="AH14" s="8">
        <v>0.95390877222079096</v>
      </c>
      <c r="AI14" s="8">
        <v>0.95950924699150997</v>
      </c>
      <c r="AJ14" s="8">
        <v>0.96510972176222898</v>
      </c>
      <c r="AK14" s="8">
        <v>0.97071019653294799</v>
      </c>
      <c r="AL14" s="8">
        <v>0.976310671303667</v>
      </c>
      <c r="AM14" s="8">
        <v>0.98191114607438601</v>
      </c>
    </row>
    <row r="15" spans="1:39" x14ac:dyDescent="0.25">
      <c r="A15" t="s">
        <v>235</v>
      </c>
      <c r="B15" t="s">
        <v>240</v>
      </c>
      <c r="C15" t="s">
        <v>317</v>
      </c>
      <c r="D15" t="s">
        <v>318</v>
      </c>
      <c r="E15" s="8">
        <v>0.14158237572207599</v>
      </c>
      <c r="F15" s="8">
        <v>0.14195834890697409</v>
      </c>
      <c r="G15" s="8">
        <v>0.1423343220918723</v>
      </c>
      <c r="H15" s="8">
        <v>0.1427102952767704</v>
      </c>
      <c r="I15" s="8">
        <v>0.14308626846166861</v>
      </c>
      <c r="J15" s="8">
        <v>0.14346224164656671</v>
      </c>
      <c r="K15" s="8">
        <v>0.14383821483146481</v>
      </c>
      <c r="L15" s="8">
        <v>0.14421418801636299</v>
      </c>
      <c r="M15" s="8">
        <v>0.14453569990527279</v>
      </c>
      <c r="N15" s="8">
        <v>0.14485721179418259</v>
      </c>
      <c r="O15" s="8">
        <v>0.1451787236830924</v>
      </c>
      <c r="P15" s="8">
        <v>0.1455002355720022</v>
      </c>
      <c r="Q15" s="8">
        <v>0.145821747460912</v>
      </c>
      <c r="R15" s="8">
        <v>0.14629115756135949</v>
      </c>
      <c r="S15" s="8">
        <v>0.14676056766180701</v>
      </c>
      <c r="T15" s="8">
        <v>0.14752098658428039</v>
      </c>
      <c r="U15" s="8">
        <v>0.14828140550675381</v>
      </c>
      <c r="V15" s="8">
        <v>0.1490418244292272</v>
      </c>
      <c r="W15" s="8">
        <v>0.14980224335170059</v>
      </c>
      <c r="X15" s="8">
        <v>0.150562662274174</v>
      </c>
      <c r="Y15" s="8">
        <v>0.15155230084038959</v>
      </c>
      <c r="Z15" s="8">
        <v>0.15254193940660521</v>
      </c>
      <c r="AA15" s="8">
        <v>0.1535315779728208</v>
      </c>
      <c r="AB15" s="8">
        <v>0.15452121653903639</v>
      </c>
      <c r="AC15" s="8">
        <v>0.155510855105252</v>
      </c>
      <c r="AD15" s="8">
        <v>0.1566141755694114</v>
      </c>
      <c r="AE15" s="8">
        <v>0.1577174960335708</v>
      </c>
      <c r="AF15" s="8">
        <v>0.15882081649773019</v>
      </c>
      <c r="AG15" s="8">
        <v>0.15992413696188959</v>
      </c>
      <c r="AH15" s="8">
        <v>0.16102745742604899</v>
      </c>
      <c r="AI15" s="8">
        <v>0.16198508076348839</v>
      </c>
      <c r="AJ15" s="8">
        <v>0.16294270410092779</v>
      </c>
      <c r="AK15" s="8">
        <v>0.16390032743836719</v>
      </c>
      <c r="AL15" s="8">
        <v>0.16485795077580659</v>
      </c>
      <c r="AM15" s="8">
        <v>0.16581557411324599</v>
      </c>
    </row>
    <row r="16" spans="1:39" x14ac:dyDescent="0.25">
      <c r="A16" t="s">
        <v>235</v>
      </c>
      <c r="B16" t="s">
        <v>240</v>
      </c>
      <c r="C16" t="s">
        <v>319</v>
      </c>
      <c r="D16" t="s">
        <v>320</v>
      </c>
      <c r="E16" s="8">
        <v>7.1045134845606301E-5</v>
      </c>
      <c r="F16" s="8">
        <v>7.2297285121308686E-5</v>
      </c>
      <c r="G16" s="8">
        <v>7.3549435397011071E-5</v>
      </c>
      <c r="H16" s="8">
        <v>7.4801585672713456E-5</v>
      </c>
      <c r="I16" s="8">
        <v>7.6053735948415841E-5</v>
      </c>
      <c r="J16" s="8">
        <v>7.7305886224118226E-5</v>
      </c>
      <c r="K16" s="8">
        <v>7.8558036499820611E-5</v>
      </c>
      <c r="L16" s="8">
        <v>7.9810186775522996E-5</v>
      </c>
      <c r="M16" s="8">
        <v>8.1348821267153792E-5</v>
      </c>
      <c r="N16" s="8">
        <v>8.2887455758784602E-5</v>
      </c>
      <c r="O16" s="8">
        <v>8.4426090250415398E-5</v>
      </c>
      <c r="P16" s="8">
        <v>8.5964724742046208E-5</v>
      </c>
      <c r="Q16" s="8">
        <v>8.7503359233677004E-5</v>
      </c>
      <c r="R16" s="8">
        <v>8.9144266603621299E-5</v>
      </c>
      <c r="S16" s="8">
        <v>9.0785173973565594E-5</v>
      </c>
      <c r="T16" s="8">
        <v>9.2531801058983969E-5</v>
      </c>
      <c r="U16" s="8">
        <v>9.4278428144402358E-5</v>
      </c>
      <c r="V16" s="8">
        <v>9.6025055229820733E-5</v>
      </c>
      <c r="W16" s="8">
        <v>9.7771682315239122E-5</v>
      </c>
      <c r="X16" s="8">
        <v>9.9518309400657497E-5</v>
      </c>
      <c r="Y16" s="8">
        <v>1.0094505661244781E-4</v>
      </c>
      <c r="Z16" s="8">
        <v>1.023718038242381E-4</v>
      </c>
      <c r="AA16" s="8">
        <v>1.037985510360284E-4</v>
      </c>
      <c r="AB16" s="8">
        <v>1.052252982478187E-4</v>
      </c>
      <c r="AC16" s="8">
        <v>1.06652045459609E-4</v>
      </c>
      <c r="AD16" s="8">
        <v>1.07277822431368E-4</v>
      </c>
      <c r="AE16" s="8">
        <v>1.07903599403127E-4</v>
      </c>
      <c r="AF16" s="8">
        <v>1.08529376374886E-4</v>
      </c>
      <c r="AG16" s="8">
        <v>1.09155153346645E-4</v>
      </c>
      <c r="AH16" s="8">
        <v>1.09780930318404E-4</v>
      </c>
      <c r="AI16" s="8">
        <v>1.100041086816446E-4</v>
      </c>
      <c r="AJ16" s="8">
        <v>1.102272870448852E-4</v>
      </c>
      <c r="AK16" s="8">
        <v>1.104504654081258E-4</v>
      </c>
      <c r="AL16" s="8">
        <v>1.106736437713664E-4</v>
      </c>
      <c r="AM16" s="8">
        <v>1.1089682213460701E-4</v>
      </c>
    </row>
    <row r="17" spans="1:39" x14ac:dyDescent="0.25">
      <c r="A17" t="s">
        <v>235</v>
      </c>
      <c r="B17" t="s">
        <v>240</v>
      </c>
      <c r="C17" t="s">
        <v>321</v>
      </c>
      <c r="D17" t="s">
        <v>322</v>
      </c>
      <c r="E17" s="8">
        <v>1.2827092599240701E-4</v>
      </c>
      <c r="F17" s="8">
        <v>1.3240292275373971E-4</v>
      </c>
      <c r="G17" s="8">
        <v>1.3653491951507241E-4</v>
      </c>
      <c r="H17" s="8">
        <v>1.4066691627640521E-4</v>
      </c>
      <c r="I17" s="8">
        <v>1.4479891303773791E-4</v>
      </c>
      <c r="J17" s="8">
        <v>1.4893090979907061E-4</v>
      </c>
      <c r="K17" s="8">
        <v>1.530629065604033E-4</v>
      </c>
      <c r="L17" s="8">
        <v>1.57194903321736E-4</v>
      </c>
      <c r="M17" s="8">
        <v>1.6195385778790139E-4</v>
      </c>
      <c r="N17" s="8">
        <v>1.6671281225406681E-4</v>
      </c>
      <c r="O17" s="8">
        <v>1.714717667202322E-4</v>
      </c>
      <c r="P17" s="8">
        <v>1.7623072118639759E-4</v>
      </c>
      <c r="Q17" s="8">
        <v>1.80989675652563E-4</v>
      </c>
      <c r="R17" s="8">
        <v>1.85509895385236E-4</v>
      </c>
      <c r="S17" s="8">
        <v>1.9003011511790899E-4</v>
      </c>
      <c r="T17" s="8">
        <v>1.9383127119781721E-4</v>
      </c>
      <c r="U17" s="8">
        <v>1.976324272777254E-4</v>
      </c>
      <c r="V17" s="8">
        <v>2.014335833576336E-4</v>
      </c>
      <c r="W17" s="8">
        <v>2.0523473943754179E-4</v>
      </c>
      <c r="X17" s="8">
        <v>2.0903589551745001E-4</v>
      </c>
      <c r="Y17" s="8">
        <v>2.1141288436470919E-4</v>
      </c>
      <c r="Z17" s="8">
        <v>2.137898732119684E-4</v>
      </c>
      <c r="AA17" s="8">
        <v>2.1616686205922761E-4</v>
      </c>
      <c r="AB17" s="8">
        <v>2.1854385090648679E-4</v>
      </c>
      <c r="AC17" s="8">
        <v>2.20920839753746E-4</v>
      </c>
      <c r="AD17" s="8">
        <v>2.22005394491494E-4</v>
      </c>
      <c r="AE17" s="8">
        <v>2.2308994922924199E-4</v>
      </c>
      <c r="AF17" s="8">
        <v>2.2417450396698999E-4</v>
      </c>
      <c r="AG17" s="8">
        <v>2.2525905870473799E-4</v>
      </c>
      <c r="AH17" s="8">
        <v>2.2634361344248599E-4</v>
      </c>
      <c r="AI17" s="8">
        <v>2.269472057551378E-4</v>
      </c>
      <c r="AJ17" s="8">
        <v>2.2755079806778959E-4</v>
      </c>
      <c r="AK17" s="8">
        <v>2.281543903804414E-4</v>
      </c>
      <c r="AL17" s="8">
        <v>2.2875798269309319E-4</v>
      </c>
      <c r="AM17" s="8">
        <v>2.2936157500574501E-4</v>
      </c>
    </row>
    <row r="18" spans="1:39" x14ac:dyDescent="0.25">
      <c r="A18" t="s">
        <v>235</v>
      </c>
      <c r="B18" t="s">
        <v>240</v>
      </c>
      <c r="C18" t="s">
        <v>323</v>
      </c>
      <c r="D18" t="s">
        <v>324</v>
      </c>
      <c r="E18" s="8">
        <v>4.7146295575661401E-4</v>
      </c>
      <c r="F18" s="8">
        <v>4.8549733017520721E-4</v>
      </c>
      <c r="G18" s="8">
        <v>4.995317045938003E-4</v>
      </c>
      <c r="H18" s="8">
        <v>5.1356607901239344E-4</v>
      </c>
      <c r="I18" s="8">
        <v>5.2760045343098658E-4</v>
      </c>
      <c r="J18" s="8">
        <v>5.4163482784957973E-4</v>
      </c>
      <c r="K18" s="8">
        <v>5.5566920226817287E-4</v>
      </c>
      <c r="L18" s="8">
        <v>5.6970357668676601E-4</v>
      </c>
      <c r="M18" s="8">
        <v>5.887373994742436E-4</v>
      </c>
      <c r="N18" s="8">
        <v>6.0777122226172119E-4</v>
      </c>
      <c r="O18" s="8">
        <v>6.2680504504919877E-4</v>
      </c>
      <c r="P18" s="8">
        <v>6.4583886783667636E-4</v>
      </c>
      <c r="Q18" s="8">
        <v>6.6487269062415395E-4</v>
      </c>
      <c r="R18" s="8">
        <v>6.8499691797475795E-4</v>
      </c>
      <c r="S18" s="8">
        <v>7.0512114532536195E-4</v>
      </c>
      <c r="T18" s="8">
        <v>7.2505483355470176E-4</v>
      </c>
      <c r="U18" s="8">
        <v>7.4498852178404157E-4</v>
      </c>
      <c r="V18" s="8">
        <v>7.6492221001338138E-4</v>
      </c>
      <c r="W18" s="8">
        <v>7.8485589824272119E-4</v>
      </c>
      <c r="X18" s="8">
        <v>8.04789586472061E-4</v>
      </c>
      <c r="Y18" s="8">
        <v>8.1859877805789364E-4</v>
      </c>
      <c r="Z18" s="8">
        <v>8.3240796964372617E-4</v>
      </c>
      <c r="AA18" s="8">
        <v>8.462171612295588E-4</v>
      </c>
      <c r="AB18" s="8">
        <v>8.6002635281539133E-4</v>
      </c>
      <c r="AC18" s="8">
        <v>8.7383554440122397E-4</v>
      </c>
      <c r="AD18" s="8">
        <v>8.7979165951300193E-4</v>
      </c>
      <c r="AE18" s="8">
        <v>8.8574777462478E-4</v>
      </c>
      <c r="AF18" s="8">
        <v>8.9170388973655796E-4</v>
      </c>
      <c r="AG18" s="8">
        <v>8.9766000484833603E-4</v>
      </c>
      <c r="AH18" s="8">
        <v>9.0361611996011399E-4</v>
      </c>
      <c r="AI18" s="8">
        <v>9.0460043928977717E-4</v>
      </c>
      <c r="AJ18" s="8">
        <v>9.0558475861944035E-4</v>
      </c>
      <c r="AK18" s="8">
        <v>9.0656907794910363E-4</v>
      </c>
      <c r="AL18" s="8">
        <v>9.0755339727876681E-4</v>
      </c>
      <c r="AM18" s="8">
        <v>9.0853771660842999E-4</v>
      </c>
    </row>
    <row r="19" spans="1:39" x14ac:dyDescent="0.25">
      <c r="A19" t="s">
        <v>235</v>
      </c>
      <c r="B19" t="s">
        <v>240</v>
      </c>
      <c r="C19" t="s">
        <v>325</v>
      </c>
      <c r="D19" t="s">
        <v>326</v>
      </c>
      <c r="E19" s="8">
        <v>6.1640776048844801E-5</v>
      </c>
      <c r="F19" s="8">
        <v>6.3645435339618417E-5</v>
      </c>
      <c r="G19" s="8">
        <v>6.5650094630392033E-5</v>
      </c>
      <c r="H19" s="8">
        <v>6.765475392116565E-5</v>
      </c>
      <c r="I19" s="8">
        <v>6.9659413211939253E-5</v>
      </c>
      <c r="J19" s="8">
        <v>7.1664072502712869E-5</v>
      </c>
      <c r="K19" s="8">
        <v>7.3668731793486485E-5</v>
      </c>
      <c r="L19" s="8">
        <v>7.5673391084260102E-5</v>
      </c>
      <c r="M19" s="8">
        <v>7.7666396930083702E-5</v>
      </c>
      <c r="N19" s="8">
        <v>7.9659402775907303E-5</v>
      </c>
      <c r="O19" s="8">
        <v>8.1652408621730904E-5</v>
      </c>
      <c r="P19" s="8">
        <v>8.3645414467554505E-5</v>
      </c>
      <c r="Q19" s="8">
        <v>8.5638420313378106E-5</v>
      </c>
      <c r="R19" s="8">
        <v>8.7277423034707712E-5</v>
      </c>
      <c r="S19" s="8">
        <v>8.8916425756037305E-5</v>
      </c>
      <c r="T19" s="8">
        <v>8.995008382526451E-5</v>
      </c>
      <c r="U19" s="8">
        <v>9.0983741894491702E-5</v>
      </c>
      <c r="V19" s="8">
        <v>9.2017399963718907E-5</v>
      </c>
      <c r="W19" s="8">
        <v>9.3051058032946098E-5</v>
      </c>
      <c r="X19" s="8">
        <v>9.4084716102173303E-5</v>
      </c>
      <c r="Y19" s="8">
        <v>9.4521459242841562E-5</v>
      </c>
      <c r="Z19" s="8">
        <v>9.495820238350982E-5</v>
      </c>
      <c r="AA19" s="8">
        <v>9.5394945524178079E-5</v>
      </c>
      <c r="AB19" s="8">
        <v>9.5831688664846338E-5</v>
      </c>
      <c r="AC19" s="8">
        <v>9.6268431805514597E-5</v>
      </c>
      <c r="AD19" s="8">
        <v>9.647339544596388E-5</v>
      </c>
      <c r="AE19" s="8">
        <v>9.6678359086413163E-5</v>
      </c>
      <c r="AF19" s="8">
        <v>9.6883322726862433E-5</v>
      </c>
      <c r="AG19" s="8">
        <v>9.7088286367311716E-5</v>
      </c>
      <c r="AH19" s="8">
        <v>9.7293250007760999E-5</v>
      </c>
      <c r="AI19" s="8">
        <v>9.7638638567141685E-5</v>
      </c>
      <c r="AJ19" s="8">
        <v>9.7984027126522358E-5</v>
      </c>
      <c r="AK19" s="8">
        <v>9.8329415685903044E-5</v>
      </c>
      <c r="AL19" s="8">
        <v>9.8674804245283716E-5</v>
      </c>
      <c r="AM19" s="8">
        <v>9.9020192804664402E-5</v>
      </c>
    </row>
    <row r="20" spans="1:39" x14ac:dyDescent="0.25">
      <c r="A20" t="s">
        <v>235</v>
      </c>
      <c r="B20" t="s">
        <v>240</v>
      </c>
      <c r="C20" t="s">
        <v>327</v>
      </c>
      <c r="D20" t="s">
        <v>328</v>
      </c>
      <c r="E20" s="8">
        <v>5.5209927915784703E-5</v>
      </c>
      <c r="F20" s="8">
        <v>5.7074420564562108E-5</v>
      </c>
      <c r="G20" s="8">
        <v>5.8938913213339527E-5</v>
      </c>
      <c r="H20" s="8">
        <v>6.0803405862116952E-5</v>
      </c>
      <c r="I20" s="8">
        <v>6.2667898510894364E-5</v>
      </c>
      <c r="J20" s="8">
        <v>6.4532391159671776E-5</v>
      </c>
      <c r="K20" s="8">
        <v>6.6396883808449188E-5</v>
      </c>
      <c r="L20" s="8">
        <v>6.82613764572266E-5</v>
      </c>
      <c r="M20" s="8">
        <v>7.0075287244190126E-5</v>
      </c>
      <c r="N20" s="8">
        <v>7.1889198031153639E-5</v>
      </c>
      <c r="O20" s="8">
        <v>7.3703108818117165E-5</v>
      </c>
      <c r="P20" s="8">
        <v>7.5517019605080677E-5</v>
      </c>
      <c r="Q20" s="8">
        <v>7.7330930392044203E-5</v>
      </c>
      <c r="R20" s="8">
        <v>7.8802648357615204E-5</v>
      </c>
      <c r="S20" s="8">
        <v>8.0274366323186206E-5</v>
      </c>
      <c r="T20" s="8">
        <v>8.1138964846462486E-5</v>
      </c>
      <c r="U20" s="8">
        <v>8.2003563369738766E-5</v>
      </c>
      <c r="V20" s="8">
        <v>8.2868161893015046E-5</v>
      </c>
      <c r="W20" s="8">
        <v>8.3732760416291326E-5</v>
      </c>
      <c r="X20" s="8">
        <v>8.4597358939567606E-5</v>
      </c>
      <c r="Y20" s="8">
        <v>8.4935894269165418E-5</v>
      </c>
      <c r="Z20" s="8">
        <v>8.5274429598763244E-5</v>
      </c>
      <c r="AA20" s="8">
        <v>8.5612964928361056E-5</v>
      </c>
      <c r="AB20" s="8">
        <v>8.5951500257958882E-5</v>
      </c>
      <c r="AC20" s="8">
        <v>8.6290035587556694E-5</v>
      </c>
      <c r="AD20" s="8">
        <v>8.6426875447422158E-5</v>
      </c>
      <c r="AE20" s="8">
        <v>8.6563715307287623E-5</v>
      </c>
      <c r="AF20" s="8">
        <v>8.6700555167153073E-5</v>
      </c>
      <c r="AG20" s="8">
        <v>8.6837395027018538E-5</v>
      </c>
      <c r="AH20" s="8">
        <v>8.6974234886884002E-5</v>
      </c>
      <c r="AI20" s="8">
        <v>8.7293241251107503E-5</v>
      </c>
      <c r="AJ20" s="8">
        <v>8.7612247615331004E-5</v>
      </c>
      <c r="AK20" s="8">
        <v>8.7931253979554492E-5</v>
      </c>
      <c r="AL20" s="8">
        <v>8.8250260343777993E-5</v>
      </c>
      <c r="AM20" s="8">
        <v>8.8569266708001494E-5</v>
      </c>
    </row>
    <row r="21" spans="1:39" x14ac:dyDescent="0.25">
      <c r="A21" t="s">
        <v>235</v>
      </c>
      <c r="B21" t="s">
        <v>240</v>
      </c>
      <c r="C21" t="s">
        <v>329</v>
      </c>
      <c r="D21" t="s">
        <v>330</v>
      </c>
      <c r="E21" s="8">
        <v>1.46136214202032E-5</v>
      </c>
      <c r="F21" s="8">
        <v>1.48484110116114E-5</v>
      </c>
      <c r="G21" s="8">
        <v>1.5083200603019601E-5</v>
      </c>
      <c r="H21" s="8">
        <v>1.5317990194427801E-5</v>
      </c>
      <c r="I21" s="8">
        <v>1.5552779785836E-5</v>
      </c>
      <c r="J21" s="8">
        <v>1.5787569377244198E-5</v>
      </c>
      <c r="K21" s="8">
        <v>1.60223589686524E-5</v>
      </c>
      <c r="L21" s="8">
        <v>1.6257148560060599E-5</v>
      </c>
      <c r="M21" s="8">
        <v>1.6490788064464081E-5</v>
      </c>
      <c r="N21" s="8">
        <v>1.672442756886756E-5</v>
      </c>
      <c r="O21" s="8">
        <v>1.6958067073271039E-5</v>
      </c>
      <c r="P21" s="8">
        <v>1.7191706577674522E-5</v>
      </c>
      <c r="Q21" s="8">
        <v>1.7425346082078001E-5</v>
      </c>
      <c r="R21" s="8">
        <v>1.7641257167810301E-5</v>
      </c>
      <c r="S21" s="8">
        <v>1.7857168253542601E-5</v>
      </c>
      <c r="T21" s="8">
        <v>1.802352514842044E-5</v>
      </c>
      <c r="U21" s="8">
        <v>1.8189882043298279E-5</v>
      </c>
      <c r="V21" s="8">
        <v>1.8356238938176121E-5</v>
      </c>
      <c r="W21" s="8">
        <v>1.852259583305396E-5</v>
      </c>
      <c r="X21" s="8">
        <v>1.8688952727931799E-5</v>
      </c>
      <c r="Y21" s="8">
        <v>1.8794575234062759E-5</v>
      </c>
      <c r="Z21" s="8">
        <v>1.8900197740193721E-5</v>
      </c>
      <c r="AA21" s="8">
        <v>1.9005820246324681E-5</v>
      </c>
      <c r="AB21" s="8">
        <v>1.911144275245564E-5</v>
      </c>
      <c r="AC21" s="8">
        <v>1.9217065258586599E-5</v>
      </c>
      <c r="AD21" s="8">
        <v>1.9296495382693342E-5</v>
      </c>
      <c r="AE21" s="8">
        <v>1.937592550680008E-5</v>
      </c>
      <c r="AF21" s="8">
        <v>1.9455355630906819E-5</v>
      </c>
      <c r="AG21" s="8">
        <v>1.9534785755013562E-5</v>
      </c>
      <c r="AH21" s="8">
        <v>1.9614215879120301E-5</v>
      </c>
      <c r="AI21" s="8">
        <v>1.970267106683272E-5</v>
      </c>
      <c r="AJ21" s="8">
        <v>1.9791126254545139E-5</v>
      </c>
      <c r="AK21" s="8">
        <v>1.9879581442257559E-5</v>
      </c>
      <c r="AL21" s="8">
        <v>1.9968036629969981E-5</v>
      </c>
      <c r="AM21" s="8">
        <v>2.0056491817682401E-5</v>
      </c>
    </row>
    <row r="22" spans="1:39" x14ac:dyDescent="0.25">
      <c r="A22" t="s">
        <v>235</v>
      </c>
      <c r="B22" t="s">
        <v>240</v>
      </c>
      <c r="C22" t="s">
        <v>331</v>
      </c>
      <c r="D22" t="s">
        <v>332</v>
      </c>
      <c r="E22" s="8">
        <v>3.0844026813715999E-4</v>
      </c>
      <c r="F22" s="8">
        <v>3.1384422734013801E-4</v>
      </c>
      <c r="G22" s="8">
        <v>3.1924818654311597E-4</v>
      </c>
      <c r="H22" s="8">
        <v>3.2465214574609399E-4</v>
      </c>
      <c r="I22" s="8">
        <v>3.3005610494907201E-4</v>
      </c>
      <c r="J22" s="8">
        <v>3.3546006415204998E-4</v>
      </c>
      <c r="K22" s="8">
        <v>3.40864023355028E-4</v>
      </c>
      <c r="L22" s="8">
        <v>3.4626798255800602E-4</v>
      </c>
      <c r="M22" s="8">
        <v>3.5249232542265821E-4</v>
      </c>
      <c r="N22" s="8">
        <v>3.5871666828731039E-4</v>
      </c>
      <c r="O22" s="8">
        <v>3.6494101115196257E-4</v>
      </c>
      <c r="P22" s="8">
        <v>3.7116535401661481E-4</v>
      </c>
      <c r="Q22" s="8">
        <v>3.77389696881267E-4</v>
      </c>
      <c r="R22" s="8">
        <v>3.8344923071142751E-4</v>
      </c>
      <c r="S22" s="8">
        <v>3.8950876454158802E-4</v>
      </c>
      <c r="T22" s="8">
        <v>3.952921729781104E-4</v>
      </c>
      <c r="U22" s="8">
        <v>4.0107558141463278E-4</v>
      </c>
      <c r="V22" s="8">
        <v>4.0685898985115521E-4</v>
      </c>
      <c r="W22" s="8">
        <v>4.1264239828767759E-4</v>
      </c>
      <c r="X22" s="8">
        <v>4.1842580672420002E-4</v>
      </c>
      <c r="Y22" s="8">
        <v>4.2287782839169958E-4</v>
      </c>
      <c r="Z22" s="8">
        <v>4.2732985005919919E-4</v>
      </c>
      <c r="AA22" s="8">
        <v>4.3178187172669881E-4</v>
      </c>
      <c r="AB22" s="8">
        <v>4.3623389339419842E-4</v>
      </c>
      <c r="AC22" s="8">
        <v>4.4068591506169798E-4</v>
      </c>
      <c r="AD22" s="8">
        <v>4.4353278346386562E-4</v>
      </c>
      <c r="AE22" s="8">
        <v>4.4637965186603321E-4</v>
      </c>
      <c r="AF22" s="8">
        <v>4.4922652026820081E-4</v>
      </c>
      <c r="AG22" s="8">
        <v>4.520733886703684E-4</v>
      </c>
      <c r="AH22" s="8">
        <v>4.5492025707253599E-4</v>
      </c>
      <c r="AI22" s="8">
        <v>4.5687704691316878E-4</v>
      </c>
      <c r="AJ22" s="8">
        <v>4.5883383675380163E-4</v>
      </c>
      <c r="AK22" s="8">
        <v>4.6079062659443442E-4</v>
      </c>
      <c r="AL22" s="8">
        <v>4.6274741643506721E-4</v>
      </c>
      <c r="AM22" s="8">
        <v>4.647042062757E-4</v>
      </c>
    </row>
    <row r="23" spans="1:39" x14ac:dyDescent="0.25">
      <c r="A23" t="s">
        <v>235</v>
      </c>
      <c r="B23" t="s">
        <v>240</v>
      </c>
      <c r="C23" t="s">
        <v>333</v>
      </c>
      <c r="D23" t="s">
        <v>334</v>
      </c>
      <c r="E23" s="8">
        <v>1.9039716264973401</v>
      </c>
      <c r="F23" s="8">
        <v>1.9110718013993599</v>
      </c>
      <c r="G23" s="8">
        <v>1.91817197630138</v>
      </c>
      <c r="H23" s="8">
        <v>1.9252721512033999</v>
      </c>
      <c r="I23" s="8">
        <v>1.93237232610542</v>
      </c>
      <c r="J23" s="8">
        <v>1.9394725010074401</v>
      </c>
      <c r="K23" s="8">
        <v>1.9465726759094599</v>
      </c>
      <c r="L23" s="8">
        <v>1.95367285081148</v>
      </c>
      <c r="M23" s="8">
        <v>1.9744073031331659</v>
      </c>
      <c r="N23" s="8">
        <v>1.9951417554548521</v>
      </c>
      <c r="O23" s="8">
        <v>2.0158762077765382</v>
      </c>
      <c r="P23" s="8">
        <v>2.0366106600982241</v>
      </c>
      <c r="Q23" s="8">
        <v>2.05734511241991</v>
      </c>
      <c r="R23" s="8">
        <v>2.080508708091295</v>
      </c>
      <c r="S23" s="8">
        <v>2.1036723037626799</v>
      </c>
      <c r="T23" s="8">
        <v>2.1210036242749539</v>
      </c>
      <c r="U23" s="8">
        <v>2.138334944787228</v>
      </c>
      <c r="V23" s="8">
        <v>2.155666265299502</v>
      </c>
      <c r="W23" s="8">
        <v>2.172997585811776</v>
      </c>
      <c r="X23" s="8">
        <v>2.1903289063240501</v>
      </c>
      <c r="Y23" s="8">
        <v>2.1985971700830098</v>
      </c>
      <c r="Z23" s="8">
        <v>2.20686543384197</v>
      </c>
      <c r="AA23" s="8">
        <v>2.2151336976009302</v>
      </c>
      <c r="AB23" s="8">
        <v>2.2234019613598899</v>
      </c>
      <c r="AC23" s="8">
        <v>2.23167022511885</v>
      </c>
      <c r="AD23" s="8">
        <v>2.2416742732150041</v>
      </c>
      <c r="AE23" s="8">
        <v>2.2516783213111582</v>
      </c>
      <c r="AF23" s="8">
        <v>2.2616823694073118</v>
      </c>
      <c r="AG23" s="8">
        <v>2.2716864175034659</v>
      </c>
      <c r="AH23" s="8">
        <v>2.28169046559962</v>
      </c>
      <c r="AI23" s="8">
        <v>2.2922778018669101</v>
      </c>
      <c r="AJ23" s="8">
        <v>2.3028651381341998</v>
      </c>
      <c r="AK23" s="8">
        <v>2.3134524744014899</v>
      </c>
      <c r="AL23" s="8">
        <v>2.3240398106687801</v>
      </c>
      <c r="AM23" s="8">
        <v>2.3346271469360702</v>
      </c>
    </row>
    <row r="24" spans="1:39" x14ac:dyDescent="0.25">
      <c r="A24" t="s">
        <v>235</v>
      </c>
      <c r="B24" t="s">
        <v>236</v>
      </c>
      <c r="C24" t="s">
        <v>53</v>
      </c>
      <c r="D24" t="s">
        <v>335</v>
      </c>
      <c r="E24" s="8">
        <v>2.68328982454452E-2</v>
      </c>
      <c r="F24" s="8">
        <v>2.6985121628428529E-2</v>
      </c>
      <c r="G24" s="8">
        <v>2.7137345011411861E-2</v>
      </c>
      <c r="H24" s="8">
        <v>2.728956839439519E-2</v>
      </c>
      <c r="I24" s="8">
        <v>2.7441791777378509E-2</v>
      </c>
      <c r="J24" s="8">
        <v>2.7594015160361841E-2</v>
      </c>
      <c r="K24" s="8">
        <v>2.774623854334517E-2</v>
      </c>
      <c r="L24" s="8">
        <v>2.7898461926328499E-2</v>
      </c>
      <c r="M24" s="8">
        <v>2.8248683697579859E-2</v>
      </c>
      <c r="N24" s="8">
        <v>2.8598905468831221E-2</v>
      </c>
      <c r="O24" s="8">
        <v>2.894912724008258E-2</v>
      </c>
      <c r="P24" s="8">
        <v>2.929934901133394E-2</v>
      </c>
      <c r="Q24" s="8">
        <v>2.9649570782585299E-2</v>
      </c>
      <c r="R24" s="8">
        <v>3.033162504078725E-2</v>
      </c>
      <c r="S24" s="8">
        <v>3.10136792989892E-2</v>
      </c>
      <c r="T24" s="8">
        <v>3.1461681246942617E-2</v>
      </c>
      <c r="U24" s="8">
        <v>3.1909683194896038E-2</v>
      </c>
      <c r="V24" s="8">
        <v>3.2357685142849459E-2</v>
      </c>
      <c r="W24" s="8">
        <v>3.2805687090802879E-2</v>
      </c>
      <c r="X24" s="8">
        <v>3.32536890387563E-2</v>
      </c>
      <c r="Y24" s="8">
        <v>3.3601534038688499E-2</v>
      </c>
      <c r="Z24" s="8">
        <v>3.3949379038620699E-2</v>
      </c>
      <c r="AA24" s="8">
        <v>3.4297224038552898E-2</v>
      </c>
      <c r="AB24" s="8">
        <v>3.4645069038485098E-2</v>
      </c>
      <c r="AC24" s="8">
        <v>3.4992914038417297E-2</v>
      </c>
      <c r="AD24" s="8">
        <v>3.5177191984561963E-2</v>
      </c>
      <c r="AE24" s="8">
        <v>3.5361469930706622E-2</v>
      </c>
      <c r="AF24" s="8">
        <v>3.5545747876851282E-2</v>
      </c>
      <c r="AG24" s="8">
        <v>3.5730025822995941E-2</v>
      </c>
      <c r="AH24" s="8">
        <v>3.59143037691406E-2</v>
      </c>
      <c r="AI24" s="8">
        <v>3.5946526193512657E-2</v>
      </c>
      <c r="AJ24" s="8">
        <v>3.597874861788472E-2</v>
      </c>
      <c r="AK24" s="8">
        <v>3.6010971042256777E-2</v>
      </c>
      <c r="AL24" s="8">
        <v>3.6043193466628841E-2</v>
      </c>
      <c r="AM24" s="8">
        <v>3.6075415891000898E-2</v>
      </c>
    </row>
    <row r="25" spans="1:39" x14ac:dyDescent="0.25">
      <c r="A25" t="s">
        <v>235</v>
      </c>
      <c r="B25" t="s">
        <v>236</v>
      </c>
      <c r="C25" t="s">
        <v>293</v>
      </c>
      <c r="D25" t="s">
        <v>336</v>
      </c>
      <c r="E25" s="8">
        <v>1.18815508928707E-4</v>
      </c>
      <c r="F25" s="8">
        <v>1.175580214870394E-4</v>
      </c>
      <c r="G25" s="8">
        <v>1.163005340453719E-4</v>
      </c>
      <c r="H25" s="8">
        <v>1.150430466037043E-4</v>
      </c>
      <c r="I25" s="8">
        <v>1.137855591620367E-4</v>
      </c>
      <c r="J25" s="8">
        <v>1.125280717203691E-4</v>
      </c>
      <c r="K25" s="8">
        <v>1.112705842787016E-4</v>
      </c>
      <c r="L25" s="8">
        <v>1.10013096837034E-4</v>
      </c>
      <c r="M25" s="8">
        <v>1.09062174197971E-4</v>
      </c>
      <c r="N25" s="8">
        <v>1.08111251558908E-4</v>
      </c>
      <c r="O25" s="8">
        <v>1.07160328919845E-4</v>
      </c>
      <c r="P25" s="8">
        <v>1.0620940628078201E-4</v>
      </c>
      <c r="Q25" s="8">
        <v>1.05258483641719E-4</v>
      </c>
      <c r="R25" s="8">
        <v>7.0002522103927554E-5</v>
      </c>
      <c r="S25" s="8">
        <v>3.4746560566136101E-5</v>
      </c>
      <c r="T25" s="8">
        <v>3.451943439663694E-5</v>
      </c>
      <c r="U25" s="8">
        <v>3.4292308227137779E-5</v>
      </c>
      <c r="V25" s="8">
        <v>3.4065182057638618E-5</v>
      </c>
      <c r="W25" s="8">
        <v>3.3838055888139457E-5</v>
      </c>
      <c r="X25" s="8">
        <v>3.3610929718640303E-5</v>
      </c>
      <c r="Y25" s="8">
        <v>3.3468269338872059E-5</v>
      </c>
      <c r="Z25" s="8">
        <v>3.3325608959103822E-5</v>
      </c>
      <c r="AA25" s="8">
        <v>3.3182948579335579E-5</v>
      </c>
      <c r="AB25" s="8">
        <v>3.3040288199567342E-5</v>
      </c>
      <c r="AC25" s="8">
        <v>3.2897627819799099E-5</v>
      </c>
      <c r="AD25" s="8">
        <v>3.2719798739498461E-5</v>
      </c>
      <c r="AE25" s="8">
        <v>3.2541969659197817E-5</v>
      </c>
      <c r="AF25" s="8">
        <v>3.236414057889718E-5</v>
      </c>
      <c r="AG25" s="8">
        <v>3.2186311498596543E-5</v>
      </c>
      <c r="AH25" s="8">
        <v>3.2008482418295899E-5</v>
      </c>
      <c r="AI25" s="8">
        <v>3.1816760318961282E-5</v>
      </c>
      <c r="AJ25" s="8">
        <v>3.1625038219626658E-5</v>
      </c>
      <c r="AK25" s="8">
        <v>3.1433316120292041E-5</v>
      </c>
      <c r="AL25" s="8">
        <v>3.1241594020957417E-5</v>
      </c>
      <c r="AM25" s="8">
        <v>3.10498719216228E-5</v>
      </c>
    </row>
    <row r="26" spans="1:39" x14ac:dyDescent="0.25">
      <c r="A26" t="s">
        <v>235</v>
      </c>
      <c r="B26" t="s">
        <v>236</v>
      </c>
      <c r="C26" t="s">
        <v>295</v>
      </c>
      <c r="D26" t="s">
        <v>337</v>
      </c>
      <c r="E26" s="8">
        <v>5.9828217063528601</v>
      </c>
      <c r="F26" s="8">
        <v>6.0034661138813714</v>
      </c>
      <c r="G26" s="8">
        <v>6.02411052140988</v>
      </c>
      <c r="H26" s="8">
        <v>6.0447549289383904</v>
      </c>
      <c r="I26" s="8">
        <v>6.0653993364668999</v>
      </c>
      <c r="J26" s="8">
        <v>6.0860437439954103</v>
      </c>
      <c r="K26" s="8">
        <v>6.1066881515239197</v>
      </c>
      <c r="L26" s="8">
        <v>6.1273325590524301</v>
      </c>
      <c r="M26" s="8">
        <v>6.1901565587401963</v>
      </c>
      <c r="N26" s="8">
        <v>6.2529805584279634</v>
      </c>
      <c r="O26" s="8">
        <v>6.3158045581157278</v>
      </c>
      <c r="P26" s="8">
        <v>6.378628557803494</v>
      </c>
      <c r="Q26" s="8">
        <v>6.4414525574912602</v>
      </c>
      <c r="R26" s="8">
        <v>6.5140600735639804</v>
      </c>
      <c r="S26" s="8">
        <v>6.5866675896366997</v>
      </c>
      <c r="T26" s="8">
        <v>6.6386342611950999</v>
      </c>
      <c r="U26" s="8">
        <v>6.6906009327535001</v>
      </c>
      <c r="V26" s="8">
        <v>6.7425676043118994</v>
      </c>
      <c r="W26" s="8">
        <v>6.7945342758702996</v>
      </c>
      <c r="X26" s="8">
        <v>6.8465009474286997</v>
      </c>
      <c r="Y26" s="8">
        <v>6.8678598698781341</v>
      </c>
      <c r="Z26" s="8">
        <v>6.8892187923275676</v>
      </c>
      <c r="AA26" s="8">
        <v>6.910577714777002</v>
      </c>
      <c r="AB26" s="8">
        <v>6.9319366372264346</v>
      </c>
      <c r="AC26" s="8">
        <v>6.9532955596758699</v>
      </c>
      <c r="AD26" s="8">
        <v>6.9795206416846822</v>
      </c>
      <c r="AE26" s="8">
        <v>7.0057457236934937</v>
      </c>
      <c r="AF26" s="8">
        <v>7.031970805702306</v>
      </c>
      <c r="AG26" s="8">
        <v>7.0581958877111166</v>
      </c>
      <c r="AH26" s="8">
        <v>7.0844209697199299</v>
      </c>
      <c r="AI26" s="8">
        <v>7.1136375357302546</v>
      </c>
      <c r="AJ26" s="8">
        <v>7.142854101740582</v>
      </c>
      <c r="AK26" s="8">
        <v>7.1720706677509076</v>
      </c>
      <c r="AL26" s="8">
        <v>7.2012872337612341</v>
      </c>
      <c r="AM26" s="8">
        <v>7.2305037997715598</v>
      </c>
    </row>
    <row r="27" spans="1:39" x14ac:dyDescent="0.25">
      <c r="A27" t="s">
        <v>235</v>
      </c>
      <c r="B27" t="s">
        <v>236</v>
      </c>
      <c r="C27" t="s">
        <v>297</v>
      </c>
      <c r="D27" t="s">
        <v>338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</row>
    <row r="28" spans="1:39" x14ac:dyDescent="0.25">
      <c r="A28" t="s">
        <v>235</v>
      </c>
      <c r="B28" t="s">
        <v>236</v>
      </c>
      <c r="C28" t="s">
        <v>299</v>
      </c>
      <c r="D28" t="s">
        <v>339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</row>
    <row r="29" spans="1:39" x14ac:dyDescent="0.25">
      <c r="A29" t="s">
        <v>235</v>
      </c>
      <c r="B29" t="s">
        <v>236</v>
      </c>
      <c r="C29" t="s">
        <v>301</v>
      </c>
      <c r="D29" t="s">
        <v>340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</row>
    <row r="30" spans="1:39" x14ac:dyDescent="0.25">
      <c r="A30" t="s">
        <v>235</v>
      </c>
      <c r="B30" t="s">
        <v>236</v>
      </c>
      <c r="C30" t="s">
        <v>303</v>
      </c>
      <c r="D30" t="s">
        <v>341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</row>
    <row r="31" spans="1:39" x14ac:dyDescent="0.25">
      <c r="A31" t="s">
        <v>235</v>
      </c>
      <c r="B31" t="s">
        <v>236</v>
      </c>
      <c r="C31" t="s">
        <v>305</v>
      </c>
      <c r="D31" t="s">
        <v>342</v>
      </c>
      <c r="E31" s="8">
        <v>3.1032504585552598E-2</v>
      </c>
      <c r="F31" s="8">
        <v>3.135683873641501E-2</v>
      </c>
      <c r="G31" s="8">
        <v>3.1681172887277433E-2</v>
      </c>
      <c r="H31" s="8">
        <v>3.2005507038139841E-2</v>
      </c>
      <c r="I31" s="8">
        <v>3.2329841189002263E-2</v>
      </c>
      <c r="J31" s="8">
        <v>3.2654175339864672E-2</v>
      </c>
      <c r="K31" s="8">
        <v>3.2978509490727087E-2</v>
      </c>
      <c r="L31" s="8">
        <v>3.3302843641589502E-2</v>
      </c>
      <c r="M31" s="8">
        <v>3.3519304088567639E-2</v>
      </c>
      <c r="N31" s="8">
        <v>3.3735764535545783E-2</v>
      </c>
      <c r="O31" s="8">
        <v>3.3952224982523919E-2</v>
      </c>
      <c r="P31" s="8">
        <v>3.4168685429502063E-2</v>
      </c>
      <c r="Q31" s="8">
        <v>3.43851458764802E-2</v>
      </c>
      <c r="R31" s="8">
        <v>3.4578502087214753E-2</v>
      </c>
      <c r="S31" s="8">
        <v>3.47718582979493E-2</v>
      </c>
      <c r="T31" s="8">
        <v>3.4931412708775519E-2</v>
      </c>
      <c r="U31" s="8">
        <v>3.5090967119601739E-2</v>
      </c>
      <c r="V31" s="8">
        <v>3.5250521530427958E-2</v>
      </c>
      <c r="W31" s="8">
        <v>3.5410075941254178E-2</v>
      </c>
      <c r="X31" s="8">
        <v>3.5569630352080397E-2</v>
      </c>
      <c r="Y31" s="8">
        <v>3.5718845770042383E-2</v>
      </c>
      <c r="Z31" s="8">
        <v>3.5868061188004348E-2</v>
      </c>
      <c r="AA31" s="8">
        <v>3.601727660596634E-2</v>
      </c>
      <c r="AB31" s="8">
        <v>3.6166492023928319E-2</v>
      </c>
      <c r="AC31" s="8">
        <v>3.6315707441890298E-2</v>
      </c>
      <c r="AD31" s="8">
        <v>3.6459671358001183E-2</v>
      </c>
      <c r="AE31" s="8">
        <v>3.6603635274112048E-2</v>
      </c>
      <c r="AF31" s="8">
        <v>3.674759919022294E-2</v>
      </c>
      <c r="AG31" s="8">
        <v>3.6891563106333819E-2</v>
      </c>
      <c r="AH31" s="8">
        <v>3.7035527022444698E-2</v>
      </c>
      <c r="AI31" s="8">
        <v>3.716825857500234E-2</v>
      </c>
      <c r="AJ31" s="8">
        <v>3.7300990127559983E-2</v>
      </c>
      <c r="AK31" s="8">
        <v>3.7433721680117618E-2</v>
      </c>
      <c r="AL31" s="8">
        <v>3.7566453232675261E-2</v>
      </c>
      <c r="AM31" s="8">
        <v>3.7699184785232903E-2</v>
      </c>
    </row>
    <row r="32" spans="1:39" x14ac:dyDescent="0.25">
      <c r="A32" t="s">
        <v>235</v>
      </c>
      <c r="B32" t="s">
        <v>236</v>
      </c>
      <c r="C32" t="s">
        <v>307</v>
      </c>
      <c r="D32" t="s">
        <v>343</v>
      </c>
      <c r="E32" s="8">
        <v>0.20314359355139899</v>
      </c>
      <c r="F32" s="8">
        <v>0.20432727199297501</v>
      </c>
      <c r="G32" s="8">
        <v>0.205510950434551</v>
      </c>
      <c r="H32" s="8">
        <v>0.206694628876127</v>
      </c>
      <c r="I32" s="8">
        <v>0.20787830731770299</v>
      </c>
      <c r="J32" s="8">
        <v>0.20906198575927901</v>
      </c>
      <c r="K32" s="8">
        <v>0.210245664200855</v>
      </c>
      <c r="L32" s="8">
        <v>0.21142934264243099</v>
      </c>
      <c r="M32" s="8">
        <v>0.2133759671707216</v>
      </c>
      <c r="N32" s="8">
        <v>0.21532259169901219</v>
      </c>
      <c r="O32" s="8">
        <v>0.2172692162273028</v>
      </c>
      <c r="P32" s="8">
        <v>0.21921584075559339</v>
      </c>
      <c r="Q32" s="8">
        <v>0.221162465283884</v>
      </c>
      <c r="R32" s="8">
        <v>0.223264893186988</v>
      </c>
      <c r="S32" s="8">
        <v>0.225367321090092</v>
      </c>
      <c r="T32" s="8">
        <v>0.22693820894926059</v>
      </c>
      <c r="U32" s="8">
        <v>0.22850909680842921</v>
      </c>
      <c r="V32" s="8">
        <v>0.2300799846675978</v>
      </c>
      <c r="W32" s="8">
        <v>0.23165087252676639</v>
      </c>
      <c r="X32" s="8">
        <v>0.23322176038593501</v>
      </c>
      <c r="Y32" s="8">
        <v>0.2340175391341178</v>
      </c>
      <c r="Z32" s="8">
        <v>0.23481331788230059</v>
      </c>
      <c r="AA32" s="8">
        <v>0.23560909663048341</v>
      </c>
      <c r="AB32" s="8">
        <v>0.2364048753786662</v>
      </c>
      <c r="AC32" s="8">
        <v>0.23720065412684899</v>
      </c>
      <c r="AD32" s="8">
        <v>0.23811610099483779</v>
      </c>
      <c r="AE32" s="8">
        <v>0.2390315478628266</v>
      </c>
      <c r="AF32" s="8">
        <v>0.2399469947308154</v>
      </c>
      <c r="AG32" s="8">
        <v>0.24086244159880421</v>
      </c>
      <c r="AH32" s="8">
        <v>0.24177788846679299</v>
      </c>
      <c r="AI32" s="8">
        <v>0.24274108515453799</v>
      </c>
      <c r="AJ32" s="8">
        <v>0.24370428184228299</v>
      </c>
      <c r="AK32" s="8">
        <v>0.24466747853002799</v>
      </c>
      <c r="AL32" s="8">
        <v>0.24563067521777299</v>
      </c>
      <c r="AM32" s="8">
        <v>0.24659387190551799</v>
      </c>
    </row>
    <row r="33" spans="1:39" x14ac:dyDescent="0.25">
      <c r="A33" t="s">
        <v>235</v>
      </c>
      <c r="B33" t="s">
        <v>236</v>
      </c>
      <c r="C33" t="s">
        <v>309</v>
      </c>
      <c r="D33" t="s">
        <v>344</v>
      </c>
      <c r="E33" s="8">
        <v>9.2796394034032007E-3</v>
      </c>
      <c r="F33" s="8">
        <v>9.3644582301371914E-3</v>
      </c>
      <c r="G33" s="8">
        <v>9.4492770568711838E-3</v>
      </c>
      <c r="H33" s="8">
        <v>9.5340958836051745E-3</v>
      </c>
      <c r="I33" s="8">
        <v>9.6189147103391669E-3</v>
      </c>
      <c r="J33" s="8">
        <v>9.7037335370731576E-3</v>
      </c>
      <c r="K33" s="8">
        <v>9.78855236380715E-3</v>
      </c>
      <c r="L33" s="8">
        <v>9.8733711905411407E-3</v>
      </c>
      <c r="M33" s="8">
        <v>9.9669907431247928E-3</v>
      </c>
      <c r="N33" s="8">
        <v>1.006061029570844E-2</v>
      </c>
      <c r="O33" s="8">
        <v>1.01542298482921E-2</v>
      </c>
      <c r="P33" s="8">
        <v>1.0247849400875751E-2</v>
      </c>
      <c r="Q33" s="8">
        <v>1.0341468953459399E-2</v>
      </c>
      <c r="R33" s="8">
        <v>1.0437848055570249E-2</v>
      </c>
      <c r="S33" s="8">
        <v>1.0534227157681099E-2</v>
      </c>
      <c r="T33" s="8">
        <v>1.06242073750565E-2</v>
      </c>
      <c r="U33" s="8">
        <v>1.07141875924319E-2</v>
      </c>
      <c r="V33" s="8">
        <v>1.0804167809807299E-2</v>
      </c>
      <c r="W33" s="8">
        <v>1.08941480271827E-2</v>
      </c>
      <c r="X33" s="8">
        <v>1.09841282445581E-2</v>
      </c>
      <c r="Y33" s="8">
        <v>1.105949410917482E-2</v>
      </c>
      <c r="Z33" s="8">
        <v>1.1134859973791539E-2</v>
      </c>
      <c r="AA33" s="8">
        <v>1.121022583840826E-2</v>
      </c>
      <c r="AB33" s="8">
        <v>1.128559170302498E-2</v>
      </c>
      <c r="AC33" s="8">
        <v>1.1360957567641701E-2</v>
      </c>
      <c r="AD33" s="8">
        <v>1.1425274993696159E-2</v>
      </c>
      <c r="AE33" s="8">
        <v>1.148959241975062E-2</v>
      </c>
      <c r="AF33" s="8">
        <v>1.155390984580508E-2</v>
      </c>
      <c r="AG33" s="8">
        <v>1.161822727185954E-2</v>
      </c>
      <c r="AH33" s="8">
        <v>1.1682544697914E-2</v>
      </c>
      <c r="AI33" s="8">
        <v>1.1742465471941381E-2</v>
      </c>
      <c r="AJ33" s="8">
        <v>1.1802386245968761E-2</v>
      </c>
      <c r="AK33" s="8">
        <v>1.1862307019996139E-2</v>
      </c>
      <c r="AL33" s="8">
        <v>1.1922227794023519E-2</v>
      </c>
      <c r="AM33" s="8">
        <v>1.1982148568050899E-2</v>
      </c>
    </row>
    <row r="34" spans="1:39" x14ac:dyDescent="0.25">
      <c r="A34" t="s">
        <v>235</v>
      </c>
      <c r="B34" t="s">
        <v>236</v>
      </c>
      <c r="C34" t="s">
        <v>311</v>
      </c>
      <c r="D34" t="s">
        <v>345</v>
      </c>
      <c r="E34" s="8">
        <v>1.0784888923377599E-3</v>
      </c>
      <c r="F34" s="8">
        <v>1.0872153445542941E-3</v>
      </c>
      <c r="G34" s="8">
        <v>1.095941796770829E-3</v>
      </c>
      <c r="H34" s="8">
        <v>1.1046682489873629E-3</v>
      </c>
      <c r="I34" s="8">
        <v>1.113394701203897E-3</v>
      </c>
      <c r="J34" s="8">
        <v>1.1221211534204311E-3</v>
      </c>
      <c r="K34" s="8">
        <v>1.1308476056369661E-3</v>
      </c>
      <c r="L34" s="8">
        <v>1.1395740578535E-3</v>
      </c>
      <c r="M34" s="8">
        <v>1.146143289226324E-3</v>
      </c>
      <c r="N34" s="8">
        <v>1.152712520599148E-3</v>
      </c>
      <c r="O34" s="8">
        <v>1.159281751971972E-3</v>
      </c>
      <c r="P34" s="8">
        <v>1.165850983344796E-3</v>
      </c>
      <c r="Q34" s="8">
        <v>1.17242021471762E-3</v>
      </c>
      <c r="R34" s="8">
        <v>1.179515264812645E-3</v>
      </c>
      <c r="S34" s="8">
        <v>1.1866103149076701E-3</v>
      </c>
      <c r="T34" s="8">
        <v>1.1933893657075959E-3</v>
      </c>
      <c r="U34" s="8">
        <v>1.200168416507522E-3</v>
      </c>
      <c r="V34" s="8">
        <v>1.206947467307448E-3</v>
      </c>
      <c r="W34" s="8">
        <v>1.2137265181073741E-3</v>
      </c>
      <c r="X34" s="8">
        <v>1.2205055689072999E-3</v>
      </c>
      <c r="Y34" s="8">
        <v>1.225371091491508E-3</v>
      </c>
      <c r="Z34" s="8">
        <v>1.2302366140757161E-3</v>
      </c>
      <c r="AA34" s="8">
        <v>1.2351021366599239E-3</v>
      </c>
      <c r="AB34" s="8">
        <v>1.239967659244132E-3</v>
      </c>
      <c r="AC34" s="8">
        <v>1.24483318182834E-3</v>
      </c>
      <c r="AD34" s="8">
        <v>1.2494658004480539E-3</v>
      </c>
      <c r="AE34" s="8">
        <v>1.254098419067768E-3</v>
      </c>
      <c r="AF34" s="8">
        <v>1.258731037687482E-3</v>
      </c>
      <c r="AG34" s="8">
        <v>1.2633636563071961E-3</v>
      </c>
      <c r="AH34" s="8">
        <v>1.26799627492691E-3</v>
      </c>
      <c r="AI34" s="8">
        <v>1.2724529131335461E-3</v>
      </c>
      <c r="AJ34" s="8">
        <v>1.276909551340182E-3</v>
      </c>
      <c r="AK34" s="8">
        <v>1.2813661895468181E-3</v>
      </c>
      <c r="AL34" s="8">
        <v>1.2858228277534539E-3</v>
      </c>
      <c r="AM34" s="8">
        <v>1.29027946596009E-3</v>
      </c>
    </row>
    <row r="35" spans="1:39" x14ac:dyDescent="0.25">
      <c r="A35" t="s">
        <v>235</v>
      </c>
      <c r="B35" t="s">
        <v>236</v>
      </c>
      <c r="C35" t="s">
        <v>313</v>
      </c>
      <c r="D35" t="s">
        <v>346</v>
      </c>
      <c r="E35" s="8">
        <v>7.3610706369848997E-3</v>
      </c>
      <c r="F35" s="8">
        <v>7.6063490350573937E-3</v>
      </c>
      <c r="G35" s="8">
        <v>7.8516274331298878E-3</v>
      </c>
      <c r="H35" s="8">
        <v>8.0969058312023827E-3</v>
      </c>
      <c r="I35" s="8">
        <v>8.3421842292748776E-3</v>
      </c>
      <c r="J35" s="8">
        <v>8.5874626273473725E-3</v>
      </c>
      <c r="K35" s="8">
        <v>8.8327410254198657E-3</v>
      </c>
      <c r="L35" s="8">
        <v>9.0780194234923606E-3</v>
      </c>
      <c r="M35" s="8">
        <v>9.3498442062138285E-3</v>
      </c>
      <c r="N35" s="8">
        <v>9.6216689889352964E-3</v>
      </c>
      <c r="O35" s="8">
        <v>9.8934937716567643E-3</v>
      </c>
      <c r="P35" s="8">
        <v>1.016531855437823E-2</v>
      </c>
      <c r="Q35" s="8">
        <v>1.04371433370997E-2</v>
      </c>
      <c r="R35" s="8">
        <v>1.0693491291635651E-2</v>
      </c>
      <c r="S35" s="8">
        <v>1.09498392461716E-2</v>
      </c>
      <c r="T35" s="8">
        <v>1.1155857700553461E-2</v>
      </c>
      <c r="U35" s="8">
        <v>1.136187615493532E-2</v>
      </c>
      <c r="V35" s="8">
        <v>1.156789460931718E-2</v>
      </c>
      <c r="W35" s="8">
        <v>1.177391306369904E-2</v>
      </c>
      <c r="X35" s="8">
        <v>1.19799315180809E-2</v>
      </c>
      <c r="Y35" s="8">
        <v>1.2112793077766099E-2</v>
      </c>
      <c r="Z35" s="8">
        <v>1.22456546374513E-2</v>
      </c>
      <c r="AA35" s="8">
        <v>1.2378516197136501E-2</v>
      </c>
      <c r="AB35" s="8">
        <v>1.25113777568217E-2</v>
      </c>
      <c r="AC35" s="8">
        <v>1.26442393165069E-2</v>
      </c>
      <c r="AD35" s="8">
        <v>1.2714208009662919E-2</v>
      </c>
      <c r="AE35" s="8">
        <v>1.278417670281894E-2</v>
      </c>
      <c r="AF35" s="8">
        <v>1.285414539597496E-2</v>
      </c>
      <c r="AG35" s="8">
        <v>1.2924114089130981E-2</v>
      </c>
      <c r="AH35" s="8">
        <v>1.2994082782287E-2</v>
      </c>
      <c r="AI35" s="8">
        <v>1.304719913765752E-2</v>
      </c>
      <c r="AJ35" s="8">
        <v>1.310031549302804E-2</v>
      </c>
      <c r="AK35" s="8">
        <v>1.315343184839856E-2</v>
      </c>
      <c r="AL35" s="8">
        <v>1.320654820376908E-2</v>
      </c>
      <c r="AM35" s="8">
        <v>1.32596645591396E-2</v>
      </c>
    </row>
    <row r="36" spans="1:39" x14ac:dyDescent="0.25">
      <c r="A36" t="s">
        <v>235</v>
      </c>
      <c r="B36" t="s">
        <v>236</v>
      </c>
      <c r="C36" t="s">
        <v>315</v>
      </c>
      <c r="D36" t="s">
        <v>347</v>
      </c>
      <c r="E36" s="8">
        <v>9.7428733720098002</v>
      </c>
      <c r="F36" s="8">
        <v>9.7659345813215275</v>
      </c>
      <c r="G36" s="8">
        <v>9.7889957906332548</v>
      </c>
      <c r="H36" s="8">
        <v>9.812056999944982</v>
      </c>
      <c r="I36" s="8">
        <v>9.8351182092567075</v>
      </c>
      <c r="J36" s="8">
        <v>9.8581794185684348</v>
      </c>
      <c r="K36" s="8">
        <v>9.8812406278801621</v>
      </c>
      <c r="L36" s="8">
        <v>9.9043018371918894</v>
      </c>
      <c r="M36" s="8">
        <v>9.9285485301378316</v>
      </c>
      <c r="N36" s="8">
        <v>9.9527952230837737</v>
      </c>
      <c r="O36" s="8">
        <v>9.9770419160297159</v>
      </c>
      <c r="P36" s="8">
        <v>10.00128860897566</v>
      </c>
      <c r="Q36" s="8">
        <v>10.0255353019216</v>
      </c>
      <c r="R36" s="8">
        <v>10.0613105717227</v>
      </c>
      <c r="S36" s="8">
        <v>10.0970858415238</v>
      </c>
      <c r="T36" s="8">
        <v>10.158245170344101</v>
      </c>
      <c r="U36" s="8">
        <v>10.2194044991644</v>
      </c>
      <c r="V36" s="8">
        <v>10.2805638279847</v>
      </c>
      <c r="W36" s="8">
        <v>10.341723156804999</v>
      </c>
      <c r="X36" s="8">
        <v>10.4028824856253</v>
      </c>
      <c r="Y36" s="8">
        <v>10.48619366827926</v>
      </c>
      <c r="Z36" s="8">
        <v>10.569504850933219</v>
      </c>
      <c r="AA36" s="8">
        <v>10.652816033587181</v>
      </c>
      <c r="AB36" s="8">
        <v>10.73612721624114</v>
      </c>
      <c r="AC36" s="8">
        <v>10.8194383988951</v>
      </c>
      <c r="AD36" s="8">
        <v>10.90332331836464</v>
      </c>
      <c r="AE36" s="8">
        <v>10.98720823783418</v>
      </c>
      <c r="AF36" s="8">
        <v>11.07109315730372</v>
      </c>
      <c r="AG36" s="8">
        <v>11.15497807677326</v>
      </c>
      <c r="AH36" s="8">
        <v>11.238862996242799</v>
      </c>
      <c r="AI36" s="8">
        <v>11.31168354532582</v>
      </c>
      <c r="AJ36" s="8">
        <v>11.38450409440884</v>
      </c>
      <c r="AK36" s="8">
        <v>11.457324643491861</v>
      </c>
      <c r="AL36" s="8">
        <v>11.53014519257488</v>
      </c>
      <c r="AM36" s="8">
        <v>11.602965741657901</v>
      </c>
    </row>
    <row r="37" spans="1:39" x14ac:dyDescent="0.25">
      <c r="A37" t="s">
        <v>235</v>
      </c>
      <c r="B37" t="s">
        <v>236</v>
      </c>
      <c r="C37" t="s">
        <v>317</v>
      </c>
      <c r="D37" t="s">
        <v>348</v>
      </c>
      <c r="E37" s="8">
        <v>1.6356272876237701</v>
      </c>
      <c r="F37" s="8">
        <v>1.641316299609014</v>
      </c>
      <c r="G37" s="8">
        <v>1.6470053115942589</v>
      </c>
      <c r="H37" s="8">
        <v>1.6526943235795031</v>
      </c>
      <c r="I37" s="8">
        <v>1.658383335564747</v>
      </c>
      <c r="J37" s="8">
        <v>1.664072347549991</v>
      </c>
      <c r="K37" s="8">
        <v>1.6697613595352361</v>
      </c>
      <c r="L37" s="8">
        <v>1.67545037152048</v>
      </c>
      <c r="M37" s="8">
        <v>1.680659811611896</v>
      </c>
      <c r="N37" s="8">
        <v>1.685869251703312</v>
      </c>
      <c r="O37" s="8">
        <v>1.691078691794728</v>
      </c>
      <c r="P37" s="8">
        <v>1.696288131886144</v>
      </c>
      <c r="Q37" s="8">
        <v>1.70149757197756</v>
      </c>
      <c r="R37" s="8">
        <v>1.708327480356775</v>
      </c>
      <c r="S37" s="8">
        <v>1.7151573887359901</v>
      </c>
      <c r="T37" s="8">
        <v>1.7252151800112281</v>
      </c>
      <c r="U37" s="8">
        <v>1.7352729712864661</v>
      </c>
      <c r="V37" s="8">
        <v>1.7453307625617041</v>
      </c>
      <c r="W37" s="8">
        <v>1.755388553836942</v>
      </c>
      <c r="X37" s="8">
        <v>1.76544634511218</v>
      </c>
      <c r="Y37" s="8">
        <v>1.77810483669423</v>
      </c>
      <c r="Z37" s="8">
        <v>1.79076332827628</v>
      </c>
      <c r="AA37" s="8">
        <v>1.8034218198583301</v>
      </c>
      <c r="AB37" s="8">
        <v>1.8160803114403801</v>
      </c>
      <c r="AC37" s="8">
        <v>1.8287388030224301</v>
      </c>
      <c r="AD37" s="8">
        <v>1.8427396351468941</v>
      </c>
      <c r="AE37" s="8">
        <v>1.8567404672713581</v>
      </c>
      <c r="AF37" s="8">
        <v>1.8707412993958219</v>
      </c>
      <c r="AG37" s="8">
        <v>1.8847421315202859</v>
      </c>
      <c r="AH37" s="8">
        <v>1.8987429636447499</v>
      </c>
      <c r="AI37" s="8">
        <v>1.9111654778142899</v>
      </c>
      <c r="AJ37" s="8">
        <v>1.9235879919838299</v>
      </c>
      <c r="AK37" s="8">
        <v>1.9360105061533699</v>
      </c>
      <c r="AL37" s="8">
        <v>1.9484330203229101</v>
      </c>
      <c r="AM37" s="8">
        <v>1.9608555344924501</v>
      </c>
    </row>
    <row r="38" spans="1:39" x14ac:dyDescent="0.25">
      <c r="A38" t="s">
        <v>235</v>
      </c>
      <c r="B38" t="s">
        <v>236</v>
      </c>
      <c r="C38" t="s">
        <v>319</v>
      </c>
      <c r="D38" t="s">
        <v>349</v>
      </c>
      <c r="E38" s="8">
        <v>8.0741948433965798E-4</v>
      </c>
      <c r="F38" s="8">
        <v>8.2242926863641439E-4</v>
      </c>
      <c r="G38" s="8">
        <v>8.374390529331708E-4</v>
      </c>
      <c r="H38" s="8">
        <v>8.5244883722992721E-4</v>
      </c>
      <c r="I38" s="8">
        <v>8.6745862152668373E-4</v>
      </c>
      <c r="J38" s="8">
        <v>8.8246840582344014E-4</v>
      </c>
      <c r="K38" s="8">
        <v>8.9747819012019655E-4</v>
      </c>
      <c r="L38" s="8">
        <v>9.1248797441695296E-4</v>
      </c>
      <c r="M38" s="8">
        <v>9.3065679572927043E-4</v>
      </c>
      <c r="N38" s="8">
        <v>9.4882561704158778E-4</v>
      </c>
      <c r="O38" s="8">
        <v>9.6699443835390525E-4</v>
      </c>
      <c r="P38" s="8">
        <v>9.8516325966622261E-4</v>
      </c>
      <c r="Q38" s="8">
        <v>1.0033320809785401E-3</v>
      </c>
      <c r="R38" s="8">
        <v>1.0225648401444251E-3</v>
      </c>
      <c r="S38" s="8">
        <v>1.0417975993103101E-3</v>
      </c>
      <c r="T38" s="8">
        <v>1.0623962113544721E-3</v>
      </c>
      <c r="U38" s="8">
        <v>1.0829948233986341E-3</v>
      </c>
      <c r="V38" s="8">
        <v>1.1035934354427959E-3</v>
      </c>
      <c r="W38" s="8">
        <v>1.1241920474869579E-3</v>
      </c>
      <c r="X38" s="8">
        <v>1.14479065953112E-3</v>
      </c>
      <c r="Y38" s="8">
        <v>1.162195877670528E-3</v>
      </c>
      <c r="Z38" s="8">
        <v>1.1796010958099359E-3</v>
      </c>
      <c r="AA38" s="8">
        <v>1.197006313949344E-3</v>
      </c>
      <c r="AB38" s="8">
        <v>1.2144115320887521E-3</v>
      </c>
      <c r="AC38" s="8">
        <v>1.2318167502281599E-3</v>
      </c>
      <c r="AD38" s="8">
        <v>1.2406282215345339E-3</v>
      </c>
      <c r="AE38" s="8">
        <v>1.2494396928409081E-3</v>
      </c>
      <c r="AF38" s="8">
        <v>1.2582511641472821E-3</v>
      </c>
      <c r="AG38" s="8">
        <v>1.2670626354536561E-3</v>
      </c>
      <c r="AH38" s="8">
        <v>1.27587410676003E-3</v>
      </c>
      <c r="AI38" s="8">
        <v>1.280131977896078E-3</v>
      </c>
      <c r="AJ38" s="8">
        <v>1.284389849032126E-3</v>
      </c>
      <c r="AK38" s="8">
        <v>1.288647720168174E-3</v>
      </c>
      <c r="AL38" s="8">
        <v>1.292905591304222E-3</v>
      </c>
      <c r="AM38" s="8">
        <v>1.2971634624402699E-3</v>
      </c>
    </row>
    <row r="39" spans="1:39" x14ac:dyDescent="0.25">
      <c r="A39" t="s">
        <v>235</v>
      </c>
      <c r="B39" t="s">
        <v>236</v>
      </c>
      <c r="C39" t="s">
        <v>321</v>
      </c>
      <c r="D39" t="s">
        <v>350</v>
      </c>
      <c r="E39" s="8">
        <v>1.4495672160638601E-3</v>
      </c>
      <c r="F39" s="8">
        <v>1.4972298595000561E-3</v>
      </c>
      <c r="G39" s="8">
        <v>1.544892502936251E-3</v>
      </c>
      <c r="H39" s="8">
        <v>1.592555146372447E-3</v>
      </c>
      <c r="I39" s="8">
        <v>1.640217789808643E-3</v>
      </c>
      <c r="J39" s="8">
        <v>1.687880433244839E-3</v>
      </c>
      <c r="K39" s="8">
        <v>1.7355430766810339E-3</v>
      </c>
      <c r="L39" s="8">
        <v>1.7832057201172299E-3</v>
      </c>
      <c r="M39" s="8">
        <v>1.838130336325916E-3</v>
      </c>
      <c r="N39" s="8">
        <v>1.8930549525346019E-3</v>
      </c>
      <c r="O39" s="8">
        <v>1.947979568743288E-3</v>
      </c>
      <c r="P39" s="8">
        <v>2.0029041849519741E-3</v>
      </c>
      <c r="Q39" s="8">
        <v>2.0578288011606602E-3</v>
      </c>
      <c r="R39" s="8">
        <v>2.1104367724828648E-3</v>
      </c>
      <c r="S39" s="8">
        <v>2.1630447438050699E-3</v>
      </c>
      <c r="T39" s="8">
        <v>2.2080379691732282E-3</v>
      </c>
      <c r="U39" s="8">
        <v>2.253031194541386E-3</v>
      </c>
      <c r="V39" s="8">
        <v>2.2980244199095438E-3</v>
      </c>
      <c r="W39" s="8">
        <v>2.3430176452777021E-3</v>
      </c>
      <c r="X39" s="8">
        <v>2.38801087064586E-3</v>
      </c>
      <c r="Y39" s="8">
        <v>2.418008881254128E-3</v>
      </c>
      <c r="Z39" s="8">
        <v>2.448006891862396E-3</v>
      </c>
      <c r="AA39" s="8">
        <v>2.478004902470664E-3</v>
      </c>
      <c r="AB39" s="8">
        <v>2.508002913078932E-3</v>
      </c>
      <c r="AC39" s="8">
        <v>2.5380009236872E-3</v>
      </c>
      <c r="AD39" s="8">
        <v>2.5538726719453041E-3</v>
      </c>
      <c r="AE39" s="8">
        <v>2.5697444202034082E-3</v>
      </c>
      <c r="AF39" s="8">
        <v>2.5856161684615119E-3</v>
      </c>
      <c r="AG39" s="8">
        <v>2.601487916719616E-3</v>
      </c>
      <c r="AH39" s="8">
        <v>2.6173596649777201E-3</v>
      </c>
      <c r="AI39" s="8">
        <v>2.6280447346815781E-3</v>
      </c>
      <c r="AJ39" s="8">
        <v>2.6387298043854361E-3</v>
      </c>
      <c r="AK39" s="8">
        <v>2.6494148740892941E-3</v>
      </c>
      <c r="AL39" s="8">
        <v>2.6600999437931521E-3</v>
      </c>
      <c r="AM39" s="8">
        <v>2.6707850134970101E-3</v>
      </c>
    </row>
    <row r="40" spans="1:39" x14ac:dyDescent="0.25">
      <c r="A40" t="s">
        <v>235</v>
      </c>
      <c r="B40" t="s">
        <v>236</v>
      </c>
      <c r="C40" t="s">
        <v>323</v>
      </c>
      <c r="D40" t="s">
        <v>351</v>
      </c>
      <c r="E40" s="8">
        <v>5.30301584748623E-3</v>
      </c>
      <c r="F40" s="8">
        <v>5.4633979399442527E-3</v>
      </c>
      <c r="G40" s="8">
        <v>5.6237800324022754E-3</v>
      </c>
      <c r="H40" s="8">
        <v>5.7841621248602981E-3</v>
      </c>
      <c r="I40" s="8">
        <v>5.9445442173183217E-3</v>
      </c>
      <c r="J40" s="8">
        <v>6.1049263097763436E-3</v>
      </c>
      <c r="K40" s="8">
        <v>6.2653084022343672E-3</v>
      </c>
      <c r="L40" s="8">
        <v>6.4256904946923899E-3</v>
      </c>
      <c r="M40" s="8">
        <v>6.6419692478198056E-3</v>
      </c>
      <c r="N40" s="8">
        <v>6.8582480009472214E-3</v>
      </c>
      <c r="O40" s="8">
        <v>7.0745267540746381E-3</v>
      </c>
      <c r="P40" s="8">
        <v>7.2908055072020538E-3</v>
      </c>
      <c r="Q40" s="8">
        <v>7.5070842603294696E-3</v>
      </c>
      <c r="R40" s="8">
        <v>7.73657014099546E-3</v>
      </c>
      <c r="S40" s="8">
        <v>7.9660560216614495E-3</v>
      </c>
      <c r="T40" s="8">
        <v>8.1952741724031324E-3</v>
      </c>
      <c r="U40" s="8">
        <v>8.4244923231448134E-3</v>
      </c>
      <c r="V40" s="8">
        <v>8.6537104738864962E-3</v>
      </c>
      <c r="W40" s="8">
        <v>8.8829286246281773E-3</v>
      </c>
      <c r="X40" s="8">
        <v>9.1121467753698601E-3</v>
      </c>
      <c r="Y40" s="8">
        <v>9.2771553111392416E-3</v>
      </c>
      <c r="Z40" s="8">
        <v>9.442163846908623E-3</v>
      </c>
      <c r="AA40" s="8">
        <v>9.6071723826780062E-3</v>
      </c>
      <c r="AB40" s="8">
        <v>9.7721809184473877E-3</v>
      </c>
      <c r="AC40" s="8">
        <v>9.9371894542167691E-3</v>
      </c>
      <c r="AD40" s="8">
        <v>1.0016723602506069E-2</v>
      </c>
      <c r="AE40" s="8">
        <v>1.009625775079538E-2</v>
      </c>
      <c r="AF40" s="8">
        <v>1.017579189908469E-2</v>
      </c>
      <c r="AG40" s="8">
        <v>1.0255326047373991E-2</v>
      </c>
      <c r="AH40" s="8">
        <v>1.0334860195663299E-2</v>
      </c>
      <c r="AI40" s="8">
        <v>1.035894783468088E-2</v>
      </c>
      <c r="AJ40" s="8">
        <v>1.0383035473698459E-2</v>
      </c>
      <c r="AK40" s="8">
        <v>1.040712311271604E-2</v>
      </c>
      <c r="AL40" s="8">
        <v>1.043121075173362E-2</v>
      </c>
      <c r="AM40" s="8">
        <v>1.0455298390751201E-2</v>
      </c>
    </row>
    <row r="41" spans="1:39" x14ac:dyDescent="0.25">
      <c r="A41" t="s">
        <v>235</v>
      </c>
      <c r="B41" t="s">
        <v>236</v>
      </c>
      <c r="C41" t="s">
        <v>325</v>
      </c>
      <c r="D41" t="s">
        <v>352</v>
      </c>
      <c r="E41" s="8">
        <v>6.87631284795239E-4</v>
      </c>
      <c r="F41" s="8">
        <v>7.1018064973836211E-4</v>
      </c>
      <c r="G41" s="8">
        <v>7.3273001468148532E-4</v>
      </c>
      <c r="H41" s="8">
        <v>7.5527937962460842E-4</v>
      </c>
      <c r="I41" s="8">
        <v>7.7782874456773163E-4</v>
      </c>
      <c r="J41" s="8">
        <v>8.0037810951085473E-4</v>
      </c>
      <c r="K41" s="8">
        <v>8.2292747445397783E-4</v>
      </c>
      <c r="L41" s="8">
        <v>8.4547683939710104E-4</v>
      </c>
      <c r="M41" s="8">
        <v>8.6806982603955562E-4</v>
      </c>
      <c r="N41" s="8">
        <v>8.9066281268201019E-4</v>
      </c>
      <c r="O41" s="8">
        <v>9.1325579932446488E-4</v>
      </c>
      <c r="P41" s="8">
        <v>9.3584878596691945E-4</v>
      </c>
      <c r="Q41" s="8">
        <v>9.5844177260937403E-4</v>
      </c>
      <c r="R41" s="8">
        <v>9.7736113152593548E-4</v>
      </c>
      <c r="S41" s="8">
        <v>9.9628049044249694E-4</v>
      </c>
      <c r="T41" s="8">
        <v>1.0086702479511159E-3</v>
      </c>
      <c r="U41" s="8">
        <v>1.0210600054597341E-3</v>
      </c>
      <c r="V41" s="8">
        <v>1.0334497629683531E-3</v>
      </c>
      <c r="W41" s="8">
        <v>1.045839520476971E-3</v>
      </c>
      <c r="X41" s="8">
        <v>1.05822927798559E-3</v>
      </c>
      <c r="Y41" s="8">
        <v>1.0643379288689881E-3</v>
      </c>
      <c r="Z41" s="8">
        <v>1.0704465797523859E-3</v>
      </c>
      <c r="AA41" s="8">
        <v>1.076555230635784E-3</v>
      </c>
      <c r="AB41" s="8">
        <v>1.0826638815191821E-3</v>
      </c>
      <c r="AC41" s="8">
        <v>1.0887725324025799E-3</v>
      </c>
      <c r="AD41" s="8">
        <v>1.0923701848961579E-3</v>
      </c>
      <c r="AE41" s="8">
        <v>1.0959678373897361E-3</v>
      </c>
      <c r="AF41" s="8">
        <v>1.0995654898833141E-3</v>
      </c>
      <c r="AG41" s="8">
        <v>1.1031631423768921E-3</v>
      </c>
      <c r="AH41" s="8">
        <v>1.10676079487047E-3</v>
      </c>
      <c r="AI41" s="8">
        <v>1.1119835205529219E-3</v>
      </c>
      <c r="AJ41" s="8">
        <v>1.117206246235374E-3</v>
      </c>
      <c r="AK41" s="8">
        <v>1.1224289719178259E-3</v>
      </c>
      <c r="AL41" s="8">
        <v>1.127651697600278E-3</v>
      </c>
      <c r="AM41" s="8">
        <v>1.1328744232827299E-3</v>
      </c>
    </row>
    <row r="42" spans="1:39" x14ac:dyDescent="0.25">
      <c r="A42" t="s">
        <v>235</v>
      </c>
      <c r="B42" t="s">
        <v>236</v>
      </c>
      <c r="C42" t="s">
        <v>327</v>
      </c>
      <c r="D42" t="s">
        <v>353</v>
      </c>
      <c r="E42" s="8">
        <v>6.2767111996715004E-4</v>
      </c>
      <c r="F42" s="8">
        <v>6.4912446780981416E-4</v>
      </c>
      <c r="G42" s="8">
        <v>6.7057781565247828E-4</v>
      </c>
      <c r="H42" s="8">
        <v>6.9203116349514241E-4</v>
      </c>
      <c r="I42" s="8">
        <v>7.1348451133780664E-4</v>
      </c>
      <c r="J42" s="8">
        <v>7.3493785918047076E-4</v>
      </c>
      <c r="K42" s="8">
        <v>7.5639120702313488E-4</v>
      </c>
      <c r="L42" s="8">
        <v>7.7784455486579901E-4</v>
      </c>
      <c r="M42" s="8">
        <v>7.9889610076172742E-4</v>
      </c>
      <c r="N42" s="8">
        <v>8.1994764665765582E-4</v>
      </c>
      <c r="O42" s="8">
        <v>8.4099919255358423E-4</v>
      </c>
      <c r="P42" s="8">
        <v>8.6205073844951264E-4</v>
      </c>
      <c r="Q42" s="8">
        <v>8.8310228434544105E-4</v>
      </c>
      <c r="R42" s="8">
        <v>9.0050500817511153E-4</v>
      </c>
      <c r="S42" s="8">
        <v>9.1790773200478202E-4</v>
      </c>
      <c r="T42" s="8">
        <v>9.2860851484862362E-4</v>
      </c>
      <c r="U42" s="8">
        <v>9.3930929769246523E-4</v>
      </c>
      <c r="V42" s="8">
        <v>9.5001008053630684E-4</v>
      </c>
      <c r="W42" s="8">
        <v>9.6071086338014844E-4</v>
      </c>
      <c r="X42" s="8">
        <v>9.7141164622399005E-4</v>
      </c>
      <c r="Y42" s="8">
        <v>9.7646519645538607E-4</v>
      </c>
      <c r="Z42" s="8">
        <v>9.8151874668678208E-4</v>
      </c>
      <c r="AA42" s="8">
        <v>9.8657229691817799E-4</v>
      </c>
      <c r="AB42" s="8">
        <v>9.9162584714957412E-4</v>
      </c>
      <c r="AC42" s="8">
        <v>9.9667939738097002E-4</v>
      </c>
      <c r="AD42" s="8">
        <v>9.9946530066084404E-4</v>
      </c>
      <c r="AE42" s="8">
        <v>1.0022512039407181E-3</v>
      </c>
      <c r="AF42" s="8">
        <v>1.0050371072205921E-3</v>
      </c>
      <c r="AG42" s="8">
        <v>1.0078230105004661E-3</v>
      </c>
      <c r="AH42" s="8">
        <v>1.0106089137803401E-3</v>
      </c>
      <c r="AI42" s="8">
        <v>1.015501889235874E-3</v>
      </c>
      <c r="AJ42" s="8">
        <v>1.0203948646914081E-3</v>
      </c>
      <c r="AK42" s="8">
        <v>1.025287840146942E-3</v>
      </c>
      <c r="AL42" s="8">
        <v>1.0301808156024761E-3</v>
      </c>
      <c r="AM42" s="8">
        <v>1.03507379105801E-3</v>
      </c>
    </row>
    <row r="43" spans="1:39" x14ac:dyDescent="0.25">
      <c r="A43" t="s">
        <v>235</v>
      </c>
      <c r="B43" t="s">
        <v>236</v>
      </c>
      <c r="C43" t="s">
        <v>329</v>
      </c>
      <c r="D43" t="s">
        <v>354</v>
      </c>
      <c r="E43" s="8">
        <v>1.6702521388553199E-4</v>
      </c>
      <c r="F43" s="8">
        <v>1.6981365467511479E-4</v>
      </c>
      <c r="G43" s="8">
        <v>1.726020954646977E-4</v>
      </c>
      <c r="H43" s="8">
        <v>1.753905362542806E-4</v>
      </c>
      <c r="I43" s="8">
        <v>1.781789770438634E-4</v>
      </c>
      <c r="J43" s="8">
        <v>1.8096741783344631E-4</v>
      </c>
      <c r="K43" s="8">
        <v>1.8375585862302911E-4</v>
      </c>
      <c r="L43" s="8">
        <v>1.8654429941261199E-4</v>
      </c>
      <c r="M43" s="8">
        <v>1.89349017424774E-4</v>
      </c>
      <c r="N43" s="8">
        <v>1.9215373543693599E-4</v>
      </c>
      <c r="O43" s="8">
        <v>1.94958453449098E-4</v>
      </c>
      <c r="P43" s="8">
        <v>1.9776317146126001E-4</v>
      </c>
      <c r="Q43" s="8">
        <v>2.0056788947342199E-4</v>
      </c>
      <c r="R43" s="8">
        <v>2.0320330932923849E-4</v>
      </c>
      <c r="S43" s="8">
        <v>2.0583872918505499E-4</v>
      </c>
      <c r="T43" s="8">
        <v>2.0791049962324261E-4</v>
      </c>
      <c r="U43" s="8">
        <v>2.0998227006143019E-4</v>
      </c>
      <c r="V43" s="8">
        <v>2.1205404049961781E-4</v>
      </c>
      <c r="W43" s="8">
        <v>2.1412581093780539E-4</v>
      </c>
      <c r="X43" s="8">
        <v>2.1619758137599301E-4</v>
      </c>
      <c r="Y43" s="8">
        <v>2.1762012051487899E-4</v>
      </c>
      <c r="Z43" s="8">
        <v>2.1904265965376501E-4</v>
      </c>
      <c r="AA43" s="8">
        <v>2.20465198792651E-4</v>
      </c>
      <c r="AB43" s="8">
        <v>2.2188773793153699E-4</v>
      </c>
      <c r="AC43" s="8">
        <v>2.23310277070423E-4</v>
      </c>
      <c r="AD43" s="8">
        <v>2.244487283147978E-4</v>
      </c>
      <c r="AE43" s="8">
        <v>2.2558717955917259E-4</v>
      </c>
      <c r="AF43" s="8">
        <v>2.2672563080354741E-4</v>
      </c>
      <c r="AG43" s="8">
        <v>2.2786408204792221E-4</v>
      </c>
      <c r="AH43" s="8">
        <v>2.29002533292297E-4</v>
      </c>
      <c r="AI43" s="8">
        <v>2.302581865490352E-4</v>
      </c>
      <c r="AJ43" s="8">
        <v>2.315138398057734E-4</v>
      </c>
      <c r="AK43" s="8">
        <v>2.327694930625116E-4</v>
      </c>
      <c r="AL43" s="8">
        <v>2.340251463192498E-4</v>
      </c>
      <c r="AM43" s="8">
        <v>2.35280799575988E-4</v>
      </c>
    </row>
    <row r="44" spans="1:39" x14ac:dyDescent="0.25">
      <c r="A44" t="s">
        <v>235</v>
      </c>
      <c r="B44" t="s">
        <v>236</v>
      </c>
      <c r="C44" t="s">
        <v>331</v>
      </c>
      <c r="D44" t="s">
        <v>355</v>
      </c>
      <c r="E44" s="8">
        <v>3.5451052716318201E-3</v>
      </c>
      <c r="F44" s="8">
        <v>3.6097964787868762E-3</v>
      </c>
      <c r="G44" s="8">
        <v>3.674487685941931E-3</v>
      </c>
      <c r="H44" s="8">
        <v>3.7391788930969871E-3</v>
      </c>
      <c r="I44" s="8">
        <v>3.8038701002520432E-3</v>
      </c>
      <c r="J44" s="8">
        <v>3.868561307407098E-3</v>
      </c>
      <c r="K44" s="8">
        <v>3.9332525145621541E-3</v>
      </c>
      <c r="L44" s="8">
        <v>3.9979437217172098E-3</v>
      </c>
      <c r="M44" s="8">
        <v>4.0723150891446196E-3</v>
      </c>
      <c r="N44" s="8">
        <v>4.1466864565720286E-3</v>
      </c>
      <c r="O44" s="8">
        <v>4.2210578239994401E-3</v>
      </c>
      <c r="P44" s="8">
        <v>4.29542919142685E-3</v>
      </c>
      <c r="Q44" s="8">
        <v>4.3698005588542598E-3</v>
      </c>
      <c r="R44" s="8">
        <v>4.4426301102036651E-3</v>
      </c>
      <c r="S44" s="8">
        <v>4.5154596615530696E-3</v>
      </c>
      <c r="T44" s="8">
        <v>4.586019552640712E-3</v>
      </c>
      <c r="U44" s="8">
        <v>4.6565794437283536E-3</v>
      </c>
      <c r="V44" s="8">
        <v>4.7271393348159961E-3</v>
      </c>
      <c r="W44" s="8">
        <v>4.7976992259036377E-3</v>
      </c>
      <c r="X44" s="8">
        <v>4.8682591169912802E-3</v>
      </c>
      <c r="Y44" s="8">
        <v>4.9249443992601099E-3</v>
      </c>
      <c r="Z44" s="8">
        <v>4.9816296815289396E-3</v>
      </c>
      <c r="AA44" s="8">
        <v>5.0383149637977702E-3</v>
      </c>
      <c r="AB44" s="8">
        <v>5.0950002460666E-3</v>
      </c>
      <c r="AC44" s="8">
        <v>5.1516855283354297E-3</v>
      </c>
      <c r="AD44" s="8">
        <v>5.1910716999279457E-3</v>
      </c>
      <c r="AE44" s="8">
        <v>5.2304578715204617E-3</v>
      </c>
      <c r="AF44" s="8">
        <v>5.2698440431129777E-3</v>
      </c>
      <c r="AG44" s="8">
        <v>5.3092302147054937E-3</v>
      </c>
      <c r="AH44" s="8">
        <v>5.3486163862980097E-3</v>
      </c>
      <c r="AI44" s="8">
        <v>5.3780998736125936E-3</v>
      </c>
      <c r="AJ44" s="8">
        <v>5.4075833609271784E-3</v>
      </c>
      <c r="AK44" s="8">
        <v>5.4370668482417624E-3</v>
      </c>
      <c r="AL44" s="8">
        <v>5.4665503355563463E-3</v>
      </c>
      <c r="AM44" s="8">
        <v>5.4960338228709302E-3</v>
      </c>
    </row>
    <row r="45" spans="1:39" x14ac:dyDescent="0.25">
      <c r="A45" t="s">
        <v>235</v>
      </c>
      <c r="B45" t="s">
        <v>236</v>
      </c>
      <c r="C45" t="s">
        <v>333</v>
      </c>
      <c r="D45" t="s">
        <v>356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0</v>
      </c>
      <c r="AL45" s="8">
        <v>0</v>
      </c>
      <c r="AM45" s="8">
        <v>0</v>
      </c>
    </row>
    <row r="46" spans="1:39" x14ac:dyDescent="0.25">
      <c r="A46" t="s">
        <v>235</v>
      </c>
      <c r="B46" t="s">
        <v>244</v>
      </c>
      <c r="C46" t="s">
        <v>53</v>
      </c>
      <c r="D46" t="s">
        <v>357</v>
      </c>
      <c r="E46" s="8">
        <v>4.9096100198015103E-3</v>
      </c>
      <c r="F46" s="8">
        <v>4.9388755333849513E-3</v>
      </c>
      <c r="G46" s="8">
        <v>4.9681410469683933E-3</v>
      </c>
      <c r="H46" s="8">
        <v>4.9974065605518344E-3</v>
      </c>
      <c r="I46" s="8">
        <v>5.0266720741352763E-3</v>
      </c>
      <c r="J46" s="8">
        <v>5.0559375877187174E-3</v>
      </c>
      <c r="K46" s="8">
        <v>5.0852031013021593E-3</v>
      </c>
      <c r="L46" s="8">
        <v>5.1144686148856004E-3</v>
      </c>
      <c r="M46" s="8">
        <v>5.1800714166247604E-3</v>
      </c>
      <c r="N46" s="8">
        <v>5.2456742183639203E-3</v>
      </c>
      <c r="O46" s="8">
        <v>5.3112770201030803E-3</v>
      </c>
      <c r="P46" s="8">
        <v>5.3768798218422403E-3</v>
      </c>
      <c r="Q46" s="8">
        <v>5.4424826235814003E-3</v>
      </c>
      <c r="R46" s="8">
        <v>5.5688955045693003E-3</v>
      </c>
      <c r="S46" s="8">
        <v>5.6953083855572004E-3</v>
      </c>
      <c r="T46" s="8">
        <v>5.7788497631393303E-3</v>
      </c>
      <c r="U46" s="8">
        <v>5.8623911407214603E-3</v>
      </c>
      <c r="V46" s="8">
        <v>5.9459325183035903E-3</v>
      </c>
      <c r="W46" s="8">
        <v>6.0294738958857202E-3</v>
      </c>
      <c r="X46" s="8">
        <v>6.1130152734678502E-3</v>
      </c>
      <c r="Y46" s="8">
        <v>6.1782899743984118E-3</v>
      </c>
      <c r="Z46" s="8">
        <v>6.2435646753289742E-3</v>
      </c>
      <c r="AA46" s="8">
        <v>6.3088393762595358E-3</v>
      </c>
      <c r="AB46" s="8">
        <v>6.3741140771900982E-3</v>
      </c>
      <c r="AC46" s="8">
        <v>6.4393887781206598E-3</v>
      </c>
      <c r="AD46" s="8">
        <v>6.474344249614624E-3</v>
      </c>
      <c r="AE46" s="8">
        <v>6.5092997211085883E-3</v>
      </c>
      <c r="AF46" s="8">
        <v>6.5442551926025517E-3</v>
      </c>
      <c r="AG46" s="8">
        <v>6.5792106640965159E-3</v>
      </c>
      <c r="AH46" s="8">
        <v>6.6141661355904801E-3</v>
      </c>
      <c r="AI46" s="8">
        <v>6.6212674465452263E-3</v>
      </c>
      <c r="AJ46" s="8">
        <v>6.6283687574999724E-3</v>
      </c>
      <c r="AK46" s="8">
        <v>6.6354700684547177E-3</v>
      </c>
      <c r="AL46" s="8">
        <v>6.6425713794094638E-3</v>
      </c>
      <c r="AM46" s="8">
        <v>6.6496726903642099E-3</v>
      </c>
    </row>
    <row r="47" spans="1:39" x14ac:dyDescent="0.25">
      <c r="A47" t="s">
        <v>235</v>
      </c>
      <c r="B47" t="s">
        <v>244</v>
      </c>
      <c r="C47" t="s">
        <v>293</v>
      </c>
      <c r="D47" t="s">
        <v>358</v>
      </c>
      <c r="E47" s="8">
        <v>2.1717439628167399E-5</v>
      </c>
      <c r="F47" s="8">
        <v>2.1489190523740431E-5</v>
      </c>
      <c r="G47" s="8">
        <v>2.1260941419313459E-5</v>
      </c>
      <c r="H47" s="8">
        <v>2.1032692314886481E-5</v>
      </c>
      <c r="I47" s="8">
        <v>2.080444321045952E-5</v>
      </c>
      <c r="J47" s="8">
        <v>2.0576194106032541E-5</v>
      </c>
      <c r="K47" s="8">
        <v>2.034794500160557E-5</v>
      </c>
      <c r="L47" s="8">
        <v>2.0119695897178602E-5</v>
      </c>
      <c r="M47" s="8">
        <v>1.994833605180596E-5</v>
      </c>
      <c r="N47" s="8">
        <v>1.9776976206433318E-5</v>
      </c>
      <c r="O47" s="8">
        <v>1.960561636106068E-5</v>
      </c>
      <c r="P47" s="8">
        <v>1.9434256515688038E-5</v>
      </c>
      <c r="Q47" s="8">
        <v>1.92628966703154E-5</v>
      </c>
      <c r="R47" s="8">
        <v>1.2830640646576569E-5</v>
      </c>
      <c r="S47" s="8">
        <v>6.3983846228377502E-6</v>
      </c>
      <c r="T47" s="8">
        <v>6.358245623952422E-6</v>
      </c>
      <c r="U47" s="8">
        <v>6.3181066250670938E-6</v>
      </c>
      <c r="V47" s="8">
        <v>6.2779676261817656E-6</v>
      </c>
      <c r="W47" s="8">
        <v>6.2378286272964382E-6</v>
      </c>
      <c r="X47" s="8">
        <v>6.19768962841111E-6</v>
      </c>
      <c r="Y47" s="8">
        <v>6.1724946793179157E-6</v>
      </c>
      <c r="Z47" s="8">
        <v>6.1472997302247222E-6</v>
      </c>
      <c r="AA47" s="8">
        <v>6.1221047811315278E-6</v>
      </c>
      <c r="AB47" s="8">
        <v>6.0969098320383343E-6</v>
      </c>
      <c r="AC47" s="8">
        <v>6.0717148829451399E-6</v>
      </c>
      <c r="AD47" s="8">
        <v>6.04008108944948E-6</v>
      </c>
      <c r="AE47" s="8">
        <v>6.0084472959538202E-6</v>
      </c>
      <c r="AF47" s="8">
        <v>5.9768135024581586E-6</v>
      </c>
      <c r="AG47" s="8">
        <v>5.9451797089625004E-6</v>
      </c>
      <c r="AH47" s="8">
        <v>5.9135459154668397E-6</v>
      </c>
      <c r="AI47" s="8">
        <v>5.878960414707506E-6</v>
      </c>
      <c r="AJ47" s="8">
        <v>5.8443749139481706E-6</v>
      </c>
      <c r="AK47" s="8">
        <v>5.8097894131888378E-6</v>
      </c>
      <c r="AL47" s="8">
        <v>5.7752039124295033E-6</v>
      </c>
      <c r="AM47" s="8">
        <v>5.7406184116701696E-6</v>
      </c>
    </row>
    <row r="48" spans="1:39" x14ac:dyDescent="0.25">
      <c r="A48" t="s">
        <v>235</v>
      </c>
      <c r="B48" t="s">
        <v>244</v>
      </c>
      <c r="C48" t="s">
        <v>295</v>
      </c>
      <c r="D48" t="s">
        <v>359</v>
      </c>
      <c r="E48" s="8">
        <v>1.0784002882078401</v>
      </c>
      <c r="F48" s="8">
        <v>1.0819180353868409</v>
      </c>
      <c r="G48" s="8">
        <v>1.0854357825658429</v>
      </c>
      <c r="H48" s="8">
        <v>1.0889535297448441</v>
      </c>
      <c r="I48" s="8">
        <v>1.092471276923846</v>
      </c>
      <c r="J48" s="8">
        <v>1.0959890241028469</v>
      </c>
      <c r="K48" s="8">
        <v>1.0995067712818489</v>
      </c>
      <c r="L48" s="8">
        <v>1.10302451846085</v>
      </c>
      <c r="M48" s="8">
        <v>1.114512095510634</v>
      </c>
      <c r="N48" s="8">
        <v>1.125999672560418</v>
      </c>
      <c r="O48" s="8">
        <v>1.137487249610202</v>
      </c>
      <c r="P48" s="8">
        <v>1.148974826659986</v>
      </c>
      <c r="Q48" s="8">
        <v>1.1604624037097699</v>
      </c>
      <c r="R48" s="8">
        <v>1.17387590401305</v>
      </c>
      <c r="S48" s="8">
        <v>1.18728940431633</v>
      </c>
      <c r="T48" s="8">
        <v>1.197073157170226</v>
      </c>
      <c r="U48" s="8">
        <v>1.206856910024122</v>
      </c>
      <c r="V48" s="8">
        <v>1.216640662878018</v>
      </c>
      <c r="W48" s="8">
        <v>1.226424415731914</v>
      </c>
      <c r="X48" s="8">
        <v>1.23620816858581</v>
      </c>
      <c r="Y48" s="8">
        <v>1.2403869950056261</v>
      </c>
      <c r="Z48" s="8">
        <v>1.244565821425442</v>
      </c>
      <c r="AA48" s="8">
        <v>1.248744647845258</v>
      </c>
      <c r="AB48" s="8">
        <v>1.2529234742650741</v>
      </c>
      <c r="AC48" s="8">
        <v>1.25710230068489</v>
      </c>
      <c r="AD48" s="8">
        <v>1.2621876140677379</v>
      </c>
      <c r="AE48" s="8">
        <v>1.2672729274505861</v>
      </c>
      <c r="AF48" s="8">
        <v>1.272358240833434</v>
      </c>
      <c r="AG48" s="8">
        <v>1.2774435542162821</v>
      </c>
      <c r="AH48" s="8">
        <v>1.28252886759913</v>
      </c>
      <c r="AI48" s="8">
        <v>1.28814230335299</v>
      </c>
      <c r="AJ48" s="8">
        <v>1.2937557391068499</v>
      </c>
      <c r="AK48" s="8">
        <v>1.2993691748607099</v>
      </c>
      <c r="AL48" s="8">
        <v>1.3049826106145701</v>
      </c>
      <c r="AM48" s="8">
        <v>1.3105960463684301</v>
      </c>
    </row>
    <row r="49" spans="1:39" x14ac:dyDescent="0.25">
      <c r="A49" t="s">
        <v>235</v>
      </c>
      <c r="B49" t="s">
        <v>244</v>
      </c>
      <c r="C49" t="s">
        <v>297</v>
      </c>
      <c r="D49" t="s">
        <v>360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</row>
    <row r="50" spans="1:39" x14ac:dyDescent="0.25">
      <c r="A50" t="s">
        <v>235</v>
      </c>
      <c r="B50" t="s">
        <v>244</v>
      </c>
      <c r="C50" t="s">
        <v>299</v>
      </c>
      <c r="D50" t="s">
        <v>361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</row>
    <row r="51" spans="1:39" x14ac:dyDescent="0.25">
      <c r="A51" t="s">
        <v>235</v>
      </c>
      <c r="B51" t="s">
        <v>244</v>
      </c>
      <c r="C51" t="s">
        <v>301</v>
      </c>
      <c r="D51" t="s">
        <v>362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</row>
    <row r="52" spans="1:39" x14ac:dyDescent="0.25">
      <c r="A52" t="s">
        <v>235</v>
      </c>
      <c r="B52" t="s">
        <v>244</v>
      </c>
      <c r="C52" t="s">
        <v>303</v>
      </c>
      <c r="D52" t="s">
        <v>363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</row>
    <row r="53" spans="1:39" x14ac:dyDescent="0.25">
      <c r="A53" t="s">
        <v>235</v>
      </c>
      <c r="B53" t="s">
        <v>244</v>
      </c>
      <c r="C53" t="s">
        <v>305</v>
      </c>
      <c r="D53" t="s">
        <v>364</v>
      </c>
      <c r="E53" s="8">
        <v>5.5742592939440304E-3</v>
      </c>
      <c r="F53" s="8">
        <v>5.6335757355777784E-3</v>
      </c>
      <c r="G53" s="8">
        <v>5.6928921772115247E-3</v>
      </c>
      <c r="H53" s="8">
        <v>5.7522086188452719E-3</v>
      </c>
      <c r="I53" s="8">
        <v>5.8115250604790182E-3</v>
      </c>
      <c r="J53" s="8">
        <v>5.8708415021127653E-3</v>
      </c>
      <c r="K53" s="8">
        <v>5.9301579437465116E-3</v>
      </c>
      <c r="L53" s="8">
        <v>5.9894743853802597E-3</v>
      </c>
      <c r="M53" s="8">
        <v>6.0297405567772419E-3</v>
      </c>
      <c r="N53" s="8">
        <v>6.0700067281742242E-3</v>
      </c>
      <c r="O53" s="8">
        <v>6.1102728995712056E-3</v>
      </c>
      <c r="P53" s="8">
        <v>6.1505390709681879E-3</v>
      </c>
      <c r="Q53" s="8">
        <v>6.1908052423651702E-3</v>
      </c>
      <c r="R53" s="8">
        <v>6.2270806998044447E-3</v>
      </c>
      <c r="S53" s="8">
        <v>6.2633561572437201E-3</v>
      </c>
      <c r="T53" s="8">
        <v>6.2938418219528718E-3</v>
      </c>
      <c r="U53" s="8">
        <v>6.3243274866620243E-3</v>
      </c>
      <c r="V53" s="8">
        <v>6.354813151371176E-3</v>
      </c>
      <c r="W53" s="8">
        <v>6.3852988160803294E-3</v>
      </c>
      <c r="X53" s="8">
        <v>6.4157844807894802E-3</v>
      </c>
      <c r="Y53" s="8">
        <v>6.4444596976193074E-3</v>
      </c>
      <c r="Z53" s="8">
        <v>6.473134914449132E-3</v>
      </c>
      <c r="AA53" s="8">
        <v>6.5018101312789584E-3</v>
      </c>
      <c r="AB53" s="8">
        <v>6.5304853481087839E-3</v>
      </c>
      <c r="AC53" s="8">
        <v>6.5591605649386103E-3</v>
      </c>
      <c r="AD53" s="8">
        <v>6.5869078784305422E-3</v>
      </c>
      <c r="AE53" s="8">
        <v>6.6146551919224741E-3</v>
      </c>
      <c r="AF53" s="8">
        <v>6.642402505414406E-3</v>
      </c>
      <c r="AG53" s="8">
        <v>6.6701498189063379E-3</v>
      </c>
      <c r="AH53" s="8">
        <v>6.6978971323982698E-3</v>
      </c>
      <c r="AI53" s="8">
        <v>6.7232579678051319E-3</v>
      </c>
      <c r="AJ53" s="8">
        <v>6.7486188032119939E-3</v>
      </c>
      <c r="AK53" s="8">
        <v>6.773979638618856E-3</v>
      </c>
      <c r="AL53" s="8">
        <v>6.7993404740257181E-3</v>
      </c>
      <c r="AM53" s="8">
        <v>6.8247013094325801E-3</v>
      </c>
    </row>
    <row r="54" spans="1:39" x14ac:dyDescent="0.25">
      <c r="A54" t="s">
        <v>235</v>
      </c>
      <c r="B54" t="s">
        <v>244</v>
      </c>
      <c r="C54" t="s">
        <v>307</v>
      </c>
      <c r="D54" t="s">
        <v>365</v>
      </c>
      <c r="E54" s="8">
        <v>3.6581775184628802E-2</v>
      </c>
      <c r="F54" s="8">
        <v>3.6791952321240648E-2</v>
      </c>
      <c r="G54" s="8">
        <v>3.7002129457852487E-2</v>
      </c>
      <c r="H54" s="8">
        <v>3.7212306594464332E-2</v>
      </c>
      <c r="I54" s="8">
        <v>3.7422483731076171E-2</v>
      </c>
      <c r="J54" s="8">
        <v>3.7632660867688017E-2</v>
      </c>
      <c r="K54" s="8">
        <v>3.7842838004299863E-2</v>
      </c>
      <c r="L54" s="8">
        <v>3.8053015140911702E-2</v>
      </c>
      <c r="M54" s="8">
        <v>3.84101549799548E-2</v>
      </c>
      <c r="N54" s="8">
        <v>3.8767294818997898E-2</v>
      </c>
      <c r="O54" s="8">
        <v>3.9124434658041003E-2</v>
      </c>
      <c r="P54" s="8">
        <v>3.9481574497084101E-2</v>
      </c>
      <c r="Q54" s="8">
        <v>3.98387143361272E-2</v>
      </c>
      <c r="R54" s="8">
        <v>4.0228137617406748E-2</v>
      </c>
      <c r="S54" s="8">
        <v>4.0617560898686303E-2</v>
      </c>
      <c r="T54" s="8">
        <v>4.0914080765830842E-2</v>
      </c>
      <c r="U54" s="8">
        <v>4.121060063297538E-2</v>
      </c>
      <c r="V54" s="8">
        <v>4.1507120500119919E-2</v>
      </c>
      <c r="W54" s="8">
        <v>4.1803640367264458E-2</v>
      </c>
      <c r="X54" s="8">
        <v>4.2100160234408997E-2</v>
      </c>
      <c r="Y54" s="8">
        <v>4.2255037086527322E-2</v>
      </c>
      <c r="Z54" s="8">
        <v>4.2409913938645627E-2</v>
      </c>
      <c r="AA54" s="8">
        <v>4.2564790790763959E-2</v>
      </c>
      <c r="AB54" s="8">
        <v>4.2719667642882278E-2</v>
      </c>
      <c r="AC54" s="8">
        <v>4.2874544495000597E-2</v>
      </c>
      <c r="AD54" s="8">
        <v>4.3051647925138707E-2</v>
      </c>
      <c r="AE54" s="8">
        <v>4.3228751355276838E-2</v>
      </c>
      <c r="AF54" s="8">
        <v>4.3405854785414963E-2</v>
      </c>
      <c r="AG54" s="8">
        <v>4.358295821555308E-2</v>
      </c>
      <c r="AH54" s="8">
        <v>4.3760061645691198E-2</v>
      </c>
      <c r="AI54" s="8">
        <v>4.3944875992111783E-2</v>
      </c>
      <c r="AJ54" s="8">
        <v>4.4129690338532361E-2</v>
      </c>
      <c r="AK54" s="8">
        <v>4.4314504684952939E-2</v>
      </c>
      <c r="AL54" s="8">
        <v>4.4499319031373517E-2</v>
      </c>
      <c r="AM54" s="8">
        <v>4.4684133377794102E-2</v>
      </c>
    </row>
    <row r="55" spans="1:39" x14ac:dyDescent="0.25">
      <c r="A55" t="s">
        <v>235</v>
      </c>
      <c r="B55" t="s">
        <v>244</v>
      </c>
      <c r="C55" t="s">
        <v>309</v>
      </c>
      <c r="D55" t="s">
        <v>366</v>
      </c>
      <c r="E55" s="8">
        <v>1.6785700442080399E-3</v>
      </c>
      <c r="F55" s="8">
        <v>1.694252894916244E-3</v>
      </c>
      <c r="G55" s="8">
        <v>1.709935745624449E-3</v>
      </c>
      <c r="H55" s="8">
        <v>1.7256185963326529E-3</v>
      </c>
      <c r="I55" s="8">
        <v>1.741301447040857E-3</v>
      </c>
      <c r="J55" s="8">
        <v>1.7569842977490609E-3</v>
      </c>
      <c r="K55" s="8">
        <v>1.7726671484572659E-3</v>
      </c>
      <c r="L55" s="8">
        <v>1.78834999916547E-3</v>
      </c>
      <c r="M55" s="8">
        <v>1.805717261900288E-3</v>
      </c>
      <c r="N55" s="8">
        <v>1.823084524635106E-3</v>
      </c>
      <c r="O55" s="8">
        <v>1.8404517873699239E-3</v>
      </c>
      <c r="P55" s="8">
        <v>1.8578190501047421E-3</v>
      </c>
      <c r="Q55" s="8">
        <v>1.8751863128395601E-3</v>
      </c>
      <c r="R55" s="8">
        <v>1.8931403079101849E-3</v>
      </c>
      <c r="S55" s="8">
        <v>1.91109430298081E-3</v>
      </c>
      <c r="T55" s="8">
        <v>1.927958050237236E-3</v>
      </c>
      <c r="U55" s="8">
        <v>1.944821797493662E-3</v>
      </c>
      <c r="V55" s="8">
        <v>1.9616855447500878E-3</v>
      </c>
      <c r="W55" s="8">
        <v>1.978549292006514E-3</v>
      </c>
      <c r="X55" s="8">
        <v>1.9954130392629398E-3</v>
      </c>
      <c r="Y55" s="8">
        <v>2.009687303232712E-3</v>
      </c>
      <c r="Z55" s="8">
        <v>2.0239615672024841E-3</v>
      </c>
      <c r="AA55" s="8">
        <v>2.0382358311722558E-3</v>
      </c>
      <c r="AB55" s="8">
        <v>2.0525100951420279E-3</v>
      </c>
      <c r="AC55" s="8">
        <v>2.0667843591118001E-3</v>
      </c>
      <c r="AD55" s="8">
        <v>2.0790583411905159E-3</v>
      </c>
      <c r="AE55" s="8">
        <v>2.0913323232692321E-3</v>
      </c>
      <c r="AF55" s="8">
        <v>2.1036063053479479E-3</v>
      </c>
      <c r="AG55" s="8">
        <v>2.1158802874266642E-3</v>
      </c>
      <c r="AH55" s="8">
        <v>2.12815426950538E-3</v>
      </c>
      <c r="AI55" s="8">
        <v>2.1396285573208459E-3</v>
      </c>
      <c r="AJ55" s="8">
        <v>2.1511028451363119E-3</v>
      </c>
      <c r="AK55" s="8">
        <v>2.1625771329517778E-3</v>
      </c>
      <c r="AL55" s="8">
        <v>2.1740514207672442E-3</v>
      </c>
      <c r="AM55" s="8">
        <v>2.1855257085827101E-3</v>
      </c>
    </row>
    <row r="56" spans="1:39" x14ac:dyDescent="0.25">
      <c r="A56" t="s">
        <v>235</v>
      </c>
      <c r="B56" t="s">
        <v>244</v>
      </c>
      <c r="C56" t="s">
        <v>311</v>
      </c>
      <c r="D56" t="s">
        <v>367</v>
      </c>
      <c r="E56" s="8">
        <v>1.92584436137561E-4</v>
      </c>
      <c r="F56" s="8">
        <v>1.9416304785166029E-4</v>
      </c>
      <c r="G56" s="8">
        <v>1.957416595657596E-4</v>
      </c>
      <c r="H56" s="8">
        <v>1.9732027127985889E-4</v>
      </c>
      <c r="I56" s="8">
        <v>1.9889888299395809E-4</v>
      </c>
      <c r="J56" s="8">
        <v>2.0047749470805741E-4</v>
      </c>
      <c r="K56" s="8">
        <v>2.020561064221567E-4</v>
      </c>
      <c r="L56" s="8">
        <v>2.0363471813625601E-4</v>
      </c>
      <c r="M56" s="8">
        <v>2.0484289169109699E-4</v>
      </c>
      <c r="N56" s="8">
        <v>2.06051065245938E-4</v>
      </c>
      <c r="O56" s="8">
        <v>2.0725923880077901E-4</v>
      </c>
      <c r="P56" s="8">
        <v>2.0846741235561999E-4</v>
      </c>
      <c r="Q56" s="8">
        <v>2.09675585910461E-4</v>
      </c>
      <c r="R56" s="8">
        <v>2.1099269886907301E-4</v>
      </c>
      <c r="S56" s="8">
        <v>2.1230981182768501E-4</v>
      </c>
      <c r="T56" s="8">
        <v>2.136086420257856E-4</v>
      </c>
      <c r="U56" s="8">
        <v>2.1490747222388621E-4</v>
      </c>
      <c r="V56" s="8">
        <v>2.162063024219868E-4</v>
      </c>
      <c r="W56" s="8">
        <v>2.1750513262008741E-4</v>
      </c>
      <c r="X56" s="8">
        <v>2.18803962818188E-4</v>
      </c>
      <c r="Y56" s="8">
        <v>2.197520687697346E-4</v>
      </c>
      <c r="Z56" s="8">
        <v>2.207001747212812E-4</v>
      </c>
      <c r="AA56" s="8">
        <v>2.216482806728278E-4</v>
      </c>
      <c r="AB56" s="8">
        <v>2.225963866243744E-4</v>
      </c>
      <c r="AC56" s="8">
        <v>2.23544492575921E-4</v>
      </c>
      <c r="AD56" s="8">
        <v>2.24448913311171E-4</v>
      </c>
      <c r="AE56" s="8">
        <v>2.25353334046421E-4</v>
      </c>
      <c r="AF56" s="8">
        <v>2.26257754781671E-4</v>
      </c>
      <c r="AG56" s="8">
        <v>2.27162175516921E-4</v>
      </c>
      <c r="AH56" s="8">
        <v>2.28066596252171E-4</v>
      </c>
      <c r="AI56" s="8">
        <v>2.289247430416848E-4</v>
      </c>
      <c r="AJ56" s="8">
        <v>2.297828898311986E-4</v>
      </c>
      <c r="AK56" s="8">
        <v>2.3064103662071239E-4</v>
      </c>
      <c r="AL56" s="8">
        <v>2.3149918341022619E-4</v>
      </c>
      <c r="AM56" s="8">
        <v>2.3235733019974001E-4</v>
      </c>
    </row>
    <row r="57" spans="1:39" x14ac:dyDescent="0.25">
      <c r="A57" t="s">
        <v>235</v>
      </c>
      <c r="B57" t="s">
        <v>244</v>
      </c>
      <c r="C57" t="s">
        <v>313</v>
      </c>
      <c r="D57" t="s">
        <v>368</v>
      </c>
      <c r="E57" s="8">
        <v>1.35065298526967E-3</v>
      </c>
      <c r="F57" s="8">
        <v>1.39621175774179E-3</v>
      </c>
      <c r="G57" s="8">
        <v>1.4417705302139101E-3</v>
      </c>
      <c r="H57" s="8">
        <v>1.48732930268603E-3</v>
      </c>
      <c r="I57" s="8">
        <v>1.5328880751581499E-3</v>
      </c>
      <c r="J57" s="8">
        <v>1.5784468476302701E-3</v>
      </c>
      <c r="K57" s="8">
        <v>1.62400562010239E-3</v>
      </c>
      <c r="L57" s="8">
        <v>1.6695643925745099E-3</v>
      </c>
      <c r="M57" s="8">
        <v>1.72005907955305E-3</v>
      </c>
      <c r="N57" s="8">
        <v>1.77055376653159E-3</v>
      </c>
      <c r="O57" s="8">
        <v>1.8210484535101301E-3</v>
      </c>
      <c r="P57" s="8">
        <v>1.87154314048867E-3</v>
      </c>
      <c r="Q57" s="8">
        <v>1.9220378274672099E-3</v>
      </c>
      <c r="R57" s="8">
        <v>1.9696590009563148E-3</v>
      </c>
      <c r="S57" s="8">
        <v>2.0172801744454201E-3</v>
      </c>
      <c r="T57" s="8">
        <v>2.0556002905566919E-3</v>
      </c>
      <c r="U57" s="8">
        <v>2.093920406667964E-3</v>
      </c>
      <c r="V57" s="8">
        <v>2.1322405227792358E-3</v>
      </c>
      <c r="W57" s="8">
        <v>2.170560638890508E-3</v>
      </c>
      <c r="X57" s="8">
        <v>2.2088807550017802E-3</v>
      </c>
      <c r="Y57" s="8">
        <v>2.2337624693612558E-3</v>
      </c>
      <c r="Z57" s="8">
        <v>2.258644183720732E-3</v>
      </c>
      <c r="AA57" s="8">
        <v>2.2835258980802081E-3</v>
      </c>
      <c r="AB57" s="8">
        <v>2.3084076124396842E-3</v>
      </c>
      <c r="AC57" s="8">
        <v>2.3332893267991599E-3</v>
      </c>
      <c r="AD57" s="8">
        <v>2.3462799299118482E-3</v>
      </c>
      <c r="AE57" s="8">
        <v>2.3592705330245361E-3</v>
      </c>
      <c r="AF57" s="8">
        <v>2.372261136137224E-3</v>
      </c>
      <c r="AG57" s="8">
        <v>2.3852517392499118E-3</v>
      </c>
      <c r="AH57" s="8">
        <v>2.3982423423626002E-3</v>
      </c>
      <c r="AI57" s="8">
        <v>2.408049111374596E-3</v>
      </c>
      <c r="AJ57" s="8">
        <v>2.4178558803865922E-3</v>
      </c>
      <c r="AK57" s="8">
        <v>2.427662649398588E-3</v>
      </c>
      <c r="AL57" s="8">
        <v>2.4374694184105838E-3</v>
      </c>
      <c r="AM57" s="8">
        <v>2.44727618742258E-3</v>
      </c>
    </row>
    <row r="58" spans="1:39" x14ac:dyDescent="0.25">
      <c r="A58" t="s">
        <v>235</v>
      </c>
      <c r="B58" t="s">
        <v>244</v>
      </c>
      <c r="C58" t="s">
        <v>315</v>
      </c>
      <c r="D58" t="s">
        <v>369</v>
      </c>
      <c r="E58" s="8">
        <v>1.7445996149352101</v>
      </c>
      <c r="F58" s="8">
        <v>1.7489392891216771</v>
      </c>
      <c r="G58" s="8">
        <v>1.753278963308144</v>
      </c>
      <c r="H58" s="8">
        <v>1.757618637494611</v>
      </c>
      <c r="I58" s="8">
        <v>1.7619583116810791</v>
      </c>
      <c r="J58" s="8">
        <v>1.766297985867546</v>
      </c>
      <c r="K58" s="8">
        <v>1.770637660054013</v>
      </c>
      <c r="L58" s="8">
        <v>1.77497733424048</v>
      </c>
      <c r="M58" s="8">
        <v>1.7794627669726859</v>
      </c>
      <c r="N58" s="8">
        <v>1.783948199704892</v>
      </c>
      <c r="O58" s="8">
        <v>1.788433632437098</v>
      </c>
      <c r="P58" s="8">
        <v>1.7929190651693041</v>
      </c>
      <c r="Q58" s="8">
        <v>1.79740449790151</v>
      </c>
      <c r="R58" s="8">
        <v>1.8040066142319451</v>
      </c>
      <c r="S58" s="8">
        <v>1.8106087305623799</v>
      </c>
      <c r="T58" s="8">
        <v>1.821868024574594</v>
      </c>
      <c r="U58" s="8">
        <v>1.833127318586808</v>
      </c>
      <c r="V58" s="8">
        <v>1.844386612599022</v>
      </c>
      <c r="W58" s="8">
        <v>1.8556459066112361</v>
      </c>
      <c r="X58" s="8">
        <v>1.8669052006234499</v>
      </c>
      <c r="Y58" s="8">
        <v>1.882306108177344</v>
      </c>
      <c r="Z58" s="8">
        <v>1.8977070157312379</v>
      </c>
      <c r="AA58" s="8">
        <v>1.913107923285132</v>
      </c>
      <c r="AB58" s="8">
        <v>1.9285088308390259</v>
      </c>
      <c r="AC58" s="8">
        <v>1.94390973839292</v>
      </c>
      <c r="AD58" s="8">
        <v>1.959612470991384</v>
      </c>
      <c r="AE58" s="8">
        <v>1.975315203589848</v>
      </c>
      <c r="AF58" s="8">
        <v>1.991017936188312</v>
      </c>
      <c r="AG58" s="8">
        <v>2.0067206687867758</v>
      </c>
      <c r="AH58" s="8">
        <v>2.02242340138524</v>
      </c>
      <c r="AI58" s="8">
        <v>2.0362327033734142</v>
      </c>
      <c r="AJ58" s="8">
        <v>2.050042005361588</v>
      </c>
      <c r="AK58" s="8">
        <v>2.0638513073497622</v>
      </c>
      <c r="AL58" s="8">
        <v>2.0776606093379359</v>
      </c>
      <c r="AM58" s="8">
        <v>2.0914699113261102</v>
      </c>
    </row>
    <row r="59" spans="1:39" x14ac:dyDescent="0.25">
      <c r="A59" t="s">
        <v>235</v>
      </c>
      <c r="B59" t="s">
        <v>244</v>
      </c>
      <c r="C59" t="s">
        <v>317</v>
      </c>
      <c r="D59" t="s">
        <v>370</v>
      </c>
      <c r="E59" s="8">
        <v>0.29261488006707198</v>
      </c>
      <c r="F59" s="8">
        <v>0.29367412651423802</v>
      </c>
      <c r="G59" s="8">
        <v>0.29473337296140401</v>
      </c>
      <c r="H59" s="8">
        <v>0.29579261940856999</v>
      </c>
      <c r="I59" s="8">
        <v>0.29685186585573597</v>
      </c>
      <c r="J59" s="8">
        <v>0.29791111230290201</v>
      </c>
      <c r="K59" s="8">
        <v>0.298970358750068</v>
      </c>
      <c r="L59" s="8">
        <v>0.30002960519723398</v>
      </c>
      <c r="M59" s="8">
        <v>0.30100481295071102</v>
      </c>
      <c r="N59" s="8">
        <v>0.301980020704188</v>
      </c>
      <c r="O59" s="8">
        <v>0.30295522845766498</v>
      </c>
      <c r="P59" s="8">
        <v>0.30393043621114202</v>
      </c>
      <c r="Q59" s="8">
        <v>0.304905643964619</v>
      </c>
      <c r="R59" s="8">
        <v>0.30617987221883203</v>
      </c>
      <c r="S59" s="8">
        <v>0.307454100473045</v>
      </c>
      <c r="T59" s="8">
        <v>0.30931812535615599</v>
      </c>
      <c r="U59" s="8">
        <v>0.31118215023926699</v>
      </c>
      <c r="V59" s="8">
        <v>0.31304617512237798</v>
      </c>
      <c r="W59" s="8">
        <v>0.31491020000548903</v>
      </c>
      <c r="X59" s="8">
        <v>0.31677422488860002</v>
      </c>
      <c r="Y59" s="8">
        <v>0.3191114100257112</v>
      </c>
      <c r="Z59" s="8">
        <v>0.32144859516282243</v>
      </c>
      <c r="AA59" s="8">
        <v>0.3237857802999336</v>
      </c>
      <c r="AB59" s="8">
        <v>0.32612296543704478</v>
      </c>
      <c r="AC59" s="8">
        <v>0.32846015057415601</v>
      </c>
      <c r="AD59" s="8">
        <v>0.3310719472592768</v>
      </c>
      <c r="AE59" s="8">
        <v>0.33368374394439759</v>
      </c>
      <c r="AF59" s="8">
        <v>0.33629554062951839</v>
      </c>
      <c r="AG59" s="8">
        <v>0.33890733731463918</v>
      </c>
      <c r="AH59" s="8">
        <v>0.34151913399976003</v>
      </c>
      <c r="AI59" s="8">
        <v>0.34386416742178338</v>
      </c>
      <c r="AJ59" s="8">
        <v>0.3462092008438068</v>
      </c>
      <c r="AK59" s="8">
        <v>0.34855423426583021</v>
      </c>
      <c r="AL59" s="8">
        <v>0.35089926768785362</v>
      </c>
      <c r="AM59" s="8">
        <v>0.35324430110987698</v>
      </c>
    </row>
    <row r="60" spans="1:39" x14ac:dyDescent="0.25">
      <c r="A60" t="s">
        <v>235</v>
      </c>
      <c r="B60" t="s">
        <v>244</v>
      </c>
      <c r="C60" t="s">
        <v>319</v>
      </c>
      <c r="D60" t="s">
        <v>371</v>
      </c>
      <c r="E60" s="8">
        <v>1.46161483895625E-4</v>
      </c>
      <c r="F60" s="8">
        <v>1.48941298754176E-4</v>
      </c>
      <c r="G60" s="8">
        <v>1.5172111361272701E-4</v>
      </c>
      <c r="H60" s="8">
        <v>1.5450092847127801E-4</v>
      </c>
      <c r="I60" s="8">
        <v>1.5728074332982899E-4</v>
      </c>
      <c r="J60" s="8">
        <v>1.6006055818837999E-4</v>
      </c>
      <c r="K60" s="8">
        <v>1.62840373046931E-4</v>
      </c>
      <c r="L60" s="8">
        <v>1.65620187905482E-4</v>
      </c>
      <c r="M60" s="8">
        <v>1.6897250982670999E-4</v>
      </c>
      <c r="N60" s="8">
        <v>1.7232483174793801E-4</v>
      </c>
      <c r="O60" s="8">
        <v>1.7567715366916599E-4</v>
      </c>
      <c r="P60" s="8">
        <v>1.7902947559039401E-4</v>
      </c>
      <c r="Q60" s="8">
        <v>1.82381797511622E-4</v>
      </c>
      <c r="R60" s="8">
        <v>1.8592917737929451E-4</v>
      </c>
      <c r="S60" s="8">
        <v>1.8947655724696699E-4</v>
      </c>
      <c r="T60" s="8">
        <v>1.9328083329093481E-4</v>
      </c>
      <c r="U60" s="8">
        <v>1.970851093349026E-4</v>
      </c>
      <c r="V60" s="8">
        <v>2.0088938537887041E-4</v>
      </c>
      <c r="W60" s="8">
        <v>2.046936614228382E-4</v>
      </c>
      <c r="X60" s="8">
        <v>2.0849793746680601E-4</v>
      </c>
      <c r="Y60" s="8">
        <v>2.11722155448076E-4</v>
      </c>
      <c r="Z60" s="8">
        <v>2.14946373429346E-4</v>
      </c>
      <c r="AA60" s="8">
        <v>2.1817059141061599E-4</v>
      </c>
      <c r="AB60" s="8">
        <v>2.2139480939188601E-4</v>
      </c>
      <c r="AC60" s="8">
        <v>2.24619027373156E-4</v>
      </c>
      <c r="AD60" s="8">
        <v>2.26266573091165E-4</v>
      </c>
      <c r="AE60" s="8">
        <v>2.2791411880917399E-4</v>
      </c>
      <c r="AF60" s="8">
        <v>2.2956166452718299E-4</v>
      </c>
      <c r="AG60" s="8">
        <v>2.3120921024519201E-4</v>
      </c>
      <c r="AH60" s="8">
        <v>2.3285675596320101E-4</v>
      </c>
      <c r="AI60" s="8">
        <v>2.336886816272784E-4</v>
      </c>
      <c r="AJ60" s="8">
        <v>2.3452060729135579E-4</v>
      </c>
      <c r="AK60" s="8">
        <v>2.3535253295543321E-4</v>
      </c>
      <c r="AL60" s="8">
        <v>2.361844586195106E-4</v>
      </c>
      <c r="AM60" s="8">
        <v>2.3701638428358799E-4</v>
      </c>
    </row>
    <row r="61" spans="1:39" x14ac:dyDescent="0.25">
      <c r="A61" t="s">
        <v>235</v>
      </c>
      <c r="B61" t="s">
        <v>244</v>
      </c>
      <c r="C61" t="s">
        <v>321</v>
      </c>
      <c r="D61" t="s">
        <v>372</v>
      </c>
      <c r="E61" s="8">
        <v>2.6444956280598101E-4</v>
      </c>
      <c r="F61" s="8">
        <v>2.7328306789676322E-4</v>
      </c>
      <c r="G61" s="8">
        <v>2.8211657298754528E-4</v>
      </c>
      <c r="H61" s="8">
        <v>2.9095007807832738E-4</v>
      </c>
      <c r="I61" s="8">
        <v>2.9978358316910949E-4</v>
      </c>
      <c r="J61" s="8">
        <v>3.0861708825989171E-4</v>
      </c>
      <c r="K61" s="8">
        <v>3.1745059335067382E-4</v>
      </c>
      <c r="L61" s="8">
        <v>3.2628409844145598E-4</v>
      </c>
      <c r="M61" s="8">
        <v>3.3645993533292521E-4</v>
      </c>
      <c r="N61" s="8">
        <v>3.4663577222439438E-4</v>
      </c>
      <c r="O61" s="8">
        <v>3.5681160911586361E-4</v>
      </c>
      <c r="P61" s="8">
        <v>3.6698744600733278E-4</v>
      </c>
      <c r="Q61" s="8">
        <v>3.7716328289880201E-4</v>
      </c>
      <c r="R61" s="8">
        <v>3.8691076706997749E-4</v>
      </c>
      <c r="S61" s="8">
        <v>3.9665825124115297E-4</v>
      </c>
      <c r="T61" s="8">
        <v>4.0500994297091978E-4</v>
      </c>
      <c r="U61" s="8">
        <v>4.133616347006866E-4</v>
      </c>
      <c r="V61" s="8">
        <v>4.2171332643045341E-4</v>
      </c>
      <c r="W61" s="8">
        <v>4.3006501816022022E-4</v>
      </c>
      <c r="X61" s="8">
        <v>4.3841670988998698E-4</v>
      </c>
      <c r="Y61" s="8">
        <v>4.4402714430243919E-4</v>
      </c>
      <c r="Z61" s="8">
        <v>4.496375787148914E-4</v>
      </c>
      <c r="AA61" s="8">
        <v>4.5524801312734362E-4</v>
      </c>
      <c r="AB61" s="8">
        <v>4.6085844753979577E-4</v>
      </c>
      <c r="AC61" s="8">
        <v>4.6646888195224799E-4</v>
      </c>
      <c r="AD61" s="8">
        <v>4.6941957098989458E-4</v>
      </c>
      <c r="AE61" s="8">
        <v>4.7237026002754123E-4</v>
      </c>
      <c r="AF61" s="8">
        <v>4.7532094906518782E-4</v>
      </c>
      <c r="AG61" s="8">
        <v>4.7827163810283441E-4</v>
      </c>
      <c r="AH61" s="8">
        <v>4.81222327140481E-4</v>
      </c>
      <c r="AI61" s="8">
        <v>4.832032222337804E-4</v>
      </c>
      <c r="AJ61" s="8">
        <v>4.851841173270798E-4</v>
      </c>
      <c r="AK61" s="8">
        <v>4.8716501242037919E-4</v>
      </c>
      <c r="AL61" s="8">
        <v>4.8914590751367865E-4</v>
      </c>
      <c r="AM61" s="8">
        <v>4.9112680260697799E-4</v>
      </c>
    </row>
    <row r="62" spans="1:39" x14ac:dyDescent="0.25">
      <c r="A62" t="s">
        <v>235</v>
      </c>
      <c r="B62" t="s">
        <v>244</v>
      </c>
      <c r="C62" t="s">
        <v>323</v>
      </c>
      <c r="D62" t="s">
        <v>373</v>
      </c>
      <c r="E62" s="8">
        <v>9.7138576253063896E-4</v>
      </c>
      <c r="F62" s="8">
        <v>1.001193093337769E-3</v>
      </c>
      <c r="G62" s="8">
        <v>1.0310004241448989E-3</v>
      </c>
      <c r="H62" s="8">
        <v>1.060807754952029E-3</v>
      </c>
      <c r="I62" s="8">
        <v>1.09061508575916E-3</v>
      </c>
      <c r="J62" s="8">
        <v>1.12042241656629E-3</v>
      </c>
      <c r="K62" s="8">
        <v>1.1502297473734201E-3</v>
      </c>
      <c r="L62" s="8">
        <v>1.18003707818055E-3</v>
      </c>
      <c r="M62" s="8">
        <v>1.220170578267064E-3</v>
      </c>
      <c r="N62" s="8">
        <v>1.260304078353578E-3</v>
      </c>
      <c r="O62" s="8">
        <v>1.300437578440092E-3</v>
      </c>
      <c r="P62" s="8">
        <v>1.340571078526606E-3</v>
      </c>
      <c r="Q62" s="8">
        <v>1.38070457861312E-3</v>
      </c>
      <c r="R62" s="8">
        <v>1.423291953252635E-3</v>
      </c>
      <c r="S62" s="8">
        <v>1.4658793278921501E-3</v>
      </c>
      <c r="T62" s="8">
        <v>1.5084462934230861E-3</v>
      </c>
      <c r="U62" s="8">
        <v>1.551013258954022E-3</v>
      </c>
      <c r="V62" s="8">
        <v>1.593580224484958E-3</v>
      </c>
      <c r="W62" s="8">
        <v>1.636147190015894E-3</v>
      </c>
      <c r="X62" s="8">
        <v>1.67871415554683E-3</v>
      </c>
      <c r="Y62" s="8">
        <v>1.7095054746462781E-3</v>
      </c>
      <c r="Z62" s="8">
        <v>1.7402967937457259E-3</v>
      </c>
      <c r="AA62" s="8">
        <v>1.771088112845174E-3</v>
      </c>
      <c r="AB62" s="8">
        <v>1.8018794319446219E-3</v>
      </c>
      <c r="AC62" s="8">
        <v>1.83267075104407E-3</v>
      </c>
      <c r="AD62" s="8">
        <v>1.8475030956021301E-3</v>
      </c>
      <c r="AE62" s="8">
        <v>1.8623354401601901E-3</v>
      </c>
      <c r="AF62" s="8">
        <v>1.8771677847182499E-3</v>
      </c>
      <c r="AG62" s="8">
        <v>1.8920001292763099E-3</v>
      </c>
      <c r="AH62" s="8">
        <v>1.90683247383437E-3</v>
      </c>
      <c r="AI62" s="8">
        <v>1.9114427952746601E-3</v>
      </c>
      <c r="AJ62" s="8">
        <v>1.91605311671495E-3</v>
      </c>
      <c r="AK62" s="8">
        <v>1.9206634381552399E-3</v>
      </c>
      <c r="AL62" s="8">
        <v>1.9252737595955301E-3</v>
      </c>
      <c r="AM62" s="8">
        <v>1.92988408103582E-3</v>
      </c>
    </row>
    <row r="63" spans="1:39" x14ac:dyDescent="0.25">
      <c r="A63" t="s">
        <v>235</v>
      </c>
      <c r="B63" t="s">
        <v>244</v>
      </c>
      <c r="C63" t="s">
        <v>325</v>
      </c>
      <c r="D63" t="s">
        <v>374</v>
      </c>
      <c r="E63" s="8">
        <v>1.23993231738338E-4</v>
      </c>
      <c r="F63" s="8">
        <v>1.2813212125361179E-4</v>
      </c>
      <c r="G63" s="8">
        <v>1.322710107688857E-4</v>
      </c>
      <c r="H63" s="8">
        <v>1.364099002841596E-4</v>
      </c>
      <c r="I63" s="8">
        <v>1.405487897994334E-4</v>
      </c>
      <c r="J63" s="8">
        <v>1.446876793147073E-4</v>
      </c>
      <c r="K63" s="8">
        <v>1.4882656882998121E-4</v>
      </c>
      <c r="L63" s="8">
        <v>1.52965458345255E-4</v>
      </c>
      <c r="M63" s="8">
        <v>1.5711764483594939E-4</v>
      </c>
      <c r="N63" s="8">
        <v>1.612698313266438E-4</v>
      </c>
      <c r="O63" s="8">
        <v>1.6542201781733821E-4</v>
      </c>
      <c r="P63" s="8">
        <v>1.695742043080326E-4</v>
      </c>
      <c r="Q63" s="8">
        <v>1.7372639079872701E-4</v>
      </c>
      <c r="R63" s="8">
        <v>1.77201871352805E-4</v>
      </c>
      <c r="S63" s="8">
        <v>1.8067735190688299E-4</v>
      </c>
      <c r="T63" s="8">
        <v>1.8296058179380819E-4</v>
      </c>
      <c r="U63" s="8">
        <v>1.852438116807334E-4</v>
      </c>
      <c r="V63" s="8">
        <v>1.875270415676586E-4</v>
      </c>
      <c r="W63" s="8">
        <v>1.898102714545838E-4</v>
      </c>
      <c r="X63" s="8">
        <v>1.92093501341509E-4</v>
      </c>
      <c r="Y63" s="8">
        <v>1.932336984558648E-4</v>
      </c>
      <c r="Z63" s="8">
        <v>1.9437389557022059E-4</v>
      </c>
      <c r="AA63" s="8">
        <v>1.9551409268457639E-4</v>
      </c>
      <c r="AB63" s="8">
        <v>1.9665428979893221E-4</v>
      </c>
      <c r="AC63" s="8">
        <v>1.9779448691328801E-4</v>
      </c>
      <c r="AD63" s="8">
        <v>1.9844306617380599E-4</v>
      </c>
      <c r="AE63" s="8">
        <v>1.99091645434324E-4</v>
      </c>
      <c r="AF63" s="8">
        <v>1.9974022469484201E-4</v>
      </c>
      <c r="AG63" s="8">
        <v>2.0038880395535999E-4</v>
      </c>
      <c r="AH63" s="8">
        <v>2.01037383215878E-4</v>
      </c>
      <c r="AI63" s="8">
        <v>2.019684349855084E-4</v>
      </c>
      <c r="AJ63" s="8">
        <v>2.0289948675513881E-4</v>
      </c>
      <c r="AK63" s="8">
        <v>2.0383053852476919E-4</v>
      </c>
      <c r="AL63" s="8">
        <v>2.047615902943996E-4</v>
      </c>
      <c r="AM63" s="8">
        <v>2.0569264206403E-4</v>
      </c>
    </row>
    <row r="64" spans="1:39" x14ac:dyDescent="0.25">
      <c r="A64" t="s">
        <v>235</v>
      </c>
      <c r="B64" t="s">
        <v>244</v>
      </c>
      <c r="C64" t="s">
        <v>327</v>
      </c>
      <c r="D64" t="s">
        <v>375</v>
      </c>
      <c r="E64" s="8">
        <v>1.1419172415374601E-4</v>
      </c>
      <c r="F64" s="8">
        <v>1.181507620967986E-4</v>
      </c>
      <c r="G64" s="8">
        <v>1.2210980003985109E-4</v>
      </c>
      <c r="H64" s="8">
        <v>1.260688379829037E-4</v>
      </c>
      <c r="I64" s="8">
        <v>1.3002787592595631E-4</v>
      </c>
      <c r="J64" s="8">
        <v>1.339869138690089E-4</v>
      </c>
      <c r="K64" s="8">
        <v>1.379459518120614E-4</v>
      </c>
      <c r="L64" s="8">
        <v>1.4190498975511401E-4</v>
      </c>
      <c r="M64" s="8">
        <v>1.4579796394150241E-4</v>
      </c>
      <c r="N64" s="8">
        <v>1.4969093812789081E-4</v>
      </c>
      <c r="O64" s="8">
        <v>1.5358391231427921E-4</v>
      </c>
      <c r="P64" s="8">
        <v>1.5747688650066759E-4</v>
      </c>
      <c r="Q64" s="8">
        <v>1.6136986068705599E-4</v>
      </c>
      <c r="R64" s="8">
        <v>1.6458988720323051E-4</v>
      </c>
      <c r="S64" s="8">
        <v>1.6780991371940501E-4</v>
      </c>
      <c r="T64" s="8">
        <v>1.69798932070436E-4</v>
      </c>
      <c r="U64" s="8">
        <v>1.7178795042146699E-4</v>
      </c>
      <c r="V64" s="8">
        <v>1.7377696877249801E-4</v>
      </c>
      <c r="W64" s="8">
        <v>1.75765987123529E-4</v>
      </c>
      <c r="X64" s="8">
        <v>1.7775500547456E-4</v>
      </c>
      <c r="Y64" s="8">
        <v>1.787108647919134E-4</v>
      </c>
      <c r="Z64" s="8">
        <v>1.7966672410926681E-4</v>
      </c>
      <c r="AA64" s="8">
        <v>1.8062258342662021E-4</v>
      </c>
      <c r="AB64" s="8">
        <v>1.8157844274397359E-4</v>
      </c>
      <c r="AC64" s="8">
        <v>1.82534302061327E-4</v>
      </c>
      <c r="AD64" s="8">
        <v>1.8304195558638481E-4</v>
      </c>
      <c r="AE64" s="8">
        <v>1.835496091114426E-4</v>
      </c>
      <c r="AF64" s="8">
        <v>1.8405726263650039E-4</v>
      </c>
      <c r="AG64" s="8">
        <v>1.845649161615582E-4</v>
      </c>
      <c r="AH64" s="8">
        <v>1.8507256968661599E-4</v>
      </c>
      <c r="AI64" s="8">
        <v>1.859537733806814E-4</v>
      </c>
      <c r="AJ64" s="8">
        <v>1.868349770747468E-4</v>
      </c>
      <c r="AK64" s="8">
        <v>1.8771618076881221E-4</v>
      </c>
      <c r="AL64" s="8">
        <v>1.8859738446287759E-4</v>
      </c>
      <c r="AM64" s="8">
        <v>1.8947858815694299E-4</v>
      </c>
    </row>
    <row r="65" spans="1:39" x14ac:dyDescent="0.25">
      <c r="A65" t="s">
        <v>235</v>
      </c>
      <c r="B65" t="s">
        <v>244</v>
      </c>
      <c r="C65" t="s">
        <v>329</v>
      </c>
      <c r="D65" t="s">
        <v>376</v>
      </c>
      <c r="E65" s="8">
        <v>3.0184605336559301E-5</v>
      </c>
      <c r="F65" s="8">
        <v>3.069827377925397E-5</v>
      </c>
      <c r="G65" s="8">
        <v>3.1211942221948653E-5</v>
      </c>
      <c r="H65" s="8">
        <v>3.1725610664643322E-5</v>
      </c>
      <c r="I65" s="8">
        <v>3.2239279107337978E-5</v>
      </c>
      <c r="J65" s="8">
        <v>3.2752947550032653E-5</v>
      </c>
      <c r="K65" s="8">
        <v>3.3266615992727329E-5</v>
      </c>
      <c r="L65" s="8">
        <v>3.3780284435421998E-5</v>
      </c>
      <c r="M65" s="8">
        <v>3.4296004601689802E-5</v>
      </c>
      <c r="N65" s="8">
        <v>3.48117247679576E-5</v>
      </c>
      <c r="O65" s="8">
        <v>3.5327444934225398E-5</v>
      </c>
      <c r="P65" s="8">
        <v>3.5843165100493202E-5</v>
      </c>
      <c r="Q65" s="8">
        <v>3.6358885266761E-5</v>
      </c>
      <c r="R65" s="8">
        <v>3.6845259967857351E-5</v>
      </c>
      <c r="S65" s="8">
        <v>3.7331634668953702E-5</v>
      </c>
      <c r="T65" s="8">
        <v>3.7715867981778812E-5</v>
      </c>
      <c r="U65" s="8">
        <v>3.8100101294603901E-5</v>
      </c>
      <c r="V65" s="8">
        <v>3.8484334607428997E-5</v>
      </c>
      <c r="W65" s="8">
        <v>3.8868567920254099E-5</v>
      </c>
      <c r="X65" s="8">
        <v>3.9252801233079202E-5</v>
      </c>
      <c r="Y65" s="8">
        <v>3.9520245154883957E-5</v>
      </c>
      <c r="Z65" s="8">
        <v>3.9787689076688732E-5</v>
      </c>
      <c r="AA65" s="8">
        <v>4.005513299849348E-5</v>
      </c>
      <c r="AB65" s="8">
        <v>4.0322576920298241E-5</v>
      </c>
      <c r="AC65" s="8">
        <v>4.0590020842103003E-5</v>
      </c>
      <c r="AD65" s="8">
        <v>4.0803352243198099E-5</v>
      </c>
      <c r="AE65" s="8">
        <v>4.1016683644293202E-5</v>
      </c>
      <c r="AF65" s="8">
        <v>4.1230015045388299E-5</v>
      </c>
      <c r="AG65" s="8">
        <v>4.1443346446483402E-5</v>
      </c>
      <c r="AH65" s="8">
        <v>4.1656677847578498E-5</v>
      </c>
      <c r="AI65" s="8">
        <v>4.1890318021728398E-5</v>
      </c>
      <c r="AJ65" s="8">
        <v>4.2123958195878297E-5</v>
      </c>
      <c r="AK65" s="8">
        <v>4.2357598370028197E-5</v>
      </c>
      <c r="AL65" s="8">
        <v>4.2591238544178103E-5</v>
      </c>
      <c r="AM65" s="8">
        <v>4.2824878718328002E-5</v>
      </c>
    </row>
    <row r="66" spans="1:39" x14ac:dyDescent="0.25">
      <c r="A66" t="s">
        <v>235</v>
      </c>
      <c r="B66" t="s">
        <v>244</v>
      </c>
      <c r="C66" t="s">
        <v>331</v>
      </c>
      <c r="D66" t="s">
        <v>377</v>
      </c>
      <c r="E66" s="8">
        <v>6.4414166538992804E-4</v>
      </c>
      <c r="F66" s="8">
        <v>6.5609386788501273E-4</v>
      </c>
      <c r="G66" s="8">
        <v>6.6804607038009741E-4</v>
      </c>
      <c r="H66" s="8">
        <v>6.799982728751821E-4</v>
      </c>
      <c r="I66" s="8">
        <v>6.919504753702669E-4</v>
      </c>
      <c r="J66" s="8">
        <v>7.0390267786535159E-4</v>
      </c>
      <c r="K66" s="8">
        <v>7.1585488036043628E-4</v>
      </c>
      <c r="L66" s="8">
        <v>7.2780708285552097E-4</v>
      </c>
      <c r="M66" s="8">
        <v>7.4153794408693342E-4</v>
      </c>
      <c r="N66" s="8">
        <v>7.5526880531834577E-4</v>
      </c>
      <c r="O66" s="8">
        <v>7.6899966654975823E-4</v>
      </c>
      <c r="P66" s="8">
        <v>7.8273052778117058E-4</v>
      </c>
      <c r="Q66" s="8">
        <v>7.9646138901258304E-4</v>
      </c>
      <c r="R66" s="8">
        <v>8.0990135343731308E-4</v>
      </c>
      <c r="S66" s="8">
        <v>8.2334131786204301E-4</v>
      </c>
      <c r="T66" s="8">
        <v>8.3638752551711264E-4</v>
      </c>
      <c r="U66" s="8">
        <v>8.4943373317218217E-4</v>
      </c>
      <c r="V66" s="8">
        <v>8.6247994082725181E-4</v>
      </c>
      <c r="W66" s="8">
        <v>8.7552614848232133E-4</v>
      </c>
      <c r="X66" s="8">
        <v>8.8857235613739097E-4</v>
      </c>
      <c r="Y66" s="8">
        <v>8.9911555761807674E-4</v>
      </c>
      <c r="Z66" s="8">
        <v>9.0965875909876262E-4</v>
      </c>
      <c r="AA66" s="8">
        <v>9.2020196057944839E-4</v>
      </c>
      <c r="AB66" s="8">
        <v>9.3074516206013427E-4</v>
      </c>
      <c r="AC66" s="8">
        <v>9.4128836354082004E-4</v>
      </c>
      <c r="AD66" s="8">
        <v>9.4864200951294E-4</v>
      </c>
      <c r="AE66" s="8">
        <v>9.5599565548505996E-4</v>
      </c>
      <c r="AF66" s="8">
        <v>9.6334930145718003E-4</v>
      </c>
      <c r="AG66" s="8">
        <v>9.7070294742929999E-4</v>
      </c>
      <c r="AH66" s="8">
        <v>9.7805659340141995E-4</v>
      </c>
      <c r="AI66" s="8">
        <v>9.8360896390043795E-4</v>
      </c>
      <c r="AJ66" s="8">
        <v>9.8916133439945595E-4</v>
      </c>
      <c r="AK66" s="8">
        <v>9.9471370489847394E-4</v>
      </c>
      <c r="AL66" s="8">
        <v>1.0002660753974919E-3</v>
      </c>
      <c r="AM66" s="8">
        <v>1.0058184458965099E-3</v>
      </c>
    </row>
    <row r="67" spans="1:39" x14ac:dyDescent="0.25">
      <c r="A67" t="s">
        <v>235</v>
      </c>
      <c r="B67" t="s">
        <v>244</v>
      </c>
      <c r="C67" t="s">
        <v>333</v>
      </c>
      <c r="D67" t="s">
        <v>378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  <c r="AJ67" s="8">
        <v>0</v>
      </c>
      <c r="AK67" s="8">
        <v>0</v>
      </c>
      <c r="AL67" s="8">
        <v>0</v>
      </c>
      <c r="AM67" s="8">
        <v>0</v>
      </c>
    </row>
    <row r="68" spans="1:39" x14ac:dyDescent="0.25">
      <c r="A68" t="s">
        <v>248</v>
      </c>
      <c r="B68" t="s">
        <v>240</v>
      </c>
      <c r="C68" t="s">
        <v>53</v>
      </c>
      <c r="D68" t="s">
        <v>379</v>
      </c>
      <c r="E68" s="8">
        <v>5.6844005817435397E-3</v>
      </c>
      <c r="F68" s="8">
        <v>5.7367663162868274E-3</v>
      </c>
      <c r="G68" s="8">
        <v>5.7891320508301142E-3</v>
      </c>
      <c r="H68" s="8">
        <v>5.841497785373401E-3</v>
      </c>
      <c r="I68" s="8">
        <v>5.8938635199166887E-3</v>
      </c>
      <c r="J68" s="8">
        <v>5.9462292544599756E-3</v>
      </c>
      <c r="K68" s="8">
        <v>5.9985949890032633E-3</v>
      </c>
      <c r="L68" s="8">
        <v>6.0509607235465501E-3</v>
      </c>
      <c r="M68" s="8">
        <v>6.1439221592658041E-3</v>
      </c>
      <c r="N68" s="8">
        <v>6.2368835949850581E-3</v>
      </c>
      <c r="O68" s="8">
        <v>6.3298450307043121E-3</v>
      </c>
      <c r="P68" s="8">
        <v>6.4228064664235661E-3</v>
      </c>
      <c r="Q68" s="8">
        <v>6.5157679021428201E-3</v>
      </c>
      <c r="R68" s="8">
        <v>6.6818312632380902E-3</v>
      </c>
      <c r="S68" s="8">
        <v>6.8478946243333604E-3</v>
      </c>
      <c r="T68" s="8">
        <v>6.9582505488009136E-3</v>
      </c>
      <c r="U68" s="8">
        <v>7.0686064732684694E-3</v>
      </c>
      <c r="V68" s="8">
        <v>7.1789623977360217E-3</v>
      </c>
      <c r="W68" s="8">
        <v>7.2893183222035758E-3</v>
      </c>
      <c r="X68" s="8">
        <v>7.3996742466711299E-3</v>
      </c>
      <c r="Y68" s="8">
        <v>7.4848266000819086E-3</v>
      </c>
      <c r="Z68" s="8">
        <v>7.56997895349269E-3</v>
      </c>
      <c r="AA68" s="8">
        <v>7.6551313069034696E-3</v>
      </c>
      <c r="AB68" s="8">
        <v>7.74028366031425E-3</v>
      </c>
      <c r="AC68" s="8">
        <v>7.8254360137250296E-3</v>
      </c>
      <c r="AD68" s="8">
        <v>7.8694378001214794E-3</v>
      </c>
      <c r="AE68" s="8">
        <v>7.9134395865179293E-3</v>
      </c>
      <c r="AF68" s="8">
        <v>7.9574413729143808E-3</v>
      </c>
      <c r="AG68" s="8">
        <v>8.0014431593108306E-3</v>
      </c>
      <c r="AH68" s="8">
        <v>8.0454449457072804E-3</v>
      </c>
      <c r="AI68" s="8">
        <v>8.0553995167609964E-3</v>
      </c>
      <c r="AJ68" s="8">
        <v>8.0653540878147124E-3</v>
      </c>
      <c r="AK68" s="8">
        <v>8.0753086588684284E-3</v>
      </c>
      <c r="AL68" s="8">
        <v>8.0852632299221443E-3</v>
      </c>
      <c r="AM68" s="8">
        <v>8.0952178009758603E-3</v>
      </c>
    </row>
    <row r="69" spans="1:39" x14ac:dyDescent="0.25">
      <c r="A69" t="s">
        <v>248</v>
      </c>
      <c r="B69" t="s">
        <v>240</v>
      </c>
      <c r="C69" t="s">
        <v>293</v>
      </c>
      <c r="D69" t="s">
        <v>380</v>
      </c>
      <c r="E69" s="8">
        <v>1.0452819417596201E-5</v>
      </c>
      <c r="F69" s="8">
        <v>1.0337642822022189E-5</v>
      </c>
      <c r="G69" s="8">
        <v>1.0222466226448169E-5</v>
      </c>
      <c r="H69" s="8">
        <v>1.010728963087416E-5</v>
      </c>
      <c r="I69" s="8">
        <v>9.9921130353001431E-6</v>
      </c>
      <c r="J69" s="8">
        <v>9.8769364397261283E-6</v>
      </c>
      <c r="K69" s="8">
        <v>9.7617598441521151E-6</v>
      </c>
      <c r="L69" s="8">
        <v>9.6465832485781003E-6</v>
      </c>
      <c r="M69" s="8">
        <v>9.5571704584357137E-6</v>
      </c>
      <c r="N69" s="8">
        <v>9.4677576682933288E-6</v>
      </c>
      <c r="O69" s="8">
        <v>9.3783448781509421E-6</v>
      </c>
      <c r="P69" s="8">
        <v>9.2889320880085572E-6</v>
      </c>
      <c r="Q69" s="8">
        <v>9.1995192978661706E-6</v>
      </c>
      <c r="R69" s="8">
        <v>6.0951373122752198E-6</v>
      </c>
      <c r="S69" s="8">
        <v>2.9907553266842698E-6</v>
      </c>
      <c r="T69" s="8">
        <v>2.969004919625882E-6</v>
      </c>
      <c r="U69" s="8">
        <v>2.9472545125674942E-6</v>
      </c>
      <c r="V69" s="8">
        <v>2.9255041055091059E-6</v>
      </c>
      <c r="W69" s="8">
        <v>2.9037536984507181E-6</v>
      </c>
      <c r="X69" s="8">
        <v>2.8820032913923299E-6</v>
      </c>
      <c r="Y69" s="8">
        <v>2.8673977368105399E-6</v>
      </c>
      <c r="Z69" s="8">
        <v>2.85279218222875E-6</v>
      </c>
      <c r="AA69" s="8">
        <v>2.83818662764696E-6</v>
      </c>
      <c r="AB69" s="8">
        <v>2.8235810730651701E-6</v>
      </c>
      <c r="AC69" s="8">
        <v>2.8089755184833801E-6</v>
      </c>
      <c r="AD69" s="8">
        <v>2.7916361817182038E-6</v>
      </c>
      <c r="AE69" s="8">
        <v>2.7742968449530279E-6</v>
      </c>
      <c r="AF69" s="8">
        <v>2.7569575081878521E-6</v>
      </c>
      <c r="AG69" s="8">
        <v>2.7396181714226762E-6</v>
      </c>
      <c r="AH69" s="8">
        <v>2.7222788346574998E-6</v>
      </c>
      <c r="AI69" s="8">
        <v>2.7044249639608419E-6</v>
      </c>
      <c r="AJ69" s="8">
        <v>2.686571093264184E-6</v>
      </c>
      <c r="AK69" s="8">
        <v>2.668717222567526E-6</v>
      </c>
      <c r="AL69" s="8">
        <v>2.6508633518708681E-6</v>
      </c>
      <c r="AM69" s="8">
        <v>2.6330094811742101E-6</v>
      </c>
    </row>
    <row r="70" spans="1:39" x14ac:dyDescent="0.25">
      <c r="A70" t="s">
        <v>248</v>
      </c>
      <c r="B70" t="s">
        <v>240</v>
      </c>
      <c r="C70" t="s">
        <v>295</v>
      </c>
      <c r="D70" t="s">
        <v>381</v>
      </c>
      <c r="E70" s="8">
        <v>0.53811096566249705</v>
      </c>
      <c r="F70" s="8">
        <v>0.53952618456450185</v>
      </c>
      <c r="G70" s="8">
        <v>0.54094140346650676</v>
      </c>
      <c r="H70" s="8">
        <v>0.54235662236851157</v>
      </c>
      <c r="I70" s="8">
        <v>0.54377184127051648</v>
      </c>
      <c r="J70" s="8">
        <v>0.54518706017252128</v>
      </c>
      <c r="K70" s="8">
        <v>0.54660227907452619</v>
      </c>
      <c r="L70" s="8">
        <v>0.54801749797653099</v>
      </c>
      <c r="M70" s="8">
        <v>0.55331939567188504</v>
      </c>
      <c r="N70" s="8">
        <v>0.55862129336723898</v>
      </c>
      <c r="O70" s="8">
        <v>0.56392319106259303</v>
      </c>
      <c r="P70" s="8">
        <v>0.56922508875794697</v>
      </c>
      <c r="Q70" s="8">
        <v>0.57452698645330103</v>
      </c>
      <c r="R70" s="8">
        <v>0.58071371048493159</v>
      </c>
      <c r="S70" s="8">
        <v>0.58690043451656204</v>
      </c>
      <c r="T70" s="8">
        <v>0.59116656556717539</v>
      </c>
      <c r="U70" s="8">
        <v>0.59543269661778886</v>
      </c>
      <c r="V70" s="8">
        <v>0.59969882766840221</v>
      </c>
      <c r="W70" s="8">
        <v>0.60396495871901568</v>
      </c>
      <c r="X70" s="8">
        <v>0.60823108976962903</v>
      </c>
      <c r="Y70" s="8">
        <v>0.60974744637648481</v>
      </c>
      <c r="Z70" s="8">
        <v>0.6112638029833406</v>
      </c>
      <c r="AA70" s="8">
        <v>0.61278015959019638</v>
      </c>
      <c r="AB70" s="8">
        <v>0.61429651619705217</v>
      </c>
      <c r="AC70" s="8">
        <v>0.61581287280390795</v>
      </c>
      <c r="AD70" s="8">
        <v>0.61770796518931559</v>
      </c>
      <c r="AE70" s="8">
        <v>0.61960305757472323</v>
      </c>
      <c r="AF70" s="8">
        <v>0.62149814996013075</v>
      </c>
      <c r="AG70" s="8">
        <v>0.62339324234553839</v>
      </c>
      <c r="AH70" s="8">
        <v>0.62528833473094603</v>
      </c>
      <c r="AI70" s="8">
        <v>0.62736172076368546</v>
      </c>
      <c r="AJ70" s="8">
        <v>0.62943510679642478</v>
      </c>
      <c r="AK70" s="8">
        <v>0.63150849282916421</v>
      </c>
      <c r="AL70" s="8">
        <v>0.63358187886190354</v>
      </c>
      <c r="AM70" s="8">
        <v>0.63565526489464297</v>
      </c>
    </row>
    <row r="71" spans="1:39" x14ac:dyDescent="0.25">
      <c r="A71" t="s">
        <v>248</v>
      </c>
      <c r="B71" t="s">
        <v>240</v>
      </c>
      <c r="C71" t="s">
        <v>297</v>
      </c>
      <c r="D71" t="s">
        <v>382</v>
      </c>
      <c r="E71" s="8">
        <v>0.93655154677907704</v>
      </c>
      <c r="F71" s="8">
        <v>0.9425732792251249</v>
      </c>
      <c r="G71" s="8">
        <v>0.94859501167117277</v>
      </c>
      <c r="H71" s="8">
        <v>0.95461674411722064</v>
      </c>
      <c r="I71" s="8">
        <v>0.9606384765632684</v>
      </c>
      <c r="J71" s="8">
        <v>0.96666020900931626</v>
      </c>
      <c r="K71" s="8">
        <v>0.97268194145536413</v>
      </c>
      <c r="L71" s="8">
        <v>0.978703673901412</v>
      </c>
      <c r="M71" s="8">
        <v>0.99232706517366953</v>
      </c>
      <c r="N71" s="8">
        <v>1.005950456445927</v>
      </c>
      <c r="O71" s="8">
        <v>1.019573847718185</v>
      </c>
      <c r="P71" s="8">
        <v>1.033197238990442</v>
      </c>
      <c r="Q71" s="8">
        <v>1.0468206302626999</v>
      </c>
      <c r="R71" s="8">
        <v>1.0578971697016351</v>
      </c>
      <c r="S71" s="8">
        <v>1.06897370914057</v>
      </c>
      <c r="T71" s="8">
        <v>1.0730912802149259</v>
      </c>
      <c r="U71" s="8">
        <v>1.0772088512892819</v>
      </c>
      <c r="V71" s="8">
        <v>1.0813264223636381</v>
      </c>
      <c r="W71" s="8">
        <v>1.085443993437994</v>
      </c>
      <c r="X71" s="8">
        <v>1.08956156451235</v>
      </c>
      <c r="Y71" s="8">
        <v>1.0941237989695261</v>
      </c>
      <c r="Z71" s="8">
        <v>1.0986860334267019</v>
      </c>
      <c r="AA71" s="8">
        <v>1.103248267883878</v>
      </c>
      <c r="AB71" s="8">
        <v>1.107810502341054</v>
      </c>
      <c r="AC71" s="8">
        <v>1.1123727367982299</v>
      </c>
      <c r="AD71" s="8">
        <v>1.1180645444169299</v>
      </c>
      <c r="AE71" s="8">
        <v>1.12375635203563</v>
      </c>
      <c r="AF71" s="8">
        <v>1.12944815965433</v>
      </c>
      <c r="AG71" s="8">
        <v>1.13513996727303</v>
      </c>
      <c r="AH71" s="8">
        <v>1.14083177489173</v>
      </c>
      <c r="AI71" s="8">
        <v>1.146075675243158</v>
      </c>
      <c r="AJ71" s="8">
        <v>1.151319575594586</v>
      </c>
      <c r="AK71" s="8">
        <v>1.1565634759460139</v>
      </c>
      <c r="AL71" s="8">
        <v>1.1618073762974419</v>
      </c>
      <c r="AM71" s="8">
        <v>1.1670512766488701</v>
      </c>
    </row>
    <row r="72" spans="1:39" x14ac:dyDescent="0.25">
      <c r="A72" t="s">
        <v>248</v>
      </c>
      <c r="B72" t="s">
        <v>240</v>
      </c>
      <c r="C72" t="s">
        <v>299</v>
      </c>
      <c r="D72" t="s">
        <v>383</v>
      </c>
      <c r="E72" s="8">
        <v>1.10473788750418</v>
      </c>
      <c r="F72" s="8">
        <v>1.111841005341784</v>
      </c>
      <c r="G72" s="8">
        <v>1.1189441231793891</v>
      </c>
      <c r="H72" s="8">
        <v>1.1260472410169931</v>
      </c>
      <c r="I72" s="8">
        <v>1.133150358854597</v>
      </c>
      <c r="J72" s="8">
        <v>1.140253476692201</v>
      </c>
      <c r="K72" s="8">
        <v>1.1473565945298061</v>
      </c>
      <c r="L72" s="8">
        <v>1.1544597123674101</v>
      </c>
      <c r="M72" s="8">
        <v>1.1705295982866819</v>
      </c>
      <c r="N72" s="8">
        <v>1.186599484205954</v>
      </c>
      <c r="O72" s="8">
        <v>1.202669370125226</v>
      </c>
      <c r="P72" s="8">
        <v>1.2187392560444981</v>
      </c>
      <c r="Q72" s="8">
        <v>1.2348091419637699</v>
      </c>
      <c r="R72" s="8">
        <v>1.2478748112774951</v>
      </c>
      <c r="S72" s="8">
        <v>1.2609404805912201</v>
      </c>
      <c r="T72" s="8">
        <v>1.26579748692575</v>
      </c>
      <c r="U72" s="8">
        <v>1.2706544932602799</v>
      </c>
      <c r="V72" s="8">
        <v>1.27551149959481</v>
      </c>
      <c r="W72" s="8">
        <v>1.2803685059293399</v>
      </c>
      <c r="X72" s="8">
        <v>1.2852255122638701</v>
      </c>
      <c r="Y72" s="8">
        <v>1.2906070348259659</v>
      </c>
      <c r="Z72" s="8">
        <v>1.2959885573880621</v>
      </c>
      <c r="AA72" s="8">
        <v>1.301370079950158</v>
      </c>
      <c r="AB72" s="8">
        <v>1.3067516025122541</v>
      </c>
      <c r="AC72" s="8">
        <v>1.31213312507435</v>
      </c>
      <c r="AD72" s="8">
        <v>1.3188470700436741</v>
      </c>
      <c r="AE72" s="8">
        <v>1.3255610150129979</v>
      </c>
      <c r="AF72" s="8">
        <v>1.332274959982322</v>
      </c>
      <c r="AG72" s="8">
        <v>1.3389889049516459</v>
      </c>
      <c r="AH72" s="8">
        <v>1.34570284992097</v>
      </c>
      <c r="AI72" s="8">
        <v>1.3518884522379639</v>
      </c>
      <c r="AJ72" s="8">
        <v>1.3580740545549581</v>
      </c>
      <c r="AK72" s="8">
        <v>1.3642596568719521</v>
      </c>
      <c r="AL72" s="8">
        <v>1.370445259188946</v>
      </c>
      <c r="AM72" s="8">
        <v>1.3766308615059399</v>
      </c>
    </row>
    <row r="73" spans="1:39" x14ac:dyDescent="0.25">
      <c r="A73" t="s">
        <v>248</v>
      </c>
      <c r="B73" t="s">
        <v>240</v>
      </c>
      <c r="C73" t="s">
        <v>301</v>
      </c>
      <c r="D73" t="s">
        <v>384</v>
      </c>
      <c r="E73" s="8">
        <v>0.47263775615612003</v>
      </c>
      <c r="F73" s="8">
        <v>0.4756766685532029</v>
      </c>
      <c r="G73" s="8">
        <v>0.47871558095028571</v>
      </c>
      <c r="H73" s="8">
        <v>0.48175449334736858</v>
      </c>
      <c r="I73" s="8">
        <v>0.48479340574445151</v>
      </c>
      <c r="J73" s="8">
        <v>0.48783231814153433</v>
      </c>
      <c r="K73" s="8">
        <v>0.49087123053861709</v>
      </c>
      <c r="L73" s="8">
        <v>0.49391014293570001</v>
      </c>
      <c r="M73" s="8">
        <v>0.5007852894231074</v>
      </c>
      <c r="N73" s="8">
        <v>0.5076604359105148</v>
      </c>
      <c r="O73" s="8">
        <v>0.51453558239792219</v>
      </c>
      <c r="P73" s="8">
        <v>0.52141072888532958</v>
      </c>
      <c r="Q73" s="8">
        <v>0.52828587537273697</v>
      </c>
      <c r="R73" s="8">
        <v>0.53387573399555099</v>
      </c>
      <c r="S73" s="8">
        <v>0.53946559261836502</v>
      </c>
      <c r="T73" s="8">
        <v>0.54154355570733925</v>
      </c>
      <c r="U73" s="8">
        <v>0.54362151879631337</v>
      </c>
      <c r="V73" s="8">
        <v>0.54569948188528761</v>
      </c>
      <c r="W73" s="8">
        <v>0.54777744497426173</v>
      </c>
      <c r="X73" s="8">
        <v>0.54985540806323596</v>
      </c>
      <c r="Y73" s="8">
        <v>0.55215777386167153</v>
      </c>
      <c r="Z73" s="8">
        <v>0.55446013966010721</v>
      </c>
      <c r="AA73" s="8">
        <v>0.55676250545854278</v>
      </c>
      <c r="AB73" s="8">
        <v>0.55906487125697846</v>
      </c>
      <c r="AC73" s="8">
        <v>0.56136723705541403</v>
      </c>
      <c r="AD73" s="8">
        <v>0.56423965041637103</v>
      </c>
      <c r="AE73" s="8">
        <v>0.56711206377732803</v>
      </c>
      <c r="AF73" s="8">
        <v>0.56998447713828504</v>
      </c>
      <c r="AG73" s="8">
        <v>0.57285689049924204</v>
      </c>
      <c r="AH73" s="8">
        <v>0.57572930386019905</v>
      </c>
      <c r="AI73" s="8">
        <v>0.57837567746191565</v>
      </c>
      <c r="AJ73" s="8">
        <v>0.58102205106363225</v>
      </c>
      <c r="AK73" s="8">
        <v>0.58366842466534885</v>
      </c>
      <c r="AL73" s="8">
        <v>0.58631479826706545</v>
      </c>
      <c r="AM73" s="8">
        <v>0.58896117186878205</v>
      </c>
    </row>
    <row r="74" spans="1:39" x14ac:dyDescent="0.25">
      <c r="A74" t="s">
        <v>248</v>
      </c>
      <c r="B74" t="s">
        <v>240</v>
      </c>
      <c r="C74" t="s">
        <v>303</v>
      </c>
      <c r="D74" t="s">
        <v>385</v>
      </c>
      <c r="E74" s="8">
        <v>0.88541393238704102</v>
      </c>
      <c r="F74" s="8">
        <v>0.89110686603231493</v>
      </c>
      <c r="G74" s="8">
        <v>0.89679979967758872</v>
      </c>
      <c r="H74" s="8">
        <v>0.90249273332286262</v>
      </c>
      <c r="I74" s="8">
        <v>0.90818566696813641</v>
      </c>
      <c r="J74" s="8">
        <v>0.91387860061341031</v>
      </c>
      <c r="K74" s="8">
        <v>0.9195715342586841</v>
      </c>
      <c r="L74" s="8">
        <v>0.925264467903958</v>
      </c>
      <c r="M74" s="8">
        <v>0.93814399438822882</v>
      </c>
      <c r="N74" s="8">
        <v>0.95102352087249964</v>
      </c>
      <c r="O74" s="8">
        <v>0.96390304735677035</v>
      </c>
      <c r="P74" s="8">
        <v>0.97678257384104117</v>
      </c>
      <c r="Q74" s="8">
        <v>0.98966210032531199</v>
      </c>
      <c r="R74" s="8">
        <v>1.000133838256051</v>
      </c>
      <c r="S74" s="8">
        <v>1.01060557618679</v>
      </c>
      <c r="T74" s="8">
        <v>1.01449831954131</v>
      </c>
      <c r="U74" s="8">
        <v>1.0183910628958299</v>
      </c>
      <c r="V74" s="8">
        <v>1.0222838062503501</v>
      </c>
      <c r="W74" s="8">
        <v>1.02617654960487</v>
      </c>
      <c r="X74" s="8">
        <v>1.03006929295939</v>
      </c>
      <c r="Y74" s="8">
        <v>1.034382420171976</v>
      </c>
      <c r="Z74" s="8">
        <v>1.038695547384562</v>
      </c>
      <c r="AA74" s="8">
        <v>1.0430086745971481</v>
      </c>
      <c r="AB74" s="8">
        <v>1.0473218018097341</v>
      </c>
      <c r="AC74" s="8">
        <v>1.0516349290223199</v>
      </c>
      <c r="AD74" s="8">
        <v>1.0570159524084359</v>
      </c>
      <c r="AE74" s="8">
        <v>1.0623969757945519</v>
      </c>
      <c r="AF74" s="8">
        <v>1.067777999180668</v>
      </c>
      <c r="AG74" s="8">
        <v>1.073159022566784</v>
      </c>
      <c r="AH74" s="8">
        <v>1.0785400459529</v>
      </c>
      <c r="AI74" s="8">
        <v>1.083497618716978</v>
      </c>
      <c r="AJ74" s="8">
        <v>1.0884551914810561</v>
      </c>
      <c r="AK74" s="8">
        <v>1.0934127642451339</v>
      </c>
      <c r="AL74" s="8">
        <v>1.0983703370092119</v>
      </c>
      <c r="AM74" s="8">
        <v>1.10332790977329</v>
      </c>
    </row>
    <row r="75" spans="1:39" x14ac:dyDescent="0.25">
      <c r="A75" t="s">
        <v>248</v>
      </c>
      <c r="B75" t="s">
        <v>240</v>
      </c>
      <c r="C75" t="s">
        <v>305</v>
      </c>
      <c r="D75" t="s">
        <v>386</v>
      </c>
      <c r="E75" s="8">
        <v>2.4514678111584701E-2</v>
      </c>
      <c r="F75" s="8">
        <v>2.478334865593677E-2</v>
      </c>
      <c r="G75" s="8">
        <v>2.5052019200288839E-2</v>
      </c>
      <c r="H75" s="8">
        <v>2.5320689744640919E-2</v>
      </c>
      <c r="I75" s="8">
        <v>2.5589360288992991E-2</v>
      </c>
      <c r="J75" s="8">
        <v>2.585803083334506E-2</v>
      </c>
      <c r="K75" s="8">
        <v>2.6126701377697129E-2</v>
      </c>
      <c r="L75" s="8">
        <v>2.6395371922049202E-2</v>
      </c>
      <c r="M75" s="8">
        <v>2.6568792158748161E-2</v>
      </c>
      <c r="N75" s="8">
        <v>2.6742212395447121E-2</v>
      </c>
      <c r="O75" s="8">
        <v>2.691563263214608E-2</v>
      </c>
      <c r="P75" s="8">
        <v>2.708905286884504E-2</v>
      </c>
      <c r="Q75" s="8">
        <v>2.7262473105543999E-2</v>
      </c>
      <c r="R75" s="8">
        <v>2.743472392360875E-2</v>
      </c>
      <c r="S75" s="8">
        <v>2.76069747416735E-2</v>
      </c>
      <c r="T75" s="8">
        <v>2.775969792481486E-2</v>
      </c>
      <c r="U75" s="8">
        <v>2.791242110795622E-2</v>
      </c>
      <c r="V75" s="8">
        <v>2.806514429109758E-2</v>
      </c>
      <c r="W75" s="8">
        <v>2.821786747423894E-2</v>
      </c>
      <c r="X75" s="8">
        <v>2.8370590657380301E-2</v>
      </c>
      <c r="Y75" s="8">
        <v>2.8506678547504001E-2</v>
      </c>
      <c r="Z75" s="8">
        <v>2.8642766437627701E-2</v>
      </c>
      <c r="AA75" s="8">
        <v>2.8778854327751398E-2</v>
      </c>
      <c r="AB75" s="8">
        <v>2.8914942217875099E-2</v>
      </c>
      <c r="AC75" s="8">
        <v>2.9051030107998799E-2</v>
      </c>
      <c r="AD75" s="8">
        <v>2.9175350432999701E-2</v>
      </c>
      <c r="AE75" s="8">
        <v>2.92996707580006E-2</v>
      </c>
      <c r="AF75" s="8">
        <v>2.9423991083001502E-2</v>
      </c>
      <c r="AG75" s="8">
        <v>2.95483114080024E-2</v>
      </c>
      <c r="AH75" s="8">
        <v>2.9672631733003298E-2</v>
      </c>
      <c r="AI75" s="8">
        <v>2.9787830532402401E-2</v>
      </c>
      <c r="AJ75" s="8">
        <v>2.9903029331801501E-2</v>
      </c>
      <c r="AK75" s="8">
        <v>3.00182281312006E-2</v>
      </c>
      <c r="AL75" s="8">
        <v>3.0133426930599699E-2</v>
      </c>
      <c r="AM75" s="8">
        <v>3.0248625729998799E-2</v>
      </c>
    </row>
    <row r="76" spans="1:39" x14ac:dyDescent="0.25">
      <c r="A76" t="s">
        <v>248</v>
      </c>
      <c r="B76" t="s">
        <v>240</v>
      </c>
      <c r="C76" t="s">
        <v>307</v>
      </c>
      <c r="D76" t="s">
        <v>387</v>
      </c>
      <c r="E76" s="8">
        <v>0.16265241340198799</v>
      </c>
      <c r="F76" s="8">
        <v>0.16356616117555869</v>
      </c>
      <c r="G76" s="8">
        <v>0.16447990894912939</v>
      </c>
      <c r="H76" s="8">
        <v>0.16539365672270009</v>
      </c>
      <c r="I76" s="8">
        <v>0.16630740449627079</v>
      </c>
      <c r="J76" s="8">
        <v>0.16722115226984161</v>
      </c>
      <c r="K76" s="8">
        <v>0.16813490004341231</v>
      </c>
      <c r="L76" s="8">
        <v>0.16904864781698301</v>
      </c>
      <c r="M76" s="8">
        <v>0.17066653584578881</v>
      </c>
      <c r="N76" s="8">
        <v>0.17228442387459461</v>
      </c>
      <c r="O76" s="8">
        <v>0.17390231190340039</v>
      </c>
      <c r="P76" s="8">
        <v>0.17552019993220619</v>
      </c>
      <c r="Q76" s="8">
        <v>0.17713808796101199</v>
      </c>
      <c r="R76" s="8">
        <v>0.17893542862912801</v>
      </c>
      <c r="S76" s="8">
        <v>0.18073276929724399</v>
      </c>
      <c r="T76" s="8">
        <v>0.18213960336081719</v>
      </c>
      <c r="U76" s="8">
        <v>0.18354643742439039</v>
      </c>
      <c r="V76" s="8">
        <v>0.18495327148796359</v>
      </c>
      <c r="W76" s="8">
        <v>0.18636010555153679</v>
      </c>
      <c r="X76" s="8">
        <v>0.18776693961511001</v>
      </c>
      <c r="Y76" s="8">
        <v>0.18853840046842721</v>
      </c>
      <c r="Z76" s="8">
        <v>0.1893098613217444</v>
      </c>
      <c r="AA76" s="8">
        <v>0.1900813221750616</v>
      </c>
      <c r="AB76" s="8">
        <v>0.1908527830283788</v>
      </c>
      <c r="AC76" s="8">
        <v>0.19162424388169599</v>
      </c>
      <c r="AD76" s="8">
        <v>0.192474150931259</v>
      </c>
      <c r="AE76" s="8">
        <v>0.193324057980822</v>
      </c>
      <c r="AF76" s="8">
        <v>0.194173965030385</v>
      </c>
      <c r="AG76" s="8">
        <v>0.19502387207994801</v>
      </c>
      <c r="AH76" s="8">
        <v>0.19587377912951101</v>
      </c>
      <c r="AI76" s="8">
        <v>0.1967360563486662</v>
      </c>
      <c r="AJ76" s="8">
        <v>0.19759833356782139</v>
      </c>
      <c r="AK76" s="8">
        <v>0.1984606107869766</v>
      </c>
      <c r="AL76" s="8">
        <v>0.19932288800613179</v>
      </c>
      <c r="AM76" s="8">
        <v>0.20018516522528701</v>
      </c>
    </row>
    <row r="77" spans="1:39" x14ac:dyDescent="0.25">
      <c r="A77" t="s">
        <v>248</v>
      </c>
      <c r="B77" t="s">
        <v>240</v>
      </c>
      <c r="C77" t="s">
        <v>309</v>
      </c>
      <c r="D77" t="s">
        <v>388</v>
      </c>
      <c r="E77" s="8">
        <v>9.6258198459220901E-3</v>
      </c>
      <c r="F77" s="8">
        <v>9.7192370965268199E-3</v>
      </c>
      <c r="G77" s="8">
        <v>9.8126543471315497E-3</v>
      </c>
      <c r="H77" s="8">
        <v>9.9060715977362795E-3</v>
      </c>
      <c r="I77" s="8">
        <v>9.9994888483410111E-3</v>
      </c>
      <c r="J77" s="8">
        <v>1.0092906098945739E-2</v>
      </c>
      <c r="K77" s="8">
        <v>1.0186323349550471E-2</v>
      </c>
      <c r="L77" s="8">
        <v>1.0279740600155201E-2</v>
      </c>
      <c r="M77" s="8">
        <v>1.0383807501547739E-2</v>
      </c>
      <c r="N77" s="8">
        <v>1.048787440294028E-2</v>
      </c>
      <c r="O77" s="8">
        <v>1.059194130433282E-2</v>
      </c>
      <c r="P77" s="8">
        <v>1.069600820572536E-2</v>
      </c>
      <c r="Q77" s="8">
        <v>1.0800075107117901E-2</v>
      </c>
      <c r="R77" s="8">
        <v>1.09082108422341E-2</v>
      </c>
      <c r="S77" s="8">
        <v>1.1016346577350299E-2</v>
      </c>
      <c r="T77" s="8">
        <v>1.111890621461202E-2</v>
      </c>
      <c r="U77" s="8">
        <v>1.122146585187374E-2</v>
      </c>
      <c r="V77" s="8">
        <v>1.1324025489135459E-2</v>
      </c>
      <c r="W77" s="8">
        <v>1.142658512639718E-2</v>
      </c>
      <c r="X77" s="8">
        <v>1.15291447636589E-2</v>
      </c>
      <c r="Y77" s="8">
        <v>1.161730491556068E-2</v>
      </c>
      <c r="Z77" s="8">
        <v>1.1705465067462459E-2</v>
      </c>
      <c r="AA77" s="8">
        <v>1.1793625219364241E-2</v>
      </c>
      <c r="AB77" s="8">
        <v>1.188178537126602E-2</v>
      </c>
      <c r="AC77" s="8">
        <v>1.19699455231678E-2</v>
      </c>
      <c r="AD77" s="8">
        <v>1.204675688614892E-2</v>
      </c>
      <c r="AE77" s="8">
        <v>1.2123568249130041E-2</v>
      </c>
      <c r="AF77" s="8">
        <v>1.2200379612111159E-2</v>
      </c>
      <c r="AG77" s="8">
        <v>1.227719097509228E-2</v>
      </c>
      <c r="AH77" s="8">
        <v>1.23540023380734E-2</v>
      </c>
      <c r="AI77" s="8">
        <v>1.24260140841664E-2</v>
      </c>
      <c r="AJ77" s="8">
        <v>1.2498025830259401E-2</v>
      </c>
      <c r="AK77" s="8">
        <v>1.2570037576352401E-2</v>
      </c>
      <c r="AL77" s="8">
        <v>1.2642049322445399E-2</v>
      </c>
      <c r="AM77" s="8">
        <v>1.2714061068538399E-2</v>
      </c>
    </row>
    <row r="78" spans="1:39" x14ac:dyDescent="0.25">
      <c r="A78" t="s">
        <v>248</v>
      </c>
      <c r="B78" t="s">
        <v>240</v>
      </c>
      <c r="C78" t="s">
        <v>311</v>
      </c>
      <c r="D78" t="s">
        <v>389</v>
      </c>
      <c r="E78" s="8">
        <v>4.1570622845442601E-4</v>
      </c>
      <c r="F78" s="8">
        <v>4.2741000330896527E-4</v>
      </c>
      <c r="G78" s="8">
        <v>4.3911377816350459E-4</v>
      </c>
      <c r="H78" s="8">
        <v>4.5081755301804391E-4</v>
      </c>
      <c r="I78" s="8">
        <v>4.6252132787258322E-4</v>
      </c>
      <c r="J78" s="8">
        <v>4.7422510272712238E-4</v>
      </c>
      <c r="K78" s="8">
        <v>4.8592887758166169E-4</v>
      </c>
      <c r="L78" s="8">
        <v>4.9763265243620101E-4</v>
      </c>
      <c r="M78" s="8">
        <v>5.1071286183951617E-4</v>
      </c>
      <c r="N78" s="8">
        <v>5.2379307124283134E-4</v>
      </c>
      <c r="O78" s="8">
        <v>5.3687328064614662E-4</v>
      </c>
      <c r="P78" s="8">
        <v>5.4995349004946178E-4</v>
      </c>
      <c r="Q78" s="8">
        <v>5.6303369945277695E-4</v>
      </c>
      <c r="R78" s="8">
        <v>5.7562541908212595E-4</v>
      </c>
      <c r="S78" s="8">
        <v>5.8821713871147496E-4</v>
      </c>
      <c r="T78" s="8">
        <v>5.9904498169234554E-4</v>
      </c>
      <c r="U78" s="8">
        <v>6.0987282467321613E-4</v>
      </c>
      <c r="V78" s="8">
        <v>6.2070066765408682E-4</v>
      </c>
      <c r="W78" s="8">
        <v>6.315285106349574E-4</v>
      </c>
      <c r="X78" s="8">
        <v>6.4235635361582799E-4</v>
      </c>
      <c r="Y78" s="8">
        <v>6.4977681037683543E-4</v>
      </c>
      <c r="Z78" s="8">
        <v>6.5719726713784276E-4</v>
      </c>
      <c r="AA78" s="8">
        <v>6.646177238988502E-4</v>
      </c>
      <c r="AB78" s="8">
        <v>6.7203818065985754E-4</v>
      </c>
      <c r="AC78" s="8">
        <v>6.7945863742086498E-4</v>
      </c>
      <c r="AD78" s="8">
        <v>6.836848242825058E-4</v>
      </c>
      <c r="AE78" s="8">
        <v>6.8791101114414662E-4</v>
      </c>
      <c r="AF78" s="8">
        <v>6.9213719800578733E-4</v>
      </c>
      <c r="AG78" s="8">
        <v>6.9636338486742816E-4</v>
      </c>
      <c r="AH78" s="8">
        <v>7.0058957172906898E-4</v>
      </c>
      <c r="AI78" s="8">
        <v>7.0366347011647536E-4</v>
      </c>
      <c r="AJ78" s="8">
        <v>7.0673736850388174E-4</v>
      </c>
      <c r="AK78" s="8">
        <v>7.0981126689128823E-4</v>
      </c>
      <c r="AL78" s="8">
        <v>7.1288516527869461E-4</v>
      </c>
      <c r="AM78" s="8">
        <v>7.1595906366610099E-4</v>
      </c>
    </row>
    <row r="79" spans="1:39" x14ac:dyDescent="0.25">
      <c r="A79" t="s">
        <v>248</v>
      </c>
      <c r="B79" t="s">
        <v>240</v>
      </c>
      <c r="C79" t="s">
        <v>313</v>
      </c>
      <c r="D79" t="s">
        <v>390</v>
      </c>
      <c r="E79" s="8">
        <v>6.6693829187323701E-4</v>
      </c>
      <c r="F79" s="8">
        <v>6.8863907701297369E-4</v>
      </c>
      <c r="G79" s="8">
        <v>7.1033986215271049E-4</v>
      </c>
      <c r="H79" s="8">
        <v>7.3204064729244717E-4</v>
      </c>
      <c r="I79" s="8">
        <v>7.5374143243218386E-4</v>
      </c>
      <c r="J79" s="8">
        <v>7.7544221757192054E-4</v>
      </c>
      <c r="K79" s="8">
        <v>7.9714300271165734E-4</v>
      </c>
      <c r="L79" s="8">
        <v>8.1884378785139402E-4</v>
      </c>
      <c r="M79" s="8">
        <v>8.4303661621344683E-4</v>
      </c>
      <c r="N79" s="8">
        <v>8.6722944457549964E-4</v>
      </c>
      <c r="O79" s="8">
        <v>8.9142227293755234E-4</v>
      </c>
      <c r="P79" s="8">
        <v>9.1561510129960515E-4</v>
      </c>
      <c r="Q79" s="8">
        <v>9.3980792966165795E-4</v>
      </c>
      <c r="R79" s="8">
        <v>9.6259850221751448E-4</v>
      </c>
      <c r="S79" s="8">
        <v>9.8538907477337102E-4</v>
      </c>
      <c r="T79" s="8">
        <v>1.0036648082565531E-3</v>
      </c>
      <c r="U79" s="8">
        <v>1.0219405417397349E-3</v>
      </c>
      <c r="V79" s="8">
        <v>1.0402162752229159E-3</v>
      </c>
      <c r="W79" s="8">
        <v>1.058492008706098E-3</v>
      </c>
      <c r="X79" s="8">
        <v>1.07676774218928E-3</v>
      </c>
      <c r="Y79" s="8">
        <v>1.0880387667514719E-3</v>
      </c>
      <c r="Z79" s="8">
        <v>1.099309791313664E-3</v>
      </c>
      <c r="AA79" s="8">
        <v>1.1105808158758559E-3</v>
      </c>
      <c r="AB79" s="8">
        <v>1.121851840438048E-3</v>
      </c>
      <c r="AC79" s="8">
        <v>1.1331228650002399E-3</v>
      </c>
      <c r="AD79" s="8">
        <v>1.138629850051716E-3</v>
      </c>
      <c r="AE79" s="8">
        <v>1.1441368351031919E-3</v>
      </c>
      <c r="AF79" s="8">
        <v>1.149643820154668E-3</v>
      </c>
      <c r="AG79" s="8">
        <v>1.1551508052061439E-3</v>
      </c>
      <c r="AH79" s="8">
        <v>1.16065779025762E-3</v>
      </c>
      <c r="AI79" s="8">
        <v>1.1645015194747239E-3</v>
      </c>
      <c r="AJ79" s="8">
        <v>1.1683452486918281E-3</v>
      </c>
      <c r="AK79" s="8">
        <v>1.172188977908932E-3</v>
      </c>
      <c r="AL79" s="8">
        <v>1.1760327071260359E-3</v>
      </c>
      <c r="AM79" s="8">
        <v>1.1798764363431401E-3</v>
      </c>
    </row>
    <row r="80" spans="1:39" x14ac:dyDescent="0.25">
      <c r="A80" t="s">
        <v>248</v>
      </c>
      <c r="B80" t="s">
        <v>240</v>
      </c>
      <c r="C80" t="s">
        <v>315</v>
      </c>
      <c r="D80" t="s">
        <v>391</v>
      </c>
      <c r="E80" s="8">
        <v>0.87896644430322801</v>
      </c>
      <c r="F80" s="8">
        <v>0.88035794477007512</v>
      </c>
      <c r="G80" s="8">
        <v>0.88174944523692234</v>
      </c>
      <c r="H80" s="8">
        <v>0.88314094570376944</v>
      </c>
      <c r="I80" s="8">
        <v>0.88453244617061655</v>
      </c>
      <c r="J80" s="8">
        <v>0.88592394663746366</v>
      </c>
      <c r="K80" s="8">
        <v>0.88731544710431087</v>
      </c>
      <c r="L80" s="8">
        <v>0.88870694757115798</v>
      </c>
      <c r="M80" s="8">
        <v>0.89007162170578802</v>
      </c>
      <c r="N80" s="8">
        <v>0.89143629584041795</v>
      </c>
      <c r="O80" s="8">
        <v>0.89280096997504799</v>
      </c>
      <c r="P80" s="8">
        <v>0.89416564410967792</v>
      </c>
      <c r="Q80" s="8">
        <v>0.89553031824430795</v>
      </c>
      <c r="R80" s="8">
        <v>0.89791078683092751</v>
      </c>
      <c r="S80" s="8">
        <v>0.90029125541754695</v>
      </c>
      <c r="T80" s="8">
        <v>0.90500099639528542</v>
      </c>
      <c r="U80" s="8">
        <v>0.90971073737302377</v>
      </c>
      <c r="V80" s="8">
        <v>0.91442047835076223</v>
      </c>
      <c r="W80" s="8">
        <v>0.91913021932850059</v>
      </c>
      <c r="X80" s="8">
        <v>0.92383996030623905</v>
      </c>
      <c r="Y80" s="8">
        <v>0.93065064147414966</v>
      </c>
      <c r="Z80" s="8">
        <v>0.93746132264206028</v>
      </c>
      <c r="AA80" s="8">
        <v>0.94427200380997078</v>
      </c>
      <c r="AB80" s="8">
        <v>0.9510826849778814</v>
      </c>
      <c r="AC80" s="8">
        <v>0.95789336614579201</v>
      </c>
      <c r="AD80" s="8">
        <v>0.96475555188053341</v>
      </c>
      <c r="AE80" s="8">
        <v>0.97161773761527481</v>
      </c>
      <c r="AF80" s="8">
        <v>0.97847992335001621</v>
      </c>
      <c r="AG80" s="8">
        <v>0.98534210908475761</v>
      </c>
      <c r="AH80" s="8">
        <v>0.99220429481949901</v>
      </c>
      <c r="AI80" s="8">
        <v>0.99800767032781923</v>
      </c>
      <c r="AJ80" s="8">
        <v>1.0038110458361389</v>
      </c>
      <c r="AK80" s="8">
        <v>1.00961442134446</v>
      </c>
      <c r="AL80" s="8">
        <v>1.01541779685278</v>
      </c>
      <c r="AM80" s="8">
        <v>1.0212211723611</v>
      </c>
    </row>
    <row r="81" spans="1:39" x14ac:dyDescent="0.25">
      <c r="A81" t="s">
        <v>248</v>
      </c>
      <c r="B81" t="s">
        <v>240</v>
      </c>
      <c r="C81" t="s">
        <v>317</v>
      </c>
      <c r="D81" t="s">
        <v>392</v>
      </c>
      <c r="E81" s="8">
        <v>0.14741037749566699</v>
      </c>
      <c r="F81" s="8">
        <v>0.1478173595543994</v>
      </c>
      <c r="G81" s="8">
        <v>0.14822434161313189</v>
      </c>
      <c r="H81" s="8">
        <v>0.1486313236718643</v>
      </c>
      <c r="I81" s="8">
        <v>0.1490383057305967</v>
      </c>
      <c r="J81" s="8">
        <v>0.14944528778932911</v>
      </c>
      <c r="K81" s="8">
        <v>0.1498522698480616</v>
      </c>
      <c r="L81" s="8">
        <v>0.15025925190679401</v>
      </c>
      <c r="M81" s="8">
        <v>0.15059513287586221</v>
      </c>
      <c r="N81" s="8">
        <v>0.15093101384493041</v>
      </c>
      <c r="O81" s="8">
        <v>0.1512668948139986</v>
      </c>
      <c r="P81" s="8">
        <v>0.1516027757830668</v>
      </c>
      <c r="Q81" s="8">
        <v>0.151938656752135</v>
      </c>
      <c r="R81" s="8">
        <v>0.15241217192055301</v>
      </c>
      <c r="S81" s="8">
        <v>0.15288568708897099</v>
      </c>
      <c r="T81" s="8">
        <v>0.153654548608501</v>
      </c>
      <c r="U81" s="8">
        <v>0.15442341012803101</v>
      </c>
      <c r="V81" s="8">
        <v>0.155192271647561</v>
      </c>
      <c r="W81" s="8">
        <v>0.15596113316709101</v>
      </c>
      <c r="X81" s="8">
        <v>0.15672999468662099</v>
      </c>
      <c r="Y81" s="8">
        <v>0.1577444067888932</v>
      </c>
      <c r="Z81" s="8">
        <v>0.15875881889116539</v>
      </c>
      <c r="AA81" s="8">
        <v>0.1597732309934376</v>
      </c>
      <c r="AB81" s="8">
        <v>0.16078764309570981</v>
      </c>
      <c r="AC81" s="8">
        <v>0.16180205519798199</v>
      </c>
      <c r="AD81" s="8">
        <v>0.16293883313395741</v>
      </c>
      <c r="AE81" s="8">
        <v>0.16407561106993279</v>
      </c>
      <c r="AF81" s="8">
        <v>0.16521238900590821</v>
      </c>
      <c r="AG81" s="8">
        <v>0.16634916694188359</v>
      </c>
      <c r="AH81" s="8">
        <v>0.16748594487785901</v>
      </c>
      <c r="AI81" s="8">
        <v>0.16847687912649839</v>
      </c>
      <c r="AJ81" s="8">
        <v>0.1694678133751378</v>
      </c>
      <c r="AK81" s="8">
        <v>0.17045874762377719</v>
      </c>
      <c r="AL81" s="8">
        <v>0.1714496818724166</v>
      </c>
      <c r="AM81" s="8">
        <v>0.17244061612105599</v>
      </c>
    </row>
    <row r="82" spans="1:39" x14ac:dyDescent="0.25">
      <c r="A82" t="s">
        <v>248</v>
      </c>
      <c r="B82" t="s">
        <v>240</v>
      </c>
      <c r="C82" t="s">
        <v>319</v>
      </c>
      <c r="D82" t="s">
        <v>393</v>
      </c>
      <c r="E82" s="8">
        <v>7.4107003955930798E-5</v>
      </c>
      <c r="F82" s="8">
        <v>7.5424369587014396E-5</v>
      </c>
      <c r="G82" s="8">
        <v>7.6741735218097994E-5</v>
      </c>
      <c r="H82" s="8">
        <v>7.8059100849181591E-5</v>
      </c>
      <c r="I82" s="8">
        <v>7.9376466480265203E-5</v>
      </c>
      <c r="J82" s="8">
        <v>8.06938321113488E-5</v>
      </c>
      <c r="K82" s="8">
        <v>8.2011197742432398E-5</v>
      </c>
      <c r="L82" s="8">
        <v>8.3328563373515996E-5</v>
      </c>
      <c r="M82" s="8">
        <v>8.4927611515738094E-5</v>
      </c>
      <c r="N82" s="8">
        <v>8.6526659657960191E-5</v>
      </c>
      <c r="O82" s="8">
        <v>8.8125707800182303E-5</v>
      </c>
      <c r="P82" s="8">
        <v>8.9724755942404401E-5</v>
      </c>
      <c r="Q82" s="8">
        <v>9.1323804084626498E-5</v>
      </c>
      <c r="R82" s="8">
        <v>9.3031120138433257E-5</v>
      </c>
      <c r="S82" s="8">
        <v>9.4738436192240002E-5</v>
      </c>
      <c r="T82" s="8">
        <v>9.6578596139270607E-5</v>
      </c>
      <c r="U82" s="8">
        <v>9.8418756086301199E-5</v>
      </c>
      <c r="V82" s="8">
        <v>1.002589160333318E-4</v>
      </c>
      <c r="W82" s="8">
        <v>1.020990759803624E-4</v>
      </c>
      <c r="X82" s="8">
        <v>1.03939235927393E-4</v>
      </c>
      <c r="Y82" s="8">
        <v>1.054809781980064E-4</v>
      </c>
      <c r="Z82" s="8">
        <v>1.070227204686198E-4</v>
      </c>
      <c r="AA82" s="8">
        <v>1.085644627392332E-4</v>
      </c>
      <c r="AB82" s="8">
        <v>1.101062050098466E-4</v>
      </c>
      <c r="AC82" s="8">
        <v>1.1164794728046E-4</v>
      </c>
      <c r="AD82" s="8">
        <v>1.123756879220224E-4</v>
      </c>
      <c r="AE82" s="8">
        <v>1.131034285635848E-4</v>
      </c>
      <c r="AF82" s="8">
        <v>1.138311692051472E-4</v>
      </c>
      <c r="AG82" s="8">
        <v>1.1455890984670959E-4</v>
      </c>
      <c r="AH82" s="8">
        <v>1.1528665048827201E-4</v>
      </c>
      <c r="AI82" s="8">
        <v>1.155627148023768E-4</v>
      </c>
      <c r="AJ82" s="8">
        <v>1.158387791164816E-4</v>
      </c>
      <c r="AK82" s="8">
        <v>1.1611484343058641E-4</v>
      </c>
      <c r="AL82" s="8">
        <v>1.163909077446912E-4</v>
      </c>
      <c r="AM82" s="8">
        <v>1.16666972058796E-4</v>
      </c>
    </row>
    <row r="83" spans="1:39" x14ac:dyDescent="0.25">
      <c r="A83" t="s">
        <v>248</v>
      </c>
      <c r="B83" t="s">
        <v>240</v>
      </c>
      <c r="C83" t="s">
        <v>321</v>
      </c>
      <c r="D83" t="s">
        <v>394</v>
      </c>
      <c r="E83" s="8">
        <v>1.3398850794157799E-4</v>
      </c>
      <c r="F83" s="8">
        <v>1.3829016669103671E-4</v>
      </c>
      <c r="G83" s="8">
        <v>1.4259182544049541E-4</v>
      </c>
      <c r="H83" s="8">
        <v>1.4689348418995421E-4</v>
      </c>
      <c r="I83" s="8">
        <v>1.5119514293941279E-4</v>
      </c>
      <c r="J83" s="8">
        <v>1.554968016888716E-4</v>
      </c>
      <c r="K83" s="8">
        <v>1.5979846043833029E-4</v>
      </c>
      <c r="L83" s="8">
        <v>1.6410011918778901E-4</v>
      </c>
      <c r="M83" s="8">
        <v>1.690806663940156E-4</v>
      </c>
      <c r="N83" s="8">
        <v>1.7406121360024219E-4</v>
      </c>
      <c r="O83" s="8">
        <v>1.7904176080646881E-4</v>
      </c>
      <c r="P83" s="8">
        <v>1.8402230801269539E-4</v>
      </c>
      <c r="Q83" s="8">
        <v>1.8900285521892201E-4</v>
      </c>
      <c r="R83" s="8">
        <v>1.9377211587543551E-4</v>
      </c>
      <c r="S83" s="8">
        <v>1.9854137653194901E-4</v>
      </c>
      <c r="T83" s="8">
        <v>2.02612185331067E-4</v>
      </c>
      <c r="U83" s="8">
        <v>2.0668299413018499E-4</v>
      </c>
      <c r="V83" s="8">
        <v>2.1075380292930301E-4</v>
      </c>
      <c r="W83" s="8">
        <v>2.14824611728421E-4</v>
      </c>
      <c r="X83" s="8">
        <v>2.1889542052753899E-4</v>
      </c>
      <c r="Y83" s="8">
        <v>2.2150795213609839E-4</v>
      </c>
      <c r="Z83" s="8">
        <v>2.2412048374465779E-4</v>
      </c>
      <c r="AA83" s="8">
        <v>2.2673301535321719E-4</v>
      </c>
      <c r="AB83" s="8">
        <v>2.2934554696177659E-4</v>
      </c>
      <c r="AC83" s="8">
        <v>2.3195807857033599E-4</v>
      </c>
      <c r="AD83" s="8">
        <v>2.3324375141606159E-4</v>
      </c>
      <c r="AE83" s="8">
        <v>2.3452942426178719E-4</v>
      </c>
      <c r="AF83" s="8">
        <v>2.3581509710751279E-4</v>
      </c>
      <c r="AG83" s="8">
        <v>2.3710076995323839E-4</v>
      </c>
      <c r="AH83" s="8">
        <v>2.3838644279896399E-4</v>
      </c>
      <c r="AI83" s="8">
        <v>2.3915699536992979E-4</v>
      </c>
      <c r="AJ83" s="8">
        <v>2.3992754794089559E-4</v>
      </c>
      <c r="AK83" s="8">
        <v>2.4069810051186141E-4</v>
      </c>
      <c r="AL83" s="8">
        <v>2.4146865308282721E-4</v>
      </c>
      <c r="AM83" s="8">
        <v>2.4223920565379301E-4</v>
      </c>
    </row>
    <row r="84" spans="1:39" x14ac:dyDescent="0.25">
      <c r="A84" t="s">
        <v>248</v>
      </c>
      <c r="B84" t="s">
        <v>240</v>
      </c>
      <c r="C84" t="s">
        <v>323</v>
      </c>
      <c r="D84" t="s">
        <v>395</v>
      </c>
      <c r="E84" s="8">
        <v>4.7751368718036702E-4</v>
      </c>
      <c r="F84" s="8">
        <v>4.9172218398456141E-4</v>
      </c>
      <c r="G84" s="8">
        <v>5.0593068078875591E-4</v>
      </c>
      <c r="H84" s="8">
        <v>5.201391775929503E-4</v>
      </c>
      <c r="I84" s="8">
        <v>5.3434767439714469E-4</v>
      </c>
      <c r="J84" s="8">
        <v>5.4855617120133909E-4</v>
      </c>
      <c r="K84" s="8">
        <v>5.6276466800553359E-4</v>
      </c>
      <c r="L84" s="8">
        <v>5.7697316480972798E-4</v>
      </c>
      <c r="M84" s="8">
        <v>5.9626797946313943E-4</v>
      </c>
      <c r="N84" s="8">
        <v>6.1556279411655078E-4</v>
      </c>
      <c r="O84" s="8">
        <v>6.3485760876996224E-4</v>
      </c>
      <c r="P84" s="8">
        <v>6.5415242342337359E-4</v>
      </c>
      <c r="Q84" s="8">
        <v>6.7344723807678504E-4</v>
      </c>
      <c r="R84" s="8">
        <v>6.9394672930519303E-4</v>
      </c>
      <c r="S84" s="8">
        <v>7.1444622053360102E-4</v>
      </c>
      <c r="T84" s="8">
        <v>7.3499056696708898E-4</v>
      </c>
      <c r="U84" s="8">
        <v>7.5553491340057705E-4</v>
      </c>
      <c r="V84" s="8">
        <v>7.7607925983406501E-4</v>
      </c>
      <c r="W84" s="8">
        <v>7.9662360626755308E-4</v>
      </c>
      <c r="X84" s="8">
        <v>8.1716795270104104E-4</v>
      </c>
      <c r="Y84" s="8">
        <v>8.3171624194945703E-4</v>
      </c>
      <c r="Z84" s="8">
        <v>8.4626453119787302E-4</v>
      </c>
      <c r="AA84" s="8">
        <v>8.60812820446289E-4</v>
      </c>
      <c r="AB84" s="8">
        <v>8.7536110969470499E-4</v>
      </c>
      <c r="AC84" s="8">
        <v>8.8990939894312098E-4</v>
      </c>
      <c r="AD84" s="8">
        <v>8.9669582118417359E-4</v>
      </c>
      <c r="AE84" s="8">
        <v>9.034822434252262E-4</v>
      </c>
      <c r="AF84" s="8">
        <v>9.1026866566627882E-4</v>
      </c>
      <c r="AG84" s="8">
        <v>9.1705508790733143E-4</v>
      </c>
      <c r="AH84" s="8">
        <v>9.2384151014838405E-4</v>
      </c>
      <c r="AI84" s="8">
        <v>9.2546247038373527E-4</v>
      </c>
      <c r="AJ84" s="8">
        <v>9.2708343061908649E-4</v>
      </c>
      <c r="AK84" s="8">
        <v>9.2870439085443761E-4</v>
      </c>
      <c r="AL84" s="8">
        <v>9.3032535108978883E-4</v>
      </c>
      <c r="AM84" s="8">
        <v>9.3194631132514005E-4</v>
      </c>
    </row>
    <row r="85" spans="1:39" x14ac:dyDescent="0.25">
      <c r="A85" t="s">
        <v>248</v>
      </c>
      <c r="B85" t="s">
        <v>240</v>
      </c>
      <c r="C85" t="s">
        <v>325</v>
      </c>
      <c r="D85" t="s">
        <v>396</v>
      </c>
      <c r="E85" s="8">
        <v>6.4790453298898493E-5</v>
      </c>
      <c r="F85" s="8">
        <v>6.6883058487801153E-5</v>
      </c>
      <c r="G85" s="8">
        <v>6.8975663676703813E-5</v>
      </c>
      <c r="H85" s="8">
        <v>7.1068268865606473E-5</v>
      </c>
      <c r="I85" s="8">
        <v>7.316087405450912E-5</v>
      </c>
      <c r="J85" s="8">
        <v>7.525347924341178E-5</v>
      </c>
      <c r="K85" s="8">
        <v>7.734608443231444E-5</v>
      </c>
      <c r="L85" s="8">
        <v>7.94386896212171E-5</v>
      </c>
      <c r="M85" s="8">
        <v>8.1538179423927719E-5</v>
      </c>
      <c r="N85" s="8">
        <v>8.3637669226638338E-5</v>
      </c>
      <c r="O85" s="8">
        <v>8.5737159029348957E-5</v>
      </c>
      <c r="P85" s="8">
        <v>8.7836648832059576E-5</v>
      </c>
      <c r="Q85" s="8">
        <v>8.9936138634770196E-5</v>
      </c>
      <c r="R85" s="8">
        <v>9.1685694947562808E-5</v>
      </c>
      <c r="S85" s="8">
        <v>9.3435251260355406E-5</v>
      </c>
      <c r="T85" s="8">
        <v>9.4562210304714283E-5</v>
      </c>
      <c r="U85" s="8">
        <v>9.5689169349073161E-5</v>
      </c>
      <c r="V85" s="8">
        <v>9.6816128393432052E-5</v>
      </c>
      <c r="W85" s="8">
        <v>9.7943087437790929E-5</v>
      </c>
      <c r="X85" s="8">
        <v>9.9070046482149806E-5</v>
      </c>
      <c r="Y85" s="8">
        <v>9.9564259567976241E-5</v>
      </c>
      <c r="Z85" s="8">
        <v>1.000584726538027E-4</v>
      </c>
      <c r="AA85" s="8">
        <v>1.005526857396291E-4</v>
      </c>
      <c r="AB85" s="8">
        <v>1.010468988254556E-4</v>
      </c>
      <c r="AC85" s="8">
        <v>1.0154111191128199E-4</v>
      </c>
      <c r="AD85" s="8">
        <v>1.017895989436256E-4</v>
      </c>
      <c r="AE85" s="8">
        <v>1.020380859759692E-4</v>
      </c>
      <c r="AF85" s="8">
        <v>1.022865730083128E-4</v>
      </c>
      <c r="AG85" s="8">
        <v>1.025350600406564E-4</v>
      </c>
      <c r="AH85" s="8">
        <v>1.02783547073E-4</v>
      </c>
      <c r="AI85" s="8">
        <v>1.03181446857716E-4</v>
      </c>
      <c r="AJ85" s="8">
        <v>1.03579346642432E-4</v>
      </c>
      <c r="AK85" s="8">
        <v>1.03977246427148E-4</v>
      </c>
      <c r="AL85" s="8">
        <v>1.04375146211864E-4</v>
      </c>
      <c r="AM85" s="8">
        <v>1.0477304599658001E-4</v>
      </c>
    </row>
    <row r="86" spans="1:39" x14ac:dyDescent="0.25">
      <c r="A86" t="s">
        <v>248</v>
      </c>
      <c r="B86" t="s">
        <v>240</v>
      </c>
      <c r="C86" t="s">
        <v>327</v>
      </c>
      <c r="D86" t="s">
        <v>397</v>
      </c>
      <c r="E86" s="8">
        <v>5.7560781412743401E-5</v>
      </c>
      <c r="F86" s="8">
        <v>5.94931887635905E-5</v>
      </c>
      <c r="G86" s="8">
        <v>6.14255961144376E-5</v>
      </c>
      <c r="H86" s="8">
        <v>6.3358003465284699E-5</v>
      </c>
      <c r="I86" s="8">
        <v>6.5290410816131798E-5</v>
      </c>
      <c r="J86" s="8">
        <v>6.7222818166978897E-5</v>
      </c>
      <c r="K86" s="8">
        <v>6.9155225517825996E-5</v>
      </c>
      <c r="L86" s="8">
        <v>7.1087632868673095E-5</v>
      </c>
      <c r="M86" s="8">
        <v>7.2985960847754232E-5</v>
      </c>
      <c r="N86" s="8">
        <v>7.488428882683537E-5</v>
      </c>
      <c r="O86" s="8">
        <v>7.6782616805916521E-5</v>
      </c>
      <c r="P86" s="8">
        <v>7.8680944784997658E-5</v>
      </c>
      <c r="Q86" s="8">
        <v>8.0579272764078795E-5</v>
      </c>
      <c r="R86" s="8">
        <v>8.2140576089758088E-5</v>
      </c>
      <c r="S86" s="8">
        <v>8.3701879415437394E-5</v>
      </c>
      <c r="T86" s="8">
        <v>8.4641460492791798E-5</v>
      </c>
      <c r="U86" s="8">
        <v>8.5581041570146203E-5</v>
      </c>
      <c r="V86" s="8">
        <v>8.6520622647500594E-5</v>
      </c>
      <c r="W86" s="8">
        <v>8.7460203724854999E-5</v>
      </c>
      <c r="X86" s="8">
        <v>8.8399784802209403E-5</v>
      </c>
      <c r="Y86" s="8">
        <v>8.8785279500955364E-5</v>
      </c>
      <c r="Z86" s="8">
        <v>8.9170774199701325E-5</v>
      </c>
      <c r="AA86" s="8">
        <v>8.9556268898447272E-5</v>
      </c>
      <c r="AB86" s="8">
        <v>8.9941763597193233E-5</v>
      </c>
      <c r="AC86" s="8">
        <v>9.0327258295939194E-5</v>
      </c>
      <c r="AD86" s="8">
        <v>9.0498959750180791E-5</v>
      </c>
      <c r="AE86" s="8">
        <v>9.0670661204422388E-5</v>
      </c>
      <c r="AF86" s="8">
        <v>9.0842362658663999E-5</v>
      </c>
      <c r="AG86" s="8">
        <v>9.1014064112905597E-5</v>
      </c>
      <c r="AH86" s="8">
        <v>9.1185765567147194E-5</v>
      </c>
      <c r="AI86" s="8">
        <v>9.1549535722947232E-5</v>
      </c>
      <c r="AJ86" s="8">
        <v>9.191330587874727E-5</v>
      </c>
      <c r="AK86" s="8">
        <v>9.2277076034547322E-5</v>
      </c>
      <c r="AL86" s="8">
        <v>9.264084619034736E-5</v>
      </c>
      <c r="AM86" s="8">
        <v>9.3004616346147398E-5</v>
      </c>
    </row>
    <row r="87" spans="1:39" x14ac:dyDescent="0.25">
      <c r="A87" t="s">
        <v>248</v>
      </c>
      <c r="B87" t="s">
        <v>240</v>
      </c>
      <c r="C87" t="s">
        <v>329</v>
      </c>
      <c r="D87" t="s">
        <v>398</v>
      </c>
      <c r="E87" s="8">
        <v>1.52251085106066E-5</v>
      </c>
      <c r="F87" s="8">
        <v>1.5469105098490261E-5</v>
      </c>
      <c r="G87" s="8">
        <v>1.5713101686373911E-5</v>
      </c>
      <c r="H87" s="8">
        <v>1.595709827425757E-5</v>
      </c>
      <c r="I87" s="8">
        <v>1.620109486214123E-5</v>
      </c>
      <c r="J87" s="8">
        <v>1.644509145002489E-5</v>
      </c>
      <c r="K87" s="8">
        <v>1.6689088037908539E-5</v>
      </c>
      <c r="L87" s="8">
        <v>1.6933084625792199E-5</v>
      </c>
      <c r="M87" s="8">
        <v>1.7178528097873981E-5</v>
      </c>
      <c r="N87" s="8">
        <v>1.742397156995576E-5</v>
      </c>
      <c r="O87" s="8">
        <v>1.7669415042037539E-5</v>
      </c>
      <c r="P87" s="8">
        <v>1.7914858514119321E-5</v>
      </c>
      <c r="Q87" s="8">
        <v>1.81603019862011E-5</v>
      </c>
      <c r="R87" s="8">
        <v>1.8388781251733602E-5</v>
      </c>
      <c r="S87" s="8">
        <v>1.86172605172661E-5</v>
      </c>
      <c r="T87" s="8">
        <v>1.8794938549388279E-5</v>
      </c>
      <c r="U87" s="8">
        <v>1.8972616581510459E-5</v>
      </c>
      <c r="V87" s="8">
        <v>1.9150294613632641E-5</v>
      </c>
      <c r="W87" s="8">
        <v>1.9327972645754821E-5</v>
      </c>
      <c r="X87" s="8">
        <v>1.9505650677877E-5</v>
      </c>
      <c r="Y87" s="8">
        <v>1.9620160808422061E-5</v>
      </c>
      <c r="Z87" s="8">
        <v>1.9734670938967119E-5</v>
      </c>
      <c r="AA87" s="8">
        <v>1.984918106951218E-5</v>
      </c>
      <c r="AB87" s="8">
        <v>1.9963691200057241E-5</v>
      </c>
      <c r="AC87" s="8">
        <v>2.0078201330602299E-5</v>
      </c>
      <c r="AD87" s="8">
        <v>2.01645662412896E-5</v>
      </c>
      <c r="AE87" s="8">
        <v>2.0250931151976899E-5</v>
      </c>
      <c r="AF87" s="8">
        <v>2.03372960626642E-5</v>
      </c>
      <c r="AG87" s="8">
        <v>2.0423660973351499E-5</v>
      </c>
      <c r="AH87" s="8">
        <v>2.05100258840388E-5</v>
      </c>
      <c r="AI87" s="8">
        <v>2.0605799130064561E-5</v>
      </c>
      <c r="AJ87" s="8">
        <v>2.0701572376090322E-5</v>
      </c>
      <c r="AK87" s="8">
        <v>2.0797345622116079E-5</v>
      </c>
      <c r="AL87" s="8">
        <v>2.0893118868141839E-5</v>
      </c>
      <c r="AM87" s="8">
        <v>2.09888921141676E-5</v>
      </c>
    </row>
    <row r="88" spans="1:39" x14ac:dyDescent="0.25">
      <c r="A88" t="s">
        <v>248</v>
      </c>
      <c r="B88" t="s">
        <v>240</v>
      </c>
      <c r="C88" t="s">
        <v>331</v>
      </c>
      <c r="D88" t="s">
        <v>399</v>
      </c>
      <c r="E88" s="8">
        <v>3.19146824089431E-4</v>
      </c>
      <c r="F88" s="8">
        <v>3.2477218164402759E-4</v>
      </c>
      <c r="G88" s="8">
        <v>3.3039753919862408E-4</v>
      </c>
      <c r="H88" s="8">
        <v>3.3602289675322067E-4</v>
      </c>
      <c r="I88" s="8">
        <v>3.4164825430781732E-4</v>
      </c>
      <c r="J88" s="8">
        <v>3.4727361186241392E-4</v>
      </c>
      <c r="K88" s="8">
        <v>3.5289896941701041E-4</v>
      </c>
      <c r="L88" s="8">
        <v>3.58524326971607E-4</v>
      </c>
      <c r="M88" s="8">
        <v>3.650038014527396E-4</v>
      </c>
      <c r="N88" s="8">
        <v>3.7148327593387219E-4</v>
      </c>
      <c r="O88" s="8">
        <v>3.7796275041500479E-4</v>
      </c>
      <c r="P88" s="8">
        <v>3.8444222489613739E-4</v>
      </c>
      <c r="Q88" s="8">
        <v>3.9092169937726998E-4</v>
      </c>
      <c r="R88" s="8">
        <v>3.9726565272835802E-4</v>
      </c>
      <c r="S88" s="8">
        <v>4.0360960607944599E-4</v>
      </c>
      <c r="T88" s="8">
        <v>4.0973634847527181E-4</v>
      </c>
      <c r="U88" s="8">
        <v>4.1586309087109758E-4</v>
      </c>
      <c r="V88" s="8">
        <v>4.219898332669234E-4</v>
      </c>
      <c r="W88" s="8">
        <v>4.2811657566274922E-4</v>
      </c>
      <c r="X88" s="8">
        <v>4.3424331805857498E-4</v>
      </c>
      <c r="Y88" s="8">
        <v>4.3903668538819722E-4</v>
      </c>
      <c r="Z88" s="8">
        <v>4.4383005271781941E-4</v>
      </c>
      <c r="AA88" s="8">
        <v>4.4862342004744159E-4</v>
      </c>
      <c r="AB88" s="8">
        <v>4.5341678737706377E-4</v>
      </c>
      <c r="AC88" s="8">
        <v>4.5821015470668601E-4</v>
      </c>
      <c r="AD88" s="8">
        <v>4.6138580360968479E-4</v>
      </c>
      <c r="AE88" s="8">
        <v>4.6456145251268357E-4</v>
      </c>
      <c r="AF88" s="8">
        <v>4.6773710141568241E-4</v>
      </c>
      <c r="AG88" s="8">
        <v>4.7091275031868119E-4</v>
      </c>
      <c r="AH88" s="8">
        <v>4.7408839922168002E-4</v>
      </c>
      <c r="AI88" s="8">
        <v>4.7631324498838122E-4</v>
      </c>
      <c r="AJ88" s="8">
        <v>4.7853809075508241E-4</v>
      </c>
      <c r="AK88" s="8">
        <v>4.807629365217836E-4</v>
      </c>
      <c r="AL88" s="8">
        <v>4.8298778228848479E-4</v>
      </c>
      <c r="AM88" s="8">
        <v>4.8521262805518599E-4</v>
      </c>
    </row>
    <row r="89" spans="1:39" x14ac:dyDescent="0.25">
      <c r="A89" t="s">
        <v>248</v>
      </c>
      <c r="B89" t="s">
        <v>240</v>
      </c>
      <c r="C89" t="s">
        <v>333</v>
      </c>
      <c r="D89" t="s">
        <v>400</v>
      </c>
      <c r="E89" s="8">
        <v>2.1539042184043402</v>
      </c>
      <c r="F89" s="8">
        <v>2.1619031207492689</v>
      </c>
      <c r="G89" s="8">
        <v>2.1699020230941972</v>
      </c>
      <c r="H89" s="8">
        <v>2.1779009254391259</v>
      </c>
      <c r="I89" s="8">
        <v>2.1858998277840538</v>
      </c>
      <c r="J89" s="8">
        <v>2.193898730128983</v>
      </c>
      <c r="K89" s="8">
        <v>2.2018976324739108</v>
      </c>
      <c r="L89" s="8">
        <v>2.20989653481884</v>
      </c>
      <c r="M89" s="8">
        <v>2.2334311087993162</v>
      </c>
      <c r="N89" s="8">
        <v>2.2569656827797919</v>
      </c>
      <c r="O89" s="8">
        <v>2.2805002567602681</v>
      </c>
      <c r="P89" s="8">
        <v>2.3040348307407439</v>
      </c>
      <c r="Q89" s="8">
        <v>2.3275694047212201</v>
      </c>
      <c r="R89" s="8">
        <v>2.3541657912581</v>
      </c>
      <c r="S89" s="8">
        <v>2.3807621777949799</v>
      </c>
      <c r="T89" s="8">
        <v>2.4010098355538938</v>
      </c>
      <c r="U89" s="8">
        <v>2.4212574933128082</v>
      </c>
      <c r="V89" s="8">
        <v>2.4415051510717221</v>
      </c>
      <c r="W89" s="8">
        <v>2.461752808830636</v>
      </c>
      <c r="X89" s="8">
        <v>2.4820004665895499</v>
      </c>
      <c r="Y89" s="8">
        <v>2.492119182967774</v>
      </c>
      <c r="Z89" s="8">
        <v>2.5022378993459982</v>
      </c>
      <c r="AA89" s="8">
        <v>2.5123566157242219</v>
      </c>
      <c r="AB89" s="8">
        <v>2.522475332102446</v>
      </c>
      <c r="AC89" s="8">
        <v>2.5325940484806702</v>
      </c>
      <c r="AD89" s="8">
        <v>2.5443432204282281</v>
      </c>
      <c r="AE89" s="8">
        <v>2.5560923923757861</v>
      </c>
      <c r="AF89" s="8">
        <v>2.5678415643233441</v>
      </c>
      <c r="AG89" s="8">
        <v>2.5795907362709021</v>
      </c>
      <c r="AH89" s="8">
        <v>2.5913399082184601</v>
      </c>
      <c r="AI89" s="8">
        <v>2.6034915618387822</v>
      </c>
      <c r="AJ89" s="8">
        <v>2.6156432154591038</v>
      </c>
      <c r="AK89" s="8">
        <v>2.6277948690794259</v>
      </c>
      <c r="AL89" s="8">
        <v>2.6399465226997481</v>
      </c>
      <c r="AM89" s="8">
        <v>2.6520981763200702</v>
      </c>
    </row>
    <row r="90" spans="1:39" x14ac:dyDescent="0.25">
      <c r="A90" t="s">
        <v>248</v>
      </c>
      <c r="B90" t="s">
        <v>236</v>
      </c>
      <c r="C90" t="s">
        <v>53</v>
      </c>
      <c r="D90" t="s">
        <v>401</v>
      </c>
      <c r="E90" s="8">
        <v>2.3039230632728998E-2</v>
      </c>
      <c r="F90" s="8">
        <v>2.316970841803458E-2</v>
      </c>
      <c r="G90" s="8">
        <v>2.3300186203340172E-2</v>
      </c>
      <c r="H90" s="8">
        <v>2.343066398864576E-2</v>
      </c>
      <c r="I90" s="8">
        <v>2.3561141773951341E-2</v>
      </c>
      <c r="J90" s="8">
        <v>2.369161955925693E-2</v>
      </c>
      <c r="K90" s="8">
        <v>2.3822097344562511E-2</v>
      </c>
      <c r="L90" s="8">
        <v>2.3952575129868099E-2</v>
      </c>
      <c r="M90" s="8">
        <v>2.4252978284752182E-2</v>
      </c>
      <c r="N90" s="8">
        <v>2.4553381439636261E-2</v>
      </c>
      <c r="O90" s="8">
        <v>2.485378459452034E-2</v>
      </c>
      <c r="P90" s="8">
        <v>2.5154187749404418E-2</v>
      </c>
      <c r="Q90" s="8">
        <v>2.5454590904288501E-2</v>
      </c>
      <c r="R90" s="8">
        <v>2.6044598676423801E-2</v>
      </c>
      <c r="S90" s="8">
        <v>2.6634606448559101E-2</v>
      </c>
      <c r="T90" s="8">
        <v>2.703103768240276E-2</v>
      </c>
      <c r="U90" s="8">
        <v>2.7427468916246419E-2</v>
      </c>
      <c r="V90" s="8">
        <v>2.7823900150090081E-2</v>
      </c>
      <c r="W90" s="8">
        <v>2.822033138393374E-2</v>
      </c>
      <c r="X90" s="8">
        <v>2.8616762617777399E-2</v>
      </c>
      <c r="Y90" s="8">
        <v>2.8932763193707842E-2</v>
      </c>
      <c r="Z90" s="8">
        <v>2.9248763769638281E-2</v>
      </c>
      <c r="AA90" s="8">
        <v>2.956476434556872E-2</v>
      </c>
      <c r="AB90" s="8">
        <v>2.9880764921499159E-2</v>
      </c>
      <c r="AC90" s="8">
        <v>3.0196765497429601E-2</v>
      </c>
      <c r="AD90" s="8">
        <v>3.03775827206605E-2</v>
      </c>
      <c r="AE90" s="8">
        <v>3.0558399943891399E-2</v>
      </c>
      <c r="AF90" s="8">
        <v>3.0739217167122301E-2</v>
      </c>
      <c r="AG90" s="8">
        <v>3.09200343903532E-2</v>
      </c>
      <c r="AH90" s="8">
        <v>3.1100851613584099E-2</v>
      </c>
      <c r="AI90" s="8">
        <v>3.1151081469107118E-2</v>
      </c>
      <c r="AJ90" s="8">
        <v>3.1201311324630141E-2</v>
      </c>
      <c r="AK90" s="8">
        <v>3.1251541180153157E-2</v>
      </c>
      <c r="AL90" s="8">
        <v>3.1301771035676183E-2</v>
      </c>
      <c r="AM90" s="8">
        <v>3.1352000891199203E-2</v>
      </c>
    </row>
    <row r="91" spans="1:39" x14ac:dyDescent="0.25">
      <c r="A91" t="s">
        <v>248</v>
      </c>
      <c r="B91" t="s">
        <v>236</v>
      </c>
      <c r="C91" t="s">
        <v>293</v>
      </c>
      <c r="D91" t="s">
        <v>402</v>
      </c>
      <c r="E91" s="8">
        <v>1.00406933410739E-4</v>
      </c>
      <c r="F91" s="8">
        <v>9.9353930673025105E-5</v>
      </c>
      <c r="G91" s="8">
        <v>9.8300927935311195E-5</v>
      </c>
      <c r="H91" s="8">
        <v>9.7247925197597299E-5</v>
      </c>
      <c r="I91" s="8">
        <v>9.6194922459883403E-5</v>
      </c>
      <c r="J91" s="8">
        <v>9.5141919722169506E-5</v>
      </c>
      <c r="K91" s="8">
        <v>9.4088916984455596E-5</v>
      </c>
      <c r="L91" s="8">
        <v>9.30359142467417E-5</v>
      </c>
      <c r="M91" s="8">
        <v>9.2232294497111478E-5</v>
      </c>
      <c r="N91" s="8">
        <v>9.1428674747481256E-5</v>
      </c>
      <c r="O91" s="8">
        <v>9.0625054997851048E-5</v>
      </c>
      <c r="P91" s="8">
        <v>8.9821435248220826E-5</v>
      </c>
      <c r="Q91" s="8">
        <v>8.9017815498590604E-5</v>
      </c>
      <c r="R91" s="8">
        <v>5.9033840694388401E-5</v>
      </c>
      <c r="S91" s="8">
        <v>2.9049865890186202E-5</v>
      </c>
      <c r="T91" s="8">
        <v>2.884476052564598E-5</v>
      </c>
      <c r="U91" s="8">
        <v>2.8639655161105761E-5</v>
      </c>
      <c r="V91" s="8">
        <v>2.8434549796565539E-5</v>
      </c>
      <c r="W91" s="8">
        <v>2.8229444432025321E-5</v>
      </c>
      <c r="X91" s="8">
        <v>2.8024339067485099E-5</v>
      </c>
      <c r="Y91" s="8">
        <v>2.789242908671946E-5</v>
      </c>
      <c r="Z91" s="8">
        <v>2.7760519105953822E-5</v>
      </c>
      <c r="AA91" s="8">
        <v>2.7628609125188179E-5</v>
      </c>
      <c r="AB91" s="8">
        <v>2.7496699144422541E-5</v>
      </c>
      <c r="AC91" s="8">
        <v>2.7364789163656899E-5</v>
      </c>
      <c r="AD91" s="8">
        <v>2.720675805897102E-5</v>
      </c>
      <c r="AE91" s="8">
        <v>2.7048726954285138E-5</v>
      </c>
      <c r="AF91" s="8">
        <v>2.689069584959926E-5</v>
      </c>
      <c r="AG91" s="8">
        <v>2.6732664744913378E-5</v>
      </c>
      <c r="AH91" s="8">
        <v>2.65746336402275E-5</v>
      </c>
      <c r="AI91" s="8">
        <v>2.641132822461994E-5</v>
      </c>
      <c r="AJ91" s="8">
        <v>2.624802280901238E-5</v>
      </c>
      <c r="AK91" s="8">
        <v>2.6084717393404819E-5</v>
      </c>
      <c r="AL91" s="8">
        <v>2.5921411977797259E-5</v>
      </c>
      <c r="AM91" s="8">
        <v>2.5758106562189699E-5</v>
      </c>
    </row>
    <row r="92" spans="1:39" x14ac:dyDescent="0.25">
      <c r="A92" t="s">
        <v>248</v>
      </c>
      <c r="B92" t="s">
        <v>236</v>
      </c>
      <c r="C92" t="s">
        <v>295</v>
      </c>
      <c r="D92" t="s">
        <v>403</v>
      </c>
      <c r="E92" s="8">
        <v>5.2116749959730102</v>
      </c>
      <c r="F92" s="8">
        <v>5.2289650555547071</v>
      </c>
      <c r="G92" s="8">
        <v>5.2462551151364041</v>
      </c>
      <c r="H92" s="8">
        <v>5.263545174718101</v>
      </c>
      <c r="I92" s="8">
        <v>5.2808352342997988</v>
      </c>
      <c r="J92" s="8">
        <v>5.2981252938814958</v>
      </c>
      <c r="K92" s="8">
        <v>5.3154153534631927</v>
      </c>
      <c r="L92" s="8">
        <v>5.3327054130448897</v>
      </c>
      <c r="M92" s="8">
        <v>5.3859294649521079</v>
      </c>
      <c r="N92" s="8">
        <v>5.4391535168593261</v>
      </c>
      <c r="O92" s="8">
        <v>5.4923775687665426</v>
      </c>
      <c r="P92" s="8">
        <v>5.5456016206737617</v>
      </c>
      <c r="Q92" s="8">
        <v>5.59882567258098</v>
      </c>
      <c r="R92" s="8">
        <v>5.6605801955687998</v>
      </c>
      <c r="S92" s="8">
        <v>5.7223347185566196</v>
      </c>
      <c r="T92" s="8">
        <v>5.7659132612200761</v>
      </c>
      <c r="U92" s="8">
        <v>5.8094918038835317</v>
      </c>
      <c r="V92" s="8">
        <v>5.8530703465469882</v>
      </c>
      <c r="W92" s="8">
        <v>5.8966488892104438</v>
      </c>
      <c r="X92" s="8">
        <v>5.9402274318739003</v>
      </c>
      <c r="Y92" s="8">
        <v>5.9578269585697763</v>
      </c>
      <c r="Z92" s="8">
        <v>5.9754264852656522</v>
      </c>
      <c r="AA92" s="8">
        <v>5.9930260119615282</v>
      </c>
      <c r="AB92" s="8">
        <v>6.0106255386574041</v>
      </c>
      <c r="AC92" s="8">
        <v>6.0282250653532801</v>
      </c>
      <c r="AD92" s="8">
        <v>6.0488053244626263</v>
      </c>
      <c r="AE92" s="8">
        <v>6.0693855835719734</v>
      </c>
      <c r="AF92" s="8">
        <v>6.0899658426813179</v>
      </c>
      <c r="AG92" s="8">
        <v>6.1105461017906642</v>
      </c>
      <c r="AH92" s="8">
        <v>6.1311263609000104</v>
      </c>
      <c r="AI92" s="8">
        <v>6.153453172327862</v>
      </c>
      <c r="AJ92" s="8">
        <v>6.1757799837557146</v>
      </c>
      <c r="AK92" s="8">
        <v>6.1981067951835662</v>
      </c>
      <c r="AL92" s="8">
        <v>6.2204336066114188</v>
      </c>
      <c r="AM92" s="8">
        <v>6.2427604180392704</v>
      </c>
    </row>
    <row r="93" spans="1:39" x14ac:dyDescent="0.25">
      <c r="A93" t="s">
        <v>248</v>
      </c>
      <c r="B93" t="s">
        <v>236</v>
      </c>
      <c r="C93" t="s">
        <v>297</v>
      </c>
      <c r="D93" t="s">
        <v>404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0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8">
        <v>0</v>
      </c>
      <c r="AH93" s="8">
        <v>0</v>
      </c>
      <c r="AI93" s="8">
        <v>0</v>
      </c>
      <c r="AJ93" s="8">
        <v>0</v>
      </c>
      <c r="AK93" s="8">
        <v>0</v>
      </c>
      <c r="AL93" s="8">
        <v>0</v>
      </c>
      <c r="AM93" s="8">
        <v>0</v>
      </c>
    </row>
    <row r="94" spans="1:39" x14ac:dyDescent="0.25">
      <c r="A94" t="s">
        <v>248</v>
      </c>
      <c r="B94" t="s">
        <v>236</v>
      </c>
      <c r="C94" t="s">
        <v>299</v>
      </c>
      <c r="D94" t="s">
        <v>405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8">
        <v>0</v>
      </c>
      <c r="O94" s="8">
        <v>0</v>
      </c>
      <c r="P94" s="8">
        <v>0</v>
      </c>
      <c r="Q94" s="8">
        <v>0</v>
      </c>
      <c r="R94" s="8">
        <v>0</v>
      </c>
      <c r="S94" s="8">
        <v>0</v>
      </c>
      <c r="T94" s="8">
        <v>0</v>
      </c>
      <c r="U94" s="8">
        <v>0</v>
      </c>
      <c r="V94" s="8">
        <v>0</v>
      </c>
      <c r="W94" s="8">
        <v>0</v>
      </c>
      <c r="X94" s="8">
        <v>0</v>
      </c>
      <c r="Y94" s="8">
        <v>0</v>
      </c>
      <c r="Z94" s="8">
        <v>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8">
        <v>0</v>
      </c>
      <c r="AH94" s="8">
        <v>0</v>
      </c>
      <c r="AI94" s="8">
        <v>0</v>
      </c>
      <c r="AJ94" s="8">
        <v>0</v>
      </c>
      <c r="AK94" s="8">
        <v>0</v>
      </c>
      <c r="AL94" s="8">
        <v>0</v>
      </c>
      <c r="AM94" s="8">
        <v>0</v>
      </c>
    </row>
    <row r="95" spans="1:39" x14ac:dyDescent="0.25">
      <c r="A95" t="s">
        <v>248</v>
      </c>
      <c r="B95" t="s">
        <v>236</v>
      </c>
      <c r="C95" t="s">
        <v>301</v>
      </c>
      <c r="D95" t="s">
        <v>406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8">
        <v>0</v>
      </c>
      <c r="AH95" s="8">
        <v>0</v>
      </c>
      <c r="AI95" s="8">
        <v>0</v>
      </c>
      <c r="AJ95" s="8">
        <v>0</v>
      </c>
      <c r="AK95" s="8">
        <v>0</v>
      </c>
      <c r="AL95" s="8">
        <v>0</v>
      </c>
      <c r="AM95" s="8">
        <v>0</v>
      </c>
    </row>
    <row r="96" spans="1:39" x14ac:dyDescent="0.25">
      <c r="A96" t="s">
        <v>248</v>
      </c>
      <c r="B96" t="s">
        <v>236</v>
      </c>
      <c r="C96" t="s">
        <v>303</v>
      </c>
      <c r="D96" t="s">
        <v>407</v>
      </c>
      <c r="E96" s="8">
        <v>0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  <c r="P96" s="8">
        <v>0</v>
      </c>
      <c r="Q96" s="8">
        <v>0</v>
      </c>
      <c r="R96" s="8">
        <v>0</v>
      </c>
      <c r="S96" s="8">
        <v>0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0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8">
        <v>0</v>
      </c>
      <c r="AH96" s="8">
        <v>0</v>
      </c>
      <c r="AI96" s="8">
        <v>0</v>
      </c>
      <c r="AJ96" s="8">
        <v>0</v>
      </c>
      <c r="AK96" s="8">
        <v>0</v>
      </c>
      <c r="AL96" s="8">
        <v>0</v>
      </c>
      <c r="AM96" s="8">
        <v>0</v>
      </c>
    </row>
    <row r="97" spans="1:39" x14ac:dyDescent="0.25">
      <c r="A97" t="s">
        <v>248</v>
      </c>
      <c r="B97" t="s">
        <v>236</v>
      </c>
      <c r="C97" t="s">
        <v>305</v>
      </c>
      <c r="D97" t="s">
        <v>408</v>
      </c>
      <c r="E97" s="8">
        <v>2.7054034064543899E-2</v>
      </c>
      <c r="F97" s="8">
        <v>2.7328722819525818E-2</v>
      </c>
      <c r="G97" s="8">
        <v>2.7603411574507731E-2</v>
      </c>
      <c r="H97" s="8">
        <v>2.787810032948964E-2</v>
      </c>
      <c r="I97" s="8">
        <v>2.8152789084471559E-2</v>
      </c>
      <c r="J97" s="8">
        <v>2.8427477839453472E-2</v>
      </c>
      <c r="K97" s="8">
        <v>2.8702166594435381E-2</v>
      </c>
      <c r="L97" s="8">
        <v>2.89768553494173E-2</v>
      </c>
      <c r="M97" s="8">
        <v>2.9159914309205899E-2</v>
      </c>
      <c r="N97" s="8">
        <v>2.9342973268994502E-2</v>
      </c>
      <c r="O97" s="8">
        <v>2.9526032228783101E-2</v>
      </c>
      <c r="P97" s="8">
        <v>2.97090911885717E-2</v>
      </c>
      <c r="Q97" s="8">
        <v>2.9892150148360299E-2</v>
      </c>
      <c r="R97" s="8">
        <v>3.0055190559166899E-2</v>
      </c>
      <c r="S97" s="8">
        <v>3.02182309699735E-2</v>
      </c>
      <c r="T97" s="8">
        <v>3.034695317163778E-2</v>
      </c>
      <c r="U97" s="8">
        <v>3.047567537330206E-2</v>
      </c>
      <c r="V97" s="8">
        <v>3.060439757496634E-2</v>
      </c>
      <c r="W97" s="8">
        <v>3.0733119776630621E-2</v>
      </c>
      <c r="X97" s="8">
        <v>3.0861841978294901E-2</v>
      </c>
      <c r="Y97" s="8">
        <v>3.0976779758838821E-2</v>
      </c>
      <c r="Z97" s="8">
        <v>3.1091717539382741E-2</v>
      </c>
      <c r="AA97" s="8">
        <v>3.1206655319926661E-2</v>
      </c>
      <c r="AB97" s="8">
        <v>3.1321593100470578E-2</v>
      </c>
      <c r="AC97" s="8">
        <v>3.1436530881014502E-2</v>
      </c>
      <c r="AD97" s="8">
        <v>3.1544943964267477E-2</v>
      </c>
      <c r="AE97" s="8">
        <v>3.165335704752046E-2</v>
      </c>
      <c r="AF97" s="8">
        <v>3.1761770130773442E-2</v>
      </c>
      <c r="AG97" s="8">
        <v>3.1870183214026418E-2</v>
      </c>
      <c r="AH97" s="8">
        <v>3.1978596297279401E-2</v>
      </c>
      <c r="AI97" s="8">
        <v>3.2080454965179063E-2</v>
      </c>
      <c r="AJ97" s="8">
        <v>3.2182313633078719E-2</v>
      </c>
      <c r="AK97" s="8">
        <v>3.2284172300978381E-2</v>
      </c>
      <c r="AL97" s="8">
        <v>3.2386030968878043E-2</v>
      </c>
      <c r="AM97" s="8">
        <v>3.2487889636777699E-2</v>
      </c>
    </row>
    <row r="98" spans="1:39" x14ac:dyDescent="0.25">
      <c r="A98" t="s">
        <v>248</v>
      </c>
      <c r="B98" t="s">
        <v>236</v>
      </c>
      <c r="C98" t="s">
        <v>307</v>
      </c>
      <c r="D98" t="s">
        <v>409</v>
      </c>
      <c r="E98" s="8">
        <v>0.177007630315172</v>
      </c>
      <c r="F98" s="8">
        <v>0.178004758549863</v>
      </c>
      <c r="G98" s="8">
        <v>0.179001886784554</v>
      </c>
      <c r="H98" s="8">
        <v>0.17999901501924501</v>
      </c>
      <c r="I98" s="8">
        <v>0.18099614325393601</v>
      </c>
      <c r="J98" s="8">
        <v>0.18199327148862701</v>
      </c>
      <c r="K98" s="8">
        <v>0.18299039972331799</v>
      </c>
      <c r="L98" s="8">
        <v>0.18398752795800899</v>
      </c>
      <c r="M98" s="8">
        <v>0.185636524019754</v>
      </c>
      <c r="N98" s="8">
        <v>0.18728552008149901</v>
      </c>
      <c r="O98" s="8">
        <v>0.188934516143244</v>
      </c>
      <c r="P98" s="8">
        <v>0.19058351220498901</v>
      </c>
      <c r="Q98" s="8">
        <v>0.19223250826673399</v>
      </c>
      <c r="R98" s="8">
        <v>0.19401935416072649</v>
      </c>
      <c r="S98" s="8">
        <v>0.19580620005471899</v>
      </c>
      <c r="T98" s="8">
        <v>0.1971164568202656</v>
      </c>
      <c r="U98" s="8">
        <v>0.19842671358581221</v>
      </c>
      <c r="V98" s="8">
        <v>0.19973697035135879</v>
      </c>
      <c r="W98" s="8">
        <v>0.2010472271169054</v>
      </c>
      <c r="X98" s="8">
        <v>0.20235748388245201</v>
      </c>
      <c r="Y98" s="8">
        <v>0.2029987043449348</v>
      </c>
      <c r="Z98" s="8">
        <v>0.2036399248074176</v>
      </c>
      <c r="AA98" s="8">
        <v>0.2042811452699004</v>
      </c>
      <c r="AB98" s="8">
        <v>0.2049223657323832</v>
      </c>
      <c r="AC98" s="8">
        <v>0.205563586194866</v>
      </c>
      <c r="AD98" s="8">
        <v>0.20627380134131701</v>
      </c>
      <c r="AE98" s="8">
        <v>0.20698401648776801</v>
      </c>
      <c r="AF98" s="8">
        <v>0.20769423163421899</v>
      </c>
      <c r="AG98" s="8">
        <v>0.20840444678066999</v>
      </c>
      <c r="AH98" s="8">
        <v>0.209114661927121</v>
      </c>
      <c r="AI98" s="8">
        <v>0.20985083993982401</v>
      </c>
      <c r="AJ98" s="8">
        <v>0.21058701795252699</v>
      </c>
      <c r="AK98" s="8">
        <v>0.21132319596523</v>
      </c>
      <c r="AL98" s="8">
        <v>0.21205937397793301</v>
      </c>
      <c r="AM98" s="8">
        <v>0.21279555199063599</v>
      </c>
    </row>
    <row r="99" spans="1:39" x14ac:dyDescent="0.25">
      <c r="A99" t="s">
        <v>248</v>
      </c>
      <c r="B99" t="s">
        <v>236</v>
      </c>
      <c r="C99" t="s">
        <v>309</v>
      </c>
      <c r="D99" t="s">
        <v>410</v>
      </c>
      <c r="E99" s="8">
        <v>8.1294301384178796E-3</v>
      </c>
      <c r="F99" s="8">
        <v>8.2019655460018256E-3</v>
      </c>
      <c r="G99" s="8">
        <v>8.2745009535857717E-3</v>
      </c>
      <c r="H99" s="8">
        <v>8.3470363611697178E-3</v>
      </c>
      <c r="I99" s="8">
        <v>8.4195717687536621E-3</v>
      </c>
      <c r="J99" s="8">
        <v>8.4921071763376082E-3</v>
      </c>
      <c r="K99" s="8">
        <v>8.5646425839215543E-3</v>
      </c>
      <c r="L99" s="8">
        <v>8.6371779915055003E-3</v>
      </c>
      <c r="M99" s="8">
        <v>8.717371676413772E-3</v>
      </c>
      <c r="N99" s="8">
        <v>8.7975653613220437E-3</v>
      </c>
      <c r="O99" s="8">
        <v>8.8777590462303171E-3</v>
      </c>
      <c r="P99" s="8">
        <v>8.9579527311385888E-3</v>
      </c>
      <c r="Q99" s="8">
        <v>9.0381464160468605E-3</v>
      </c>
      <c r="R99" s="8">
        <v>9.1207564164285659E-3</v>
      </c>
      <c r="S99" s="8">
        <v>9.2033664168102696E-3</v>
      </c>
      <c r="T99" s="8">
        <v>9.280183908302906E-3</v>
      </c>
      <c r="U99" s="8">
        <v>9.3570013997955424E-3</v>
      </c>
      <c r="V99" s="8">
        <v>9.433818891288177E-3</v>
      </c>
      <c r="W99" s="8">
        <v>9.5106363827808134E-3</v>
      </c>
      <c r="X99" s="8">
        <v>9.5874538742734498E-3</v>
      </c>
      <c r="Y99" s="8">
        <v>9.6512602578074803E-3</v>
      </c>
      <c r="Z99" s="8">
        <v>9.7150666413415108E-3</v>
      </c>
      <c r="AA99" s="8">
        <v>9.7788730248755396E-3</v>
      </c>
      <c r="AB99" s="8">
        <v>9.8426794084095701E-3</v>
      </c>
      <c r="AC99" s="8">
        <v>9.9064857919436006E-3</v>
      </c>
      <c r="AD99" s="8">
        <v>9.9606861858037004E-3</v>
      </c>
      <c r="AE99" s="8">
        <v>1.00148865796638E-2</v>
      </c>
      <c r="AF99" s="8">
        <v>1.00690869735239E-2</v>
      </c>
      <c r="AG99" s="8">
        <v>1.0123287367384E-2</v>
      </c>
      <c r="AH99" s="8">
        <v>1.01774877612441E-2</v>
      </c>
      <c r="AI99" s="8">
        <v>1.0227852775804741E-2</v>
      </c>
      <c r="AJ99" s="8">
        <v>1.027821779036538E-2</v>
      </c>
      <c r="AK99" s="8">
        <v>1.0328582804926019E-2</v>
      </c>
      <c r="AL99" s="8">
        <v>1.037894781948666E-2</v>
      </c>
      <c r="AM99" s="8">
        <v>1.04293128340473E-2</v>
      </c>
    </row>
    <row r="100" spans="1:39" x14ac:dyDescent="0.25">
      <c r="A100" t="s">
        <v>248</v>
      </c>
      <c r="B100" t="s">
        <v>236</v>
      </c>
      <c r="C100" t="s">
        <v>311</v>
      </c>
      <c r="D100" t="s">
        <v>411</v>
      </c>
      <c r="E100" s="8">
        <v>9.2715733324044204E-4</v>
      </c>
      <c r="F100" s="8">
        <v>9.3435533370468552E-4</v>
      </c>
      <c r="G100" s="8">
        <v>9.4155333416892889E-4</v>
      </c>
      <c r="H100" s="8">
        <v>9.4875133463317237E-4</v>
      </c>
      <c r="I100" s="8">
        <v>9.5594933509741574E-4</v>
      </c>
      <c r="J100" s="8">
        <v>9.6314733556165922E-4</v>
      </c>
      <c r="K100" s="8">
        <v>9.7034533602590259E-4</v>
      </c>
      <c r="L100" s="8">
        <v>9.7754333649014606E-4</v>
      </c>
      <c r="M100" s="8">
        <v>9.8294548521156476E-4</v>
      </c>
      <c r="N100" s="8">
        <v>9.8834763393298368E-4</v>
      </c>
      <c r="O100" s="8">
        <v>9.9374978265440238E-4</v>
      </c>
      <c r="P100" s="8">
        <v>9.9915193137582129E-4</v>
      </c>
      <c r="Q100" s="8">
        <v>1.00455408009724E-3</v>
      </c>
      <c r="R100" s="8">
        <v>1.010345050737895E-3</v>
      </c>
      <c r="S100" s="8">
        <v>1.0161360213785499E-3</v>
      </c>
      <c r="T100" s="8">
        <v>1.021309662046664E-3</v>
      </c>
      <c r="U100" s="8">
        <v>1.0264833027147781E-3</v>
      </c>
      <c r="V100" s="8">
        <v>1.0316569433828919E-3</v>
      </c>
      <c r="W100" s="8">
        <v>1.036830584051006E-3</v>
      </c>
      <c r="X100" s="8">
        <v>1.0420042247191201E-3</v>
      </c>
      <c r="Y100" s="8">
        <v>1.0454940290622759E-3</v>
      </c>
      <c r="Z100" s="8">
        <v>1.048983833405432E-3</v>
      </c>
      <c r="AA100" s="8">
        <v>1.052473637748588E-3</v>
      </c>
      <c r="AB100" s="8">
        <v>1.0559634420917439E-3</v>
      </c>
      <c r="AC100" s="8">
        <v>1.0594532464349E-3</v>
      </c>
      <c r="AD100" s="8">
        <v>1.062705256027146E-3</v>
      </c>
      <c r="AE100" s="8">
        <v>1.0659572656193919E-3</v>
      </c>
      <c r="AF100" s="8">
        <v>1.069209275211638E-3</v>
      </c>
      <c r="AG100" s="8">
        <v>1.0724612848038841E-3</v>
      </c>
      <c r="AH100" s="8">
        <v>1.0757132943961299E-3</v>
      </c>
      <c r="AI100" s="8">
        <v>1.078928912584786E-3</v>
      </c>
      <c r="AJ100" s="8">
        <v>1.0821445307734421E-3</v>
      </c>
      <c r="AK100" s="8">
        <v>1.0853601489620979E-3</v>
      </c>
      <c r="AL100" s="8">
        <v>1.088575767150754E-3</v>
      </c>
      <c r="AM100" s="8">
        <v>1.0917913853394101E-3</v>
      </c>
    </row>
    <row r="101" spans="1:39" x14ac:dyDescent="0.25">
      <c r="A101" t="s">
        <v>248</v>
      </c>
      <c r="B101" t="s">
        <v>236</v>
      </c>
      <c r="C101" t="s">
        <v>313</v>
      </c>
      <c r="D101" t="s">
        <v>412</v>
      </c>
      <c r="E101" s="8">
        <v>6.2794656296811897E-3</v>
      </c>
      <c r="F101" s="8">
        <v>6.4852252733582898E-3</v>
      </c>
      <c r="G101" s="8">
        <v>6.69098491703539E-3</v>
      </c>
      <c r="H101" s="8">
        <v>6.8967445607124901E-3</v>
      </c>
      <c r="I101" s="8">
        <v>7.1025042043895894E-3</v>
      </c>
      <c r="J101" s="8">
        <v>7.3082638480666904E-3</v>
      </c>
      <c r="K101" s="8">
        <v>7.5140234917437897E-3</v>
      </c>
      <c r="L101" s="8">
        <v>7.7197831354208898E-3</v>
      </c>
      <c r="M101" s="8">
        <v>7.9500550638230676E-3</v>
      </c>
      <c r="N101" s="8">
        <v>8.1803269922252463E-3</v>
      </c>
      <c r="O101" s="8">
        <v>8.410598920627425E-3</v>
      </c>
      <c r="P101" s="8">
        <v>8.640870849029602E-3</v>
      </c>
      <c r="Q101" s="8">
        <v>8.8711427774317807E-3</v>
      </c>
      <c r="R101" s="8">
        <v>9.089709291936296E-3</v>
      </c>
      <c r="S101" s="8">
        <v>9.3082758064408095E-3</v>
      </c>
      <c r="T101" s="8">
        <v>9.4866002792774479E-3</v>
      </c>
      <c r="U101" s="8">
        <v>9.6649247521140864E-3</v>
      </c>
      <c r="V101" s="8">
        <v>9.8432492249507231E-3</v>
      </c>
      <c r="W101" s="8">
        <v>1.002157369778736E-2</v>
      </c>
      <c r="X101" s="8">
        <v>1.0199898170624E-2</v>
      </c>
      <c r="Y101" s="8">
        <v>1.031560773308344E-2</v>
      </c>
      <c r="Z101" s="8">
        <v>1.0431317295542881E-2</v>
      </c>
      <c r="AA101" s="8">
        <v>1.054702685800232E-2</v>
      </c>
      <c r="AB101" s="8">
        <v>1.066273642046176E-2</v>
      </c>
      <c r="AC101" s="8">
        <v>1.07784459829212E-2</v>
      </c>
      <c r="AD101" s="8">
        <v>1.084214706965702E-2</v>
      </c>
      <c r="AE101" s="8">
        <v>1.0905848156392841E-2</v>
      </c>
      <c r="AF101" s="8">
        <v>1.096954924312866E-2</v>
      </c>
      <c r="AG101" s="8">
        <v>1.1033250329864479E-2</v>
      </c>
      <c r="AH101" s="8">
        <v>1.10969514166003E-2</v>
      </c>
      <c r="AI101" s="8">
        <v>1.11467857823121E-2</v>
      </c>
      <c r="AJ101" s="8">
        <v>1.11966201480239E-2</v>
      </c>
      <c r="AK101" s="8">
        <v>1.1246454513735699E-2</v>
      </c>
      <c r="AL101" s="8">
        <v>1.1296288879447501E-2</v>
      </c>
      <c r="AM101" s="8">
        <v>1.13461232451593E-2</v>
      </c>
    </row>
    <row r="102" spans="1:39" x14ac:dyDescent="0.25">
      <c r="A102" t="s">
        <v>248</v>
      </c>
      <c r="B102" t="s">
        <v>236</v>
      </c>
      <c r="C102" t="s">
        <v>315</v>
      </c>
      <c r="D102" t="s">
        <v>413</v>
      </c>
      <c r="E102" s="8">
        <v>8.5517093374253399</v>
      </c>
      <c r="F102" s="8">
        <v>8.5708824391913012</v>
      </c>
      <c r="G102" s="8">
        <v>8.5900555409572625</v>
      </c>
      <c r="H102" s="8">
        <v>8.6092286427232239</v>
      </c>
      <c r="I102" s="8">
        <v>8.6284017444891852</v>
      </c>
      <c r="J102" s="8">
        <v>8.6475748462551465</v>
      </c>
      <c r="K102" s="8">
        <v>8.6667479480211078</v>
      </c>
      <c r="L102" s="8">
        <v>8.6859210497870691</v>
      </c>
      <c r="M102" s="8">
        <v>8.7052461110077299</v>
      </c>
      <c r="N102" s="8">
        <v>8.724571172228389</v>
      </c>
      <c r="O102" s="8">
        <v>8.7438962334490498</v>
      </c>
      <c r="P102" s="8">
        <v>8.7632212946697088</v>
      </c>
      <c r="Q102" s="8">
        <v>8.7825463558903696</v>
      </c>
      <c r="R102" s="8">
        <v>8.8112225074726602</v>
      </c>
      <c r="S102" s="8">
        <v>8.8398986590549509</v>
      </c>
      <c r="T102" s="8">
        <v>8.8905329341486539</v>
      </c>
      <c r="U102" s="8">
        <v>8.9411672092423586</v>
      </c>
      <c r="V102" s="8">
        <v>8.9918014843360616</v>
      </c>
      <c r="W102" s="8">
        <v>9.0424357594297664</v>
      </c>
      <c r="X102" s="8">
        <v>9.0930700345234694</v>
      </c>
      <c r="Y102" s="8">
        <v>9.1633143772019956</v>
      </c>
      <c r="Z102" s="8">
        <v>9.2335587198805218</v>
      </c>
      <c r="AA102" s="8">
        <v>9.303803062559048</v>
      </c>
      <c r="AB102" s="8">
        <v>9.3740474052375742</v>
      </c>
      <c r="AC102" s="8">
        <v>9.4442917479161004</v>
      </c>
      <c r="AD102" s="8">
        <v>9.5151419836683324</v>
      </c>
      <c r="AE102" s="8">
        <v>9.5859922194205645</v>
      </c>
      <c r="AF102" s="8">
        <v>9.6568424551727965</v>
      </c>
      <c r="AG102" s="8">
        <v>9.7276926909250285</v>
      </c>
      <c r="AH102" s="8">
        <v>9.7985429266772606</v>
      </c>
      <c r="AI102" s="8">
        <v>9.8592763672878281</v>
      </c>
      <c r="AJ102" s="8">
        <v>9.9200098078983956</v>
      </c>
      <c r="AK102" s="8">
        <v>9.9807432485089649</v>
      </c>
      <c r="AL102" s="8">
        <v>10.041476689119531</v>
      </c>
      <c r="AM102" s="8">
        <v>10.1022101297301</v>
      </c>
    </row>
    <row r="103" spans="1:39" x14ac:dyDescent="0.25">
      <c r="A103" t="s">
        <v>248</v>
      </c>
      <c r="B103" t="s">
        <v>236</v>
      </c>
      <c r="C103" t="s">
        <v>317</v>
      </c>
      <c r="D103" t="s">
        <v>414</v>
      </c>
      <c r="E103" s="8">
        <v>1.4364326361011599</v>
      </c>
      <c r="F103" s="8">
        <v>1.441272031050078</v>
      </c>
      <c r="G103" s="8">
        <v>1.4461114259989969</v>
      </c>
      <c r="H103" s="8">
        <v>1.4509508209479161</v>
      </c>
      <c r="I103" s="8">
        <v>1.4557902158968341</v>
      </c>
      <c r="J103" s="8">
        <v>1.460629610845753</v>
      </c>
      <c r="K103" s="8">
        <v>1.465469005794672</v>
      </c>
      <c r="L103" s="8">
        <v>1.47030840074359</v>
      </c>
      <c r="M103" s="8">
        <v>1.4745278474138681</v>
      </c>
      <c r="N103" s="8">
        <v>1.478747294084146</v>
      </c>
      <c r="O103" s="8">
        <v>1.482966740754424</v>
      </c>
      <c r="P103" s="8">
        <v>1.4871861874247021</v>
      </c>
      <c r="Q103" s="8">
        <v>1.4914056340949799</v>
      </c>
      <c r="R103" s="8">
        <v>1.49687171065168</v>
      </c>
      <c r="S103" s="8">
        <v>1.5023377872083801</v>
      </c>
      <c r="T103" s="8">
        <v>1.5105550999289401</v>
      </c>
      <c r="U103" s="8">
        <v>1.5187724126494999</v>
      </c>
      <c r="V103" s="8">
        <v>1.5269897253700599</v>
      </c>
      <c r="W103" s="8">
        <v>1.53520703809062</v>
      </c>
      <c r="X103" s="8">
        <v>1.54342435081118</v>
      </c>
      <c r="Y103" s="8">
        <v>1.5540334719996161</v>
      </c>
      <c r="Z103" s="8">
        <v>1.5646425931880521</v>
      </c>
      <c r="AA103" s="8">
        <v>1.5752517143764879</v>
      </c>
      <c r="AB103" s="8">
        <v>1.585860835564924</v>
      </c>
      <c r="AC103" s="8">
        <v>1.59646995675336</v>
      </c>
      <c r="AD103" s="8">
        <v>1.6082423350322279</v>
      </c>
      <c r="AE103" s="8">
        <v>1.620014713311096</v>
      </c>
      <c r="AF103" s="8">
        <v>1.6317870915899639</v>
      </c>
      <c r="AG103" s="8">
        <v>1.6435594698688321</v>
      </c>
      <c r="AH103" s="8">
        <v>1.6553318481477</v>
      </c>
      <c r="AI103" s="8">
        <v>1.6657170174659881</v>
      </c>
      <c r="AJ103" s="8">
        <v>1.676102186784276</v>
      </c>
      <c r="AK103" s="8">
        <v>1.686487356102564</v>
      </c>
      <c r="AL103" s="8">
        <v>1.6968725254208521</v>
      </c>
      <c r="AM103" s="8">
        <v>1.70725769473914</v>
      </c>
    </row>
    <row r="104" spans="1:39" x14ac:dyDescent="0.25">
      <c r="A104" t="s">
        <v>248</v>
      </c>
      <c r="B104" t="s">
        <v>236</v>
      </c>
      <c r="C104" t="s">
        <v>319</v>
      </c>
      <c r="D104" t="s">
        <v>415</v>
      </c>
      <c r="E104" s="8">
        <v>7.0851003254236299E-4</v>
      </c>
      <c r="F104" s="8">
        <v>7.2143637013251469E-4</v>
      </c>
      <c r="G104" s="8">
        <v>7.343627077226664E-4</v>
      </c>
      <c r="H104" s="8">
        <v>7.4728904531281811E-4</v>
      </c>
      <c r="I104" s="8">
        <v>7.6021538290296992E-4</v>
      </c>
      <c r="J104" s="8">
        <v>7.7314172049312163E-4</v>
      </c>
      <c r="K104" s="8">
        <v>7.8606805808327334E-4</v>
      </c>
      <c r="L104" s="8">
        <v>7.9899439567342504E-4</v>
      </c>
      <c r="M104" s="8">
        <v>8.1455322578154025E-4</v>
      </c>
      <c r="N104" s="8">
        <v>8.3011205588965546E-4</v>
      </c>
      <c r="O104" s="8">
        <v>8.4567088599777056E-4</v>
      </c>
      <c r="P104" s="8">
        <v>8.6122971610588578E-4</v>
      </c>
      <c r="Q104" s="8">
        <v>8.7678854621400099E-4</v>
      </c>
      <c r="R104" s="8">
        <v>8.9336449618918849E-4</v>
      </c>
      <c r="S104" s="8">
        <v>9.0994044616437599E-4</v>
      </c>
      <c r="T104" s="8">
        <v>9.2794798255043504E-4</v>
      </c>
      <c r="U104" s="8">
        <v>9.4595551893649399E-4</v>
      </c>
      <c r="V104" s="8">
        <v>9.6396305532255304E-4</v>
      </c>
      <c r="W104" s="8">
        <v>9.8197059170861199E-4</v>
      </c>
      <c r="X104" s="8">
        <v>9.9997812809467105E-4</v>
      </c>
      <c r="Y104" s="8">
        <v>1.0154676433230131E-3</v>
      </c>
      <c r="Z104" s="8">
        <v>1.0309571585513551E-3</v>
      </c>
      <c r="AA104" s="8">
        <v>1.046446673779696E-3</v>
      </c>
      <c r="AB104" s="8">
        <v>1.061936189008038E-3</v>
      </c>
      <c r="AC104" s="8">
        <v>1.0774257042363801E-3</v>
      </c>
      <c r="AD104" s="8">
        <v>1.0855722523537799E-3</v>
      </c>
      <c r="AE104" s="8">
        <v>1.09371880047118E-3</v>
      </c>
      <c r="AF104" s="8">
        <v>1.1018653485885799E-3</v>
      </c>
      <c r="AG104" s="8">
        <v>1.11001189670598E-3</v>
      </c>
      <c r="AH104" s="8">
        <v>1.1181584448233799E-3</v>
      </c>
      <c r="AI104" s="8">
        <v>1.121950345312946E-3</v>
      </c>
      <c r="AJ104" s="8">
        <v>1.1257422458025119E-3</v>
      </c>
      <c r="AK104" s="8">
        <v>1.129534146292078E-3</v>
      </c>
      <c r="AL104" s="8">
        <v>1.1333260467816439E-3</v>
      </c>
      <c r="AM104" s="8">
        <v>1.13711794727121E-3</v>
      </c>
    </row>
    <row r="105" spans="1:39" x14ac:dyDescent="0.25">
      <c r="A105" t="s">
        <v>248</v>
      </c>
      <c r="B105" t="s">
        <v>236</v>
      </c>
      <c r="C105" t="s">
        <v>321</v>
      </c>
      <c r="D105" t="s">
        <v>416</v>
      </c>
      <c r="E105" s="8">
        <v>1.2726855967011999E-3</v>
      </c>
      <c r="F105" s="8">
        <v>1.313777612271944E-3</v>
      </c>
      <c r="G105" s="8">
        <v>1.3548696278426889E-3</v>
      </c>
      <c r="H105" s="8">
        <v>1.395961643413433E-3</v>
      </c>
      <c r="I105" s="8">
        <v>1.4370536589841771E-3</v>
      </c>
      <c r="J105" s="8">
        <v>1.478145674554921E-3</v>
      </c>
      <c r="K105" s="8">
        <v>1.5192376901256659E-3</v>
      </c>
      <c r="L105" s="8">
        <v>1.56032970569641E-3</v>
      </c>
      <c r="M105" s="8">
        <v>1.6080483957755E-3</v>
      </c>
      <c r="N105" s="8">
        <v>1.65576708585459E-3</v>
      </c>
      <c r="O105" s="8">
        <v>1.70348577593368E-3</v>
      </c>
      <c r="P105" s="8">
        <v>1.75120446601277E-3</v>
      </c>
      <c r="Q105" s="8">
        <v>1.7989231560918599E-3</v>
      </c>
      <c r="R105" s="8">
        <v>1.84494775864274E-3</v>
      </c>
      <c r="S105" s="8">
        <v>1.89097236119362E-3</v>
      </c>
      <c r="T105" s="8">
        <v>1.9308425297713339E-3</v>
      </c>
      <c r="U105" s="8">
        <v>1.9707126983490482E-3</v>
      </c>
      <c r="V105" s="8">
        <v>2.0105828669267621E-3</v>
      </c>
      <c r="W105" s="8">
        <v>2.0504530355044759E-3</v>
      </c>
      <c r="X105" s="8">
        <v>2.0903232040821898E-3</v>
      </c>
      <c r="Y105" s="8">
        <v>2.1171248452520361E-3</v>
      </c>
      <c r="Z105" s="8">
        <v>2.1439264864218819E-3</v>
      </c>
      <c r="AA105" s="8">
        <v>2.1707281275917278E-3</v>
      </c>
      <c r="AB105" s="8">
        <v>2.1975297687615741E-3</v>
      </c>
      <c r="AC105" s="8">
        <v>2.2243314099314199E-3</v>
      </c>
      <c r="AD105" s="8">
        <v>2.2391232714683521E-3</v>
      </c>
      <c r="AE105" s="8">
        <v>2.2539151330052839E-3</v>
      </c>
      <c r="AF105" s="8">
        <v>2.2687069945422161E-3</v>
      </c>
      <c r="AG105" s="8">
        <v>2.2834988560791478E-3</v>
      </c>
      <c r="AH105" s="8">
        <v>2.29829071761608E-3</v>
      </c>
      <c r="AI105" s="8">
        <v>2.3086103212836221E-3</v>
      </c>
      <c r="AJ105" s="8">
        <v>2.3189299249511638E-3</v>
      </c>
      <c r="AK105" s="8">
        <v>2.3292495286187059E-3</v>
      </c>
      <c r="AL105" s="8">
        <v>2.339569132286248E-3</v>
      </c>
      <c r="AM105" s="8">
        <v>2.3498887359537902E-3</v>
      </c>
    </row>
    <row r="106" spans="1:39" x14ac:dyDescent="0.25">
      <c r="A106" t="s">
        <v>248</v>
      </c>
      <c r="B106" t="s">
        <v>236</v>
      </c>
      <c r="C106" t="s">
        <v>323</v>
      </c>
      <c r="D106" t="s">
        <v>417</v>
      </c>
      <c r="E106" s="8">
        <v>4.5066512849151301E-3</v>
      </c>
      <c r="F106" s="8">
        <v>4.6408002071655994E-3</v>
      </c>
      <c r="G106" s="8">
        <v>4.774949129416067E-3</v>
      </c>
      <c r="H106" s="8">
        <v>4.9090980516665354E-3</v>
      </c>
      <c r="I106" s="8">
        <v>5.0432469739170047E-3</v>
      </c>
      <c r="J106" s="8">
        <v>5.1773958961674731E-3</v>
      </c>
      <c r="K106" s="8">
        <v>5.3115448184179424E-3</v>
      </c>
      <c r="L106" s="8">
        <v>5.44569374066841E-3</v>
      </c>
      <c r="M106" s="8">
        <v>5.6277128401843084E-3</v>
      </c>
      <c r="N106" s="8">
        <v>5.8097319397002059E-3</v>
      </c>
      <c r="O106" s="8">
        <v>5.9917510392161043E-3</v>
      </c>
      <c r="P106" s="8">
        <v>6.1737701387320019E-3</v>
      </c>
      <c r="Q106" s="8">
        <v>6.3557892382479003E-3</v>
      </c>
      <c r="R106" s="8">
        <v>6.549964457632825E-3</v>
      </c>
      <c r="S106" s="8">
        <v>6.7441396770177497E-3</v>
      </c>
      <c r="T106" s="8">
        <v>6.9404883601862557E-3</v>
      </c>
      <c r="U106" s="8">
        <v>7.1368370433547617E-3</v>
      </c>
      <c r="V106" s="8">
        <v>7.3331857265232676E-3</v>
      </c>
      <c r="W106" s="8">
        <v>7.5295344096917736E-3</v>
      </c>
      <c r="X106" s="8">
        <v>7.7258830928602796E-3</v>
      </c>
      <c r="Y106" s="8">
        <v>7.869004940604888E-3</v>
      </c>
      <c r="Z106" s="8">
        <v>8.0121267883494964E-3</v>
      </c>
      <c r="AA106" s="8">
        <v>8.1552486360941031E-3</v>
      </c>
      <c r="AB106" s="8">
        <v>8.2983704838387115E-3</v>
      </c>
      <c r="AC106" s="8">
        <v>8.4414923315833199E-3</v>
      </c>
      <c r="AD106" s="8">
        <v>8.5144595662756759E-3</v>
      </c>
      <c r="AE106" s="8">
        <v>8.5874268009680319E-3</v>
      </c>
      <c r="AF106" s="8">
        <v>8.6603940356603879E-3</v>
      </c>
      <c r="AG106" s="8">
        <v>8.7333612703527439E-3</v>
      </c>
      <c r="AH106" s="8">
        <v>8.8063285050450999E-3</v>
      </c>
      <c r="AI106" s="8">
        <v>8.8313768795037495E-3</v>
      </c>
      <c r="AJ106" s="8">
        <v>8.8564252539623991E-3</v>
      </c>
      <c r="AK106" s="8">
        <v>8.8814736284210504E-3</v>
      </c>
      <c r="AL106" s="8">
        <v>8.9065220028797E-3</v>
      </c>
      <c r="AM106" s="8">
        <v>8.9315703773383496E-3</v>
      </c>
    </row>
    <row r="107" spans="1:39" x14ac:dyDescent="0.25">
      <c r="A107" t="s">
        <v>248</v>
      </c>
      <c r="B107" t="s">
        <v>236</v>
      </c>
      <c r="C107" t="s">
        <v>325</v>
      </c>
      <c r="D107" t="s">
        <v>418</v>
      </c>
      <c r="E107" s="8">
        <v>6.1422076251685105E-4</v>
      </c>
      <c r="F107" s="8">
        <v>6.3396588940382262E-4</v>
      </c>
      <c r="G107" s="8">
        <v>6.537110162907942E-4</v>
      </c>
      <c r="H107" s="8">
        <v>6.7345614317776577E-4</v>
      </c>
      <c r="I107" s="8">
        <v>6.9320127006473724E-4</v>
      </c>
      <c r="J107" s="8">
        <v>7.1294639695170881E-4</v>
      </c>
      <c r="K107" s="8">
        <v>7.3269152383868038E-4</v>
      </c>
      <c r="L107" s="8">
        <v>7.5243665072565196E-4</v>
      </c>
      <c r="M107" s="8">
        <v>7.7240502742308419E-4</v>
      </c>
      <c r="N107" s="8">
        <v>7.9237340412051643E-4</v>
      </c>
      <c r="O107" s="8">
        <v>8.1234178081794855E-4</v>
      </c>
      <c r="P107" s="8">
        <v>8.3231015751538079E-4</v>
      </c>
      <c r="Q107" s="8">
        <v>8.5227853421281302E-4</v>
      </c>
      <c r="R107" s="8">
        <v>8.6916416076644547E-4</v>
      </c>
      <c r="S107" s="8">
        <v>8.8604978732007803E-4</v>
      </c>
      <c r="T107" s="8">
        <v>8.9725930740036002E-4</v>
      </c>
      <c r="U107" s="8">
        <v>9.0846882748064201E-4</v>
      </c>
      <c r="V107" s="8">
        <v>9.19678347560924E-4</v>
      </c>
      <c r="W107" s="8">
        <v>9.3088786764120599E-4</v>
      </c>
      <c r="X107" s="8">
        <v>9.4209738772148797E-4</v>
      </c>
      <c r="Y107" s="8">
        <v>9.4758988914381195E-4</v>
      </c>
      <c r="Z107" s="8">
        <v>9.5308239056613603E-4</v>
      </c>
      <c r="AA107" s="8">
        <v>9.5857489198846E-4</v>
      </c>
      <c r="AB107" s="8">
        <v>9.6406739341078408E-4</v>
      </c>
      <c r="AC107" s="8">
        <v>9.6955989483310805E-4</v>
      </c>
      <c r="AD107" s="8">
        <v>9.7289384407424101E-4</v>
      </c>
      <c r="AE107" s="8">
        <v>9.7622779331537398E-4</v>
      </c>
      <c r="AF107" s="8">
        <v>9.7956174255650705E-4</v>
      </c>
      <c r="AG107" s="8">
        <v>9.8289569179763991E-4</v>
      </c>
      <c r="AH107" s="8">
        <v>9.8622964103877299E-4</v>
      </c>
      <c r="AI107" s="8">
        <v>9.9113495763099237E-4</v>
      </c>
      <c r="AJ107" s="8">
        <v>9.9604027422321175E-4</v>
      </c>
      <c r="AK107" s="8">
        <v>1.0009455908154309E-3</v>
      </c>
      <c r="AL107" s="8">
        <v>1.0058509074076509E-3</v>
      </c>
      <c r="AM107" s="8">
        <v>1.0107562239998699E-3</v>
      </c>
    </row>
    <row r="108" spans="1:39" x14ac:dyDescent="0.25">
      <c r="A108" t="s">
        <v>248</v>
      </c>
      <c r="B108" t="s">
        <v>236</v>
      </c>
      <c r="C108" t="s">
        <v>327</v>
      </c>
      <c r="D108" t="s">
        <v>419</v>
      </c>
      <c r="E108" s="8">
        <v>5.4858612371259604E-4</v>
      </c>
      <c r="F108" s="8">
        <v>5.6702358757560779E-4</v>
      </c>
      <c r="G108" s="8">
        <v>5.8546105143861943E-4</v>
      </c>
      <c r="H108" s="8">
        <v>6.0389851530163118E-4</v>
      </c>
      <c r="I108" s="8">
        <v>6.2233597916464282E-4</v>
      </c>
      <c r="J108" s="8">
        <v>6.4077344302765457E-4</v>
      </c>
      <c r="K108" s="8">
        <v>6.5921090689066621E-4</v>
      </c>
      <c r="L108" s="8">
        <v>6.7764837075367796E-4</v>
      </c>
      <c r="M108" s="8">
        <v>6.9591274172394195E-4</v>
      </c>
      <c r="N108" s="8">
        <v>7.1417711269420594E-4</v>
      </c>
      <c r="O108" s="8">
        <v>7.3244148366447004E-4</v>
      </c>
      <c r="P108" s="8">
        <v>7.5070585463473402E-4</v>
      </c>
      <c r="Q108" s="8">
        <v>7.6897022560499801E-4</v>
      </c>
      <c r="R108" s="8">
        <v>7.8421250720732893E-4</v>
      </c>
      <c r="S108" s="8">
        <v>7.9945478880965996E-4</v>
      </c>
      <c r="T108" s="8">
        <v>8.0896465155507759E-4</v>
      </c>
      <c r="U108" s="8">
        <v>8.1847451430049523E-4</v>
      </c>
      <c r="V108" s="8">
        <v>8.2798437704591275E-4</v>
      </c>
      <c r="W108" s="8">
        <v>8.3749423979133039E-4</v>
      </c>
      <c r="X108" s="8">
        <v>8.4700410253674802E-4</v>
      </c>
      <c r="Y108" s="8">
        <v>8.5147431891902342E-4</v>
      </c>
      <c r="Z108" s="8">
        <v>8.5594453530129881E-4</v>
      </c>
      <c r="AA108" s="8">
        <v>8.6041475168357421E-4</v>
      </c>
      <c r="AB108" s="8">
        <v>8.648849680658496E-4</v>
      </c>
      <c r="AC108" s="8">
        <v>8.69355184448125E-4</v>
      </c>
      <c r="AD108" s="8">
        <v>8.7190707920225565E-4</v>
      </c>
      <c r="AE108" s="8">
        <v>8.7445897395638619E-4</v>
      </c>
      <c r="AF108" s="8">
        <v>8.7701086871051683E-4</v>
      </c>
      <c r="AG108" s="8">
        <v>8.7956276346464737E-4</v>
      </c>
      <c r="AH108" s="8">
        <v>8.8211465821877802E-4</v>
      </c>
      <c r="AI108" s="8">
        <v>8.8663146755601965E-4</v>
      </c>
      <c r="AJ108" s="8">
        <v>8.9114827689326117E-4</v>
      </c>
      <c r="AK108" s="8">
        <v>8.956650862305028E-4</v>
      </c>
      <c r="AL108" s="8">
        <v>9.0018189556774432E-4</v>
      </c>
      <c r="AM108" s="8">
        <v>9.0469870490498595E-4</v>
      </c>
    </row>
    <row r="109" spans="1:39" x14ac:dyDescent="0.25">
      <c r="A109" t="s">
        <v>248</v>
      </c>
      <c r="B109" t="s">
        <v>236</v>
      </c>
      <c r="C109" t="s">
        <v>329</v>
      </c>
      <c r="D109" t="s">
        <v>420</v>
      </c>
      <c r="E109" s="8">
        <v>1.4626823171520799E-4</v>
      </c>
      <c r="F109" s="8">
        <v>1.4865904585130329E-4</v>
      </c>
      <c r="G109" s="8">
        <v>1.5104985998739859E-4</v>
      </c>
      <c r="H109" s="8">
        <v>1.5344067412349389E-4</v>
      </c>
      <c r="I109" s="8">
        <v>1.5583148825958911E-4</v>
      </c>
      <c r="J109" s="8">
        <v>1.5822230239568441E-4</v>
      </c>
      <c r="K109" s="8">
        <v>1.6061311653177971E-4</v>
      </c>
      <c r="L109" s="8">
        <v>1.6300393066787501E-4</v>
      </c>
      <c r="M109" s="8">
        <v>1.654401700389126E-4</v>
      </c>
      <c r="N109" s="8">
        <v>1.6787640940995021E-4</v>
      </c>
      <c r="O109" s="8">
        <v>1.703126487809878E-4</v>
      </c>
      <c r="P109" s="8">
        <v>1.7274888815202539E-4</v>
      </c>
      <c r="Q109" s="8">
        <v>1.75185127523063E-4</v>
      </c>
      <c r="R109" s="8">
        <v>1.774810105276865E-4</v>
      </c>
      <c r="S109" s="8">
        <v>1.7977689353231E-4</v>
      </c>
      <c r="T109" s="8">
        <v>1.8158812125634581E-4</v>
      </c>
      <c r="U109" s="8">
        <v>1.8339934898038159E-4</v>
      </c>
      <c r="V109" s="8">
        <v>1.852105767044174E-4</v>
      </c>
      <c r="W109" s="8">
        <v>1.8702180442845321E-4</v>
      </c>
      <c r="X109" s="8">
        <v>1.8883303215248899E-4</v>
      </c>
      <c r="Y109" s="8">
        <v>1.9007002119114099E-4</v>
      </c>
      <c r="Z109" s="8">
        <v>1.91307010229793E-4</v>
      </c>
      <c r="AA109" s="8">
        <v>1.92543999268445E-4</v>
      </c>
      <c r="AB109" s="8">
        <v>1.93780988307097E-4</v>
      </c>
      <c r="AC109" s="8">
        <v>1.95017977345749E-4</v>
      </c>
      <c r="AD109" s="8">
        <v>1.9600209015788181E-4</v>
      </c>
      <c r="AE109" s="8">
        <v>1.9698620297001459E-4</v>
      </c>
      <c r="AF109" s="8">
        <v>1.979703157821474E-4</v>
      </c>
      <c r="AG109" s="8">
        <v>1.989544285942802E-4</v>
      </c>
      <c r="AH109" s="8">
        <v>1.9993854140641301E-4</v>
      </c>
      <c r="AI109" s="8">
        <v>2.0103200578004021E-4</v>
      </c>
      <c r="AJ109" s="8">
        <v>2.021254701536674E-4</v>
      </c>
      <c r="AK109" s="8">
        <v>2.032189345272946E-4</v>
      </c>
      <c r="AL109" s="8">
        <v>2.0431239890092179E-4</v>
      </c>
      <c r="AM109" s="8">
        <v>2.0540586327454899E-4</v>
      </c>
    </row>
    <row r="110" spans="1:39" x14ac:dyDescent="0.25">
      <c r="A110" t="s">
        <v>248</v>
      </c>
      <c r="B110" t="s">
        <v>236</v>
      </c>
      <c r="C110" t="s">
        <v>331</v>
      </c>
      <c r="D110" t="s">
        <v>421</v>
      </c>
      <c r="E110" s="8">
        <v>3.0647186374696401E-3</v>
      </c>
      <c r="F110" s="8">
        <v>3.1200322901906372E-3</v>
      </c>
      <c r="G110" s="8">
        <v>3.175345942911635E-3</v>
      </c>
      <c r="H110" s="8">
        <v>3.2306595956326321E-3</v>
      </c>
      <c r="I110" s="8">
        <v>3.2859732483536291E-3</v>
      </c>
      <c r="J110" s="8">
        <v>3.3412869010746261E-3</v>
      </c>
      <c r="K110" s="8">
        <v>3.3966005537956231E-3</v>
      </c>
      <c r="L110" s="8">
        <v>3.4519142065166201E-3</v>
      </c>
      <c r="M110" s="8">
        <v>3.5156495313752238E-3</v>
      </c>
      <c r="N110" s="8">
        <v>3.5793848562338279E-3</v>
      </c>
      <c r="O110" s="8">
        <v>3.643120181092432E-3</v>
      </c>
      <c r="P110" s="8">
        <v>3.7068555059510361E-3</v>
      </c>
      <c r="Q110" s="8">
        <v>3.7705908308096401E-3</v>
      </c>
      <c r="R110" s="8">
        <v>3.8333716665088749E-3</v>
      </c>
      <c r="S110" s="8">
        <v>3.8961525022081101E-3</v>
      </c>
      <c r="T110" s="8">
        <v>3.9576291427528701E-3</v>
      </c>
      <c r="U110" s="8">
        <v>4.0191057832976301E-3</v>
      </c>
      <c r="V110" s="8">
        <v>4.0805824238423901E-3</v>
      </c>
      <c r="W110" s="8">
        <v>4.1420590643871501E-3</v>
      </c>
      <c r="X110" s="8">
        <v>4.2035357049319102E-3</v>
      </c>
      <c r="Y110" s="8">
        <v>4.2531817139812517E-3</v>
      </c>
      <c r="Z110" s="8">
        <v>4.3028277230305941E-3</v>
      </c>
      <c r="AA110" s="8">
        <v>4.3524737320799357E-3</v>
      </c>
      <c r="AB110" s="8">
        <v>4.4021197411292781E-3</v>
      </c>
      <c r="AC110" s="8">
        <v>4.4517657501786196E-3</v>
      </c>
      <c r="AD110" s="8">
        <v>4.4869084076857024E-3</v>
      </c>
      <c r="AE110" s="8">
        <v>4.5220510651927826E-3</v>
      </c>
      <c r="AF110" s="8">
        <v>4.5571937226998663E-3</v>
      </c>
      <c r="AG110" s="8">
        <v>4.5923363802069482E-3</v>
      </c>
      <c r="AH110" s="8">
        <v>4.6274790377140301E-3</v>
      </c>
      <c r="AI110" s="8">
        <v>4.6538792470997101E-3</v>
      </c>
      <c r="AJ110" s="8">
        <v>4.6802794564853901E-3</v>
      </c>
      <c r="AK110" s="8">
        <v>4.7066796658710702E-3</v>
      </c>
      <c r="AL110" s="8">
        <v>4.7330798752567502E-3</v>
      </c>
      <c r="AM110" s="8">
        <v>4.7594800846424302E-3</v>
      </c>
    </row>
    <row r="111" spans="1:39" x14ac:dyDescent="0.25">
      <c r="A111" t="s">
        <v>248</v>
      </c>
      <c r="B111" t="s">
        <v>236</v>
      </c>
      <c r="C111" t="s">
        <v>333</v>
      </c>
      <c r="D111" t="s">
        <v>422</v>
      </c>
      <c r="E111" s="8">
        <v>0</v>
      </c>
      <c r="F111" s="8">
        <v>0</v>
      </c>
      <c r="G111" s="8">
        <v>0</v>
      </c>
      <c r="H111" s="8">
        <v>0</v>
      </c>
      <c r="I111" s="8">
        <v>0</v>
      </c>
      <c r="J111" s="8">
        <v>0</v>
      </c>
      <c r="K111" s="8">
        <v>0</v>
      </c>
      <c r="L111" s="8">
        <v>0</v>
      </c>
      <c r="M111" s="8">
        <v>0</v>
      </c>
      <c r="N111" s="8">
        <v>0</v>
      </c>
      <c r="O111" s="8">
        <v>0</v>
      </c>
      <c r="P111" s="8">
        <v>0</v>
      </c>
      <c r="Q111" s="8">
        <v>0</v>
      </c>
      <c r="R111" s="8">
        <v>0</v>
      </c>
      <c r="S111" s="8">
        <v>0</v>
      </c>
      <c r="T111" s="8">
        <v>0</v>
      </c>
      <c r="U111" s="8">
        <v>0</v>
      </c>
      <c r="V111" s="8">
        <v>0</v>
      </c>
      <c r="W111" s="8">
        <v>0</v>
      </c>
      <c r="X111" s="8">
        <v>0</v>
      </c>
      <c r="Y111" s="8">
        <v>0</v>
      </c>
      <c r="Z111" s="8">
        <v>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8">
        <v>0</v>
      </c>
      <c r="AH111" s="8">
        <v>0</v>
      </c>
      <c r="AI111" s="8">
        <v>0</v>
      </c>
      <c r="AJ111" s="8">
        <v>0</v>
      </c>
      <c r="AK111" s="8">
        <v>0</v>
      </c>
      <c r="AL111" s="8">
        <v>0</v>
      </c>
      <c r="AM111" s="8">
        <v>0</v>
      </c>
    </row>
    <row r="112" spans="1:39" x14ac:dyDescent="0.25">
      <c r="A112" t="s">
        <v>248</v>
      </c>
      <c r="B112" t="s">
        <v>244</v>
      </c>
      <c r="C112" t="s">
        <v>53</v>
      </c>
      <c r="D112" t="s">
        <v>423</v>
      </c>
      <c r="E112" s="8">
        <v>5.3975131310489604E-3</v>
      </c>
      <c r="F112" s="8">
        <v>5.4307421414471202E-3</v>
      </c>
      <c r="G112" s="8">
        <v>5.46397115184528E-3</v>
      </c>
      <c r="H112" s="8">
        <v>5.4972001622434399E-3</v>
      </c>
      <c r="I112" s="8">
        <v>5.5304291726416006E-3</v>
      </c>
      <c r="J112" s="8">
        <v>5.5636581830397604E-3</v>
      </c>
      <c r="K112" s="8">
        <v>5.5968871934379202E-3</v>
      </c>
      <c r="L112" s="8">
        <v>5.6301162038360801E-3</v>
      </c>
      <c r="M112" s="8">
        <v>5.7032329662362116E-3</v>
      </c>
      <c r="N112" s="8">
        <v>5.776349728636344E-3</v>
      </c>
      <c r="O112" s="8">
        <v>5.8494664910364756E-3</v>
      </c>
      <c r="P112" s="8">
        <v>5.922583253436608E-3</v>
      </c>
      <c r="Q112" s="8">
        <v>5.9957000158367404E-3</v>
      </c>
      <c r="R112" s="8">
        <v>6.1365522270321396E-3</v>
      </c>
      <c r="S112" s="8">
        <v>6.2774044382275396E-3</v>
      </c>
      <c r="T112" s="8">
        <v>6.3722174303674694E-3</v>
      </c>
      <c r="U112" s="8">
        <v>6.4670304225074001E-3</v>
      </c>
      <c r="V112" s="8">
        <v>6.5618434146473299E-3</v>
      </c>
      <c r="W112" s="8">
        <v>6.6566564067872614E-3</v>
      </c>
      <c r="X112" s="8">
        <v>6.7514693989271903E-3</v>
      </c>
      <c r="Y112" s="8">
        <v>6.8274544551185064E-3</v>
      </c>
      <c r="Z112" s="8">
        <v>6.9034395113098234E-3</v>
      </c>
      <c r="AA112" s="8">
        <v>6.9794245675011378E-3</v>
      </c>
      <c r="AB112" s="8">
        <v>7.0554096236924539E-3</v>
      </c>
      <c r="AC112" s="8">
        <v>7.13139467988377E-3</v>
      </c>
      <c r="AD112" s="8">
        <v>7.1749591320872117E-3</v>
      </c>
      <c r="AE112" s="8">
        <v>7.2185235842906542E-3</v>
      </c>
      <c r="AF112" s="8">
        <v>7.2620880364940958E-3</v>
      </c>
      <c r="AG112" s="8">
        <v>7.3056524886975383E-3</v>
      </c>
      <c r="AH112" s="8">
        <v>7.34921694090098E-3</v>
      </c>
      <c r="AI112" s="8">
        <v>7.3620530180371043E-3</v>
      </c>
      <c r="AJ112" s="8">
        <v>7.3748890951732277E-3</v>
      </c>
      <c r="AK112" s="8">
        <v>7.3877251723093521E-3</v>
      </c>
      <c r="AL112" s="8">
        <v>7.4005612494454764E-3</v>
      </c>
      <c r="AM112" s="8">
        <v>7.4133973265815998E-3</v>
      </c>
    </row>
    <row r="113" spans="1:39" x14ac:dyDescent="0.25">
      <c r="A113" t="s">
        <v>248</v>
      </c>
      <c r="B113" t="s">
        <v>244</v>
      </c>
      <c r="C113" t="s">
        <v>293</v>
      </c>
      <c r="D113" t="s">
        <v>424</v>
      </c>
      <c r="E113" s="8">
        <v>2.3603459293313601E-5</v>
      </c>
      <c r="F113" s="8">
        <v>2.3358886872646491E-5</v>
      </c>
      <c r="G113" s="8">
        <v>2.3114314451979371E-5</v>
      </c>
      <c r="H113" s="8">
        <v>2.2869742031312261E-5</v>
      </c>
      <c r="I113" s="8">
        <v>2.262516961064514E-5</v>
      </c>
      <c r="J113" s="8">
        <v>2.238059718997803E-5</v>
      </c>
      <c r="K113" s="8">
        <v>2.213602476931091E-5</v>
      </c>
      <c r="L113" s="8">
        <v>2.18914523486438E-5</v>
      </c>
      <c r="M113" s="8">
        <v>2.1708060512268759E-5</v>
      </c>
      <c r="N113" s="8">
        <v>2.1524668675893721E-5</v>
      </c>
      <c r="O113" s="8">
        <v>2.134127683951868E-5</v>
      </c>
      <c r="P113" s="8">
        <v>2.1157885003143639E-5</v>
      </c>
      <c r="Q113" s="8">
        <v>2.0974493166768602E-5</v>
      </c>
      <c r="R113" s="8">
        <v>1.3949124461216971E-5</v>
      </c>
      <c r="S113" s="8">
        <v>6.9237557556653404E-6</v>
      </c>
      <c r="T113" s="8">
        <v>6.8794611622654367E-6</v>
      </c>
      <c r="U113" s="8">
        <v>6.8351665688655322E-6</v>
      </c>
      <c r="V113" s="8">
        <v>6.7908719754656294E-6</v>
      </c>
      <c r="W113" s="8">
        <v>6.7465773820657241E-6</v>
      </c>
      <c r="X113" s="8">
        <v>6.7022827886658204E-6</v>
      </c>
      <c r="Y113" s="8">
        <v>6.6742157714600127E-6</v>
      </c>
      <c r="Z113" s="8">
        <v>6.6461487542542041E-6</v>
      </c>
      <c r="AA113" s="8">
        <v>6.6180817370483956E-6</v>
      </c>
      <c r="AB113" s="8">
        <v>6.5900147198425879E-6</v>
      </c>
      <c r="AC113" s="8">
        <v>6.5619477026367801E-6</v>
      </c>
      <c r="AD113" s="8">
        <v>6.5269657220844317E-6</v>
      </c>
      <c r="AE113" s="8">
        <v>6.4919837415320841E-6</v>
      </c>
      <c r="AF113" s="8">
        <v>6.4570017609797357E-6</v>
      </c>
      <c r="AG113" s="8">
        <v>6.4220197804273881E-6</v>
      </c>
      <c r="AH113" s="8">
        <v>6.3870377998750397E-6</v>
      </c>
      <c r="AI113" s="8">
        <v>6.3497130510350964E-6</v>
      </c>
      <c r="AJ113" s="8">
        <v>6.3123883021951513E-6</v>
      </c>
      <c r="AK113" s="8">
        <v>6.275063553355208E-6</v>
      </c>
      <c r="AL113" s="8">
        <v>6.2377388045152639E-6</v>
      </c>
      <c r="AM113" s="8">
        <v>6.2004140556753197E-6</v>
      </c>
    </row>
    <row r="114" spans="1:39" x14ac:dyDescent="0.25">
      <c r="A114" t="s">
        <v>248</v>
      </c>
      <c r="B114" t="s">
        <v>244</v>
      </c>
      <c r="C114" t="s">
        <v>295</v>
      </c>
      <c r="D114" t="s">
        <v>425</v>
      </c>
      <c r="E114" s="8">
        <v>1.19083743726604</v>
      </c>
      <c r="F114" s="8">
        <v>1.1946442591632369</v>
      </c>
      <c r="G114" s="8">
        <v>1.1984510810604341</v>
      </c>
      <c r="H114" s="8">
        <v>1.202257902957631</v>
      </c>
      <c r="I114" s="8">
        <v>1.206064724854828</v>
      </c>
      <c r="J114" s="8">
        <v>1.209871546752026</v>
      </c>
      <c r="K114" s="8">
        <v>1.213678368649223</v>
      </c>
      <c r="L114" s="8">
        <v>1.2174851905464199</v>
      </c>
      <c r="M114" s="8">
        <v>1.2300388939514999</v>
      </c>
      <c r="N114" s="8">
        <v>1.2425925973565799</v>
      </c>
      <c r="O114" s="8">
        <v>1.2551463007616599</v>
      </c>
      <c r="P114" s="8">
        <v>1.2677000041667399</v>
      </c>
      <c r="Q114" s="8">
        <v>1.2802537075718201</v>
      </c>
      <c r="R114" s="8">
        <v>1.2949875645963349</v>
      </c>
      <c r="S114" s="8">
        <v>1.3097214216208499</v>
      </c>
      <c r="T114" s="8">
        <v>1.320475124068788</v>
      </c>
      <c r="U114" s="8">
        <v>1.331228826516726</v>
      </c>
      <c r="V114" s="8">
        <v>1.3419825289646641</v>
      </c>
      <c r="W114" s="8">
        <v>1.3527362314126019</v>
      </c>
      <c r="X114" s="8">
        <v>1.36348993386054</v>
      </c>
      <c r="Y114" s="8">
        <v>1.3681630063886341</v>
      </c>
      <c r="Z114" s="8">
        <v>1.372836078916728</v>
      </c>
      <c r="AA114" s="8">
        <v>1.3775091514448221</v>
      </c>
      <c r="AB114" s="8">
        <v>1.382182223972916</v>
      </c>
      <c r="AC114" s="8">
        <v>1.3868552965010099</v>
      </c>
      <c r="AD114" s="8">
        <v>1.392391668956696</v>
      </c>
      <c r="AE114" s="8">
        <v>1.397928041412382</v>
      </c>
      <c r="AF114" s="8">
        <v>1.4034644138680681</v>
      </c>
      <c r="AG114" s="8">
        <v>1.4090007863237539</v>
      </c>
      <c r="AH114" s="8">
        <v>1.41453715877944</v>
      </c>
      <c r="AI114" s="8">
        <v>1.4205372357641319</v>
      </c>
      <c r="AJ114" s="8">
        <v>1.4265373127488239</v>
      </c>
      <c r="AK114" s="8">
        <v>1.4325373897335161</v>
      </c>
      <c r="AL114" s="8">
        <v>1.438537466718208</v>
      </c>
      <c r="AM114" s="8">
        <v>1.4445375437029</v>
      </c>
    </row>
    <row r="115" spans="1:39" x14ac:dyDescent="0.25">
      <c r="A115" t="s">
        <v>248</v>
      </c>
      <c r="B115" t="s">
        <v>244</v>
      </c>
      <c r="C115" t="s">
        <v>297</v>
      </c>
      <c r="D115" t="s">
        <v>426</v>
      </c>
      <c r="E115" s="8">
        <v>0</v>
      </c>
      <c r="F115" s="8">
        <v>0</v>
      </c>
      <c r="G115" s="8">
        <v>0</v>
      </c>
      <c r="H115" s="8">
        <v>0</v>
      </c>
      <c r="I115" s="8">
        <v>0</v>
      </c>
      <c r="J115" s="8">
        <v>0</v>
      </c>
      <c r="K115" s="8">
        <v>0</v>
      </c>
      <c r="L115" s="8">
        <v>0</v>
      </c>
      <c r="M115" s="8">
        <v>0</v>
      </c>
      <c r="N115" s="8">
        <v>0</v>
      </c>
      <c r="O115" s="8">
        <v>0</v>
      </c>
      <c r="P115" s="8">
        <v>0</v>
      </c>
      <c r="Q115" s="8">
        <v>0</v>
      </c>
      <c r="R115" s="8">
        <v>0</v>
      </c>
      <c r="S115" s="8">
        <v>0</v>
      </c>
      <c r="T115" s="8">
        <v>0</v>
      </c>
      <c r="U115" s="8">
        <v>0</v>
      </c>
      <c r="V115" s="8">
        <v>0</v>
      </c>
      <c r="W115" s="8">
        <v>0</v>
      </c>
      <c r="X115" s="8">
        <v>0</v>
      </c>
      <c r="Y115" s="8">
        <v>0</v>
      </c>
      <c r="Z115" s="8">
        <v>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8">
        <v>0</v>
      </c>
      <c r="AH115" s="8">
        <v>0</v>
      </c>
      <c r="AI115" s="8">
        <v>0</v>
      </c>
      <c r="AJ115" s="8">
        <v>0</v>
      </c>
      <c r="AK115" s="8">
        <v>0</v>
      </c>
      <c r="AL115" s="8">
        <v>0</v>
      </c>
      <c r="AM115" s="8">
        <v>0</v>
      </c>
    </row>
    <row r="116" spans="1:39" x14ac:dyDescent="0.25">
      <c r="A116" t="s">
        <v>248</v>
      </c>
      <c r="B116" t="s">
        <v>244</v>
      </c>
      <c r="C116" t="s">
        <v>299</v>
      </c>
      <c r="D116" t="s">
        <v>427</v>
      </c>
      <c r="E116" s="8">
        <v>0</v>
      </c>
      <c r="F116" s="8">
        <v>0</v>
      </c>
      <c r="G116" s="8">
        <v>0</v>
      </c>
      <c r="H116" s="8">
        <v>0</v>
      </c>
      <c r="I116" s="8">
        <v>0</v>
      </c>
      <c r="J116" s="8">
        <v>0</v>
      </c>
      <c r="K116" s="8">
        <v>0</v>
      </c>
      <c r="L116" s="8">
        <v>0</v>
      </c>
      <c r="M116" s="8">
        <v>0</v>
      </c>
      <c r="N116" s="8">
        <v>0</v>
      </c>
      <c r="O116" s="8">
        <v>0</v>
      </c>
      <c r="P116" s="8">
        <v>0</v>
      </c>
      <c r="Q116" s="8">
        <v>0</v>
      </c>
      <c r="R116" s="8">
        <v>0</v>
      </c>
      <c r="S116" s="8">
        <v>0</v>
      </c>
      <c r="T116" s="8">
        <v>0</v>
      </c>
      <c r="U116" s="8">
        <v>0</v>
      </c>
      <c r="V116" s="8">
        <v>0</v>
      </c>
      <c r="W116" s="8">
        <v>0</v>
      </c>
      <c r="X116" s="8">
        <v>0</v>
      </c>
      <c r="Y116" s="8">
        <v>0</v>
      </c>
      <c r="Z116" s="8">
        <v>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8">
        <v>0</v>
      </c>
      <c r="AH116" s="8">
        <v>0</v>
      </c>
      <c r="AI116" s="8">
        <v>0</v>
      </c>
      <c r="AJ116" s="8">
        <v>0</v>
      </c>
      <c r="AK116" s="8">
        <v>0</v>
      </c>
      <c r="AL116" s="8">
        <v>0</v>
      </c>
      <c r="AM116" s="8">
        <v>0</v>
      </c>
    </row>
    <row r="117" spans="1:39" x14ac:dyDescent="0.25">
      <c r="A117" t="s">
        <v>248</v>
      </c>
      <c r="B117" t="s">
        <v>244</v>
      </c>
      <c r="C117" t="s">
        <v>301</v>
      </c>
      <c r="D117" t="s">
        <v>428</v>
      </c>
      <c r="E117" s="8">
        <v>0</v>
      </c>
      <c r="F117" s="8">
        <v>0</v>
      </c>
      <c r="G117" s="8">
        <v>0</v>
      </c>
      <c r="H117" s="8">
        <v>0</v>
      </c>
      <c r="I117" s="8">
        <v>0</v>
      </c>
      <c r="J117" s="8">
        <v>0</v>
      </c>
      <c r="K117" s="8">
        <v>0</v>
      </c>
      <c r="L117" s="8">
        <v>0</v>
      </c>
      <c r="M117" s="8">
        <v>0</v>
      </c>
      <c r="N117" s="8">
        <v>0</v>
      </c>
      <c r="O117" s="8">
        <v>0</v>
      </c>
      <c r="P117" s="8">
        <v>0</v>
      </c>
      <c r="Q117" s="8">
        <v>0</v>
      </c>
      <c r="R117" s="8">
        <v>0</v>
      </c>
      <c r="S117" s="8">
        <v>0</v>
      </c>
      <c r="T117" s="8">
        <v>0</v>
      </c>
      <c r="U117" s="8">
        <v>0</v>
      </c>
      <c r="V117" s="8">
        <v>0</v>
      </c>
      <c r="W117" s="8">
        <v>0</v>
      </c>
      <c r="X117" s="8">
        <v>0</v>
      </c>
      <c r="Y117" s="8">
        <v>0</v>
      </c>
      <c r="Z117" s="8">
        <v>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8">
        <v>0</v>
      </c>
      <c r="AH117" s="8">
        <v>0</v>
      </c>
      <c r="AI117" s="8">
        <v>0</v>
      </c>
      <c r="AJ117" s="8">
        <v>0</v>
      </c>
      <c r="AK117" s="8">
        <v>0</v>
      </c>
      <c r="AL117" s="8">
        <v>0</v>
      </c>
      <c r="AM117" s="8">
        <v>0</v>
      </c>
    </row>
    <row r="118" spans="1:39" x14ac:dyDescent="0.25">
      <c r="A118" t="s">
        <v>248</v>
      </c>
      <c r="B118" t="s">
        <v>244</v>
      </c>
      <c r="C118" t="s">
        <v>303</v>
      </c>
      <c r="D118" t="s">
        <v>429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8">
        <v>0</v>
      </c>
      <c r="O118" s="8">
        <v>0</v>
      </c>
      <c r="P118" s="8">
        <v>0</v>
      </c>
      <c r="Q118" s="8">
        <v>0</v>
      </c>
      <c r="R118" s="8">
        <v>0</v>
      </c>
      <c r="S118" s="8">
        <v>0</v>
      </c>
      <c r="T118" s="8">
        <v>0</v>
      </c>
      <c r="U118" s="8">
        <v>0</v>
      </c>
      <c r="V118" s="8">
        <v>0</v>
      </c>
      <c r="W118" s="8">
        <v>0</v>
      </c>
      <c r="X118" s="8">
        <v>0</v>
      </c>
      <c r="Y118" s="8">
        <v>0</v>
      </c>
      <c r="Z118" s="8">
        <v>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8">
        <v>0</v>
      </c>
      <c r="AH118" s="8">
        <v>0</v>
      </c>
      <c r="AI118" s="8">
        <v>0</v>
      </c>
      <c r="AJ118" s="8">
        <v>0</v>
      </c>
      <c r="AK118" s="8">
        <v>0</v>
      </c>
      <c r="AL118" s="8">
        <v>0</v>
      </c>
      <c r="AM118" s="8">
        <v>0</v>
      </c>
    </row>
    <row r="119" spans="1:39" x14ac:dyDescent="0.25">
      <c r="A119" t="s">
        <v>248</v>
      </c>
      <c r="B119" t="s">
        <v>244</v>
      </c>
      <c r="C119" t="s">
        <v>305</v>
      </c>
      <c r="D119" t="s">
        <v>430</v>
      </c>
      <c r="E119" s="8">
        <v>6.1543002474902199E-3</v>
      </c>
      <c r="F119" s="8">
        <v>6.2191076897802414E-3</v>
      </c>
      <c r="G119" s="8">
        <v>6.2839151320702629E-3</v>
      </c>
      <c r="H119" s="8">
        <v>6.3487225743602844E-3</v>
      </c>
      <c r="I119" s="8">
        <v>6.4135300166503059E-3</v>
      </c>
      <c r="J119" s="8">
        <v>6.4783374589403274E-3</v>
      </c>
      <c r="K119" s="8">
        <v>6.5431449012303489E-3</v>
      </c>
      <c r="L119" s="8">
        <v>6.6079523435203704E-3</v>
      </c>
      <c r="M119" s="8">
        <v>6.6524302324414602E-3</v>
      </c>
      <c r="N119" s="8">
        <v>6.6969081213625499E-3</v>
      </c>
      <c r="O119" s="8">
        <v>6.7413860102836414E-3</v>
      </c>
      <c r="P119" s="8">
        <v>6.7858638992047303E-3</v>
      </c>
      <c r="Q119" s="8">
        <v>6.83034178812582E-3</v>
      </c>
      <c r="R119" s="8">
        <v>6.8706185013015604E-3</v>
      </c>
      <c r="S119" s="8">
        <v>6.9108952144772999E-3</v>
      </c>
      <c r="T119" s="8">
        <v>6.944288300188806E-3</v>
      </c>
      <c r="U119" s="8">
        <v>6.977681385900312E-3</v>
      </c>
      <c r="V119" s="8">
        <v>7.0110744716118181E-3</v>
      </c>
      <c r="W119" s="8">
        <v>7.0444675573233242E-3</v>
      </c>
      <c r="X119" s="8">
        <v>7.0778606430348303E-3</v>
      </c>
      <c r="Y119" s="8">
        <v>7.10860471491231E-3</v>
      </c>
      <c r="Z119" s="8">
        <v>7.1393487867897898E-3</v>
      </c>
      <c r="AA119" s="8">
        <v>7.1700928586672704E-3</v>
      </c>
      <c r="AB119" s="8">
        <v>7.2008369305447502E-3</v>
      </c>
      <c r="AC119" s="8">
        <v>7.2315810024222299E-3</v>
      </c>
      <c r="AD119" s="8">
        <v>7.2609313383648457E-3</v>
      </c>
      <c r="AE119" s="8">
        <v>7.2902816743074606E-3</v>
      </c>
      <c r="AF119" s="8">
        <v>7.3196320102500781E-3</v>
      </c>
      <c r="AG119" s="8">
        <v>7.3489823461926939E-3</v>
      </c>
      <c r="AH119" s="8">
        <v>7.3783326821353096E-3</v>
      </c>
      <c r="AI119" s="8">
        <v>7.4053851411655424E-3</v>
      </c>
      <c r="AJ119" s="8">
        <v>7.4324376001957734E-3</v>
      </c>
      <c r="AK119" s="8">
        <v>7.4594900592260061E-3</v>
      </c>
      <c r="AL119" s="8">
        <v>7.4865425182562379E-3</v>
      </c>
      <c r="AM119" s="8">
        <v>7.5135949772864698E-3</v>
      </c>
    </row>
    <row r="120" spans="1:39" x14ac:dyDescent="0.25">
      <c r="A120" t="s">
        <v>248</v>
      </c>
      <c r="B120" t="s">
        <v>244</v>
      </c>
      <c r="C120" t="s">
        <v>307</v>
      </c>
      <c r="D120" t="s">
        <v>431</v>
      </c>
      <c r="E120" s="8">
        <v>4.0395755552265003E-2</v>
      </c>
      <c r="F120" s="8">
        <v>4.0624258049263548E-2</v>
      </c>
      <c r="G120" s="8">
        <v>4.0852760546262093E-2</v>
      </c>
      <c r="H120" s="8">
        <v>4.1081263043260631E-2</v>
      </c>
      <c r="I120" s="8">
        <v>4.1309765540259169E-2</v>
      </c>
      <c r="J120" s="8">
        <v>4.1538268037257707E-2</v>
      </c>
      <c r="K120" s="8">
        <v>4.1766770534256252E-2</v>
      </c>
      <c r="L120" s="8">
        <v>4.1995273031254797E-2</v>
      </c>
      <c r="M120" s="8">
        <v>4.2386437819626498E-2</v>
      </c>
      <c r="N120" s="8">
        <v>4.2777602607998198E-2</v>
      </c>
      <c r="O120" s="8">
        <v>4.3168767396369899E-2</v>
      </c>
      <c r="P120" s="8">
        <v>4.35599321847416E-2</v>
      </c>
      <c r="Q120" s="8">
        <v>4.39510969731133E-2</v>
      </c>
      <c r="R120" s="8">
        <v>4.43798222181657E-2</v>
      </c>
      <c r="S120" s="8">
        <v>4.48085474632181E-2</v>
      </c>
      <c r="T120" s="8">
        <v>4.5134526984270437E-2</v>
      </c>
      <c r="U120" s="8">
        <v>4.5460506505322781E-2</v>
      </c>
      <c r="V120" s="8">
        <v>4.5786486026375119E-2</v>
      </c>
      <c r="W120" s="8">
        <v>4.6112465547427463E-2</v>
      </c>
      <c r="X120" s="8">
        <v>4.64384450684798E-2</v>
      </c>
      <c r="Y120" s="8">
        <v>4.6609288612711561E-2</v>
      </c>
      <c r="Z120" s="8">
        <v>4.6780132156943321E-2</v>
      </c>
      <c r="AA120" s="8">
        <v>4.6950975701175082E-2</v>
      </c>
      <c r="AB120" s="8">
        <v>4.7121819245406843E-2</v>
      </c>
      <c r="AC120" s="8">
        <v>4.7292662789638597E-2</v>
      </c>
      <c r="AD120" s="8">
        <v>4.7483916629178467E-2</v>
      </c>
      <c r="AE120" s="8">
        <v>4.7675170468718359E-2</v>
      </c>
      <c r="AF120" s="8">
        <v>4.7866424308258243E-2</v>
      </c>
      <c r="AG120" s="8">
        <v>4.805767814779812E-2</v>
      </c>
      <c r="AH120" s="8">
        <v>4.8248931987337998E-2</v>
      </c>
      <c r="AI120" s="8">
        <v>4.8446267735150178E-2</v>
      </c>
      <c r="AJ120" s="8">
        <v>4.8643603482962358E-2</v>
      </c>
      <c r="AK120" s="8">
        <v>4.8840939230774538E-2</v>
      </c>
      <c r="AL120" s="8">
        <v>4.9038274978586718E-2</v>
      </c>
      <c r="AM120" s="8">
        <v>4.9235610726398898E-2</v>
      </c>
    </row>
    <row r="121" spans="1:39" x14ac:dyDescent="0.25">
      <c r="A121" t="s">
        <v>248</v>
      </c>
      <c r="B121" t="s">
        <v>244</v>
      </c>
      <c r="C121" t="s">
        <v>309</v>
      </c>
      <c r="D121" t="s">
        <v>432</v>
      </c>
      <c r="E121" s="8">
        <v>1.8632349182977101E-3</v>
      </c>
      <c r="F121" s="8">
        <v>1.8806380609357441E-3</v>
      </c>
      <c r="G121" s="8">
        <v>1.898041203573779E-3</v>
      </c>
      <c r="H121" s="8">
        <v>1.915444346211813E-3</v>
      </c>
      <c r="I121" s="8">
        <v>1.932847488849847E-3</v>
      </c>
      <c r="J121" s="8">
        <v>1.950250631487881E-3</v>
      </c>
      <c r="K121" s="8">
        <v>1.9676537741259159E-3</v>
      </c>
      <c r="L121" s="8">
        <v>1.9850569167639501E-3</v>
      </c>
      <c r="M121" s="8">
        <v>2.0043582206222699E-3</v>
      </c>
      <c r="N121" s="8">
        <v>2.0236595244805902E-3</v>
      </c>
      <c r="O121" s="8">
        <v>2.04296082833891E-3</v>
      </c>
      <c r="P121" s="8">
        <v>2.0622621321972302E-3</v>
      </c>
      <c r="Q121" s="8">
        <v>2.08156343605555E-3</v>
      </c>
      <c r="R121" s="8">
        <v>2.1015505627024751E-3</v>
      </c>
      <c r="S121" s="8">
        <v>2.1215376893494002E-3</v>
      </c>
      <c r="T121" s="8">
        <v>2.1403284454208338E-3</v>
      </c>
      <c r="U121" s="8">
        <v>2.1591192014922679E-3</v>
      </c>
      <c r="V121" s="8">
        <v>2.177909957563702E-3</v>
      </c>
      <c r="W121" s="8">
        <v>2.196700713635136E-3</v>
      </c>
      <c r="X121" s="8">
        <v>2.2154914697065701E-3</v>
      </c>
      <c r="Y121" s="8">
        <v>2.2314309872457339E-3</v>
      </c>
      <c r="Z121" s="8">
        <v>2.2473705047848982E-3</v>
      </c>
      <c r="AA121" s="8">
        <v>2.263310022324062E-3</v>
      </c>
      <c r="AB121" s="8">
        <v>2.2792495398632259E-3</v>
      </c>
      <c r="AC121" s="8">
        <v>2.2951890574023901E-3</v>
      </c>
      <c r="AD121" s="8">
        <v>2.3089361282477082E-3</v>
      </c>
      <c r="AE121" s="8">
        <v>2.3226831990930258E-3</v>
      </c>
      <c r="AF121" s="8">
        <v>2.3364302699383438E-3</v>
      </c>
      <c r="AG121" s="8">
        <v>2.3501773407836619E-3</v>
      </c>
      <c r="AH121" s="8">
        <v>2.3639244116289799E-3</v>
      </c>
      <c r="AI121" s="8">
        <v>2.3767773249845602E-3</v>
      </c>
      <c r="AJ121" s="8">
        <v>2.38963023834014E-3</v>
      </c>
      <c r="AK121" s="8">
        <v>2.4024831516957202E-3</v>
      </c>
      <c r="AL121" s="8">
        <v>2.4153360650513E-3</v>
      </c>
      <c r="AM121" s="8">
        <v>2.4281889784068802E-3</v>
      </c>
    </row>
    <row r="122" spans="1:39" x14ac:dyDescent="0.25">
      <c r="A122" t="s">
        <v>248</v>
      </c>
      <c r="B122" t="s">
        <v>244</v>
      </c>
      <c r="C122" t="s">
        <v>311</v>
      </c>
      <c r="D122" t="s">
        <v>433</v>
      </c>
      <c r="E122" s="8">
        <v>2.11206971872254E-4</v>
      </c>
      <c r="F122" s="8">
        <v>2.129173588780417E-4</v>
      </c>
      <c r="G122" s="8">
        <v>2.1462774588382939E-4</v>
      </c>
      <c r="H122" s="8">
        <v>2.1633813288961709E-4</v>
      </c>
      <c r="I122" s="8">
        <v>2.1804851989540489E-4</v>
      </c>
      <c r="J122" s="8">
        <v>2.1975890690119259E-4</v>
      </c>
      <c r="K122" s="8">
        <v>2.2146929390698031E-4</v>
      </c>
      <c r="L122" s="8">
        <v>2.2317968091276801E-4</v>
      </c>
      <c r="M122" s="8">
        <v>2.2450191432839061E-4</v>
      </c>
      <c r="N122" s="8">
        <v>2.2582414774401319E-4</v>
      </c>
      <c r="O122" s="8">
        <v>2.2714638115963579E-4</v>
      </c>
      <c r="P122" s="8">
        <v>2.284686145752584E-4</v>
      </c>
      <c r="Q122" s="8">
        <v>2.29790847990881E-4</v>
      </c>
      <c r="R122" s="8">
        <v>2.3123167987759201E-4</v>
      </c>
      <c r="S122" s="8">
        <v>2.3267251176430301E-4</v>
      </c>
      <c r="T122" s="8">
        <v>2.3405861309594539E-4</v>
      </c>
      <c r="U122" s="8">
        <v>2.354447144275878E-4</v>
      </c>
      <c r="V122" s="8">
        <v>2.3683081575923021E-4</v>
      </c>
      <c r="W122" s="8">
        <v>2.3821691709087259E-4</v>
      </c>
      <c r="X122" s="8">
        <v>2.3960301842251499E-4</v>
      </c>
      <c r="Y122" s="8">
        <v>2.4059721402103099E-4</v>
      </c>
      <c r="Z122" s="8">
        <v>2.4159140961954701E-4</v>
      </c>
      <c r="AA122" s="8">
        <v>2.42585605218063E-4</v>
      </c>
      <c r="AB122" s="8">
        <v>2.4357980081657899E-4</v>
      </c>
      <c r="AC122" s="8">
        <v>2.4457399641509501E-4</v>
      </c>
      <c r="AD122" s="8">
        <v>2.4551237071533021E-4</v>
      </c>
      <c r="AE122" s="8">
        <v>2.4645074501556541E-4</v>
      </c>
      <c r="AF122" s="8">
        <v>2.4738911931580061E-4</v>
      </c>
      <c r="AG122" s="8">
        <v>2.4832749361603581E-4</v>
      </c>
      <c r="AH122" s="8">
        <v>2.49265867916271E-4</v>
      </c>
      <c r="AI122" s="8">
        <v>2.5016607566310237E-4</v>
      </c>
      <c r="AJ122" s="8">
        <v>2.510662834099338E-4</v>
      </c>
      <c r="AK122" s="8">
        <v>2.5196649115676522E-4</v>
      </c>
      <c r="AL122" s="8">
        <v>2.5286669890359659E-4</v>
      </c>
      <c r="AM122" s="8">
        <v>2.5376690665042802E-4</v>
      </c>
    </row>
    <row r="123" spans="1:39" x14ac:dyDescent="0.25">
      <c r="A123" t="s">
        <v>248</v>
      </c>
      <c r="B123" t="s">
        <v>244</v>
      </c>
      <c r="C123" t="s">
        <v>313</v>
      </c>
      <c r="D123" t="s">
        <v>434</v>
      </c>
      <c r="E123" s="8">
        <v>1.48403623225618E-3</v>
      </c>
      <c r="F123" s="8">
        <v>1.533960757193181E-3</v>
      </c>
      <c r="G123" s="8">
        <v>1.5838852821301831E-3</v>
      </c>
      <c r="H123" s="8">
        <v>1.6338098070671841E-3</v>
      </c>
      <c r="I123" s="8">
        <v>1.683734332004186E-3</v>
      </c>
      <c r="J123" s="8">
        <v>1.733658856941187E-3</v>
      </c>
      <c r="K123" s="8">
        <v>1.7835833818781891E-3</v>
      </c>
      <c r="L123" s="8">
        <v>1.8335079068151901E-3</v>
      </c>
      <c r="M123" s="8">
        <v>1.88915401420968E-3</v>
      </c>
      <c r="N123" s="8">
        <v>1.9448001216041701E-3</v>
      </c>
      <c r="O123" s="8">
        <v>2.0004462289986598E-3</v>
      </c>
      <c r="P123" s="8">
        <v>2.0560923363931501E-3</v>
      </c>
      <c r="Q123" s="8">
        <v>2.11173844378764E-3</v>
      </c>
      <c r="R123" s="8">
        <v>2.1645482692587148E-3</v>
      </c>
      <c r="S123" s="8">
        <v>2.21735809472979E-3</v>
      </c>
      <c r="T123" s="8">
        <v>2.2603656528697642E-3</v>
      </c>
      <c r="U123" s="8">
        <v>2.3033732110097379E-3</v>
      </c>
      <c r="V123" s="8">
        <v>2.3463807691497121E-3</v>
      </c>
      <c r="W123" s="8">
        <v>2.3893883272896859E-3</v>
      </c>
      <c r="X123" s="8">
        <v>2.4323958854296601E-3</v>
      </c>
      <c r="Y123" s="8">
        <v>2.460757345293948E-3</v>
      </c>
      <c r="Z123" s="8">
        <v>2.4891188051582359E-3</v>
      </c>
      <c r="AA123" s="8">
        <v>2.5174802650225238E-3</v>
      </c>
      <c r="AB123" s="8">
        <v>2.5458417248868121E-3</v>
      </c>
      <c r="AC123" s="8">
        <v>2.5742031847511E-3</v>
      </c>
      <c r="AD123" s="8">
        <v>2.5896368162908741E-3</v>
      </c>
      <c r="AE123" s="8">
        <v>2.6050704478306481E-3</v>
      </c>
      <c r="AF123" s="8">
        <v>2.6205040793704222E-3</v>
      </c>
      <c r="AG123" s="8">
        <v>2.6359377109101958E-3</v>
      </c>
      <c r="AH123" s="8">
        <v>2.6513713424499699E-3</v>
      </c>
      <c r="AI123" s="8">
        <v>2.6632269480543198E-3</v>
      </c>
      <c r="AJ123" s="8">
        <v>2.6750825536586702E-3</v>
      </c>
      <c r="AK123" s="8">
        <v>2.6869381592630201E-3</v>
      </c>
      <c r="AL123" s="8">
        <v>2.6987937648673701E-3</v>
      </c>
      <c r="AM123" s="8">
        <v>2.71064937047172E-3</v>
      </c>
    </row>
    <row r="124" spans="1:39" x14ac:dyDescent="0.25">
      <c r="A124" t="s">
        <v>248</v>
      </c>
      <c r="B124" t="s">
        <v>244</v>
      </c>
      <c r="C124" t="s">
        <v>315</v>
      </c>
      <c r="D124" t="s">
        <v>435</v>
      </c>
      <c r="E124" s="8">
        <v>1.93753211330733</v>
      </c>
      <c r="F124" s="8">
        <v>1.942485197343226</v>
      </c>
      <c r="G124" s="8">
        <v>1.9474382813791209</v>
      </c>
      <c r="H124" s="8">
        <v>1.9523913654150169</v>
      </c>
      <c r="I124" s="8">
        <v>1.9573444494509129</v>
      </c>
      <c r="J124" s="8">
        <v>1.9622975334868089</v>
      </c>
      <c r="K124" s="8">
        <v>1.967250617522704</v>
      </c>
      <c r="L124" s="8">
        <v>1.9722037015586</v>
      </c>
      <c r="M124" s="8">
        <v>1.9771722408168699</v>
      </c>
      <c r="N124" s="8">
        <v>1.9821407800751401</v>
      </c>
      <c r="O124" s="8">
        <v>1.98710931933341</v>
      </c>
      <c r="P124" s="8">
        <v>1.9920778585916801</v>
      </c>
      <c r="Q124" s="8">
        <v>1.99704639784995</v>
      </c>
      <c r="R124" s="8">
        <v>2.0042248629124249</v>
      </c>
      <c r="S124" s="8">
        <v>2.0114033279749002</v>
      </c>
      <c r="T124" s="8">
        <v>2.0237149482355821</v>
      </c>
      <c r="U124" s="8">
        <v>2.036026568496264</v>
      </c>
      <c r="V124" s="8">
        <v>2.0483381887569458</v>
      </c>
      <c r="W124" s="8">
        <v>2.0606498090176282</v>
      </c>
      <c r="X124" s="8">
        <v>2.0729614292783101</v>
      </c>
      <c r="Y124" s="8">
        <v>2.089916308759344</v>
      </c>
      <c r="Z124" s="8">
        <v>2.1068711882403779</v>
      </c>
      <c r="AA124" s="8">
        <v>2.1238260677214118</v>
      </c>
      <c r="AB124" s="8">
        <v>2.1407809472024462</v>
      </c>
      <c r="AC124" s="8">
        <v>2.1577358266834801</v>
      </c>
      <c r="AD124" s="8">
        <v>2.1751172512341381</v>
      </c>
      <c r="AE124" s="8">
        <v>2.1924986757847962</v>
      </c>
      <c r="AF124" s="8">
        <v>2.2098801003354538</v>
      </c>
      <c r="AG124" s="8">
        <v>2.2272615248861118</v>
      </c>
      <c r="AH124" s="8">
        <v>2.2446429494367699</v>
      </c>
      <c r="AI124" s="8">
        <v>2.2599366980817002</v>
      </c>
      <c r="AJ124" s="8">
        <v>2.27523044672663</v>
      </c>
      <c r="AK124" s="8">
        <v>2.2905241953715598</v>
      </c>
      <c r="AL124" s="8">
        <v>2.3058179440164901</v>
      </c>
      <c r="AM124" s="8">
        <v>2.3211116926614199</v>
      </c>
    </row>
    <row r="125" spans="1:39" x14ac:dyDescent="0.25">
      <c r="A125" t="s">
        <v>248</v>
      </c>
      <c r="B125" t="s">
        <v>244</v>
      </c>
      <c r="C125" t="s">
        <v>317</v>
      </c>
      <c r="D125" t="s">
        <v>436</v>
      </c>
      <c r="E125" s="8">
        <v>0.32503362446541001</v>
      </c>
      <c r="F125" s="8">
        <v>0.32623563230192199</v>
      </c>
      <c r="G125" s="8">
        <v>0.32743764013843402</v>
      </c>
      <c r="H125" s="8">
        <v>0.32863964797494599</v>
      </c>
      <c r="I125" s="8">
        <v>0.32984165581145802</v>
      </c>
      <c r="J125" s="8">
        <v>0.33104366364797</v>
      </c>
      <c r="K125" s="8">
        <v>0.33224567148448197</v>
      </c>
      <c r="L125" s="8">
        <v>0.33344767932099401</v>
      </c>
      <c r="M125" s="8">
        <v>0.33453090049406942</v>
      </c>
      <c r="N125" s="8">
        <v>0.33561412166714483</v>
      </c>
      <c r="O125" s="8">
        <v>0.33669734284022018</v>
      </c>
      <c r="P125" s="8">
        <v>0.33778056401329559</v>
      </c>
      <c r="Q125" s="8">
        <v>0.338863785186371</v>
      </c>
      <c r="R125" s="8">
        <v>0.34025145862974149</v>
      </c>
      <c r="S125" s="8">
        <v>0.34163913207311197</v>
      </c>
      <c r="T125" s="8">
        <v>0.3436694615514842</v>
      </c>
      <c r="U125" s="8">
        <v>0.34569979102985637</v>
      </c>
      <c r="V125" s="8">
        <v>0.3477301205082286</v>
      </c>
      <c r="W125" s="8">
        <v>0.34976044998660077</v>
      </c>
      <c r="X125" s="8">
        <v>0.351790779464973</v>
      </c>
      <c r="Y125" s="8">
        <v>0.35435965118636242</v>
      </c>
      <c r="Z125" s="8">
        <v>0.35692852290775179</v>
      </c>
      <c r="AA125" s="8">
        <v>0.35949739462914121</v>
      </c>
      <c r="AB125" s="8">
        <v>0.36206626635053057</v>
      </c>
      <c r="AC125" s="8">
        <v>0.36463513807192</v>
      </c>
      <c r="AD125" s="8">
        <v>0.36751508299116259</v>
      </c>
      <c r="AE125" s="8">
        <v>0.37039502791040518</v>
      </c>
      <c r="AF125" s="8">
        <v>0.37327497282964778</v>
      </c>
      <c r="AG125" s="8">
        <v>0.37615491774889043</v>
      </c>
      <c r="AH125" s="8">
        <v>0.37903486266813302</v>
      </c>
      <c r="AI125" s="8">
        <v>0.38162940819690222</v>
      </c>
      <c r="AJ125" s="8">
        <v>0.38422395372567142</v>
      </c>
      <c r="AK125" s="8">
        <v>0.38681849925444062</v>
      </c>
      <c r="AL125" s="8">
        <v>0.38941304478320982</v>
      </c>
      <c r="AM125" s="8">
        <v>0.39200759031197902</v>
      </c>
    </row>
    <row r="126" spans="1:39" x14ac:dyDescent="0.25">
      <c r="A126" t="s">
        <v>248</v>
      </c>
      <c r="B126" t="s">
        <v>244</v>
      </c>
      <c r="C126" t="s">
        <v>319</v>
      </c>
      <c r="D126" t="s">
        <v>437</v>
      </c>
      <c r="E126" s="8">
        <v>1.62566336415377E-4</v>
      </c>
      <c r="F126" s="8">
        <v>1.6567252025351259E-4</v>
      </c>
      <c r="G126" s="8">
        <v>1.6877870409164809E-4</v>
      </c>
      <c r="H126" s="8">
        <v>1.718848879297837E-4</v>
      </c>
      <c r="I126" s="8">
        <v>1.7499107176791929E-4</v>
      </c>
      <c r="J126" s="8">
        <v>1.7809725560605479E-4</v>
      </c>
      <c r="K126" s="8">
        <v>1.8120343944419041E-4</v>
      </c>
      <c r="L126" s="8">
        <v>1.8430962328232599E-4</v>
      </c>
      <c r="M126" s="8">
        <v>1.8802414339230279E-4</v>
      </c>
      <c r="N126" s="8">
        <v>1.9173866350227959E-4</v>
      </c>
      <c r="O126" s="8">
        <v>1.9545318361225639E-4</v>
      </c>
      <c r="P126" s="8">
        <v>1.991677037222332E-4</v>
      </c>
      <c r="Q126" s="8">
        <v>2.0288222383221E-4</v>
      </c>
      <c r="R126" s="8">
        <v>2.0681850341583449E-4</v>
      </c>
      <c r="S126" s="8">
        <v>2.1075478299945901E-4</v>
      </c>
      <c r="T126" s="8">
        <v>2.150148805452916E-4</v>
      </c>
      <c r="U126" s="8">
        <v>2.1927497809112419E-4</v>
      </c>
      <c r="V126" s="8">
        <v>2.2353507563695679E-4</v>
      </c>
      <c r="W126" s="8">
        <v>2.2779517318278941E-4</v>
      </c>
      <c r="X126" s="8">
        <v>2.32055270728622E-4</v>
      </c>
      <c r="Y126" s="8">
        <v>2.357303474569232E-4</v>
      </c>
      <c r="Z126" s="8">
        <v>2.394054241852244E-4</v>
      </c>
      <c r="AA126" s="8">
        <v>2.4308050091352559E-4</v>
      </c>
      <c r="AB126" s="8">
        <v>2.4675557764182682E-4</v>
      </c>
      <c r="AC126" s="8">
        <v>2.5043065437012802E-4</v>
      </c>
      <c r="AD126" s="8">
        <v>2.5239004237442657E-4</v>
      </c>
      <c r="AE126" s="8">
        <v>2.5434943037872518E-4</v>
      </c>
      <c r="AF126" s="8">
        <v>2.563088183830238E-4</v>
      </c>
      <c r="AG126" s="8">
        <v>2.5826820638732241E-4</v>
      </c>
      <c r="AH126" s="8">
        <v>2.6022759439162102E-4</v>
      </c>
      <c r="AI126" s="8">
        <v>2.6122664047804379E-4</v>
      </c>
      <c r="AJ126" s="8">
        <v>2.6222568656446662E-4</v>
      </c>
      <c r="AK126" s="8">
        <v>2.6322473265088939E-4</v>
      </c>
      <c r="AL126" s="8">
        <v>2.6422377873731222E-4</v>
      </c>
      <c r="AM126" s="8">
        <v>2.6522282482373499E-4</v>
      </c>
    </row>
    <row r="127" spans="1:39" x14ac:dyDescent="0.25">
      <c r="A127" t="s">
        <v>248</v>
      </c>
      <c r="B127" t="s">
        <v>244</v>
      </c>
      <c r="C127" t="s">
        <v>321</v>
      </c>
      <c r="D127" t="s">
        <v>438</v>
      </c>
      <c r="E127" s="8">
        <v>2.9449322702833098E-4</v>
      </c>
      <c r="F127" s="8">
        <v>3.0430319883163661E-4</v>
      </c>
      <c r="G127" s="8">
        <v>3.1411317063494208E-4</v>
      </c>
      <c r="H127" s="8">
        <v>3.2392314243824772E-4</v>
      </c>
      <c r="I127" s="8">
        <v>3.3373311424155319E-4</v>
      </c>
      <c r="J127" s="8">
        <v>3.4354308604485882E-4</v>
      </c>
      <c r="K127" s="8">
        <v>3.533530578481644E-4</v>
      </c>
      <c r="L127" s="8">
        <v>3.6316302965146998E-4</v>
      </c>
      <c r="M127" s="8">
        <v>3.745117775884814E-4</v>
      </c>
      <c r="N127" s="8">
        <v>3.8586052552549277E-4</v>
      </c>
      <c r="O127" s="8">
        <v>3.972092734625042E-4</v>
      </c>
      <c r="P127" s="8">
        <v>4.0855802139951562E-4</v>
      </c>
      <c r="Q127" s="8">
        <v>4.1990676933652699E-4</v>
      </c>
      <c r="R127" s="8">
        <v>4.3084623918800049E-4</v>
      </c>
      <c r="S127" s="8">
        <v>4.4178570903947398E-4</v>
      </c>
      <c r="T127" s="8">
        <v>4.5125645157593342E-4</v>
      </c>
      <c r="U127" s="8">
        <v>4.6072719411239279E-4</v>
      </c>
      <c r="V127" s="8">
        <v>4.7019793664885223E-4</v>
      </c>
      <c r="W127" s="8">
        <v>4.796686791853116E-4</v>
      </c>
      <c r="X127" s="8">
        <v>4.8913942172177098E-4</v>
      </c>
      <c r="Y127" s="8">
        <v>4.9560317825280277E-4</v>
      </c>
      <c r="Z127" s="8">
        <v>5.0206693478383455E-4</v>
      </c>
      <c r="AA127" s="8">
        <v>5.0853069131486645E-4</v>
      </c>
      <c r="AB127" s="8">
        <v>5.1499444784589823E-4</v>
      </c>
      <c r="AC127" s="8">
        <v>5.2145820437693002E-4</v>
      </c>
      <c r="AD127" s="8">
        <v>5.2500175411917442E-4</v>
      </c>
      <c r="AE127" s="8">
        <v>5.2854530386141883E-4</v>
      </c>
      <c r="AF127" s="8">
        <v>5.3208885360366324E-4</v>
      </c>
      <c r="AG127" s="8">
        <v>5.3563240334590764E-4</v>
      </c>
      <c r="AH127" s="8">
        <v>5.3917595308815205E-4</v>
      </c>
      <c r="AI127" s="8">
        <v>5.4162202231836608E-4</v>
      </c>
      <c r="AJ127" s="8">
        <v>5.4406809154858001E-4</v>
      </c>
      <c r="AK127" s="8">
        <v>5.4651416077879404E-4</v>
      </c>
      <c r="AL127" s="8">
        <v>5.4896023000900796E-4</v>
      </c>
      <c r="AM127" s="8">
        <v>5.51406299239222E-4</v>
      </c>
    </row>
    <row r="128" spans="1:39" x14ac:dyDescent="0.25">
      <c r="A128" t="s">
        <v>248</v>
      </c>
      <c r="B128" t="s">
        <v>244</v>
      </c>
      <c r="C128" t="s">
        <v>323</v>
      </c>
      <c r="D128" t="s">
        <v>439</v>
      </c>
      <c r="E128" s="8">
        <v>1.0576812499840599E-3</v>
      </c>
      <c r="F128" s="8">
        <v>1.09013036572409E-3</v>
      </c>
      <c r="G128" s="8">
        <v>1.1225794814641199E-3</v>
      </c>
      <c r="H128" s="8">
        <v>1.1550285972041501E-3</v>
      </c>
      <c r="I128" s="8">
        <v>1.18747771294418E-3</v>
      </c>
      <c r="J128" s="8">
        <v>1.2199268286842101E-3</v>
      </c>
      <c r="K128" s="8">
        <v>1.25237594442424E-3</v>
      </c>
      <c r="L128" s="8">
        <v>1.2848250601642699E-3</v>
      </c>
      <c r="M128" s="8">
        <v>1.32857134899825E-3</v>
      </c>
      <c r="N128" s="8">
        <v>1.37231763783223E-3</v>
      </c>
      <c r="O128" s="8">
        <v>1.4160639266662101E-3</v>
      </c>
      <c r="P128" s="8">
        <v>1.4598102155001899E-3</v>
      </c>
      <c r="Q128" s="8">
        <v>1.50355650433417E-3</v>
      </c>
      <c r="R128" s="8">
        <v>1.55015813573462E-3</v>
      </c>
      <c r="S128" s="8">
        <v>1.59675976713507E-3</v>
      </c>
      <c r="T128" s="8">
        <v>1.64374316917114E-3</v>
      </c>
      <c r="U128" s="8">
        <v>1.69072657120721E-3</v>
      </c>
      <c r="V128" s="8">
        <v>1.7377099732432801E-3</v>
      </c>
      <c r="W128" s="8">
        <v>1.7846933752793501E-3</v>
      </c>
      <c r="X128" s="8">
        <v>1.8316767773154199E-3</v>
      </c>
      <c r="Y128" s="8">
        <v>1.866192731828784E-3</v>
      </c>
      <c r="Z128" s="8">
        <v>1.9007086863421479E-3</v>
      </c>
      <c r="AA128" s="8">
        <v>1.935224640855512E-3</v>
      </c>
      <c r="AB128" s="8">
        <v>1.9697405953688759E-3</v>
      </c>
      <c r="AC128" s="8">
        <v>2.0042565498822398E-3</v>
      </c>
      <c r="AD128" s="8">
        <v>2.0217319715998298E-3</v>
      </c>
      <c r="AE128" s="8">
        <v>2.0392073933174202E-3</v>
      </c>
      <c r="AF128" s="8">
        <v>2.0566828150350102E-3</v>
      </c>
      <c r="AG128" s="8">
        <v>2.0741582367526002E-3</v>
      </c>
      <c r="AH128" s="8">
        <v>2.0916336584701901E-3</v>
      </c>
      <c r="AI128" s="8">
        <v>2.0977859168740181E-3</v>
      </c>
      <c r="AJ128" s="8">
        <v>2.1039381752778461E-3</v>
      </c>
      <c r="AK128" s="8">
        <v>2.1100904336816741E-3</v>
      </c>
      <c r="AL128" s="8">
        <v>2.1162426920855021E-3</v>
      </c>
      <c r="AM128" s="8">
        <v>2.1223949504893301E-3</v>
      </c>
    </row>
    <row r="129" spans="1:39" x14ac:dyDescent="0.25">
      <c r="A129" t="s">
        <v>248</v>
      </c>
      <c r="B129" t="s">
        <v>244</v>
      </c>
      <c r="C129" t="s">
        <v>325</v>
      </c>
      <c r="D129" t="s">
        <v>440</v>
      </c>
      <c r="E129" s="8">
        <v>1.38901838908607E-4</v>
      </c>
      <c r="F129" s="8">
        <v>1.4351158091826521E-4</v>
      </c>
      <c r="G129" s="8">
        <v>1.4812132292792331E-4</v>
      </c>
      <c r="H129" s="8">
        <v>1.5273106493758141E-4</v>
      </c>
      <c r="I129" s="8">
        <v>1.5734080694723959E-4</v>
      </c>
      <c r="J129" s="8">
        <v>1.6195054895689771E-4</v>
      </c>
      <c r="K129" s="8">
        <v>1.6656029096655581E-4</v>
      </c>
      <c r="L129" s="8">
        <v>1.7117003297621399E-4</v>
      </c>
      <c r="M129" s="8">
        <v>1.7582766832564061E-4</v>
      </c>
      <c r="N129" s="8">
        <v>1.8048530367506719E-4</v>
      </c>
      <c r="O129" s="8">
        <v>1.8514293902449381E-4</v>
      </c>
      <c r="P129" s="8">
        <v>1.8980057437392039E-4</v>
      </c>
      <c r="Q129" s="8">
        <v>1.9445820972334701E-4</v>
      </c>
      <c r="R129" s="8">
        <v>1.9839566790936651E-4</v>
      </c>
      <c r="S129" s="8">
        <v>2.0233312609538599E-4</v>
      </c>
      <c r="T129" s="8">
        <v>2.0495661364020501E-4</v>
      </c>
      <c r="U129" s="8">
        <v>2.07580101185024E-4</v>
      </c>
      <c r="V129" s="8">
        <v>2.1020358872984301E-4</v>
      </c>
      <c r="W129" s="8">
        <v>2.12827076274662E-4</v>
      </c>
      <c r="X129" s="8">
        <v>2.1545056381948099E-4</v>
      </c>
      <c r="Y129" s="8">
        <v>2.1678170783901099E-4</v>
      </c>
      <c r="Z129" s="8">
        <v>2.18112851858541E-4</v>
      </c>
      <c r="AA129" s="8">
        <v>2.19443995878071E-4</v>
      </c>
      <c r="AB129" s="8">
        <v>2.20775139897601E-4</v>
      </c>
      <c r="AC129" s="8">
        <v>2.2210628391713101E-4</v>
      </c>
      <c r="AD129" s="8">
        <v>2.2288368656427321E-4</v>
      </c>
      <c r="AE129" s="8">
        <v>2.2366108921141541E-4</v>
      </c>
      <c r="AF129" s="8">
        <v>2.2443849185855761E-4</v>
      </c>
      <c r="AG129" s="8">
        <v>2.2521589450569981E-4</v>
      </c>
      <c r="AH129" s="8">
        <v>2.2599329715284201E-4</v>
      </c>
      <c r="AI129" s="8">
        <v>2.270909663649784E-4</v>
      </c>
      <c r="AJ129" s="8">
        <v>2.281886355771148E-4</v>
      </c>
      <c r="AK129" s="8">
        <v>2.292863047892512E-4</v>
      </c>
      <c r="AL129" s="8">
        <v>2.3038397400138759E-4</v>
      </c>
      <c r="AM129" s="8">
        <v>2.3148164321352399E-4</v>
      </c>
    </row>
    <row r="130" spans="1:39" x14ac:dyDescent="0.25">
      <c r="A130" t="s">
        <v>248</v>
      </c>
      <c r="B130" t="s">
        <v>244</v>
      </c>
      <c r="C130" t="s">
        <v>327</v>
      </c>
      <c r="D130" t="s">
        <v>441</v>
      </c>
      <c r="E130" s="8">
        <v>1.26917123568289E-4</v>
      </c>
      <c r="F130" s="8">
        <v>1.3129737385774939E-4</v>
      </c>
      <c r="G130" s="8">
        <v>1.3567762414720989E-4</v>
      </c>
      <c r="H130" s="8">
        <v>1.4005787443667031E-4</v>
      </c>
      <c r="I130" s="8">
        <v>1.444381247261307E-4</v>
      </c>
      <c r="J130" s="8">
        <v>1.4881837501559109E-4</v>
      </c>
      <c r="K130" s="8">
        <v>1.5319862530505161E-4</v>
      </c>
      <c r="L130" s="8">
        <v>1.57578875594512E-4</v>
      </c>
      <c r="M130" s="8">
        <v>1.619186988586142E-4</v>
      </c>
      <c r="N130" s="8">
        <v>1.6625852212271639E-4</v>
      </c>
      <c r="O130" s="8">
        <v>1.7059834538681859E-4</v>
      </c>
      <c r="P130" s="8">
        <v>1.7493816865092081E-4</v>
      </c>
      <c r="Q130" s="8">
        <v>1.79277991915023E-4</v>
      </c>
      <c r="R130" s="8">
        <v>1.829043741243275E-4</v>
      </c>
      <c r="S130" s="8">
        <v>1.86530756333632E-4</v>
      </c>
      <c r="T130" s="8">
        <v>1.888070345435288E-4</v>
      </c>
      <c r="U130" s="8">
        <v>1.910833127534256E-4</v>
      </c>
      <c r="V130" s="8">
        <v>1.933595909633224E-4</v>
      </c>
      <c r="W130" s="8">
        <v>1.956358691732192E-4</v>
      </c>
      <c r="X130" s="8">
        <v>1.97912147383116E-4</v>
      </c>
      <c r="Y130" s="8">
        <v>1.9902838071704401E-4</v>
      </c>
      <c r="Z130" s="8">
        <v>2.0014461405097199E-4</v>
      </c>
      <c r="AA130" s="8">
        <v>2.012608473849E-4</v>
      </c>
      <c r="AB130" s="8">
        <v>2.02377080718828E-4</v>
      </c>
      <c r="AC130" s="8">
        <v>2.0349331405275601E-4</v>
      </c>
      <c r="AD130" s="8">
        <v>2.0410574561059499E-4</v>
      </c>
      <c r="AE130" s="8">
        <v>2.04718177168434E-4</v>
      </c>
      <c r="AF130" s="8">
        <v>2.0533060872627299E-4</v>
      </c>
      <c r="AG130" s="8">
        <v>2.05943040284112E-4</v>
      </c>
      <c r="AH130" s="8">
        <v>2.0655547184195101E-4</v>
      </c>
      <c r="AI130" s="8">
        <v>2.0758694797884861E-4</v>
      </c>
      <c r="AJ130" s="8">
        <v>2.086184241157462E-4</v>
      </c>
      <c r="AK130" s="8">
        <v>2.0964990025264379E-4</v>
      </c>
      <c r="AL130" s="8">
        <v>2.1068137638954141E-4</v>
      </c>
      <c r="AM130" s="8">
        <v>2.1171285252643901E-4</v>
      </c>
    </row>
    <row r="131" spans="1:39" x14ac:dyDescent="0.25">
      <c r="A131" t="s">
        <v>248</v>
      </c>
      <c r="B131" t="s">
        <v>244</v>
      </c>
      <c r="C131" t="s">
        <v>329</v>
      </c>
      <c r="D131" t="s">
        <v>442</v>
      </c>
      <c r="E131" s="8">
        <v>3.3539483157344203E-5</v>
      </c>
      <c r="F131" s="8">
        <v>3.4108785747928473E-5</v>
      </c>
      <c r="G131" s="8">
        <v>3.4678088338512743E-5</v>
      </c>
      <c r="H131" s="8">
        <v>3.5247390929097013E-5</v>
      </c>
      <c r="I131" s="8">
        <v>3.5816693519681289E-5</v>
      </c>
      <c r="J131" s="8">
        <v>3.6385996110265559E-5</v>
      </c>
      <c r="K131" s="8">
        <v>3.6955298700849829E-5</v>
      </c>
      <c r="L131" s="8">
        <v>3.7524601291434099E-5</v>
      </c>
      <c r="M131" s="8">
        <v>3.810080812597604E-5</v>
      </c>
      <c r="N131" s="8">
        <v>3.8677014960517982E-5</v>
      </c>
      <c r="O131" s="8">
        <v>3.9253221795059917E-5</v>
      </c>
      <c r="P131" s="8">
        <v>3.9829428629601858E-5</v>
      </c>
      <c r="Q131" s="8">
        <v>4.04056354641438E-5</v>
      </c>
      <c r="R131" s="8">
        <v>4.09517160664921E-5</v>
      </c>
      <c r="S131" s="8">
        <v>4.14977966688404E-5</v>
      </c>
      <c r="T131" s="8">
        <v>4.1931929269278378E-5</v>
      </c>
      <c r="U131" s="8">
        <v>4.2366061869716362E-5</v>
      </c>
      <c r="V131" s="8">
        <v>4.2800194470154339E-5</v>
      </c>
      <c r="W131" s="8">
        <v>4.3234327070592323E-5</v>
      </c>
      <c r="X131" s="8">
        <v>4.36684596710303E-5</v>
      </c>
      <c r="Y131" s="8">
        <v>4.3973065864271577E-5</v>
      </c>
      <c r="Z131" s="8">
        <v>4.4277672057512861E-5</v>
      </c>
      <c r="AA131" s="8">
        <v>4.4582278250754138E-5</v>
      </c>
      <c r="AB131" s="8">
        <v>4.4886884443995421E-5</v>
      </c>
      <c r="AC131" s="8">
        <v>4.5191490637236698E-5</v>
      </c>
      <c r="AD131" s="8">
        <v>4.5434500177895303E-5</v>
      </c>
      <c r="AE131" s="8">
        <v>4.5677509718553901E-5</v>
      </c>
      <c r="AF131" s="8">
        <v>4.5920519259212499E-5</v>
      </c>
      <c r="AG131" s="8">
        <v>4.6163528799871097E-5</v>
      </c>
      <c r="AH131" s="8">
        <v>4.6406538340529702E-5</v>
      </c>
      <c r="AI131" s="8">
        <v>4.6672093037031878E-5</v>
      </c>
      <c r="AJ131" s="8">
        <v>4.6937647733534061E-5</v>
      </c>
      <c r="AK131" s="8">
        <v>4.7203202430036243E-5</v>
      </c>
      <c r="AL131" s="8">
        <v>4.7468757126538419E-5</v>
      </c>
      <c r="AM131" s="8">
        <v>4.7734311823040602E-5</v>
      </c>
    </row>
    <row r="132" spans="1:39" x14ac:dyDescent="0.25">
      <c r="A132" t="s">
        <v>248</v>
      </c>
      <c r="B132" t="s">
        <v>244</v>
      </c>
      <c r="C132" t="s">
        <v>331</v>
      </c>
      <c r="D132" t="s">
        <v>443</v>
      </c>
      <c r="E132" s="8">
        <v>7.1232454500277497E-4</v>
      </c>
      <c r="F132" s="8">
        <v>7.2559639254332826E-4</v>
      </c>
      <c r="G132" s="8">
        <v>7.3886824008388154E-4</v>
      </c>
      <c r="H132" s="8">
        <v>7.5214008762443483E-4</v>
      </c>
      <c r="I132" s="8">
        <v>7.6541193516498811E-4</v>
      </c>
      <c r="J132" s="8">
        <v>7.786837827055414E-4</v>
      </c>
      <c r="K132" s="8">
        <v>7.9195563024609468E-4</v>
      </c>
      <c r="L132" s="8">
        <v>8.0522747778664797E-4</v>
      </c>
      <c r="M132" s="8">
        <v>8.2047671788751115E-4</v>
      </c>
      <c r="N132" s="8">
        <v>8.3572595798837434E-4</v>
      </c>
      <c r="O132" s="8">
        <v>8.5097519808923763E-4</v>
      </c>
      <c r="P132" s="8">
        <v>8.6622443819010081E-4</v>
      </c>
      <c r="Q132" s="8">
        <v>8.81473678290964E-4</v>
      </c>
      <c r="R132" s="8">
        <v>8.9646597890808842E-4</v>
      </c>
      <c r="S132" s="8">
        <v>9.1145827952521295E-4</v>
      </c>
      <c r="T132" s="8">
        <v>9.2612908458435377E-4</v>
      </c>
      <c r="U132" s="8">
        <v>9.4079988964349459E-4</v>
      </c>
      <c r="V132" s="8">
        <v>9.5547069470263541E-4</v>
      </c>
      <c r="W132" s="8">
        <v>9.7014149976177623E-4</v>
      </c>
      <c r="X132" s="8">
        <v>9.8481230482091705E-4</v>
      </c>
      <c r="Y132" s="8">
        <v>9.9679135504703964E-4</v>
      </c>
      <c r="Z132" s="8">
        <v>1.008770405273162E-3</v>
      </c>
      <c r="AA132" s="8">
        <v>1.020749455499285E-3</v>
      </c>
      <c r="AB132" s="8">
        <v>1.032728505725407E-3</v>
      </c>
      <c r="AC132" s="8">
        <v>1.04470755595153E-3</v>
      </c>
      <c r="AD132" s="8">
        <v>1.0532409450338979E-3</v>
      </c>
      <c r="AE132" s="8">
        <v>1.061774334116266E-3</v>
      </c>
      <c r="AF132" s="8">
        <v>1.070307723198634E-3</v>
      </c>
      <c r="AG132" s="8">
        <v>1.0788411122810021E-3</v>
      </c>
      <c r="AH132" s="8">
        <v>1.08737450136337E-3</v>
      </c>
      <c r="AI132" s="8">
        <v>1.093873787131364E-3</v>
      </c>
      <c r="AJ132" s="8">
        <v>1.100373072899358E-3</v>
      </c>
      <c r="AK132" s="8">
        <v>1.106872358667352E-3</v>
      </c>
      <c r="AL132" s="8">
        <v>1.113371644435346E-3</v>
      </c>
      <c r="AM132" s="8">
        <v>1.1198709302033399E-3</v>
      </c>
    </row>
    <row r="133" spans="1:39" x14ac:dyDescent="0.25">
      <c r="A133" t="s">
        <v>248</v>
      </c>
      <c r="B133" t="s">
        <v>244</v>
      </c>
      <c r="C133" t="s">
        <v>333</v>
      </c>
      <c r="D133" t="s">
        <v>444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8">
        <v>0</v>
      </c>
      <c r="O133" s="8">
        <v>0</v>
      </c>
      <c r="P133" s="8">
        <v>0</v>
      </c>
      <c r="Q133" s="8">
        <v>0</v>
      </c>
      <c r="R133" s="8">
        <v>0</v>
      </c>
      <c r="S133" s="8">
        <v>0</v>
      </c>
      <c r="T133" s="8">
        <v>0</v>
      </c>
      <c r="U133" s="8">
        <v>0</v>
      </c>
      <c r="V133" s="8">
        <v>0</v>
      </c>
      <c r="W133" s="8">
        <v>0</v>
      </c>
      <c r="X133" s="8">
        <v>0</v>
      </c>
      <c r="Y133" s="8">
        <v>0</v>
      </c>
      <c r="Z133" s="8">
        <v>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8">
        <v>0</v>
      </c>
      <c r="AH133" s="8">
        <v>0</v>
      </c>
      <c r="AI133" s="8">
        <v>0</v>
      </c>
      <c r="AJ133" s="8">
        <v>0</v>
      </c>
      <c r="AK133" s="8">
        <v>0</v>
      </c>
      <c r="AL133" s="8">
        <v>0</v>
      </c>
      <c r="AM133" s="8">
        <v>0</v>
      </c>
    </row>
    <row r="134" spans="1:39" x14ac:dyDescent="0.25">
      <c r="A134" t="s">
        <v>252</v>
      </c>
      <c r="B134" t="s">
        <v>240</v>
      </c>
      <c r="C134" t="s">
        <v>53</v>
      </c>
      <c r="D134" t="s">
        <v>445</v>
      </c>
      <c r="E134" s="8">
        <v>5.2732613417250098E-3</v>
      </c>
      <c r="F134" s="8">
        <v>5.3192170261883382E-3</v>
      </c>
      <c r="G134" s="8">
        <v>5.3651727106516674E-3</v>
      </c>
      <c r="H134" s="8">
        <v>5.4111283951149957E-3</v>
      </c>
      <c r="I134" s="8">
        <v>5.457084079578324E-3</v>
      </c>
      <c r="J134" s="8">
        <v>5.5030397640416524E-3</v>
      </c>
      <c r="K134" s="8">
        <v>5.5489954485049824E-3</v>
      </c>
      <c r="L134" s="8">
        <v>5.5949511329683099E-3</v>
      </c>
      <c r="M134" s="8">
        <v>5.6784740124662739E-3</v>
      </c>
      <c r="N134" s="8">
        <v>5.7619968919642378E-3</v>
      </c>
      <c r="O134" s="8">
        <v>5.8455197714622018E-3</v>
      </c>
      <c r="P134" s="8">
        <v>5.9290426509601658E-3</v>
      </c>
      <c r="Q134" s="8">
        <v>6.0125655304581298E-3</v>
      </c>
      <c r="R134" s="8">
        <v>6.1625193653691897E-3</v>
      </c>
      <c r="S134" s="8">
        <v>6.3124732002802497E-3</v>
      </c>
      <c r="T134" s="8">
        <v>6.4093814460921082E-3</v>
      </c>
      <c r="U134" s="8">
        <v>6.5062896919039657E-3</v>
      </c>
      <c r="V134" s="8">
        <v>6.6031979377158241E-3</v>
      </c>
      <c r="W134" s="8">
        <v>6.7001061835276817E-3</v>
      </c>
      <c r="X134" s="8">
        <v>6.7970144293395401E-3</v>
      </c>
      <c r="Y134" s="8">
        <v>6.8688197401988241E-3</v>
      </c>
      <c r="Z134" s="8">
        <v>6.940625051058108E-3</v>
      </c>
      <c r="AA134" s="8">
        <v>7.0124303619173919E-3</v>
      </c>
      <c r="AB134" s="8">
        <v>7.0842356727766759E-3</v>
      </c>
      <c r="AC134" s="8">
        <v>7.1560409836359598E-3</v>
      </c>
      <c r="AD134" s="8">
        <v>7.1886865089261639E-3</v>
      </c>
      <c r="AE134" s="8">
        <v>7.221332034216368E-3</v>
      </c>
      <c r="AF134" s="8">
        <v>7.2539775595065721E-3</v>
      </c>
      <c r="AG134" s="8">
        <v>7.2866230847967763E-3</v>
      </c>
      <c r="AH134" s="8">
        <v>7.3192686100869804E-3</v>
      </c>
      <c r="AI134" s="8">
        <v>7.3204183588760942E-3</v>
      </c>
      <c r="AJ134" s="8">
        <v>7.321568107665208E-3</v>
      </c>
      <c r="AK134" s="8">
        <v>7.3227178564543227E-3</v>
      </c>
      <c r="AL134" s="8">
        <v>7.3238676052434356E-3</v>
      </c>
      <c r="AM134" s="8">
        <v>7.3250173540325503E-3</v>
      </c>
    </row>
    <row r="135" spans="1:39" x14ac:dyDescent="0.25">
      <c r="A135" t="s">
        <v>252</v>
      </c>
      <c r="B135" t="s">
        <v>240</v>
      </c>
      <c r="C135" t="s">
        <v>293</v>
      </c>
      <c r="D135" t="s">
        <v>446</v>
      </c>
      <c r="E135" s="8">
        <v>1.02273553585338E-5</v>
      </c>
      <c r="F135" s="8">
        <v>1.011316890752964E-5</v>
      </c>
      <c r="G135" s="8">
        <v>9.9989824565254893E-6</v>
      </c>
      <c r="H135" s="8">
        <v>9.8847960055213331E-6</v>
      </c>
      <c r="I135" s="8">
        <v>9.770609554517177E-6</v>
      </c>
      <c r="J135" s="8">
        <v>9.6564231035130208E-6</v>
      </c>
      <c r="K135" s="8">
        <v>9.5422366525088663E-6</v>
      </c>
      <c r="L135" s="8">
        <v>9.4280502015047102E-6</v>
      </c>
      <c r="M135" s="8">
        <v>9.3393374566544016E-6</v>
      </c>
      <c r="N135" s="8">
        <v>9.2506247118040947E-6</v>
      </c>
      <c r="O135" s="8">
        <v>9.1619119669537861E-6</v>
      </c>
      <c r="P135" s="8">
        <v>9.0731992221034792E-6</v>
      </c>
      <c r="Q135" s="8">
        <v>8.9844864772531706E-6</v>
      </c>
      <c r="R135" s="8">
        <v>5.9633401178184649E-6</v>
      </c>
      <c r="S135" s="8">
        <v>2.9421937583837601E-6</v>
      </c>
      <c r="T135" s="8">
        <v>2.921408458822652E-6</v>
      </c>
      <c r="U135" s="8">
        <v>2.9006231592615439E-6</v>
      </c>
      <c r="V135" s="8">
        <v>2.8798378597004358E-6</v>
      </c>
      <c r="W135" s="8">
        <v>2.8590525601393282E-6</v>
      </c>
      <c r="X135" s="8">
        <v>2.8382672605782201E-6</v>
      </c>
      <c r="Y135" s="8">
        <v>2.824494006326476E-6</v>
      </c>
      <c r="Z135" s="8">
        <v>2.810720752074732E-6</v>
      </c>
      <c r="AA135" s="8">
        <v>2.7969474978229879E-6</v>
      </c>
      <c r="AB135" s="8">
        <v>2.7831742435712438E-6</v>
      </c>
      <c r="AC135" s="8">
        <v>2.7694009893195002E-6</v>
      </c>
      <c r="AD135" s="8">
        <v>2.7528326441225038E-6</v>
      </c>
      <c r="AE135" s="8">
        <v>2.7362642989255078E-6</v>
      </c>
      <c r="AF135" s="8">
        <v>2.7196959537285119E-6</v>
      </c>
      <c r="AG135" s="8">
        <v>2.7031276085315159E-6</v>
      </c>
      <c r="AH135" s="8">
        <v>2.68655926333452E-6</v>
      </c>
      <c r="AI135" s="8">
        <v>2.66902850199791E-6</v>
      </c>
      <c r="AJ135" s="8">
        <v>2.6514977406613E-6</v>
      </c>
      <c r="AK135" s="8">
        <v>2.63396697932469E-6</v>
      </c>
      <c r="AL135" s="8">
        <v>2.6164362179880801E-6</v>
      </c>
      <c r="AM135" s="8">
        <v>2.5989054566514701E-6</v>
      </c>
    </row>
    <row r="136" spans="1:39" x14ac:dyDescent="0.25">
      <c r="A136" t="s">
        <v>252</v>
      </c>
      <c r="B136" t="s">
        <v>240</v>
      </c>
      <c r="C136" t="s">
        <v>295</v>
      </c>
      <c r="D136" t="s">
        <v>447</v>
      </c>
      <c r="E136" s="8">
        <v>0.516832429428006</v>
      </c>
      <c r="F136" s="8">
        <v>0.51825059286732233</v>
      </c>
      <c r="G136" s="8">
        <v>0.51966875630663856</v>
      </c>
      <c r="H136" s="8">
        <v>0.52108691974595489</v>
      </c>
      <c r="I136" s="8">
        <v>0.52250508318527111</v>
      </c>
      <c r="J136" s="8">
        <v>0.52392324662458745</v>
      </c>
      <c r="K136" s="8">
        <v>0.52534141006390367</v>
      </c>
      <c r="L136" s="8">
        <v>0.52675957350322</v>
      </c>
      <c r="M136" s="8">
        <v>0.53194308543096525</v>
      </c>
      <c r="N136" s="8">
        <v>0.53712659735871038</v>
      </c>
      <c r="O136" s="8">
        <v>0.54231010928645562</v>
      </c>
      <c r="P136" s="8">
        <v>0.54749362121420075</v>
      </c>
      <c r="Q136" s="8">
        <v>0.552677133141946</v>
      </c>
      <c r="R136" s="8">
        <v>0.55867472355408743</v>
      </c>
      <c r="S136" s="8">
        <v>0.56467231396622897</v>
      </c>
      <c r="T136" s="8">
        <v>0.5688062726519586</v>
      </c>
      <c r="U136" s="8">
        <v>0.57294023133768823</v>
      </c>
      <c r="V136" s="8">
        <v>0.57707419002341775</v>
      </c>
      <c r="W136" s="8">
        <v>0.58120814870914739</v>
      </c>
      <c r="X136" s="8">
        <v>0.58534210739487702</v>
      </c>
      <c r="Y136" s="8">
        <v>0.58677505398928942</v>
      </c>
      <c r="Z136" s="8">
        <v>0.58820800058370182</v>
      </c>
      <c r="AA136" s="8">
        <v>0.58964094717811422</v>
      </c>
      <c r="AB136" s="8">
        <v>0.59107389377252662</v>
      </c>
      <c r="AC136" s="8">
        <v>0.59250684036693901</v>
      </c>
      <c r="AD136" s="8">
        <v>0.59438585357628659</v>
      </c>
      <c r="AE136" s="8">
        <v>0.59626486678563417</v>
      </c>
      <c r="AF136" s="8">
        <v>0.59814387999498186</v>
      </c>
      <c r="AG136" s="8">
        <v>0.60002289320432944</v>
      </c>
      <c r="AH136" s="8">
        <v>0.60190190641367702</v>
      </c>
      <c r="AI136" s="8">
        <v>0.60401727864546539</v>
      </c>
      <c r="AJ136" s="8">
        <v>0.60613265087725376</v>
      </c>
      <c r="AK136" s="8">
        <v>0.60824802310904225</v>
      </c>
      <c r="AL136" s="8">
        <v>0.61036339534083062</v>
      </c>
      <c r="AM136" s="8">
        <v>0.61247876757261899</v>
      </c>
    </row>
    <row r="137" spans="1:39" x14ac:dyDescent="0.25">
      <c r="A137" t="s">
        <v>252</v>
      </c>
      <c r="B137" t="s">
        <v>240</v>
      </c>
      <c r="C137" t="s">
        <v>297</v>
      </c>
      <c r="D137" t="s">
        <v>448</v>
      </c>
      <c r="E137" s="8">
        <v>0.82592723315420002</v>
      </c>
      <c r="F137" s="8">
        <v>0.83128026915277231</v>
      </c>
      <c r="G137" s="8">
        <v>0.8366333051513446</v>
      </c>
      <c r="H137" s="8">
        <v>0.84198634114991688</v>
      </c>
      <c r="I137" s="8">
        <v>0.84733937714848917</v>
      </c>
      <c r="J137" s="8">
        <v>0.85269241314706146</v>
      </c>
      <c r="K137" s="8">
        <v>0.85804544914563374</v>
      </c>
      <c r="L137" s="8">
        <v>0.86339848514420603</v>
      </c>
      <c r="M137" s="8">
        <v>0.87537827526935286</v>
      </c>
      <c r="N137" s="8">
        <v>0.88735806539449957</v>
      </c>
      <c r="O137" s="8">
        <v>0.8993378555196464</v>
      </c>
      <c r="P137" s="8">
        <v>0.91131764564479312</v>
      </c>
      <c r="Q137" s="8">
        <v>0.92329743576993994</v>
      </c>
      <c r="R137" s="8">
        <v>0.93287153284184599</v>
      </c>
      <c r="S137" s="8">
        <v>0.94244562991375203</v>
      </c>
      <c r="T137" s="8">
        <v>0.94575894212868261</v>
      </c>
      <c r="U137" s="8">
        <v>0.9490722543436132</v>
      </c>
      <c r="V137" s="8">
        <v>0.95238556655854378</v>
      </c>
      <c r="W137" s="8">
        <v>0.95569887877347437</v>
      </c>
      <c r="X137" s="8">
        <v>0.95901219098840496</v>
      </c>
      <c r="Y137" s="8">
        <v>0.96284341469099222</v>
      </c>
      <c r="Z137" s="8">
        <v>0.96667463839357937</v>
      </c>
      <c r="AA137" s="8">
        <v>0.97050586209616663</v>
      </c>
      <c r="AB137" s="8">
        <v>0.97433708579875378</v>
      </c>
      <c r="AC137" s="8">
        <v>0.97816830950134104</v>
      </c>
      <c r="AD137" s="8">
        <v>0.98317196886004687</v>
      </c>
      <c r="AE137" s="8">
        <v>0.9881756282187526</v>
      </c>
      <c r="AF137" s="8">
        <v>0.99317928757745844</v>
      </c>
      <c r="AG137" s="8">
        <v>0.99818294693616416</v>
      </c>
      <c r="AH137" s="8">
        <v>1.00318660629487</v>
      </c>
      <c r="AI137" s="8">
        <v>1.0078356943536879</v>
      </c>
      <c r="AJ137" s="8">
        <v>1.0124847824125061</v>
      </c>
      <c r="AK137" s="8">
        <v>1.017133870471324</v>
      </c>
      <c r="AL137" s="8">
        <v>1.0217829585301419</v>
      </c>
      <c r="AM137" s="8">
        <v>1.02643204658896</v>
      </c>
    </row>
    <row r="138" spans="1:39" x14ac:dyDescent="0.25">
      <c r="A138" t="s">
        <v>252</v>
      </c>
      <c r="B138" t="s">
        <v>240</v>
      </c>
      <c r="C138" t="s">
        <v>299</v>
      </c>
      <c r="D138" t="s">
        <v>449</v>
      </c>
      <c r="E138" s="8">
        <v>0.97424761379747604</v>
      </c>
      <c r="F138" s="8">
        <v>0.98056195039468808</v>
      </c>
      <c r="G138" s="8">
        <v>0.9868762869919</v>
      </c>
      <c r="H138" s="8">
        <v>0.99319062358911203</v>
      </c>
      <c r="I138" s="8">
        <v>0.99950496018632407</v>
      </c>
      <c r="J138" s="8">
        <v>1.005819296783536</v>
      </c>
      <c r="K138" s="8">
        <v>1.012133633380748</v>
      </c>
      <c r="L138" s="8">
        <v>1.0184479699779601</v>
      </c>
      <c r="M138" s="8">
        <v>1.0325790961644239</v>
      </c>
      <c r="N138" s="8">
        <v>1.046710222350888</v>
      </c>
      <c r="O138" s="8">
        <v>1.060841348537352</v>
      </c>
      <c r="P138" s="8">
        <v>1.0749724747238161</v>
      </c>
      <c r="Q138" s="8">
        <v>1.0891036009102799</v>
      </c>
      <c r="R138" s="8">
        <v>1.100397018618245</v>
      </c>
      <c r="S138" s="8">
        <v>1.1116904363262099</v>
      </c>
      <c r="T138" s="8">
        <v>1.115598754645466</v>
      </c>
      <c r="U138" s="8">
        <v>1.1195070729647221</v>
      </c>
      <c r="V138" s="8">
        <v>1.1234153912839779</v>
      </c>
      <c r="W138" s="8">
        <v>1.127323709603234</v>
      </c>
      <c r="X138" s="8">
        <v>1.1312320279224899</v>
      </c>
      <c r="Y138" s="8">
        <v>1.135751264500884</v>
      </c>
      <c r="Z138" s="8">
        <v>1.140270501079278</v>
      </c>
      <c r="AA138" s="8">
        <v>1.1447897376576719</v>
      </c>
      <c r="AB138" s="8">
        <v>1.149308974236066</v>
      </c>
      <c r="AC138" s="8">
        <v>1.15382821081446</v>
      </c>
      <c r="AD138" s="8">
        <v>1.1597304295608339</v>
      </c>
      <c r="AE138" s="8">
        <v>1.1656326483072079</v>
      </c>
      <c r="AF138" s="8">
        <v>1.1715348670535819</v>
      </c>
      <c r="AG138" s="8">
        <v>1.1774370857999561</v>
      </c>
      <c r="AH138" s="8">
        <v>1.1833393045463301</v>
      </c>
      <c r="AI138" s="8">
        <v>1.1888232779227359</v>
      </c>
      <c r="AJ138" s="8">
        <v>1.1943072512991419</v>
      </c>
      <c r="AK138" s="8">
        <v>1.199791224675548</v>
      </c>
      <c r="AL138" s="8">
        <v>1.205275198051954</v>
      </c>
      <c r="AM138" s="8">
        <v>1.2107591714283601</v>
      </c>
    </row>
    <row r="139" spans="1:39" x14ac:dyDescent="0.25">
      <c r="A139" t="s">
        <v>252</v>
      </c>
      <c r="B139" t="s">
        <v>240</v>
      </c>
      <c r="C139" t="s">
        <v>301</v>
      </c>
      <c r="D139" t="s">
        <v>450</v>
      </c>
      <c r="E139" s="8">
        <v>0.41681036706038399</v>
      </c>
      <c r="F139" s="8">
        <v>0.41951181678191962</v>
      </c>
      <c r="G139" s="8">
        <v>0.42221326650345509</v>
      </c>
      <c r="H139" s="8">
        <v>0.42491471622499072</v>
      </c>
      <c r="I139" s="8">
        <v>0.42761616594652629</v>
      </c>
      <c r="J139" s="8">
        <v>0.43031761566806193</v>
      </c>
      <c r="K139" s="8">
        <v>0.43301906538959739</v>
      </c>
      <c r="L139" s="8">
        <v>0.43572051511113302</v>
      </c>
      <c r="M139" s="8">
        <v>0.44176620595662902</v>
      </c>
      <c r="N139" s="8">
        <v>0.44781189680212502</v>
      </c>
      <c r="O139" s="8">
        <v>0.45385758764762102</v>
      </c>
      <c r="P139" s="8">
        <v>0.45990327849311702</v>
      </c>
      <c r="Q139" s="8">
        <v>0.46594896933861302</v>
      </c>
      <c r="R139" s="8">
        <v>0.47078060915390102</v>
      </c>
      <c r="S139" s="8">
        <v>0.47561224896918902</v>
      </c>
      <c r="T139" s="8">
        <v>0.4772843367909832</v>
      </c>
      <c r="U139" s="8">
        <v>0.47895642461277738</v>
      </c>
      <c r="V139" s="8">
        <v>0.48062851243457161</v>
      </c>
      <c r="W139" s="8">
        <v>0.48230060025636579</v>
      </c>
      <c r="X139" s="8">
        <v>0.48397268807816002</v>
      </c>
      <c r="Y139" s="8">
        <v>0.48590614381433023</v>
      </c>
      <c r="Z139" s="8">
        <v>0.48783959955050038</v>
      </c>
      <c r="AA139" s="8">
        <v>0.48977305528667059</v>
      </c>
      <c r="AB139" s="8">
        <v>0.4917065110228408</v>
      </c>
      <c r="AC139" s="8">
        <v>0.49363996675901101</v>
      </c>
      <c r="AD139" s="8">
        <v>0.4961651009384756</v>
      </c>
      <c r="AE139" s="8">
        <v>0.49869023511794019</v>
      </c>
      <c r="AF139" s="8">
        <v>0.50121536929740484</v>
      </c>
      <c r="AG139" s="8">
        <v>0.50374050347686938</v>
      </c>
      <c r="AH139" s="8">
        <v>0.50626563765633403</v>
      </c>
      <c r="AI139" s="8">
        <v>0.50861183477278626</v>
      </c>
      <c r="AJ139" s="8">
        <v>0.51095803188923838</v>
      </c>
      <c r="AK139" s="8">
        <v>0.51330422900569062</v>
      </c>
      <c r="AL139" s="8">
        <v>0.51565042612214274</v>
      </c>
      <c r="AM139" s="8">
        <v>0.51799662323859497</v>
      </c>
    </row>
    <row r="140" spans="1:39" x14ac:dyDescent="0.25">
      <c r="A140" t="s">
        <v>252</v>
      </c>
      <c r="B140" t="s">
        <v>240</v>
      </c>
      <c r="C140" t="s">
        <v>303</v>
      </c>
      <c r="D140" t="s">
        <v>451</v>
      </c>
      <c r="E140" s="8">
        <v>0.78082993158262703</v>
      </c>
      <c r="F140" s="8">
        <v>0.78589068097254489</v>
      </c>
      <c r="G140" s="8">
        <v>0.79095143036246274</v>
      </c>
      <c r="H140" s="8">
        <v>0.79601217975238059</v>
      </c>
      <c r="I140" s="8">
        <v>0.80107292914229844</v>
      </c>
      <c r="J140" s="8">
        <v>0.80613367853221629</v>
      </c>
      <c r="K140" s="8">
        <v>0.81119442792213414</v>
      </c>
      <c r="L140" s="8">
        <v>0.81625517731205199</v>
      </c>
      <c r="M140" s="8">
        <v>0.82758084662024545</v>
      </c>
      <c r="N140" s="8">
        <v>0.83890651592843879</v>
      </c>
      <c r="O140" s="8">
        <v>0.85023218523663224</v>
      </c>
      <c r="P140" s="8">
        <v>0.86155785454482559</v>
      </c>
      <c r="Q140" s="8">
        <v>0.87288352385301904</v>
      </c>
      <c r="R140" s="8">
        <v>0.88193485582999509</v>
      </c>
      <c r="S140" s="8">
        <v>0.89098618780697103</v>
      </c>
      <c r="T140" s="8">
        <v>0.89411858647489484</v>
      </c>
      <c r="U140" s="8">
        <v>0.89725098514281865</v>
      </c>
      <c r="V140" s="8">
        <v>0.90038338381074234</v>
      </c>
      <c r="W140" s="8">
        <v>0.90351578247866615</v>
      </c>
      <c r="X140" s="8">
        <v>0.90664818114658996</v>
      </c>
      <c r="Y140" s="8">
        <v>0.91027021228181559</v>
      </c>
      <c r="Z140" s="8">
        <v>0.91389224341704123</v>
      </c>
      <c r="AA140" s="8">
        <v>0.91751427455226675</v>
      </c>
      <c r="AB140" s="8">
        <v>0.92113630568749238</v>
      </c>
      <c r="AC140" s="8">
        <v>0.92475833682271802</v>
      </c>
      <c r="AD140" s="8">
        <v>0.92948878624719222</v>
      </c>
      <c r="AE140" s="8">
        <v>0.93421923567166643</v>
      </c>
      <c r="AF140" s="8">
        <v>0.93894968509614063</v>
      </c>
      <c r="AG140" s="8">
        <v>0.94368013452061483</v>
      </c>
      <c r="AH140" s="8">
        <v>0.94841058394508904</v>
      </c>
      <c r="AI140" s="8">
        <v>0.95280582238309564</v>
      </c>
      <c r="AJ140" s="8">
        <v>0.95720106082110223</v>
      </c>
      <c r="AK140" s="8">
        <v>0.96159629925910883</v>
      </c>
      <c r="AL140" s="8">
        <v>0.96599153769711543</v>
      </c>
      <c r="AM140" s="8">
        <v>0.97038677613512203</v>
      </c>
    </row>
    <row r="141" spans="1:39" x14ac:dyDescent="0.25">
      <c r="A141" t="s">
        <v>252</v>
      </c>
      <c r="B141" t="s">
        <v>240</v>
      </c>
      <c r="C141" t="s">
        <v>305</v>
      </c>
      <c r="D141" t="s">
        <v>452</v>
      </c>
      <c r="E141" s="8">
        <v>2.1847479523486299E-2</v>
      </c>
      <c r="F141" s="8">
        <v>2.208612286377214E-2</v>
      </c>
      <c r="G141" s="8">
        <v>2.2324766204057989E-2</v>
      </c>
      <c r="H141" s="8">
        <v>2.256340954434383E-2</v>
      </c>
      <c r="I141" s="8">
        <v>2.2802052884629671E-2</v>
      </c>
      <c r="J141" s="8">
        <v>2.3040696224915509E-2</v>
      </c>
      <c r="K141" s="8">
        <v>2.3279339565201361E-2</v>
      </c>
      <c r="L141" s="8">
        <v>2.3517982905487199E-2</v>
      </c>
      <c r="M141" s="8">
        <v>2.366770950675286E-2</v>
      </c>
      <c r="N141" s="8">
        <v>2.3817436108018519E-2</v>
      </c>
      <c r="O141" s="8">
        <v>2.396716270928418E-2</v>
      </c>
      <c r="P141" s="8">
        <v>2.4116889310549838E-2</v>
      </c>
      <c r="Q141" s="8">
        <v>2.42666159118155E-2</v>
      </c>
      <c r="R141" s="8">
        <v>2.44143497316547E-2</v>
      </c>
      <c r="S141" s="8">
        <v>2.4562083551493901E-2</v>
      </c>
      <c r="T141" s="8">
        <v>2.4694250837278119E-2</v>
      </c>
      <c r="U141" s="8">
        <v>2.4826418123062341E-2</v>
      </c>
      <c r="V141" s="8">
        <v>2.4958585408846559E-2</v>
      </c>
      <c r="W141" s="8">
        <v>2.5090752694630781E-2</v>
      </c>
      <c r="X141" s="8">
        <v>2.5222919980414999E-2</v>
      </c>
      <c r="Y141" s="8">
        <v>2.5343280992590918E-2</v>
      </c>
      <c r="Z141" s="8">
        <v>2.5463642004766841E-2</v>
      </c>
      <c r="AA141" s="8">
        <v>2.5584003016942761E-2</v>
      </c>
      <c r="AB141" s="8">
        <v>2.570436402911868E-2</v>
      </c>
      <c r="AC141" s="8">
        <v>2.5824725041294599E-2</v>
      </c>
      <c r="AD141" s="8">
        <v>2.5935908375199261E-2</v>
      </c>
      <c r="AE141" s="8">
        <v>2.6047091709103919E-2</v>
      </c>
      <c r="AF141" s="8">
        <v>2.6158275043008581E-2</v>
      </c>
      <c r="AG141" s="8">
        <v>2.6269458376913239E-2</v>
      </c>
      <c r="AH141" s="8">
        <v>2.6380641710817901E-2</v>
      </c>
      <c r="AI141" s="8">
        <v>2.6483107851080379E-2</v>
      </c>
      <c r="AJ141" s="8">
        <v>2.658557399134286E-2</v>
      </c>
      <c r="AK141" s="8">
        <v>2.6688040131605341E-2</v>
      </c>
      <c r="AL141" s="8">
        <v>2.6790506271867819E-2</v>
      </c>
      <c r="AM141" s="8">
        <v>2.68929724121303E-2</v>
      </c>
    </row>
    <row r="142" spans="1:39" x14ac:dyDescent="0.25">
      <c r="A142" t="s">
        <v>252</v>
      </c>
      <c r="B142" t="s">
        <v>240</v>
      </c>
      <c r="C142" t="s">
        <v>307</v>
      </c>
      <c r="D142" t="s">
        <v>453</v>
      </c>
      <c r="E142" s="8">
        <v>0.14488218370181299</v>
      </c>
      <c r="F142" s="8">
        <v>0.1457027044093083</v>
      </c>
      <c r="G142" s="8">
        <v>0.1465232251168036</v>
      </c>
      <c r="H142" s="8">
        <v>0.14734374582429879</v>
      </c>
      <c r="I142" s="8">
        <v>0.14816426653179421</v>
      </c>
      <c r="J142" s="8">
        <v>0.1489847872392894</v>
      </c>
      <c r="K142" s="8">
        <v>0.1498053079467847</v>
      </c>
      <c r="L142" s="8">
        <v>0.15062582865428001</v>
      </c>
      <c r="M142" s="8">
        <v>0.15206000085186461</v>
      </c>
      <c r="N142" s="8">
        <v>0.15349417304944921</v>
      </c>
      <c r="O142" s="8">
        <v>0.15492834524703381</v>
      </c>
      <c r="P142" s="8">
        <v>0.1563625174446184</v>
      </c>
      <c r="Q142" s="8">
        <v>0.157796689642203</v>
      </c>
      <c r="R142" s="8">
        <v>0.15937324053733201</v>
      </c>
      <c r="S142" s="8">
        <v>0.16094979143246099</v>
      </c>
      <c r="T142" s="8">
        <v>0.16216880322822441</v>
      </c>
      <c r="U142" s="8">
        <v>0.1633878150239878</v>
      </c>
      <c r="V142" s="8">
        <v>0.1646068268197512</v>
      </c>
      <c r="W142" s="8">
        <v>0.16582583861551459</v>
      </c>
      <c r="X142" s="8">
        <v>0.16704485041127801</v>
      </c>
      <c r="Y142" s="8">
        <v>0.16769563575655941</v>
      </c>
      <c r="Z142" s="8">
        <v>0.16834642110184081</v>
      </c>
      <c r="AA142" s="8">
        <v>0.16899720644712221</v>
      </c>
      <c r="AB142" s="8">
        <v>0.16964799179240361</v>
      </c>
      <c r="AC142" s="8">
        <v>0.17029877713768499</v>
      </c>
      <c r="AD142" s="8">
        <v>0.17103886242719099</v>
      </c>
      <c r="AE142" s="8">
        <v>0.17177894771669699</v>
      </c>
      <c r="AF142" s="8">
        <v>0.172519033006203</v>
      </c>
      <c r="AG142" s="8">
        <v>0.173259118295709</v>
      </c>
      <c r="AH142" s="8">
        <v>0.17399920358521501</v>
      </c>
      <c r="AI142" s="8">
        <v>0.17476336312128921</v>
      </c>
      <c r="AJ142" s="8">
        <v>0.17552752265736341</v>
      </c>
      <c r="AK142" s="8">
        <v>0.1762916821934376</v>
      </c>
      <c r="AL142" s="8">
        <v>0.1770558417295118</v>
      </c>
      <c r="AM142" s="8">
        <v>0.177820001265586</v>
      </c>
    </row>
    <row r="143" spans="1:39" x14ac:dyDescent="0.25">
      <c r="A143" t="s">
        <v>252</v>
      </c>
      <c r="B143" t="s">
        <v>240</v>
      </c>
      <c r="C143" t="s">
        <v>309</v>
      </c>
      <c r="D143" t="s">
        <v>454</v>
      </c>
      <c r="E143" s="8">
        <v>8.4930111085989007E-3</v>
      </c>
      <c r="F143" s="8">
        <v>8.5738074718211162E-3</v>
      </c>
      <c r="G143" s="8">
        <v>8.6546038350433317E-3</v>
      </c>
      <c r="H143" s="8">
        <v>8.7354001982655471E-3</v>
      </c>
      <c r="I143" s="8">
        <v>8.8161965614877644E-3</v>
      </c>
      <c r="J143" s="8">
        <v>8.8969929247099799E-3</v>
      </c>
      <c r="K143" s="8">
        <v>8.9777892879321954E-3</v>
      </c>
      <c r="L143" s="8">
        <v>9.0585856511544108E-3</v>
      </c>
      <c r="M143" s="8">
        <v>9.1482683424529074E-3</v>
      </c>
      <c r="N143" s="8">
        <v>9.2379510337514022E-3</v>
      </c>
      <c r="O143" s="8">
        <v>9.3276337250498987E-3</v>
      </c>
      <c r="P143" s="8">
        <v>9.4173164163483935E-3</v>
      </c>
      <c r="Q143" s="8">
        <v>9.50699910764689E-3</v>
      </c>
      <c r="R143" s="8">
        <v>9.5997797159761145E-3</v>
      </c>
      <c r="S143" s="8">
        <v>9.6925603243053406E-3</v>
      </c>
      <c r="T143" s="8">
        <v>9.7801020956247327E-3</v>
      </c>
      <c r="U143" s="8">
        <v>9.8676438669441247E-3</v>
      </c>
      <c r="V143" s="8">
        <v>9.9551856382635168E-3</v>
      </c>
      <c r="W143" s="8">
        <v>1.0042727409582911E-2</v>
      </c>
      <c r="X143" s="8">
        <v>1.0130269180902301E-2</v>
      </c>
      <c r="Y143" s="8">
        <v>1.0204730716784099E-2</v>
      </c>
      <c r="Z143" s="8">
        <v>1.02791922526659E-2</v>
      </c>
      <c r="AA143" s="8">
        <v>1.03536537885477E-2</v>
      </c>
      <c r="AB143" s="8">
        <v>1.0428115324429501E-2</v>
      </c>
      <c r="AC143" s="8">
        <v>1.0502576860311299E-2</v>
      </c>
      <c r="AD143" s="8">
        <v>1.0566688583258779E-2</v>
      </c>
      <c r="AE143" s="8">
        <v>1.0630800306206259E-2</v>
      </c>
      <c r="AF143" s="8">
        <v>1.0694912029153739E-2</v>
      </c>
      <c r="AG143" s="8">
        <v>1.0759023752101219E-2</v>
      </c>
      <c r="AH143" s="8">
        <v>1.0823135475048699E-2</v>
      </c>
      <c r="AI143" s="8">
        <v>1.088290336731974E-2</v>
      </c>
      <c r="AJ143" s="8">
        <v>1.094267125959078E-2</v>
      </c>
      <c r="AK143" s="8">
        <v>1.1002439151861819E-2</v>
      </c>
      <c r="AL143" s="8">
        <v>1.106220704413286E-2</v>
      </c>
      <c r="AM143" s="8">
        <v>1.11219749364039E-2</v>
      </c>
    </row>
    <row r="144" spans="1:39" x14ac:dyDescent="0.25">
      <c r="A144" t="s">
        <v>252</v>
      </c>
      <c r="B144" t="s">
        <v>240</v>
      </c>
      <c r="C144" t="s">
        <v>311</v>
      </c>
      <c r="D144" t="s">
        <v>455</v>
      </c>
      <c r="E144" s="8">
        <v>3.7989893823230499E-4</v>
      </c>
      <c r="F144" s="8">
        <v>3.9039998055449582E-4</v>
      </c>
      <c r="G144" s="8">
        <v>4.0090102287668671E-4</v>
      </c>
      <c r="H144" s="8">
        <v>4.114020651988775E-4</v>
      </c>
      <c r="I144" s="8">
        <v>4.2190310752106839E-4</v>
      </c>
      <c r="J144" s="8">
        <v>4.3240414984325928E-4</v>
      </c>
      <c r="K144" s="8">
        <v>4.4290519216545022E-4</v>
      </c>
      <c r="L144" s="8">
        <v>4.53406234487641E-4</v>
      </c>
      <c r="M144" s="8">
        <v>4.6502457136488523E-4</v>
      </c>
      <c r="N144" s="8">
        <v>4.7664290824212939E-4</v>
      </c>
      <c r="O144" s="8">
        <v>4.8826124511937362E-4</v>
      </c>
      <c r="P144" s="8">
        <v>4.9987958199661773E-4</v>
      </c>
      <c r="Q144" s="8">
        <v>5.1149791887386195E-4</v>
      </c>
      <c r="R144" s="8">
        <v>5.2260540247197652E-4</v>
      </c>
      <c r="S144" s="8">
        <v>5.3371288607009099E-4</v>
      </c>
      <c r="T144" s="8">
        <v>5.4314843169142742E-4</v>
      </c>
      <c r="U144" s="8">
        <v>5.5258397731276375E-4</v>
      </c>
      <c r="V144" s="8">
        <v>5.6201952293410018E-4</v>
      </c>
      <c r="W144" s="8">
        <v>5.7145506855543651E-4</v>
      </c>
      <c r="X144" s="8">
        <v>5.8089061417677295E-4</v>
      </c>
      <c r="Y144" s="8">
        <v>5.8719822450830912E-4</v>
      </c>
      <c r="Z144" s="8">
        <v>5.935058348398454E-4</v>
      </c>
      <c r="AA144" s="8">
        <v>5.9981344517138157E-4</v>
      </c>
      <c r="AB144" s="8">
        <v>6.0612105550291785E-4</v>
      </c>
      <c r="AC144" s="8">
        <v>6.1242866583445402E-4</v>
      </c>
      <c r="AD144" s="8">
        <v>6.1581061547668096E-4</v>
      </c>
      <c r="AE144" s="8">
        <v>6.1919256511890801E-4</v>
      </c>
      <c r="AF144" s="8">
        <v>6.2257451476113496E-4</v>
      </c>
      <c r="AG144" s="8">
        <v>6.2595646440336201E-4</v>
      </c>
      <c r="AH144" s="8">
        <v>6.2933841404558895E-4</v>
      </c>
      <c r="AI144" s="8">
        <v>6.3165351815156314E-4</v>
      </c>
      <c r="AJ144" s="8">
        <v>6.3396862225753733E-4</v>
      </c>
      <c r="AK144" s="8">
        <v>6.3628372636351162E-4</v>
      </c>
      <c r="AL144" s="8">
        <v>6.3859883046948581E-4</v>
      </c>
      <c r="AM144" s="8">
        <v>6.4091393457546E-4</v>
      </c>
    </row>
    <row r="145" spans="1:39" x14ac:dyDescent="0.25">
      <c r="A145" t="s">
        <v>252</v>
      </c>
      <c r="B145" t="s">
        <v>240</v>
      </c>
      <c r="C145" t="s">
        <v>313</v>
      </c>
      <c r="D145" t="s">
        <v>456</v>
      </c>
      <c r="E145" s="8">
        <v>6.4306801595921399E-4</v>
      </c>
      <c r="F145" s="8">
        <v>6.6407873761023214E-4</v>
      </c>
      <c r="G145" s="8">
        <v>6.8508945926125029E-4</v>
      </c>
      <c r="H145" s="8">
        <v>7.0610018091226843E-4</v>
      </c>
      <c r="I145" s="8">
        <v>7.2711090256328658E-4</v>
      </c>
      <c r="J145" s="8">
        <v>7.4812162421430473E-4</v>
      </c>
      <c r="K145" s="8">
        <v>7.6913234586532288E-4</v>
      </c>
      <c r="L145" s="8">
        <v>7.9014306751634103E-4</v>
      </c>
      <c r="M145" s="8">
        <v>8.1341315957372221E-4</v>
      </c>
      <c r="N145" s="8">
        <v>8.3668325163110339E-4</v>
      </c>
      <c r="O145" s="8">
        <v>8.5995334368848468E-4</v>
      </c>
      <c r="P145" s="8">
        <v>8.8322343574586586E-4</v>
      </c>
      <c r="Q145" s="8">
        <v>9.0649352780324704E-4</v>
      </c>
      <c r="R145" s="8">
        <v>9.2824400458173446E-4</v>
      </c>
      <c r="S145" s="8">
        <v>9.4999448136022199E-4</v>
      </c>
      <c r="T145" s="8">
        <v>9.6715404401522562E-4</v>
      </c>
      <c r="U145" s="8">
        <v>9.8431360667022914E-4</v>
      </c>
      <c r="V145" s="8">
        <v>1.001473169325233E-3</v>
      </c>
      <c r="W145" s="8">
        <v>1.018632731980236E-3</v>
      </c>
      <c r="X145" s="8">
        <v>1.03579229463524E-3</v>
      </c>
      <c r="Y145" s="8">
        <v>1.0461194396165041E-3</v>
      </c>
      <c r="Z145" s="8">
        <v>1.0564465845977679E-3</v>
      </c>
      <c r="AA145" s="8">
        <v>1.066773729579032E-3</v>
      </c>
      <c r="AB145" s="8">
        <v>1.077100874560296E-3</v>
      </c>
      <c r="AC145" s="8">
        <v>1.0874280195415601E-3</v>
      </c>
      <c r="AD145" s="8">
        <v>1.092121079356538E-3</v>
      </c>
      <c r="AE145" s="8">
        <v>1.0968141391715161E-3</v>
      </c>
      <c r="AF145" s="8">
        <v>1.101507198986494E-3</v>
      </c>
      <c r="AG145" s="8">
        <v>1.1062002588014719E-3</v>
      </c>
      <c r="AH145" s="8">
        <v>1.11089331861645E-3</v>
      </c>
      <c r="AI145" s="8">
        <v>1.114032593469776E-3</v>
      </c>
      <c r="AJ145" s="8">
        <v>1.1171718683231019E-3</v>
      </c>
      <c r="AK145" s="8">
        <v>1.1203111431764281E-3</v>
      </c>
      <c r="AL145" s="8">
        <v>1.1234504180297541E-3</v>
      </c>
      <c r="AM145" s="8">
        <v>1.12658969288308E-3</v>
      </c>
    </row>
    <row r="146" spans="1:39" x14ac:dyDescent="0.25">
      <c r="A146" t="s">
        <v>252</v>
      </c>
      <c r="B146" t="s">
        <v>240</v>
      </c>
      <c r="C146" t="s">
        <v>315</v>
      </c>
      <c r="D146" t="s">
        <v>457</v>
      </c>
      <c r="E146" s="8">
        <v>0.83834327801419195</v>
      </c>
      <c r="F146" s="8">
        <v>0.83960880406077298</v>
      </c>
      <c r="G146" s="8">
        <v>0.84087433010735391</v>
      </c>
      <c r="H146" s="8">
        <v>0.84213985615393494</v>
      </c>
      <c r="I146" s="8">
        <v>0.84340538220051597</v>
      </c>
      <c r="J146" s="8">
        <v>0.84467090824709701</v>
      </c>
      <c r="K146" s="8">
        <v>0.84593643429367793</v>
      </c>
      <c r="L146" s="8">
        <v>0.84720196034025896</v>
      </c>
      <c r="M146" s="8">
        <v>0.84851866063291559</v>
      </c>
      <c r="N146" s="8">
        <v>0.84983536092557221</v>
      </c>
      <c r="O146" s="8">
        <v>0.85115206121822873</v>
      </c>
      <c r="P146" s="8">
        <v>0.85246876151088535</v>
      </c>
      <c r="Q146" s="8">
        <v>0.85378546180354198</v>
      </c>
      <c r="R146" s="8">
        <v>0.85615091616419292</v>
      </c>
      <c r="S146" s="8">
        <v>0.85851637052484397</v>
      </c>
      <c r="T146" s="8">
        <v>0.86312833166057756</v>
      </c>
      <c r="U146" s="8">
        <v>0.86774029279631115</v>
      </c>
      <c r="V146" s="8">
        <v>0.87235225393204485</v>
      </c>
      <c r="W146" s="8">
        <v>0.87696421506777844</v>
      </c>
      <c r="X146" s="8">
        <v>0.88157617620351203</v>
      </c>
      <c r="Y146" s="8">
        <v>0.88817408601463987</v>
      </c>
      <c r="Z146" s="8">
        <v>0.89477199582576761</v>
      </c>
      <c r="AA146" s="8">
        <v>0.90136990563689545</v>
      </c>
      <c r="AB146" s="8">
        <v>0.90796781544802319</v>
      </c>
      <c r="AC146" s="8">
        <v>0.91456572525915103</v>
      </c>
      <c r="AD146" s="8">
        <v>0.9211617357111862</v>
      </c>
      <c r="AE146" s="8">
        <v>0.92775774616322138</v>
      </c>
      <c r="AF146" s="8">
        <v>0.93435375661525666</v>
      </c>
      <c r="AG146" s="8">
        <v>0.94094976706729183</v>
      </c>
      <c r="AH146" s="8">
        <v>0.947545777519327</v>
      </c>
      <c r="AI146" s="8">
        <v>0.95312429450217162</v>
      </c>
      <c r="AJ146" s="8">
        <v>0.95870281148501624</v>
      </c>
      <c r="AK146" s="8">
        <v>0.96428132846786074</v>
      </c>
      <c r="AL146" s="8">
        <v>0.96985984545070536</v>
      </c>
      <c r="AM146" s="8">
        <v>0.97543836243354998</v>
      </c>
    </row>
    <row r="147" spans="1:39" x14ac:dyDescent="0.25">
      <c r="A147" t="s">
        <v>252</v>
      </c>
      <c r="B147" t="s">
        <v>240</v>
      </c>
      <c r="C147" t="s">
        <v>317</v>
      </c>
      <c r="D147" t="s">
        <v>458</v>
      </c>
      <c r="E147" s="8">
        <v>0.14056193155090499</v>
      </c>
      <c r="F147" s="8">
        <v>0.1409383539390664</v>
      </c>
      <c r="G147" s="8">
        <v>0.14131477632722789</v>
      </c>
      <c r="H147" s="8">
        <v>0.14169119871538929</v>
      </c>
      <c r="I147" s="8">
        <v>0.1420676211035507</v>
      </c>
      <c r="J147" s="8">
        <v>0.14244404349171211</v>
      </c>
      <c r="K147" s="8">
        <v>0.1428204658798736</v>
      </c>
      <c r="L147" s="8">
        <v>0.14319688826803501</v>
      </c>
      <c r="M147" s="8">
        <v>0.1435186189881888</v>
      </c>
      <c r="N147" s="8">
        <v>0.14384034970834261</v>
      </c>
      <c r="O147" s="8">
        <v>0.1441620804284964</v>
      </c>
      <c r="P147" s="8">
        <v>0.14448381114865019</v>
      </c>
      <c r="Q147" s="8">
        <v>0.14480554186880401</v>
      </c>
      <c r="R147" s="8">
        <v>0.14527417873357601</v>
      </c>
      <c r="S147" s="8">
        <v>0.14574281559834801</v>
      </c>
      <c r="T147" s="8">
        <v>0.14650074266426741</v>
      </c>
      <c r="U147" s="8">
        <v>0.14725866973018681</v>
      </c>
      <c r="V147" s="8">
        <v>0.14801659679610621</v>
      </c>
      <c r="W147" s="8">
        <v>0.14877452386202561</v>
      </c>
      <c r="X147" s="8">
        <v>0.14953245092794501</v>
      </c>
      <c r="Y147" s="8">
        <v>0.15051851529089461</v>
      </c>
      <c r="Z147" s="8">
        <v>0.1515045796538442</v>
      </c>
      <c r="AA147" s="8">
        <v>0.1524906440167938</v>
      </c>
      <c r="AB147" s="8">
        <v>0.15347670837974339</v>
      </c>
      <c r="AC147" s="8">
        <v>0.15446277274269299</v>
      </c>
      <c r="AD147" s="8">
        <v>0.15556156866872761</v>
      </c>
      <c r="AE147" s="8">
        <v>0.15666036459476221</v>
      </c>
      <c r="AF147" s="8">
        <v>0.1577591605207968</v>
      </c>
      <c r="AG147" s="8">
        <v>0.1588579564468314</v>
      </c>
      <c r="AH147" s="8">
        <v>0.159956752372866</v>
      </c>
      <c r="AI147" s="8">
        <v>0.16091073681603879</v>
      </c>
      <c r="AJ147" s="8">
        <v>0.16186472125921161</v>
      </c>
      <c r="AK147" s="8">
        <v>0.16281870570238441</v>
      </c>
      <c r="AL147" s="8">
        <v>0.1637726901455572</v>
      </c>
      <c r="AM147" s="8">
        <v>0.16472667458873</v>
      </c>
    </row>
    <row r="148" spans="1:39" x14ac:dyDescent="0.25">
      <c r="A148" t="s">
        <v>252</v>
      </c>
      <c r="B148" t="s">
        <v>240</v>
      </c>
      <c r="C148" t="s">
        <v>319</v>
      </c>
      <c r="D148" t="s">
        <v>459</v>
      </c>
      <c r="E148" s="8">
        <v>7.0499841645994506E-5</v>
      </c>
      <c r="F148" s="8">
        <v>7.1742758644080111E-5</v>
      </c>
      <c r="G148" s="8">
        <v>7.2985675642165703E-5</v>
      </c>
      <c r="H148" s="8">
        <v>7.4228592640251308E-5</v>
      </c>
      <c r="I148" s="8">
        <v>7.5471509638336899E-5</v>
      </c>
      <c r="J148" s="8">
        <v>7.6714426636422504E-5</v>
      </c>
      <c r="K148" s="8">
        <v>7.7957343634508096E-5</v>
      </c>
      <c r="L148" s="8">
        <v>7.9200260632593701E-5</v>
      </c>
      <c r="M148" s="8">
        <v>8.0726700653854582E-5</v>
      </c>
      <c r="N148" s="8">
        <v>8.2253140675115464E-5</v>
      </c>
      <c r="O148" s="8">
        <v>8.3779580696376332E-5</v>
      </c>
      <c r="P148" s="8">
        <v>8.5306020717637214E-5</v>
      </c>
      <c r="Q148" s="8">
        <v>8.6832460738898095E-5</v>
      </c>
      <c r="R148" s="8">
        <v>8.8460756752722691E-5</v>
      </c>
      <c r="S148" s="8">
        <v>9.00890527665473E-5</v>
      </c>
      <c r="T148" s="8">
        <v>9.1823611552394505E-5</v>
      </c>
      <c r="U148" s="8">
        <v>9.3558170338241695E-5</v>
      </c>
      <c r="V148" s="8">
        <v>9.52927291240889E-5</v>
      </c>
      <c r="W148" s="8">
        <v>9.702728790993609E-5</v>
      </c>
      <c r="X148" s="8">
        <v>9.8761846695783295E-5</v>
      </c>
      <c r="Y148" s="8">
        <v>1.0018018332958541E-4</v>
      </c>
      <c r="Z148" s="8">
        <v>1.015985199633876E-4</v>
      </c>
      <c r="AA148" s="8">
        <v>1.030168565971897E-4</v>
      </c>
      <c r="AB148" s="8">
        <v>1.044351932309919E-4</v>
      </c>
      <c r="AC148" s="8">
        <v>1.05853529864794E-4</v>
      </c>
      <c r="AD148" s="8">
        <v>1.064759086253324E-4</v>
      </c>
      <c r="AE148" s="8">
        <v>1.0709828738587079E-4</v>
      </c>
      <c r="AF148" s="8">
        <v>1.077206661464092E-4</v>
      </c>
      <c r="AG148" s="8">
        <v>1.083430449069476E-4</v>
      </c>
      <c r="AH148" s="8">
        <v>1.0896542366748601E-4</v>
      </c>
      <c r="AI148" s="8">
        <v>1.091869854157268E-4</v>
      </c>
      <c r="AJ148" s="8">
        <v>1.094085471639676E-4</v>
      </c>
      <c r="AK148" s="8">
        <v>1.096301089122084E-4</v>
      </c>
      <c r="AL148" s="8">
        <v>1.098516706604492E-4</v>
      </c>
      <c r="AM148" s="8">
        <v>1.1007323240869E-4</v>
      </c>
    </row>
    <row r="149" spans="1:39" x14ac:dyDescent="0.25">
      <c r="A149" t="s">
        <v>252</v>
      </c>
      <c r="B149" t="s">
        <v>240</v>
      </c>
      <c r="C149" t="s">
        <v>321</v>
      </c>
      <c r="D149" t="s">
        <v>460</v>
      </c>
      <c r="E149" s="8">
        <v>1.27196829124883E-4</v>
      </c>
      <c r="F149" s="8">
        <v>1.312943165453336E-4</v>
      </c>
      <c r="G149" s="8">
        <v>1.3539180396578409E-4</v>
      </c>
      <c r="H149" s="8">
        <v>1.3948929138623471E-4</v>
      </c>
      <c r="I149" s="8">
        <v>1.4358677880668531E-4</v>
      </c>
      <c r="J149" s="8">
        <v>1.4768426622713591E-4</v>
      </c>
      <c r="K149" s="8">
        <v>1.517817536475864E-4</v>
      </c>
      <c r="L149" s="8">
        <v>1.55879241068037E-4</v>
      </c>
      <c r="M149" s="8">
        <v>1.606009224592082E-4</v>
      </c>
      <c r="N149" s="8">
        <v>1.6532260385037939E-4</v>
      </c>
      <c r="O149" s="8">
        <v>1.7004428524155059E-4</v>
      </c>
      <c r="P149" s="8">
        <v>1.7476596663272179E-4</v>
      </c>
      <c r="Q149" s="8">
        <v>1.7948764802389299E-4</v>
      </c>
      <c r="R149" s="8">
        <v>1.839731594694555E-4</v>
      </c>
      <c r="S149" s="8">
        <v>1.88458670915018E-4</v>
      </c>
      <c r="T149" s="8">
        <v>1.9223278594111021E-4</v>
      </c>
      <c r="U149" s="8">
        <v>1.9600690096720241E-4</v>
      </c>
      <c r="V149" s="8">
        <v>1.9978101599329461E-4</v>
      </c>
      <c r="W149" s="8">
        <v>2.0355513101938681E-4</v>
      </c>
      <c r="X149" s="8">
        <v>2.0732924604547899E-4</v>
      </c>
      <c r="Y149" s="8">
        <v>2.0969008391523921E-4</v>
      </c>
      <c r="Z149" s="8">
        <v>2.1205092178499941E-4</v>
      </c>
      <c r="AA149" s="8">
        <v>2.1441175965475961E-4</v>
      </c>
      <c r="AB149" s="8">
        <v>2.167725975245198E-4</v>
      </c>
      <c r="AC149" s="8">
        <v>2.1913343539428E-4</v>
      </c>
      <c r="AD149" s="8">
        <v>2.2021216938979021E-4</v>
      </c>
      <c r="AE149" s="8">
        <v>2.2129090338530039E-4</v>
      </c>
      <c r="AF149" s="8">
        <v>2.223696373808106E-4</v>
      </c>
      <c r="AG149" s="8">
        <v>2.2344837137632079E-4</v>
      </c>
      <c r="AH149" s="8">
        <v>2.24527105371831E-4</v>
      </c>
      <c r="AI149" s="8">
        <v>2.2512838080913301E-4</v>
      </c>
      <c r="AJ149" s="8">
        <v>2.2572965624643499E-4</v>
      </c>
      <c r="AK149" s="8">
        <v>2.2633093168373701E-4</v>
      </c>
      <c r="AL149" s="8">
        <v>2.2693220712103899E-4</v>
      </c>
      <c r="AM149" s="8">
        <v>2.27533482558341E-4</v>
      </c>
    </row>
    <row r="150" spans="1:39" x14ac:dyDescent="0.25">
      <c r="A150" t="s">
        <v>252</v>
      </c>
      <c r="B150" t="s">
        <v>240</v>
      </c>
      <c r="C150" t="s">
        <v>323</v>
      </c>
      <c r="D150" t="s">
        <v>461</v>
      </c>
      <c r="E150" s="8">
        <v>4.6613823871224398E-4</v>
      </c>
      <c r="F150" s="8">
        <v>4.8001226495903468E-4</v>
      </c>
      <c r="G150" s="8">
        <v>4.9388629120582543E-4</v>
      </c>
      <c r="H150" s="8">
        <v>5.0776031745261606E-4</v>
      </c>
      <c r="I150" s="8">
        <v>5.2163434369940681E-4</v>
      </c>
      <c r="J150" s="8">
        <v>5.3550836994619756E-4</v>
      </c>
      <c r="K150" s="8">
        <v>5.493823961929882E-4</v>
      </c>
      <c r="L150" s="8">
        <v>5.6325642243977895E-4</v>
      </c>
      <c r="M150" s="8">
        <v>5.8207572259364241E-4</v>
      </c>
      <c r="N150" s="8">
        <v>6.0089502274750576E-4</v>
      </c>
      <c r="O150" s="8">
        <v>6.1971432290136921E-4</v>
      </c>
      <c r="P150" s="8">
        <v>6.3853362305523256E-4</v>
      </c>
      <c r="Q150" s="8">
        <v>6.5735292320909602E-4</v>
      </c>
      <c r="R150" s="8">
        <v>6.7724933786648695E-4</v>
      </c>
      <c r="S150" s="8">
        <v>6.9714575252387799E-4</v>
      </c>
      <c r="T150" s="8">
        <v>7.1687014281255159E-4</v>
      </c>
      <c r="U150" s="8">
        <v>7.3659453310122519E-4</v>
      </c>
      <c r="V150" s="8">
        <v>7.563189233898988E-4</v>
      </c>
      <c r="W150" s="8">
        <v>7.760433136785724E-4</v>
      </c>
      <c r="X150" s="8">
        <v>7.95767703967246E-4</v>
      </c>
      <c r="Y150" s="8">
        <v>8.0943602216734778E-4</v>
      </c>
      <c r="Z150" s="8">
        <v>8.2310434036744957E-4</v>
      </c>
      <c r="AA150" s="8">
        <v>8.3677265856755146E-4</v>
      </c>
      <c r="AB150" s="8">
        <v>8.5044097676765325E-4</v>
      </c>
      <c r="AC150" s="8">
        <v>8.6410929496775503E-4</v>
      </c>
      <c r="AD150" s="8">
        <v>8.7000887327631164E-4</v>
      </c>
      <c r="AE150" s="8">
        <v>8.7590845158486824E-4</v>
      </c>
      <c r="AF150" s="8">
        <v>8.8180802989342474E-4</v>
      </c>
      <c r="AG150" s="8">
        <v>8.8770760820198135E-4</v>
      </c>
      <c r="AH150" s="8">
        <v>8.9360718651053796E-4</v>
      </c>
      <c r="AI150" s="8">
        <v>8.9458183467369201E-4</v>
      </c>
      <c r="AJ150" s="8">
        <v>8.9555648283684596E-4</v>
      </c>
      <c r="AK150" s="8">
        <v>8.9653113100000002E-4</v>
      </c>
      <c r="AL150" s="8">
        <v>8.9750577916315397E-4</v>
      </c>
      <c r="AM150" s="8">
        <v>8.9848042732630802E-4</v>
      </c>
    </row>
    <row r="151" spans="1:39" x14ac:dyDescent="0.25">
      <c r="A151" t="s">
        <v>252</v>
      </c>
      <c r="B151" t="s">
        <v>240</v>
      </c>
      <c r="C151" t="s">
        <v>325</v>
      </c>
      <c r="D151" t="s">
        <v>462</v>
      </c>
      <c r="E151" s="8">
        <v>6.1216028942049906E-5</v>
      </c>
      <c r="F151" s="8">
        <v>6.3206640662306346E-5</v>
      </c>
      <c r="G151" s="8">
        <v>6.5197252382562785E-5</v>
      </c>
      <c r="H151" s="8">
        <v>6.7187864102819225E-5</v>
      </c>
      <c r="I151" s="8">
        <v>6.9178475823075678E-5</v>
      </c>
      <c r="J151" s="8">
        <v>7.1169087543332117E-5</v>
      </c>
      <c r="K151" s="8">
        <v>7.3159699263588556E-5</v>
      </c>
      <c r="L151" s="8">
        <v>7.5150310983844996E-5</v>
      </c>
      <c r="M151" s="8">
        <v>7.7130845069563455E-5</v>
      </c>
      <c r="N151" s="8">
        <v>7.9111379155281914E-5</v>
      </c>
      <c r="O151" s="8">
        <v>8.1091913241000387E-5</v>
      </c>
      <c r="P151" s="8">
        <v>8.3072447326718846E-5</v>
      </c>
      <c r="Q151" s="8">
        <v>8.5052981412437305E-5</v>
      </c>
      <c r="R151" s="8">
        <v>8.6682157054090552E-5</v>
      </c>
      <c r="S151" s="8">
        <v>8.83113326957438E-5</v>
      </c>
      <c r="T151" s="8">
        <v>8.9339383762965517E-5</v>
      </c>
      <c r="U151" s="8">
        <v>9.0367434830187235E-5</v>
      </c>
      <c r="V151" s="8">
        <v>9.1395485897408966E-5</v>
      </c>
      <c r="W151" s="8">
        <v>9.2423536964630684E-5</v>
      </c>
      <c r="X151" s="8">
        <v>9.3451588031852402E-5</v>
      </c>
      <c r="Y151" s="8">
        <v>9.3885914990076924E-5</v>
      </c>
      <c r="Z151" s="8">
        <v>9.4320241948301446E-5</v>
      </c>
      <c r="AA151" s="8">
        <v>9.4754568906525955E-5</v>
      </c>
      <c r="AB151" s="8">
        <v>9.5188895864750477E-5</v>
      </c>
      <c r="AC151" s="8">
        <v>9.5623222822974999E-5</v>
      </c>
      <c r="AD151" s="8">
        <v>9.5827942066533563E-5</v>
      </c>
      <c r="AE151" s="8">
        <v>9.6032661310092114E-5</v>
      </c>
      <c r="AF151" s="8">
        <v>9.6237380553650678E-5</v>
      </c>
      <c r="AG151" s="8">
        <v>9.6442099797209229E-5</v>
      </c>
      <c r="AH151" s="8">
        <v>9.6646819040767794E-5</v>
      </c>
      <c r="AI151" s="8">
        <v>9.6991718010265861E-5</v>
      </c>
      <c r="AJ151" s="8">
        <v>9.7336616979763914E-5</v>
      </c>
      <c r="AK151" s="8">
        <v>9.7681515949261981E-5</v>
      </c>
      <c r="AL151" s="8">
        <v>9.8026414918760035E-5</v>
      </c>
      <c r="AM151" s="8">
        <v>9.8371313888258102E-5</v>
      </c>
    </row>
    <row r="152" spans="1:39" x14ac:dyDescent="0.25">
      <c r="A152" t="s">
        <v>252</v>
      </c>
      <c r="B152" t="s">
        <v>240</v>
      </c>
      <c r="C152" t="s">
        <v>327</v>
      </c>
      <c r="D152" t="s">
        <v>463</v>
      </c>
      <c r="E152" s="8">
        <v>5.47708177143681E-5</v>
      </c>
      <c r="F152" s="8">
        <v>5.662055781578536E-5</v>
      </c>
      <c r="G152" s="8">
        <v>5.8470297917202607E-5</v>
      </c>
      <c r="H152" s="8">
        <v>6.0320038018619867E-5</v>
      </c>
      <c r="I152" s="8">
        <v>6.2169778120037134E-5</v>
      </c>
      <c r="J152" s="8">
        <v>6.4019518221454394E-5</v>
      </c>
      <c r="K152" s="8">
        <v>6.5869258322871641E-5</v>
      </c>
      <c r="L152" s="8">
        <v>6.7718998424288901E-5</v>
      </c>
      <c r="M152" s="8">
        <v>6.9519931600912145E-5</v>
      </c>
      <c r="N152" s="8">
        <v>7.1320864777535376E-5</v>
      </c>
      <c r="O152" s="8">
        <v>7.3121797954158621E-5</v>
      </c>
      <c r="P152" s="8">
        <v>7.4922731130781851E-5</v>
      </c>
      <c r="Q152" s="8">
        <v>7.6723664307405096E-5</v>
      </c>
      <c r="R152" s="8">
        <v>7.8185175878647296E-5</v>
      </c>
      <c r="S152" s="8">
        <v>7.9646687449889497E-5</v>
      </c>
      <c r="T152" s="8">
        <v>8.0505852582623291E-5</v>
      </c>
      <c r="U152" s="8">
        <v>8.1365017715357099E-5</v>
      </c>
      <c r="V152" s="8">
        <v>8.2224182848090893E-5</v>
      </c>
      <c r="W152" s="8">
        <v>8.3083347980824701E-5</v>
      </c>
      <c r="X152" s="8">
        <v>8.3942513113558496E-5</v>
      </c>
      <c r="Y152" s="8">
        <v>8.4278940983991256E-5</v>
      </c>
      <c r="Z152" s="8">
        <v>8.4615368854424017E-5</v>
      </c>
      <c r="AA152" s="8">
        <v>8.4951796724856777E-5</v>
      </c>
      <c r="AB152" s="8">
        <v>8.5288224595289538E-5</v>
      </c>
      <c r="AC152" s="8">
        <v>8.5624652465722298E-5</v>
      </c>
      <c r="AD152" s="8">
        <v>8.5761522908954317E-5</v>
      </c>
      <c r="AE152" s="8">
        <v>8.5898393352186337E-5</v>
      </c>
      <c r="AF152" s="8">
        <v>8.6035263795418356E-5</v>
      </c>
      <c r="AG152" s="8">
        <v>8.6172134238650375E-5</v>
      </c>
      <c r="AH152" s="8">
        <v>8.6309004681882394E-5</v>
      </c>
      <c r="AI152" s="8">
        <v>8.6627384294053633E-5</v>
      </c>
      <c r="AJ152" s="8">
        <v>8.6945763906224872E-5</v>
      </c>
      <c r="AK152" s="8">
        <v>8.7264143518396125E-5</v>
      </c>
      <c r="AL152" s="8">
        <v>8.7582523130567364E-5</v>
      </c>
      <c r="AM152" s="8">
        <v>8.7900902742738603E-5</v>
      </c>
    </row>
    <row r="153" spans="1:39" x14ac:dyDescent="0.25">
      <c r="A153" t="s">
        <v>252</v>
      </c>
      <c r="B153" t="s">
        <v>240</v>
      </c>
      <c r="C153" t="s">
        <v>329</v>
      </c>
      <c r="D153" t="s">
        <v>464</v>
      </c>
      <c r="E153" s="8">
        <v>1.4501845670413E-5</v>
      </c>
      <c r="F153" s="8">
        <v>1.473495171795763E-5</v>
      </c>
      <c r="G153" s="8">
        <v>1.4968057765502261E-5</v>
      </c>
      <c r="H153" s="8">
        <v>1.520116381304689E-5</v>
      </c>
      <c r="I153" s="8">
        <v>1.543426986059152E-5</v>
      </c>
      <c r="J153" s="8">
        <v>1.5667375908136139E-5</v>
      </c>
      <c r="K153" s="8">
        <v>1.5900481955680768E-5</v>
      </c>
      <c r="L153" s="8">
        <v>1.6133588003225401E-5</v>
      </c>
      <c r="M153" s="8">
        <v>1.6365733673628439E-5</v>
      </c>
      <c r="N153" s="8">
        <v>1.659787934403148E-5</v>
      </c>
      <c r="O153" s="8">
        <v>1.683002501443452E-5</v>
      </c>
      <c r="P153" s="8">
        <v>1.7062170684837561E-5</v>
      </c>
      <c r="Q153" s="8">
        <v>1.7294316355240599E-5</v>
      </c>
      <c r="R153" s="8">
        <v>1.75087611129633E-5</v>
      </c>
      <c r="S153" s="8">
        <v>1.7723205870686E-5</v>
      </c>
      <c r="T153" s="8">
        <v>1.788858090361184E-5</v>
      </c>
      <c r="U153" s="8">
        <v>1.8053955936537679E-5</v>
      </c>
      <c r="V153" s="8">
        <v>1.8219330969463519E-5</v>
      </c>
      <c r="W153" s="8">
        <v>1.8384706002389361E-5</v>
      </c>
      <c r="X153" s="8">
        <v>1.8550081035315201E-5</v>
      </c>
      <c r="Y153" s="8">
        <v>1.8655132539179081E-5</v>
      </c>
      <c r="Z153" s="8">
        <v>1.8760184043042958E-5</v>
      </c>
      <c r="AA153" s="8">
        <v>1.8865235546906839E-5</v>
      </c>
      <c r="AB153" s="8">
        <v>1.8970287050770719E-5</v>
      </c>
      <c r="AC153" s="8">
        <v>1.90753385546346E-5</v>
      </c>
      <c r="AD153" s="8">
        <v>1.91544739093777E-5</v>
      </c>
      <c r="AE153" s="8">
        <v>1.92336092641208E-5</v>
      </c>
      <c r="AF153" s="8">
        <v>1.93127446188639E-5</v>
      </c>
      <c r="AG153" s="8">
        <v>1.9391879973607001E-5</v>
      </c>
      <c r="AH153" s="8">
        <v>1.9471015328350101E-5</v>
      </c>
      <c r="AI153" s="8">
        <v>1.9559177896614761E-5</v>
      </c>
      <c r="AJ153" s="8">
        <v>1.964734046487942E-5</v>
      </c>
      <c r="AK153" s="8">
        <v>1.973550303314408E-5</v>
      </c>
      <c r="AL153" s="8">
        <v>1.982366560140874E-5</v>
      </c>
      <c r="AM153" s="8">
        <v>1.9911828169673399E-5</v>
      </c>
    </row>
    <row r="154" spans="1:39" x14ac:dyDescent="0.25">
      <c r="A154" t="s">
        <v>252</v>
      </c>
      <c r="B154" t="s">
        <v>240</v>
      </c>
      <c r="C154" t="s">
        <v>331</v>
      </c>
      <c r="D154" t="s">
        <v>465</v>
      </c>
      <c r="E154" s="8">
        <v>3.0601169972573598E-4</v>
      </c>
      <c r="F154" s="8">
        <v>3.1137775192349791E-4</v>
      </c>
      <c r="G154" s="8">
        <v>3.1674380412125968E-4</v>
      </c>
      <c r="H154" s="8">
        <v>3.2210985631902161E-4</v>
      </c>
      <c r="I154" s="8">
        <v>3.2747590851678337E-4</v>
      </c>
      <c r="J154" s="8">
        <v>3.328419607145453E-4</v>
      </c>
      <c r="K154" s="8">
        <v>3.3820801291230713E-4</v>
      </c>
      <c r="L154" s="8">
        <v>3.43574065110069E-4</v>
      </c>
      <c r="M154" s="8">
        <v>3.4975576668980278E-4</v>
      </c>
      <c r="N154" s="8">
        <v>3.5593746826953661E-4</v>
      </c>
      <c r="O154" s="8">
        <v>3.6211916984927038E-4</v>
      </c>
      <c r="P154" s="8">
        <v>3.6830087142900421E-4</v>
      </c>
      <c r="Q154" s="8">
        <v>3.7448257300873799E-4</v>
      </c>
      <c r="R154" s="8">
        <v>3.8050246937433851E-4</v>
      </c>
      <c r="S154" s="8">
        <v>3.8652236573993902E-4</v>
      </c>
      <c r="T154" s="8">
        <v>3.9227089881987341E-4</v>
      </c>
      <c r="U154" s="8">
        <v>3.980194318998078E-4</v>
      </c>
      <c r="V154" s="8">
        <v>4.0376796497974219E-4</v>
      </c>
      <c r="W154" s="8">
        <v>4.0951649805967658E-4</v>
      </c>
      <c r="X154" s="8">
        <v>4.1526503113961102E-4</v>
      </c>
      <c r="Y154" s="8">
        <v>4.1969313713545778E-4</v>
      </c>
      <c r="Z154" s="8">
        <v>4.241212431313046E-4</v>
      </c>
      <c r="AA154" s="8">
        <v>4.2854934912715142E-4</v>
      </c>
      <c r="AB154" s="8">
        <v>4.3297745512299818E-4</v>
      </c>
      <c r="AC154" s="8">
        <v>4.37405561118845E-4</v>
      </c>
      <c r="AD154" s="8">
        <v>4.402401317311484E-4</v>
      </c>
      <c r="AE154" s="8">
        <v>4.430747023434518E-4</v>
      </c>
      <c r="AF154" s="8">
        <v>4.459092729557552E-4</v>
      </c>
      <c r="AG154" s="8">
        <v>4.487438435680586E-4</v>
      </c>
      <c r="AH154" s="8">
        <v>4.51578414180362E-4</v>
      </c>
      <c r="AI154" s="8">
        <v>4.5352876877260739E-4</v>
      </c>
      <c r="AJ154" s="8">
        <v>4.5547912336485279E-4</v>
      </c>
      <c r="AK154" s="8">
        <v>4.5742947795709819E-4</v>
      </c>
      <c r="AL154" s="8">
        <v>4.5937983254934359E-4</v>
      </c>
      <c r="AM154" s="8">
        <v>4.6133018714158898E-4</v>
      </c>
    </row>
    <row r="155" spans="1:39" x14ac:dyDescent="0.25">
      <c r="A155" t="s">
        <v>252</v>
      </c>
      <c r="B155" t="s">
        <v>240</v>
      </c>
      <c r="C155" t="s">
        <v>333</v>
      </c>
      <c r="D155" t="s">
        <v>466</v>
      </c>
      <c r="E155" s="8">
        <v>1.8995088232102499</v>
      </c>
      <c r="F155" s="8">
        <v>1.906658570628778</v>
      </c>
      <c r="G155" s="8">
        <v>1.9138083180473071</v>
      </c>
      <c r="H155" s="8">
        <v>1.920958065465836</v>
      </c>
      <c r="I155" s="8">
        <v>1.9281078128843641</v>
      </c>
      <c r="J155" s="8">
        <v>1.935257560302893</v>
      </c>
      <c r="K155" s="8">
        <v>1.942407307721421</v>
      </c>
      <c r="L155" s="8">
        <v>1.9495570551399499</v>
      </c>
      <c r="M155" s="8">
        <v>1.9702925067027639</v>
      </c>
      <c r="N155" s="8">
        <v>1.9910279582655781</v>
      </c>
      <c r="O155" s="8">
        <v>2.0117634098283919</v>
      </c>
      <c r="P155" s="8">
        <v>2.0324988613912058</v>
      </c>
      <c r="Q155" s="8">
        <v>2.0532343129540198</v>
      </c>
      <c r="R155" s="8">
        <v>2.0763917655566702</v>
      </c>
      <c r="S155" s="8">
        <v>2.0995492181593201</v>
      </c>
      <c r="T155" s="8">
        <v>2.1168908893421081</v>
      </c>
      <c r="U155" s="8">
        <v>2.1342325605248962</v>
      </c>
      <c r="V155" s="8">
        <v>2.1515742317076838</v>
      </c>
      <c r="W155" s="8">
        <v>2.1689159028904719</v>
      </c>
      <c r="X155" s="8">
        <v>2.1862575740732599</v>
      </c>
      <c r="Y155" s="8">
        <v>2.1945582806293702</v>
      </c>
      <c r="Z155" s="8">
        <v>2.20285898718548</v>
      </c>
      <c r="AA155" s="8">
        <v>2.2111596937415898</v>
      </c>
      <c r="AB155" s="8">
        <v>2.2194604002977001</v>
      </c>
      <c r="AC155" s="8">
        <v>2.2277611068538099</v>
      </c>
      <c r="AD155" s="8">
        <v>2.2377990603146078</v>
      </c>
      <c r="AE155" s="8">
        <v>2.2478370137754058</v>
      </c>
      <c r="AF155" s="8">
        <v>2.2578749672362042</v>
      </c>
      <c r="AG155" s="8">
        <v>2.2679129206970021</v>
      </c>
      <c r="AH155" s="8">
        <v>2.2779508741578001</v>
      </c>
      <c r="AI155" s="8">
        <v>2.2885679190643078</v>
      </c>
      <c r="AJ155" s="8">
        <v>2.299184963970816</v>
      </c>
      <c r="AK155" s="8">
        <v>2.3098020088773241</v>
      </c>
      <c r="AL155" s="8">
        <v>2.3204190537838318</v>
      </c>
      <c r="AM155" s="8">
        <v>2.33103609869034</v>
      </c>
    </row>
    <row r="156" spans="1:39" x14ac:dyDescent="0.25">
      <c r="A156" t="s">
        <v>252</v>
      </c>
      <c r="B156" t="s">
        <v>236</v>
      </c>
      <c r="C156" t="s">
        <v>53</v>
      </c>
      <c r="D156" t="s">
        <v>467</v>
      </c>
      <c r="E156" s="8">
        <v>2.6240942621035601E-2</v>
      </c>
      <c r="F156" s="8">
        <v>2.6390084260762229E-2</v>
      </c>
      <c r="G156" s="8">
        <v>2.653922590048886E-2</v>
      </c>
      <c r="H156" s="8">
        <v>2.6688367540215481E-2</v>
      </c>
      <c r="I156" s="8">
        <v>2.6837509179942119E-2</v>
      </c>
      <c r="J156" s="8">
        <v>2.698665081966874E-2</v>
      </c>
      <c r="K156" s="8">
        <v>2.7135792459395371E-2</v>
      </c>
      <c r="L156" s="8">
        <v>2.7284934099121999E-2</v>
      </c>
      <c r="M156" s="8">
        <v>2.7627705191843259E-2</v>
      </c>
      <c r="N156" s="8">
        <v>2.7970476284564519E-2</v>
      </c>
      <c r="O156" s="8">
        <v>2.8313247377285779E-2</v>
      </c>
      <c r="P156" s="8">
        <v>2.8656018470007039E-2</v>
      </c>
      <c r="Q156" s="8">
        <v>2.8998789562728298E-2</v>
      </c>
      <c r="R156" s="8">
        <v>2.9666235172693699E-2</v>
      </c>
      <c r="S156" s="8">
        <v>3.0333680782659099E-2</v>
      </c>
      <c r="T156" s="8">
        <v>3.0772648264226439E-2</v>
      </c>
      <c r="U156" s="8">
        <v>3.1211615745793779E-2</v>
      </c>
      <c r="V156" s="8">
        <v>3.1650583227361119E-2</v>
      </c>
      <c r="W156" s="8">
        <v>3.2089550708928459E-2</v>
      </c>
      <c r="X156" s="8">
        <v>3.2528518190495799E-2</v>
      </c>
      <c r="Y156" s="8">
        <v>3.2869864195055797E-2</v>
      </c>
      <c r="Z156" s="8">
        <v>3.3211210199615801E-2</v>
      </c>
      <c r="AA156" s="8">
        <v>3.3552556204175799E-2</v>
      </c>
      <c r="AB156" s="8">
        <v>3.3893902208735803E-2</v>
      </c>
      <c r="AC156" s="8">
        <v>3.4235248213295801E-2</v>
      </c>
      <c r="AD156" s="8">
        <v>3.4416677005267578E-2</v>
      </c>
      <c r="AE156" s="8">
        <v>3.4598105797239362E-2</v>
      </c>
      <c r="AF156" s="8">
        <v>3.4779534589211139E-2</v>
      </c>
      <c r="AG156" s="8">
        <v>3.4960963381182923E-2</v>
      </c>
      <c r="AH156" s="8">
        <v>3.51423921731547E-2</v>
      </c>
      <c r="AI156" s="8">
        <v>3.5174957184773301E-2</v>
      </c>
      <c r="AJ156" s="8">
        <v>3.5207522196391901E-2</v>
      </c>
      <c r="AK156" s="8">
        <v>3.5240087208010501E-2</v>
      </c>
      <c r="AL156" s="8">
        <v>3.5272652219629101E-2</v>
      </c>
      <c r="AM156" s="8">
        <v>3.5305217231247701E-2</v>
      </c>
    </row>
    <row r="157" spans="1:39" x14ac:dyDescent="0.25">
      <c r="A157" t="s">
        <v>252</v>
      </c>
      <c r="B157" t="s">
        <v>236</v>
      </c>
      <c r="C157" t="s">
        <v>293</v>
      </c>
      <c r="D157" t="s">
        <v>468</v>
      </c>
      <c r="E157" s="8">
        <v>1.1612641687789E-4</v>
      </c>
      <c r="F157" s="8">
        <v>1.149026302387226E-4</v>
      </c>
      <c r="G157" s="8">
        <v>1.136788435995551E-4</v>
      </c>
      <c r="H157" s="8">
        <v>1.1245505696038769E-4</v>
      </c>
      <c r="I157" s="8">
        <v>1.112312703212203E-4</v>
      </c>
      <c r="J157" s="8">
        <v>1.100074836820529E-4</v>
      </c>
      <c r="K157" s="8">
        <v>1.087836970428854E-4</v>
      </c>
      <c r="L157" s="8">
        <v>1.0755991040371799E-4</v>
      </c>
      <c r="M157" s="8">
        <v>1.066362678240144E-4</v>
      </c>
      <c r="N157" s="8">
        <v>1.057126252443108E-4</v>
      </c>
      <c r="O157" s="8">
        <v>1.047889826646072E-4</v>
      </c>
      <c r="P157" s="8">
        <v>1.0386534008490359E-4</v>
      </c>
      <c r="Q157" s="8">
        <v>1.029416975052E-4</v>
      </c>
      <c r="R157" s="8">
        <v>6.8452494201076547E-5</v>
      </c>
      <c r="S157" s="8">
        <v>3.3963290896953098E-5</v>
      </c>
      <c r="T157" s="8">
        <v>3.3741972316910459E-5</v>
      </c>
      <c r="U157" s="8">
        <v>3.3520653736867819E-5</v>
      </c>
      <c r="V157" s="8">
        <v>3.3299335156825179E-5</v>
      </c>
      <c r="W157" s="8">
        <v>3.307801657678254E-5</v>
      </c>
      <c r="X157" s="8">
        <v>3.28566979967399E-5</v>
      </c>
      <c r="Y157" s="8">
        <v>3.271821991102426E-5</v>
      </c>
      <c r="Z157" s="8">
        <v>3.257974182530862E-5</v>
      </c>
      <c r="AA157" s="8">
        <v>3.244126373959298E-5</v>
      </c>
      <c r="AB157" s="8">
        <v>3.230278565387734E-5</v>
      </c>
      <c r="AC157" s="8">
        <v>3.21643075681617E-5</v>
      </c>
      <c r="AD157" s="8">
        <v>3.1991408156035018E-5</v>
      </c>
      <c r="AE157" s="8">
        <v>3.1818508743908342E-5</v>
      </c>
      <c r="AF157" s="8">
        <v>3.1645609331781659E-5</v>
      </c>
      <c r="AG157" s="8">
        <v>3.1472709919654983E-5</v>
      </c>
      <c r="AH157" s="8">
        <v>3.12998105075283E-5</v>
      </c>
      <c r="AI157" s="8">
        <v>3.111366202891188E-5</v>
      </c>
      <c r="AJ157" s="8">
        <v>3.092751355029546E-5</v>
      </c>
      <c r="AK157" s="8">
        <v>3.0741365071679039E-5</v>
      </c>
      <c r="AL157" s="8">
        <v>3.0555216593062619E-5</v>
      </c>
      <c r="AM157" s="8">
        <v>3.0369068114446199E-5</v>
      </c>
    </row>
    <row r="158" spans="1:39" x14ac:dyDescent="0.25">
      <c r="A158" t="s">
        <v>252</v>
      </c>
      <c r="B158" t="s">
        <v>236</v>
      </c>
      <c r="C158" t="s">
        <v>295</v>
      </c>
      <c r="D158" t="s">
        <v>469</v>
      </c>
      <c r="E158" s="8">
        <v>5.8624552018150604</v>
      </c>
      <c r="F158" s="8">
        <v>5.8831690161464687</v>
      </c>
      <c r="G158" s="8">
        <v>5.9038828304778779</v>
      </c>
      <c r="H158" s="8">
        <v>5.9245966448092862</v>
      </c>
      <c r="I158" s="8">
        <v>5.9453104591406936</v>
      </c>
      <c r="J158" s="8">
        <v>5.9660242734721027</v>
      </c>
      <c r="K158" s="8">
        <v>5.9867380878035119</v>
      </c>
      <c r="L158" s="8">
        <v>6.0074519021349202</v>
      </c>
      <c r="M158" s="8">
        <v>6.0692517118182261</v>
      </c>
      <c r="N158" s="8">
        <v>6.131051521501532</v>
      </c>
      <c r="O158" s="8">
        <v>6.1928513311848379</v>
      </c>
      <c r="P158" s="8">
        <v>6.2546511408681438</v>
      </c>
      <c r="Q158" s="8">
        <v>6.3164509505514497</v>
      </c>
      <c r="R158" s="8">
        <v>6.3877471199018698</v>
      </c>
      <c r="S158" s="8">
        <v>6.45904328925229</v>
      </c>
      <c r="T158" s="8">
        <v>6.5100623103159743</v>
      </c>
      <c r="U158" s="8">
        <v>6.5610813313796577</v>
      </c>
      <c r="V158" s="8">
        <v>6.6121003524433419</v>
      </c>
      <c r="W158" s="8">
        <v>6.6631193735070253</v>
      </c>
      <c r="X158" s="8">
        <v>6.7141383945707096</v>
      </c>
      <c r="Y158" s="8">
        <v>6.735246282982156</v>
      </c>
      <c r="Z158" s="8">
        <v>6.7563541713936024</v>
      </c>
      <c r="AA158" s="8">
        <v>6.7774620598050479</v>
      </c>
      <c r="AB158" s="8">
        <v>6.7985699482164934</v>
      </c>
      <c r="AC158" s="8">
        <v>6.8196778366279398</v>
      </c>
      <c r="AD158" s="8">
        <v>6.8455867573045621</v>
      </c>
      <c r="AE158" s="8">
        <v>6.8714956779811844</v>
      </c>
      <c r="AF158" s="8">
        <v>6.8974045986578059</v>
      </c>
      <c r="AG158" s="8">
        <v>6.9233135193344273</v>
      </c>
      <c r="AH158" s="8">
        <v>6.9492224400110496</v>
      </c>
      <c r="AI158" s="8">
        <v>6.97809245950691</v>
      </c>
      <c r="AJ158" s="8">
        <v>7.0069624790027696</v>
      </c>
      <c r="AK158" s="8">
        <v>7.03583249849863</v>
      </c>
      <c r="AL158" s="8">
        <v>7.0647025179944896</v>
      </c>
      <c r="AM158" s="8">
        <v>7.09357253749035</v>
      </c>
    </row>
    <row r="159" spans="1:39" x14ac:dyDescent="0.25">
      <c r="A159" t="s">
        <v>252</v>
      </c>
      <c r="B159" t="s">
        <v>236</v>
      </c>
      <c r="C159" t="s">
        <v>297</v>
      </c>
      <c r="D159" t="s">
        <v>470</v>
      </c>
      <c r="E159" s="8">
        <v>0</v>
      </c>
      <c r="F159" s="8">
        <v>0</v>
      </c>
      <c r="G159" s="8">
        <v>0</v>
      </c>
      <c r="H159" s="8">
        <v>0</v>
      </c>
      <c r="I159" s="8">
        <v>0</v>
      </c>
      <c r="J159" s="8">
        <v>0</v>
      </c>
      <c r="K159" s="8">
        <v>0</v>
      </c>
      <c r="L159" s="8">
        <v>0</v>
      </c>
      <c r="M159" s="8">
        <v>0</v>
      </c>
      <c r="N159" s="8">
        <v>0</v>
      </c>
      <c r="O159" s="8">
        <v>0</v>
      </c>
      <c r="P159" s="8">
        <v>0</v>
      </c>
      <c r="Q159" s="8">
        <v>0</v>
      </c>
      <c r="R159" s="8">
        <v>0</v>
      </c>
      <c r="S159" s="8">
        <v>0</v>
      </c>
      <c r="T159" s="8">
        <v>0</v>
      </c>
      <c r="U159" s="8">
        <v>0</v>
      </c>
      <c r="V159" s="8">
        <v>0</v>
      </c>
      <c r="W159" s="8">
        <v>0</v>
      </c>
      <c r="X159" s="8">
        <v>0</v>
      </c>
      <c r="Y159" s="8">
        <v>0</v>
      </c>
      <c r="Z159" s="8">
        <v>0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8">
        <v>0</v>
      </c>
      <c r="AH159" s="8">
        <v>0</v>
      </c>
      <c r="AI159" s="8">
        <v>0</v>
      </c>
      <c r="AJ159" s="8">
        <v>0</v>
      </c>
      <c r="AK159" s="8">
        <v>0</v>
      </c>
      <c r="AL159" s="8">
        <v>0</v>
      </c>
      <c r="AM159" s="8">
        <v>0</v>
      </c>
    </row>
    <row r="160" spans="1:39" x14ac:dyDescent="0.25">
      <c r="A160" t="s">
        <v>252</v>
      </c>
      <c r="B160" t="s">
        <v>236</v>
      </c>
      <c r="C160" t="s">
        <v>299</v>
      </c>
      <c r="D160" t="s">
        <v>471</v>
      </c>
      <c r="E160" s="8">
        <v>0</v>
      </c>
      <c r="F160" s="8">
        <v>0</v>
      </c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8">
        <v>0</v>
      </c>
      <c r="M160" s="8">
        <v>0</v>
      </c>
      <c r="N160" s="8">
        <v>0</v>
      </c>
      <c r="O160" s="8">
        <v>0</v>
      </c>
      <c r="P160" s="8">
        <v>0</v>
      </c>
      <c r="Q160" s="8">
        <v>0</v>
      </c>
      <c r="R160" s="8">
        <v>0</v>
      </c>
      <c r="S160" s="8">
        <v>0</v>
      </c>
      <c r="T160" s="8">
        <v>0</v>
      </c>
      <c r="U160" s="8">
        <v>0</v>
      </c>
      <c r="V160" s="8">
        <v>0</v>
      </c>
      <c r="W160" s="8">
        <v>0</v>
      </c>
      <c r="X160" s="8">
        <v>0</v>
      </c>
      <c r="Y160" s="8">
        <v>0</v>
      </c>
      <c r="Z160" s="8">
        <v>0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8">
        <v>0</v>
      </c>
      <c r="AH160" s="8">
        <v>0</v>
      </c>
      <c r="AI160" s="8">
        <v>0</v>
      </c>
      <c r="AJ160" s="8">
        <v>0</v>
      </c>
      <c r="AK160" s="8">
        <v>0</v>
      </c>
      <c r="AL160" s="8">
        <v>0</v>
      </c>
      <c r="AM160" s="8">
        <v>0</v>
      </c>
    </row>
    <row r="161" spans="1:39" x14ac:dyDescent="0.25">
      <c r="A161" t="s">
        <v>252</v>
      </c>
      <c r="B161" t="s">
        <v>236</v>
      </c>
      <c r="C161" t="s">
        <v>301</v>
      </c>
      <c r="D161" t="s">
        <v>472</v>
      </c>
      <c r="E161" s="8">
        <v>0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8">
        <v>0</v>
      </c>
      <c r="AH161" s="8">
        <v>0</v>
      </c>
      <c r="AI161" s="8">
        <v>0</v>
      </c>
      <c r="AJ161" s="8">
        <v>0</v>
      </c>
      <c r="AK161" s="8">
        <v>0</v>
      </c>
      <c r="AL161" s="8">
        <v>0</v>
      </c>
      <c r="AM161" s="8">
        <v>0</v>
      </c>
    </row>
    <row r="162" spans="1:39" x14ac:dyDescent="0.25">
      <c r="A162" t="s">
        <v>252</v>
      </c>
      <c r="B162" t="s">
        <v>236</v>
      </c>
      <c r="C162" t="s">
        <v>303</v>
      </c>
      <c r="D162" t="s">
        <v>473</v>
      </c>
      <c r="E162" s="8">
        <v>0</v>
      </c>
      <c r="F162" s="8">
        <v>0</v>
      </c>
      <c r="G162" s="8">
        <v>0</v>
      </c>
      <c r="H162" s="8">
        <v>0</v>
      </c>
      <c r="I162" s="8">
        <v>0</v>
      </c>
      <c r="J162" s="8">
        <v>0</v>
      </c>
      <c r="K162" s="8">
        <v>0</v>
      </c>
      <c r="L162" s="8">
        <v>0</v>
      </c>
      <c r="M162" s="8">
        <v>0</v>
      </c>
      <c r="N162" s="8">
        <v>0</v>
      </c>
      <c r="O162" s="8">
        <v>0</v>
      </c>
      <c r="P162" s="8">
        <v>0</v>
      </c>
      <c r="Q162" s="8">
        <v>0</v>
      </c>
      <c r="R162" s="8">
        <v>0</v>
      </c>
      <c r="S162" s="8">
        <v>0</v>
      </c>
      <c r="T162" s="8">
        <v>0</v>
      </c>
      <c r="U162" s="8">
        <v>0</v>
      </c>
      <c r="V162" s="8">
        <v>0</v>
      </c>
      <c r="W162" s="8">
        <v>0</v>
      </c>
      <c r="X162" s="8">
        <v>0</v>
      </c>
      <c r="Y162" s="8">
        <v>0</v>
      </c>
      <c r="Z162" s="8">
        <v>0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8">
        <v>0</v>
      </c>
      <c r="AH162" s="8">
        <v>0</v>
      </c>
      <c r="AI162" s="8">
        <v>0</v>
      </c>
      <c r="AJ162" s="8">
        <v>0</v>
      </c>
      <c r="AK162" s="8">
        <v>0</v>
      </c>
      <c r="AL162" s="8">
        <v>0</v>
      </c>
      <c r="AM162" s="8">
        <v>0</v>
      </c>
    </row>
    <row r="163" spans="1:39" x14ac:dyDescent="0.25">
      <c r="A163" t="s">
        <v>252</v>
      </c>
      <c r="B163" t="s">
        <v>236</v>
      </c>
      <c r="C163" t="s">
        <v>305</v>
      </c>
      <c r="D163" t="s">
        <v>474</v>
      </c>
      <c r="E163" s="8">
        <v>3.04229794908535E-2</v>
      </c>
      <c r="F163" s="8">
        <v>3.074174498550724E-2</v>
      </c>
      <c r="G163" s="8">
        <v>3.106051048016099E-2</v>
      </c>
      <c r="H163" s="8">
        <v>3.1379275974814727E-2</v>
      </c>
      <c r="I163" s="8">
        <v>3.1698041469468467E-2</v>
      </c>
      <c r="J163" s="8">
        <v>3.2016806964122208E-2</v>
      </c>
      <c r="K163" s="8">
        <v>3.2335572458775962E-2</v>
      </c>
      <c r="L163" s="8">
        <v>3.2654337953429702E-2</v>
      </c>
      <c r="M163" s="8">
        <v>3.2867505663093717E-2</v>
      </c>
      <c r="N163" s="8">
        <v>3.3080673372757739E-2</v>
      </c>
      <c r="O163" s="8">
        <v>3.3293841082421761E-2</v>
      </c>
      <c r="P163" s="8">
        <v>3.3507008792085777E-2</v>
      </c>
      <c r="Q163" s="8">
        <v>3.3720176501749799E-2</v>
      </c>
      <c r="R163" s="8">
        <v>3.3910805761969802E-2</v>
      </c>
      <c r="S163" s="8">
        <v>3.4101435022189798E-2</v>
      </c>
      <c r="T163" s="8">
        <v>3.4258645040704638E-2</v>
      </c>
      <c r="U163" s="8">
        <v>3.4415855059219479E-2</v>
      </c>
      <c r="V163" s="8">
        <v>3.4573065077734319E-2</v>
      </c>
      <c r="W163" s="8">
        <v>3.4730275096249159E-2</v>
      </c>
      <c r="X163" s="8">
        <v>3.4887485114764E-2</v>
      </c>
      <c r="Y163" s="8">
        <v>3.5034746197388139E-2</v>
      </c>
      <c r="Z163" s="8">
        <v>3.5182007280012279E-2</v>
      </c>
      <c r="AA163" s="8">
        <v>3.5329268362636418E-2</v>
      </c>
      <c r="AB163" s="8">
        <v>3.5476529445260557E-2</v>
      </c>
      <c r="AC163" s="8">
        <v>3.5623790527884697E-2</v>
      </c>
      <c r="AD163" s="8">
        <v>3.5765974146242559E-2</v>
      </c>
      <c r="AE163" s="8">
        <v>3.5908157764600421E-2</v>
      </c>
      <c r="AF163" s="8">
        <v>3.6050341382958283E-2</v>
      </c>
      <c r="AG163" s="8">
        <v>3.6192525001316138E-2</v>
      </c>
      <c r="AH163" s="8">
        <v>3.6334708619674E-2</v>
      </c>
      <c r="AI163" s="8">
        <v>3.64662633750448E-2</v>
      </c>
      <c r="AJ163" s="8">
        <v>3.6597818130415599E-2</v>
      </c>
      <c r="AK163" s="8">
        <v>3.6729372885786399E-2</v>
      </c>
      <c r="AL163" s="8">
        <v>3.6860927641157198E-2</v>
      </c>
      <c r="AM163" s="8">
        <v>3.6992482396527998E-2</v>
      </c>
    </row>
    <row r="164" spans="1:39" x14ac:dyDescent="0.25">
      <c r="A164" t="s">
        <v>252</v>
      </c>
      <c r="B164" t="s">
        <v>236</v>
      </c>
      <c r="C164" t="s">
        <v>307</v>
      </c>
      <c r="D164" t="s">
        <v>475</v>
      </c>
      <c r="E164" s="8">
        <v>0.19908365726452301</v>
      </c>
      <c r="F164" s="8">
        <v>0.20025691556721201</v>
      </c>
      <c r="G164" s="8">
        <v>0.201430173869901</v>
      </c>
      <c r="H164" s="8">
        <v>0.20260343217259</v>
      </c>
      <c r="I164" s="8">
        <v>0.20377669047527899</v>
      </c>
      <c r="J164" s="8">
        <v>0.20494994877796799</v>
      </c>
      <c r="K164" s="8">
        <v>0.20612320708065701</v>
      </c>
      <c r="L164" s="8">
        <v>0.20729646538334601</v>
      </c>
      <c r="M164" s="8">
        <v>0.2092118077536502</v>
      </c>
      <c r="N164" s="8">
        <v>0.21112715012395439</v>
      </c>
      <c r="O164" s="8">
        <v>0.21304249249425861</v>
      </c>
      <c r="P164" s="8">
        <v>0.2149578348645628</v>
      </c>
      <c r="Q164" s="8">
        <v>0.21687317723486699</v>
      </c>
      <c r="R164" s="8">
        <v>0.2189391992954545</v>
      </c>
      <c r="S164" s="8">
        <v>0.221005221356042</v>
      </c>
      <c r="T164" s="8">
        <v>0.2225485424220438</v>
      </c>
      <c r="U164" s="8">
        <v>0.22409186348804561</v>
      </c>
      <c r="V164" s="8">
        <v>0.22563518455404741</v>
      </c>
      <c r="W164" s="8">
        <v>0.22717850562004921</v>
      </c>
      <c r="X164" s="8">
        <v>0.22872182668605101</v>
      </c>
      <c r="Y164" s="8">
        <v>0.22950780026592979</v>
      </c>
      <c r="Z164" s="8">
        <v>0.2302937738458086</v>
      </c>
      <c r="AA164" s="8">
        <v>0.2310797474256874</v>
      </c>
      <c r="AB164" s="8">
        <v>0.23186572100556621</v>
      </c>
      <c r="AC164" s="8">
        <v>0.23265169458544499</v>
      </c>
      <c r="AD164" s="8">
        <v>0.23355599443306119</v>
      </c>
      <c r="AE164" s="8">
        <v>0.23446029428067741</v>
      </c>
      <c r="AF164" s="8">
        <v>0.23536459412829361</v>
      </c>
      <c r="AG164" s="8">
        <v>0.23626889397590981</v>
      </c>
      <c r="AH164" s="8">
        <v>0.237173193823526</v>
      </c>
      <c r="AI164" s="8">
        <v>0.2381256179054754</v>
      </c>
      <c r="AJ164" s="8">
        <v>0.2390780419874248</v>
      </c>
      <c r="AK164" s="8">
        <v>0.2400304660693742</v>
      </c>
      <c r="AL164" s="8">
        <v>0.2409828901513236</v>
      </c>
      <c r="AM164" s="8">
        <v>0.241935314233273</v>
      </c>
    </row>
    <row r="165" spans="1:39" x14ac:dyDescent="0.25">
      <c r="A165" t="s">
        <v>252</v>
      </c>
      <c r="B165" t="s">
        <v>236</v>
      </c>
      <c r="C165" t="s">
        <v>309</v>
      </c>
      <c r="D165" t="s">
        <v>476</v>
      </c>
      <c r="E165" s="8">
        <v>9.1048553587192906E-3</v>
      </c>
      <c r="F165" s="8">
        <v>9.1884042599066854E-3</v>
      </c>
      <c r="G165" s="8">
        <v>9.2719531610940785E-3</v>
      </c>
      <c r="H165" s="8">
        <v>9.3555020622814733E-3</v>
      </c>
      <c r="I165" s="8">
        <v>9.4390509634688681E-3</v>
      </c>
      <c r="J165" s="8">
        <v>9.5225998646562629E-3</v>
      </c>
      <c r="K165" s="8">
        <v>9.606148765843656E-3</v>
      </c>
      <c r="L165" s="8">
        <v>9.6896976670310508E-3</v>
      </c>
      <c r="M165" s="8">
        <v>9.7818944546321212E-3</v>
      </c>
      <c r="N165" s="8">
        <v>9.8740912422331899E-3</v>
      </c>
      <c r="O165" s="8">
        <v>9.9662880298342603E-3</v>
      </c>
      <c r="P165" s="8">
        <v>1.0058484817435331E-2</v>
      </c>
      <c r="Q165" s="8">
        <v>1.0150681605036399E-2</v>
      </c>
      <c r="R165" s="8">
        <v>1.02455710282812E-2</v>
      </c>
      <c r="S165" s="8">
        <v>1.0340460451526E-2</v>
      </c>
      <c r="T165" s="8">
        <v>1.042909032840106E-2</v>
      </c>
      <c r="U165" s="8">
        <v>1.051772020527612E-2</v>
      </c>
      <c r="V165" s="8">
        <v>1.060635008215118E-2</v>
      </c>
      <c r="W165" s="8">
        <v>1.0694979959026241E-2</v>
      </c>
      <c r="X165" s="8">
        <v>1.0783609835901301E-2</v>
      </c>
      <c r="Y165" s="8">
        <v>1.08579242497867E-2</v>
      </c>
      <c r="Z165" s="8">
        <v>1.09322386636721E-2</v>
      </c>
      <c r="AA165" s="8">
        <v>1.1006553077557499E-2</v>
      </c>
      <c r="AB165" s="8">
        <v>1.10808674914429E-2</v>
      </c>
      <c r="AC165" s="8">
        <v>1.11551819053283E-2</v>
      </c>
      <c r="AD165" s="8">
        <v>1.121868487952728E-2</v>
      </c>
      <c r="AE165" s="8">
        <v>1.1282187853726261E-2</v>
      </c>
      <c r="AF165" s="8">
        <v>1.1345690827925241E-2</v>
      </c>
      <c r="AG165" s="8">
        <v>1.1409193802124219E-2</v>
      </c>
      <c r="AH165" s="8">
        <v>1.1472696776323199E-2</v>
      </c>
      <c r="AI165" s="8">
        <v>1.1531923252418939E-2</v>
      </c>
      <c r="AJ165" s="8">
        <v>1.1591149728514679E-2</v>
      </c>
      <c r="AK165" s="8">
        <v>1.1650376204610419E-2</v>
      </c>
      <c r="AL165" s="8">
        <v>1.1709602680706159E-2</v>
      </c>
      <c r="AM165" s="8">
        <v>1.1768829156801899E-2</v>
      </c>
    </row>
    <row r="166" spans="1:39" x14ac:dyDescent="0.25">
      <c r="A166" t="s">
        <v>252</v>
      </c>
      <c r="B166" t="s">
        <v>236</v>
      </c>
      <c r="C166" t="s">
        <v>311</v>
      </c>
      <c r="D166" t="s">
        <v>477</v>
      </c>
      <c r="E166" s="8">
        <v>1.05552626652678E-3</v>
      </c>
      <c r="F166" s="8">
        <v>1.064099364135351E-3</v>
      </c>
      <c r="G166" s="8">
        <v>1.072672461743923E-3</v>
      </c>
      <c r="H166" s="8">
        <v>1.081245559352494E-3</v>
      </c>
      <c r="I166" s="8">
        <v>1.0898186569610661E-3</v>
      </c>
      <c r="J166" s="8">
        <v>1.098391754569637E-3</v>
      </c>
      <c r="K166" s="8">
        <v>1.1069648521782091E-3</v>
      </c>
      <c r="L166" s="8">
        <v>1.11553794978678E-3</v>
      </c>
      <c r="M166" s="8">
        <v>1.122005375322948E-3</v>
      </c>
      <c r="N166" s="8">
        <v>1.1284728008591159E-3</v>
      </c>
      <c r="O166" s="8">
        <v>1.1349402263952839E-3</v>
      </c>
      <c r="P166" s="8">
        <v>1.1414076519314521E-3</v>
      </c>
      <c r="Q166" s="8">
        <v>1.14787507746762E-3</v>
      </c>
      <c r="R166" s="8">
        <v>1.1548540288173249E-3</v>
      </c>
      <c r="S166" s="8">
        <v>1.16183298016703E-3</v>
      </c>
      <c r="T166" s="8">
        <v>1.168470593995148E-3</v>
      </c>
      <c r="U166" s="8">
        <v>1.175108207823266E-3</v>
      </c>
      <c r="V166" s="8">
        <v>1.181745821651384E-3</v>
      </c>
      <c r="W166" s="8">
        <v>1.188383435479502E-3</v>
      </c>
      <c r="X166" s="8">
        <v>1.1950210493076199E-3</v>
      </c>
      <c r="Y166" s="8">
        <v>1.199795291747386E-3</v>
      </c>
      <c r="Z166" s="8">
        <v>1.2045695341871519E-3</v>
      </c>
      <c r="AA166" s="8">
        <v>1.209343776626918E-3</v>
      </c>
      <c r="AB166" s="8">
        <v>1.2141180190666839E-3</v>
      </c>
      <c r="AC166" s="8">
        <v>1.21889226150645E-3</v>
      </c>
      <c r="AD166" s="8">
        <v>1.223441030369158E-3</v>
      </c>
      <c r="AE166" s="8">
        <v>1.2279897992318661E-3</v>
      </c>
      <c r="AF166" s="8">
        <v>1.232538568094574E-3</v>
      </c>
      <c r="AG166" s="8">
        <v>1.237087336957282E-3</v>
      </c>
      <c r="AH166" s="8">
        <v>1.2416361058199901E-3</v>
      </c>
      <c r="AI166" s="8">
        <v>1.2460294954797981E-3</v>
      </c>
      <c r="AJ166" s="8">
        <v>1.2504228851396061E-3</v>
      </c>
      <c r="AK166" s="8">
        <v>1.2548162747994141E-3</v>
      </c>
      <c r="AL166" s="8">
        <v>1.2592096644592221E-3</v>
      </c>
      <c r="AM166" s="8">
        <v>1.2636030541190301E-3</v>
      </c>
    </row>
    <row r="167" spans="1:39" x14ac:dyDescent="0.25">
      <c r="A167" t="s">
        <v>252</v>
      </c>
      <c r="B167" t="s">
        <v>236</v>
      </c>
      <c r="C167" t="s">
        <v>313</v>
      </c>
      <c r="D167" t="s">
        <v>478</v>
      </c>
      <c r="E167" s="8">
        <v>7.1905178726968198E-3</v>
      </c>
      <c r="F167" s="8">
        <v>7.4300402064121788E-3</v>
      </c>
      <c r="G167" s="8">
        <v>7.6695625401275369E-3</v>
      </c>
      <c r="H167" s="8">
        <v>7.9090848738428959E-3</v>
      </c>
      <c r="I167" s="8">
        <v>8.148607207558254E-3</v>
      </c>
      <c r="J167" s="8">
        <v>8.3881295412736121E-3</v>
      </c>
      <c r="K167" s="8">
        <v>8.627651874988972E-3</v>
      </c>
      <c r="L167" s="8">
        <v>8.8671742087043301E-3</v>
      </c>
      <c r="M167" s="8">
        <v>9.1328150578513043E-3</v>
      </c>
      <c r="N167" s="8">
        <v>9.3984559069982786E-3</v>
      </c>
      <c r="O167" s="8">
        <v>9.6640967561452511E-3</v>
      </c>
      <c r="P167" s="8">
        <v>9.9297376052922253E-3</v>
      </c>
      <c r="Q167" s="8">
        <v>1.01953784544392E-2</v>
      </c>
      <c r="R167" s="8">
        <v>1.04460257677311E-2</v>
      </c>
      <c r="S167" s="8">
        <v>1.0696673081022999E-2</v>
      </c>
      <c r="T167" s="8">
        <v>1.0898338312052801E-2</v>
      </c>
      <c r="U167" s="8">
        <v>1.11000035430826E-2</v>
      </c>
      <c r="V167" s="8">
        <v>1.13016687741124E-2</v>
      </c>
      <c r="W167" s="8">
        <v>1.15033340051422E-2</v>
      </c>
      <c r="X167" s="8">
        <v>1.1704999236171999E-2</v>
      </c>
      <c r="Y167" s="8">
        <v>1.18352781260894E-2</v>
      </c>
      <c r="Z167" s="8">
        <v>1.19655570160068E-2</v>
      </c>
      <c r="AA167" s="8">
        <v>1.2095835905924199E-2</v>
      </c>
      <c r="AB167" s="8">
        <v>1.2226114795841601E-2</v>
      </c>
      <c r="AC167" s="8">
        <v>1.2356393685759E-2</v>
      </c>
      <c r="AD167" s="8">
        <v>1.242529943374302E-2</v>
      </c>
      <c r="AE167" s="8">
        <v>1.2494205181727039E-2</v>
      </c>
      <c r="AF167" s="8">
        <v>1.256311092971106E-2</v>
      </c>
      <c r="AG167" s="8">
        <v>1.263201667769508E-2</v>
      </c>
      <c r="AH167" s="8">
        <v>1.27009224256791E-2</v>
      </c>
      <c r="AI167" s="8">
        <v>1.27533647326552E-2</v>
      </c>
      <c r="AJ167" s="8">
        <v>1.2805807039631301E-2</v>
      </c>
      <c r="AK167" s="8">
        <v>1.2858249346607399E-2</v>
      </c>
      <c r="AL167" s="8">
        <v>1.29106916535835E-2</v>
      </c>
      <c r="AM167" s="8">
        <v>1.2963133960559601E-2</v>
      </c>
    </row>
    <row r="168" spans="1:39" x14ac:dyDescent="0.25">
      <c r="A168" t="s">
        <v>252</v>
      </c>
      <c r="B168" t="s">
        <v>236</v>
      </c>
      <c r="C168" t="s">
        <v>315</v>
      </c>
      <c r="D168" t="s">
        <v>479</v>
      </c>
      <c r="E168" s="8">
        <v>9.5538102780685392</v>
      </c>
      <c r="F168" s="8">
        <v>9.5768484019422271</v>
      </c>
      <c r="G168" s="8">
        <v>9.5998865258159167</v>
      </c>
      <c r="H168" s="8">
        <v>9.6229246496896046</v>
      </c>
      <c r="I168" s="8">
        <v>9.6459627735632942</v>
      </c>
      <c r="J168" s="8">
        <v>9.6690008974369821</v>
      </c>
      <c r="K168" s="8">
        <v>9.6920390213106717</v>
      </c>
      <c r="L168" s="8">
        <v>9.7150771451843596</v>
      </c>
      <c r="M168" s="8">
        <v>9.7392993286236891</v>
      </c>
      <c r="N168" s="8">
        <v>9.7635215120630203</v>
      </c>
      <c r="O168" s="8">
        <v>9.7877436955023498</v>
      </c>
      <c r="P168" s="8">
        <v>9.811965878941681</v>
      </c>
      <c r="Q168" s="8">
        <v>9.8361880623810105</v>
      </c>
      <c r="R168" s="8">
        <v>9.8717146511057265</v>
      </c>
      <c r="S168" s="8">
        <v>9.9072412398304408</v>
      </c>
      <c r="T168" s="8">
        <v>9.9676523885896131</v>
      </c>
      <c r="U168" s="8">
        <v>10.028063537348791</v>
      </c>
      <c r="V168" s="8">
        <v>10.088474686107959</v>
      </c>
      <c r="W168" s="8">
        <v>10.14888583486713</v>
      </c>
      <c r="X168" s="8">
        <v>10.209296983626301</v>
      </c>
      <c r="Y168" s="8">
        <v>10.29138115977304</v>
      </c>
      <c r="Z168" s="8">
        <v>10.37346533591978</v>
      </c>
      <c r="AA168" s="8">
        <v>10.45554951206652</v>
      </c>
      <c r="AB168" s="8">
        <v>10.53763368821326</v>
      </c>
      <c r="AC168" s="8">
        <v>10.61971786436</v>
      </c>
      <c r="AD168" s="8">
        <v>10.702310720586681</v>
      </c>
      <c r="AE168" s="8">
        <v>10.78490357681336</v>
      </c>
      <c r="AF168" s="8">
        <v>10.86749643304004</v>
      </c>
      <c r="AG168" s="8">
        <v>10.950089289266719</v>
      </c>
      <c r="AH168" s="8">
        <v>11.0326821454934</v>
      </c>
      <c r="AI168" s="8">
        <v>11.10439798427876</v>
      </c>
      <c r="AJ168" s="8">
        <v>11.176113823064121</v>
      </c>
      <c r="AK168" s="8">
        <v>11.24782966184948</v>
      </c>
      <c r="AL168" s="8">
        <v>11.31954550063484</v>
      </c>
      <c r="AM168" s="8">
        <v>11.3912613394202</v>
      </c>
    </row>
    <row r="169" spans="1:39" x14ac:dyDescent="0.25">
      <c r="A169" t="s">
        <v>252</v>
      </c>
      <c r="B169" t="s">
        <v>236</v>
      </c>
      <c r="C169" t="s">
        <v>317</v>
      </c>
      <c r="D169" t="s">
        <v>480</v>
      </c>
      <c r="E169" s="8">
        <v>1.6040350234399099</v>
      </c>
      <c r="F169" s="8">
        <v>1.6096822940840041</v>
      </c>
      <c r="G169" s="8">
        <v>1.615329564728099</v>
      </c>
      <c r="H169" s="8">
        <v>1.6209768353721929</v>
      </c>
      <c r="I169" s="8">
        <v>1.6266241060162869</v>
      </c>
      <c r="J169" s="8">
        <v>1.6322713766603809</v>
      </c>
      <c r="K169" s="8">
        <v>1.637918647304476</v>
      </c>
      <c r="L169" s="8">
        <v>1.64356591794857</v>
      </c>
      <c r="M169" s="8">
        <v>1.6487400196978499</v>
      </c>
      <c r="N169" s="8">
        <v>1.65391412144713</v>
      </c>
      <c r="O169" s="8">
        <v>1.6590882231964099</v>
      </c>
      <c r="P169" s="8">
        <v>1.66426232494569</v>
      </c>
      <c r="Q169" s="8">
        <v>1.6694364266949699</v>
      </c>
      <c r="R169" s="8">
        <v>1.6761994413539449</v>
      </c>
      <c r="S169" s="8">
        <v>1.6829624560129199</v>
      </c>
      <c r="T169" s="8">
        <v>1.6928950677643759</v>
      </c>
      <c r="U169" s="8">
        <v>1.7028276795158319</v>
      </c>
      <c r="V169" s="8">
        <v>1.7127602912672879</v>
      </c>
      <c r="W169" s="8">
        <v>1.7226929030187439</v>
      </c>
      <c r="X169" s="8">
        <v>1.7326255147702001</v>
      </c>
      <c r="Y169" s="8">
        <v>1.7451134441393821</v>
      </c>
      <c r="Z169" s="8">
        <v>1.757601373508564</v>
      </c>
      <c r="AA169" s="8">
        <v>1.770089302877746</v>
      </c>
      <c r="AB169" s="8">
        <v>1.782577232246928</v>
      </c>
      <c r="AC169" s="8">
        <v>1.79506516161611</v>
      </c>
      <c r="AD169" s="8">
        <v>1.80885963164682</v>
      </c>
      <c r="AE169" s="8">
        <v>1.8226541016775299</v>
      </c>
      <c r="AF169" s="8">
        <v>1.8364485717082399</v>
      </c>
      <c r="AG169" s="8">
        <v>1.8502430417389499</v>
      </c>
      <c r="AH169" s="8">
        <v>1.8640375117696599</v>
      </c>
      <c r="AI169" s="8">
        <v>1.876278789179108</v>
      </c>
      <c r="AJ169" s="8">
        <v>1.888520066588556</v>
      </c>
      <c r="AK169" s="8">
        <v>1.900761343998004</v>
      </c>
      <c r="AL169" s="8">
        <v>1.913002621407452</v>
      </c>
      <c r="AM169" s="8">
        <v>1.9252438988169001</v>
      </c>
    </row>
    <row r="170" spans="1:39" x14ac:dyDescent="0.25">
      <c r="A170" t="s">
        <v>252</v>
      </c>
      <c r="B170" t="s">
        <v>236</v>
      </c>
      <c r="C170" t="s">
        <v>319</v>
      </c>
      <c r="D170" t="s">
        <v>481</v>
      </c>
      <c r="E170" s="8">
        <v>7.90932874845541E-4</v>
      </c>
      <c r="F170" s="8">
        <v>8.0564495603490716E-4</v>
      </c>
      <c r="G170" s="8">
        <v>8.2035703722427333E-4</v>
      </c>
      <c r="H170" s="8">
        <v>8.3506911841363949E-4</v>
      </c>
      <c r="I170" s="8">
        <v>8.4978119960300554E-4</v>
      </c>
      <c r="J170" s="8">
        <v>8.644932807923717E-4</v>
      </c>
      <c r="K170" s="8">
        <v>8.7920536198173786E-4</v>
      </c>
      <c r="L170" s="8">
        <v>8.9391744317110402E-4</v>
      </c>
      <c r="M170" s="8">
        <v>9.1170872342160843E-4</v>
      </c>
      <c r="N170" s="8">
        <v>9.2950000367211284E-4</v>
      </c>
      <c r="O170" s="8">
        <v>9.4729128392261725E-4</v>
      </c>
      <c r="P170" s="8">
        <v>9.6508256417312166E-4</v>
      </c>
      <c r="Q170" s="8">
        <v>9.8287384442362607E-4</v>
      </c>
      <c r="R170" s="8">
        <v>1.001708600844978E-3</v>
      </c>
      <c r="S170" s="8">
        <v>1.0205433572663301E-3</v>
      </c>
      <c r="T170" s="8">
        <v>1.0407375653218201E-3</v>
      </c>
      <c r="U170" s="8">
        <v>1.0609317733773101E-3</v>
      </c>
      <c r="V170" s="8">
        <v>1.0811259814328001E-3</v>
      </c>
      <c r="W170" s="8">
        <v>1.1013201894882899E-3</v>
      </c>
      <c r="X170" s="8">
        <v>1.1215143975437799E-3</v>
      </c>
      <c r="Y170" s="8">
        <v>1.138605777537738E-3</v>
      </c>
      <c r="Z170" s="8">
        <v>1.155697157531696E-3</v>
      </c>
      <c r="AA170" s="8">
        <v>1.1727885375256541E-3</v>
      </c>
      <c r="AB170" s="8">
        <v>1.189879917519612E-3</v>
      </c>
      <c r="AC170" s="8">
        <v>1.20697129751357E-3</v>
      </c>
      <c r="AD170" s="8">
        <v>1.215641188529432E-3</v>
      </c>
      <c r="AE170" s="8">
        <v>1.224311079545294E-3</v>
      </c>
      <c r="AF170" s="8">
        <v>1.232980970561156E-3</v>
      </c>
      <c r="AG170" s="8">
        <v>1.241650861577018E-3</v>
      </c>
      <c r="AH170" s="8">
        <v>1.25032075259288E-3</v>
      </c>
      <c r="AI170" s="8">
        <v>1.254515471040596E-3</v>
      </c>
      <c r="AJ170" s="8">
        <v>1.2587101894883121E-3</v>
      </c>
      <c r="AK170" s="8">
        <v>1.262904907936028E-3</v>
      </c>
      <c r="AL170" s="8">
        <v>1.267099626383744E-3</v>
      </c>
      <c r="AM170" s="8">
        <v>1.2712943448314599E-3</v>
      </c>
    </row>
    <row r="171" spans="1:39" x14ac:dyDescent="0.25">
      <c r="A171" t="s">
        <v>252</v>
      </c>
      <c r="B171" t="s">
        <v>236</v>
      </c>
      <c r="C171" t="s">
        <v>321</v>
      </c>
      <c r="D171" t="s">
        <v>482</v>
      </c>
      <c r="E171" s="8">
        <v>1.41844776564254E-3</v>
      </c>
      <c r="F171" s="8">
        <v>1.4650639529235269E-3</v>
      </c>
      <c r="G171" s="8">
        <v>1.5116801402045141E-3</v>
      </c>
      <c r="H171" s="8">
        <v>1.558296327485501E-3</v>
      </c>
      <c r="I171" s="8">
        <v>1.604912514766489E-3</v>
      </c>
      <c r="J171" s="8">
        <v>1.6515287020474759E-3</v>
      </c>
      <c r="K171" s="8">
        <v>1.698144889328463E-3</v>
      </c>
      <c r="L171" s="8">
        <v>1.74476107660945E-3</v>
      </c>
      <c r="M171" s="8">
        <v>1.7985120307113919E-3</v>
      </c>
      <c r="N171" s="8">
        <v>1.8522629848133341E-3</v>
      </c>
      <c r="O171" s="8">
        <v>1.9060139389152761E-3</v>
      </c>
      <c r="P171" s="8">
        <v>1.959764893017218E-3</v>
      </c>
      <c r="Q171" s="8">
        <v>2.01351584711916E-3</v>
      </c>
      <c r="R171" s="8">
        <v>2.0650173974986301E-3</v>
      </c>
      <c r="S171" s="8">
        <v>2.1165189478781002E-3</v>
      </c>
      <c r="T171" s="8">
        <v>2.1606090135631618E-3</v>
      </c>
      <c r="U171" s="8">
        <v>2.2046990792482239E-3</v>
      </c>
      <c r="V171" s="8">
        <v>2.248789144933286E-3</v>
      </c>
      <c r="W171" s="8">
        <v>2.2928792106183481E-3</v>
      </c>
      <c r="X171" s="8">
        <v>2.3369692763034102E-3</v>
      </c>
      <c r="Y171" s="8">
        <v>2.3664104529150542E-3</v>
      </c>
      <c r="Z171" s="8">
        <v>2.3958516295266982E-3</v>
      </c>
      <c r="AA171" s="8">
        <v>2.4252928061383422E-3</v>
      </c>
      <c r="AB171" s="8">
        <v>2.4547339827499862E-3</v>
      </c>
      <c r="AC171" s="8">
        <v>2.4841751593616302E-3</v>
      </c>
      <c r="AD171" s="8">
        <v>2.4998192125707821E-3</v>
      </c>
      <c r="AE171" s="8">
        <v>2.515463265779934E-3</v>
      </c>
      <c r="AF171" s="8">
        <v>2.5311073189890859E-3</v>
      </c>
      <c r="AG171" s="8">
        <v>2.5467513721982378E-3</v>
      </c>
      <c r="AH171" s="8">
        <v>2.5623954254073902E-3</v>
      </c>
      <c r="AI171" s="8">
        <v>2.5729732535996462E-3</v>
      </c>
      <c r="AJ171" s="8">
        <v>2.5835510817919021E-3</v>
      </c>
      <c r="AK171" s="8">
        <v>2.5941289099841581E-3</v>
      </c>
      <c r="AL171" s="8">
        <v>2.6047067381764141E-3</v>
      </c>
      <c r="AM171" s="8">
        <v>2.6152845663686701E-3</v>
      </c>
    </row>
    <row r="172" spans="1:39" x14ac:dyDescent="0.25">
      <c r="A172" t="s">
        <v>252</v>
      </c>
      <c r="B172" t="s">
        <v>236</v>
      </c>
      <c r="C172" t="s">
        <v>323</v>
      </c>
      <c r="D172" t="s">
        <v>483</v>
      </c>
      <c r="E172" s="8">
        <v>5.1606535009144101E-3</v>
      </c>
      <c r="F172" s="8">
        <v>5.3166429245927859E-3</v>
      </c>
      <c r="G172" s="8">
        <v>5.4726323482711618E-3</v>
      </c>
      <c r="H172" s="8">
        <v>5.6286217719495376E-3</v>
      </c>
      <c r="I172" s="8">
        <v>5.7846111956279126E-3</v>
      </c>
      <c r="J172" s="8">
        <v>5.9406006193062884E-3</v>
      </c>
      <c r="K172" s="8">
        <v>6.0965900429846643E-3</v>
      </c>
      <c r="L172" s="8">
        <v>6.2525794666630401E-3</v>
      </c>
      <c r="M172" s="8">
        <v>6.4628978669370139E-3</v>
      </c>
      <c r="N172" s="8">
        <v>6.6732162672109878E-3</v>
      </c>
      <c r="O172" s="8">
        <v>6.8835346674849616E-3</v>
      </c>
      <c r="P172" s="8">
        <v>7.0938530677589363E-3</v>
      </c>
      <c r="Q172" s="8">
        <v>7.3041714680329101E-3</v>
      </c>
      <c r="R172" s="8">
        <v>7.5273134610323103E-3</v>
      </c>
      <c r="S172" s="8">
        <v>7.7504554540317096E-3</v>
      </c>
      <c r="T172" s="8">
        <v>7.9736738902960423E-3</v>
      </c>
      <c r="U172" s="8">
        <v>8.1968923265603733E-3</v>
      </c>
      <c r="V172" s="8">
        <v>8.4201107628247059E-3</v>
      </c>
      <c r="W172" s="8">
        <v>8.6433291990890369E-3</v>
      </c>
      <c r="X172" s="8">
        <v>8.8665476353533695E-3</v>
      </c>
      <c r="Y172" s="8">
        <v>9.0274459339396689E-3</v>
      </c>
      <c r="Z172" s="8">
        <v>9.18834423252597E-3</v>
      </c>
      <c r="AA172" s="8">
        <v>9.3492425311122694E-3</v>
      </c>
      <c r="AB172" s="8">
        <v>9.5101408296985705E-3</v>
      </c>
      <c r="AC172" s="8">
        <v>9.6710391282848699E-3</v>
      </c>
      <c r="AD172" s="8">
        <v>9.7488639188860766E-3</v>
      </c>
      <c r="AE172" s="8">
        <v>9.8266887094872815E-3</v>
      </c>
      <c r="AF172" s="8">
        <v>9.9045135000884882E-3</v>
      </c>
      <c r="AG172" s="8">
        <v>9.9823382906896931E-3</v>
      </c>
      <c r="AH172" s="8">
        <v>1.00601630812909E-2</v>
      </c>
      <c r="AI172" s="8">
        <v>1.008394714752546E-2</v>
      </c>
      <c r="AJ172" s="8">
        <v>1.010773121376002E-2</v>
      </c>
      <c r="AK172" s="8">
        <v>1.013151527999458E-2</v>
      </c>
      <c r="AL172" s="8">
        <v>1.015529934622914E-2</v>
      </c>
      <c r="AM172" s="8">
        <v>1.0179083412463701E-2</v>
      </c>
    </row>
    <row r="173" spans="1:39" x14ac:dyDescent="0.25">
      <c r="A173" t="s">
        <v>252</v>
      </c>
      <c r="B173" t="s">
        <v>236</v>
      </c>
      <c r="C173" t="s">
        <v>325</v>
      </c>
      <c r="D173" t="s">
        <v>484</v>
      </c>
      <c r="E173" s="8">
        <v>6.7426446742571103E-4</v>
      </c>
      <c r="F173" s="8">
        <v>6.9634770164743529E-4</v>
      </c>
      <c r="G173" s="8">
        <v>7.1843093586915956E-4</v>
      </c>
      <c r="H173" s="8">
        <v>7.4051417009088382E-4</v>
      </c>
      <c r="I173" s="8">
        <v>7.6259740431260819E-4</v>
      </c>
      <c r="J173" s="8">
        <v>7.8468063853433245E-4</v>
      </c>
      <c r="K173" s="8">
        <v>8.0676387275605672E-4</v>
      </c>
      <c r="L173" s="8">
        <v>8.2884710697778098E-4</v>
      </c>
      <c r="M173" s="8">
        <v>8.5099669363783534E-4</v>
      </c>
      <c r="N173" s="8">
        <v>8.7314628029788982E-4</v>
      </c>
      <c r="O173" s="8">
        <v>8.9529586695794418E-4</v>
      </c>
      <c r="P173" s="8">
        <v>9.1744545361799866E-4</v>
      </c>
      <c r="Q173" s="8">
        <v>9.3959504027805302E-4</v>
      </c>
      <c r="R173" s="8">
        <v>9.5815668254178106E-4</v>
      </c>
      <c r="S173" s="8">
        <v>9.76718324805509E-4</v>
      </c>
      <c r="T173" s="8">
        <v>9.8888917426859127E-4</v>
      </c>
      <c r="U173" s="8">
        <v>1.0010600237316731E-3</v>
      </c>
      <c r="V173" s="8">
        <v>1.013230873194756E-3</v>
      </c>
      <c r="W173" s="8">
        <v>1.0254017226578381E-3</v>
      </c>
      <c r="X173" s="8">
        <v>1.0375725721209199E-3</v>
      </c>
      <c r="Y173" s="8">
        <v>1.0435902065098761E-3</v>
      </c>
      <c r="Z173" s="8">
        <v>1.049607840898832E-3</v>
      </c>
      <c r="AA173" s="8">
        <v>1.055625475287788E-3</v>
      </c>
      <c r="AB173" s="8">
        <v>1.061643109676744E-3</v>
      </c>
      <c r="AC173" s="8">
        <v>1.0676607440656999E-3</v>
      </c>
      <c r="AD173" s="8">
        <v>1.071237472825266E-3</v>
      </c>
      <c r="AE173" s="8">
        <v>1.0748142015848321E-3</v>
      </c>
      <c r="AF173" s="8">
        <v>1.0783909303443979E-3</v>
      </c>
      <c r="AG173" s="8">
        <v>1.081967659103964E-3</v>
      </c>
      <c r="AH173" s="8">
        <v>1.0855443878635301E-3</v>
      </c>
      <c r="AI173" s="8">
        <v>1.0907268787358759E-3</v>
      </c>
      <c r="AJ173" s="8">
        <v>1.095909369608222E-3</v>
      </c>
      <c r="AK173" s="8">
        <v>1.1010918604805681E-3</v>
      </c>
      <c r="AL173" s="8">
        <v>1.106274351352914E-3</v>
      </c>
      <c r="AM173" s="8">
        <v>1.1114568422252601E-3</v>
      </c>
    </row>
    <row r="174" spans="1:39" x14ac:dyDescent="0.25">
      <c r="A174" t="s">
        <v>252</v>
      </c>
      <c r="B174" t="s">
        <v>236</v>
      </c>
      <c r="C174" t="s">
        <v>327</v>
      </c>
      <c r="D174" t="s">
        <v>485</v>
      </c>
      <c r="E174" s="8">
        <v>6.1465733165994496E-4</v>
      </c>
      <c r="F174" s="8">
        <v>6.3564698712168639E-4</v>
      </c>
      <c r="G174" s="8">
        <v>6.5663664258342781E-4</v>
      </c>
      <c r="H174" s="8">
        <v>6.7762629804516924E-4</v>
      </c>
      <c r="I174" s="8">
        <v>6.9861595350691067E-4</v>
      </c>
      <c r="J174" s="8">
        <v>7.196056089686521E-4</v>
      </c>
      <c r="K174" s="8">
        <v>7.4059526443039352E-4</v>
      </c>
      <c r="L174" s="8">
        <v>7.6158491989213495E-4</v>
      </c>
      <c r="M174" s="8">
        <v>7.8220345035732541E-4</v>
      </c>
      <c r="N174" s="8">
        <v>8.0282198082251577E-4</v>
      </c>
      <c r="O174" s="8">
        <v>8.2344051128770623E-4</v>
      </c>
      <c r="P174" s="8">
        <v>8.4405904175289658E-4</v>
      </c>
      <c r="Q174" s="8">
        <v>8.6467757221808704E-4</v>
      </c>
      <c r="R174" s="8">
        <v>8.8173366318618001E-4</v>
      </c>
      <c r="S174" s="8">
        <v>8.9878975415427298E-4</v>
      </c>
      <c r="T174" s="8">
        <v>9.0929178771132575E-4</v>
      </c>
      <c r="U174" s="8">
        <v>9.1979382126837863E-4</v>
      </c>
      <c r="V174" s="8">
        <v>9.302958548254314E-4</v>
      </c>
      <c r="W174" s="8">
        <v>9.4079788838248427E-4</v>
      </c>
      <c r="X174" s="8">
        <v>9.5129992193953704E-4</v>
      </c>
      <c r="Y174" s="8">
        <v>9.5627501297453662E-4</v>
      </c>
      <c r="Z174" s="8">
        <v>9.612501040095362E-4</v>
      </c>
      <c r="AA174" s="8">
        <v>9.6622519504453589E-4</v>
      </c>
      <c r="AB174" s="8">
        <v>9.7120028607953547E-4</v>
      </c>
      <c r="AC174" s="8">
        <v>9.7617537711453505E-4</v>
      </c>
      <c r="AD174" s="8">
        <v>9.7894777257171101E-4</v>
      </c>
      <c r="AE174" s="8">
        <v>9.8172016802888697E-4</v>
      </c>
      <c r="AF174" s="8">
        <v>9.8449256348606315E-4</v>
      </c>
      <c r="AG174" s="8">
        <v>9.8726495894323912E-4</v>
      </c>
      <c r="AH174" s="8">
        <v>9.9003735440041508E-4</v>
      </c>
      <c r="AI174" s="8">
        <v>9.9488550563993816E-4</v>
      </c>
      <c r="AJ174" s="8">
        <v>9.9973365687946103E-4</v>
      </c>
      <c r="AK174" s="8">
        <v>1.0045818081189841E-3</v>
      </c>
      <c r="AL174" s="8">
        <v>1.009429959358507E-3</v>
      </c>
      <c r="AM174" s="8">
        <v>1.0142781105980301E-3</v>
      </c>
    </row>
    <row r="175" spans="1:39" x14ac:dyDescent="0.25">
      <c r="A175" t="s">
        <v>252</v>
      </c>
      <c r="B175" t="s">
        <v>236</v>
      </c>
      <c r="C175" t="s">
        <v>329</v>
      </c>
      <c r="D175" t="s">
        <v>486</v>
      </c>
      <c r="E175" s="8">
        <v>1.6364239292867501E-4</v>
      </c>
      <c r="F175" s="8">
        <v>1.663758860099893E-4</v>
      </c>
      <c r="G175" s="8">
        <v>1.6910937909130359E-4</v>
      </c>
      <c r="H175" s="8">
        <v>1.7184287217261791E-4</v>
      </c>
      <c r="I175" s="8">
        <v>1.7457636525393221E-4</v>
      </c>
      <c r="J175" s="8">
        <v>1.7730985833524639E-4</v>
      </c>
      <c r="K175" s="8">
        <v>1.8004335141656071E-4</v>
      </c>
      <c r="L175" s="8">
        <v>1.82776844497875E-4</v>
      </c>
      <c r="M175" s="8">
        <v>1.8552982905714881E-4</v>
      </c>
      <c r="N175" s="8">
        <v>1.8828281361642259E-4</v>
      </c>
      <c r="O175" s="8">
        <v>1.910357981756964E-4</v>
      </c>
      <c r="P175" s="8">
        <v>1.937887827349702E-4</v>
      </c>
      <c r="Q175" s="8">
        <v>1.9654176729424401E-4</v>
      </c>
      <c r="R175" s="8">
        <v>1.99127783842921E-4</v>
      </c>
      <c r="S175" s="8">
        <v>2.0171380039159801E-4</v>
      </c>
      <c r="T175" s="8">
        <v>2.0374912070529461E-4</v>
      </c>
      <c r="U175" s="8">
        <v>2.0578444101899119E-4</v>
      </c>
      <c r="V175" s="8">
        <v>2.0781976133268779E-4</v>
      </c>
      <c r="W175" s="8">
        <v>2.098550816463844E-4</v>
      </c>
      <c r="X175" s="8">
        <v>2.11890401960081E-4</v>
      </c>
      <c r="Y175" s="8">
        <v>2.1328941005429561E-4</v>
      </c>
      <c r="Z175" s="8">
        <v>2.1468841814851019E-4</v>
      </c>
      <c r="AA175" s="8">
        <v>2.160874262427248E-4</v>
      </c>
      <c r="AB175" s="8">
        <v>2.174864343369394E-4</v>
      </c>
      <c r="AC175" s="8">
        <v>2.1888544243115401E-4</v>
      </c>
      <c r="AD175" s="8">
        <v>2.200083175780022E-4</v>
      </c>
      <c r="AE175" s="8">
        <v>2.2113119272485041E-4</v>
      </c>
      <c r="AF175" s="8">
        <v>2.2225406787169859E-4</v>
      </c>
      <c r="AG175" s="8">
        <v>2.2337694301854681E-4</v>
      </c>
      <c r="AH175" s="8">
        <v>2.2449981816539499E-4</v>
      </c>
      <c r="AI175" s="8">
        <v>2.2573934850370379E-4</v>
      </c>
      <c r="AJ175" s="8">
        <v>2.2697887884201261E-4</v>
      </c>
      <c r="AK175" s="8">
        <v>2.2821840918032141E-4</v>
      </c>
      <c r="AL175" s="8">
        <v>2.2945793951863021E-4</v>
      </c>
      <c r="AM175" s="8">
        <v>2.30697469856939E-4</v>
      </c>
    </row>
    <row r="176" spans="1:39" x14ac:dyDescent="0.25">
      <c r="A176" t="s">
        <v>252</v>
      </c>
      <c r="B176" t="s">
        <v>236</v>
      </c>
      <c r="C176" t="s">
        <v>331</v>
      </c>
      <c r="D176" t="s">
        <v>487</v>
      </c>
      <c r="E176" s="8">
        <v>3.4741630447493901E-3</v>
      </c>
      <c r="F176" s="8">
        <v>3.5376288228526139E-3</v>
      </c>
      <c r="G176" s="8">
        <v>3.6010946009558389E-3</v>
      </c>
      <c r="H176" s="8">
        <v>3.6645603790590631E-3</v>
      </c>
      <c r="I176" s="8">
        <v>3.7280261571622868E-3</v>
      </c>
      <c r="J176" s="8">
        <v>3.791491935265511E-3</v>
      </c>
      <c r="K176" s="8">
        <v>3.854957713368736E-3</v>
      </c>
      <c r="L176" s="8">
        <v>3.9184234914719602E-3</v>
      </c>
      <c r="M176" s="8">
        <v>3.9914008667347456E-3</v>
      </c>
      <c r="N176" s="8">
        <v>4.0643782419975318E-3</v>
      </c>
      <c r="O176" s="8">
        <v>4.1373556172603181E-3</v>
      </c>
      <c r="P176" s="8">
        <v>4.2103329925231034E-3</v>
      </c>
      <c r="Q176" s="8">
        <v>4.2833103677858897E-3</v>
      </c>
      <c r="R176" s="8">
        <v>4.3548122147141098E-3</v>
      </c>
      <c r="S176" s="8">
        <v>4.4263140616423299E-3</v>
      </c>
      <c r="T176" s="8">
        <v>4.495644168890112E-3</v>
      </c>
      <c r="U176" s="8">
        <v>4.5649742761378941E-3</v>
      </c>
      <c r="V176" s="8">
        <v>4.6343043833856762E-3</v>
      </c>
      <c r="W176" s="8">
        <v>4.7036344906334583E-3</v>
      </c>
      <c r="X176" s="8">
        <v>4.7729645978812404E-3</v>
      </c>
      <c r="Y176" s="8">
        <v>4.8287390829326116E-3</v>
      </c>
      <c r="Z176" s="8">
        <v>4.8845135679839854E-3</v>
      </c>
      <c r="AA176" s="8">
        <v>4.9402880530353558E-3</v>
      </c>
      <c r="AB176" s="8">
        <v>4.9960625380867279E-3</v>
      </c>
      <c r="AC176" s="8">
        <v>5.0518370231380999E-3</v>
      </c>
      <c r="AD176" s="8">
        <v>5.0906840653232024E-3</v>
      </c>
      <c r="AE176" s="8">
        <v>5.129531107508304E-3</v>
      </c>
      <c r="AF176" s="8">
        <v>5.1683781496934056E-3</v>
      </c>
      <c r="AG176" s="8">
        <v>5.2072251918785081E-3</v>
      </c>
      <c r="AH176" s="8">
        <v>5.2460722340636097E-3</v>
      </c>
      <c r="AI176" s="8">
        <v>5.2752180102107957E-3</v>
      </c>
      <c r="AJ176" s="8">
        <v>5.3043637863579816E-3</v>
      </c>
      <c r="AK176" s="8">
        <v>5.3335095625051676E-3</v>
      </c>
      <c r="AL176" s="8">
        <v>5.3626553386523536E-3</v>
      </c>
      <c r="AM176" s="8">
        <v>5.3918011147995404E-3</v>
      </c>
    </row>
    <row r="177" spans="1:39" x14ac:dyDescent="0.25">
      <c r="A177" t="s">
        <v>252</v>
      </c>
      <c r="B177" t="s">
        <v>236</v>
      </c>
      <c r="C177" t="s">
        <v>333</v>
      </c>
      <c r="D177" t="s">
        <v>488</v>
      </c>
      <c r="E177" s="8">
        <v>0</v>
      </c>
      <c r="F177" s="8">
        <v>0</v>
      </c>
      <c r="G177" s="8">
        <v>0</v>
      </c>
      <c r="H177" s="8">
        <v>0</v>
      </c>
      <c r="I177" s="8">
        <v>0</v>
      </c>
      <c r="J177" s="8">
        <v>0</v>
      </c>
      <c r="K177" s="8">
        <v>0</v>
      </c>
      <c r="L177" s="8">
        <v>0</v>
      </c>
      <c r="M177" s="8">
        <v>0</v>
      </c>
      <c r="N177" s="8">
        <v>0</v>
      </c>
      <c r="O177" s="8">
        <v>0</v>
      </c>
      <c r="P177" s="8">
        <v>0</v>
      </c>
      <c r="Q177" s="8">
        <v>0</v>
      </c>
      <c r="R177" s="8">
        <v>0</v>
      </c>
      <c r="S177" s="8">
        <v>0</v>
      </c>
      <c r="T177" s="8">
        <v>0</v>
      </c>
      <c r="U177" s="8">
        <v>0</v>
      </c>
      <c r="V177" s="8">
        <v>0</v>
      </c>
      <c r="W177" s="8">
        <v>0</v>
      </c>
      <c r="X177" s="8">
        <v>0</v>
      </c>
      <c r="Y177" s="8">
        <v>0</v>
      </c>
      <c r="Z177" s="8">
        <v>0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8">
        <v>0</v>
      </c>
      <c r="AH177" s="8">
        <v>0</v>
      </c>
      <c r="AI177" s="8">
        <v>0</v>
      </c>
      <c r="AJ177" s="8">
        <v>0</v>
      </c>
      <c r="AK177" s="8">
        <v>0</v>
      </c>
      <c r="AL177" s="8">
        <v>0</v>
      </c>
      <c r="AM177" s="8">
        <v>0</v>
      </c>
    </row>
    <row r="178" spans="1:39" x14ac:dyDescent="0.25">
      <c r="A178" t="s">
        <v>252</v>
      </c>
      <c r="B178" t="s">
        <v>244</v>
      </c>
      <c r="C178" t="s">
        <v>53</v>
      </c>
      <c r="D178" t="s">
        <v>489</v>
      </c>
      <c r="E178" s="8">
        <v>4.8888361415194799E-3</v>
      </c>
      <c r="F178" s="8">
        <v>4.9179807210231541E-3</v>
      </c>
      <c r="G178" s="8">
        <v>4.9471253005268284E-3</v>
      </c>
      <c r="H178" s="8">
        <v>4.9762698800305026E-3</v>
      </c>
      <c r="I178" s="8">
        <v>5.0054144595341769E-3</v>
      </c>
      <c r="J178" s="8">
        <v>5.0345590390378512E-3</v>
      </c>
      <c r="K178" s="8">
        <v>5.0637036185415254E-3</v>
      </c>
      <c r="L178" s="8">
        <v>5.0928481980451997E-3</v>
      </c>
      <c r="M178" s="8">
        <v>5.1581943281164694E-3</v>
      </c>
      <c r="N178" s="8">
        <v>5.22354045818774E-3</v>
      </c>
      <c r="O178" s="8">
        <v>5.2888865882590097E-3</v>
      </c>
      <c r="P178" s="8">
        <v>5.3542327183302802E-3</v>
      </c>
      <c r="Q178" s="8">
        <v>5.41957884840155E-3</v>
      </c>
      <c r="R178" s="8">
        <v>5.5454875818517647E-3</v>
      </c>
      <c r="S178" s="8">
        <v>5.6713963153019803E-3</v>
      </c>
      <c r="T178" s="8">
        <v>5.7546464466605284E-3</v>
      </c>
      <c r="U178" s="8">
        <v>5.8378965780190766E-3</v>
      </c>
      <c r="V178" s="8">
        <v>5.9211467093776239E-3</v>
      </c>
      <c r="W178" s="8">
        <v>6.004396840736172E-3</v>
      </c>
      <c r="X178" s="8">
        <v>6.0876469720947202E-3</v>
      </c>
      <c r="Y178" s="8">
        <v>6.1526790504909494E-3</v>
      </c>
      <c r="Z178" s="8">
        <v>6.217711128887176E-3</v>
      </c>
      <c r="AA178" s="8">
        <v>6.2827432072834043E-3</v>
      </c>
      <c r="AB178" s="8">
        <v>6.3477752856796318E-3</v>
      </c>
      <c r="AC178" s="8">
        <v>6.4128073640758601E-3</v>
      </c>
      <c r="AD178" s="8">
        <v>6.4476132747578602E-3</v>
      </c>
      <c r="AE178" s="8">
        <v>6.4824191854398602E-3</v>
      </c>
      <c r="AF178" s="8">
        <v>6.5172250961218602E-3</v>
      </c>
      <c r="AG178" s="8">
        <v>6.5520310068038603E-3</v>
      </c>
      <c r="AH178" s="8">
        <v>6.5868369174858603E-3</v>
      </c>
      <c r="AI178" s="8">
        <v>6.5938699722984939E-3</v>
      </c>
      <c r="AJ178" s="8">
        <v>6.6009030271111284E-3</v>
      </c>
      <c r="AK178" s="8">
        <v>6.6079360819237621E-3</v>
      </c>
      <c r="AL178" s="8">
        <v>6.6149691367363966E-3</v>
      </c>
      <c r="AM178" s="8">
        <v>6.6220021915490302E-3</v>
      </c>
    </row>
    <row r="179" spans="1:39" x14ac:dyDescent="0.25">
      <c r="A179" t="s">
        <v>252</v>
      </c>
      <c r="B179" t="s">
        <v>244</v>
      </c>
      <c r="C179" t="s">
        <v>293</v>
      </c>
      <c r="D179" t="s">
        <v>490</v>
      </c>
      <c r="E179" s="8">
        <v>2.1622455527304598E-5</v>
      </c>
      <c r="F179" s="8">
        <v>2.1395635986712331E-5</v>
      </c>
      <c r="G179" s="8">
        <v>2.116881644612006E-5</v>
      </c>
      <c r="H179" s="8">
        <v>2.0941996905527788E-5</v>
      </c>
      <c r="I179" s="8">
        <v>2.0715177364935511E-5</v>
      </c>
      <c r="J179" s="8">
        <v>2.0488357824343239E-5</v>
      </c>
      <c r="K179" s="8">
        <v>2.0261538283750968E-5</v>
      </c>
      <c r="L179" s="8">
        <v>2.0034718743158701E-5</v>
      </c>
      <c r="M179" s="8">
        <v>1.986445243248282E-5</v>
      </c>
      <c r="N179" s="8">
        <v>1.969418612180694E-5</v>
      </c>
      <c r="O179" s="8">
        <v>1.9523919811131059E-5</v>
      </c>
      <c r="P179" s="8">
        <v>1.9353653500455179E-5</v>
      </c>
      <c r="Q179" s="8">
        <v>1.9183387189779302E-5</v>
      </c>
      <c r="R179" s="8">
        <v>1.2775375885065439E-5</v>
      </c>
      <c r="S179" s="8">
        <v>6.3673645803515797E-6</v>
      </c>
      <c r="T179" s="8">
        <v>6.3274150318266082E-6</v>
      </c>
      <c r="U179" s="8">
        <v>6.2874654833016358E-6</v>
      </c>
      <c r="V179" s="8">
        <v>6.2475159347766643E-6</v>
      </c>
      <c r="W179" s="8">
        <v>6.2075663862516919E-6</v>
      </c>
      <c r="X179" s="8">
        <v>6.1676168377267204E-6</v>
      </c>
      <c r="Y179" s="8">
        <v>6.1425727147229521E-6</v>
      </c>
      <c r="Z179" s="8">
        <v>6.1175285917191838E-6</v>
      </c>
      <c r="AA179" s="8">
        <v>6.0924844687154164E-6</v>
      </c>
      <c r="AB179" s="8">
        <v>6.0674403457116481E-6</v>
      </c>
      <c r="AC179" s="8">
        <v>6.0423962227078798E-6</v>
      </c>
      <c r="AD179" s="8">
        <v>6.0109487439784516E-6</v>
      </c>
      <c r="AE179" s="8">
        <v>5.9795012652490242E-6</v>
      </c>
      <c r="AF179" s="8">
        <v>5.948053786519596E-6</v>
      </c>
      <c r="AG179" s="8">
        <v>5.9166063077901686E-6</v>
      </c>
      <c r="AH179" s="8">
        <v>5.8851588290607404E-6</v>
      </c>
      <c r="AI179" s="8">
        <v>5.8508131993855602E-6</v>
      </c>
      <c r="AJ179" s="8">
        <v>5.81646756971038E-6</v>
      </c>
      <c r="AK179" s="8">
        <v>5.7821219400352006E-6</v>
      </c>
      <c r="AL179" s="8">
        <v>5.7477763103600196E-6</v>
      </c>
      <c r="AM179" s="8">
        <v>5.7134306806848402E-6</v>
      </c>
    </row>
    <row r="180" spans="1:39" x14ac:dyDescent="0.25">
      <c r="A180" t="s">
        <v>252</v>
      </c>
      <c r="B180" t="s">
        <v>244</v>
      </c>
      <c r="C180" t="s">
        <v>295</v>
      </c>
      <c r="D180" t="s">
        <v>491</v>
      </c>
      <c r="E180" s="8">
        <v>1.07532273683756</v>
      </c>
      <c r="F180" s="8">
        <v>1.078854520840258</v>
      </c>
      <c r="G180" s="8">
        <v>1.0823863048429569</v>
      </c>
      <c r="H180" s="8">
        <v>1.0859180888456561</v>
      </c>
      <c r="I180" s="8">
        <v>1.0894498728483539</v>
      </c>
      <c r="J180" s="8">
        <v>1.0929816568510531</v>
      </c>
      <c r="K180" s="8">
        <v>1.096513440853752</v>
      </c>
      <c r="L180" s="8">
        <v>1.1000452248564501</v>
      </c>
      <c r="M180" s="8">
        <v>1.1115144082731541</v>
      </c>
      <c r="N180" s="8">
        <v>1.1229835916898581</v>
      </c>
      <c r="O180" s="8">
        <v>1.1344527751065621</v>
      </c>
      <c r="P180" s="8">
        <v>1.1459219585232661</v>
      </c>
      <c r="Q180" s="8">
        <v>1.1573911419399701</v>
      </c>
      <c r="R180" s="8">
        <v>1.17077804966775</v>
      </c>
      <c r="S180" s="8">
        <v>1.18416495739553</v>
      </c>
      <c r="T180" s="8">
        <v>1.193931105722398</v>
      </c>
      <c r="U180" s="8">
        <v>1.2036972540492661</v>
      </c>
      <c r="V180" s="8">
        <v>1.2134634023761339</v>
      </c>
      <c r="W180" s="8">
        <v>1.223229550703002</v>
      </c>
      <c r="X180" s="8">
        <v>1.2329956990298701</v>
      </c>
      <c r="Y180" s="8">
        <v>1.237175584983458</v>
      </c>
      <c r="Z180" s="8">
        <v>1.241355470937046</v>
      </c>
      <c r="AA180" s="8">
        <v>1.245535356890634</v>
      </c>
      <c r="AB180" s="8">
        <v>1.249715242844222</v>
      </c>
      <c r="AC180" s="8">
        <v>1.25389512879781</v>
      </c>
      <c r="AD180" s="8">
        <v>1.2589784798019841</v>
      </c>
      <c r="AE180" s="8">
        <v>1.264061830806158</v>
      </c>
      <c r="AF180" s="8">
        <v>1.2691451818103321</v>
      </c>
      <c r="AG180" s="8">
        <v>1.274228532814506</v>
      </c>
      <c r="AH180" s="8">
        <v>1.2793118838186801</v>
      </c>
      <c r="AI180" s="8">
        <v>1.2849206351925599</v>
      </c>
      <c r="AJ180" s="8">
        <v>1.29052938656644</v>
      </c>
      <c r="AK180" s="8">
        <v>1.2961381379403201</v>
      </c>
      <c r="AL180" s="8">
        <v>1.3017468893141999</v>
      </c>
      <c r="AM180" s="8">
        <v>1.30735564068808</v>
      </c>
    </row>
    <row r="181" spans="1:39" x14ac:dyDescent="0.25">
      <c r="A181" t="s">
        <v>252</v>
      </c>
      <c r="B181" t="s">
        <v>244</v>
      </c>
      <c r="C181" t="s">
        <v>297</v>
      </c>
      <c r="D181" t="s">
        <v>492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8">
        <v>0</v>
      </c>
      <c r="O181" s="8">
        <v>0</v>
      </c>
      <c r="P181" s="8">
        <v>0</v>
      </c>
      <c r="Q181" s="8">
        <v>0</v>
      </c>
      <c r="R181" s="8">
        <v>0</v>
      </c>
      <c r="S181" s="8">
        <v>0</v>
      </c>
      <c r="T181" s="8">
        <v>0</v>
      </c>
      <c r="U181" s="8">
        <v>0</v>
      </c>
      <c r="V181" s="8">
        <v>0</v>
      </c>
      <c r="W181" s="8">
        <v>0</v>
      </c>
      <c r="X181" s="8">
        <v>0</v>
      </c>
      <c r="Y181" s="8">
        <v>0</v>
      </c>
      <c r="Z181" s="8">
        <v>0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8">
        <v>0</v>
      </c>
      <c r="AH181" s="8">
        <v>0</v>
      </c>
      <c r="AI181" s="8">
        <v>0</v>
      </c>
      <c r="AJ181" s="8">
        <v>0</v>
      </c>
      <c r="AK181" s="8">
        <v>0</v>
      </c>
      <c r="AL181" s="8">
        <v>0</v>
      </c>
      <c r="AM181" s="8">
        <v>0</v>
      </c>
    </row>
    <row r="182" spans="1:39" x14ac:dyDescent="0.25">
      <c r="A182" t="s">
        <v>252</v>
      </c>
      <c r="B182" t="s">
        <v>244</v>
      </c>
      <c r="C182" t="s">
        <v>299</v>
      </c>
      <c r="D182" t="s">
        <v>493</v>
      </c>
      <c r="E182" s="8">
        <v>0</v>
      </c>
      <c r="F182" s="8">
        <v>0</v>
      </c>
      <c r="G182" s="8">
        <v>0</v>
      </c>
      <c r="H182" s="8">
        <v>0</v>
      </c>
      <c r="I182" s="8">
        <v>0</v>
      </c>
      <c r="J182" s="8">
        <v>0</v>
      </c>
      <c r="K182" s="8">
        <v>0</v>
      </c>
      <c r="L182" s="8">
        <v>0</v>
      </c>
      <c r="M182" s="8">
        <v>0</v>
      </c>
      <c r="N182" s="8">
        <v>0</v>
      </c>
      <c r="O182" s="8">
        <v>0</v>
      </c>
      <c r="P182" s="8">
        <v>0</v>
      </c>
      <c r="Q182" s="8">
        <v>0</v>
      </c>
      <c r="R182" s="8">
        <v>0</v>
      </c>
      <c r="S182" s="8">
        <v>0</v>
      </c>
      <c r="T182" s="8">
        <v>0</v>
      </c>
      <c r="U182" s="8">
        <v>0</v>
      </c>
      <c r="V182" s="8">
        <v>0</v>
      </c>
      <c r="W182" s="8">
        <v>0</v>
      </c>
      <c r="X182" s="8">
        <v>0</v>
      </c>
      <c r="Y182" s="8">
        <v>0</v>
      </c>
      <c r="Z182" s="8">
        <v>0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 s="8">
        <v>0</v>
      </c>
      <c r="AH182" s="8">
        <v>0</v>
      </c>
      <c r="AI182" s="8">
        <v>0</v>
      </c>
      <c r="AJ182" s="8">
        <v>0</v>
      </c>
      <c r="AK182" s="8">
        <v>0</v>
      </c>
      <c r="AL182" s="8">
        <v>0</v>
      </c>
      <c r="AM182" s="8">
        <v>0</v>
      </c>
    </row>
    <row r="183" spans="1:39" x14ac:dyDescent="0.25">
      <c r="A183" t="s">
        <v>252</v>
      </c>
      <c r="B183" t="s">
        <v>244</v>
      </c>
      <c r="C183" t="s">
        <v>301</v>
      </c>
      <c r="D183" t="s">
        <v>494</v>
      </c>
      <c r="E183" s="8">
        <v>0</v>
      </c>
      <c r="F183" s="8">
        <v>0</v>
      </c>
      <c r="G183" s="8">
        <v>0</v>
      </c>
      <c r="H183" s="8">
        <v>0</v>
      </c>
      <c r="I183" s="8">
        <v>0</v>
      </c>
      <c r="J183" s="8">
        <v>0</v>
      </c>
      <c r="K183" s="8">
        <v>0</v>
      </c>
      <c r="L183" s="8">
        <v>0</v>
      </c>
      <c r="M183" s="8">
        <v>0</v>
      </c>
      <c r="N183" s="8">
        <v>0</v>
      </c>
      <c r="O183" s="8">
        <v>0</v>
      </c>
      <c r="P183" s="8">
        <v>0</v>
      </c>
      <c r="Q183" s="8">
        <v>0</v>
      </c>
      <c r="R183" s="8">
        <v>0</v>
      </c>
      <c r="S183" s="8">
        <v>0</v>
      </c>
      <c r="T183" s="8">
        <v>0</v>
      </c>
      <c r="U183" s="8">
        <v>0</v>
      </c>
      <c r="V183" s="8">
        <v>0</v>
      </c>
      <c r="W183" s="8">
        <v>0</v>
      </c>
      <c r="X183" s="8">
        <v>0</v>
      </c>
      <c r="Y183" s="8">
        <v>0</v>
      </c>
      <c r="Z183" s="8">
        <v>0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 s="8">
        <v>0</v>
      </c>
      <c r="AH183" s="8">
        <v>0</v>
      </c>
      <c r="AI183" s="8">
        <v>0</v>
      </c>
      <c r="AJ183" s="8">
        <v>0</v>
      </c>
      <c r="AK183" s="8">
        <v>0</v>
      </c>
      <c r="AL183" s="8">
        <v>0</v>
      </c>
      <c r="AM183" s="8">
        <v>0</v>
      </c>
    </row>
    <row r="184" spans="1:39" x14ac:dyDescent="0.25">
      <c r="A184" t="s">
        <v>252</v>
      </c>
      <c r="B184" t="s">
        <v>244</v>
      </c>
      <c r="C184" t="s">
        <v>303</v>
      </c>
      <c r="D184" t="s">
        <v>495</v>
      </c>
      <c r="E184" s="8">
        <v>0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8">
        <v>0</v>
      </c>
      <c r="O184" s="8">
        <v>0</v>
      </c>
      <c r="P184" s="8">
        <v>0</v>
      </c>
      <c r="Q184" s="8">
        <v>0</v>
      </c>
      <c r="R184" s="8">
        <v>0</v>
      </c>
      <c r="S184" s="8">
        <v>0</v>
      </c>
      <c r="T184" s="8">
        <v>0</v>
      </c>
      <c r="U184" s="8">
        <v>0</v>
      </c>
      <c r="V184" s="8">
        <v>0</v>
      </c>
      <c r="W184" s="8">
        <v>0</v>
      </c>
      <c r="X184" s="8">
        <v>0</v>
      </c>
      <c r="Y184" s="8">
        <v>0</v>
      </c>
      <c r="Z184" s="8">
        <v>0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8">
        <v>0</v>
      </c>
      <c r="AH184" s="8">
        <v>0</v>
      </c>
      <c r="AI184" s="8">
        <v>0</v>
      </c>
      <c r="AJ184" s="8">
        <v>0</v>
      </c>
      <c r="AK184" s="8">
        <v>0</v>
      </c>
      <c r="AL184" s="8">
        <v>0</v>
      </c>
      <c r="AM184" s="8">
        <v>0</v>
      </c>
    </row>
    <row r="185" spans="1:39" x14ac:dyDescent="0.25">
      <c r="A185" t="s">
        <v>252</v>
      </c>
      <c r="B185" t="s">
        <v>244</v>
      </c>
      <c r="C185" t="s">
        <v>305</v>
      </c>
      <c r="D185" t="s">
        <v>496</v>
      </c>
      <c r="E185" s="8">
        <v>5.5590634569131102E-3</v>
      </c>
      <c r="F185" s="8">
        <v>5.6182775629586273E-3</v>
      </c>
      <c r="G185" s="8">
        <v>5.6774916690041444E-3</v>
      </c>
      <c r="H185" s="8">
        <v>5.7367057750496624E-3</v>
      </c>
      <c r="I185" s="8">
        <v>5.7959198810951787E-3</v>
      </c>
      <c r="J185" s="8">
        <v>5.8551339871406958E-3</v>
      </c>
      <c r="K185" s="8">
        <v>5.9143480931862129E-3</v>
      </c>
      <c r="L185" s="8">
        <v>5.97356219923173E-3</v>
      </c>
      <c r="M185" s="8">
        <v>6.0137868457517119E-3</v>
      </c>
      <c r="N185" s="8">
        <v>6.0540114922716937E-3</v>
      </c>
      <c r="O185" s="8">
        <v>6.0942361387916763E-3</v>
      </c>
      <c r="P185" s="8">
        <v>6.1344607853116582E-3</v>
      </c>
      <c r="Q185" s="8">
        <v>6.17468543183164E-3</v>
      </c>
      <c r="R185" s="8">
        <v>6.2109304056397448E-3</v>
      </c>
      <c r="S185" s="8">
        <v>6.2471753794478497E-3</v>
      </c>
      <c r="T185" s="8">
        <v>6.2776180453156596E-3</v>
      </c>
      <c r="U185" s="8">
        <v>6.3080607111834696E-3</v>
      </c>
      <c r="V185" s="8">
        <v>6.3385033770512796E-3</v>
      </c>
      <c r="W185" s="8">
        <v>6.3689460429190896E-3</v>
      </c>
      <c r="X185" s="8">
        <v>6.3993887087868996E-3</v>
      </c>
      <c r="Y185" s="8">
        <v>6.4280339655596978E-3</v>
      </c>
      <c r="Z185" s="8">
        <v>6.4566792223324961E-3</v>
      </c>
      <c r="AA185" s="8">
        <v>6.4853244791052934E-3</v>
      </c>
      <c r="AB185" s="8">
        <v>6.5139697358780916E-3</v>
      </c>
      <c r="AC185" s="8">
        <v>6.5426149926508899E-3</v>
      </c>
      <c r="AD185" s="8">
        <v>6.5703260419886656E-3</v>
      </c>
      <c r="AE185" s="8">
        <v>6.5980370913264422E-3</v>
      </c>
      <c r="AF185" s="8">
        <v>6.625748140664218E-3</v>
      </c>
      <c r="AG185" s="8">
        <v>6.6534591900019946E-3</v>
      </c>
      <c r="AH185" s="8">
        <v>6.6811702393397704E-3</v>
      </c>
      <c r="AI185" s="8">
        <v>6.7065306331350241E-3</v>
      </c>
      <c r="AJ185" s="8">
        <v>6.7318910269302777E-3</v>
      </c>
      <c r="AK185" s="8">
        <v>6.7572514207255322E-3</v>
      </c>
      <c r="AL185" s="8">
        <v>6.7826118145207859E-3</v>
      </c>
      <c r="AM185" s="8">
        <v>6.8079722083160396E-3</v>
      </c>
    </row>
    <row r="186" spans="1:39" x14ac:dyDescent="0.25">
      <c r="A186" t="s">
        <v>252</v>
      </c>
      <c r="B186" t="s">
        <v>244</v>
      </c>
      <c r="C186" t="s">
        <v>307</v>
      </c>
      <c r="D186" t="s">
        <v>497</v>
      </c>
      <c r="E186" s="8">
        <v>3.64786324382654E-2</v>
      </c>
      <c r="F186" s="8">
        <v>3.668890958585664E-2</v>
      </c>
      <c r="G186" s="8">
        <v>3.6899186733447893E-2</v>
      </c>
      <c r="H186" s="8">
        <v>3.7109463881039133E-2</v>
      </c>
      <c r="I186" s="8">
        <v>3.7319741028630372E-2</v>
      </c>
      <c r="J186" s="8">
        <v>3.7530018176221612E-2</v>
      </c>
      <c r="K186" s="8">
        <v>3.7740295323812859E-2</v>
      </c>
      <c r="L186" s="8">
        <v>3.7950572471404098E-2</v>
      </c>
      <c r="M186" s="8">
        <v>3.8307187885936837E-2</v>
      </c>
      <c r="N186" s="8">
        <v>3.8663803300469583E-2</v>
      </c>
      <c r="O186" s="8">
        <v>3.9020418715002322E-2</v>
      </c>
      <c r="P186" s="8">
        <v>3.9377034129535061E-2</v>
      </c>
      <c r="Q186" s="8">
        <v>3.9733649544067801E-2</v>
      </c>
      <c r="R186" s="8">
        <v>4.0122391652295752E-2</v>
      </c>
      <c r="S186" s="8">
        <v>4.0511133760523697E-2</v>
      </c>
      <c r="T186" s="8">
        <v>4.08071495533096E-2</v>
      </c>
      <c r="U186" s="8">
        <v>4.1103165346095497E-2</v>
      </c>
      <c r="V186" s="8">
        <v>4.13991811388814E-2</v>
      </c>
      <c r="W186" s="8">
        <v>4.1695196931667303E-2</v>
      </c>
      <c r="X186" s="8">
        <v>4.1991212724453199E-2</v>
      </c>
      <c r="Y186" s="8">
        <v>4.214605625494712E-2</v>
      </c>
      <c r="Z186" s="8">
        <v>4.2300899785441042E-2</v>
      </c>
      <c r="AA186" s="8">
        <v>4.2455743315934963E-2</v>
      </c>
      <c r="AB186" s="8">
        <v>4.2610586846428877E-2</v>
      </c>
      <c r="AC186" s="8">
        <v>4.2765430376922799E-2</v>
      </c>
      <c r="AD186" s="8">
        <v>4.2942419453289658E-2</v>
      </c>
      <c r="AE186" s="8">
        <v>4.3119408529656518E-2</v>
      </c>
      <c r="AF186" s="8">
        <v>4.3296397606023378E-2</v>
      </c>
      <c r="AG186" s="8">
        <v>4.3473386682390237E-2</v>
      </c>
      <c r="AH186" s="8">
        <v>4.3650375758757097E-2</v>
      </c>
      <c r="AI186" s="8">
        <v>4.3835064603359737E-2</v>
      </c>
      <c r="AJ186" s="8">
        <v>4.4019753447962377E-2</v>
      </c>
      <c r="AK186" s="8">
        <v>4.4204442292565017E-2</v>
      </c>
      <c r="AL186" s="8">
        <v>4.4389131137167658E-2</v>
      </c>
      <c r="AM186" s="8">
        <v>4.4573819981770298E-2</v>
      </c>
    </row>
    <row r="187" spans="1:39" x14ac:dyDescent="0.25">
      <c r="A187" t="s">
        <v>252</v>
      </c>
      <c r="B187" t="s">
        <v>244</v>
      </c>
      <c r="C187" t="s">
        <v>309</v>
      </c>
      <c r="D187" t="s">
        <v>498</v>
      </c>
      <c r="E187" s="8">
        <v>1.6736239561271099E-3</v>
      </c>
      <c r="F187" s="8">
        <v>1.689277042051086E-3</v>
      </c>
      <c r="G187" s="8">
        <v>1.704930127975061E-3</v>
      </c>
      <c r="H187" s="8">
        <v>1.7205832138990371E-3</v>
      </c>
      <c r="I187" s="8">
        <v>1.7362362998230129E-3</v>
      </c>
      <c r="J187" s="8">
        <v>1.751889385746989E-3</v>
      </c>
      <c r="K187" s="8">
        <v>1.767542471670964E-3</v>
      </c>
      <c r="L187" s="8">
        <v>1.7831955575949401E-3</v>
      </c>
      <c r="M187" s="8">
        <v>1.800531112752636E-3</v>
      </c>
      <c r="N187" s="8">
        <v>1.8178666679103321E-3</v>
      </c>
      <c r="O187" s="8">
        <v>1.835202223068028E-3</v>
      </c>
      <c r="P187" s="8">
        <v>1.8525377782257239E-3</v>
      </c>
      <c r="Q187" s="8">
        <v>1.86987333338342E-3</v>
      </c>
      <c r="R187" s="8">
        <v>1.887792145778855E-3</v>
      </c>
      <c r="S187" s="8">
        <v>1.90571095817429E-3</v>
      </c>
      <c r="T187" s="8">
        <v>1.922543899624052E-3</v>
      </c>
      <c r="U187" s="8">
        <v>1.9393768410738139E-3</v>
      </c>
      <c r="V187" s="8">
        <v>1.9562097825235759E-3</v>
      </c>
      <c r="W187" s="8">
        <v>1.9730427239733378E-3</v>
      </c>
      <c r="X187" s="8">
        <v>1.9898756654231002E-3</v>
      </c>
      <c r="Y187" s="8">
        <v>2.0041259119837639E-3</v>
      </c>
      <c r="Z187" s="8">
        <v>2.0183761585444281E-3</v>
      </c>
      <c r="AA187" s="8">
        <v>2.0326264051050919E-3</v>
      </c>
      <c r="AB187" s="8">
        <v>2.0468766516657561E-3</v>
      </c>
      <c r="AC187" s="8">
        <v>2.0611268982264198E-3</v>
      </c>
      <c r="AD187" s="8">
        <v>2.0733836707117321E-3</v>
      </c>
      <c r="AE187" s="8">
        <v>2.0856404431970439E-3</v>
      </c>
      <c r="AF187" s="8">
        <v>2.0978972156823561E-3</v>
      </c>
      <c r="AG187" s="8">
        <v>2.1101539881676679E-3</v>
      </c>
      <c r="AH187" s="8">
        <v>2.1224107606529802E-3</v>
      </c>
      <c r="AI187" s="8">
        <v>2.1338730954020939E-3</v>
      </c>
      <c r="AJ187" s="8">
        <v>2.145335430151208E-3</v>
      </c>
      <c r="AK187" s="8">
        <v>2.1567977649003221E-3</v>
      </c>
      <c r="AL187" s="8">
        <v>2.1682600996494358E-3</v>
      </c>
      <c r="AM187" s="8">
        <v>2.1797224343985499E-3</v>
      </c>
    </row>
    <row r="188" spans="1:39" x14ac:dyDescent="0.25">
      <c r="A188" t="s">
        <v>252</v>
      </c>
      <c r="B188" t="s">
        <v>244</v>
      </c>
      <c r="C188" t="s">
        <v>311</v>
      </c>
      <c r="D188" t="s">
        <v>499</v>
      </c>
      <c r="E188" s="8">
        <v>1.9159157781187101E-4</v>
      </c>
      <c r="F188" s="8">
        <v>1.9316363632618209E-4</v>
      </c>
      <c r="G188" s="8">
        <v>1.947356948404933E-4</v>
      </c>
      <c r="H188" s="8">
        <v>1.963077533548044E-4</v>
      </c>
      <c r="I188" s="8">
        <v>1.9787981186911559E-4</v>
      </c>
      <c r="J188" s="8">
        <v>1.9945187038342669E-4</v>
      </c>
      <c r="K188" s="8">
        <v>2.0102392889773791E-4</v>
      </c>
      <c r="L188" s="8">
        <v>2.0259598741204901E-4</v>
      </c>
      <c r="M188" s="8">
        <v>2.037997065382908E-4</v>
      </c>
      <c r="N188" s="8">
        <v>2.0500342566453261E-4</v>
      </c>
      <c r="O188" s="8">
        <v>2.0620714479077439E-4</v>
      </c>
      <c r="P188" s="8">
        <v>2.0741086391701621E-4</v>
      </c>
      <c r="Q188" s="8">
        <v>2.0861458304325799E-4</v>
      </c>
      <c r="R188" s="8">
        <v>2.0992648523910401E-4</v>
      </c>
      <c r="S188" s="8">
        <v>2.1123838743494999E-4</v>
      </c>
      <c r="T188" s="8">
        <v>2.1252944392498459E-4</v>
      </c>
      <c r="U188" s="8">
        <v>2.1382050041501919E-4</v>
      </c>
      <c r="V188" s="8">
        <v>2.1511155690505379E-4</v>
      </c>
      <c r="W188" s="8">
        <v>2.1640261339508839E-4</v>
      </c>
      <c r="X188" s="8">
        <v>2.1769366988512299E-4</v>
      </c>
      <c r="Y188" s="8">
        <v>2.1863635484530841E-4</v>
      </c>
      <c r="Z188" s="8">
        <v>2.195790398054938E-4</v>
      </c>
      <c r="AA188" s="8">
        <v>2.2052172476567919E-4</v>
      </c>
      <c r="AB188" s="8">
        <v>2.2146440972586461E-4</v>
      </c>
      <c r="AC188" s="8">
        <v>2.2240709468605E-4</v>
      </c>
      <c r="AD188" s="8">
        <v>2.2330595586109341E-4</v>
      </c>
      <c r="AE188" s="8">
        <v>2.2420481703613681E-4</v>
      </c>
      <c r="AF188" s="8">
        <v>2.2510367821118021E-4</v>
      </c>
      <c r="AG188" s="8">
        <v>2.2600253938622359E-4</v>
      </c>
      <c r="AH188" s="8">
        <v>2.2690140056126699E-4</v>
      </c>
      <c r="AI188" s="8">
        <v>2.277555532027906E-4</v>
      </c>
      <c r="AJ188" s="8">
        <v>2.2860970584431421E-4</v>
      </c>
      <c r="AK188" s="8">
        <v>2.2946385848583779E-4</v>
      </c>
      <c r="AL188" s="8">
        <v>2.303180111273614E-4</v>
      </c>
      <c r="AM188" s="8">
        <v>2.3117216376888501E-4</v>
      </c>
    </row>
    <row r="189" spans="1:39" x14ac:dyDescent="0.25">
      <c r="A189" t="s">
        <v>252</v>
      </c>
      <c r="B189" t="s">
        <v>244</v>
      </c>
      <c r="C189" t="s">
        <v>313</v>
      </c>
      <c r="D189" t="s">
        <v>500</v>
      </c>
      <c r="E189" s="8">
        <v>1.34317432886759E-3</v>
      </c>
      <c r="F189" s="8">
        <v>1.388475437185534E-3</v>
      </c>
      <c r="G189" s="8">
        <v>1.4337765455034791E-3</v>
      </c>
      <c r="H189" s="8">
        <v>1.4790776538214231E-3</v>
      </c>
      <c r="I189" s="8">
        <v>1.5243787621393671E-3</v>
      </c>
      <c r="J189" s="8">
        <v>1.5696798704573111E-3</v>
      </c>
      <c r="K189" s="8">
        <v>1.614980978775256E-3</v>
      </c>
      <c r="L189" s="8">
        <v>1.6602820870932E-3</v>
      </c>
      <c r="M189" s="8">
        <v>1.710512763606332E-3</v>
      </c>
      <c r="N189" s="8">
        <v>1.760743440119464E-3</v>
      </c>
      <c r="O189" s="8">
        <v>1.8109741166325961E-3</v>
      </c>
      <c r="P189" s="8">
        <v>1.8612047931457279E-3</v>
      </c>
      <c r="Q189" s="8">
        <v>1.9114354696588599E-3</v>
      </c>
      <c r="R189" s="8">
        <v>1.9588110988289251E-3</v>
      </c>
      <c r="S189" s="8">
        <v>2.0061867279989902E-3</v>
      </c>
      <c r="T189" s="8">
        <v>2.0443209692456018E-3</v>
      </c>
      <c r="U189" s="8">
        <v>2.0824552104922139E-3</v>
      </c>
      <c r="V189" s="8">
        <v>2.120589451738826E-3</v>
      </c>
      <c r="W189" s="8">
        <v>2.1587236929854381E-3</v>
      </c>
      <c r="X189" s="8">
        <v>2.1968579342320502E-3</v>
      </c>
      <c r="Y189" s="8">
        <v>2.2216088295031761E-3</v>
      </c>
      <c r="Z189" s="8">
        <v>2.2463597247743021E-3</v>
      </c>
      <c r="AA189" s="8">
        <v>2.271110620045428E-3</v>
      </c>
      <c r="AB189" s="8">
        <v>2.2958615153165539E-3</v>
      </c>
      <c r="AC189" s="8">
        <v>2.3206124105876798E-3</v>
      </c>
      <c r="AD189" s="8">
        <v>2.33353728757172E-3</v>
      </c>
      <c r="AE189" s="8">
        <v>2.3464621645557602E-3</v>
      </c>
      <c r="AF189" s="8">
        <v>2.3593870415397999E-3</v>
      </c>
      <c r="AG189" s="8">
        <v>2.3723119185238401E-3</v>
      </c>
      <c r="AH189" s="8">
        <v>2.3852367955078798E-3</v>
      </c>
      <c r="AI189" s="8">
        <v>2.394998611738244E-3</v>
      </c>
      <c r="AJ189" s="8">
        <v>2.4047604279686082E-3</v>
      </c>
      <c r="AK189" s="8">
        <v>2.4145222441989719E-3</v>
      </c>
      <c r="AL189" s="8">
        <v>2.4242840604293361E-3</v>
      </c>
      <c r="AM189" s="8">
        <v>2.4340458766596998E-3</v>
      </c>
    </row>
    <row r="190" spans="1:39" x14ac:dyDescent="0.25">
      <c r="A190" t="s">
        <v>252</v>
      </c>
      <c r="B190" t="s">
        <v>244</v>
      </c>
      <c r="C190" t="s">
        <v>315</v>
      </c>
      <c r="D190" t="s">
        <v>501</v>
      </c>
      <c r="E190" s="8">
        <v>1.7396851687281301</v>
      </c>
      <c r="F190" s="8">
        <v>1.744033194721414</v>
      </c>
      <c r="G190" s="8">
        <v>1.7483812207146989</v>
      </c>
      <c r="H190" s="8">
        <v>1.7527292467079829</v>
      </c>
      <c r="I190" s="8">
        <v>1.7570772727012669</v>
      </c>
      <c r="J190" s="8">
        <v>1.7614252986945509</v>
      </c>
      <c r="K190" s="8">
        <v>1.765773324687836</v>
      </c>
      <c r="L190" s="8">
        <v>1.77012135068112</v>
      </c>
      <c r="M190" s="8">
        <v>1.774613691758204</v>
      </c>
      <c r="N190" s="8">
        <v>1.7791060328352879</v>
      </c>
      <c r="O190" s="8">
        <v>1.783598373912372</v>
      </c>
      <c r="P190" s="8">
        <v>1.788090714989456</v>
      </c>
      <c r="Q190" s="8">
        <v>1.7925830560665399</v>
      </c>
      <c r="R190" s="8">
        <v>1.7991885774225751</v>
      </c>
      <c r="S190" s="8">
        <v>1.8057940987786101</v>
      </c>
      <c r="T190" s="8">
        <v>1.81704396639836</v>
      </c>
      <c r="U190" s="8">
        <v>1.8282938340181101</v>
      </c>
      <c r="V190" s="8">
        <v>1.83954370163786</v>
      </c>
      <c r="W190" s="8">
        <v>1.8507935692576101</v>
      </c>
      <c r="X190" s="8">
        <v>1.86204343687736</v>
      </c>
      <c r="Y190" s="8">
        <v>1.87742703967596</v>
      </c>
      <c r="Z190" s="8">
        <v>1.8928106424745601</v>
      </c>
      <c r="AA190" s="8">
        <v>1.90819424527316</v>
      </c>
      <c r="AB190" s="8">
        <v>1.92357784807176</v>
      </c>
      <c r="AC190" s="8">
        <v>1.9389614508703601</v>
      </c>
      <c r="AD190" s="8">
        <v>1.9546440351933521</v>
      </c>
      <c r="AE190" s="8">
        <v>1.970326619516344</v>
      </c>
      <c r="AF190" s="8">
        <v>1.986009203839336</v>
      </c>
      <c r="AG190" s="8">
        <v>2.001691788162328</v>
      </c>
      <c r="AH190" s="8">
        <v>2.0173743724853201</v>
      </c>
      <c r="AI190" s="8">
        <v>2.0311662978309579</v>
      </c>
      <c r="AJ190" s="8">
        <v>2.0449582231765961</v>
      </c>
      <c r="AK190" s="8">
        <v>2.0587501485222339</v>
      </c>
      <c r="AL190" s="8">
        <v>2.0725420738678721</v>
      </c>
      <c r="AM190" s="8">
        <v>2.0863339992135099</v>
      </c>
    </row>
    <row r="191" spans="1:39" x14ac:dyDescent="0.25">
      <c r="A191" t="s">
        <v>252</v>
      </c>
      <c r="B191" t="s">
        <v>244</v>
      </c>
      <c r="C191" t="s">
        <v>317</v>
      </c>
      <c r="D191" t="s">
        <v>502</v>
      </c>
      <c r="E191" s="8">
        <v>0.29179735559387898</v>
      </c>
      <c r="F191" s="8">
        <v>0.2928572064896024</v>
      </c>
      <c r="G191" s="8">
        <v>0.29391705738532592</v>
      </c>
      <c r="H191" s="8">
        <v>0.29497690828104928</v>
      </c>
      <c r="I191" s="8">
        <v>0.29603675917677269</v>
      </c>
      <c r="J191" s="8">
        <v>0.2970966100724961</v>
      </c>
      <c r="K191" s="8">
        <v>0.29815646096821963</v>
      </c>
      <c r="L191" s="8">
        <v>0.29921631186394299</v>
      </c>
      <c r="M191" s="8">
        <v>0.30019162957972939</v>
      </c>
      <c r="N191" s="8">
        <v>0.3011669472955158</v>
      </c>
      <c r="O191" s="8">
        <v>0.3021422650113022</v>
      </c>
      <c r="P191" s="8">
        <v>0.30311758272708861</v>
      </c>
      <c r="Q191" s="8">
        <v>0.30409290044287501</v>
      </c>
      <c r="R191" s="8">
        <v>0.30536671935242948</v>
      </c>
      <c r="S191" s="8">
        <v>0.30664053826198401</v>
      </c>
      <c r="T191" s="8">
        <v>0.30850293280615643</v>
      </c>
      <c r="U191" s="8">
        <v>0.31036532735032879</v>
      </c>
      <c r="V191" s="8">
        <v>0.31222772189450121</v>
      </c>
      <c r="W191" s="8">
        <v>0.31409011643867363</v>
      </c>
      <c r="X191" s="8">
        <v>0.31595251098284599</v>
      </c>
      <c r="Y191" s="8">
        <v>0.31828792323282201</v>
      </c>
      <c r="Z191" s="8">
        <v>0.32062333548279798</v>
      </c>
      <c r="AA191" s="8">
        <v>0.322958747732774</v>
      </c>
      <c r="AB191" s="8">
        <v>0.32529415998275002</v>
      </c>
      <c r="AC191" s="8">
        <v>0.32762957223272599</v>
      </c>
      <c r="AD191" s="8">
        <v>0.33023843228527622</v>
      </c>
      <c r="AE191" s="8">
        <v>0.33284729233782639</v>
      </c>
      <c r="AF191" s="8">
        <v>0.33545615239037663</v>
      </c>
      <c r="AG191" s="8">
        <v>0.3380650124429268</v>
      </c>
      <c r="AH191" s="8">
        <v>0.34067387249547698</v>
      </c>
      <c r="AI191" s="8">
        <v>0.3430163213060286</v>
      </c>
      <c r="AJ191" s="8">
        <v>0.34535877011658023</v>
      </c>
      <c r="AK191" s="8">
        <v>0.34770121892713179</v>
      </c>
      <c r="AL191" s="8">
        <v>0.35004366773768342</v>
      </c>
      <c r="AM191" s="8">
        <v>0.35238611654823498</v>
      </c>
    </row>
    <row r="192" spans="1:39" x14ac:dyDescent="0.25">
      <c r="A192" t="s">
        <v>252</v>
      </c>
      <c r="B192" t="s">
        <v>244</v>
      </c>
      <c r="C192" t="s">
        <v>319</v>
      </c>
      <c r="D192" t="s">
        <v>503</v>
      </c>
      <c r="E192" s="8">
        <v>1.4567307251904299E-4</v>
      </c>
      <c r="F192" s="8">
        <v>1.4844214357624859E-4</v>
      </c>
      <c r="G192" s="8">
        <v>1.512112146334541E-4</v>
      </c>
      <c r="H192" s="8">
        <v>1.539802856906597E-4</v>
      </c>
      <c r="I192" s="8">
        <v>1.567493567478653E-4</v>
      </c>
      <c r="J192" s="8">
        <v>1.595184278050709E-4</v>
      </c>
      <c r="K192" s="8">
        <v>1.6228749886227641E-4</v>
      </c>
      <c r="L192" s="8">
        <v>1.6505656991948201E-4</v>
      </c>
      <c r="M192" s="8">
        <v>1.6839578659580339E-4</v>
      </c>
      <c r="N192" s="8">
        <v>1.7173500327212479E-4</v>
      </c>
      <c r="O192" s="8">
        <v>1.750742199484462E-4</v>
      </c>
      <c r="P192" s="8">
        <v>1.7841343662476761E-4</v>
      </c>
      <c r="Q192" s="8">
        <v>1.8175265330108901E-4</v>
      </c>
      <c r="R192" s="8">
        <v>1.852872602718115E-4</v>
      </c>
      <c r="S192" s="8">
        <v>1.8882186724253401E-4</v>
      </c>
      <c r="T192" s="8">
        <v>1.9261384146019141E-4</v>
      </c>
      <c r="U192" s="8">
        <v>1.9640581567784881E-4</v>
      </c>
      <c r="V192" s="8">
        <v>2.001977898955062E-4</v>
      </c>
      <c r="W192" s="8">
        <v>2.039897641131636E-4</v>
      </c>
      <c r="X192" s="8">
        <v>2.07781738330821E-4</v>
      </c>
      <c r="Y192" s="8">
        <v>2.109962617515032E-4</v>
      </c>
      <c r="Z192" s="8">
        <v>2.142107851721854E-4</v>
      </c>
      <c r="AA192" s="8">
        <v>2.1742530859286761E-4</v>
      </c>
      <c r="AB192" s="8">
        <v>2.2063983201354981E-4</v>
      </c>
      <c r="AC192" s="8">
        <v>2.2385435543423199E-4</v>
      </c>
      <c r="AD192" s="8">
        <v>2.254961670786466E-4</v>
      </c>
      <c r="AE192" s="8">
        <v>2.271379787230612E-4</v>
      </c>
      <c r="AF192" s="8">
        <v>2.2877979036747581E-4</v>
      </c>
      <c r="AG192" s="8">
        <v>2.3042160201189039E-4</v>
      </c>
      <c r="AH192" s="8">
        <v>2.32063413656305E-4</v>
      </c>
      <c r="AI192" s="8">
        <v>2.3289089858067301E-4</v>
      </c>
      <c r="AJ192" s="8">
        <v>2.3371838350504101E-4</v>
      </c>
      <c r="AK192" s="8">
        <v>2.3454586842940899E-4</v>
      </c>
      <c r="AL192" s="8">
        <v>2.35373353353777E-4</v>
      </c>
      <c r="AM192" s="8">
        <v>2.36200838278145E-4</v>
      </c>
    </row>
    <row r="193" spans="1:39" x14ac:dyDescent="0.25">
      <c r="A193" t="s">
        <v>252</v>
      </c>
      <c r="B193" t="s">
        <v>244</v>
      </c>
      <c r="C193" t="s">
        <v>321</v>
      </c>
      <c r="D193" t="s">
        <v>504</v>
      </c>
      <c r="E193" s="8">
        <v>2.6336433343481999E-4</v>
      </c>
      <c r="F193" s="8">
        <v>2.7215968006131407E-4</v>
      </c>
      <c r="G193" s="8">
        <v>2.8095502668780832E-4</v>
      </c>
      <c r="H193" s="8">
        <v>2.897503733143024E-4</v>
      </c>
      <c r="I193" s="8">
        <v>2.9854571994079659E-4</v>
      </c>
      <c r="J193" s="8">
        <v>3.0734106656729073E-4</v>
      </c>
      <c r="K193" s="8">
        <v>3.1613641319378492E-4</v>
      </c>
      <c r="L193" s="8">
        <v>3.24931759820279E-4</v>
      </c>
      <c r="M193" s="8">
        <v>3.3506733165565279E-4</v>
      </c>
      <c r="N193" s="8">
        <v>3.4520290349102659E-4</v>
      </c>
      <c r="O193" s="8">
        <v>3.5533847532640038E-4</v>
      </c>
      <c r="P193" s="8">
        <v>3.6547404716177418E-4</v>
      </c>
      <c r="Q193" s="8">
        <v>3.7560961899714797E-4</v>
      </c>
      <c r="R193" s="8">
        <v>3.8531888970778948E-4</v>
      </c>
      <c r="S193" s="8">
        <v>3.9502816041843099E-4</v>
      </c>
      <c r="T193" s="8">
        <v>4.0334898585837761E-4</v>
      </c>
      <c r="U193" s="8">
        <v>4.1166981129832418E-4</v>
      </c>
      <c r="V193" s="8">
        <v>4.199906367382708E-4</v>
      </c>
      <c r="W193" s="8">
        <v>4.2831146217821742E-4</v>
      </c>
      <c r="X193" s="8">
        <v>4.3663228761816399E-4</v>
      </c>
      <c r="Y193" s="8">
        <v>4.4221955514249181E-4</v>
      </c>
      <c r="Z193" s="8">
        <v>4.4780682266681962E-4</v>
      </c>
      <c r="AA193" s="8">
        <v>4.5339409019114739E-4</v>
      </c>
      <c r="AB193" s="8">
        <v>4.589813577154752E-4</v>
      </c>
      <c r="AC193" s="8">
        <v>4.6456862523980302E-4</v>
      </c>
      <c r="AD193" s="8">
        <v>4.6750685120138322E-4</v>
      </c>
      <c r="AE193" s="8">
        <v>4.7044507716296341E-4</v>
      </c>
      <c r="AF193" s="8">
        <v>4.733833031245436E-4</v>
      </c>
      <c r="AG193" s="8">
        <v>4.763215290861238E-4</v>
      </c>
      <c r="AH193" s="8">
        <v>4.7925975504770399E-4</v>
      </c>
      <c r="AI193" s="8">
        <v>4.8123278038616281E-4</v>
      </c>
      <c r="AJ193" s="8">
        <v>4.8320580572462158E-4</v>
      </c>
      <c r="AK193" s="8">
        <v>4.851788310630804E-4</v>
      </c>
      <c r="AL193" s="8">
        <v>4.8715185640153921E-4</v>
      </c>
      <c r="AM193" s="8">
        <v>4.8912488173999803E-4</v>
      </c>
    </row>
    <row r="194" spans="1:39" x14ac:dyDescent="0.25">
      <c r="A194" t="s">
        <v>252</v>
      </c>
      <c r="B194" t="s">
        <v>244</v>
      </c>
      <c r="C194" t="s">
        <v>323</v>
      </c>
      <c r="D194" t="s">
        <v>505</v>
      </c>
      <c r="E194" s="8">
        <v>9.64690356798834E-4</v>
      </c>
      <c r="F194" s="8">
        <v>9.9428187923661479E-4</v>
      </c>
      <c r="G194" s="8">
        <v>1.023873401674396E-3</v>
      </c>
      <c r="H194" s="8">
        <v>1.053464924112177E-3</v>
      </c>
      <c r="I194" s="8">
        <v>1.0830564465499569E-3</v>
      </c>
      <c r="J194" s="8">
        <v>1.1126479689877379E-3</v>
      </c>
      <c r="K194" s="8">
        <v>1.142239491425519E-3</v>
      </c>
      <c r="L194" s="8">
        <v>1.1718310138633E-3</v>
      </c>
      <c r="M194" s="8">
        <v>1.21168213421891E-3</v>
      </c>
      <c r="N194" s="8">
        <v>1.2515332545745201E-3</v>
      </c>
      <c r="O194" s="8">
        <v>1.2913843749301299E-3</v>
      </c>
      <c r="P194" s="8">
        <v>1.33123549528574E-3</v>
      </c>
      <c r="Q194" s="8">
        <v>1.3710866156413501E-3</v>
      </c>
      <c r="R194" s="8">
        <v>1.41337218965251E-3</v>
      </c>
      <c r="S194" s="8">
        <v>1.45565776366367E-3</v>
      </c>
      <c r="T194" s="8">
        <v>1.4979446046031199E-3</v>
      </c>
      <c r="U194" s="8">
        <v>1.54023144554257E-3</v>
      </c>
      <c r="V194" s="8">
        <v>1.58251828648202E-3</v>
      </c>
      <c r="W194" s="8">
        <v>1.6248051274214701E-3</v>
      </c>
      <c r="X194" s="8">
        <v>1.66709196836092E-3</v>
      </c>
      <c r="Y194" s="8">
        <v>1.6976738288138581E-3</v>
      </c>
      <c r="Z194" s="8">
        <v>1.7282556892667959E-3</v>
      </c>
      <c r="AA194" s="8">
        <v>1.758837549719734E-3</v>
      </c>
      <c r="AB194" s="8">
        <v>1.7894194101726721E-3</v>
      </c>
      <c r="AC194" s="8">
        <v>1.8200012706256099E-3</v>
      </c>
      <c r="AD194" s="8">
        <v>1.834729815891186E-3</v>
      </c>
      <c r="AE194" s="8">
        <v>1.8494583611567621E-3</v>
      </c>
      <c r="AF194" s="8">
        <v>1.8641869064223379E-3</v>
      </c>
      <c r="AG194" s="8">
        <v>1.878915451687914E-3</v>
      </c>
      <c r="AH194" s="8">
        <v>1.89364399695349E-3</v>
      </c>
      <c r="AI194" s="8">
        <v>1.898208261817854E-3</v>
      </c>
      <c r="AJ194" s="8">
        <v>1.9027725266822181E-3</v>
      </c>
      <c r="AK194" s="8">
        <v>1.9073367915465819E-3</v>
      </c>
      <c r="AL194" s="8">
        <v>1.9119010564109459E-3</v>
      </c>
      <c r="AM194" s="8">
        <v>1.91646532127531E-3</v>
      </c>
    </row>
    <row r="195" spans="1:39" x14ac:dyDescent="0.25">
      <c r="A195" t="s">
        <v>252</v>
      </c>
      <c r="B195" t="s">
        <v>244</v>
      </c>
      <c r="C195" t="s">
        <v>325</v>
      </c>
      <c r="D195" t="s">
        <v>506</v>
      </c>
      <c r="E195" s="8">
        <v>1.2367976324391701E-4</v>
      </c>
      <c r="F195" s="8">
        <v>1.2780687996401659E-4</v>
      </c>
      <c r="G195" s="8">
        <v>1.3193399668411611E-4</v>
      </c>
      <c r="H195" s="8">
        <v>1.3606111340421569E-4</v>
      </c>
      <c r="I195" s="8">
        <v>1.4018823012431529E-4</v>
      </c>
      <c r="J195" s="8">
        <v>1.443153468444149E-4</v>
      </c>
      <c r="K195" s="8">
        <v>1.484424635645144E-4</v>
      </c>
      <c r="L195" s="8">
        <v>1.52569580284614E-4</v>
      </c>
      <c r="M195" s="8">
        <v>1.56711721327517E-4</v>
      </c>
      <c r="N195" s="8">
        <v>1.6085386237042E-4</v>
      </c>
      <c r="O195" s="8">
        <v>1.64996003413323E-4</v>
      </c>
      <c r="P195" s="8">
        <v>1.69138144456226E-4</v>
      </c>
      <c r="Q195" s="8">
        <v>1.73280285499129E-4</v>
      </c>
      <c r="R195" s="8">
        <v>1.767473935009565E-4</v>
      </c>
      <c r="S195" s="8">
        <v>1.8021450150278401E-4</v>
      </c>
      <c r="T195" s="8">
        <v>1.8249253460977241E-4</v>
      </c>
      <c r="U195" s="8">
        <v>1.8477056771676079E-4</v>
      </c>
      <c r="V195" s="8">
        <v>1.8704860082374919E-4</v>
      </c>
      <c r="W195" s="8">
        <v>1.893266339307376E-4</v>
      </c>
      <c r="X195" s="8">
        <v>1.91604667037726E-4</v>
      </c>
      <c r="Y195" s="8">
        <v>1.9274090346764339E-4</v>
      </c>
      <c r="Z195" s="8">
        <v>1.9387713989756081E-4</v>
      </c>
      <c r="AA195" s="8">
        <v>1.950133763274782E-4</v>
      </c>
      <c r="AB195" s="8">
        <v>1.9614961275739559E-4</v>
      </c>
      <c r="AC195" s="8">
        <v>1.97285849187313E-4</v>
      </c>
      <c r="AD195" s="8">
        <v>1.97932947219785E-4</v>
      </c>
      <c r="AE195" s="8">
        <v>1.9858004525225701E-4</v>
      </c>
      <c r="AF195" s="8">
        <v>1.9922714328472901E-4</v>
      </c>
      <c r="AG195" s="8">
        <v>1.9987424131720101E-4</v>
      </c>
      <c r="AH195" s="8">
        <v>2.0052133934967301E-4</v>
      </c>
      <c r="AI195" s="8">
        <v>2.0145172612914141E-4</v>
      </c>
      <c r="AJ195" s="8">
        <v>2.0238211290860979E-4</v>
      </c>
      <c r="AK195" s="8">
        <v>2.0331249968807819E-4</v>
      </c>
      <c r="AL195" s="8">
        <v>2.042428864675466E-4</v>
      </c>
      <c r="AM195" s="8">
        <v>2.05173273247015E-4</v>
      </c>
    </row>
    <row r="196" spans="1:39" x14ac:dyDescent="0.25">
      <c r="A196" t="s">
        <v>252</v>
      </c>
      <c r="B196" t="s">
        <v>244</v>
      </c>
      <c r="C196" t="s">
        <v>327</v>
      </c>
      <c r="D196" t="s">
        <v>507</v>
      </c>
      <c r="E196" s="8">
        <v>1.13770099287114E-4</v>
      </c>
      <c r="F196" s="8">
        <v>1.1771407139487939E-4</v>
      </c>
      <c r="G196" s="8">
        <v>1.2165804350264491E-4</v>
      </c>
      <c r="H196" s="8">
        <v>1.2560201561041031E-4</v>
      </c>
      <c r="I196" s="8">
        <v>1.295459877181757E-4</v>
      </c>
      <c r="J196" s="8">
        <v>1.3348995982594109E-4</v>
      </c>
      <c r="K196" s="8">
        <v>1.3743393193370659E-4</v>
      </c>
      <c r="L196" s="8">
        <v>1.4137790404147201E-4</v>
      </c>
      <c r="M196" s="8">
        <v>1.452577082401758E-4</v>
      </c>
      <c r="N196" s="8">
        <v>1.4913751243887961E-4</v>
      </c>
      <c r="O196" s="8">
        <v>1.530173166375834E-4</v>
      </c>
      <c r="P196" s="8">
        <v>1.5689712083628721E-4</v>
      </c>
      <c r="Q196" s="8">
        <v>1.60776925034991E-4</v>
      </c>
      <c r="R196" s="8">
        <v>1.6398597103066699E-4</v>
      </c>
      <c r="S196" s="8">
        <v>1.6719501702634301E-4</v>
      </c>
      <c r="T196" s="8">
        <v>1.69177630710103E-4</v>
      </c>
      <c r="U196" s="8">
        <v>1.7116024439386301E-4</v>
      </c>
      <c r="V196" s="8">
        <v>1.73142858077623E-4</v>
      </c>
      <c r="W196" s="8">
        <v>1.7512547176138301E-4</v>
      </c>
      <c r="X196" s="8">
        <v>1.77108085445143E-4</v>
      </c>
      <c r="Y196" s="8">
        <v>1.7805993864763921E-4</v>
      </c>
      <c r="Z196" s="8">
        <v>1.790117918501354E-4</v>
      </c>
      <c r="AA196" s="8">
        <v>1.7996364505263159E-4</v>
      </c>
      <c r="AB196" s="8">
        <v>1.809154982551278E-4</v>
      </c>
      <c r="AC196" s="8">
        <v>1.8186735145762399E-4</v>
      </c>
      <c r="AD196" s="8">
        <v>1.8237389485504401E-4</v>
      </c>
      <c r="AE196" s="8">
        <v>1.8288043825246401E-4</v>
      </c>
      <c r="AF196" s="8">
        <v>1.83386981649884E-4</v>
      </c>
      <c r="AG196" s="8">
        <v>1.83893525047304E-4</v>
      </c>
      <c r="AH196" s="8">
        <v>1.8440006844472399E-4</v>
      </c>
      <c r="AI196" s="8">
        <v>1.8528048521818959E-4</v>
      </c>
      <c r="AJ196" s="8">
        <v>1.8616090199165519E-4</v>
      </c>
      <c r="AK196" s="8">
        <v>1.8704131876512081E-4</v>
      </c>
      <c r="AL196" s="8">
        <v>1.8792173553858641E-4</v>
      </c>
      <c r="AM196" s="8">
        <v>1.8880215231205201E-4</v>
      </c>
    </row>
    <row r="197" spans="1:39" x14ac:dyDescent="0.25">
      <c r="A197" t="s">
        <v>252</v>
      </c>
      <c r="B197" t="s">
        <v>244</v>
      </c>
      <c r="C197" t="s">
        <v>329</v>
      </c>
      <c r="D197" t="s">
        <v>508</v>
      </c>
      <c r="E197" s="8">
        <v>3.0084642333126699E-5</v>
      </c>
      <c r="F197" s="8">
        <v>3.059657748381833E-5</v>
      </c>
      <c r="G197" s="8">
        <v>3.1108512634509963E-5</v>
      </c>
      <c r="H197" s="8">
        <v>3.1620447785201583E-5</v>
      </c>
      <c r="I197" s="8">
        <v>3.213238293589321E-5</v>
      </c>
      <c r="J197" s="8">
        <v>3.2644318086584837E-5</v>
      </c>
      <c r="K197" s="8">
        <v>3.3156253237276471E-5</v>
      </c>
      <c r="L197" s="8">
        <v>3.3668188387968098E-5</v>
      </c>
      <c r="M197" s="8">
        <v>3.4182436257568379E-5</v>
      </c>
      <c r="N197" s="8">
        <v>3.469668412716866E-5</v>
      </c>
      <c r="O197" s="8">
        <v>3.5210931996768928E-5</v>
      </c>
      <c r="P197" s="8">
        <v>3.5725179866369223E-5</v>
      </c>
      <c r="Q197" s="8">
        <v>3.6239427735969497E-5</v>
      </c>
      <c r="R197" s="8">
        <v>3.6724188027025647E-5</v>
      </c>
      <c r="S197" s="8">
        <v>3.7208948318081797E-5</v>
      </c>
      <c r="T197" s="8">
        <v>3.7592093776262223E-5</v>
      </c>
      <c r="U197" s="8">
        <v>3.7975239234442628E-5</v>
      </c>
      <c r="V197" s="8">
        <v>3.8358384692623061E-5</v>
      </c>
      <c r="W197" s="8">
        <v>3.874153015080348E-5</v>
      </c>
      <c r="X197" s="8">
        <v>3.9124675608983899E-5</v>
      </c>
      <c r="Y197" s="8">
        <v>3.9391333720738797E-5</v>
      </c>
      <c r="Z197" s="8">
        <v>3.9657991832493702E-5</v>
      </c>
      <c r="AA197" s="8">
        <v>3.99246499442486E-5</v>
      </c>
      <c r="AB197" s="8">
        <v>4.0191308056003499E-5</v>
      </c>
      <c r="AC197" s="8">
        <v>4.0457966167758397E-5</v>
      </c>
      <c r="AD197" s="8">
        <v>4.0670868529574238E-5</v>
      </c>
      <c r="AE197" s="8">
        <v>4.0883770891390078E-5</v>
      </c>
      <c r="AF197" s="8">
        <v>4.1096673253205919E-5</v>
      </c>
      <c r="AG197" s="8">
        <v>4.130957561502176E-5</v>
      </c>
      <c r="AH197" s="8">
        <v>4.15224779768376E-5</v>
      </c>
      <c r="AI197" s="8">
        <v>4.1755765816380338E-5</v>
      </c>
      <c r="AJ197" s="8">
        <v>4.1989053655923082E-5</v>
      </c>
      <c r="AK197" s="8">
        <v>4.222234149546582E-5</v>
      </c>
      <c r="AL197" s="8">
        <v>4.2455629335008558E-5</v>
      </c>
      <c r="AM197" s="8">
        <v>4.2688917174551302E-5</v>
      </c>
    </row>
    <row r="198" spans="1:39" x14ac:dyDescent="0.25">
      <c r="A198" t="s">
        <v>252</v>
      </c>
      <c r="B198" t="s">
        <v>244</v>
      </c>
      <c r="C198" t="s">
        <v>331</v>
      </c>
      <c r="D198" t="s">
        <v>509</v>
      </c>
      <c r="E198" s="8">
        <v>6.4185833685306099E-4</v>
      </c>
      <c r="F198" s="8">
        <v>6.5377092766174811E-4</v>
      </c>
      <c r="G198" s="8">
        <v>6.6568351847043534E-4</v>
      </c>
      <c r="H198" s="8">
        <v>6.7759610927912246E-4</v>
      </c>
      <c r="I198" s="8">
        <v>6.8950870008780958E-4</v>
      </c>
      <c r="J198" s="8">
        <v>7.014212908964967E-4</v>
      </c>
      <c r="K198" s="8">
        <v>7.1333388170518393E-4</v>
      </c>
      <c r="L198" s="8">
        <v>7.2524647251387105E-4</v>
      </c>
      <c r="M198" s="8">
        <v>7.3893417106603223E-4</v>
      </c>
      <c r="N198" s="8">
        <v>7.526218696181934E-4</v>
      </c>
      <c r="O198" s="8">
        <v>7.6630956817035469E-4</v>
      </c>
      <c r="P198" s="8">
        <v>7.7999726672251587E-4</v>
      </c>
      <c r="Q198" s="8">
        <v>7.9368496527467704E-4</v>
      </c>
      <c r="R198" s="8">
        <v>8.0708566813982702E-4</v>
      </c>
      <c r="S198" s="8">
        <v>8.20486371004977E-4</v>
      </c>
      <c r="T198" s="8">
        <v>8.3349708085875545E-4</v>
      </c>
      <c r="U198" s="8">
        <v>8.4650779071253378E-4</v>
      </c>
      <c r="V198" s="8">
        <v>8.5951850056631223E-4</v>
      </c>
      <c r="W198" s="8">
        <v>8.7252921042009057E-4</v>
      </c>
      <c r="X198" s="8">
        <v>8.8553992027386901E-4</v>
      </c>
      <c r="Y198" s="8">
        <v>8.9605479730298261E-4</v>
      </c>
      <c r="Z198" s="8">
        <v>9.0656967433209621E-4</v>
      </c>
      <c r="AA198" s="8">
        <v>9.1708455136120981E-4</v>
      </c>
      <c r="AB198" s="8">
        <v>9.2759942839032341E-4</v>
      </c>
      <c r="AC198" s="8">
        <v>9.3811430541943701E-4</v>
      </c>
      <c r="AD198" s="8">
        <v>9.4544993545370398E-4</v>
      </c>
      <c r="AE198" s="8">
        <v>9.5278556548797095E-4</v>
      </c>
      <c r="AF198" s="8">
        <v>9.6012119552223803E-4</v>
      </c>
      <c r="AG198" s="8">
        <v>9.67456825556505E-4</v>
      </c>
      <c r="AH198" s="8">
        <v>9.7479245559077196E-4</v>
      </c>
      <c r="AI198" s="8">
        <v>9.8033329992352754E-4</v>
      </c>
      <c r="AJ198" s="8">
        <v>9.8587414425628322E-4</v>
      </c>
      <c r="AK198" s="8">
        <v>9.914149885890389E-4</v>
      </c>
      <c r="AL198" s="8">
        <v>9.9695583292179436E-4</v>
      </c>
      <c r="AM198" s="8">
        <v>1.00249667725455E-3</v>
      </c>
    </row>
    <row r="199" spans="1:39" x14ac:dyDescent="0.25">
      <c r="A199" t="s">
        <v>252</v>
      </c>
      <c r="B199" t="s">
        <v>244</v>
      </c>
      <c r="C199" t="s">
        <v>333</v>
      </c>
      <c r="D199" t="s">
        <v>510</v>
      </c>
      <c r="E199" s="8">
        <v>0</v>
      </c>
      <c r="F199" s="8">
        <v>0</v>
      </c>
      <c r="G199" s="8">
        <v>0</v>
      </c>
      <c r="H199" s="8">
        <v>0</v>
      </c>
      <c r="I199" s="8">
        <v>0</v>
      </c>
      <c r="J199" s="8">
        <v>0</v>
      </c>
      <c r="K199" s="8">
        <v>0</v>
      </c>
      <c r="L199" s="8">
        <v>0</v>
      </c>
      <c r="M199" s="8">
        <v>0</v>
      </c>
      <c r="N199" s="8">
        <v>0</v>
      </c>
      <c r="O199" s="8">
        <v>0</v>
      </c>
      <c r="P199" s="8">
        <v>0</v>
      </c>
      <c r="Q199" s="8">
        <v>0</v>
      </c>
      <c r="R199" s="8">
        <v>0</v>
      </c>
      <c r="S199" s="8">
        <v>0</v>
      </c>
      <c r="T199" s="8">
        <v>0</v>
      </c>
      <c r="U199" s="8">
        <v>0</v>
      </c>
      <c r="V199" s="8">
        <v>0</v>
      </c>
      <c r="W199" s="8">
        <v>0</v>
      </c>
      <c r="X199" s="8">
        <v>0</v>
      </c>
      <c r="Y199" s="8">
        <v>0</v>
      </c>
      <c r="Z199" s="8">
        <v>0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>
        <v>0</v>
      </c>
      <c r="AG199" s="8">
        <v>0</v>
      </c>
      <c r="AH199" s="8">
        <v>0</v>
      </c>
      <c r="AI199" s="8">
        <v>0</v>
      </c>
      <c r="AJ199" s="8">
        <v>0</v>
      </c>
      <c r="AK199" s="8">
        <v>0</v>
      </c>
      <c r="AL199" s="8">
        <v>0</v>
      </c>
      <c r="AM199" s="8">
        <v>0</v>
      </c>
    </row>
    <row r="200" spans="1:39" x14ac:dyDescent="0.25">
      <c r="A200" t="s">
        <v>255</v>
      </c>
      <c r="B200" t="s">
        <v>240</v>
      </c>
      <c r="C200" t="s">
        <v>53</v>
      </c>
      <c r="D200" t="s">
        <v>511</v>
      </c>
      <c r="E200" s="8">
        <v>5.38337206147688E-3</v>
      </c>
      <c r="F200" s="8">
        <v>5.4308104188532094E-3</v>
      </c>
      <c r="G200" s="8">
        <v>5.478248776229537E-3</v>
      </c>
      <c r="H200" s="8">
        <v>5.5256871336058656E-3</v>
      </c>
      <c r="I200" s="8">
        <v>5.5731254909821941E-3</v>
      </c>
      <c r="J200" s="8">
        <v>5.6205638483585226E-3</v>
      </c>
      <c r="K200" s="8">
        <v>5.6680022057348511E-3</v>
      </c>
      <c r="L200" s="8">
        <v>5.7154405631111797E-3</v>
      </c>
      <c r="M200" s="8">
        <v>5.8012217057786938E-3</v>
      </c>
      <c r="N200" s="8">
        <v>5.8870028484462079E-3</v>
      </c>
      <c r="O200" s="8">
        <v>5.9727839911137221E-3</v>
      </c>
      <c r="P200" s="8">
        <v>6.0585651337812362E-3</v>
      </c>
      <c r="Q200" s="8">
        <v>6.1443462764487504E-3</v>
      </c>
      <c r="R200" s="8">
        <v>6.2981839887875854E-3</v>
      </c>
      <c r="S200" s="8">
        <v>6.4520217011264196E-3</v>
      </c>
      <c r="T200" s="8">
        <v>6.5518214015254719E-3</v>
      </c>
      <c r="U200" s="8">
        <v>6.6516211019245234E-3</v>
      </c>
      <c r="V200" s="8">
        <v>6.7514208023235758E-3</v>
      </c>
      <c r="W200" s="8">
        <v>6.8512205027226273E-3</v>
      </c>
      <c r="X200" s="8">
        <v>6.9510202031216797E-3</v>
      </c>
      <c r="Y200" s="8">
        <v>7.025284203126086E-3</v>
      </c>
      <c r="Z200" s="8">
        <v>7.0995482031304923E-3</v>
      </c>
      <c r="AA200" s="8">
        <v>7.1738122031348977E-3</v>
      </c>
      <c r="AB200" s="8">
        <v>7.248076203139304E-3</v>
      </c>
      <c r="AC200" s="8">
        <v>7.3223402031437103E-3</v>
      </c>
      <c r="AD200" s="8">
        <v>7.3569220051948742E-3</v>
      </c>
      <c r="AE200" s="8">
        <v>7.391503807246038E-3</v>
      </c>
      <c r="AF200" s="8">
        <v>7.4260856092972019E-3</v>
      </c>
      <c r="AG200" s="8">
        <v>7.4606674113483658E-3</v>
      </c>
      <c r="AH200" s="8">
        <v>7.4952492133995297E-3</v>
      </c>
      <c r="AI200" s="8">
        <v>7.4978920653109779E-3</v>
      </c>
      <c r="AJ200" s="8">
        <v>7.5005349172224262E-3</v>
      </c>
      <c r="AK200" s="8">
        <v>7.5031777691338744E-3</v>
      </c>
      <c r="AL200" s="8">
        <v>7.5058206210453218E-3</v>
      </c>
      <c r="AM200" s="8">
        <v>7.50846347295677E-3</v>
      </c>
    </row>
    <row r="201" spans="1:39" x14ac:dyDescent="0.25">
      <c r="A201" t="s">
        <v>255</v>
      </c>
      <c r="B201" t="s">
        <v>240</v>
      </c>
      <c r="C201" t="s">
        <v>293</v>
      </c>
      <c r="D201" t="s">
        <v>512</v>
      </c>
      <c r="E201" s="8">
        <v>1.0301393998841701E-5</v>
      </c>
      <c r="F201" s="8">
        <v>1.018589762338444E-5</v>
      </c>
      <c r="G201" s="8">
        <v>1.0070401247927179E-5</v>
      </c>
      <c r="H201" s="8">
        <v>9.9549048724699153E-6</v>
      </c>
      <c r="I201" s="8">
        <v>9.8394084970126547E-6</v>
      </c>
      <c r="J201" s="8">
        <v>9.7239121215553923E-6</v>
      </c>
      <c r="K201" s="8">
        <v>9.6084157460981317E-6</v>
      </c>
      <c r="L201" s="8">
        <v>9.4929193706408693E-6</v>
      </c>
      <c r="M201" s="8">
        <v>9.4028696636254754E-6</v>
      </c>
      <c r="N201" s="8">
        <v>9.3128199566100814E-6</v>
      </c>
      <c r="O201" s="8">
        <v>9.2227702495946874E-6</v>
      </c>
      <c r="P201" s="8">
        <v>9.1327205425792935E-6</v>
      </c>
      <c r="Q201" s="8">
        <v>9.0426708355638995E-6</v>
      </c>
      <c r="R201" s="8">
        <v>5.9978971836020493E-6</v>
      </c>
      <c r="S201" s="8">
        <v>2.9531235316401998E-6</v>
      </c>
      <c r="T201" s="8">
        <v>2.931832786026672E-6</v>
      </c>
      <c r="U201" s="8">
        <v>2.9105420404131441E-6</v>
      </c>
      <c r="V201" s="8">
        <v>2.8892512947996162E-6</v>
      </c>
      <c r="W201" s="8">
        <v>2.8679605491860879E-6</v>
      </c>
      <c r="X201" s="8">
        <v>2.84666980357256E-6</v>
      </c>
      <c r="Y201" s="8">
        <v>2.8323250595390102E-6</v>
      </c>
      <c r="Z201" s="8">
        <v>2.8179803155054599E-6</v>
      </c>
      <c r="AA201" s="8">
        <v>2.8036355714719101E-6</v>
      </c>
      <c r="AB201" s="8">
        <v>2.7892908274383599E-6</v>
      </c>
      <c r="AC201" s="8">
        <v>2.7749460834048101E-6</v>
      </c>
      <c r="AD201" s="8">
        <v>2.7579119563213881E-6</v>
      </c>
      <c r="AE201" s="8">
        <v>2.7408778292379661E-6</v>
      </c>
      <c r="AF201" s="8">
        <v>2.7238437021545441E-6</v>
      </c>
      <c r="AG201" s="8">
        <v>2.7068095750711222E-6</v>
      </c>
      <c r="AH201" s="8">
        <v>2.6897754479877002E-6</v>
      </c>
      <c r="AI201" s="8">
        <v>2.6718877283940678E-6</v>
      </c>
      <c r="AJ201" s="8">
        <v>2.6540000088004359E-6</v>
      </c>
      <c r="AK201" s="8">
        <v>2.636112289206804E-6</v>
      </c>
      <c r="AL201" s="8">
        <v>2.6182245696131721E-6</v>
      </c>
      <c r="AM201" s="8">
        <v>2.6003368500195402E-6</v>
      </c>
    </row>
    <row r="202" spans="1:39" x14ac:dyDescent="0.25">
      <c r="A202" t="s">
        <v>255</v>
      </c>
      <c r="B202" t="s">
        <v>240</v>
      </c>
      <c r="C202" t="s">
        <v>295</v>
      </c>
      <c r="D202" t="s">
        <v>513</v>
      </c>
      <c r="E202" s="8">
        <v>0.52248674602395595</v>
      </c>
      <c r="F202" s="8">
        <v>0.52383193708519171</v>
      </c>
      <c r="G202" s="8">
        <v>0.52517712814642736</v>
      </c>
      <c r="H202" s="8">
        <v>0.52652231920766313</v>
      </c>
      <c r="I202" s="8">
        <v>0.52786751026889878</v>
      </c>
      <c r="J202" s="8">
        <v>0.52921270133013454</v>
      </c>
      <c r="K202" s="8">
        <v>0.53055789239137019</v>
      </c>
      <c r="L202" s="8">
        <v>0.53190308345260595</v>
      </c>
      <c r="M202" s="8">
        <v>0.53706718874156911</v>
      </c>
      <c r="N202" s="8">
        <v>0.54223129403053238</v>
      </c>
      <c r="O202" s="8">
        <v>0.54739539931949555</v>
      </c>
      <c r="P202" s="8">
        <v>0.55255950460845882</v>
      </c>
      <c r="Q202" s="8">
        <v>0.55772360989742198</v>
      </c>
      <c r="R202" s="8">
        <v>0.56373006686569593</v>
      </c>
      <c r="S202" s="8">
        <v>0.56973652383397</v>
      </c>
      <c r="T202" s="8">
        <v>0.57387719427528705</v>
      </c>
      <c r="U202" s="8">
        <v>0.57801786471660399</v>
      </c>
      <c r="V202" s="8">
        <v>0.58215853515792104</v>
      </c>
      <c r="W202" s="8">
        <v>0.58629920559923798</v>
      </c>
      <c r="X202" s="8">
        <v>0.59043987604055503</v>
      </c>
      <c r="Y202" s="8">
        <v>0.59184513186740739</v>
      </c>
      <c r="Z202" s="8">
        <v>0.59325038769425986</v>
      </c>
      <c r="AA202" s="8">
        <v>0.59465564352111222</v>
      </c>
      <c r="AB202" s="8">
        <v>0.59606089934796469</v>
      </c>
      <c r="AC202" s="8">
        <v>0.59746615517481705</v>
      </c>
      <c r="AD202" s="8">
        <v>0.59929147828752649</v>
      </c>
      <c r="AE202" s="8">
        <v>0.60111680140023582</v>
      </c>
      <c r="AF202" s="8">
        <v>0.60294212451294527</v>
      </c>
      <c r="AG202" s="8">
        <v>0.6047674476256546</v>
      </c>
      <c r="AH202" s="8">
        <v>0.60659277073836404</v>
      </c>
      <c r="AI202" s="8">
        <v>0.60863379879577939</v>
      </c>
      <c r="AJ202" s="8">
        <v>0.61067482685319485</v>
      </c>
      <c r="AK202" s="8">
        <v>0.6127158549106102</v>
      </c>
      <c r="AL202" s="8">
        <v>0.61475688296802566</v>
      </c>
      <c r="AM202" s="8">
        <v>0.61679791102544101</v>
      </c>
    </row>
    <row r="203" spans="1:39" x14ac:dyDescent="0.25">
      <c r="A203" t="s">
        <v>255</v>
      </c>
      <c r="B203" t="s">
        <v>240</v>
      </c>
      <c r="C203" t="s">
        <v>297</v>
      </c>
      <c r="D203" t="s">
        <v>514</v>
      </c>
      <c r="E203" s="8">
        <v>0.860418140733341</v>
      </c>
      <c r="F203" s="8">
        <v>0.86591632114260941</v>
      </c>
      <c r="G203" s="8">
        <v>0.87141450155187783</v>
      </c>
      <c r="H203" s="8">
        <v>0.87691268196114625</v>
      </c>
      <c r="I203" s="8">
        <v>0.88241086237041477</v>
      </c>
      <c r="J203" s="8">
        <v>0.88790904277968319</v>
      </c>
      <c r="K203" s="8">
        <v>0.8934072231889516</v>
      </c>
      <c r="L203" s="8">
        <v>0.89890540359822002</v>
      </c>
      <c r="M203" s="8">
        <v>0.91137329957594804</v>
      </c>
      <c r="N203" s="8">
        <v>0.92384119555367605</v>
      </c>
      <c r="O203" s="8">
        <v>0.93630909153140396</v>
      </c>
      <c r="P203" s="8">
        <v>0.94877698750913197</v>
      </c>
      <c r="Q203" s="8">
        <v>0.96124488348685999</v>
      </c>
      <c r="R203" s="8">
        <v>0.97124220181896193</v>
      </c>
      <c r="S203" s="8">
        <v>0.98123952015106397</v>
      </c>
      <c r="T203" s="8">
        <v>0.98471867554691117</v>
      </c>
      <c r="U203" s="8">
        <v>0.98819783094275837</v>
      </c>
      <c r="V203" s="8">
        <v>0.99167698633860557</v>
      </c>
      <c r="W203" s="8">
        <v>0.99515614173445277</v>
      </c>
      <c r="X203" s="8">
        <v>0.99863529713029997</v>
      </c>
      <c r="Y203" s="8">
        <v>1.0026068479953141</v>
      </c>
      <c r="Z203" s="8">
        <v>1.0065783988603281</v>
      </c>
      <c r="AA203" s="8">
        <v>1.0105499497253421</v>
      </c>
      <c r="AB203" s="8">
        <v>1.0145215005903561</v>
      </c>
      <c r="AC203" s="8">
        <v>1.0184930514553701</v>
      </c>
      <c r="AD203" s="8">
        <v>1.0236161763523539</v>
      </c>
      <c r="AE203" s="8">
        <v>1.028739301249338</v>
      </c>
      <c r="AF203" s="8">
        <v>1.0338624261463221</v>
      </c>
      <c r="AG203" s="8">
        <v>1.0389855510433059</v>
      </c>
      <c r="AH203" s="8">
        <v>1.04410867594029</v>
      </c>
      <c r="AI203" s="8">
        <v>1.0488582066790419</v>
      </c>
      <c r="AJ203" s="8">
        <v>1.0536077374177939</v>
      </c>
      <c r="AK203" s="8">
        <v>1.0583572681565461</v>
      </c>
      <c r="AL203" s="8">
        <v>1.063106798895298</v>
      </c>
      <c r="AM203" s="8">
        <v>1.06785632963405</v>
      </c>
    </row>
    <row r="204" spans="1:39" x14ac:dyDescent="0.25">
      <c r="A204" t="s">
        <v>255</v>
      </c>
      <c r="B204" t="s">
        <v>240</v>
      </c>
      <c r="C204" t="s">
        <v>299</v>
      </c>
      <c r="D204" t="s">
        <v>515</v>
      </c>
      <c r="E204" s="8">
        <v>1.01493241140055</v>
      </c>
      <c r="F204" s="8">
        <v>1.021417957495989</v>
      </c>
      <c r="G204" s="8">
        <v>1.027903503591427</v>
      </c>
      <c r="H204" s="8">
        <v>1.034389049686866</v>
      </c>
      <c r="I204" s="8">
        <v>1.040874595782304</v>
      </c>
      <c r="J204" s="8">
        <v>1.047360141877743</v>
      </c>
      <c r="K204" s="8">
        <v>1.053845687973181</v>
      </c>
      <c r="L204" s="8">
        <v>1.06033123406862</v>
      </c>
      <c r="M204" s="8">
        <v>1.07503812033462</v>
      </c>
      <c r="N204" s="8">
        <v>1.08974500660062</v>
      </c>
      <c r="O204" s="8">
        <v>1.10445189286662</v>
      </c>
      <c r="P204" s="8">
        <v>1.1191587791326201</v>
      </c>
      <c r="Q204" s="8">
        <v>1.1338656653986201</v>
      </c>
      <c r="R204" s="8">
        <v>1.14565830659514</v>
      </c>
      <c r="S204" s="8">
        <v>1.1574509477916599</v>
      </c>
      <c r="T204" s="8">
        <v>1.161554891470602</v>
      </c>
      <c r="U204" s="8">
        <v>1.165658835149544</v>
      </c>
      <c r="V204" s="8">
        <v>1.1697627788284859</v>
      </c>
      <c r="W204" s="8">
        <v>1.173866722507428</v>
      </c>
      <c r="X204" s="8">
        <v>1.17797066618637</v>
      </c>
      <c r="Y204" s="8">
        <v>1.182655429928098</v>
      </c>
      <c r="Z204" s="8">
        <v>1.187340193669826</v>
      </c>
      <c r="AA204" s="8">
        <v>1.192024957411554</v>
      </c>
      <c r="AB204" s="8">
        <v>1.196709721153282</v>
      </c>
      <c r="AC204" s="8">
        <v>1.20139448489501</v>
      </c>
      <c r="AD204" s="8">
        <v>1.2074376228397381</v>
      </c>
      <c r="AE204" s="8">
        <v>1.213480760784466</v>
      </c>
      <c r="AF204" s="8">
        <v>1.2195238987291941</v>
      </c>
      <c r="AG204" s="8">
        <v>1.225567036673922</v>
      </c>
      <c r="AH204" s="8">
        <v>1.2316101746186501</v>
      </c>
      <c r="AI204" s="8">
        <v>1.2372126282023661</v>
      </c>
      <c r="AJ204" s="8">
        <v>1.2428150817860819</v>
      </c>
      <c r="AK204" s="8">
        <v>1.2484175353697979</v>
      </c>
      <c r="AL204" s="8">
        <v>1.254019988953514</v>
      </c>
      <c r="AM204" s="8">
        <v>1.25962244253723</v>
      </c>
    </row>
    <row r="205" spans="1:39" x14ac:dyDescent="0.25">
      <c r="A205" t="s">
        <v>255</v>
      </c>
      <c r="B205" t="s">
        <v>240</v>
      </c>
      <c r="C205" t="s">
        <v>301</v>
      </c>
      <c r="D205" t="s">
        <v>516</v>
      </c>
      <c r="E205" s="8">
        <v>0.43421646171610001</v>
      </c>
      <c r="F205" s="8">
        <v>0.43699115964614371</v>
      </c>
      <c r="G205" s="8">
        <v>0.43976585757618741</v>
      </c>
      <c r="H205" s="8">
        <v>0.44254055550623111</v>
      </c>
      <c r="I205" s="8">
        <v>0.44531525343627493</v>
      </c>
      <c r="J205" s="8">
        <v>0.44808995136631857</v>
      </c>
      <c r="K205" s="8">
        <v>0.45086464929636227</v>
      </c>
      <c r="L205" s="8">
        <v>0.45363934722640598</v>
      </c>
      <c r="M205" s="8">
        <v>0.45993136434024923</v>
      </c>
      <c r="N205" s="8">
        <v>0.46622338145409242</v>
      </c>
      <c r="O205" s="8">
        <v>0.47251539856793562</v>
      </c>
      <c r="P205" s="8">
        <v>0.47880741568177881</v>
      </c>
      <c r="Q205" s="8">
        <v>0.48509943279562201</v>
      </c>
      <c r="R205" s="8">
        <v>0.490144654385474</v>
      </c>
      <c r="S205" s="8">
        <v>0.49518987597532599</v>
      </c>
      <c r="T205" s="8">
        <v>0.49694565779818722</v>
      </c>
      <c r="U205" s="8">
        <v>0.4987014396210484</v>
      </c>
      <c r="V205" s="8">
        <v>0.50045722144390958</v>
      </c>
      <c r="W205" s="8">
        <v>0.50221300326677087</v>
      </c>
      <c r="X205" s="8">
        <v>0.50396878508963205</v>
      </c>
      <c r="Y205" s="8">
        <v>0.50597305797650782</v>
      </c>
      <c r="Z205" s="8">
        <v>0.50797733086338359</v>
      </c>
      <c r="AA205" s="8">
        <v>0.50998160375025947</v>
      </c>
      <c r="AB205" s="8">
        <v>0.51198587663713524</v>
      </c>
      <c r="AC205" s="8">
        <v>0.51399014952401101</v>
      </c>
      <c r="AD205" s="8">
        <v>0.51657557287767797</v>
      </c>
      <c r="AE205" s="8">
        <v>0.51916099623134504</v>
      </c>
      <c r="AF205" s="8">
        <v>0.521746419585012</v>
      </c>
      <c r="AG205" s="8">
        <v>0.52433184293867907</v>
      </c>
      <c r="AH205" s="8">
        <v>0.52691726629234603</v>
      </c>
      <c r="AI205" s="8">
        <v>0.52931415255380987</v>
      </c>
      <c r="AJ205" s="8">
        <v>0.5317110388152736</v>
      </c>
      <c r="AK205" s="8">
        <v>0.53410792507673743</v>
      </c>
      <c r="AL205" s="8">
        <v>0.53650481133820116</v>
      </c>
      <c r="AM205" s="8">
        <v>0.538901697599665</v>
      </c>
    </row>
    <row r="206" spans="1:39" x14ac:dyDescent="0.25">
      <c r="A206" t="s">
        <v>255</v>
      </c>
      <c r="B206" t="s">
        <v>240</v>
      </c>
      <c r="C206" t="s">
        <v>303</v>
      </c>
      <c r="D206" t="s">
        <v>517</v>
      </c>
      <c r="E206" s="8">
        <v>0.81343756602376205</v>
      </c>
      <c r="F206" s="8">
        <v>0.81863553464874594</v>
      </c>
      <c r="G206" s="8">
        <v>0.82383350327372973</v>
      </c>
      <c r="H206" s="8">
        <v>0.82903147189871362</v>
      </c>
      <c r="I206" s="8">
        <v>0.83422944052369741</v>
      </c>
      <c r="J206" s="8">
        <v>0.8394274091486813</v>
      </c>
      <c r="K206" s="8">
        <v>0.84462537777366509</v>
      </c>
      <c r="L206" s="8">
        <v>0.84982334639864898</v>
      </c>
      <c r="M206" s="8">
        <v>0.86161046999612156</v>
      </c>
      <c r="N206" s="8">
        <v>0.87339759359359415</v>
      </c>
      <c r="O206" s="8">
        <v>0.88518471719106684</v>
      </c>
      <c r="P206" s="8">
        <v>0.89697184078853942</v>
      </c>
      <c r="Q206" s="8">
        <v>0.908758964386012</v>
      </c>
      <c r="R206" s="8">
        <v>0.91821040888929706</v>
      </c>
      <c r="S206" s="8">
        <v>0.927661853392582</v>
      </c>
      <c r="T206" s="8">
        <v>0.93095103987017824</v>
      </c>
      <c r="U206" s="8">
        <v>0.93424022634777437</v>
      </c>
      <c r="V206" s="8">
        <v>0.93752941282537061</v>
      </c>
      <c r="W206" s="8">
        <v>0.94081859930296674</v>
      </c>
      <c r="X206" s="8">
        <v>0.94410778578056298</v>
      </c>
      <c r="Y206" s="8">
        <v>0.94786248193438061</v>
      </c>
      <c r="Z206" s="8">
        <v>0.95161717808819823</v>
      </c>
      <c r="AA206" s="8">
        <v>0.95537187424201575</v>
      </c>
      <c r="AB206" s="8">
        <v>0.95912657039583338</v>
      </c>
      <c r="AC206" s="8">
        <v>0.962881266549651</v>
      </c>
      <c r="AD206" s="8">
        <v>0.96772465845613642</v>
      </c>
      <c r="AE206" s="8">
        <v>0.97256805036262184</v>
      </c>
      <c r="AF206" s="8">
        <v>0.97741144226910714</v>
      </c>
      <c r="AG206" s="8">
        <v>0.98225483417559256</v>
      </c>
      <c r="AH206" s="8">
        <v>0.98709822608207798</v>
      </c>
      <c r="AI206" s="8">
        <v>0.99158842282946236</v>
      </c>
      <c r="AJ206" s="8">
        <v>0.99607861957684674</v>
      </c>
      <c r="AK206" s="8">
        <v>1.000568816324231</v>
      </c>
      <c r="AL206" s="8">
        <v>1.005059013071615</v>
      </c>
      <c r="AM206" s="8">
        <v>1.009549209819</v>
      </c>
    </row>
    <row r="207" spans="1:39" x14ac:dyDescent="0.25">
      <c r="A207" t="s">
        <v>255</v>
      </c>
      <c r="B207" t="s">
        <v>240</v>
      </c>
      <c r="C207" t="s">
        <v>305</v>
      </c>
      <c r="D207" t="s">
        <v>518</v>
      </c>
      <c r="E207" s="8">
        <v>2.2672125335777199E-2</v>
      </c>
      <c r="F207" s="8">
        <v>2.2919343860053509E-2</v>
      </c>
      <c r="G207" s="8">
        <v>2.316656238432983E-2</v>
      </c>
      <c r="H207" s="8">
        <v>2.341378090860614E-2</v>
      </c>
      <c r="I207" s="8">
        <v>2.3660999432882461E-2</v>
      </c>
      <c r="J207" s="8">
        <v>2.3908217957158771E-2</v>
      </c>
      <c r="K207" s="8">
        <v>2.4155436481435089E-2</v>
      </c>
      <c r="L207" s="8">
        <v>2.4402655005711399E-2</v>
      </c>
      <c r="M207" s="8">
        <v>2.455793120694864E-2</v>
      </c>
      <c r="N207" s="8">
        <v>2.4713207408185878E-2</v>
      </c>
      <c r="O207" s="8">
        <v>2.486848360942312E-2</v>
      </c>
      <c r="P207" s="8">
        <v>2.5023759810660361E-2</v>
      </c>
      <c r="Q207" s="8">
        <v>2.5179036011897599E-2</v>
      </c>
      <c r="R207" s="8">
        <v>2.5332133436655E-2</v>
      </c>
      <c r="S207" s="8">
        <v>2.5485230861412401E-2</v>
      </c>
      <c r="T207" s="8">
        <v>2.562168751501916E-2</v>
      </c>
      <c r="U207" s="8">
        <v>2.5758144168625919E-2</v>
      </c>
      <c r="V207" s="8">
        <v>2.5894600822232682E-2</v>
      </c>
      <c r="W207" s="8">
        <v>2.6031057475839441E-2</v>
      </c>
      <c r="X207" s="8">
        <v>2.61675141294462E-2</v>
      </c>
      <c r="Y207" s="8">
        <v>2.6290421478289638E-2</v>
      </c>
      <c r="Z207" s="8">
        <v>2.6413328827133081E-2</v>
      </c>
      <c r="AA207" s="8">
        <v>2.6536236175976519E-2</v>
      </c>
      <c r="AB207" s="8">
        <v>2.6659143524819962E-2</v>
      </c>
      <c r="AC207" s="8">
        <v>2.67820508736634E-2</v>
      </c>
      <c r="AD207" s="8">
        <v>2.6895183090140239E-2</v>
      </c>
      <c r="AE207" s="8">
        <v>2.700831530661708E-2</v>
      </c>
      <c r="AF207" s="8">
        <v>2.7121447523093919E-2</v>
      </c>
      <c r="AG207" s="8">
        <v>2.7234579739570761E-2</v>
      </c>
      <c r="AH207" s="8">
        <v>2.7347711956047599E-2</v>
      </c>
      <c r="AI207" s="8">
        <v>2.7451773067097299E-2</v>
      </c>
      <c r="AJ207" s="8">
        <v>2.7555834178146998E-2</v>
      </c>
      <c r="AK207" s="8">
        <v>2.7659895289196702E-2</v>
      </c>
      <c r="AL207" s="8">
        <v>2.7763956400246401E-2</v>
      </c>
      <c r="AM207" s="8">
        <v>2.7868017511296101E-2</v>
      </c>
    </row>
    <row r="208" spans="1:39" x14ac:dyDescent="0.25">
      <c r="A208" t="s">
        <v>255</v>
      </c>
      <c r="B208" t="s">
        <v>240</v>
      </c>
      <c r="C208" t="s">
        <v>307</v>
      </c>
      <c r="D208" t="s">
        <v>519</v>
      </c>
      <c r="E208" s="8">
        <v>0.15036955821508899</v>
      </c>
      <c r="F208" s="8">
        <v>0.15121081186551141</v>
      </c>
      <c r="G208" s="8">
        <v>0.15205206551593381</v>
      </c>
      <c r="H208" s="8">
        <v>0.15289331916635629</v>
      </c>
      <c r="I208" s="8">
        <v>0.15373457281677869</v>
      </c>
      <c r="J208" s="8">
        <v>0.15457582646720111</v>
      </c>
      <c r="K208" s="8">
        <v>0.15541708011762359</v>
      </c>
      <c r="L208" s="8">
        <v>0.15625833376804599</v>
      </c>
      <c r="M208" s="8">
        <v>0.15774013329072961</v>
      </c>
      <c r="N208" s="8">
        <v>0.15922193281341321</v>
      </c>
      <c r="O208" s="8">
        <v>0.16070373233609681</v>
      </c>
      <c r="P208" s="8">
        <v>0.1621855318587804</v>
      </c>
      <c r="Q208" s="8">
        <v>0.163667331381464</v>
      </c>
      <c r="R208" s="8">
        <v>0.16530180883430501</v>
      </c>
      <c r="S208" s="8">
        <v>0.16693628628714599</v>
      </c>
      <c r="T208" s="8">
        <v>0.16820369472332239</v>
      </c>
      <c r="U208" s="8">
        <v>0.16947110315949879</v>
      </c>
      <c r="V208" s="8">
        <v>0.17073851159567521</v>
      </c>
      <c r="W208" s="8">
        <v>0.17200592003185161</v>
      </c>
      <c r="X208" s="8">
        <v>0.17327332846802801</v>
      </c>
      <c r="Y208" s="8">
        <v>0.17394696705524959</v>
      </c>
      <c r="Z208" s="8">
        <v>0.1746206056424712</v>
      </c>
      <c r="AA208" s="8">
        <v>0.17529424422969281</v>
      </c>
      <c r="AB208" s="8">
        <v>0.17596788281691439</v>
      </c>
      <c r="AC208" s="8">
        <v>0.176641521404136</v>
      </c>
      <c r="AD208" s="8">
        <v>0.17739966899713419</v>
      </c>
      <c r="AE208" s="8">
        <v>0.17815781659013241</v>
      </c>
      <c r="AF208" s="8">
        <v>0.1789159641831306</v>
      </c>
      <c r="AG208" s="8">
        <v>0.1796741117761288</v>
      </c>
      <c r="AH208" s="8">
        <v>0.18043225936912699</v>
      </c>
      <c r="AI208" s="8">
        <v>0.18121089621236761</v>
      </c>
      <c r="AJ208" s="8">
        <v>0.18198953305560819</v>
      </c>
      <c r="AK208" s="8">
        <v>0.18276816989884881</v>
      </c>
      <c r="AL208" s="8">
        <v>0.1835468067420894</v>
      </c>
      <c r="AM208" s="8">
        <v>0.18432544358533001</v>
      </c>
    </row>
    <row r="209" spans="1:39" x14ac:dyDescent="0.25">
      <c r="A209" t="s">
        <v>255</v>
      </c>
      <c r="B209" t="s">
        <v>240</v>
      </c>
      <c r="C209" t="s">
        <v>309</v>
      </c>
      <c r="D209" t="s">
        <v>520</v>
      </c>
      <c r="E209" s="8">
        <v>8.7866829804017898E-3</v>
      </c>
      <c r="F209" s="8">
        <v>8.8702115873162488E-3</v>
      </c>
      <c r="G209" s="8">
        <v>8.9537401942307061E-3</v>
      </c>
      <c r="H209" s="8">
        <v>9.0372688011451652E-3</v>
      </c>
      <c r="I209" s="8">
        <v>9.1207974080596242E-3</v>
      </c>
      <c r="J209" s="8">
        <v>9.2043260149740833E-3</v>
      </c>
      <c r="K209" s="8">
        <v>9.2878546218885406E-3</v>
      </c>
      <c r="L209" s="8">
        <v>9.3713832288029996E-3</v>
      </c>
      <c r="M209" s="8">
        <v>9.4642206518647711E-3</v>
      </c>
      <c r="N209" s="8">
        <v>9.5570580749265444E-3</v>
      </c>
      <c r="O209" s="8">
        <v>9.6498954979883159E-3</v>
      </c>
      <c r="P209" s="8">
        <v>9.7427329210500891E-3</v>
      </c>
      <c r="Q209" s="8">
        <v>9.8355703441118606E-3</v>
      </c>
      <c r="R209" s="8">
        <v>9.9317179802372799E-3</v>
      </c>
      <c r="S209" s="8">
        <v>1.0027865616362701E-2</v>
      </c>
      <c r="T209" s="8">
        <v>1.0118640895991061E-2</v>
      </c>
      <c r="U209" s="8">
        <v>1.0209416175619421E-2</v>
      </c>
      <c r="V209" s="8">
        <v>1.0300191455247781E-2</v>
      </c>
      <c r="W209" s="8">
        <v>1.0390966734876141E-2</v>
      </c>
      <c r="X209" s="8">
        <v>1.0481742014504501E-2</v>
      </c>
      <c r="Y209" s="8">
        <v>1.055895565820488E-2</v>
      </c>
      <c r="Z209" s="8">
        <v>1.063616930190526E-2</v>
      </c>
      <c r="AA209" s="8">
        <v>1.0713382945605639E-2</v>
      </c>
      <c r="AB209" s="8">
        <v>1.079059658930602E-2</v>
      </c>
      <c r="AC209" s="8">
        <v>1.0867810233006399E-2</v>
      </c>
      <c r="AD209" s="8">
        <v>1.0934375008625321E-2</v>
      </c>
      <c r="AE209" s="8">
        <v>1.100093978424424E-2</v>
      </c>
      <c r="AF209" s="8">
        <v>1.106750455986316E-2</v>
      </c>
      <c r="AG209" s="8">
        <v>1.113406933548208E-2</v>
      </c>
      <c r="AH209" s="8">
        <v>1.1200634111100999E-2</v>
      </c>
      <c r="AI209" s="8">
        <v>1.126276301513566E-2</v>
      </c>
      <c r="AJ209" s="8">
        <v>1.132489191917032E-2</v>
      </c>
      <c r="AK209" s="8">
        <v>1.1387020823204979E-2</v>
      </c>
      <c r="AL209" s="8">
        <v>1.1449149727239641E-2</v>
      </c>
      <c r="AM209" s="8">
        <v>1.15112786312743E-2</v>
      </c>
    </row>
    <row r="210" spans="1:39" x14ac:dyDescent="0.25">
      <c r="A210" t="s">
        <v>255</v>
      </c>
      <c r="B210" t="s">
        <v>240</v>
      </c>
      <c r="C210" t="s">
        <v>311</v>
      </c>
      <c r="D210" t="s">
        <v>521</v>
      </c>
      <c r="E210" s="8">
        <v>3.8844824277664103E-4</v>
      </c>
      <c r="F210" s="8">
        <v>3.992391947330749E-4</v>
      </c>
      <c r="G210" s="8">
        <v>4.1003014668950871E-4</v>
      </c>
      <c r="H210" s="8">
        <v>4.2082109864594259E-4</v>
      </c>
      <c r="I210" s="8">
        <v>4.3161205060237651E-4</v>
      </c>
      <c r="J210" s="8">
        <v>4.4240300255881033E-4</v>
      </c>
      <c r="K210" s="8">
        <v>4.5319395451524409E-4</v>
      </c>
      <c r="L210" s="8">
        <v>4.6398490647167801E-4</v>
      </c>
      <c r="M210" s="8">
        <v>4.7594215008474138E-4</v>
      </c>
      <c r="N210" s="8">
        <v>4.878993936978048E-4</v>
      </c>
      <c r="O210" s="8">
        <v>4.9985663731086816E-4</v>
      </c>
      <c r="P210" s="8">
        <v>5.1181388092393163E-4</v>
      </c>
      <c r="Q210" s="8">
        <v>5.23771124536995E-4</v>
      </c>
      <c r="R210" s="8">
        <v>5.3520875975858299E-4</v>
      </c>
      <c r="S210" s="8">
        <v>5.4664639498017099E-4</v>
      </c>
      <c r="T210" s="8">
        <v>5.5638709451208098E-4</v>
      </c>
      <c r="U210" s="8">
        <v>5.6612779404399097E-4</v>
      </c>
      <c r="V210" s="8">
        <v>5.7586849357590107E-4</v>
      </c>
      <c r="W210" s="8">
        <v>5.8560919310781106E-4</v>
      </c>
      <c r="X210" s="8">
        <v>5.9534989263972105E-4</v>
      </c>
      <c r="Y210" s="8">
        <v>6.0187827494899144E-4</v>
      </c>
      <c r="Z210" s="8">
        <v>6.0840665725826184E-4</v>
      </c>
      <c r="AA210" s="8">
        <v>6.1493503956753224E-4</v>
      </c>
      <c r="AB210" s="8">
        <v>6.2146342187680264E-4</v>
      </c>
      <c r="AC210" s="8">
        <v>6.2799180418607304E-4</v>
      </c>
      <c r="AD210" s="8">
        <v>6.3153614854769642E-4</v>
      </c>
      <c r="AE210" s="8">
        <v>6.350804929093198E-4</v>
      </c>
      <c r="AF210" s="8">
        <v>6.3862483727094319E-4</v>
      </c>
      <c r="AG210" s="8">
        <v>6.4216918163256657E-4</v>
      </c>
      <c r="AH210" s="8">
        <v>6.4571352599418995E-4</v>
      </c>
      <c r="AI210" s="8">
        <v>6.4818486121890674E-4</v>
      </c>
      <c r="AJ210" s="8">
        <v>6.5065619644362352E-4</v>
      </c>
      <c r="AK210" s="8">
        <v>6.5312753166834041E-4</v>
      </c>
      <c r="AL210" s="8">
        <v>6.555988668930572E-4</v>
      </c>
      <c r="AM210" s="8">
        <v>6.5807020211777398E-4</v>
      </c>
    </row>
    <row r="211" spans="1:39" x14ac:dyDescent="0.25">
      <c r="A211" t="s">
        <v>255</v>
      </c>
      <c r="B211" t="s">
        <v>240</v>
      </c>
      <c r="C211" t="s">
        <v>313</v>
      </c>
      <c r="D211" t="s">
        <v>522</v>
      </c>
      <c r="E211" s="8">
        <v>6.4635087681453403E-4</v>
      </c>
      <c r="F211" s="8">
        <v>6.6744462225728964E-4</v>
      </c>
      <c r="G211" s="8">
        <v>6.8853836770004515E-4</v>
      </c>
      <c r="H211" s="8">
        <v>7.0963211314280076E-4</v>
      </c>
      <c r="I211" s="8">
        <v>7.3072585858555627E-4</v>
      </c>
      <c r="J211" s="8">
        <v>7.5181960402831188E-4</v>
      </c>
      <c r="K211" s="8">
        <v>7.7291334947106739E-4</v>
      </c>
      <c r="L211" s="8">
        <v>7.9400709491382301E-4</v>
      </c>
      <c r="M211" s="8">
        <v>8.1735984906113805E-4</v>
      </c>
      <c r="N211" s="8">
        <v>8.4071260320845299E-4</v>
      </c>
      <c r="O211" s="8">
        <v>8.6406535735576804E-4</v>
      </c>
      <c r="P211" s="8">
        <v>8.8741811150308298E-4</v>
      </c>
      <c r="Q211" s="8">
        <v>9.1077086565039803E-4</v>
      </c>
      <c r="R211" s="8">
        <v>9.3261249355743709E-4</v>
      </c>
      <c r="S211" s="8">
        <v>9.5445412146447604E-4</v>
      </c>
      <c r="T211" s="8">
        <v>9.7172855316523285E-4</v>
      </c>
      <c r="U211" s="8">
        <v>9.8900298486598965E-4</v>
      </c>
      <c r="V211" s="8">
        <v>1.006277416566746E-3</v>
      </c>
      <c r="W211" s="8">
        <v>1.023551848267503E-3</v>
      </c>
      <c r="X211" s="8">
        <v>1.0408262799682601E-3</v>
      </c>
      <c r="Y211" s="8">
        <v>1.051233295974402E-3</v>
      </c>
      <c r="Z211" s="8">
        <v>1.061640311980544E-3</v>
      </c>
      <c r="AA211" s="8">
        <v>1.072047327986686E-3</v>
      </c>
      <c r="AB211" s="8">
        <v>1.082454343992828E-3</v>
      </c>
      <c r="AC211" s="8">
        <v>1.09286135999897E-3</v>
      </c>
      <c r="AD211" s="8">
        <v>1.097636306525268E-3</v>
      </c>
      <c r="AE211" s="8">
        <v>1.102411253051566E-3</v>
      </c>
      <c r="AF211" s="8">
        <v>1.107186199577864E-3</v>
      </c>
      <c r="AG211" s="8">
        <v>1.111961146104162E-3</v>
      </c>
      <c r="AH211" s="8">
        <v>1.1167360926304601E-3</v>
      </c>
      <c r="AI211" s="8">
        <v>1.119958658418308E-3</v>
      </c>
      <c r="AJ211" s="8">
        <v>1.123181224206156E-3</v>
      </c>
      <c r="AK211" s="8">
        <v>1.126403789994004E-3</v>
      </c>
      <c r="AL211" s="8">
        <v>1.129626355781852E-3</v>
      </c>
      <c r="AM211" s="8">
        <v>1.1328489215697E-3</v>
      </c>
    </row>
    <row r="212" spans="1:39" x14ac:dyDescent="0.25">
      <c r="A212" t="s">
        <v>255</v>
      </c>
      <c r="B212" t="s">
        <v>240</v>
      </c>
      <c r="C212" t="s">
        <v>315</v>
      </c>
      <c r="D212" t="s">
        <v>523</v>
      </c>
      <c r="E212" s="8">
        <v>0.84730682908654797</v>
      </c>
      <c r="F212" s="8">
        <v>0.84853356580762584</v>
      </c>
      <c r="G212" s="8">
        <v>0.84976030252870371</v>
      </c>
      <c r="H212" s="8">
        <v>0.85098703924978158</v>
      </c>
      <c r="I212" s="8">
        <v>0.85221377597085934</v>
      </c>
      <c r="J212" s="8">
        <v>0.85344051269193721</v>
      </c>
      <c r="K212" s="8">
        <v>0.85466724941301508</v>
      </c>
      <c r="L212" s="8">
        <v>0.85589398613409295</v>
      </c>
      <c r="M212" s="8">
        <v>0.85716394065481372</v>
      </c>
      <c r="N212" s="8">
        <v>0.85843389517553459</v>
      </c>
      <c r="O212" s="8">
        <v>0.85970384969625535</v>
      </c>
      <c r="P212" s="8">
        <v>0.86097380421697622</v>
      </c>
      <c r="Q212" s="8">
        <v>0.86224375873769699</v>
      </c>
      <c r="R212" s="8">
        <v>0.86455559217874445</v>
      </c>
      <c r="S212" s="8">
        <v>0.86686742561979202</v>
      </c>
      <c r="T212" s="8">
        <v>0.87141859883229345</v>
      </c>
      <c r="U212" s="8">
        <v>0.87596977204479487</v>
      </c>
      <c r="V212" s="8">
        <v>0.88052094525729618</v>
      </c>
      <c r="W212" s="8">
        <v>0.88507211846979761</v>
      </c>
      <c r="X212" s="8">
        <v>0.88962329168229903</v>
      </c>
      <c r="Y212" s="8">
        <v>0.89617728536363261</v>
      </c>
      <c r="Z212" s="8">
        <v>0.9027312790449662</v>
      </c>
      <c r="AA212" s="8">
        <v>0.90928527272629989</v>
      </c>
      <c r="AB212" s="8">
        <v>0.91583926640763347</v>
      </c>
      <c r="AC212" s="8">
        <v>0.92239326008896705</v>
      </c>
      <c r="AD212" s="8">
        <v>0.92895427069762104</v>
      </c>
      <c r="AE212" s="8">
        <v>0.93551528130627504</v>
      </c>
      <c r="AF212" s="8">
        <v>0.94207629191492903</v>
      </c>
      <c r="AG212" s="8">
        <v>0.94863730252358303</v>
      </c>
      <c r="AH212" s="8">
        <v>0.95519831313223702</v>
      </c>
      <c r="AI212" s="8">
        <v>0.96073767863442905</v>
      </c>
      <c r="AJ212" s="8">
        <v>0.96627704413662108</v>
      </c>
      <c r="AK212" s="8">
        <v>0.97181640963881299</v>
      </c>
      <c r="AL212" s="8">
        <v>0.97735577514100502</v>
      </c>
      <c r="AM212" s="8">
        <v>0.98289514064319705</v>
      </c>
    </row>
    <row r="213" spans="1:39" x14ac:dyDescent="0.25">
      <c r="A213" t="s">
        <v>255</v>
      </c>
      <c r="B213" t="s">
        <v>240</v>
      </c>
      <c r="C213" t="s">
        <v>317</v>
      </c>
      <c r="D213" t="s">
        <v>524</v>
      </c>
      <c r="E213" s="8">
        <v>0.142084768523911</v>
      </c>
      <c r="F213" s="8">
        <v>0.14245553446698639</v>
      </c>
      <c r="G213" s="8">
        <v>0.14282630041006189</v>
      </c>
      <c r="H213" s="8">
        <v>0.14319706635313731</v>
      </c>
      <c r="I213" s="8">
        <v>0.1435678322962127</v>
      </c>
      <c r="J213" s="8">
        <v>0.14393859823928809</v>
      </c>
      <c r="K213" s="8">
        <v>0.14430936418236359</v>
      </c>
      <c r="L213" s="8">
        <v>0.14468013012543901</v>
      </c>
      <c r="M213" s="8">
        <v>0.1449942858924726</v>
      </c>
      <c r="N213" s="8">
        <v>0.14530844165950621</v>
      </c>
      <c r="O213" s="8">
        <v>0.1456225974265398</v>
      </c>
      <c r="P213" s="8">
        <v>0.14593675319357341</v>
      </c>
      <c r="Q213" s="8">
        <v>0.146250908960607</v>
      </c>
      <c r="R213" s="8">
        <v>0.14671044005521899</v>
      </c>
      <c r="S213" s="8">
        <v>0.14716997114983099</v>
      </c>
      <c r="T213" s="8">
        <v>0.14791659266235099</v>
      </c>
      <c r="U213" s="8">
        <v>0.14866321417487099</v>
      </c>
      <c r="V213" s="8">
        <v>0.149409835687391</v>
      </c>
      <c r="W213" s="8">
        <v>0.150156457199911</v>
      </c>
      <c r="X213" s="8">
        <v>0.150903078712431</v>
      </c>
      <c r="Y213" s="8">
        <v>0.15187949033440179</v>
      </c>
      <c r="Z213" s="8">
        <v>0.15285590195637261</v>
      </c>
      <c r="AA213" s="8">
        <v>0.1538323135783434</v>
      </c>
      <c r="AB213" s="8">
        <v>0.15480872520031419</v>
      </c>
      <c r="AC213" s="8">
        <v>0.15578513682228501</v>
      </c>
      <c r="AD213" s="8">
        <v>0.15687670587253361</v>
      </c>
      <c r="AE213" s="8">
        <v>0.1579682749227822</v>
      </c>
      <c r="AF213" s="8">
        <v>0.1590598439730308</v>
      </c>
      <c r="AG213" s="8">
        <v>0.1601514130232794</v>
      </c>
      <c r="AH213" s="8">
        <v>0.161242982073528</v>
      </c>
      <c r="AI213" s="8">
        <v>0.16218995629308541</v>
      </c>
      <c r="AJ213" s="8">
        <v>0.1631369305126428</v>
      </c>
      <c r="AK213" s="8">
        <v>0.16408390473220019</v>
      </c>
      <c r="AL213" s="8">
        <v>0.16503087895175761</v>
      </c>
      <c r="AM213" s="8">
        <v>0.165977853171315</v>
      </c>
    </row>
    <row r="214" spans="1:39" x14ac:dyDescent="0.25">
      <c r="A214" t="s">
        <v>255</v>
      </c>
      <c r="B214" t="s">
        <v>240</v>
      </c>
      <c r="C214" t="s">
        <v>319</v>
      </c>
      <c r="D214" t="s">
        <v>525</v>
      </c>
      <c r="E214" s="8">
        <v>7.1143756663261405E-5</v>
      </c>
      <c r="F214" s="8">
        <v>7.2394387496784644E-5</v>
      </c>
      <c r="G214" s="8">
        <v>7.3645018330307884E-5</v>
      </c>
      <c r="H214" s="8">
        <v>7.4895649163831123E-5</v>
      </c>
      <c r="I214" s="8">
        <v>7.6146279997354376E-5</v>
      </c>
      <c r="J214" s="8">
        <v>7.7396910830877615E-5</v>
      </c>
      <c r="K214" s="8">
        <v>7.8647541664400854E-5</v>
      </c>
      <c r="L214" s="8">
        <v>7.9898172497924093E-5</v>
      </c>
      <c r="M214" s="8">
        <v>8.14366207276111E-5</v>
      </c>
      <c r="N214" s="8">
        <v>8.2975068957298094E-5</v>
      </c>
      <c r="O214" s="8">
        <v>8.4513517186985101E-5</v>
      </c>
      <c r="P214" s="8">
        <v>8.6051965416672095E-5</v>
      </c>
      <c r="Q214" s="8">
        <v>8.7590413646359102E-5</v>
      </c>
      <c r="R214" s="8">
        <v>8.923306143102981E-5</v>
      </c>
      <c r="S214" s="8">
        <v>9.0875709215700504E-5</v>
      </c>
      <c r="T214" s="8">
        <v>9.2623363198058757E-5</v>
      </c>
      <c r="U214" s="8">
        <v>9.4371017180417023E-5</v>
      </c>
      <c r="V214" s="8">
        <v>9.6118671162775276E-5</v>
      </c>
      <c r="W214" s="8">
        <v>9.7866325145133543E-5</v>
      </c>
      <c r="X214" s="8">
        <v>9.9613979127491796E-5</v>
      </c>
      <c r="Y214" s="8">
        <v>1.010408143092592E-4</v>
      </c>
      <c r="Z214" s="8">
        <v>1.024676494910267E-4</v>
      </c>
      <c r="AA214" s="8">
        <v>1.038944846727941E-4</v>
      </c>
      <c r="AB214" s="8">
        <v>1.053213198545616E-4</v>
      </c>
      <c r="AC214" s="8">
        <v>1.0674815503632901E-4</v>
      </c>
      <c r="AD214" s="8">
        <v>1.073804897694882E-4</v>
      </c>
      <c r="AE214" s="8">
        <v>1.080128245026474E-4</v>
      </c>
      <c r="AF214" s="8">
        <v>1.086451592358066E-4</v>
      </c>
      <c r="AG214" s="8">
        <v>1.0927749396896581E-4</v>
      </c>
      <c r="AH214" s="8">
        <v>1.09909828702125E-4</v>
      </c>
      <c r="AI214" s="8">
        <v>1.101391570455446E-4</v>
      </c>
      <c r="AJ214" s="8">
        <v>1.1036848538896419E-4</v>
      </c>
      <c r="AK214" s="8">
        <v>1.105978137323838E-4</v>
      </c>
      <c r="AL214" s="8">
        <v>1.1082714207580339E-4</v>
      </c>
      <c r="AM214" s="8">
        <v>1.11056470419223E-4</v>
      </c>
    </row>
    <row r="215" spans="1:39" x14ac:dyDescent="0.25">
      <c r="A215" t="s">
        <v>255</v>
      </c>
      <c r="B215" t="s">
        <v>240</v>
      </c>
      <c r="C215" t="s">
        <v>321</v>
      </c>
      <c r="D215" t="s">
        <v>526</v>
      </c>
      <c r="E215" s="8">
        <v>1.28427222596018E-4</v>
      </c>
      <c r="F215" s="8">
        <v>1.3256125793343739E-4</v>
      </c>
      <c r="G215" s="8">
        <v>1.3669529327085689E-4</v>
      </c>
      <c r="H215" s="8">
        <v>1.4082932860827631E-4</v>
      </c>
      <c r="I215" s="8">
        <v>1.449633639456957E-4</v>
      </c>
      <c r="J215" s="8">
        <v>1.4909739928311509E-4</v>
      </c>
      <c r="K215" s="8">
        <v>1.5323143462053459E-4</v>
      </c>
      <c r="L215" s="8">
        <v>1.57365469957954E-4</v>
      </c>
      <c r="M215" s="8">
        <v>1.6212592003336099E-4</v>
      </c>
      <c r="N215" s="8">
        <v>1.66886370108768E-4</v>
      </c>
      <c r="O215" s="8">
        <v>1.7164682018417499E-4</v>
      </c>
      <c r="P215" s="8">
        <v>1.76407270259582E-4</v>
      </c>
      <c r="Q215" s="8">
        <v>1.8116772033498901E-4</v>
      </c>
      <c r="R215" s="8">
        <v>1.856921670478755E-4</v>
      </c>
      <c r="S215" s="8">
        <v>1.9021661376076199E-4</v>
      </c>
      <c r="T215" s="8">
        <v>1.9403104971557421E-4</v>
      </c>
      <c r="U215" s="8">
        <v>1.9784548567038641E-4</v>
      </c>
      <c r="V215" s="8">
        <v>2.016599216251986E-4</v>
      </c>
      <c r="W215" s="8">
        <v>2.054743575800108E-4</v>
      </c>
      <c r="X215" s="8">
        <v>2.0928879353482299E-4</v>
      </c>
      <c r="Y215" s="8">
        <v>2.1167678740927561E-4</v>
      </c>
      <c r="Z215" s="8">
        <v>2.140647812837282E-4</v>
      </c>
      <c r="AA215" s="8">
        <v>2.1645277515818079E-4</v>
      </c>
      <c r="AB215" s="8">
        <v>2.188407690326334E-4</v>
      </c>
      <c r="AC215" s="8">
        <v>2.2122876290708599E-4</v>
      </c>
      <c r="AD215" s="8">
        <v>2.2233039144742839E-4</v>
      </c>
      <c r="AE215" s="8">
        <v>2.234320199877708E-4</v>
      </c>
      <c r="AF215" s="8">
        <v>2.245336485281132E-4</v>
      </c>
      <c r="AG215" s="8">
        <v>2.256352770684556E-4</v>
      </c>
      <c r="AH215" s="8">
        <v>2.26736905608798E-4</v>
      </c>
      <c r="AI215" s="8">
        <v>2.27359318035094E-4</v>
      </c>
      <c r="AJ215" s="8">
        <v>2.2798173046139001E-4</v>
      </c>
      <c r="AK215" s="8">
        <v>2.2860414288768601E-4</v>
      </c>
      <c r="AL215" s="8">
        <v>2.2922655531398199E-4</v>
      </c>
      <c r="AM215" s="8">
        <v>2.2984896774027799E-4</v>
      </c>
    </row>
    <row r="216" spans="1:39" x14ac:dyDescent="0.25">
      <c r="A216" t="s">
        <v>255</v>
      </c>
      <c r="B216" t="s">
        <v>240</v>
      </c>
      <c r="C216" t="s">
        <v>323</v>
      </c>
      <c r="D216" t="s">
        <v>527</v>
      </c>
      <c r="E216" s="8">
        <v>4.6530568024198102E-4</v>
      </c>
      <c r="F216" s="8">
        <v>4.7916026153757958E-4</v>
      </c>
      <c r="G216" s="8">
        <v>4.930148428331782E-4</v>
      </c>
      <c r="H216" s="8">
        <v>5.0686942412877677E-4</v>
      </c>
      <c r="I216" s="8">
        <v>5.2072400542437533E-4</v>
      </c>
      <c r="J216" s="8">
        <v>5.3457858671997389E-4</v>
      </c>
      <c r="K216" s="8">
        <v>5.4843316801557246E-4</v>
      </c>
      <c r="L216" s="8">
        <v>5.6228774931117102E-4</v>
      </c>
      <c r="M216" s="8">
        <v>5.8107983935748106E-4</v>
      </c>
      <c r="N216" s="8">
        <v>5.9987192940379099E-4</v>
      </c>
      <c r="O216" s="8">
        <v>6.1866401945010103E-4</v>
      </c>
      <c r="P216" s="8">
        <v>6.3745610949641097E-4</v>
      </c>
      <c r="Q216" s="8">
        <v>6.5624819954272101E-4</v>
      </c>
      <c r="R216" s="8">
        <v>6.7612975227920652E-4</v>
      </c>
      <c r="S216" s="8">
        <v>6.9601130501569203E-4</v>
      </c>
      <c r="T216" s="8">
        <v>7.1574688393948461E-4</v>
      </c>
      <c r="U216" s="8">
        <v>7.354824628632772E-4</v>
      </c>
      <c r="V216" s="8">
        <v>7.5521804178706978E-4</v>
      </c>
      <c r="W216" s="8">
        <v>7.7495362071086237E-4</v>
      </c>
      <c r="X216" s="8">
        <v>7.9468919963465495E-4</v>
      </c>
      <c r="Y216" s="8">
        <v>8.0836993759987076E-4</v>
      </c>
      <c r="Z216" s="8">
        <v>8.2205067556508657E-4</v>
      </c>
      <c r="AA216" s="8">
        <v>8.3573141353030238E-4</v>
      </c>
      <c r="AB216" s="8">
        <v>8.4941215149551819E-4</v>
      </c>
      <c r="AC216" s="8">
        <v>8.63092889460734E-4</v>
      </c>
      <c r="AD216" s="8">
        <v>8.6907178127087136E-4</v>
      </c>
      <c r="AE216" s="8">
        <v>8.7505067308100884E-4</v>
      </c>
      <c r="AF216" s="8">
        <v>8.810295648911462E-4</v>
      </c>
      <c r="AG216" s="8">
        <v>8.8700845670128367E-4</v>
      </c>
      <c r="AH216" s="8">
        <v>8.9298734851142104E-4</v>
      </c>
      <c r="AI216" s="8">
        <v>8.9405248919344519E-4</v>
      </c>
      <c r="AJ216" s="8">
        <v>8.9511762987546945E-4</v>
      </c>
      <c r="AK216" s="8">
        <v>8.9618277055749361E-4</v>
      </c>
      <c r="AL216" s="8">
        <v>8.9724791123951787E-4</v>
      </c>
      <c r="AM216" s="8">
        <v>8.9831305192154202E-4</v>
      </c>
    </row>
    <row r="217" spans="1:39" x14ac:dyDescent="0.25">
      <c r="A217" t="s">
        <v>255</v>
      </c>
      <c r="B217" t="s">
        <v>240</v>
      </c>
      <c r="C217" t="s">
        <v>325</v>
      </c>
      <c r="D217" t="s">
        <v>528</v>
      </c>
      <c r="E217" s="8">
        <v>6.1701210548359303E-5</v>
      </c>
      <c r="F217" s="8">
        <v>6.3706841869018511E-5</v>
      </c>
      <c r="G217" s="8">
        <v>6.5712473189677732E-5</v>
      </c>
      <c r="H217" s="8">
        <v>6.771810451033694E-5</v>
      </c>
      <c r="I217" s="8">
        <v>6.9723735830996161E-5</v>
      </c>
      <c r="J217" s="8">
        <v>7.1729367151655369E-5</v>
      </c>
      <c r="K217" s="8">
        <v>7.373499847231459E-5</v>
      </c>
      <c r="L217" s="8">
        <v>7.5740629792973797E-5</v>
      </c>
      <c r="M217" s="8">
        <v>7.7733221158669092E-5</v>
      </c>
      <c r="N217" s="8">
        <v>7.97258125243644E-5</v>
      </c>
      <c r="O217" s="8">
        <v>8.1718403890059695E-5</v>
      </c>
      <c r="P217" s="8">
        <v>8.3710995255755003E-5</v>
      </c>
      <c r="Q217" s="8">
        <v>8.5703586621450298E-5</v>
      </c>
      <c r="R217" s="8">
        <v>8.7343068442505956E-5</v>
      </c>
      <c r="S217" s="8">
        <v>8.89825502635616E-5</v>
      </c>
      <c r="T217" s="8">
        <v>9.0021055682341385E-5</v>
      </c>
      <c r="U217" s="8">
        <v>9.1059561101121156E-5</v>
      </c>
      <c r="V217" s="8">
        <v>9.2098066519900941E-5</v>
      </c>
      <c r="W217" s="8">
        <v>9.3136571938680712E-5</v>
      </c>
      <c r="X217" s="8">
        <v>9.4175077357460497E-5</v>
      </c>
      <c r="Y217" s="8">
        <v>9.4616470812689159E-5</v>
      </c>
      <c r="Z217" s="8">
        <v>9.505786426791782E-5</v>
      </c>
      <c r="AA217" s="8">
        <v>9.5499257723146482E-5</v>
      </c>
      <c r="AB217" s="8">
        <v>9.5940651178375144E-5</v>
      </c>
      <c r="AC217" s="8">
        <v>9.6382044633603806E-5</v>
      </c>
      <c r="AD217" s="8">
        <v>9.6591062923512183E-5</v>
      </c>
      <c r="AE217" s="8">
        <v>9.6800081213420559E-5</v>
      </c>
      <c r="AF217" s="8">
        <v>9.7009099503328949E-5</v>
      </c>
      <c r="AG217" s="8">
        <v>9.7218117793237326E-5</v>
      </c>
      <c r="AH217" s="8">
        <v>9.7427136083145702E-5</v>
      </c>
      <c r="AI217" s="8">
        <v>9.7776299269520983E-5</v>
      </c>
      <c r="AJ217" s="8">
        <v>9.8125462455896263E-5</v>
      </c>
      <c r="AK217" s="8">
        <v>9.8474625642271544E-5</v>
      </c>
      <c r="AL217" s="8">
        <v>9.8823788828646824E-5</v>
      </c>
      <c r="AM217" s="8">
        <v>9.9172952015022105E-5</v>
      </c>
    </row>
    <row r="218" spans="1:39" x14ac:dyDescent="0.25">
      <c r="A218" t="s">
        <v>255</v>
      </c>
      <c r="B218" t="s">
        <v>240</v>
      </c>
      <c r="C218" t="s">
        <v>327</v>
      </c>
      <c r="D218" t="s">
        <v>529</v>
      </c>
      <c r="E218" s="8">
        <v>5.52145321764888E-5</v>
      </c>
      <c r="F218" s="8">
        <v>5.7078177421587518E-5</v>
      </c>
      <c r="G218" s="8">
        <v>5.8941822666686228E-5</v>
      </c>
      <c r="H218" s="8">
        <v>6.0805467911784952E-5</v>
      </c>
      <c r="I218" s="8">
        <v>6.2669113156883663E-5</v>
      </c>
      <c r="J218" s="8">
        <v>6.4532758401982367E-5</v>
      </c>
      <c r="K218" s="8">
        <v>6.6396403647081084E-5</v>
      </c>
      <c r="L218" s="8">
        <v>6.8260048892179802E-5</v>
      </c>
      <c r="M218" s="8">
        <v>7.0072268914394241E-5</v>
      </c>
      <c r="N218" s="8">
        <v>7.188448893660868E-5</v>
      </c>
      <c r="O218" s="8">
        <v>7.369670895882312E-5</v>
      </c>
      <c r="P218" s="8">
        <v>7.5508928981037559E-5</v>
      </c>
      <c r="Q218" s="8">
        <v>7.7321149003251998E-5</v>
      </c>
      <c r="R218" s="8">
        <v>7.8792356010622499E-5</v>
      </c>
      <c r="S218" s="8">
        <v>8.0263563017993E-5</v>
      </c>
      <c r="T218" s="8">
        <v>8.1132531546944205E-5</v>
      </c>
      <c r="U218" s="8">
        <v>8.2001500075895396E-5</v>
      </c>
      <c r="V218" s="8">
        <v>8.2870468604846601E-5</v>
      </c>
      <c r="W218" s="8">
        <v>8.3739437133797793E-5</v>
      </c>
      <c r="X218" s="8">
        <v>8.4608405662748998E-5</v>
      </c>
      <c r="Y218" s="8">
        <v>8.4951700898410295E-5</v>
      </c>
      <c r="Z218" s="8">
        <v>8.5294996134071592E-5</v>
      </c>
      <c r="AA218" s="8">
        <v>8.5638291369732902E-5</v>
      </c>
      <c r="AB218" s="8">
        <v>8.5981586605394199E-5</v>
      </c>
      <c r="AC218" s="8">
        <v>8.6324881841055496E-5</v>
      </c>
      <c r="AD218" s="8">
        <v>8.6466217667653333E-5</v>
      </c>
      <c r="AE218" s="8">
        <v>8.6607553494251171E-5</v>
      </c>
      <c r="AF218" s="8">
        <v>8.6748889320849022E-5</v>
      </c>
      <c r="AG218" s="8">
        <v>8.6890225147446859E-5</v>
      </c>
      <c r="AH218" s="8">
        <v>8.7031560974044697E-5</v>
      </c>
      <c r="AI218" s="8">
        <v>8.7355039952406163E-5</v>
      </c>
      <c r="AJ218" s="8">
        <v>8.7678518930767616E-5</v>
      </c>
      <c r="AK218" s="8">
        <v>8.8001997909129082E-5</v>
      </c>
      <c r="AL218" s="8">
        <v>8.8325476887490535E-5</v>
      </c>
      <c r="AM218" s="8">
        <v>8.8648955865852001E-5</v>
      </c>
    </row>
    <row r="219" spans="1:39" x14ac:dyDescent="0.25">
      <c r="A219" t="s">
        <v>255</v>
      </c>
      <c r="B219" t="s">
        <v>240</v>
      </c>
      <c r="C219" t="s">
        <v>329</v>
      </c>
      <c r="D219" t="s">
        <v>530</v>
      </c>
      <c r="E219" s="8">
        <v>1.46369824585741E-5</v>
      </c>
      <c r="F219" s="8">
        <v>1.4871489530413769E-5</v>
      </c>
      <c r="G219" s="8">
        <v>1.5105996602253441E-5</v>
      </c>
      <c r="H219" s="8">
        <v>1.534050367409311E-5</v>
      </c>
      <c r="I219" s="8">
        <v>1.5575010745932789E-5</v>
      </c>
      <c r="J219" s="8">
        <v>1.580951781777246E-5</v>
      </c>
      <c r="K219" s="8">
        <v>1.6044024889612131E-5</v>
      </c>
      <c r="L219" s="8">
        <v>1.6278531961451799E-5</v>
      </c>
      <c r="M219" s="8">
        <v>1.651181646012574E-5</v>
      </c>
      <c r="N219" s="8">
        <v>1.674510095879968E-5</v>
      </c>
      <c r="O219" s="8">
        <v>1.697838545747362E-5</v>
      </c>
      <c r="P219" s="8">
        <v>1.7211669956147561E-5</v>
      </c>
      <c r="Q219" s="8">
        <v>1.7444954454821501E-5</v>
      </c>
      <c r="R219" s="8">
        <v>1.7660608926011699E-5</v>
      </c>
      <c r="S219" s="8">
        <v>1.78762633972019E-5</v>
      </c>
      <c r="T219" s="8">
        <v>1.8042744132424961E-5</v>
      </c>
      <c r="U219" s="8">
        <v>1.8209224867648019E-5</v>
      </c>
      <c r="V219" s="8">
        <v>1.837570560287108E-5</v>
      </c>
      <c r="W219" s="8">
        <v>1.8542186338094141E-5</v>
      </c>
      <c r="X219" s="8">
        <v>1.8708667073317199E-5</v>
      </c>
      <c r="Y219" s="8">
        <v>1.8814449719938199E-5</v>
      </c>
      <c r="Z219" s="8">
        <v>1.89202323665592E-5</v>
      </c>
      <c r="AA219" s="8">
        <v>1.90260150131802E-5</v>
      </c>
      <c r="AB219" s="8">
        <v>1.91317976598012E-5</v>
      </c>
      <c r="AC219" s="8">
        <v>1.9237580306422201E-5</v>
      </c>
      <c r="AD219" s="8">
        <v>1.9317065738298378E-5</v>
      </c>
      <c r="AE219" s="8">
        <v>1.939655117017456E-5</v>
      </c>
      <c r="AF219" s="8">
        <v>1.9476036602050741E-5</v>
      </c>
      <c r="AG219" s="8">
        <v>1.9555522033926918E-5</v>
      </c>
      <c r="AH219" s="8">
        <v>1.9635007465803099E-5</v>
      </c>
      <c r="AI219" s="8">
        <v>1.972338305606208E-5</v>
      </c>
      <c r="AJ219" s="8">
        <v>1.9811758646321061E-5</v>
      </c>
      <c r="AK219" s="8">
        <v>1.9900134236580038E-5</v>
      </c>
      <c r="AL219" s="8">
        <v>1.9988509826839019E-5</v>
      </c>
      <c r="AM219" s="8">
        <v>2.0076885417098E-5</v>
      </c>
    </row>
    <row r="220" spans="1:39" x14ac:dyDescent="0.25">
      <c r="A220" t="s">
        <v>255</v>
      </c>
      <c r="B220" t="s">
        <v>240</v>
      </c>
      <c r="C220" t="s">
        <v>331</v>
      </c>
      <c r="D220" t="s">
        <v>531</v>
      </c>
      <c r="E220" s="8">
        <v>3.0803120536381699E-4</v>
      </c>
      <c r="F220" s="8">
        <v>3.1342383172915859E-4</v>
      </c>
      <c r="G220" s="8">
        <v>3.1881645809450008E-4</v>
      </c>
      <c r="H220" s="8">
        <v>3.2420908445984168E-4</v>
      </c>
      <c r="I220" s="8">
        <v>3.2960171082518328E-4</v>
      </c>
      <c r="J220" s="8">
        <v>3.3499433719052488E-4</v>
      </c>
      <c r="K220" s="8">
        <v>3.4038696355586642E-4</v>
      </c>
      <c r="L220" s="8">
        <v>3.4577958992120802E-4</v>
      </c>
      <c r="M220" s="8">
        <v>3.5199037405936681E-4</v>
      </c>
      <c r="N220" s="8">
        <v>3.582011581975256E-4</v>
      </c>
      <c r="O220" s="8">
        <v>3.644119423356844E-4</v>
      </c>
      <c r="P220" s="8">
        <v>3.7062272647384319E-4</v>
      </c>
      <c r="Q220" s="8">
        <v>3.7683351061200198E-4</v>
      </c>
      <c r="R220" s="8">
        <v>3.8288363446334502E-4</v>
      </c>
      <c r="S220" s="8">
        <v>3.88933758314688E-4</v>
      </c>
      <c r="T220" s="8">
        <v>3.9471497612569043E-4</v>
      </c>
      <c r="U220" s="8">
        <v>4.0049619393669279E-4</v>
      </c>
      <c r="V220" s="8">
        <v>4.0627741174769521E-4</v>
      </c>
      <c r="W220" s="8">
        <v>4.1205862955869758E-4</v>
      </c>
      <c r="X220" s="8">
        <v>4.178398473697E-4</v>
      </c>
      <c r="Y220" s="8">
        <v>4.2228858649027902E-4</v>
      </c>
      <c r="Z220" s="8">
        <v>4.26737325610858E-4</v>
      </c>
      <c r="AA220" s="8">
        <v>4.3118606473143702E-4</v>
      </c>
      <c r="AB220" s="8">
        <v>4.3563480385201599E-4</v>
      </c>
      <c r="AC220" s="8">
        <v>4.4008354297259502E-4</v>
      </c>
      <c r="AD220" s="8">
        <v>4.429378643537404E-4</v>
      </c>
      <c r="AE220" s="8">
        <v>4.4579218573488578E-4</v>
      </c>
      <c r="AF220" s="8">
        <v>4.4864650711603122E-4</v>
      </c>
      <c r="AG220" s="8">
        <v>4.515008284971766E-4</v>
      </c>
      <c r="AH220" s="8">
        <v>4.5435514987832198E-4</v>
      </c>
      <c r="AI220" s="8">
        <v>4.5632151434661579E-4</v>
      </c>
      <c r="AJ220" s="8">
        <v>4.5828787881490961E-4</v>
      </c>
      <c r="AK220" s="8">
        <v>4.6025424328320343E-4</v>
      </c>
      <c r="AL220" s="8">
        <v>4.6222060775149719E-4</v>
      </c>
      <c r="AM220" s="8">
        <v>4.6418697221979101E-4</v>
      </c>
    </row>
    <row r="221" spans="1:39" x14ac:dyDescent="0.25">
      <c r="A221" t="s">
        <v>255</v>
      </c>
      <c r="B221" t="s">
        <v>240</v>
      </c>
      <c r="C221" t="s">
        <v>333</v>
      </c>
      <c r="D221" t="s">
        <v>532</v>
      </c>
      <c r="E221" s="8">
        <v>1.9785737190352199</v>
      </c>
      <c r="F221" s="8">
        <v>1.985878681692727</v>
      </c>
      <c r="G221" s="8">
        <v>1.993183644350234</v>
      </c>
      <c r="H221" s="8">
        <v>2.0004886070077421</v>
      </c>
      <c r="I221" s="8">
        <v>2.0077935696652491</v>
      </c>
      <c r="J221" s="8">
        <v>2.0150985323227562</v>
      </c>
      <c r="K221" s="8">
        <v>2.0224034949802632</v>
      </c>
      <c r="L221" s="8">
        <v>2.0297084576377702</v>
      </c>
      <c r="M221" s="8">
        <v>2.0512123805778359</v>
      </c>
      <c r="N221" s="8">
        <v>2.0727163035179021</v>
      </c>
      <c r="O221" s="8">
        <v>2.0942202264579679</v>
      </c>
      <c r="P221" s="8">
        <v>2.1157241493980341</v>
      </c>
      <c r="Q221" s="8">
        <v>2.1372280723380999</v>
      </c>
      <c r="R221" s="8">
        <v>2.1613393244280998</v>
      </c>
      <c r="S221" s="8">
        <v>2.1854505765180998</v>
      </c>
      <c r="T221" s="8">
        <v>2.203581558105014</v>
      </c>
      <c r="U221" s="8">
        <v>2.2217125396919282</v>
      </c>
      <c r="V221" s="8">
        <v>2.2398435212788419</v>
      </c>
      <c r="W221" s="8">
        <v>2.2579745028657561</v>
      </c>
      <c r="X221" s="8">
        <v>2.2761054844526698</v>
      </c>
      <c r="Y221" s="8">
        <v>2.2847832794230101</v>
      </c>
      <c r="Z221" s="8">
        <v>2.2934610743933499</v>
      </c>
      <c r="AA221" s="8">
        <v>2.3021388693636902</v>
      </c>
      <c r="AB221" s="8">
        <v>2.31081666433403</v>
      </c>
      <c r="AC221" s="8">
        <v>2.3194944593043698</v>
      </c>
      <c r="AD221" s="8">
        <v>2.3298482202902622</v>
      </c>
      <c r="AE221" s="8">
        <v>2.3402019812761541</v>
      </c>
      <c r="AF221" s="8">
        <v>2.350555742262046</v>
      </c>
      <c r="AG221" s="8">
        <v>2.3609095032479379</v>
      </c>
      <c r="AH221" s="8">
        <v>2.3712632642338298</v>
      </c>
      <c r="AI221" s="8">
        <v>2.38214849526782</v>
      </c>
      <c r="AJ221" s="8">
        <v>2.3930337263018102</v>
      </c>
      <c r="AK221" s="8">
        <v>2.4039189573358</v>
      </c>
      <c r="AL221" s="8">
        <v>2.4148041883697902</v>
      </c>
      <c r="AM221" s="8">
        <v>2.4256894194037799</v>
      </c>
    </row>
    <row r="222" spans="1:39" x14ac:dyDescent="0.25">
      <c r="A222" t="s">
        <v>255</v>
      </c>
      <c r="B222" t="s">
        <v>236</v>
      </c>
      <c r="C222" t="s">
        <v>53</v>
      </c>
      <c r="D222" t="s">
        <v>533</v>
      </c>
      <c r="E222" s="8">
        <v>2.54750302553431E-2</v>
      </c>
      <c r="F222" s="8">
        <v>2.562131606947169E-2</v>
      </c>
      <c r="G222" s="8">
        <v>2.576760188360027E-2</v>
      </c>
      <c r="H222" s="8">
        <v>2.5913887697728861E-2</v>
      </c>
      <c r="I222" s="8">
        <v>2.6060173511857441E-2</v>
      </c>
      <c r="J222" s="8">
        <v>2.6206459325986031E-2</v>
      </c>
      <c r="K222" s="8">
        <v>2.6352745140114611E-2</v>
      </c>
      <c r="L222" s="8">
        <v>2.6499030954243202E-2</v>
      </c>
      <c r="M222" s="8">
        <v>2.6833191881203179E-2</v>
      </c>
      <c r="N222" s="8">
        <v>2.716735280816316E-2</v>
      </c>
      <c r="O222" s="8">
        <v>2.7501513735123141E-2</v>
      </c>
      <c r="P222" s="8">
        <v>2.7835674662083119E-2</v>
      </c>
      <c r="Q222" s="8">
        <v>2.81698355890431E-2</v>
      </c>
      <c r="R222" s="8">
        <v>2.881994048210685E-2</v>
      </c>
      <c r="S222" s="8">
        <v>2.94700453751706E-2</v>
      </c>
      <c r="T222" s="8">
        <v>2.9899307474901361E-2</v>
      </c>
      <c r="U222" s="8">
        <v>3.0328569574632119E-2</v>
      </c>
      <c r="V222" s="8">
        <v>3.0757831674362881E-2</v>
      </c>
      <c r="W222" s="8">
        <v>3.1187093774093639E-2</v>
      </c>
      <c r="X222" s="8">
        <v>3.16163558738244E-2</v>
      </c>
      <c r="Y222" s="8">
        <v>3.195078775007866E-2</v>
      </c>
      <c r="Z222" s="8">
        <v>3.228521962633292E-2</v>
      </c>
      <c r="AA222" s="8">
        <v>3.261965150258718E-2</v>
      </c>
      <c r="AB222" s="8">
        <v>3.2954083378841439E-2</v>
      </c>
      <c r="AC222" s="8">
        <v>3.3288515255095699E-2</v>
      </c>
      <c r="AD222" s="8">
        <v>3.3469096064287218E-2</v>
      </c>
      <c r="AE222" s="8">
        <v>3.3649676873478737E-2</v>
      </c>
      <c r="AF222" s="8">
        <v>3.3830257682670263E-2</v>
      </c>
      <c r="AG222" s="8">
        <v>3.4010838491861782E-2</v>
      </c>
      <c r="AH222" s="8">
        <v>3.4191419301053301E-2</v>
      </c>
      <c r="AI222" s="8">
        <v>3.4228702908677917E-2</v>
      </c>
      <c r="AJ222" s="8">
        <v>3.4265986516302541E-2</v>
      </c>
      <c r="AK222" s="8">
        <v>3.4303270123927157E-2</v>
      </c>
      <c r="AL222" s="8">
        <v>3.434055373155178E-2</v>
      </c>
      <c r="AM222" s="8">
        <v>3.4377837339176397E-2</v>
      </c>
    </row>
    <row r="223" spans="1:39" x14ac:dyDescent="0.25">
      <c r="A223" t="s">
        <v>255</v>
      </c>
      <c r="B223" t="s">
        <v>236</v>
      </c>
      <c r="C223" t="s">
        <v>293</v>
      </c>
      <c r="D223" t="s">
        <v>534</v>
      </c>
      <c r="E223" s="8">
        <v>1.1317672563552601E-4</v>
      </c>
      <c r="F223" s="8">
        <v>1.119840466862187E-4</v>
      </c>
      <c r="G223" s="8">
        <v>1.107913677369114E-4</v>
      </c>
      <c r="H223" s="8">
        <v>1.095986887876041E-4</v>
      </c>
      <c r="I223" s="8">
        <v>1.084060098382969E-4</v>
      </c>
      <c r="J223" s="8">
        <v>1.0721333088898959E-4</v>
      </c>
      <c r="K223" s="8">
        <v>1.060206519396823E-4</v>
      </c>
      <c r="L223" s="8">
        <v>1.04827972990375E-4</v>
      </c>
      <c r="M223" s="8">
        <v>1.039231300054908E-4</v>
      </c>
      <c r="N223" s="8">
        <v>1.030182870206066E-4</v>
      </c>
      <c r="O223" s="8">
        <v>1.0211344403572241E-4</v>
      </c>
      <c r="P223" s="8">
        <v>1.0120860105083819E-4</v>
      </c>
      <c r="Q223" s="8">
        <v>1.00303758065954E-4</v>
      </c>
      <c r="R223" s="8">
        <v>6.6645327789632293E-5</v>
      </c>
      <c r="S223" s="8">
        <v>3.2986897513310598E-5</v>
      </c>
      <c r="T223" s="8">
        <v>3.276733717494124E-5</v>
      </c>
      <c r="U223" s="8">
        <v>3.2547776836571882E-5</v>
      </c>
      <c r="V223" s="8">
        <v>3.2328216498202523E-5</v>
      </c>
      <c r="W223" s="8">
        <v>3.2108656159833158E-5</v>
      </c>
      <c r="X223" s="8">
        <v>3.18890958214638E-5</v>
      </c>
      <c r="Y223" s="8">
        <v>3.1748994944988398E-5</v>
      </c>
      <c r="Z223" s="8">
        <v>3.1608894068512997E-5</v>
      </c>
      <c r="AA223" s="8">
        <v>3.1468793192037602E-5</v>
      </c>
      <c r="AB223" s="8">
        <v>3.1328692315562201E-5</v>
      </c>
      <c r="AC223" s="8">
        <v>3.11885914390868E-5</v>
      </c>
      <c r="AD223" s="8">
        <v>3.1016280010781979E-5</v>
      </c>
      <c r="AE223" s="8">
        <v>3.0843968582477159E-5</v>
      </c>
      <c r="AF223" s="8">
        <v>3.0671657154172338E-5</v>
      </c>
      <c r="AG223" s="8">
        <v>3.0499345725867521E-5</v>
      </c>
      <c r="AH223" s="8">
        <v>3.0327034297562701E-5</v>
      </c>
      <c r="AI223" s="8">
        <v>3.01428979451989E-5</v>
      </c>
      <c r="AJ223" s="8">
        <v>2.9958761592835099E-5</v>
      </c>
      <c r="AK223" s="8">
        <v>2.9774625240471301E-5</v>
      </c>
      <c r="AL223" s="8">
        <v>2.9590488888107501E-5</v>
      </c>
      <c r="AM223" s="8">
        <v>2.94063525357437E-5</v>
      </c>
    </row>
    <row r="224" spans="1:39" x14ac:dyDescent="0.25">
      <c r="A224" t="s">
        <v>255</v>
      </c>
      <c r="B224" t="s">
        <v>236</v>
      </c>
      <c r="C224" t="s">
        <v>295</v>
      </c>
      <c r="D224" t="s">
        <v>535</v>
      </c>
      <c r="E224" s="8">
        <v>5.7348208087075596</v>
      </c>
      <c r="F224" s="8">
        <v>5.7538847583604138</v>
      </c>
      <c r="G224" s="8">
        <v>5.772948708013268</v>
      </c>
      <c r="H224" s="8">
        <v>5.7920126576661222</v>
      </c>
      <c r="I224" s="8">
        <v>5.8110766073189772</v>
      </c>
      <c r="J224" s="8">
        <v>5.8301405569718314</v>
      </c>
      <c r="K224" s="8">
        <v>5.8492045066246856</v>
      </c>
      <c r="L224" s="8">
        <v>5.8682684562775398</v>
      </c>
      <c r="M224" s="8">
        <v>5.9279338971477564</v>
      </c>
      <c r="N224" s="8">
        <v>5.9875993380179722</v>
      </c>
      <c r="O224" s="8">
        <v>6.0472647788881879</v>
      </c>
      <c r="P224" s="8">
        <v>6.1069302197584054</v>
      </c>
      <c r="Q224" s="8">
        <v>6.1665956606286203</v>
      </c>
      <c r="R224" s="8">
        <v>6.2359545633461657</v>
      </c>
      <c r="S224" s="8">
        <v>6.3053134660637102</v>
      </c>
      <c r="T224" s="8">
        <v>6.3552231245390383</v>
      </c>
      <c r="U224" s="8">
        <v>6.4051327830143663</v>
      </c>
      <c r="V224" s="8">
        <v>6.4550424414896943</v>
      </c>
      <c r="W224" s="8">
        <v>6.5049520999650223</v>
      </c>
      <c r="X224" s="8">
        <v>6.5548617584403503</v>
      </c>
      <c r="Y224" s="8">
        <v>6.5753853620493858</v>
      </c>
      <c r="Z224" s="8">
        <v>6.5959089656584222</v>
      </c>
      <c r="AA224" s="8">
        <v>6.6164325692674577</v>
      </c>
      <c r="AB224" s="8">
        <v>6.6369561728764941</v>
      </c>
      <c r="AC224" s="8">
        <v>6.6574797764855296</v>
      </c>
      <c r="AD224" s="8">
        <v>6.6822538810129473</v>
      </c>
      <c r="AE224" s="8">
        <v>6.7070279855403658</v>
      </c>
      <c r="AF224" s="8">
        <v>6.7318020900677844</v>
      </c>
      <c r="AG224" s="8">
        <v>6.7565761945952021</v>
      </c>
      <c r="AH224" s="8">
        <v>6.7813502991226198</v>
      </c>
      <c r="AI224" s="8">
        <v>6.8086767099782266</v>
      </c>
      <c r="AJ224" s="8">
        <v>6.8360031208338361</v>
      </c>
      <c r="AK224" s="8">
        <v>6.8633295316894438</v>
      </c>
      <c r="AL224" s="8">
        <v>6.8906559425450524</v>
      </c>
      <c r="AM224" s="8">
        <v>6.9179823534006601</v>
      </c>
    </row>
    <row r="225" spans="1:39" x14ac:dyDescent="0.25">
      <c r="A225" t="s">
        <v>255</v>
      </c>
      <c r="B225" t="s">
        <v>236</v>
      </c>
      <c r="C225" t="s">
        <v>297</v>
      </c>
      <c r="D225" t="s">
        <v>536</v>
      </c>
      <c r="E225" s="8">
        <v>0</v>
      </c>
      <c r="F225" s="8">
        <v>0</v>
      </c>
      <c r="G225" s="8">
        <v>0</v>
      </c>
      <c r="H225" s="8">
        <v>0</v>
      </c>
      <c r="I225" s="8">
        <v>0</v>
      </c>
      <c r="J225" s="8">
        <v>0</v>
      </c>
      <c r="K225" s="8">
        <v>0</v>
      </c>
      <c r="L225" s="8">
        <v>0</v>
      </c>
      <c r="M225" s="8">
        <v>0</v>
      </c>
      <c r="N225" s="8">
        <v>0</v>
      </c>
      <c r="O225" s="8">
        <v>0</v>
      </c>
      <c r="P225" s="8">
        <v>0</v>
      </c>
      <c r="Q225" s="8">
        <v>0</v>
      </c>
      <c r="R225" s="8">
        <v>0</v>
      </c>
      <c r="S225" s="8">
        <v>0</v>
      </c>
      <c r="T225" s="8">
        <v>0</v>
      </c>
      <c r="U225" s="8">
        <v>0</v>
      </c>
      <c r="V225" s="8">
        <v>0</v>
      </c>
      <c r="W225" s="8">
        <v>0</v>
      </c>
      <c r="X225" s="8">
        <v>0</v>
      </c>
      <c r="Y225" s="8">
        <v>0</v>
      </c>
      <c r="Z225" s="8">
        <v>0</v>
      </c>
      <c r="AA225" s="8">
        <v>0</v>
      </c>
      <c r="AB225" s="8">
        <v>0</v>
      </c>
      <c r="AC225" s="8">
        <v>0</v>
      </c>
      <c r="AD225" s="8">
        <v>0</v>
      </c>
      <c r="AE225" s="8">
        <v>0</v>
      </c>
      <c r="AF225" s="8">
        <v>0</v>
      </c>
      <c r="AG225" s="8">
        <v>0</v>
      </c>
      <c r="AH225" s="8">
        <v>0</v>
      </c>
      <c r="AI225" s="8">
        <v>0</v>
      </c>
      <c r="AJ225" s="8">
        <v>0</v>
      </c>
      <c r="AK225" s="8">
        <v>0</v>
      </c>
      <c r="AL225" s="8">
        <v>0</v>
      </c>
      <c r="AM225" s="8">
        <v>0</v>
      </c>
    </row>
    <row r="226" spans="1:39" x14ac:dyDescent="0.25">
      <c r="A226" t="s">
        <v>255</v>
      </c>
      <c r="B226" t="s">
        <v>236</v>
      </c>
      <c r="C226" t="s">
        <v>299</v>
      </c>
      <c r="D226" t="s">
        <v>537</v>
      </c>
      <c r="E226" s="8">
        <v>0</v>
      </c>
      <c r="F226" s="8">
        <v>0</v>
      </c>
      <c r="G226" s="8">
        <v>0</v>
      </c>
      <c r="H226" s="8">
        <v>0</v>
      </c>
      <c r="I226" s="8">
        <v>0</v>
      </c>
      <c r="J226" s="8">
        <v>0</v>
      </c>
      <c r="K226" s="8">
        <v>0</v>
      </c>
      <c r="L226" s="8">
        <v>0</v>
      </c>
      <c r="M226" s="8">
        <v>0</v>
      </c>
      <c r="N226" s="8">
        <v>0</v>
      </c>
      <c r="O226" s="8">
        <v>0</v>
      </c>
      <c r="P226" s="8">
        <v>0</v>
      </c>
      <c r="Q226" s="8">
        <v>0</v>
      </c>
      <c r="R226" s="8">
        <v>0</v>
      </c>
      <c r="S226" s="8">
        <v>0</v>
      </c>
      <c r="T226" s="8">
        <v>0</v>
      </c>
      <c r="U226" s="8">
        <v>0</v>
      </c>
      <c r="V226" s="8">
        <v>0</v>
      </c>
      <c r="W226" s="8">
        <v>0</v>
      </c>
      <c r="X226" s="8">
        <v>0</v>
      </c>
      <c r="Y226" s="8">
        <v>0</v>
      </c>
      <c r="Z226" s="8">
        <v>0</v>
      </c>
      <c r="AA226" s="8">
        <v>0</v>
      </c>
      <c r="AB226" s="8">
        <v>0</v>
      </c>
      <c r="AC226" s="8">
        <v>0</v>
      </c>
      <c r="AD226" s="8">
        <v>0</v>
      </c>
      <c r="AE226" s="8">
        <v>0</v>
      </c>
      <c r="AF226" s="8">
        <v>0</v>
      </c>
      <c r="AG226" s="8">
        <v>0</v>
      </c>
      <c r="AH226" s="8">
        <v>0</v>
      </c>
      <c r="AI226" s="8">
        <v>0</v>
      </c>
      <c r="AJ226" s="8">
        <v>0</v>
      </c>
      <c r="AK226" s="8">
        <v>0</v>
      </c>
      <c r="AL226" s="8">
        <v>0</v>
      </c>
      <c r="AM226" s="8">
        <v>0</v>
      </c>
    </row>
    <row r="227" spans="1:39" x14ac:dyDescent="0.25">
      <c r="A227" t="s">
        <v>255</v>
      </c>
      <c r="B227" t="s">
        <v>236</v>
      </c>
      <c r="C227" t="s">
        <v>301</v>
      </c>
      <c r="D227" t="s">
        <v>538</v>
      </c>
      <c r="E227" s="8">
        <v>0</v>
      </c>
      <c r="F227" s="8">
        <v>0</v>
      </c>
      <c r="G227" s="8">
        <v>0</v>
      </c>
      <c r="H227" s="8">
        <v>0</v>
      </c>
      <c r="I227" s="8">
        <v>0</v>
      </c>
      <c r="J227" s="8">
        <v>0</v>
      </c>
      <c r="K227" s="8">
        <v>0</v>
      </c>
      <c r="L227" s="8">
        <v>0</v>
      </c>
      <c r="M227" s="8">
        <v>0</v>
      </c>
      <c r="N227" s="8">
        <v>0</v>
      </c>
      <c r="O227" s="8">
        <v>0</v>
      </c>
      <c r="P227" s="8">
        <v>0</v>
      </c>
      <c r="Q227" s="8">
        <v>0</v>
      </c>
      <c r="R227" s="8">
        <v>0</v>
      </c>
      <c r="S227" s="8">
        <v>0</v>
      </c>
      <c r="T227" s="8">
        <v>0</v>
      </c>
      <c r="U227" s="8">
        <v>0</v>
      </c>
      <c r="V227" s="8">
        <v>0</v>
      </c>
      <c r="W227" s="8">
        <v>0</v>
      </c>
      <c r="X227" s="8">
        <v>0</v>
      </c>
      <c r="Y227" s="8">
        <v>0</v>
      </c>
      <c r="Z227" s="8">
        <v>0</v>
      </c>
      <c r="AA227" s="8">
        <v>0</v>
      </c>
      <c r="AB227" s="8">
        <v>0</v>
      </c>
      <c r="AC227" s="8">
        <v>0</v>
      </c>
      <c r="AD227" s="8">
        <v>0</v>
      </c>
      <c r="AE227" s="8">
        <v>0</v>
      </c>
      <c r="AF227" s="8">
        <v>0</v>
      </c>
      <c r="AG227" s="8">
        <v>0</v>
      </c>
      <c r="AH227" s="8">
        <v>0</v>
      </c>
      <c r="AI227" s="8">
        <v>0</v>
      </c>
      <c r="AJ227" s="8">
        <v>0</v>
      </c>
      <c r="AK227" s="8">
        <v>0</v>
      </c>
      <c r="AL227" s="8">
        <v>0</v>
      </c>
      <c r="AM227" s="8">
        <v>0</v>
      </c>
    </row>
    <row r="228" spans="1:39" x14ac:dyDescent="0.25">
      <c r="A228" t="s">
        <v>255</v>
      </c>
      <c r="B228" t="s">
        <v>236</v>
      </c>
      <c r="C228" t="s">
        <v>303</v>
      </c>
      <c r="D228" t="s">
        <v>539</v>
      </c>
      <c r="E228" s="8">
        <v>0</v>
      </c>
      <c r="F228" s="8">
        <v>0</v>
      </c>
      <c r="G228" s="8">
        <v>0</v>
      </c>
      <c r="H228" s="8">
        <v>0</v>
      </c>
      <c r="I228" s="8">
        <v>0</v>
      </c>
      <c r="J228" s="8">
        <v>0</v>
      </c>
      <c r="K228" s="8">
        <v>0</v>
      </c>
      <c r="L228" s="8">
        <v>0</v>
      </c>
      <c r="M228" s="8">
        <v>0</v>
      </c>
      <c r="N228" s="8">
        <v>0</v>
      </c>
      <c r="O228" s="8">
        <v>0</v>
      </c>
      <c r="P228" s="8">
        <v>0</v>
      </c>
      <c r="Q228" s="8">
        <v>0</v>
      </c>
      <c r="R228" s="8">
        <v>0</v>
      </c>
      <c r="S228" s="8">
        <v>0</v>
      </c>
      <c r="T228" s="8">
        <v>0</v>
      </c>
      <c r="U228" s="8">
        <v>0</v>
      </c>
      <c r="V228" s="8">
        <v>0</v>
      </c>
      <c r="W228" s="8">
        <v>0</v>
      </c>
      <c r="X228" s="8">
        <v>0</v>
      </c>
      <c r="Y228" s="8">
        <v>0</v>
      </c>
      <c r="Z228" s="8">
        <v>0</v>
      </c>
      <c r="AA228" s="8">
        <v>0</v>
      </c>
      <c r="AB228" s="8">
        <v>0</v>
      </c>
      <c r="AC228" s="8">
        <v>0</v>
      </c>
      <c r="AD228" s="8">
        <v>0</v>
      </c>
      <c r="AE228" s="8">
        <v>0</v>
      </c>
      <c r="AF228" s="8">
        <v>0</v>
      </c>
      <c r="AG228" s="8">
        <v>0</v>
      </c>
      <c r="AH228" s="8">
        <v>0</v>
      </c>
      <c r="AI228" s="8">
        <v>0</v>
      </c>
      <c r="AJ228" s="8">
        <v>0</v>
      </c>
      <c r="AK228" s="8">
        <v>0</v>
      </c>
      <c r="AL228" s="8">
        <v>0</v>
      </c>
      <c r="AM228" s="8">
        <v>0</v>
      </c>
    </row>
    <row r="229" spans="1:39" x14ac:dyDescent="0.25">
      <c r="A229" t="s">
        <v>255</v>
      </c>
      <c r="B229" t="s">
        <v>236</v>
      </c>
      <c r="C229" t="s">
        <v>305</v>
      </c>
      <c r="D229" t="s">
        <v>540</v>
      </c>
      <c r="E229" s="8">
        <v>2.97385842588508E-2</v>
      </c>
      <c r="F229" s="8">
        <v>3.004785146631676E-2</v>
      </c>
      <c r="G229" s="8">
        <v>3.0357118673782719E-2</v>
      </c>
      <c r="H229" s="8">
        <v>3.0666385881248669E-2</v>
      </c>
      <c r="I229" s="8">
        <v>3.0975653088714632E-2</v>
      </c>
      <c r="J229" s="8">
        <v>3.1284920296180588E-2</v>
      </c>
      <c r="K229" s="8">
        <v>3.1594187503646537E-2</v>
      </c>
      <c r="L229" s="8">
        <v>3.19034547111125E-2</v>
      </c>
      <c r="M229" s="8">
        <v>3.2110432831651457E-2</v>
      </c>
      <c r="N229" s="8">
        <v>3.2317410952190422E-2</v>
      </c>
      <c r="O229" s="8">
        <v>3.2524389072729379E-2</v>
      </c>
      <c r="P229" s="8">
        <v>3.2731367193268343E-2</v>
      </c>
      <c r="Q229" s="8">
        <v>3.29383453138073E-2</v>
      </c>
      <c r="R229" s="8">
        <v>3.3123172251308862E-2</v>
      </c>
      <c r="S229" s="8">
        <v>3.3307999188810403E-2</v>
      </c>
      <c r="T229" s="8">
        <v>3.3459512361588721E-2</v>
      </c>
      <c r="U229" s="8">
        <v>3.3611025534367039E-2</v>
      </c>
      <c r="V229" s="8">
        <v>3.3762538707145358E-2</v>
      </c>
      <c r="W229" s="8">
        <v>3.3914051879923683E-2</v>
      </c>
      <c r="X229" s="8">
        <v>3.4065565052702002E-2</v>
      </c>
      <c r="Y229" s="8">
        <v>3.4205368432124343E-2</v>
      </c>
      <c r="Z229" s="8">
        <v>3.4345171811546678E-2</v>
      </c>
      <c r="AA229" s="8">
        <v>3.4484975190969019E-2</v>
      </c>
      <c r="AB229" s="8">
        <v>3.4624778570391361E-2</v>
      </c>
      <c r="AC229" s="8">
        <v>3.4764581949813703E-2</v>
      </c>
      <c r="AD229" s="8">
        <v>3.489837706420696E-2</v>
      </c>
      <c r="AE229" s="8">
        <v>3.5032172178600218E-2</v>
      </c>
      <c r="AF229" s="8">
        <v>3.5165967292993483E-2</v>
      </c>
      <c r="AG229" s="8">
        <v>3.5299762407386741E-2</v>
      </c>
      <c r="AH229" s="8">
        <v>3.5433557521779999E-2</v>
      </c>
      <c r="AI229" s="8">
        <v>3.5556771273708737E-2</v>
      </c>
      <c r="AJ229" s="8">
        <v>3.5679985025637483E-2</v>
      </c>
      <c r="AK229" s="8">
        <v>3.5803198777566221E-2</v>
      </c>
      <c r="AL229" s="8">
        <v>3.592641252949496E-2</v>
      </c>
      <c r="AM229" s="8">
        <v>3.6049626281423698E-2</v>
      </c>
    </row>
    <row r="230" spans="1:39" x14ac:dyDescent="0.25">
      <c r="A230" t="s">
        <v>255</v>
      </c>
      <c r="B230" t="s">
        <v>236</v>
      </c>
      <c r="C230" t="s">
        <v>307</v>
      </c>
      <c r="D230" t="s">
        <v>541</v>
      </c>
      <c r="E230" s="8">
        <v>0.19470757573893099</v>
      </c>
      <c r="F230" s="8">
        <v>0.1958208890619163</v>
      </c>
      <c r="G230" s="8">
        <v>0.19693420238490161</v>
      </c>
      <c r="H230" s="8">
        <v>0.19804751570788681</v>
      </c>
      <c r="I230" s="8">
        <v>0.19916082903087209</v>
      </c>
      <c r="J230" s="8">
        <v>0.2002741423538574</v>
      </c>
      <c r="K230" s="8">
        <v>0.20138745567684271</v>
      </c>
      <c r="L230" s="8">
        <v>0.202500768999828</v>
      </c>
      <c r="M230" s="8">
        <v>0.2043522588587296</v>
      </c>
      <c r="N230" s="8">
        <v>0.2062037487176312</v>
      </c>
      <c r="O230" s="8">
        <v>0.2080552385765328</v>
      </c>
      <c r="P230" s="8">
        <v>0.2099067284354344</v>
      </c>
      <c r="Q230" s="8">
        <v>0.211758218294336</v>
      </c>
      <c r="R230" s="8">
        <v>0.2137670928032655</v>
      </c>
      <c r="S230" s="8">
        <v>0.21577596731219501</v>
      </c>
      <c r="T230" s="8">
        <v>0.2172821233611012</v>
      </c>
      <c r="U230" s="8">
        <v>0.21878827941000739</v>
      </c>
      <c r="V230" s="8">
        <v>0.22029443545891361</v>
      </c>
      <c r="W230" s="8">
        <v>0.22180059150781981</v>
      </c>
      <c r="X230" s="8">
        <v>0.223306747556726</v>
      </c>
      <c r="Y230" s="8">
        <v>0.22406516971572499</v>
      </c>
      <c r="Z230" s="8">
        <v>0.224823591874724</v>
      </c>
      <c r="AA230" s="8">
        <v>0.22558201403372299</v>
      </c>
      <c r="AB230" s="8">
        <v>0.22634043619272201</v>
      </c>
      <c r="AC230" s="8">
        <v>0.227098858351721</v>
      </c>
      <c r="AD230" s="8">
        <v>0.22795973232862721</v>
      </c>
      <c r="AE230" s="8">
        <v>0.22882060630553341</v>
      </c>
      <c r="AF230" s="8">
        <v>0.22968148028243959</v>
      </c>
      <c r="AG230" s="8">
        <v>0.2305423542593458</v>
      </c>
      <c r="AH230" s="8">
        <v>0.23140322823625201</v>
      </c>
      <c r="AI230" s="8">
        <v>0.232302367743564</v>
      </c>
      <c r="AJ230" s="8">
        <v>0.23320150725087599</v>
      </c>
      <c r="AK230" s="8">
        <v>0.23410064675818801</v>
      </c>
      <c r="AL230" s="8">
        <v>0.2349997862655</v>
      </c>
      <c r="AM230" s="8">
        <v>0.23589892577281199</v>
      </c>
    </row>
    <row r="231" spans="1:39" x14ac:dyDescent="0.25">
      <c r="A231" t="s">
        <v>255</v>
      </c>
      <c r="B231" t="s">
        <v>236</v>
      </c>
      <c r="C231" t="s">
        <v>309</v>
      </c>
      <c r="D231" t="s">
        <v>542</v>
      </c>
      <c r="E231" s="8">
        <v>8.8508448848663695E-3</v>
      </c>
      <c r="F231" s="8">
        <v>8.9315590469453802E-3</v>
      </c>
      <c r="G231" s="8">
        <v>9.0122732090243893E-3</v>
      </c>
      <c r="H231" s="8">
        <v>9.0929873711034E-3</v>
      </c>
      <c r="I231" s="8">
        <v>9.1737015331824091E-3</v>
      </c>
      <c r="J231" s="8">
        <v>9.2544156952614198E-3</v>
      </c>
      <c r="K231" s="8">
        <v>9.3351298573404289E-3</v>
      </c>
      <c r="L231" s="8">
        <v>9.4158440194194396E-3</v>
      </c>
      <c r="M231" s="8">
        <v>9.5051236555155662E-3</v>
      </c>
      <c r="N231" s="8">
        <v>9.5944032916116927E-3</v>
      </c>
      <c r="O231" s="8">
        <v>9.6836829277078176E-3</v>
      </c>
      <c r="P231" s="8">
        <v>9.7729625638039441E-3</v>
      </c>
      <c r="Q231" s="8">
        <v>9.8622421999000707E-3</v>
      </c>
      <c r="R231" s="8">
        <v>9.9542577853757343E-3</v>
      </c>
      <c r="S231" s="8">
        <v>1.00462733708514E-2</v>
      </c>
      <c r="T231" s="8">
        <v>1.013228306949086E-2</v>
      </c>
      <c r="U231" s="8">
        <v>1.021829276813032E-2</v>
      </c>
      <c r="V231" s="8">
        <v>1.030430246676978E-2</v>
      </c>
      <c r="W231" s="8">
        <v>1.0390312165409241E-2</v>
      </c>
      <c r="X231" s="8">
        <v>1.0476321864048699E-2</v>
      </c>
      <c r="Y231" s="8">
        <v>1.054837165277806E-2</v>
      </c>
      <c r="Z231" s="8">
        <v>1.0620421441507421E-2</v>
      </c>
      <c r="AA231" s="8">
        <v>1.069247123023678E-2</v>
      </c>
      <c r="AB231" s="8">
        <v>1.076452101896614E-2</v>
      </c>
      <c r="AC231" s="8">
        <v>1.0836570807695499E-2</v>
      </c>
      <c r="AD231" s="8">
        <v>1.0898140873565479E-2</v>
      </c>
      <c r="AE231" s="8">
        <v>1.0959710939435459E-2</v>
      </c>
      <c r="AF231" s="8">
        <v>1.1021281005305439E-2</v>
      </c>
      <c r="AG231" s="8">
        <v>1.1082851071175419E-2</v>
      </c>
      <c r="AH231" s="8">
        <v>1.1144421137045399E-2</v>
      </c>
      <c r="AI231" s="8">
        <v>1.1201868050432599E-2</v>
      </c>
      <c r="AJ231" s="8">
        <v>1.1259314963819799E-2</v>
      </c>
      <c r="AK231" s="8">
        <v>1.1316761877207E-2</v>
      </c>
      <c r="AL231" s="8">
        <v>1.13742087905942E-2</v>
      </c>
      <c r="AM231" s="8">
        <v>1.14316557039814E-2</v>
      </c>
    </row>
    <row r="232" spans="1:39" x14ac:dyDescent="0.25">
      <c r="A232" t="s">
        <v>255</v>
      </c>
      <c r="B232" t="s">
        <v>236</v>
      </c>
      <c r="C232" t="s">
        <v>311</v>
      </c>
      <c r="D232" t="s">
        <v>543</v>
      </c>
      <c r="E232" s="8">
        <v>1.0180653154535999E-3</v>
      </c>
      <c r="F232" s="8">
        <v>1.026215420925304E-3</v>
      </c>
      <c r="G232" s="8">
        <v>1.0343655263970091E-3</v>
      </c>
      <c r="H232" s="8">
        <v>1.0425156318687131E-3</v>
      </c>
      <c r="I232" s="8">
        <v>1.0506657373404169E-3</v>
      </c>
      <c r="J232" s="8">
        <v>1.0588158428121209E-3</v>
      </c>
      <c r="K232" s="8">
        <v>1.066965948283826E-3</v>
      </c>
      <c r="L232" s="8">
        <v>1.0751160537555301E-3</v>
      </c>
      <c r="M232" s="8">
        <v>1.0812549475514061E-3</v>
      </c>
      <c r="N232" s="8">
        <v>1.0873938413472821E-3</v>
      </c>
      <c r="O232" s="8">
        <v>1.0935327351431581E-3</v>
      </c>
      <c r="P232" s="8">
        <v>1.0996716289390341E-3</v>
      </c>
      <c r="Q232" s="8">
        <v>1.1058105227349101E-3</v>
      </c>
      <c r="R232" s="8">
        <v>1.11244782485723E-3</v>
      </c>
      <c r="S232" s="8">
        <v>1.1190851269795501E-3</v>
      </c>
      <c r="T232" s="8">
        <v>1.125381443057988E-3</v>
      </c>
      <c r="U232" s="8">
        <v>1.131677759136426E-3</v>
      </c>
      <c r="V232" s="8">
        <v>1.137974075214864E-3</v>
      </c>
      <c r="W232" s="8">
        <v>1.144270391293302E-3</v>
      </c>
      <c r="X232" s="8">
        <v>1.15056670737174E-3</v>
      </c>
      <c r="Y232" s="8">
        <v>1.1550199153592181E-3</v>
      </c>
      <c r="Z232" s="8">
        <v>1.159473123346696E-3</v>
      </c>
      <c r="AA232" s="8">
        <v>1.1639263313341741E-3</v>
      </c>
      <c r="AB232" s="8">
        <v>1.168379539321652E-3</v>
      </c>
      <c r="AC232" s="8">
        <v>1.1728327473091299E-3</v>
      </c>
      <c r="AD232" s="8">
        <v>1.1770329097570179E-3</v>
      </c>
      <c r="AE232" s="8">
        <v>1.181233072204906E-3</v>
      </c>
      <c r="AF232" s="8">
        <v>1.185433234652794E-3</v>
      </c>
      <c r="AG232" s="8">
        <v>1.189633397100682E-3</v>
      </c>
      <c r="AH232" s="8">
        <v>1.1938335595485701E-3</v>
      </c>
      <c r="AI232" s="8">
        <v>1.1978777053400461E-3</v>
      </c>
      <c r="AJ232" s="8">
        <v>1.2019218511315219E-3</v>
      </c>
      <c r="AK232" s="8">
        <v>1.205965996922998E-3</v>
      </c>
      <c r="AL232" s="8">
        <v>1.210010142714474E-3</v>
      </c>
      <c r="AM232" s="8">
        <v>1.21405428850595E-3</v>
      </c>
    </row>
    <row r="233" spans="1:39" x14ac:dyDescent="0.25">
      <c r="A233" t="s">
        <v>255</v>
      </c>
      <c r="B233" t="s">
        <v>236</v>
      </c>
      <c r="C233" t="s">
        <v>313</v>
      </c>
      <c r="D233" t="s">
        <v>544</v>
      </c>
      <c r="E233" s="8">
        <v>6.9543640270375504E-3</v>
      </c>
      <c r="F233" s="8">
        <v>7.1861975960198733E-3</v>
      </c>
      <c r="G233" s="8">
        <v>7.4180311650021962E-3</v>
      </c>
      <c r="H233" s="8">
        <v>7.6498647339845191E-3</v>
      </c>
      <c r="I233" s="8">
        <v>7.8816983029668421E-3</v>
      </c>
      <c r="J233" s="8">
        <v>8.1135318719491641E-3</v>
      </c>
      <c r="K233" s="8">
        <v>8.3453654409314879E-3</v>
      </c>
      <c r="L233" s="8">
        <v>8.57719900991381E-3</v>
      </c>
      <c r="M233" s="8">
        <v>8.8343698321517485E-3</v>
      </c>
      <c r="N233" s="8">
        <v>9.0915406543896869E-3</v>
      </c>
      <c r="O233" s="8">
        <v>9.3487114766276237E-3</v>
      </c>
      <c r="P233" s="8">
        <v>9.6058822988655621E-3</v>
      </c>
      <c r="Q233" s="8">
        <v>9.8630531211035006E-3</v>
      </c>
      <c r="R233" s="8">
        <v>1.010584045980685E-2</v>
      </c>
      <c r="S233" s="8">
        <v>1.03486277985102E-2</v>
      </c>
      <c r="T233" s="8">
        <v>1.0544680816710641E-2</v>
      </c>
      <c r="U233" s="8">
        <v>1.074073383491108E-2</v>
      </c>
      <c r="V233" s="8">
        <v>1.0936786853111519E-2</v>
      </c>
      <c r="W233" s="8">
        <v>1.113283987131196E-2</v>
      </c>
      <c r="X233" s="8">
        <v>1.13288928895124E-2</v>
      </c>
      <c r="Y233" s="8">
        <v>1.145565208415312E-2</v>
      </c>
      <c r="Z233" s="8">
        <v>1.1582411278793839E-2</v>
      </c>
      <c r="AA233" s="8">
        <v>1.170917047343456E-2</v>
      </c>
      <c r="AB233" s="8">
        <v>1.1835929668075279E-2</v>
      </c>
      <c r="AC233" s="8">
        <v>1.1962688862716E-2</v>
      </c>
      <c r="AD233" s="8">
        <v>1.20303914289465E-2</v>
      </c>
      <c r="AE233" s="8">
        <v>1.2098093995177001E-2</v>
      </c>
      <c r="AF233" s="8">
        <v>1.21657965614075E-2</v>
      </c>
      <c r="AG233" s="8">
        <v>1.2233499127637999E-2</v>
      </c>
      <c r="AH233" s="8">
        <v>1.23012016938685E-2</v>
      </c>
      <c r="AI233" s="8">
        <v>1.2353454097587761E-2</v>
      </c>
      <c r="AJ233" s="8">
        <v>1.2405706501307019E-2</v>
      </c>
      <c r="AK233" s="8">
        <v>1.2457958905026279E-2</v>
      </c>
      <c r="AL233" s="8">
        <v>1.251021130874554E-2</v>
      </c>
      <c r="AM233" s="8">
        <v>1.25624637124648E-2</v>
      </c>
    </row>
    <row r="234" spans="1:39" x14ac:dyDescent="0.25">
      <c r="A234" t="s">
        <v>255</v>
      </c>
      <c r="B234" t="s">
        <v>236</v>
      </c>
      <c r="C234" t="s">
        <v>315</v>
      </c>
      <c r="D234" t="s">
        <v>545</v>
      </c>
      <c r="E234" s="8">
        <v>9.3268893616269004</v>
      </c>
      <c r="F234" s="8">
        <v>9.3491242245766699</v>
      </c>
      <c r="G234" s="8">
        <v>9.3713590875264412</v>
      </c>
      <c r="H234" s="8">
        <v>9.3935939504762107</v>
      </c>
      <c r="I234" s="8">
        <v>9.4158288134259802</v>
      </c>
      <c r="J234" s="8">
        <v>9.4380636763757497</v>
      </c>
      <c r="K234" s="8">
        <v>9.460298539325521</v>
      </c>
      <c r="L234" s="8">
        <v>9.4825334022752905</v>
      </c>
      <c r="M234" s="8">
        <v>9.5058147181638351</v>
      </c>
      <c r="N234" s="8">
        <v>9.5290960340523778</v>
      </c>
      <c r="O234" s="8">
        <v>9.5523773499409224</v>
      </c>
      <c r="P234" s="8">
        <v>9.5756586658294651</v>
      </c>
      <c r="Q234" s="8">
        <v>9.5989399817180097</v>
      </c>
      <c r="R234" s="8">
        <v>9.6331131695611099</v>
      </c>
      <c r="S234" s="8">
        <v>9.6672863574042101</v>
      </c>
      <c r="T234" s="8">
        <v>9.7253378166862845</v>
      </c>
      <c r="U234" s="8">
        <v>9.7833892759683589</v>
      </c>
      <c r="V234" s="8">
        <v>9.8414407352504316</v>
      </c>
      <c r="W234" s="8">
        <v>9.8994921945325061</v>
      </c>
      <c r="X234" s="8">
        <v>9.9575436538145805</v>
      </c>
      <c r="Y234" s="8">
        <v>10.03684767924898</v>
      </c>
      <c r="Z234" s="8">
        <v>10.116151704683389</v>
      </c>
      <c r="AA234" s="8">
        <v>10.195455730117789</v>
      </c>
      <c r="AB234" s="8">
        <v>10.2747597555522</v>
      </c>
      <c r="AC234" s="8">
        <v>10.3540637809866</v>
      </c>
      <c r="AD234" s="8">
        <v>10.43412915608074</v>
      </c>
      <c r="AE234" s="8">
        <v>10.51419453117488</v>
      </c>
      <c r="AF234" s="8">
        <v>10.59425990626902</v>
      </c>
      <c r="AG234" s="8">
        <v>10.67432528136316</v>
      </c>
      <c r="AH234" s="8">
        <v>10.7543906564573</v>
      </c>
      <c r="AI234" s="8">
        <v>10.82396453518154</v>
      </c>
      <c r="AJ234" s="8">
        <v>10.89353841390578</v>
      </c>
      <c r="AK234" s="8">
        <v>10.96311229263002</v>
      </c>
      <c r="AL234" s="8">
        <v>11.032686171354261</v>
      </c>
      <c r="AM234" s="8">
        <v>11.102260050078501</v>
      </c>
    </row>
    <row r="235" spans="1:39" x14ac:dyDescent="0.25">
      <c r="A235" t="s">
        <v>255</v>
      </c>
      <c r="B235" t="s">
        <v>236</v>
      </c>
      <c r="C235" t="s">
        <v>317</v>
      </c>
      <c r="D235" t="s">
        <v>546</v>
      </c>
      <c r="E235" s="8">
        <v>1.5662211883044701</v>
      </c>
      <c r="F235" s="8">
        <v>1.571682459744326</v>
      </c>
      <c r="G235" s="8">
        <v>1.5771437311841821</v>
      </c>
      <c r="H235" s="8">
        <v>1.582605002624037</v>
      </c>
      <c r="I235" s="8">
        <v>1.5880662740638929</v>
      </c>
      <c r="J235" s="8">
        <v>1.593527545503749</v>
      </c>
      <c r="K235" s="8">
        <v>1.598988816943604</v>
      </c>
      <c r="L235" s="8">
        <v>1.60445008838346</v>
      </c>
      <c r="M235" s="8">
        <v>1.609439998568402</v>
      </c>
      <c r="N235" s="8">
        <v>1.614429908753344</v>
      </c>
      <c r="O235" s="8">
        <v>1.619419818938286</v>
      </c>
      <c r="P235" s="8">
        <v>1.624409729123228</v>
      </c>
      <c r="Q235" s="8">
        <v>1.62939963930817</v>
      </c>
      <c r="R235" s="8">
        <v>1.63591418553704</v>
      </c>
      <c r="S235" s="8">
        <v>1.6424287317659101</v>
      </c>
      <c r="T235" s="8">
        <v>1.6519681007893261</v>
      </c>
      <c r="U235" s="8">
        <v>1.6615074698127421</v>
      </c>
      <c r="V235" s="8">
        <v>1.6710468388361579</v>
      </c>
      <c r="W235" s="8">
        <v>1.6805862078595739</v>
      </c>
      <c r="X235" s="8">
        <v>1.6901255768829899</v>
      </c>
      <c r="Y235" s="8">
        <v>1.7021630084731281</v>
      </c>
      <c r="Z235" s="8">
        <v>1.714200440063266</v>
      </c>
      <c r="AA235" s="8">
        <v>1.7262378716534039</v>
      </c>
      <c r="AB235" s="8">
        <v>1.7382753032435421</v>
      </c>
      <c r="AC235" s="8">
        <v>1.75031273483368</v>
      </c>
      <c r="AD235" s="8">
        <v>1.7636605399388181</v>
      </c>
      <c r="AE235" s="8">
        <v>1.777008345043956</v>
      </c>
      <c r="AF235" s="8">
        <v>1.7903561501490941</v>
      </c>
      <c r="AG235" s="8">
        <v>1.803703955254232</v>
      </c>
      <c r="AH235" s="8">
        <v>1.8170517603593701</v>
      </c>
      <c r="AI235" s="8">
        <v>1.8289130402986939</v>
      </c>
      <c r="AJ235" s="8">
        <v>1.840774320238018</v>
      </c>
      <c r="AK235" s="8">
        <v>1.8526356001773421</v>
      </c>
      <c r="AL235" s="8">
        <v>1.8644968801166659</v>
      </c>
      <c r="AM235" s="8">
        <v>1.87635816005599</v>
      </c>
    </row>
    <row r="236" spans="1:39" x14ac:dyDescent="0.25">
      <c r="A236" t="s">
        <v>255</v>
      </c>
      <c r="B236" t="s">
        <v>236</v>
      </c>
      <c r="C236" t="s">
        <v>319</v>
      </c>
      <c r="D236" t="s">
        <v>547</v>
      </c>
      <c r="E236" s="8">
        <v>7.7013316780598395E-4</v>
      </c>
      <c r="F236" s="8">
        <v>7.8442661349161793E-4</v>
      </c>
      <c r="G236" s="8">
        <v>7.9872005917725202E-4</v>
      </c>
      <c r="H236" s="8">
        <v>8.13013504862886E-4</v>
      </c>
      <c r="I236" s="8">
        <v>8.2730695054851998E-4</v>
      </c>
      <c r="J236" s="8">
        <v>8.4160039623415396E-4</v>
      </c>
      <c r="K236" s="8">
        <v>8.5589384191978805E-4</v>
      </c>
      <c r="L236" s="8">
        <v>8.7018728760542203E-4</v>
      </c>
      <c r="M236" s="8">
        <v>8.8752147235246904E-4</v>
      </c>
      <c r="N236" s="8">
        <v>9.0485565709951606E-4</v>
      </c>
      <c r="O236" s="8">
        <v>9.2218984184656296E-4</v>
      </c>
      <c r="P236" s="8">
        <v>9.3952402659360998E-4</v>
      </c>
      <c r="Q236" s="8">
        <v>9.5685821134065699E-4</v>
      </c>
      <c r="R236" s="8">
        <v>9.7524553324131397E-4</v>
      </c>
      <c r="S236" s="8">
        <v>9.9363285514197106E-4</v>
      </c>
      <c r="T236" s="8">
        <v>1.0133226176872929E-3</v>
      </c>
      <c r="U236" s="8">
        <v>1.033012380232615E-3</v>
      </c>
      <c r="V236" s="8">
        <v>1.0527021427779359E-3</v>
      </c>
      <c r="W236" s="8">
        <v>1.072391905323258E-3</v>
      </c>
      <c r="X236" s="8">
        <v>1.0920816678685801E-3</v>
      </c>
      <c r="Y236" s="8">
        <v>1.10870922327572E-3</v>
      </c>
      <c r="Z236" s="8">
        <v>1.1253367786828599E-3</v>
      </c>
      <c r="AA236" s="8">
        <v>1.1419643340899999E-3</v>
      </c>
      <c r="AB236" s="8">
        <v>1.1585918894971401E-3</v>
      </c>
      <c r="AC236" s="8">
        <v>1.17521944490428E-3</v>
      </c>
      <c r="AD236" s="8">
        <v>1.1837544117352899E-3</v>
      </c>
      <c r="AE236" s="8">
        <v>1.1922893785663001E-3</v>
      </c>
      <c r="AF236" s="8">
        <v>1.20082434539731E-3</v>
      </c>
      <c r="AG236" s="8">
        <v>1.2093593122283199E-3</v>
      </c>
      <c r="AH236" s="8">
        <v>1.2178942790593301E-3</v>
      </c>
      <c r="AI236" s="8">
        <v>1.2221117711768621E-3</v>
      </c>
      <c r="AJ236" s="8">
        <v>1.2263292632943941E-3</v>
      </c>
      <c r="AK236" s="8">
        <v>1.2305467554119261E-3</v>
      </c>
      <c r="AL236" s="8">
        <v>1.234764247529458E-3</v>
      </c>
      <c r="AM236" s="8">
        <v>1.23898173964699E-3</v>
      </c>
    </row>
    <row r="237" spans="1:39" x14ac:dyDescent="0.25">
      <c r="A237" t="s">
        <v>255</v>
      </c>
      <c r="B237" t="s">
        <v>236</v>
      </c>
      <c r="C237" t="s">
        <v>321</v>
      </c>
      <c r="D237" t="s">
        <v>548</v>
      </c>
      <c r="E237" s="8">
        <v>1.3815011814151501E-3</v>
      </c>
      <c r="F237" s="8">
        <v>1.4269710352837869E-3</v>
      </c>
      <c r="G237" s="8">
        <v>1.472440889152424E-3</v>
      </c>
      <c r="H237" s="8">
        <v>1.517910743021061E-3</v>
      </c>
      <c r="I237" s="8">
        <v>1.563380596889699E-3</v>
      </c>
      <c r="J237" s="8">
        <v>1.608850450758336E-3</v>
      </c>
      <c r="K237" s="8">
        <v>1.6543203046269731E-3</v>
      </c>
      <c r="L237" s="8">
        <v>1.6997901584956099E-3</v>
      </c>
      <c r="M237" s="8">
        <v>1.7521995710363899E-3</v>
      </c>
      <c r="N237" s="8">
        <v>1.8046089835771701E-3</v>
      </c>
      <c r="O237" s="8">
        <v>1.8570183961179501E-3</v>
      </c>
      <c r="P237" s="8">
        <v>1.90942780865873E-3</v>
      </c>
      <c r="Q237" s="8">
        <v>1.9618372211995098E-3</v>
      </c>
      <c r="R237" s="8">
        <v>2.0120678655167951E-3</v>
      </c>
      <c r="S237" s="8">
        <v>2.0622985098340801E-3</v>
      </c>
      <c r="T237" s="8">
        <v>2.1054259199119961E-3</v>
      </c>
      <c r="U237" s="8">
        <v>2.1485533299899118E-3</v>
      </c>
      <c r="V237" s="8">
        <v>2.1916807400678279E-3</v>
      </c>
      <c r="W237" s="8">
        <v>2.2348081501457439E-3</v>
      </c>
      <c r="X237" s="8">
        <v>2.27793556022366E-3</v>
      </c>
      <c r="Y237" s="8">
        <v>2.3067448327524181E-3</v>
      </c>
      <c r="Z237" s="8">
        <v>2.3355541052811758E-3</v>
      </c>
      <c r="AA237" s="8">
        <v>2.3643633778099339E-3</v>
      </c>
      <c r="AB237" s="8">
        <v>2.393172650338692E-3</v>
      </c>
      <c r="AC237" s="8">
        <v>2.4219819228674501E-3</v>
      </c>
      <c r="AD237" s="8">
        <v>2.437417232447928E-3</v>
      </c>
      <c r="AE237" s="8">
        <v>2.4528525420284058E-3</v>
      </c>
      <c r="AF237" s="8">
        <v>2.4682878516088841E-3</v>
      </c>
      <c r="AG237" s="8">
        <v>2.483723161189362E-3</v>
      </c>
      <c r="AH237" s="8">
        <v>2.4991584707698398E-3</v>
      </c>
      <c r="AI237" s="8">
        <v>2.5097578138263761E-3</v>
      </c>
      <c r="AJ237" s="8">
        <v>2.520357156882912E-3</v>
      </c>
      <c r="AK237" s="8">
        <v>2.5309564999394479E-3</v>
      </c>
      <c r="AL237" s="8">
        <v>2.5415558429959838E-3</v>
      </c>
      <c r="AM237" s="8">
        <v>2.5521551860525201E-3</v>
      </c>
    </row>
    <row r="238" spans="1:39" x14ac:dyDescent="0.25">
      <c r="A238" t="s">
        <v>255</v>
      </c>
      <c r="B238" t="s">
        <v>236</v>
      </c>
      <c r="C238" t="s">
        <v>323</v>
      </c>
      <c r="D238" t="s">
        <v>549</v>
      </c>
      <c r="E238" s="8">
        <v>4.9501384381299704E-3</v>
      </c>
      <c r="F238" s="8">
        <v>5.100003583314929E-3</v>
      </c>
      <c r="G238" s="8">
        <v>5.2498687284998876E-3</v>
      </c>
      <c r="H238" s="8">
        <v>5.3997338736848461E-3</v>
      </c>
      <c r="I238" s="8">
        <v>5.5495990188698047E-3</v>
      </c>
      <c r="J238" s="8">
        <v>5.6994641640547633E-3</v>
      </c>
      <c r="K238" s="8">
        <v>5.8493293092397218E-3</v>
      </c>
      <c r="L238" s="8">
        <v>5.9991944544246804E-3</v>
      </c>
      <c r="M238" s="8">
        <v>6.2014150027326327E-3</v>
      </c>
      <c r="N238" s="8">
        <v>6.4036355510405842E-3</v>
      </c>
      <c r="O238" s="8">
        <v>6.6058560993485366E-3</v>
      </c>
      <c r="P238" s="8">
        <v>6.808076647656488E-3</v>
      </c>
      <c r="Q238" s="8">
        <v>7.0102971959644404E-3</v>
      </c>
      <c r="R238" s="8">
        <v>7.2249969629315097E-3</v>
      </c>
      <c r="S238" s="8">
        <v>7.4396967298985799E-3</v>
      </c>
      <c r="T238" s="8">
        <v>7.655005406983534E-3</v>
      </c>
      <c r="U238" s="8">
        <v>7.8703140840684881E-3</v>
      </c>
      <c r="V238" s="8">
        <v>8.0856227611534413E-3</v>
      </c>
      <c r="W238" s="8">
        <v>8.3009314382383962E-3</v>
      </c>
      <c r="X238" s="8">
        <v>8.5162401153233494E-3</v>
      </c>
      <c r="Y238" s="8">
        <v>8.6713705987755373E-3</v>
      </c>
      <c r="Z238" s="8">
        <v>8.8265010822277251E-3</v>
      </c>
      <c r="AA238" s="8">
        <v>8.9816315656799147E-3</v>
      </c>
      <c r="AB238" s="8">
        <v>9.1367620491321026E-3</v>
      </c>
      <c r="AC238" s="8">
        <v>9.2918925325842904E-3</v>
      </c>
      <c r="AD238" s="8">
        <v>9.3678780509515638E-3</v>
      </c>
      <c r="AE238" s="8">
        <v>9.4438635693188389E-3</v>
      </c>
      <c r="AF238" s="8">
        <v>9.5198490876861122E-3</v>
      </c>
      <c r="AG238" s="8">
        <v>9.5958346060533873E-3</v>
      </c>
      <c r="AH238" s="8">
        <v>9.6718201244206606E-3</v>
      </c>
      <c r="AI238" s="8">
        <v>9.6960598683003066E-3</v>
      </c>
      <c r="AJ238" s="8">
        <v>9.7202996121799525E-3</v>
      </c>
      <c r="AK238" s="8">
        <v>9.7445393560595985E-3</v>
      </c>
      <c r="AL238" s="8">
        <v>9.7687790999392444E-3</v>
      </c>
      <c r="AM238" s="8">
        <v>9.7930188438188903E-3</v>
      </c>
    </row>
    <row r="239" spans="1:39" x14ac:dyDescent="0.25">
      <c r="A239" t="s">
        <v>255</v>
      </c>
      <c r="B239" t="s">
        <v>236</v>
      </c>
      <c r="C239" t="s">
        <v>325</v>
      </c>
      <c r="D239" t="s">
        <v>550</v>
      </c>
      <c r="E239" s="8">
        <v>6.558567847394E-4</v>
      </c>
      <c r="F239" s="8">
        <v>6.7738836182885454E-4</v>
      </c>
      <c r="G239" s="8">
        <v>6.989199389183092E-4</v>
      </c>
      <c r="H239" s="8">
        <v>7.2045151600776374E-4</v>
      </c>
      <c r="I239" s="8">
        <v>7.4198309309721829E-4</v>
      </c>
      <c r="J239" s="8">
        <v>7.6351467018667284E-4</v>
      </c>
      <c r="K239" s="8">
        <v>7.8504624727612749E-4</v>
      </c>
      <c r="L239" s="8">
        <v>8.0657782436558204E-4</v>
      </c>
      <c r="M239" s="8">
        <v>8.2814324345856965E-4</v>
      </c>
      <c r="N239" s="8">
        <v>8.4970866255155725E-4</v>
      </c>
      <c r="O239" s="8">
        <v>8.7127408164454476E-4</v>
      </c>
      <c r="P239" s="8">
        <v>8.9283950073753237E-4</v>
      </c>
      <c r="Q239" s="8">
        <v>9.1440491983051997E-4</v>
      </c>
      <c r="R239" s="8">
        <v>9.32468147476248E-4</v>
      </c>
      <c r="S239" s="8">
        <v>9.5053137512197603E-4</v>
      </c>
      <c r="T239" s="8">
        <v>9.6244032339609881E-4</v>
      </c>
      <c r="U239" s="8">
        <v>9.7434927167022159E-4</v>
      </c>
      <c r="V239" s="8">
        <v>9.8625821994434448E-4</v>
      </c>
      <c r="W239" s="8">
        <v>9.9816716821846726E-4</v>
      </c>
      <c r="X239" s="8">
        <v>1.01007611649259E-3</v>
      </c>
      <c r="Y239" s="8">
        <v>1.01599938475777E-3</v>
      </c>
      <c r="Z239" s="8">
        <v>1.0219226530229499E-3</v>
      </c>
      <c r="AA239" s="8">
        <v>1.0278459212881301E-3</v>
      </c>
      <c r="AB239" s="8">
        <v>1.03376918955331E-3</v>
      </c>
      <c r="AC239" s="8">
        <v>1.03969245781849E-3</v>
      </c>
      <c r="AD239" s="8">
        <v>1.0432166086586901E-3</v>
      </c>
      <c r="AE239" s="8">
        <v>1.04674075949889E-3</v>
      </c>
      <c r="AF239" s="8">
        <v>1.0502649103390901E-3</v>
      </c>
      <c r="AG239" s="8">
        <v>1.05378906117929E-3</v>
      </c>
      <c r="AH239" s="8">
        <v>1.0573132120194899E-3</v>
      </c>
      <c r="AI239" s="8">
        <v>1.0624138590802201E-3</v>
      </c>
      <c r="AJ239" s="8">
        <v>1.06751450614095E-3</v>
      </c>
      <c r="AK239" s="8">
        <v>1.0726151532016799E-3</v>
      </c>
      <c r="AL239" s="8">
        <v>1.0777158002624101E-3</v>
      </c>
      <c r="AM239" s="8">
        <v>1.08281644732314E-3</v>
      </c>
    </row>
    <row r="240" spans="1:39" x14ac:dyDescent="0.25">
      <c r="A240" t="s">
        <v>255</v>
      </c>
      <c r="B240" t="s">
        <v>236</v>
      </c>
      <c r="C240" t="s">
        <v>327</v>
      </c>
      <c r="D240" t="s">
        <v>551</v>
      </c>
      <c r="E240" s="8">
        <v>5.9739920273093597E-4</v>
      </c>
      <c r="F240" s="8">
        <v>6.178464183334135E-4</v>
      </c>
      <c r="G240" s="8">
        <v>6.3829363393589115E-4</v>
      </c>
      <c r="H240" s="8">
        <v>6.5874084953836869E-4</v>
      </c>
      <c r="I240" s="8">
        <v>6.7918806514084622E-4</v>
      </c>
      <c r="J240" s="8">
        <v>6.9963528074332376E-4</v>
      </c>
      <c r="K240" s="8">
        <v>7.2008249634580141E-4</v>
      </c>
      <c r="L240" s="8">
        <v>7.4052971194827895E-4</v>
      </c>
      <c r="M240" s="8">
        <v>7.605948530070224E-4</v>
      </c>
      <c r="N240" s="8">
        <v>7.8065999406576575E-4</v>
      </c>
      <c r="O240" s="8">
        <v>8.007251351245092E-4</v>
      </c>
      <c r="P240" s="8">
        <v>8.2079027618325254E-4</v>
      </c>
      <c r="Q240" s="8">
        <v>8.40855417241996E-4</v>
      </c>
      <c r="R240" s="8">
        <v>8.5745035242029547E-4</v>
      </c>
      <c r="S240" s="8">
        <v>8.7404528759859495E-4</v>
      </c>
      <c r="T240" s="8">
        <v>8.843353759613033E-4</v>
      </c>
      <c r="U240" s="8">
        <v>8.9462546432401177E-4</v>
      </c>
      <c r="V240" s="8">
        <v>9.0491555268672013E-4</v>
      </c>
      <c r="W240" s="8">
        <v>9.1520564104942859E-4</v>
      </c>
      <c r="X240" s="8">
        <v>9.2549572941213695E-4</v>
      </c>
      <c r="Y240" s="8">
        <v>9.3041910911674237E-4</v>
      </c>
      <c r="Z240" s="8">
        <v>9.353424888213478E-4</v>
      </c>
      <c r="AA240" s="8">
        <v>9.4026586852595311E-4</v>
      </c>
      <c r="AB240" s="8">
        <v>9.4518924823055854E-4</v>
      </c>
      <c r="AC240" s="8">
        <v>9.5011262793516396E-4</v>
      </c>
      <c r="AD240" s="8">
        <v>9.528742368045234E-4</v>
      </c>
      <c r="AE240" s="8">
        <v>9.5563584567388274E-4</v>
      </c>
      <c r="AF240" s="8">
        <v>9.5839745454324218E-4</v>
      </c>
      <c r="AG240" s="8">
        <v>9.6115906341260151E-4</v>
      </c>
      <c r="AH240" s="8">
        <v>9.6392067228196095E-4</v>
      </c>
      <c r="AI240" s="8">
        <v>9.6871796238553879E-4</v>
      </c>
      <c r="AJ240" s="8">
        <v>9.7351525248911663E-4</v>
      </c>
      <c r="AK240" s="8">
        <v>9.7831254259269436E-4</v>
      </c>
      <c r="AL240" s="8">
        <v>9.831098326962722E-4</v>
      </c>
      <c r="AM240" s="8">
        <v>9.8790712279985004E-4</v>
      </c>
    </row>
    <row r="241" spans="1:39" x14ac:dyDescent="0.25">
      <c r="A241" t="s">
        <v>255</v>
      </c>
      <c r="B241" t="s">
        <v>236</v>
      </c>
      <c r="C241" t="s">
        <v>329</v>
      </c>
      <c r="D241" t="s">
        <v>552</v>
      </c>
      <c r="E241" s="8">
        <v>1.59389402768549E-4</v>
      </c>
      <c r="F241" s="8">
        <v>1.6205020958750629E-4</v>
      </c>
      <c r="G241" s="8">
        <v>1.6471101640646359E-4</v>
      </c>
      <c r="H241" s="8">
        <v>1.6737182322542089E-4</v>
      </c>
      <c r="I241" s="8">
        <v>1.7003263004437811E-4</v>
      </c>
      <c r="J241" s="8">
        <v>1.726934368633354E-4</v>
      </c>
      <c r="K241" s="8">
        <v>1.753542436822927E-4</v>
      </c>
      <c r="L241" s="8">
        <v>1.7801505050125E-4</v>
      </c>
      <c r="M241" s="8">
        <v>1.8069209704556661E-4</v>
      </c>
      <c r="N241" s="8">
        <v>1.8336914358988319E-4</v>
      </c>
      <c r="O241" s="8">
        <v>1.8604619013419979E-4</v>
      </c>
      <c r="P241" s="8">
        <v>1.887232366785164E-4</v>
      </c>
      <c r="Q241" s="8">
        <v>1.9140028322283301E-4</v>
      </c>
      <c r="R241" s="8">
        <v>1.939157635616975E-4</v>
      </c>
      <c r="S241" s="8">
        <v>1.96431243900562E-4</v>
      </c>
      <c r="T241" s="8">
        <v>1.984171703216348E-4</v>
      </c>
      <c r="U241" s="8">
        <v>2.0040309674270761E-4</v>
      </c>
      <c r="V241" s="8">
        <v>2.0238902316378041E-4</v>
      </c>
      <c r="W241" s="8">
        <v>2.0437494958485319E-4</v>
      </c>
      <c r="X241" s="8">
        <v>2.06360876005926E-4</v>
      </c>
      <c r="Y241" s="8">
        <v>2.077319545123452E-4</v>
      </c>
      <c r="Z241" s="8">
        <v>2.0910303301876441E-4</v>
      </c>
      <c r="AA241" s="8">
        <v>2.1047411152518361E-4</v>
      </c>
      <c r="AB241" s="8">
        <v>2.1184519003160279E-4</v>
      </c>
      <c r="AC241" s="8">
        <v>2.1321626853802199E-4</v>
      </c>
      <c r="AD241" s="8">
        <v>2.1431695230795939E-4</v>
      </c>
      <c r="AE241" s="8">
        <v>2.1541763607789679E-4</v>
      </c>
      <c r="AF241" s="8">
        <v>2.1651831984783419E-4</v>
      </c>
      <c r="AG241" s="8">
        <v>2.1761900361777159E-4</v>
      </c>
      <c r="AH241" s="8">
        <v>2.1871968738770901E-4</v>
      </c>
      <c r="AI241" s="8">
        <v>2.1993358348554499E-4</v>
      </c>
      <c r="AJ241" s="8">
        <v>2.21147479583381E-4</v>
      </c>
      <c r="AK241" s="8">
        <v>2.2236137568121701E-4</v>
      </c>
      <c r="AL241" s="8">
        <v>2.2357527177905301E-4</v>
      </c>
      <c r="AM241" s="8">
        <v>2.2478916787688899E-4</v>
      </c>
    </row>
    <row r="242" spans="1:39" x14ac:dyDescent="0.25">
      <c r="A242" t="s">
        <v>255</v>
      </c>
      <c r="B242" t="s">
        <v>236</v>
      </c>
      <c r="C242" t="s">
        <v>331</v>
      </c>
      <c r="D242" t="s">
        <v>553</v>
      </c>
      <c r="E242" s="8">
        <v>3.37287050980307E-3</v>
      </c>
      <c r="F242" s="8">
        <v>3.4345626544876398E-3</v>
      </c>
      <c r="G242" s="8">
        <v>3.49625479917221E-3</v>
      </c>
      <c r="H242" s="8">
        <v>3.5579469438567798E-3</v>
      </c>
      <c r="I242" s="8">
        <v>3.61963908854135E-3</v>
      </c>
      <c r="J242" s="8">
        <v>3.6813312332259198E-3</v>
      </c>
      <c r="K242" s="8">
        <v>3.7430233779104901E-3</v>
      </c>
      <c r="L242" s="8">
        <v>3.8047155225950599E-3</v>
      </c>
      <c r="M242" s="8">
        <v>3.8756549643206599E-3</v>
      </c>
      <c r="N242" s="8">
        <v>3.9465944060462603E-3</v>
      </c>
      <c r="O242" s="8">
        <v>4.0175338477718599E-3</v>
      </c>
      <c r="P242" s="8">
        <v>4.0884732894974586E-3</v>
      </c>
      <c r="Q242" s="8">
        <v>4.1594127312230599E-3</v>
      </c>
      <c r="R242" s="8">
        <v>4.2289596651764894E-3</v>
      </c>
      <c r="S242" s="8">
        <v>4.2985065991299198E-3</v>
      </c>
      <c r="T242" s="8">
        <v>4.3660409066443402E-3</v>
      </c>
      <c r="U242" s="8">
        <v>4.4335752141587597E-3</v>
      </c>
      <c r="V242" s="8">
        <v>4.50110952167318E-3</v>
      </c>
      <c r="W242" s="8">
        <v>4.5686438291875986E-3</v>
      </c>
      <c r="X242" s="8">
        <v>4.6361781367020198E-3</v>
      </c>
      <c r="Y242" s="8">
        <v>4.6904939554093484E-3</v>
      </c>
      <c r="Z242" s="8">
        <v>4.7448097741166761E-3</v>
      </c>
      <c r="AA242" s="8">
        <v>4.7991255928240039E-3</v>
      </c>
      <c r="AB242" s="8">
        <v>4.8534414115313316E-3</v>
      </c>
      <c r="AC242" s="8">
        <v>4.9077572302386602E-3</v>
      </c>
      <c r="AD242" s="8">
        <v>4.945770080933002E-3</v>
      </c>
      <c r="AE242" s="8">
        <v>4.9837829316273438E-3</v>
      </c>
      <c r="AF242" s="8">
        <v>5.0217957823216874E-3</v>
      </c>
      <c r="AG242" s="8">
        <v>5.0598086330160283E-3</v>
      </c>
      <c r="AH242" s="8">
        <v>5.0978214837103701E-3</v>
      </c>
      <c r="AI242" s="8">
        <v>5.1265352949824141E-3</v>
      </c>
      <c r="AJ242" s="8">
        <v>5.1552491062544581E-3</v>
      </c>
      <c r="AK242" s="8">
        <v>5.1839629175265021E-3</v>
      </c>
      <c r="AL242" s="8">
        <v>5.2126767287985461E-3</v>
      </c>
      <c r="AM242" s="8">
        <v>5.2413905400705901E-3</v>
      </c>
    </row>
    <row r="243" spans="1:39" x14ac:dyDescent="0.25">
      <c r="A243" t="s">
        <v>255</v>
      </c>
      <c r="B243" t="s">
        <v>236</v>
      </c>
      <c r="C243" t="s">
        <v>333</v>
      </c>
      <c r="D243" t="s">
        <v>554</v>
      </c>
      <c r="E243" s="8">
        <v>0</v>
      </c>
      <c r="F243" s="8">
        <v>0</v>
      </c>
      <c r="G243" s="8">
        <v>0</v>
      </c>
      <c r="H243" s="8">
        <v>0</v>
      </c>
      <c r="I243" s="8">
        <v>0</v>
      </c>
      <c r="J243" s="8">
        <v>0</v>
      </c>
      <c r="K243" s="8">
        <v>0</v>
      </c>
      <c r="L243" s="8">
        <v>0</v>
      </c>
      <c r="M243" s="8">
        <v>0</v>
      </c>
      <c r="N243" s="8">
        <v>0</v>
      </c>
      <c r="O243" s="8">
        <v>0</v>
      </c>
      <c r="P243" s="8">
        <v>0</v>
      </c>
      <c r="Q243" s="8">
        <v>0</v>
      </c>
      <c r="R243" s="8">
        <v>0</v>
      </c>
      <c r="S243" s="8">
        <v>0</v>
      </c>
      <c r="T243" s="8">
        <v>0</v>
      </c>
      <c r="U243" s="8">
        <v>0</v>
      </c>
      <c r="V243" s="8">
        <v>0</v>
      </c>
      <c r="W243" s="8">
        <v>0</v>
      </c>
      <c r="X243" s="8">
        <v>0</v>
      </c>
      <c r="Y243" s="8">
        <v>0</v>
      </c>
      <c r="Z243" s="8">
        <v>0</v>
      </c>
      <c r="AA243" s="8">
        <v>0</v>
      </c>
      <c r="AB243" s="8">
        <v>0</v>
      </c>
      <c r="AC243" s="8">
        <v>0</v>
      </c>
      <c r="AD243" s="8">
        <v>0</v>
      </c>
      <c r="AE243" s="8">
        <v>0</v>
      </c>
      <c r="AF243" s="8">
        <v>0</v>
      </c>
      <c r="AG243" s="8">
        <v>0</v>
      </c>
      <c r="AH243" s="8">
        <v>0</v>
      </c>
      <c r="AI243" s="8">
        <v>0</v>
      </c>
      <c r="AJ243" s="8">
        <v>0</v>
      </c>
      <c r="AK243" s="8">
        <v>0</v>
      </c>
      <c r="AL243" s="8">
        <v>0</v>
      </c>
      <c r="AM243" s="8">
        <v>0</v>
      </c>
    </row>
    <row r="244" spans="1:39" x14ac:dyDescent="0.25">
      <c r="A244" t="s">
        <v>255</v>
      </c>
      <c r="B244" t="s">
        <v>244</v>
      </c>
      <c r="C244" t="s">
        <v>53</v>
      </c>
      <c r="D244" t="s">
        <v>555</v>
      </c>
      <c r="E244" s="8">
        <v>5.02260180019172E-3</v>
      </c>
      <c r="F244" s="8">
        <v>5.0526368478509354E-3</v>
      </c>
      <c r="G244" s="8">
        <v>5.0826718955101482E-3</v>
      </c>
      <c r="H244" s="8">
        <v>5.1127069431693628E-3</v>
      </c>
      <c r="I244" s="8">
        <v>5.1427419908285773E-3</v>
      </c>
      <c r="J244" s="8">
        <v>5.1727770384877919E-3</v>
      </c>
      <c r="K244" s="8">
        <v>5.2028120861470064E-3</v>
      </c>
      <c r="L244" s="8">
        <v>5.2328471338062201E-3</v>
      </c>
      <c r="M244" s="8">
        <v>5.3000351638639942E-3</v>
      </c>
      <c r="N244" s="8">
        <v>5.3672231939217684E-3</v>
      </c>
      <c r="O244" s="8">
        <v>5.4344112239795416E-3</v>
      </c>
      <c r="P244" s="8">
        <v>5.5015992540373157E-3</v>
      </c>
      <c r="Q244" s="8">
        <v>5.5687872840950899E-3</v>
      </c>
      <c r="R244" s="8">
        <v>5.69828976743265E-3</v>
      </c>
      <c r="S244" s="8">
        <v>5.8277922507702102E-3</v>
      </c>
      <c r="T244" s="8">
        <v>5.9135450048340924E-3</v>
      </c>
      <c r="U244" s="8">
        <v>5.9992977588979746E-3</v>
      </c>
      <c r="V244" s="8">
        <v>6.085050512961856E-3</v>
      </c>
      <c r="W244" s="8">
        <v>6.1708032670257382E-3</v>
      </c>
      <c r="X244" s="8">
        <v>6.2565560210896204E-3</v>
      </c>
      <c r="Y244" s="8">
        <v>6.3236350634591244E-3</v>
      </c>
      <c r="Z244" s="8">
        <v>6.3907141058286276E-3</v>
      </c>
      <c r="AA244" s="8">
        <v>6.4577931481981316E-3</v>
      </c>
      <c r="AB244" s="8">
        <v>6.5248721905676356E-3</v>
      </c>
      <c r="AC244" s="8">
        <v>6.5919512329371396E-3</v>
      </c>
      <c r="AD244" s="8">
        <v>6.6281702203863646E-3</v>
      </c>
      <c r="AE244" s="8">
        <v>6.6643892078355913E-3</v>
      </c>
      <c r="AF244" s="8">
        <v>6.7006081952848181E-3</v>
      </c>
      <c r="AG244" s="8">
        <v>6.736827182734044E-3</v>
      </c>
      <c r="AH244" s="8">
        <v>6.7730461701832698E-3</v>
      </c>
      <c r="AI244" s="8">
        <v>6.7808416014651599E-3</v>
      </c>
      <c r="AJ244" s="8">
        <v>6.78863703274705E-3</v>
      </c>
      <c r="AK244" s="8">
        <v>6.7964324640289401E-3</v>
      </c>
      <c r="AL244" s="8">
        <v>6.8042278953108302E-3</v>
      </c>
      <c r="AM244" s="8">
        <v>6.8120233265927203E-3</v>
      </c>
    </row>
    <row r="245" spans="1:39" x14ac:dyDescent="0.25">
      <c r="A245" t="s">
        <v>255</v>
      </c>
      <c r="B245" t="s">
        <v>244</v>
      </c>
      <c r="C245" t="s">
        <v>293</v>
      </c>
      <c r="D245" t="s">
        <v>556</v>
      </c>
      <c r="E245" s="8">
        <v>2.22379241954289E-5</v>
      </c>
      <c r="F245" s="8">
        <v>2.2004359390331739E-5</v>
      </c>
      <c r="G245" s="8">
        <v>2.1770794585234591E-5</v>
      </c>
      <c r="H245" s="8">
        <v>2.153722978013743E-5</v>
      </c>
      <c r="I245" s="8">
        <v>2.1303664975040268E-5</v>
      </c>
      <c r="J245" s="8">
        <v>2.107010016994311E-5</v>
      </c>
      <c r="K245" s="8">
        <v>2.0836535364845959E-5</v>
      </c>
      <c r="L245" s="8">
        <v>2.0602970559748801E-5</v>
      </c>
      <c r="M245" s="8">
        <v>2.0427233494711741E-5</v>
      </c>
      <c r="N245" s="8">
        <v>2.0251496429674681E-5</v>
      </c>
      <c r="O245" s="8">
        <v>2.0075759364637621E-5</v>
      </c>
      <c r="P245" s="8">
        <v>1.990002229960056E-5</v>
      </c>
      <c r="Q245" s="8">
        <v>1.97242852345635E-5</v>
      </c>
      <c r="R245" s="8">
        <v>1.3130424061952891E-5</v>
      </c>
      <c r="S245" s="8">
        <v>6.5365628893422798E-6</v>
      </c>
      <c r="T245" s="8">
        <v>6.4950562725031923E-6</v>
      </c>
      <c r="U245" s="8">
        <v>6.4535496556641038E-6</v>
      </c>
      <c r="V245" s="8">
        <v>6.4120430388250163E-6</v>
      </c>
      <c r="W245" s="8">
        <v>6.3705364219859278E-6</v>
      </c>
      <c r="X245" s="8">
        <v>6.3290298051468403E-6</v>
      </c>
      <c r="Y245" s="8">
        <v>6.3027227163983118E-6</v>
      </c>
      <c r="Z245" s="8">
        <v>6.2764156276497842E-6</v>
      </c>
      <c r="AA245" s="8">
        <v>6.2501085389012557E-6</v>
      </c>
      <c r="AB245" s="8">
        <v>6.2238014501527281E-6</v>
      </c>
      <c r="AC245" s="8">
        <v>6.1974943614041996E-6</v>
      </c>
      <c r="AD245" s="8">
        <v>6.1647554895596157E-6</v>
      </c>
      <c r="AE245" s="8">
        <v>6.1320166177150317E-6</v>
      </c>
      <c r="AF245" s="8">
        <v>6.0992777458704477E-6</v>
      </c>
      <c r="AG245" s="8">
        <v>6.0665388740258638E-6</v>
      </c>
      <c r="AH245" s="8">
        <v>6.0338000021812798E-6</v>
      </c>
      <c r="AI245" s="8">
        <v>5.9982226184561079E-6</v>
      </c>
      <c r="AJ245" s="8">
        <v>5.9626452347309359E-6</v>
      </c>
      <c r="AK245" s="8">
        <v>5.927067851005764E-6</v>
      </c>
      <c r="AL245" s="8">
        <v>5.891490467280592E-6</v>
      </c>
      <c r="AM245" s="8">
        <v>5.8559130835554201E-6</v>
      </c>
    </row>
    <row r="246" spans="1:39" x14ac:dyDescent="0.25">
      <c r="A246" t="s">
        <v>255</v>
      </c>
      <c r="B246" t="s">
        <v>244</v>
      </c>
      <c r="C246" t="s">
        <v>295</v>
      </c>
      <c r="D246" t="s">
        <v>557</v>
      </c>
      <c r="E246" s="8">
        <v>1.1081214035801401</v>
      </c>
      <c r="F246" s="8">
        <v>1.1116616484800039</v>
      </c>
      <c r="G246" s="8">
        <v>1.1152018933798691</v>
      </c>
      <c r="H246" s="8">
        <v>1.1187421382797329</v>
      </c>
      <c r="I246" s="8">
        <v>1.1222823831795969</v>
      </c>
      <c r="J246" s="8">
        <v>1.125822628079461</v>
      </c>
      <c r="K246" s="8">
        <v>1.1293628729793259</v>
      </c>
      <c r="L246" s="8">
        <v>1.13290311787919</v>
      </c>
      <c r="M246" s="8">
        <v>1.1446393668310579</v>
      </c>
      <c r="N246" s="8">
        <v>1.1563756157829259</v>
      </c>
      <c r="O246" s="8">
        <v>1.1681118647347939</v>
      </c>
      <c r="P246" s="8">
        <v>1.1798481136866621</v>
      </c>
      <c r="Q246" s="8">
        <v>1.1915843626385301</v>
      </c>
      <c r="R246" s="8">
        <v>1.20532184284563</v>
      </c>
      <c r="S246" s="8">
        <v>1.21905932305273</v>
      </c>
      <c r="T246" s="8">
        <v>1.229091211044292</v>
      </c>
      <c r="U246" s="8">
        <v>1.2391230990358539</v>
      </c>
      <c r="V246" s="8">
        <v>1.2491549870274159</v>
      </c>
      <c r="W246" s="8">
        <v>1.2591868750189781</v>
      </c>
      <c r="X246" s="8">
        <v>1.26921876301054</v>
      </c>
      <c r="Y246" s="8">
        <v>1.273486835792548</v>
      </c>
      <c r="Z246" s="8">
        <v>1.2777549085745561</v>
      </c>
      <c r="AA246" s="8">
        <v>1.282022981356564</v>
      </c>
      <c r="AB246" s="8">
        <v>1.2862910541385719</v>
      </c>
      <c r="AC246" s="8">
        <v>1.2905591269205801</v>
      </c>
      <c r="AD246" s="8">
        <v>1.2957138788248641</v>
      </c>
      <c r="AE246" s="8">
        <v>1.3008686307291479</v>
      </c>
      <c r="AF246" s="8">
        <v>1.306023382633432</v>
      </c>
      <c r="AG246" s="8">
        <v>1.311178134537716</v>
      </c>
      <c r="AH246" s="8">
        <v>1.3163328864420001</v>
      </c>
      <c r="AI246" s="8">
        <v>1.321996259751248</v>
      </c>
      <c r="AJ246" s="8">
        <v>1.3276596330604959</v>
      </c>
      <c r="AK246" s="8">
        <v>1.3333230063697441</v>
      </c>
      <c r="AL246" s="8">
        <v>1.338986379678992</v>
      </c>
      <c r="AM246" s="8">
        <v>1.34464975298824</v>
      </c>
    </row>
    <row r="247" spans="1:39" x14ac:dyDescent="0.25">
      <c r="A247" t="s">
        <v>255</v>
      </c>
      <c r="B247" t="s">
        <v>244</v>
      </c>
      <c r="C247" t="s">
        <v>297</v>
      </c>
      <c r="D247" t="s">
        <v>558</v>
      </c>
      <c r="E247" s="8">
        <v>0</v>
      </c>
      <c r="F247" s="8">
        <v>0</v>
      </c>
      <c r="G247" s="8">
        <v>0</v>
      </c>
      <c r="H247" s="8">
        <v>0</v>
      </c>
      <c r="I247" s="8">
        <v>0</v>
      </c>
      <c r="J247" s="8">
        <v>0</v>
      </c>
      <c r="K247" s="8">
        <v>0</v>
      </c>
      <c r="L247" s="8">
        <v>0</v>
      </c>
      <c r="M247" s="8">
        <v>0</v>
      </c>
      <c r="N247" s="8">
        <v>0</v>
      </c>
      <c r="O247" s="8">
        <v>0</v>
      </c>
      <c r="P247" s="8">
        <v>0</v>
      </c>
      <c r="Q247" s="8">
        <v>0</v>
      </c>
      <c r="R247" s="8">
        <v>0</v>
      </c>
      <c r="S247" s="8">
        <v>0</v>
      </c>
      <c r="T247" s="8">
        <v>0</v>
      </c>
      <c r="U247" s="8">
        <v>0</v>
      </c>
      <c r="V247" s="8">
        <v>0</v>
      </c>
      <c r="W247" s="8">
        <v>0</v>
      </c>
      <c r="X247" s="8">
        <v>0</v>
      </c>
      <c r="Y247" s="8">
        <v>0</v>
      </c>
      <c r="Z247" s="8">
        <v>0</v>
      </c>
      <c r="AA247" s="8">
        <v>0</v>
      </c>
      <c r="AB247" s="8">
        <v>0</v>
      </c>
      <c r="AC247" s="8">
        <v>0</v>
      </c>
      <c r="AD247" s="8">
        <v>0</v>
      </c>
      <c r="AE247" s="8">
        <v>0</v>
      </c>
      <c r="AF247" s="8">
        <v>0</v>
      </c>
      <c r="AG247" s="8">
        <v>0</v>
      </c>
      <c r="AH247" s="8">
        <v>0</v>
      </c>
      <c r="AI247" s="8">
        <v>0</v>
      </c>
      <c r="AJ247" s="8">
        <v>0</v>
      </c>
      <c r="AK247" s="8">
        <v>0</v>
      </c>
      <c r="AL247" s="8">
        <v>0</v>
      </c>
      <c r="AM247" s="8">
        <v>0</v>
      </c>
    </row>
    <row r="248" spans="1:39" x14ac:dyDescent="0.25">
      <c r="A248" t="s">
        <v>255</v>
      </c>
      <c r="B248" t="s">
        <v>244</v>
      </c>
      <c r="C248" t="s">
        <v>299</v>
      </c>
      <c r="D248" t="s">
        <v>559</v>
      </c>
      <c r="E248" s="8">
        <v>0</v>
      </c>
      <c r="F248" s="8">
        <v>0</v>
      </c>
      <c r="G248" s="8">
        <v>0</v>
      </c>
      <c r="H248" s="8">
        <v>0</v>
      </c>
      <c r="I248" s="8">
        <v>0</v>
      </c>
      <c r="J248" s="8">
        <v>0</v>
      </c>
      <c r="K248" s="8">
        <v>0</v>
      </c>
      <c r="L248" s="8">
        <v>0</v>
      </c>
      <c r="M248" s="8">
        <v>0</v>
      </c>
      <c r="N248" s="8">
        <v>0</v>
      </c>
      <c r="O248" s="8">
        <v>0</v>
      </c>
      <c r="P248" s="8">
        <v>0</v>
      </c>
      <c r="Q248" s="8">
        <v>0</v>
      </c>
      <c r="R248" s="8">
        <v>0</v>
      </c>
      <c r="S248" s="8">
        <v>0</v>
      </c>
      <c r="T248" s="8">
        <v>0</v>
      </c>
      <c r="U248" s="8">
        <v>0</v>
      </c>
      <c r="V248" s="8">
        <v>0</v>
      </c>
      <c r="W248" s="8">
        <v>0</v>
      </c>
      <c r="X248" s="8">
        <v>0</v>
      </c>
      <c r="Y248" s="8">
        <v>0</v>
      </c>
      <c r="Z248" s="8">
        <v>0</v>
      </c>
      <c r="AA248" s="8">
        <v>0</v>
      </c>
      <c r="AB248" s="8">
        <v>0</v>
      </c>
      <c r="AC248" s="8">
        <v>0</v>
      </c>
      <c r="AD248" s="8">
        <v>0</v>
      </c>
      <c r="AE248" s="8">
        <v>0</v>
      </c>
      <c r="AF248" s="8">
        <v>0</v>
      </c>
      <c r="AG248" s="8">
        <v>0</v>
      </c>
      <c r="AH248" s="8">
        <v>0</v>
      </c>
      <c r="AI248" s="8">
        <v>0</v>
      </c>
      <c r="AJ248" s="8">
        <v>0</v>
      </c>
      <c r="AK248" s="8">
        <v>0</v>
      </c>
      <c r="AL248" s="8">
        <v>0</v>
      </c>
      <c r="AM248" s="8">
        <v>0</v>
      </c>
    </row>
    <row r="249" spans="1:39" x14ac:dyDescent="0.25">
      <c r="A249" t="s">
        <v>255</v>
      </c>
      <c r="B249" t="s">
        <v>244</v>
      </c>
      <c r="C249" t="s">
        <v>301</v>
      </c>
      <c r="D249" t="s">
        <v>560</v>
      </c>
      <c r="E249" s="8">
        <v>0</v>
      </c>
      <c r="F249" s="8">
        <v>0</v>
      </c>
      <c r="G249" s="8">
        <v>0</v>
      </c>
      <c r="H249" s="8">
        <v>0</v>
      </c>
      <c r="I249" s="8">
        <v>0</v>
      </c>
      <c r="J249" s="8">
        <v>0</v>
      </c>
      <c r="K249" s="8">
        <v>0</v>
      </c>
      <c r="L249" s="8">
        <v>0</v>
      </c>
      <c r="M249" s="8">
        <v>0</v>
      </c>
      <c r="N249" s="8">
        <v>0</v>
      </c>
      <c r="O249" s="8">
        <v>0</v>
      </c>
      <c r="P249" s="8">
        <v>0</v>
      </c>
      <c r="Q249" s="8">
        <v>0</v>
      </c>
      <c r="R249" s="8">
        <v>0</v>
      </c>
      <c r="S249" s="8">
        <v>0</v>
      </c>
      <c r="T249" s="8">
        <v>0</v>
      </c>
      <c r="U249" s="8">
        <v>0</v>
      </c>
      <c r="V249" s="8">
        <v>0</v>
      </c>
      <c r="W249" s="8">
        <v>0</v>
      </c>
      <c r="X249" s="8">
        <v>0</v>
      </c>
      <c r="Y249" s="8">
        <v>0</v>
      </c>
      <c r="Z249" s="8">
        <v>0</v>
      </c>
      <c r="AA249" s="8">
        <v>0</v>
      </c>
      <c r="AB249" s="8">
        <v>0</v>
      </c>
      <c r="AC249" s="8">
        <v>0</v>
      </c>
      <c r="AD249" s="8">
        <v>0</v>
      </c>
      <c r="AE249" s="8">
        <v>0</v>
      </c>
      <c r="AF249" s="8">
        <v>0</v>
      </c>
      <c r="AG249" s="8">
        <v>0</v>
      </c>
      <c r="AH249" s="8">
        <v>0</v>
      </c>
      <c r="AI249" s="8">
        <v>0</v>
      </c>
      <c r="AJ249" s="8">
        <v>0</v>
      </c>
      <c r="AK249" s="8">
        <v>0</v>
      </c>
      <c r="AL249" s="8">
        <v>0</v>
      </c>
      <c r="AM249" s="8">
        <v>0</v>
      </c>
    </row>
    <row r="250" spans="1:39" x14ac:dyDescent="0.25">
      <c r="A250" t="s">
        <v>255</v>
      </c>
      <c r="B250" t="s">
        <v>244</v>
      </c>
      <c r="C250" t="s">
        <v>303</v>
      </c>
      <c r="D250" t="s">
        <v>561</v>
      </c>
      <c r="E250" s="8">
        <v>0</v>
      </c>
      <c r="F250" s="8">
        <v>0</v>
      </c>
      <c r="G250" s="8">
        <v>0</v>
      </c>
      <c r="H250" s="8">
        <v>0</v>
      </c>
      <c r="I250" s="8">
        <v>0</v>
      </c>
      <c r="J250" s="8">
        <v>0</v>
      </c>
      <c r="K250" s="8">
        <v>0</v>
      </c>
      <c r="L250" s="8">
        <v>0</v>
      </c>
      <c r="M250" s="8">
        <v>0</v>
      </c>
      <c r="N250" s="8">
        <v>0</v>
      </c>
      <c r="O250" s="8">
        <v>0</v>
      </c>
      <c r="P250" s="8">
        <v>0</v>
      </c>
      <c r="Q250" s="8">
        <v>0</v>
      </c>
      <c r="R250" s="8">
        <v>0</v>
      </c>
      <c r="S250" s="8">
        <v>0</v>
      </c>
      <c r="T250" s="8">
        <v>0</v>
      </c>
      <c r="U250" s="8">
        <v>0</v>
      </c>
      <c r="V250" s="8">
        <v>0</v>
      </c>
      <c r="W250" s="8">
        <v>0</v>
      </c>
      <c r="X250" s="8">
        <v>0</v>
      </c>
      <c r="Y250" s="8">
        <v>0</v>
      </c>
      <c r="Z250" s="8">
        <v>0</v>
      </c>
      <c r="AA250" s="8">
        <v>0</v>
      </c>
      <c r="AB250" s="8">
        <v>0</v>
      </c>
      <c r="AC250" s="8">
        <v>0</v>
      </c>
      <c r="AD250" s="8">
        <v>0</v>
      </c>
      <c r="AE250" s="8">
        <v>0</v>
      </c>
      <c r="AF250" s="8">
        <v>0</v>
      </c>
      <c r="AG250" s="8">
        <v>0</v>
      </c>
      <c r="AH250" s="8">
        <v>0</v>
      </c>
      <c r="AI250" s="8">
        <v>0</v>
      </c>
      <c r="AJ250" s="8">
        <v>0</v>
      </c>
      <c r="AK250" s="8">
        <v>0</v>
      </c>
      <c r="AL250" s="8">
        <v>0</v>
      </c>
      <c r="AM250" s="8">
        <v>0</v>
      </c>
    </row>
    <row r="251" spans="1:39" x14ac:dyDescent="0.25">
      <c r="A251" t="s">
        <v>255</v>
      </c>
      <c r="B251" t="s">
        <v>244</v>
      </c>
      <c r="C251" t="s">
        <v>305</v>
      </c>
      <c r="D251" t="s">
        <v>562</v>
      </c>
      <c r="E251" s="8">
        <v>5.7269959946264397E-3</v>
      </c>
      <c r="F251" s="8">
        <v>5.7876885068879952E-3</v>
      </c>
      <c r="G251" s="8">
        <v>5.8483810191495506E-3</v>
      </c>
      <c r="H251" s="8">
        <v>5.9090735314111069E-3</v>
      </c>
      <c r="I251" s="8">
        <v>5.9697660436726632E-3</v>
      </c>
      <c r="J251" s="8">
        <v>6.0304585559342186E-3</v>
      </c>
      <c r="K251" s="8">
        <v>6.0911510681957749E-3</v>
      </c>
      <c r="L251" s="8">
        <v>6.1518435804573304E-3</v>
      </c>
      <c r="M251" s="8">
        <v>6.1930525156884096E-3</v>
      </c>
      <c r="N251" s="8">
        <v>6.2342614509194906E-3</v>
      </c>
      <c r="O251" s="8">
        <v>6.2754703861505699E-3</v>
      </c>
      <c r="P251" s="8">
        <v>6.31667932138165E-3</v>
      </c>
      <c r="Q251" s="8">
        <v>6.3578882566127301E-3</v>
      </c>
      <c r="R251" s="8">
        <v>6.3949816297307746E-3</v>
      </c>
      <c r="S251" s="8">
        <v>6.4320750028488199E-3</v>
      </c>
      <c r="T251" s="8">
        <v>6.463111540873122E-3</v>
      </c>
      <c r="U251" s="8">
        <v>6.4941480788974241E-3</v>
      </c>
      <c r="V251" s="8">
        <v>6.5251846169217262E-3</v>
      </c>
      <c r="W251" s="8">
        <v>6.5562211549460283E-3</v>
      </c>
      <c r="X251" s="8">
        <v>6.5872576929703304E-3</v>
      </c>
      <c r="Y251" s="8">
        <v>6.6162210103355304E-3</v>
      </c>
      <c r="Z251" s="8">
        <v>6.6451843277007304E-3</v>
      </c>
      <c r="AA251" s="8">
        <v>6.6741476450659304E-3</v>
      </c>
      <c r="AB251" s="8">
        <v>6.7031109624311304E-3</v>
      </c>
      <c r="AC251" s="8">
        <v>6.7320742797963304E-3</v>
      </c>
      <c r="AD251" s="8">
        <v>6.7599974849184208E-3</v>
      </c>
      <c r="AE251" s="8">
        <v>6.7879206900405102E-3</v>
      </c>
      <c r="AF251" s="8">
        <v>6.8158438951626014E-3</v>
      </c>
      <c r="AG251" s="8">
        <v>6.84376710028469E-3</v>
      </c>
      <c r="AH251" s="8">
        <v>6.8716903054067803E-3</v>
      </c>
      <c r="AI251" s="8">
        <v>6.8972181126451442E-3</v>
      </c>
      <c r="AJ251" s="8">
        <v>6.922745919883508E-3</v>
      </c>
      <c r="AK251" s="8">
        <v>6.9482737271218727E-3</v>
      </c>
      <c r="AL251" s="8">
        <v>6.9738015343602366E-3</v>
      </c>
      <c r="AM251" s="8">
        <v>6.9993293415986004E-3</v>
      </c>
    </row>
    <row r="252" spans="1:39" x14ac:dyDescent="0.25">
      <c r="A252" t="s">
        <v>255</v>
      </c>
      <c r="B252" t="s">
        <v>244</v>
      </c>
      <c r="C252" t="s">
        <v>307</v>
      </c>
      <c r="D252" t="s">
        <v>563</v>
      </c>
      <c r="E252" s="8">
        <v>3.7588323767163402E-2</v>
      </c>
      <c r="F252" s="8">
        <v>3.7801936560232889E-2</v>
      </c>
      <c r="G252" s="8">
        <v>3.8015549353302369E-2</v>
      </c>
      <c r="H252" s="8">
        <v>3.8229162146371863E-2</v>
      </c>
      <c r="I252" s="8">
        <v>3.8442774939441343E-2</v>
      </c>
      <c r="J252" s="8">
        <v>3.865638773251083E-2</v>
      </c>
      <c r="K252" s="8">
        <v>3.887000052558031E-2</v>
      </c>
      <c r="L252" s="8">
        <v>3.9083613318649797E-2</v>
      </c>
      <c r="M252" s="8">
        <v>3.9448630562420102E-2</v>
      </c>
      <c r="N252" s="8">
        <v>3.98136478061904E-2</v>
      </c>
      <c r="O252" s="8">
        <v>4.0178665049960698E-2</v>
      </c>
      <c r="P252" s="8">
        <v>4.0543682293731002E-2</v>
      </c>
      <c r="Q252" s="8">
        <v>4.09086995375013E-2</v>
      </c>
      <c r="R252" s="8">
        <v>4.1307445527431999E-2</v>
      </c>
      <c r="S252" s="8">
        <v>4.1706191517362698E-2</v>
      </c>
      <c r="T252" s="8">
        <v>4.2009891078573683E-2</v>
      </c>
      <c r="U252" s="8">
        <v>4.2313590639784661E-2</v>
      </c>
      <c r="V252" s="8">
        <v>4.2617290200995639E-2</v>
      </c>
      <c r="W252" s="8">
        <v>4.2920989762206617E-2</v>
      </c>
      <c r="X252" s="8">
        <v>4.3224689323417602E-2</v>
      </c>
      <c r="Y252" s="8">
        <v>4.33823107059901E-2</v>
      </c>
      <c r="Z252" s="8">
        <v>4.3539932088562598E-2</v>
      </c>
      <c r="AA252" s="8">
        <v>4.3697553471135103E-2</v>
      </c>
      <c r="AB252" s="8">
        <v>4.3855174853707601E-2</v>
      </c>
      <c r="AC252" s="8">
        <v>4.40127962362801E-2</v>
      </c>
      <c r="AD252" s="8">
        <v>4.41919521313964E-2</v>
      </c>
      <c r="AE252" s="8">
        <v>4.4371108026512701E-2</v>
      </c>
      <c r="AF252" s="8">
        <v>4.4550263921629002E-2</v>
      </c>
      <c r="AG252" s="8">
        <v>4.4729419816745303E-2</v>
      </c>
      <c r="AH252" s="8">
        <v>4.4908575711861597E-2</v>
      </c>
      <c r="AI252" s="8">
        <v>4.5094914645260199E-2</v>
      </c>
      <c r="AJ252" s="8">
        <v>4.5281253578658802E-2</v>
      </c>
      <c r="AK252" s="8">
        <v>4.5467592512057398E-2</v>
      </c>
      <c r="AL252" s="8">
        <v>4.5653931445456E-2</v>
      </c>
      <c r="AM252" s="8">
        <v>4.5840270378854603E-2</v>
      </c>
    </row>
    <row r="253" spans="1:39" x14ac:dyDescent="0.25">
      <c r="A253" t="s">
        <v>255</v>
      </c>
      <c r="B253" t="s">
        <v>244</v>
      </c>
      <c r="C253" t="s">
        <v>309</v>
      </c>
      <c r="D253" t="s">
        <v>564</v>
      </c>
      <c r="E253" s="8">
        <v>1.71866703099624E-3</v>
      </c>
      <c r="F253" s="8">
        <v>1.7346741356508771E-3</v>
      </c>
      <c r="G253" s="8">
        <v>1.750681240305514E-3</v>
      </c>
      <c r="H253" s="8">
        <v>1.7666883449601509E-3</v>
      </c>
      <c r="I253" s="8">
        <v>1.7826954496147889E-3</v>
      </c>
      <c r="J253" s="8">
        <v>1.798702554269426E-3</v>
      </c>
      <c r="K253" s="8">
        <v>1.814709658924063E-3</v>
      </c>
      <c r="L253" s="8">
        <v>1.8307167635787001E-3</v>
      </c>
      <c r="M253" s="8">
        <v>1.848458287468036E-3</v>
      </c>
      <c r="N253" s="8">
        <v>1.8661998113573719E-3</v>
      </c>
      <c r="O253" s="8">
        <v>1.8839413352467081E-3</v>
      </c>
      <c r="P253" s="8">
        <v>1.901682859136044E-3</v>
      </c>
      <c r="Q253" s="8">
        <v>1.9194243830253799E-3</v>
      </c>
      <c r="R253" s="8">
        <v>1.937771917887755E-3</v>
      </c>
      <c r="S253" s="8">
        <v>1.95611945275013E-3</v>
      </c>
      <c r="T253" s="8">
        <v>1.9733541005768642E-3</v>
      </c>
      <c r="U253" s="8">
        <v>1.9905887484035979E-3</v>
      </c>
      <c r="V253" s="8">
        <v>2.0078233962303321E-3</v>
      </c>
      <c r="W253" s="8">
        <v>2.0250580440570659E-3</v>
      </c>
      <c r="X253" s="8">
        <v>2.0422926918838001E-3</v>
      </c>
      <c r="Y253" s="8">
        <v>2.0568664038188838E-3</v>
      </c>
      <c r="Z253" s="8">
        <v>2.071440115753968E-3</v>
      </c>
      <c r="AA253" s="8">
        <v>2.0860138276890521E-3</v>
      </c>
      <c r="AB253" s="8">
        <v>2.1005875396241359E-3</v>
      </c>
      <c r="AC253" s="8">
        <v>2.11516125155922E-3</v>
      </c>
      <c r="AD253" s="8">
        <v>2.1276892195612701E-3</v>
      </c>
      <c r="AE253" s="8">
        <v>2.1402171875633202E-3</v>
      </c>
      <c r="AF253" s="8">
        <v>2.1527451555653698E-3</v>
      </c>
      <c r="AG253" s="8">
        <v>2.1652731235674199E-3</v>
      </c>
      <c r="AH253" s="8">
        <v>2.1778010915694699E-3</v>
      </c>
      <c r="AI253" s="8">
        <v>2.1895118374004462E-3</v>
      </c>
      <c r="AJ253" s="8">
        <v>2.201222583231422E-3</v>
      </c>
      <c r="AK253" s="8">
        <v>2.2129333290623978E-3</v>
      </c>
      <c r="AL253" s="8">
        <v>2.2246440748933741E-3</v>
      </c>
      <c r="AM253" s="8">
        <v>2.2363548207243499E-3</v>
      </c>
    </row>
    <row r="254" spans="1:39" x14ac:dyDescent="0.25">
      <c r="A254" t="s">
        <v>255</v>
      </c>
      <c r="B254" t="s">
        <v>244</v>
      </c>
      <c r="C254" t="s">
        <v>311</v>
      </c>
      <c r="D254" t="s">
        <v>565</v>
      </c>
      <c r="E254" s="8">
        <v>1.9648167883737201E-4</v>
      </c>
      <c r="F254" s="8">
        <v>1.9808180593959831E-4</v>
      </c>
      <c r="G254" s="8">
        <v>1.996819330418246E-4</v>
      </c>
      <c r="H254" s="8">
        <v>2.012820601440509E-4</v>
      </c>
      <c r="I254" s="8">
        <v>2.0288218724627709E-4</v>
      </c>
      <c r="J254" s="8">
        <v>2.0448231434850339E-4</v>
      </c>
      <c r="K254" s="8">
        <v>2.0608244145072969E-4</v>
      </c>
      <c r="L254" s="8">
        <v>2.0768256855295601E-4</v>
      </c>
      <c r="M254" s="8">
        <v>2.089063610154876E-4</v>
      </c>
      <c r="N254" s="8">
        <v>2.1013015347801919E-4</v>
      </c>
      <c r="O254" s="8">
        <v>2.113539459405508E-4</v>
      </c>
      <c r="P254" s="8">
        <v>2.1257773840308239E-4</v>
      </c>
      <c r="Q254" s="8">
        <v>2.1380153086561401E-4</v>
      </c>
      <c r="R254" s="8">
        <v>2.151357013828565E-4</v>
      </c>
      <c r="S254" s="8">
        <v>2.16469871900099E-4</v>
      </c>
      <c r="T254" s="8">
        <v>2.1778024611346719E-4</v>
      </c>
      <c r="U254" s="8">
        <v>2.1909062032683541E-4</v>
      </c>
      <c r="V254" s="8">
        <v>2.204009945402036E-4</v>
      </c>
      <c r="W254" s="8">
        <v>2.2171136875357179E-4</v>
      </c>
      <c r="X254" s="8">
        <v>2.2302174296694001E-4</v>
      </c>
      <c r="Y254" s="8">
        <v>2.2396994819142121E-4</v>
      </c>
      <c r="Z254" s="8">
        <v>2.2491815341590241E-4</v>
      </c>
      <c r="AA254" s="8">
        <v>2.2586635864038361E-4</v>
      </c>
      <c r="AB254" s="8">
        <v>2.2681456386486481E-4</v>
      </c>
      <c r="AC254" s="8">
        <v>2.2776276908934601E-4</v>
      </c>
      <c r="AD254" s="8">
        <v>2.2866389321491161E-4</v>
      </c>
      <c r="AE254" s="8">
        <v>2.2956501734047719E-4</v>
      </c>
      <c r="AF254" s="8">
        <v>2.3046614146604279E-4</v>
      </c>
      <c r="AG254" s="8">
        <v>2.3136726559160839E-4</v>
      </c>
      <c r="AH254" s="8">
        <v>2.32268389717174E-4</v>
      </c>
      <c r="AI254" s="8">
        <v>2.3312411072339619E-4</v>
      </c>
      <c r="AJ254" s="8">
        <v>2.3397983172961841E-4</v>
      </c>
      <c r="AK254" s="8">
        <v>2.348355527358406E-4</v>
      </c>
      <c r="AL254" s="8">
        <v>2.3569127374206279E-4</v>
      </c>
      <c r="AM254" s="8">
        <v>2.3654699474828501E-4</v>
      </c>
    </row>
    <row r="255" spans="1:39" x14ac:dyDescent="0.25">
      <c r="A255" t="s">
        <v>255</v>
      </c>
      <c r="B255" t="s">
        <v>244</v>
      </c>
      <c r="C255" t="s">
        <v>313</v>
      </c>
      <c r="D255" t="s">
        <v>566</v>
      </c>
      <c r="E255" s="8">
        <v>1.3787892679738699E-3</v>
      </c>
      <c r="F255" s="8">
        <v>1.425285889502804E-3</v>
      </c>
      <c r="G255" s="8">
        <v>1.471782511031738E-3</v>
      </c>
      <c r="H255" s="8">
        <v>1.5182791325606729E-3</v>
      </c>
      <c r="I255" s="8">
        <v>1.564775754089607E-3</v>
      </c>
      <c r="J255" s="8">
        <v>1.611272375618541E-3</v>
      </c>
      <c r="K255" s="8">
        <v>1.6577689971474759E-3</v>
      </c>
      <c r="L255" s="8">
        <v>1.70426561867641E-3</v>
      </c>
      <c r="M255" s="8">
        <v>1.755809604491436E-3</v>
      </c>
      <c r="N255" s="8">
        <v>1.807353590306462E-3</v>
      </c>
      <c r="O255" s="8">
        <v>1.858897576121488E-3</v>
      </c>
      <c r="P255" s="8">
        <v>1.9104415619365139E-3</v>
      </c>
      <c r="Q255" s="8">
        <v>1.9619855477515402E-3</v>
      </c>
      <c r="R255" s="8">
        <v>2.0106286309265601E-3</v>
      </c>
      <c r="S255" s="8">
        <v>2.0592717141015801E-3</v>
      </c>
      <c r="T255" s="8">
        <v>2.0984864589687758E-3</v>
      </c>
      <c r="U255" s="8">
        <v>2.1377012038359721E-3</v>
      </c>
      <c r="V255" s="8">
        <v>2.1769159487031679E-3</v>
      </c>
      <c r="W255" s="8">
        <v>2.2161306935703641E-3</v>
      </c>
      <c r="X255" s="8">
        <v>2.2553454384375599E-3</v>
      </c>
      <c r="Y255" s="8">
        <v>2.2808214259048818E-3</v>
      </c>
      <c r="Z255" s="8">
        <v>2.3062974133722042E-3</v>
      </c>
      <c r="AA255" s="8">
        <v>2.3317734008395262E-3</v>
      </c>
      <c r="AB255" s="8">
        <v>2.3572493883068481E-3</v>
      </c>
      <c r="AC255" s="8">
        <v>2.3827253757741701E-3</v>
      </c>
      <c r="AD255" s="8">
        <v>2.3961057389646221E-3</v>
      </c>
      <c r="AE255" s="8">
        <v>2.4094861021550741E-3</v>
      </c>
      <c r="AF255" s="8">
        <v>2.4228664653455261E-3</v>
      </c>
      <c r="AG255" s="8">
        <v>2.4362468285359781E-3</v>
      </c>
      <c r="AH255" s="8">
        <v>2.4496271917264301E-3</v>
      </c>
      <c r="AI255" s="8">
        <v>2.4597891914511262E-3</v>
      </c>
      <c r="AJ255" s="8">
        <v>2.4699511911758219E-3</v>
      </c>
      <c r="AK255" s="8">
        <v>2.480113190900518E-3</v>
      </c>
      <c r="AL255" s="8">
        <v>2.4902751906252141E-3</v>
      </c>
      <c r="AM255" s="8">
        <v>2.5004371903499102E-3</v>
      </c>
    </row>
    <row r="256" spans="1:39" x14ac:dyDescent="0.25">
      <c r="A256" t="s">
        <v>255</v>
      </c>
      <c r="B256" t="s">
        <v>244</v>
      </c>
      <c r="C256" t="s">
        <v>315</v>
      </c>
      <c r="D256" t="s">
        <v>567</v>
      </c>
      <c r="E256" s="8">
        <v>1.79201543994759</v>
      </c>
      <c r="F256" s="8">
        <v>1.7964477627059361</v>
      </c>
      <c r="G256" s="8">
        <v>1.800880085464281</v>
      </c>
      <c r="H256" s="8">
        <v>1.8053124082226271</v>
      </c>
      <c r="I256" s="8">
        <v>1.8097447309809731</v>
      </c>
      <c r="J256" s="8">
        <v>1.814177053739318</v>
      </c>
      <c r="K256" s="8">
        <v>1.8186093764976641</v>
      </c>
      <c r="L256" s="8">
        <v>1.8230416992560099</v>
      </c>
      <c r="M256" s="8">
        <v>1.82761327107218</v>
      </c>
      <c r="N256" s="8">
        <v>1.83218484288835</v>
      </c>
      <c r="O256" s="8">
        <v>1.8367564147045199</v>
      </c>
      <c r="P256" s="8">
        <v>1.84132798652069</v>
      </c>
      <c r="Q256" s="8">
        <v>1.84589955833686</v>
      </c>
      <c r="R256" s="8">
        <v>1.8526247760911201</v>
      </c>
      <c r="S256" s="8">
        <v>1.8593499938453799</v>
      </c>
      <c r="T256" s="8">
        <v>1.870818524341388</v>
      </c>
      <c r="U256" s="8">
        <v>1.882287054837396</v>
      </c>
      <c r="V256" s="8">
        <v>1.893755585333404</v>
      </c>
      <c r="W256" s="8">
        <v>1.9052241158294121</v>
      </c>
      <c r="X256" s="8">
        <v>1.9166926463254199</v>
      </c>
      <c r="Y256" s="8">
        <v>1.932417380923708</v>
      </c>
      <c r="Z256" s="8">
        <v>1.948142115521996</v>
      </c>
      <c r="AA256" s="8">
        <v>1.9638668501202841</v>
      </c>
      <c r="AB256" s="8">
        <v>1.9795915847185721</v>
      </c>
      <c r="AC256" s="8">
        <v>1.9953163193168599</v>
      </c>
      <c r="AD256" s="8">
        <v>2.011364680935178</v>
      </c>
      <c r="AE256" s="8">
        <v>2.027413042553496</v>
      </c>
      <c r="AF256" s="8">
        <v>2.043461404171814</v>
      </c>
      <c r="AG256" s="8">
        <v>2.059509765790132</v>
      </c>
      <c r="AH256" s="8">
        <v>2.07555812740845</v>
      </c>
      <c r="AI256" s="8">
        <v>2.0896693251165721</v>
      </c>
      <c r="AJ256" s="8">
        <v>2.1037805228246942</v>
      </c>
      <c r="AK256" s="8">
        <v>2.1178917205328158</v>
      </c>
      <c r="AL256" s="8">
        <v>2.1320029182409379</v>
      </c>
      <c r="AM256" s="8">
        <v>2.14611411594906</v>
      </c>
    </row>
    <row r="257" spans="1:39" x14ac:dyDescent="0.25">
      <c r="A257" t="s">
        <v>255</v>
      </c>
      <c r="B257" t="s">
        <v>244</v>
      </c>
      <c r="C257" t="s">
        <v>317</v>
      </c>
      <c r="D257" t="s">
        <v>568</v>
      </c>
      <c r="E257" s="8">
        <v>0.30060487789448598</v>
      </c>
      <c r="F257" s="8">
        <v>0.30168757602874757</v>
      </c>
      <c r="G257" s="8">
        <v>0.30277027416300911</v>
      </c>
      <c r="H257" s="8">
        <v>0.30385297229727071</v>
      </c>
      <c r="I257" s="8">
        <v>0.30493567043153219</v>
      </c>
      <c r="J257" s="8">
        <v>0.30601836856579379</v>
      </c>
      <c r="K257" s="8">
        <v>0.30710106670005538</v>
      </c>
      <c r="L257" s="8">
        <v>0.30818376483431698</v>
      </c>
      <c r="M257" s="8">
        <v>0.30917804650189901</v>
      </c>
      <c r="N257" s="8">
        <v>0.31017232816948098</v>
      </c>
      <c r="O257" s="8">
        <v>0.31116660983706301</v>
      </c>
      <c r="P257" s="8">
        <v>0.31216089150464499</v>
      </c>
      <c r="Q257" s="8">
        <v>0.31315517317222702</v>
      </c>
      <c r="R257" s="8">
        <v>0.3144529794413185</v>
      </c>
      <c r="S257" s="8">
        <v>0.31575078571040999</v>
      </c>
      <c r="T257" s="8">
        <v>0.31764781277235421</v>
      </c>
      <c r="U257" s="8">
        <v>0.31954483983429838</v>
      </c>
      <c r="V257" s="8">
        <v>0.3214418668962426</v>
      </c>
      <c r="W257" s="8">
        <v>0.32333889395818682</v>
      </c>
      <c r="X257" s="8">
        <v>0.32523592102013099</v>
      </c>
      <c r="Y257" s="8">
        <v>0.32762020475793679</v>
      </c>
      <c r="Z257" s="8">
        <v>0.3300044884957426</v>
      </c>
      <c r="AA257" s="8">
        <v>0.3323887722335484</v>
      </c>
      <c r="AB257" s="8">
        <v>0.33477305597135421</v>
      </c>
      <c r="AC257" s="8">
        <v>0.33715733970916001</v>
      </c>
      <c r="AD257" s="8">
        <v>0.3398252549491862</v>
      </c>
      <c r="AE257" s="8">
        <v>0.34249317018921238</v>
      </c>
      <c r="AF257" s="8">
        <v>0.34516108542923862</v>
      </c>
      <c r="AG257" s="8">
        <v>0.34782900066926481</v>
      </c>
      <c r="AH257" s="8">
        <v>0.350496915909291</v>
      </c>
      <c r="AI257" s="8">
        <v>0.35289316506045137</v>
      </c>
      <c r="AJ257" s="8">
        <v>0.35528941421161181</v>
      </c>
      <c r="AK257" s="8">
        <v>0.35768566336277219</v>
      </c>
      <c r="AL257" s="8">
        <v>0.36008191251393262</v>
      </c>
      <c r="AM257" s="8">
        <v>0.362478161665093</v>
      </c>
    </row>
    <row r="258" spans="1:39" x14ac:dyDescent="0.25">
      <c r="A258" t="s">
        <v>255</v>
      </c>
      <c r="B258" t="s">
        <v>244</v>
      </c>
      <c r="C258" t="s">
        <v>319</v>
      </c>
      <c r="D258" t="s">
        <v>569</v>
      </c>
      <c r="E258" s="8">
        <v>1.49854812976952E-4</v>
      </c>
      <c r="F258" s="8">
        <v>1.5269960731588341E-4</v>
      </c>
      <c r="G258" s="8">
        <v>1.555444016548148E-4</v>
      </c>
      <c r="H258" s="8">
        <v>1.5838919599374629E-4</v>
      </c>
      <c r="I258" s="8">
        <v>1.612339903326777E-4</v>
      </c>
      <c r="J258" s="8">
        <v>1.6407878467160911E-4</v>
      </c>
      <c r="K258" s="8">
        <v>1.669235790105406E-4</v>
      </c>
      <c r="L258" s="8">
        <v>1.6976837334947199E-4</v>
      </c>
      <c r="M258" s="8">
        <v>1.7320217859466441E-4</v>
      </c>
      <c r="N258" s="8">
        <v>1.766359838398568E-4</v>
      </c>
      <c r="O258" s="8">
        <v>1.8006978908504919E-4</v>
      </c>
      <c r="P258" s="8">
        <v>1.835035943302416E-4</v>
      </c>
      <c r="Q258" s="8">
        <v>1.86937399575434E-4</v>
      </c>
      <c r="R258" s="8">
        <v>1.905751114719705E-4</v>
      </c>
      <c r="S258" s="8">
        <v>1.94212823368507E-4</v>
      </c>
      <c r="T258" s="8">
        <v>1.9811271074324441E-4</v>
      </c>
      <c r="U258" s="8">
        <v>2.020125981179818E-4</v>
      </c>
      <c r="V258" s="8">
        <v>2.059124854927192E-4</v>
      </c>
      <c r="W258" s="8">
        <v>2.0981237286745661E-4</v>
      </c>
      <c r="X258" s="8">
        <v>2.1371226024219399E-4</v>
      </c>
      <c r="Y258" s="8">
        <v>2.1701559255348781E-4</v>
      </c>
      <c r="Z258" s="8">
        <v>2.203189248647816E-4</v>
      </c>
      <c r="AA258" s="8">
        <v>2.2362225717607539E-4</v>
      </c>
      <c r="AB258" s="8">
        <v>2.2692558948736921E-4</v>
      </c>
      <c r="AC258" s="8">
        <v>2.30228921798663E-4</v>
      </c>
      <c r="AD258" s="8">
        <v>2.3192756366634419E-4</v>
      </c>
      <c r="AE258" s="8">
        <v>2.3362620553402539E-4</v>
      </c>
      <c r="AF258" s="8">
        <v>2.3532484740170661E-4</v>
      </c>
      <c r="AG258" s="8">
        <v>2.3702348926938781E-4</v>
      </c>
      <c r="AH258" s="8">
        <v>2.38722131137069E-4</v>
      </c>
      <c r="AI258" s="8">
        <v>2.3958536457878001E-4</v>
      </c>
      <c r="AJ258" s="8">
        <v>2.40448598020491E-4</v>
      </c>
      <c r="AK258" s="8">
        <v>2.4131183146220201E-4</v>
      </c>
      <c r="AL258" s="8">
        <v>2.4217506490391299E-4</v>
      </c>
      <c r="AM258" s="8">
        <v>2.43038298345624E-4</v>
      </c>
    </row>
    <row r="259" spans="1:39" x14ac:dyDescent="0.25">
      <c r="A259" t="s">
        <v>255</v>
      </c>
      <c r="B259" t="s">
        <v>244</v>
      </c>
      <c r="C259" t="s">
        <v>321</v>
      </c>
      <c r="D259" t="s">
        <v>570</v>
      </c>
      <c r="E259" s="8">
        <v>2.7107116849620501E-4</v>
      </c>
      <c r="F259" s="8">
        <v>2.8012406306561271E-4</v>
      </c>
      <c r="G259" s="8">
        <v>2.8917695763502042E-4</v>
      </c>
      <c r="H259" s="8">
        <v>2.9822985220442813E-4</v>
      </c>
      <c r="I259" s="8">
        <v>3.0728274677383589E-4</v>
      </c>
      <c r="J259" s="8">
        <v>3.1633564134324359E-4</v>
      </c>
      <c r="K259" s="8">
        <v>3.253885359126513E-4</v>
      </c>
      <c r="L259" s="8">
        <v>3.3444143048205901E-4</v>
      </c>
      <c r="M259" s="8">
        <v>3.4486931162999523E-4</v>
      </c>
      <c r="N259" s="8">
        <v>3.5529719277793139E-4</v>
      </c>
      <c r="O259" s="8">
        <v>3.6572507392586761E-4</v>
      </c>
      <c r="P259" s="8">
        <v>3.7615295507380377E-4</v>
      </c>
      <c r="Q259" s="8">
        <v>3.8658083622173999E-4</v>
      </c>
      <c r="R259" s="8">
        <v>3.9657450760325599E-4</v>
      </c>
      <c r="S259" s="8">
        <v>4.0656817898477199E-4</v>
      </c>
      <c r="T259" s="8">
        <v>4.1514309897379398E-4</v>
      </c>
      <c r="U259" s="8">
        <v>4.2371801896281598E-4</v>
      </c>
      <c r="V259" s="8">
        <v>4.3229293895183802E-4</v>
      </c>
      <c r="W259" s="8">
        <v>4.4086785894086001E-4</v>
      </c>
      <c r="X259" s="8">
        <v>4.49442778929882E-4</v>
      </c>
      <c r="Y259" s="8">
        <v>4.5520387499738498E-4</v>
      </c>
      <c r="Z259" s="8">
        <v>4.6096497106488802E-4</v>
      </c>
      <c r="AA259" s="8">
        <v>4.66726067132391E-4</v>
      </c>
      <c r="AB259" s="8">
        <v>4.7248716319989398E-4</v>
      </c>
      <c r="AC259" s="8">
        <v>4.7824825926739701E-4</v>
      </c>
      <c r="AD259" s="8">
        <v>4.8129450351936499E-4</v>
      </c>
      <c r="AE259" s="8">
        <v>4.8434074777133301E-4</v>
      </c>
      <c r="AF259" s="8">
        <v>4.8738699202330099E-4</v>
      </c>
      <c r="AG259" s="8">
        <v>4.9043323627526907E-4</v>
      </c>
      <c r="AH259" s="8">
        <v>4.9347948052723704E-4</v>
      </c>
      <c r="AI259" s="8">
        <v>4.9553954931459341E-4</v>
      </c>
      <c r="AJ259" s="8">
        <v>4.9759961810194977E-4</v>
      </c>
      <c r="AK259" s="8">
        <v>4.9965968688930624E-4</v>
      </c>
      <c r="AL259" s="8">
        <v>5.017197556766626E-4</v>
      </c>
      <c r="AM259" s="8">
        <v>5.0377982446401896E-4</v>
      </c>
    </row>
    <row r="260" spans="1:39" x14ac:dyDescent="0.25">
      <c r="A260" t="s">
        <v>255</v>
      </c>
      <c r="B260" t="s">
        <v>244</v>
      </c>
      <c r="C260" t="s">
        <v>323</v>
      </c>
      <c r="D260" t="s">
        <v>571</v>
      </c>
      <c r="E260" s="8">
        <v>9.8709803183980407E-4</v>
      </c>
      <c r="F260" s="8">
        <v>1.0173951031194361E-3</v>
      </c>
      <c r="G260" s="8">
        <v>1.047692174399069E-3</v>
      </c>
      <c r="H260" s="8">
        <v>1.077989245678701E-3</v>
      </c>
      <c r="I260" s="8">
        <v>1.1082863169583331E-3</v>
      </c>
      <c r="J260" s="8">
        <v>1.138583388237966E-3</v>
      </c>
      <c r="K260" s="8">
        <v>1.168880459517598E-3</v>
      </c>
      <c r="L260" s="8">
        <v>1.19917753079723E-3</v>
      </c>
      <c r="M260" s="8">
        <v>1.2399773093217099E-3</v>
      </c>
      <c r="N260" s="8">
        <v>1.28077708784619E-3</v>
      </c>
      <c r="O260" s="8">
        <v>1.32157686637067E-3</v>
      </c>
      <c r="P260" s="8">
        <v>1.3623766448951501E-3</v>
      </c>
      <c r="Q260" s="8">
        <v>1.40317642341963E-3</v>
      </c>
      <c r="R260" s="8">
        <v>1.44649379408016E-3</v>
      </c>
      <c r="S260" s="8">
        <v>1.48981116474069E-3</v>
      </c>
      <c r="T260" s="8">
        <v>1.533164293130274E-3</v>
      </c>
      <c r="U260" s="8">
        <v>1.576517421519858E-3</v>
      </c>
      <c r="V260" s="8">
        <v>1.619870549909442E-3</v>
      </c>
      <c r="W260" s="8">
        <v>1.663223678299026E-3</v>
      </c>
      <c r="X260" s="8">
        <v>1.70657680668861E-3</v>
      </c>
      <c r="Y260" s="8">
        <v>1.7379426366453861E-3</v>
      </c>
      <c r="Z260" s="8">
        <v>1.7693084666021621E-3</v>
      </c>
      <c r="AA260" s="8">
        <v>1.8006742965589379E-3</v>
      </c>
      <c r="AB260" s="8">
        <v>1.832040126515714E-3</v>
      </c>
      <c r="AC260" s="8">
        <v>1.86340595647249E-3</v>
      </c>
      <c r="AD260" s="8">
        <v>1.878622141553686E-3</v>
      </c>
      <c r="AE260" s="8">
        <v>1.893838326634882E-3</v>
      </c>
      <c r="AF260" s="8">
        <v>1.909054511716078E-3</v>
      </c>
      <c r="AG260" s="8">
        <v>1.924270696797274E-3</v>
      </c>
      <c r="AH260" s="8">
        <v>1.93948688187847E-3</v>
      </c>
      <c r="AI260" s="8">
        <v>1.94431359861502E-3</v>
      </c>
      <c r="AJ260" s="8">
        <v>1.94914031535157E-3</v>
      </c>
      <c r="AK260" s="8">
        <v>1.95396703208812E-3</v>
      </c>
      <c r="AL260" s="8">
        <v>1.9587937488246701E-3</v>
      </c>
      <c r="AM260" s="8">
        <v>1.9636204655612199E-3</v>
      </c>
    </row>
    <row r="261" spans="1:39" x14ac:dyDescent="0.25">
      <c r="A261" t="s">
        <v>255</v>
      </c>
      <c r="B261" t="s">
        <v>244</v>
      </c>
      <c r="C261" t="s">
        <v>325</v>
      </c>
      <c r="D261" t="s">
        <v>572</v>
      </c>
      <c r="E261" s="8">
        <v>1.2711263204666899E-4</v>
      </c>
      <c r="F261" s="8">
        <v>1.31355347989067E-4</v>
      </c>
      <c r="G261" s="8">
        <v>1.3559806393146501E-4</v>
      </c>
      <c r="H261" s="8">
        <v>1.3984077987386299E-4</v>
      </c>
      <c r="I261" s="8">
        <v>1.44083495816261E-4</v>
      </c>
      <c r="J261" s="8">
        <v>1.48326211758659E-4</v>
      </c>
      <c r="K261" s="8">
        <v>1.5256892770105701E-4</v>
      </c>
      <c r="L261" s="8">
        <v>1.5681164364345499E-4</v>
      </c>
      <c r="M261" s="8">
        <v>1.6106622475824819E-4</v>
      </c>
      <c r="N261" s="8">
        <v>1.6532080587304139E-4</v>
      </c>
      <c r="O261" s="8">
        <v>1.6957538698783459E-4</v>
      </c>
      <c r="P261" s="8">
        <v>1.7382996810262781E-4</v>
      </c>
      <c r="Q261" s="8">
        <v>1.7808454921742101E-4</v>
      </c>
      <c r="R261" s="8">
        <v>1.816469363693745E-4</v>
      </c>
      <c r="S261" s="8">
        <v>1.8520932352132801E-4</v>
      </c>
      <c r="T261" s="8">
        <v>1.875560120555282E-4</v>
      </c>
      <c r="U261" s="8">
        <v>1.8990270058972839E-4</v>
      </c>
      <c r="V261" s="8">
        <v>1.922493891239286E-4</v>
      </c>
      <c r="W261" s="8">
        <v>1.9459607765812879E-4</v>
      </c>
      <c r="X261" s="8">
        <v>1.9694276619232901E-4</v>
      </c>
      <c r="Y261" s="8">
        <v>1.9811740871188859E-4</v>
      </c>
      <c r="Z261" s="8">
        <v>1.992920512314482E-4</v>
      </c>
      <c r="AA261" s="8">
        <v>2.0046669375100779E-4</v>
      </c>
      <c r="AB261" s="8">
        <v>2.016413362705674E-4</v>
      </c>
      <c r="AC261" s="8">
        <v>2.0281597879012701E-4</v>
      </c>
      <c r="AD261" s="8">
        <v>2.0348635813489461E-4</v>
      </c>
      <c r="AE261" s="8">
        <v>2.0415673747966221E-4</v>
      </c>
      <c r="AF261" s="8">
        <v>2.0482711682442981E-4</v>
      </c>
      <c r="AG261" s="8">
        <v>2.054974961691974E-4</v>
      </c>
      <c r="AH261" s="8">
        <v>2.06167875513965E-4</v>
      </c>
      <c r="AI261" s="8">
        <v>2.071288386547384E-4</v>
      </c>
      <c r="AJ261" s="8">
        <v>2.080898017955118E-4</v>
      </c>
      <c r="AK261" s="8">
        <v>2.090507649362852E-4</v>
      </c>
      <c r="AL261" s="8">
        <v>2.100117280770586E-4</v>
      </c>
      <c r="AM261" s="8">
        <v>2.1097269121783199E-4</v>
      </c>
    </row>
    <row r="262" spans="1:39" x14ac:dyDescent="0.25">
      <c r="A262" t="s">
        <v>255</v>
      </c>
      <c r="B262" t="s">
        <v>244</v>
      </c>
      <c r="C262" t="s">
        <v>327</v>
      </c>
      <c r="D262" t="s">
        <v>573</v>
      </c>
      <c r="E262" s="8">
        <v>1.16944652069882E-4</v>
      </c>
      <c r="F262" s="8">
        <v>1.209994148597177E-4</v>
      </c>
      <c r="G262" s="8">
        <v>1.2505417764955339E-4</v>
      </c>
      <c r="H262" s="8">
        <v>1.2910894043938911E-4</v>
      </c>
      <c r="I262" s="8">
        <v>1.3316370322922491E-4</v>
      </c>
      <c r="J262" s="8">
        <v>1.3721846601906059E-4</v>
      </c>
      <c r="K262" s="8">
        <v>1.4127322880889631E-4</v>
      </c>
      <c r="L262" s="8">
        <v>1.45327991598732E-4</v>
      </c>
      <c r="M262" s="8">
        <v>1.4931426477907901E-4</v>
      </c>
      <c r="N262" s="8">
        <v>1.5330053795942599E-4</v>
      </c>
      <c r="O262" s="8">
        <v>1.57286811139773E-4</v>
      </c>
      <c r="P262" s="8">
        <v>1.6127308432012E-4</v>
      </c>
      <c r="Q262" s="8">
        <v>1.6525935750046701E-4</v>
      </c>
      <c r="R262" s="8">
        <v>1.6855797836412551E-4</v>
      </c>
      <c r="S262" s="8">
        <v>1.71856599227784E-4</v>
      </c>
      <c r="T262" s="8">
        <v>1.7390120936239419E-4</v>
      </c>
      <c r="U262" s="8">
        <v>1.7594581949700441E-4</v>
      </c>
      <c r="V262" s="8">
        <v>1.7799042963161459E-4</v>
      </c>
      <c r="W262" s="8">
        <v>1.8003503976622481E-4</v>
      </c>
      <c r="X262" s="8">
        <v>1.82079649900835E-4</v>
      </c>
      <c r="Y262" s="8">
        <v>1.830662438622888E-4</v>
      </c>
      <c r="Z262" s="8">
        <v>1.840528378237426E-4</v>
      </c>
      <c r="AA262" s="8">
        <v>1.850394317851964E-4</v>
      </c>
      <c r="AB262" s="8">
        <v>1.860260257466502E-4</v>
      </c>
      <c r="AC262" s="8">
        <v>1.87012619708104E-4</v>
      </c>
      <c r="AD262" s="8">
        <v>1.8754024126269299E-4</v>
      </c>
      <c r="AE262" s="8">
        <v>1.8806786281728199E-4</v>
      </c>
      <c r="AF262" s="8">
        <v>1.8859548437187099E-4</v>
      </c>
      <c r="AG262" s="8">
        <v>1.8912310592646001E-4</v>
      </c>
      <c r="AH262" s="8">
        <v>1.8965072748104901E-4</v>
      </c>
      <c r="AI262" s="8">
        <v>1.9056242566924941E-4</v>
      </c>
      <c r="AJ262" s="8">
        <v>1.9147412385744981E-4</v>
      </c>
      <c r="AK262" s="8">
        <v>1.9238582204565019E-4</v>
      </c>
      <c r="AL262" s="8">
        <v>1.9329752023385059E-4</v>
      </c>
      <c r="AM262" s="8">
        <v>1.9420921842205099E-4</v>
      </c>
    </row>
    <row r="263" spans="1:39" x14ac:dyDescent="0.25">
      <c r="A263" t="s">
        <v>255</v>
      </c>
      <c r="B263" t="s">
        <v>244</v>
      </c>
      <c r="C263" t="s">
        <v>329</v>
      </c>
      <c r="D263" t="s">
        <v>574</v>
      </c>
      <c r="E263" s="8">
        <v>3.0954555467282998E-5</v>
      </c>
      <c r="F263" s="8">
        <v>3.1480635307157681E-5</v>
      </c>
      <c r="G263" s="8">
        <v>3.2006715147032371E-5</v>
      </c>
      <c r="H263" s="8">
        <v>3.2532794986907047E-5</v>
      </c>
      <c r="I263" s="8">
        <v>3.3058874826781743E-5</v>
      </c>
      <c r="J263" s="8">
        <v>3.3584954666656433E-5</v>
      </c>
      <c r="K263" s="8">
        <v>3.4111034506531122E-5</v>
      </c>
      <c r="L263" s="8">
        <v>3.4637114346405798E-5</v>
      </c>
      <c r="M263" s="8">
        <v>3.5165316585465423E-5</v>
      </c>
      <c r="N263" s="8">
        <v>3.5693518824525041E-5</v>
      </c>
      <c r="O263" s="8">
        <v>3.6221721063584659E-5</v>
      </c>
      <c r="P263" s="8">
        <v>3.6749923302644277E-5</v>
      </c>
      <c r="Q263" s="8">
        <v>3.7278125541703902E-5</v>
      </c>
      <c r="R263" s="8">
        <v>3.777637247839955E-5</v>
      </c>
      <c r="S263" s="8">
        <v>3.8274619415095197E-5</v>
      </c>
      <c r="T263" s="8">
        <v>3.8668761820373803E-5</v>
      </c>
      <c r="U263" s="8">
        <v>3.9062904225652402E-5</v>
      </c>
      <c r="V263" s="8">
        <v>3.9457046630931001E-5</v>
      </c>
      <c r="W263" s="8">
        <v>3.98511890362096E-5</v>
      </c>
      <c r="X263" s="8">
        <v>4.0245331441488199E-5</v>
      </c>
      <c r="Y263" s="8">
        <v>4.0519962689674698E-5</v>
      </c>
      <c r="Z263" s="8">
        <v>4.0794593937861203E-5</v>
      </c>
      <c r="AA263" s="8">
        <v>4.1069225186047702E-5</v>
      </c>
      <c r="AB263" s="8">
        <v>4.13438564342342E-5</v>
      </c>
      <c r="AC263" s="8">
        <v>4.1618487682420699E-5</v>
      </c>
      <c r="AD263" s="8">
        <v>4.18376222295981E-5</v>
      </c>
      <c r="AE263" s="8">
        <v>4.2056756776775501E-5</v>
      </c>
      <c r="AF263" s="8">
        <v>4.2275891323952902E-5</v>
      </c>
      <c r="AG263" s="8">
        <v>4.2495025871130303E-5</v>
      </c>
      <c r="AH263" s="8">
        <v>4.2714160418307698E-5</v>
      </c>
      <c r="AI263" s="8">
        <v>4.2954089609020259E-5</v>
      </c>
      <c r="AJ263" s="8">
        <v>4.3194018799732821E-5</v>
      </c>
      <c r="AK263" s="8">
        <v>4.3433947990445383E-5</v>
      </c>
      <c r="AL263" s="8">
        <v>4.3673877181157937E-5</v>
      </c>
      <c r="AM263" s="8">
        <v>4.3913806371870499E-5</v>
      </c>
    </row>
    <row r="264" spans="1:39" x14ac:dyDescent="0.25">
      <c r="A264" t="s">
        <v>255</v>
      </c>
      <c r="B264" t="s">
        <v>244</v>
      </c>
      <c r="C264" t="s">
        <v>331</v>
      </c>
      <c r="D264" t="s">
        <v>575</v>
      </c>
      <c r="E264" s="8">
        <v>6.5959204086029504E-4</v>
      </c>
      <c r="F264" s="8">
        <v>6.7182975973987971E-4</v>
      </c>
      <c r="G264" s="8">
        <v>6.8406747861946449E-4</v>
      </c>
      <c r="H264" s="8">
        <v>6.9630519749904916E-4</v>
      </c>
      <c r="I264" s="8">
        <v>7.0854291637863383E-4</v>
      </c>
      <c r="J264" s="8">
        <v>7.207806352582185E-4</v>
      </c>
      <c r="K264" s="8">
        <v>7.3301835413780328E-4</v>
      </c>
      <c r="L264" s="8">
        <v>7.4525607301738795E-4</v>
      </c>
      <c r="M264" s="8">
        <v>7.593147612406098E-4</v>
      </c>
      <c r="N264" s="8">
        <v>7.7337344946383155E-4</v>
      </c>
      <c r="O264" s="8">
        <v>7.874321376870534E-4</v>
      </c>
      <c r="P264" s="8">
        <v>8.0149082591027515E-4</v>
      </c>
      <c r="Q264" s="8">
        <v>8.15549514133497E-4</v>
      </c>
      <c r="R264" s="8">
        <v>8.2931822585687802E-4</v>
      </c>
      <c r="S264" s="8">
        <v>8.4308693758025903E-4</v>
      </c>
      <c r="T264" s="8">
        <v>8.5646180076837325E-4</v>
      </c>
      <c r="U264" s="8">
        <v>8.6983666395648747E-4</v>
      </c>
      <c r="V264" s="8">
        <v>8.8321152714460158E-4</v>
      </c>
      <c r="W264" s="8">
        <v>8.965863903327158E-4</v>
      </c>
      <c r="X264" s="8">
        <v>9.0996125352083002E-4</v>
      </c>
      <c r="Y264" s="8">
        <v>9.2076758106711116E-4</v>
      </c>
      <c r="Z264" s="8">
        <v>9.3157390861339242E-4</v>
      </c>
      <c r="AA264" s="8">
        <v>9.4238023615967356E-4</v>
      </c>
      <c r="AB264" s="8">
        <v>9.5318656370595482E-4</v>
      </c>
      <c r="AC264" s="8">
        <v>9.6399289125223596E-4</v>
      </c>
      <c r="AD264" s="8">
        <v>9.7154916269321073E-4</v>
      </c>
      <c r="AE264" s="8">
        <v>9.7910543413418549E-4</v>
      </c>
      <c r="AF264" s="8">
        <v>9.8666170557516037E-4</v>
      </c>
      <c r="AG264" s="8">
        <v>9.9421797701613503E-4</v>
      </c>
      <c r="AH264" s="8">
        <v>1.0017742484571099E-3</v>
      </c>
      <c r="AI264" s="8">
        <v>1.0074933889956321E-3</v>
      </c>
      <c r="AJ264" s="8">
        <v>1.013212529534154E-3</v>
      </c>
      <c r="AK264" s="8">
        <v>1.018931670072676E-3</v>
      </c>
      <c r="AL264" s="8">
        <v>1.024650810611198E-3</v>
      </c>
      <c r="AM264" s="8">
        <v>1.0303699511497199E-3</v>
      </c>
    </row>
    <row r="265" spans="1:39" x14ac:dyDescent="0.25">
      <c r="A265" t="s">
        <v>255</v>
      </c>
      <c r="B265" t="s">
        <v>244</v>
      </c>
      <c r="C265" t="s">
        <v>333</v>
      </c>
      <c r="D265" t="s">
        <v>576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  <c r="S265" s="8">
        <v>0</v>
      </c>
      <c r="T265" s="8">
        <v>0</v>
      </c>
      <c r="U265" s="8">
        <v>0</v>
      </c>
      <c r="V265" s="8">
        <v>0</v>
      </c>
      <c r="W265" s="8">
        <v>0</v>
      </c>
      <c r="X265" s="8">
        <v>0</v>
      </c>
      <c r="Y265" s="8">
        <v>0</v>
      </c>
      <c r="Z265" s="8">
        <v>0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8">
        <v>0</v>
      </c>
      <c r="AH265" s="8">
        <v>0</v>
      </c>
      <c r="AI265" s="8">
        <v>0</v>
      </c>
      <c r="AJ265" s="8">
        <v>0</v>
      </c>
      <c r="AK265" s="8">
        <v>0</v>
      </c>
      <c r="AL265" s="8">
        <v>0</v>
      </c>
      <c r="AM265" s="8">
        <v>0</v>
      </c>
    </row>
    <row r="266" spans="1:39" x14ac:dyDescent="0.25">
      <c r="A266" t="s">
        <v>577</v>
      </c>
      <c r="B266" t="s">
        <v>240</v>
      </c>
      <c r="C266" t="s">
        <v>53</v>
      </c>
      <c r="D266" t="s">
        <v>578</v>
      </c>
      <c r="E266" s="8">
        <v>5.30771734227192E-3</v>
      </c>
      <c r="F266" s="8">
        <v>5.3538922374212006E-3</v>
      </c>
      <c r="G266" s="8">
        <v>5.400067132570483E-3</v>
      </c>
      <c r="H266" s="8">
        <v>5.4462420277197644E-3</v>
      </c>
      <c r="I266" s="8">
        <v>5.4924169228690459E-3</v>
      </c>
      <c r="J266" s="8">
        <v>5.5385918180183274E-3</v>
      </c>
      <c r="K266" s="8">
        <v>5.5847667131676089E-3</v>
      </c>
      <c r="L266" s="8">
        <v>5.6309416083168903E-3</v>
      </c>
      <c r="M266" s="8">
        <v>5.7148835886332216E-3</v>
      </c>
      <c r="N266" s="8">
        <v>5.7988255689495546E-3</v>
      </c>
      <c r="O266" s="8">
        <v>5.8827675492658859E-3</v>
      </c>
      <c r="P266" s="8">
        <v>5.9667095295822181E-3</v>
      </c>
      <c r="Q266" s="8">
        <v>6.0506515098985502E-3</v>
      </c>
      <c r="R266" s="8">
        <v>6.2014311524625897E-3</v>
      </c>
      <c r="S266" s="8">
        <v>6.3522107950266301E-3</v>
      </c>
      <c r="T266" s="8">
        <v>6.4495419143857221E-3</v>
      </c>
      <c r="U266" s="8">
        <v>6.5468730337448142E-3</v>
      </c>
      <c r="V266" s="8">
        <v>6.6442041531039062E-3</v>
      </c>
      <c r="W266" s="8">
        <v>6.7415352724629982E-3</v>
      </c>
      <c r="X266" s="8">
        <v>6.8388663918220903E-3</v>
      </c>
      <c r="Y266" s="8">
        <v>6.9109689066643261E-3</v>
      </c>
      <c r="Z266" s="8">
        <v>6.9830714215065618E-3</v>
      </c>
      <c r="AA266" s="8">
        <v>7.0551739363487976E-3</v>
      </c>
      <c r="AB266" s="8">
        <v>7.1272764511910343E-3</v>
      </c>
      <c r="AC266" s="8">
        <v>7.1993789660332701E-3</v>
      </c>
      <c r="AD266" s="8">
        <v>7.2321502850917416E-3</v>
      </c>
      <c r="AE266" s="8">
        <v>7.2649216041502139E-3</v>
      </c>
      <c r="AF266" s="8">
        <v>7.2976929232086863E-3</v>
      </c>
      <c r="AG266" s="8">
        <v>7.3304642422671578E-3</v>
      </c>
      <c r="AH266" s="8">
        <v>7.3632355613256302E-3</v>
      </c>
      <c r="AI266" s="8">
        <v>7.364370741006928E-3</v>
      </c>
      <c r="AJ266" s="8">
        <v>7.3655059206882258E-3</v>
      </c>
      <c r="AK266" s="8">
        <v>7.3666411003695236E-3</v>
      </c>
      <c r="AL266" s="8">
        <v>7.3677762800508223E-3</v>
      </c>
      <c r="AM266" s="8">
        <v>7.3689114597321201E-3</v>
      </c>
    </row>
    <row r="267" spans="1:39" x14ac:dyDescent="0.25">
      <c r="A267" t="s">
        <v>577</v>
      </c>
      <c r="B267" t="s">
        <v>240</v>
      </c>
      <c r="C267" t="s">
        <v>293</v>
      </c>
      <c r="D267" t="s">
        <v>579</v>
      </c>
      <c r="E267" s="8">
        <v>1.03201952356161E-5</v>
      </c>
      <c r="F267" s="8">
        <v>1.0204686627447669E-5</v>
      </c>
      <c r="G267" s="8">
        <v>1.0089178019279251E-5</v>
      </c>
      <c r="H267" s="8">
        <v>9.9736694111108182E-6</v>
      </c>
      <c r="I267" s="8">
        <v>9.8581608029423926E-6</v>
      </c>
      <c r="J267" s="8">
        <v>9.7426521947739653E-6</v>
      </c>
      <c r="K267" s="8">
        <v>9.627143586605538E-6</v>
      </c>
      <c r="L267" s="8">
        <v>9.5116349784371107E-6</v>
      </c>
      <c r="M267" s="8">
        <v>9.4218676803320166E-6</v>
      </c>
      <c r="N267" s="8">
        <v>9.3321003822269226E-6</v>
      </c>
      <c r="O267" s="8">
        <v>9.2423330841218285E-6</v>
      </c>
      <c r="P267" s="8">
        <v>9.1525657860167344E-6</v>
      </c>
      <c r="Q267" s="8">
        <v>9.0627984879116404E-6</v>
      </c>
      <c r="R267" s="8">
        <v>6.0163331661705854E-6</v>
      </c>
      <c r="S267" s="8">
        <v>2.9698678444295299E-6</v>
      </c>
      <c r="T267" s="8">
        <v>2.9488680431280401E-6</v>
      </c>
      <c r="U267" s="8">
        <v>2.9278682418265498E-6</v>
      </c>
      <c r="V267" s="8">
        <v>2.90686844052506E-6</v>
      </c>
      <c r="W267" s="8">
        <v>2.8858686392235701E-6</v>
      </c>
      <c r="X267" s="8">
        <v>2.8648688379220799E-6</v>
      </c>
      <c r="Y267" s="8">
        <v>2.8509300478720199E-6</v>
      </c>
      <c r="Z267" s="8">
        <v>2.83699125782196E-6</v>
      </c>
      <c r="AA267" s="8">
        <v>2.8230524677719E-6</v>
      </c>
      <c r="AB267" s="8">
        <v>2.8091136777218401E-6</v>
      </c>
      <c r="AC267" s="8">
        <v>2.7951748876717801E-6</v>
      </c>
      <c r="AD267" s="8">
        <v>2.7784182454318881E-6</v>
      </c>
      <c r="AE267" s="8">
        <v>2.761661603191996E-6</v>
      </c>
      <c r="AF267" s="8">
        <v>2.744904960952104E-6</v>
      </c>
      <c r="AG267" s="8">
        <v>2.7281483187122119E-6</v>
      </c>
      <c r="AH267" s="8">
        <v>2.7113916764723198E-6</v>
      </c>
      <c r="AI267" s="8">
        <v>2.6936455820221282E-6</v>
      </c>
      <c r="AJ267" s="8">
        <v>2.6758994875719361E-6</v>
      </c>
      <c r="AK267" s="8">
        <v>2.6581533931217441E-6</v>
      </c>
      <c r="AL267" s="8">
        <v>2.640407298671552E-6</v>
      </c>
      <c r="AM267" s="8">
        <v>2.62266120422136E-6</v>
      </c>
    </row>
    <row r="268" spans="1:39" x14ac:dyDescent="0.25">
      <c r="A268" t="s">
        <v>577</v>
      </c>
      <c r="B268" t="s">
        <v>240</v>
      </c>
      <c r="C268" t="s">
        <v>295</v>
      </c>
      <c r="D268" t="s">
        <v>580</v>
      </c>
      <c r="E268" s="8">
        <v>0.52066088137127597</v>
      </c>
      <c r="F268" s="8">
        <v>0.52207376619797574</v>
      </c>
      <c r="G268" s="8">
        <v>0.5234866510246754</v>
      </c>
      <c r="H268" s="8">
        <v>0.52489953585137517</v>
      </c>
      <c r="I268" s="8">
        <v>0.52631242067807482</v>
      </c>
      <c r="J268" s="8">
        <v>0.52772530550477459</v>
      </c>
      <c r="K268" s="8">
        <v>0.52913819033147425</v>
      </c>
      <c r="L268" s="8">
        <v>0.53055107515817401</v>
      </c>
      <c r="M268" s="8">
        <v>0.535761912021263</v>
      </c>
      <c r="N268" s="8">
        <v>0.54097274888435198</v>
      </c>
      <c r="O268" s="8">
        <v>0.54618358574744108</v>
      </c>
      <c r="P268" s="8">
        <v>0.55139442261053007</v>
      </c>
      <c r="Q268" s="8">
        <v>0.55660525947361905</v>
      </c>
      <c r="R268" s="8">
        <v>0.56263694647486395</v>
      </c>
      <c r="S268" s="8">
        <v>0.56866863347610896</v>
      </c>
      <c r="T268" s="8">
        <v>0.5728242083599826</v>
      </c>
      <c r="U268" s="8">
        <v>0.57697978324385624</v>
      </c>
      <c r="V268" s="8">
        <v>0.58113535812772976</v>
      </c>
      <c r="W268" s="8">
        <v>0.5852909330116034</v>
      </c>
      <c r="X268" s="8">
        <v>0.58944650789547703</v>
      </c>
      <c r="Y268" s="8">
        <v>0.59087899407618505</v>
      </c>
      <c r="Z268" s="8">
        <v>0.59231148025689306</v>
      </c>
      <c r="AA268" s="8">
        <v>0.59374396643760097</v>
      </c>
      <c r="AB268" s="8">
        <v>0.59517645261830898</v>
      </c>
      <c r="AC268" s="8">
        <v>0.596608938799017</v>
      </c>
      <c r="AD268" s="8">
        <v>0.59849026207985423</v>
      </c>
      <c r="AE268" s="8">
        <v>0.60037158536069146</v>
      </c>
      <c r="AF268" s="8">
        <v>0.60225290864152858</v>
      </c>
      <c r="AG268" s="8">
        <v>0.60413423192236582</v>
      </c>
      <c r="AH268" s="8">
        <v>0.60601555520320305</v>
      </c>
      <c r="AI268" s="8">
        <v>0.6081352320331378</v>
      </c>
      <c r="AJ268" s="8">
        <v>0.61025490886307265</v>
      </c>
      <c r="AK268" s="8">
        <v>0.6123745856930074</v>
      </c>
      <c r="AL268" s="8">
        <v>0.61449426252294226</v>
      </c>
      <c r="AM268" s="8">
        <v>0.61661393935287701</v>
      </c>
    </row>
    <row r="269" spans="1:39" x14ac:dyDescent="0.25">
      <c r="A269" t="s">
        <v>577</v>
      </c>
      <c r="B269" t="s">
        <v>240</v>
      </c>
      <c r="C269" t="s">
        <v>297</v>
      </c>
      <c r="D269" t="s">
        <v>581</v>
      </c>
      <c r="E269" s="8">
        <v>0.82781077227033395</v>
      </c>
      <c r="F269" s="8">
        <v>0.83315162373381313</v>
      </c>
      <c r="G269" s="8">
        <v>0.8384924751972922</v>
      </c>
      <c r="H269" s="8">
        <v>0.84383332666077138</v>
      </c>
      <c r="I269" s="8">
        <v>0.84917417812425056</v>
      </c>
      <c r="J269" s="8">
        <v>0.85451502958772974</v>
      </c>
      <c r="K269" s="8">
        <v>0.8598558810512088</v>
      </c>
      <c r="L269" s="8">
        <v>0.86519673251468798</v>
      </c>
      <c r="M269" s="8">
        <v>0.87718934501489121</v>
      </c>
      <c r="N269" s="8">
        <v>0.88918195751509443</v>
      </c>
      <c r="O269" s="8">
        <v>0.90117457001529755</v>
      </c>
      <c r="P269" s="8">
        <v>0.91316718251550077</v>
      </c>
      <c r="Q269" s="8">
        <v>0.925159795015704</v>
      </c>
      <c r="R269" s="8">
        <v>0.93473422024424657</v>
      </c>
      <c r="S269" s="8">
        <v>0.94430864547278903</v>
      </c>
      <c r="T269" s="8">
        <v>0.94760402576418967</v>
      </c>
      <c r="U269" s="8">
        <v>0.9508994060555902</v>
      </c>
      <c r="V269" s="8">
        <v>0.95419478634699084</v>
      </c>
      <c r="W269" s="8">
        <v>0.95749016663839137</v>
      </c>
      <c r="X269" s="8">
        <v>0.96078554692979201</v>
      </c>
      <c r="Y269" s="8">
        <v>0.9646067857833508</v>
      </c>
      <c r="Z269" s="8">
        <v>0.96842802463690958</v>
      </c>
      <c r="AA269" s="8">
        <v>0.97224926349046847</v>
      </c>
      <c r="AB269" s="8">
        <v>0.97607050234402726</v>
      </c>
      <c r="AC269" s="8">
        <v>0.97989174119758604</v>
      </c>
      <c r="AD269" s="8">
        <v>0.98488349619861282</v>
      </c>
      <c r="AE269" s="8">
        <v>0.98987525119963959</v>
      </c>
      <c r="AF269" s="8">
        <v>0.99486700620066637</v>
      </c>
      <c r="AG269" s="8">
        <v>0.99985876120169315</v>
      </c>
      <c r="AH269" s="8">
        <v>1.0048505162027199</v>
      </c>
      <c r="AI269" s="8">
        <v>1.0094885738374779</v>
      </c>
      <c r="AJ269" s="8">
        <v>1.0141266314722359</v>
      </c>
      <c r="AK269" s="8">
        <v>1.0187646891069939</v>
      </c>
      <c r="AL269" s="8">
        <v>1.0234027467417519</v>
      </c>
      <c r="AM269" s="8">
        <v>1.0280408043765099</v>
      </c>
    </row>
    <row r="270" spans="1:39" x14ac:dyDescent="0.25">
      <c r="A270" t="s">
        <v>577</v>
      </c>
      <c r="B270" t="s">
        <v>240</v>
      </c>
      <c r="C270" t="s">
        <v>299</v>
      </c>
      <c r="D270" t="s">
        <v>582</v>
      </c>
      <c r="E270" s="8">
        <v>0.97646940063908205</v>
      </c>
      <c r="F270" s="8">
        <v>0.98276936460031028</v>
      </c>
      <c r="G270" s="8">
        <v>0.98906932856153862</v>
      </c>
      <c r="H270" s="8">
        <v>0.99536929252276685</v>
      </c>
      <c r="I270" s="8">
        <v>1.0016692564839951</v>
      </c>
      <c r="J270" s="8">
        <v>1.007969220445224</v>
      </c>
      <c r="K270" s="8">
        <v>1.014269184406452</v>
      </c>
      <c r="L270" s="8">
        <v>1.02056914836768</v>
      </c>
      <c r="M270" s="8">
        <v>1.03471539957255</v>
      </c>
      <c r="N270" s="8">
        <v>1.04886165077742</v>
      </c>
      <c r="O270" s="8">
        <v>1.06300790198229</v>
      </c>
      <c r="P270" s="8">
        <v>1.07715415318716</v>
      </c>
      <c r="Q270" s="8">
        <v>1.09130040439203</v>
      </c>
      <c r="R270" s="8">
        <v>1.102594209174065</v>
      </c>
      <c r="S270" s="8">
        <v>1.1138880139561</v>
      </c>
      <c r="T270" s="8">
        <v>1.117775180108652</v>
      </c>
      <c r="U270" s="8">
        <v>1.1216623462612041</v>
      </c>
      <c r="V270" s="8">
        <v>1.125549512413756</v>
      </c>
      <c r="W270" s="8">
        <v>1.1294366785663079</v>
      </c>
      <c r="X270" s="8">
        <v>1.1333238447188601</v>
      </c>
      <c r="Y270" s="8">
        <v>1.1378313033393941</v>
      </c>
      <c r="Z270" s="8">
        <v>1.1423387619599279</v>
      </c>
      <c r="AA270" s="8">
        <v>1.1468462205804619</v>
      </c>
      <c r="AB270" s="8">
        <v>1.151353679200996</v>
      </c>
      <c r="AC270" s="8">
        <v>1.15586113782153</v>
      </c>
      <c r="AD270" s="8">
        <v>1.1617493143948801</v>
      </c>
      <c r="AE270" s="8">
        <v>1.1676374909682301</v>
      </c>
      <c r="AF270" s="8">
        <v>1.1735256675415799</v>
      </c>
      <c r="AG270" s="8">
        <v>1.17941384411493</v>
      </c>
      <c r="AH270" s="8">
        <v>1.1853020206882801</v>
      </c>
      <c r="AI270" s="8">
        <v>1.190772982770798</v>
      </c>
      <c r="AJ270" s="8">
        <v>1.196243944853316</v>
      </c>
      <c r="AK270" s="8">
        <v>1.2017149069358339</v>
      </c>
      <c r="AL270" s="8">
        <v>1.2071858690183519</v>
      </c>
      <c r="AM270" s="8">
        <v>1.2126568311008701</v>
      </c>
    </row>
    <row r="271" spans="1:39" x14ac:dyDescent="0.25">
      <c r="A271" t="s">
        <v>577</v>
      </c>
      <c r="B271" t="s">
        <v>240</v>
      </c>
      <c r="C271" t="s">
        <v>301</v>
      </c>
      <c r="D271" t="s">
        <v>583</v>
      </c>
      <c r="E271" s="8">
        <v>0.41776090934612897</v>
      </c>
      <c r="F271" s="8">
        <v>0.42045621005413097</v>
      </c>
      <c r="G271" s="8">
        <v>0.42315151076213298</v>
      </c>
      <c r="H271" s="8">
        <v>0.42584681147013498</v>
      </c>
      <c r="I271" s="8">
        <v>0.42854211217813698</v>
      </c>
      <c r="J271" s="8">
        <v>0.43123741288613898</v>
      </c>
      <c r="K271" s="8">
        <v>0.43393271359414098</v>
      </c>
      <c r="L271" s="8">
        <v>0.43662801430214299</v>
      </c>
      <c r="M271" s="8">
        <v>0.44268017605755339</v>
      </c>
      <c r="N271" s="8">
        <v>0.44873233781296379</v>
      </c>
      <c r="O271" s="8">
        <v>0.45478449956837419</v>
      </c>
      <c r="P271" s="8">
        <v>0.46083666132378459</v>
      </c>
      <c r="Q271" s="8">
        <v>0.46688882307919499</v>
      </c>
      <c r="R271" s="8">
        <v>0.47172062850422453</v>
      </c>
      <c r="S271" s="8">
        <v>0.476552433929254</v>
      </c>
      <c r="T271" s="8">
        <v>0.47821547227398042</v>
      </c>
      <c r="U271" s="8">
        <v>0.47987851061870679</v>
      </c>
      <c r="V271" s="8">
        <v>0.48154154896343321</v>
      </c>
      <c r="W271" s="8">
        <v>0.48320458730815963</v>
      </c>
      <c r="X271" s="8">
        <v>0.48486762565288599</v>
      </c>
      <c r="Y271" s="8">
        <v>0.48679604246204899</v>
      </c>
      <c r="Z271" s="8">
        <v>0.488724459271212</v>
      </c>
      <c r="AA271" s="8">
        <v>0.490652876080375</v>
      </c>
      <c r="AB271" s="8">
        <v>0.492581292889538</v>
      </c>
      <c r="AC271" s="8">
        <v>0.49450970969870101</v>
      </c>
      <c r="AD271" s="8">
        <v>0.49702883625472999</v>
      </c>
      <c r="AE271" s="8">
        <v>0.49954796281075903</v>
      </c>
      <c r="AF271" s="8">
        <v>0.50206708936678801</v>
      </c>
      <c r="AG271" s="8">
        <v>0.50458621592281694</v>
      </c>
      <c r="AH271" s="8">
        <v>0.50710534247884598</v>
      </c>
      <c r="AI271" s="8">
        <v>0.50944597300993355</v>
      </c>
      <c r="AJ271" s="8">
        <v>0.51178660354102112</v>
      </c>
      <c r="AK271" s="8">
        <v>0.51412723407210881</v>
      </c>
      <c r="AL271" s="8">
        <v>0.51646786460319638</v>
      </c>
      <c r="AM271" s="8">
        <v>0.51880849513428395</v>
      </c>
    </row>
    <row r="272" spans="1:39" x14ac:dyDescent="0.25">
      <c r="A272" t="s">
        <v>577</v>
      </c>
      <c r="B272" t="s">
        <v>240</v>
      </c>
      <c r="C272" t="s">
        <v>303</v>
      </c>
      <c r="D272" t="s">
        <v>584</v>
      </c>
      <c r="E272" s="8">
        <v>0.78261062678306104</v>
      </c>
      <c r="F272" s="8">
        <v>0.78765985694195573</v>
      </c>
      <c r="G272" s="8">
        <v>0.79270908710085042</v>
      </c>
      <c r="H272" s="8">
        <v>0.79775831725974511</v>
      </c>
      <c r="I272" s="8">
        <v>0.80280754741863991</v>
      </c>
      <c r="J272" s="8">
        <v>0.8078567775775346</v>
      </c>
      <c r="K272" s="8">
        <v>0.81290600773642929</v>
      </c>
      <c r="L272" s="8">
        <v>0.81795523789532398</v>
      </c>
      <c r="M272" s="8">
        <v>0.82929302946416616</v>
      </c>
      <c r="N272" s="8">
        <v>0.84063082103300835</v>
      </c>
      <c r="O272" s="8">
        <v>0.85196861260185064</v>
      </c>
      <c r="P272" s="8">
        <v>0.86330640417069282</v>
      </c>
      <c r="Q272" s="8">
        <v>0.874644195739535</v>
      </c>
      <c r="R272" s="8">
        <v>0.883695837964665</v>
      </c>
      <c r="S272" s="8">
        <v>0.892747480189795</v>
      </c>
      <c r="T272" s="8">
        <v>0.89586292605516482</v>
      </c>
      <c r="U272" s="8">
        <v>0.89897837192053465</v>
      </c>
      <c r="V272" s="8">
        <v>0.90209381778590436</v>
      </c>
      <c r="W272" s="8">
        <v>0.90520926365127419</v>
      </c>
      <c r="X272" s="8">
        <v>0.90832470951664401</v>
      </c>
      <c r="Y272" s="8">
        <v>0.91193730099772896</v>
      </c>
      <c r="Z272" s="8">
        <v>0.91554989247881402</v>
      </c>
      <c r="AA272" s="8">
        <v>0.91916248395989897</v>
      </c>
      <c r="AB272" s="8">
        <v>0.92277507544098403</v>
      </c>
      <c r="AC272" s="8">
        <v>0.92638766692206898</v>
      </c>
      <c r="AD272" s="8">
        <v>0.93110686199543113</v>
      </c>
      <c r="AE272" s="8">
        <v>0.9358260570687934</v>
      </c>
      <c r="AF272" s="8">
        <v>0.94054525214215556</v>
      </c>
      <c r="AG272" s="8">
        <v>0.94526444721551783</v>
      </c>
      <c r="AH272" s="8">
        <v>0.94998364228887999</v>
      </c>
      <c r="AI272" s="8">
        <v>0.95436845259067238</v>
      </c>
      <c r="AJ272" s="8">
        <v>0.95875326289246476</v>
      </c>
      <c r="AK272" s="8">
        <v>0.96313807319425726</v>
      </c>
      <c r="AL272" s="8">
        <v>0.96752288349604965</v>
      </c>
      <c r="AM272" s="8">
        <v>0.97190769379784203</v>
      </c>
    </row>
    <row r="273" spans="1:39" x14ac:dyDescent="0.25">
      <c r="A273" t="s">
        <v>577</v>
      </c>
      <c r="B273" t="s">
        <v>240</v>
      </c>
      <c r="C273" t="s">
        <v>305</v>
      </c>
      <c r="D273" t="s">
        <v>585</v>
      </c>
      <c r="E273" s="8">
        <v>2.1908660504453E-2</v>
      </c>
      <c r="F273" s="8">
        <v>2.214744328327567E-2</v>
      </c>
      <c r="G273" s="8">
        <v>2.2386226062098339E-2</v>
      </c>
      <c r="H273" s="8">
        <v>2.2625008840921019E-2</v>
      </c>
      <c r="I273" s="8">
        <v>2.2863791619743681E-2</v>
      </c>
      <c r="J273" s="8">
        <v>2.3102574398566361E-2</v>
      </c>
      <c r="K273" s="8">
        <v>2.3341357177389031E-2</v>
      </c>
      <c r="L273" s="8">
        <v>2.35801399562117E-2</v>
      </c>
      <c r="M273" s="8">
        <v>2.372967102977722E-2</v>
      </c>
      <c r="N273" s="8">
        <v>2.3879202103342739E-2</v>
      </c>
      <c r="O273" s="8">
        <v>2.4028733176908259E-2</v>
      </c>
      <c r="P273" s="8">
        <v>2.4178264250473779E-2</v>
      </c>
      <c r="Q273" s="8">
        <v>2.4327795324039302E-2</v>
      </c>
      <c r="R273" s="8">
        <v>2.44753371735675E-2</v>
      </c>
      <c r="S273" s="8">
        <v>2.4622879023095699E-2</v>
      </c>
      <c r="T273" s="8">
        <v>2.4754943563359479E-2</v>
      </c>
      <c r="U273" s="8">
        <v>2.4887008103623261E-2</v>
      </c>
      <c r="V273" s="8">
        <v>2.5019072643887041E-2</v>
      </c>
      <c r="W273" s="8">
        <v>2.515113718415082E-2</v>
      </c>
      <c r="X273" s="8">
        <v>2.5283201724414599E-2</v>
      </c>
      <c r="Y273" s="8">
        <v>2.5403307038980361E-2</v>
      </c>
      <c r="Z273" s="8">
        <v>2.5523412353546122E-2</v>
      </c>
      <c r="AA273" s="8">
        <v>2.5643517668111879E-2</v>
      </c>
      <c r="AB273" s="8">
        <v>2.5763622982677641E-2</v>
      </c>
      <c r="AC273" s="8">
        <v>2.5883728297243402E-2</v>
      </c>
      <c r="AD273" s="8">
        <v>2.599471802026156E-2</v>
      </c>
      <c r="AE273" s="8">
        <v>2.6105707743279721E-2</v>
      </c>
      <c r="AF273" s="8">
        <v>2.6216697466297879E-2</v>
      </c>
      <c r="AG273" s="8">
        <v>2.6327687189316041E-2</v>
      </c>
      <c r="AH273" s="8">
        <v>2.6438676912334199E-2</v>
      </c>
      <c r="AI273" s="8">
        <v>2.6540772147290739E-2</v>
      </c>
      <c r="AJ273" s="8">
        <v>2.664286738224728E-2</v>
      </c>
      <c r="AK273" s="8">
        <v>2.674496261720382E-2</v>
      </c>
      <c r="AL273" s="8">
        <v>2.684705785216036E-2</v>
      </c>
      <c r="AM273" s="8">
        <v>2.69491530871169E-2</v>
      </c>
    </row>
    <row r="274" spans="1:39" x14ac:dyDescent="0.25">
      <c r="A274" t="s">
        <v>577</v>
      </c>
      <c r="B274" t="s">
        <v>240</v>
      </c>
      <c r="C274" t="s">
        <v>307</v>
      </c>
      <c r="D274" t="s">
        <v>586</v>
      </c>
      <c r="E274" s="8">
        <v>0.14530587919303001</v>
      </c>
      <c r="F274" s="8">
        <v>0.14612414193665241</v>
      </c>
      <c r="G274" s="8">
        <v>0.14694240468027489</v>
      </c>
      <c r="H274" s="8">
        <v>0.14776066742389729</v>
      </c>
      <c r="I274" s="8">
        <v>0.14857893016751969</v>
      </c>
      <c r="J274" s="8">
        <v>0.14939719291114209</v>
      </c>
      <c r="K274" s="8">
        <v>0.1502154556547646</v>
      </c>
      <c r="L274" s="8">
        <v>0.151033718398387</v>
      </c>
      <c r="M274" s="8">
        <v>0.1524682084608848</v>
      </c>
      <c r="N274" s="8">
        <v>0.15390269852338259</v>
      </c>
      <c r="O274" s="8">
        <v>0.15533718858588039</v>
      </c>
      <c r="P274" s="8">
        <v>0.15677167864837821</v>
      </c>
      <c r="Q274" s="8">
        <v>0.15820616871087601</v>
      </c>
      <c r="R274" s="8">
        <v>0.1597835676606085</v>
      </c>
      <c r="S274" s="8">
        <v>0.16136096661034099</v>
      </c>
      <c r="T274" s="8">
        <v>0.16257984875156761</v>
      </c>
      <c r="U274" s="8">
        <v>0.1637987308927942</v>
      </c>
      <c r="V274" s="8">
        <v>0.16501761303402079</v>
      </c>
      <c r="W274" s="8">
        <v>0.16623649517524741</v>
      </c>
      <c r="X274" s="8">
        <v>0.167455377316474</v>
      </c>
      <c r="Y274" s="8">
        <v>0.16810407952755321</v>
      </c>
      <c r="Z274" s="8">
        <v>0.1687527817386324</v>
      </c>
      <c r="AA274" s="8">
        <v>0.16940148394971161</v>
      </c>
      <c r="AB274" s="8">
        <v>0.17005018616079079</v>
      </c>
      <c r="AC274" s="8">
        <v>0.17069888837187</v>
      </c>
      <c r="AD274" s="8">
        <v>0.17143698291529161</v>
      </c>
      <c r="AE274" s="8">
        <v>0.17217507745871319</v>
      </c>
      <c r="AF274" s="8">
        <v>0.1729131720021348</v>
      </c>
      <c r="AG274" s="8">
        <v>0.1736512665455564</v>
      </c>
      <c r="AH274" s="8">
        <v>0.17438936108897801</v>
      </c>
      <c r="AI274" s="8">
        <v>0.17515153603531039</v>
      </c>
      <c r="AJ274" s="8">
        <v>0.1759137109816428</v>
      </c>
      <c r="AK274" s="8">
        <v>0.1766758859279752</v>
      </c>
      <c r="AL274" s="8">
        <v>0.17743806087430761</v>
      </c>
      <c r="AM274" s="8">
        <v>0.17820023582064001</v>
      </c>
    </row>
    <row r="275" spans="1:39" x14ac:dyDescent="0.25">
      <c r="A275" t="s">
        <v>577</v>
      </c>
      <c r="B275" t="s">
        <v>240</v>
      </c>
      <c r="C275" t="s">
        <v>309</v>
      </c>
      <c r="D275" t="s">
        <v>587</v>
      </c>
      <c r="E275" s="8">
        <v>8.5179682819493396E-3</v>
      </c>
      <c r="F275" s="8">
        <v>8.5987927605896079E-3</v>
      </c>
      <c r="G275" s="8">
        <v>8.6796172392298778E-3</v>
      </c>
      <c r="H275" s="8">
        <v>8.760441717870146E-3</v>
      </c>
      <c r="I275" s="8">
        <v>8.8412661965104142E-3</v>
      </c>
      <c r="J275" s="8">
        <v>8.9220906751506825E-3</v>
      </c>
      <c r="K275" s="8">
        <v>9.0029151537909524E-3</v>
      </c>
      <c r="L275" s="8">
        <v>9.0837396324312206E-3</v>
      </c>
      <c r="M275" s="8">
        <v>9.1734366332611381E-3</v>
      </c>
      <c r="N275" s="8">
        <v>9.2631336340910555E-3</v>
      </c>
      <c r="O275" s="8">
        <v>9.3528306349209746E-3</v>
      </c>
      <c r="P275" s="8">
        <v>9.4425276357508921E-3</v>
      </c>
      <c r="Q275" s="8">
        <v>9.5322246365808095E-3</v>
      </c>
      <c r="R275" s="8">
        <v>9.6250304394095154E-3</v>
      </c>
      <c r="S275" s="8">
        <v>9.7178362422382196E-3</v>
      </c>
      <c r="T275" s="8">
        <v>9.8053651221661955E-3</v>
      </c>
      <c r="U275" s="8">
        <v>9.8928940020941714E-3</v>
      </c>
      <c r="V275" s="8">
        <v>9.980422882022149E-3</v>
      </c>
      <c r="W275" s="8">
        <v>1.006795176195012E-2</v>
      </c>
      <c r="X275" s="8">
        <v>1.0155480641878101E-2</v>
      </c>
      <c r="Y275" s="8">
        <v>1.0229886273962799E-2</v>
      </c>
      <c r="Z275" s="8">
        <v>1.0304291906047499E-2</v>
      </c>
      <c r="AA275" s="8">
        <v>1.0378697538132199E-2</v>
      </c>
      <c r="AB275" s="8">
        <v>1.04531031702169E-2</v>
      </c>
      <c r="AC275" s="8">
        <v>1.05275088023016E-2</v>
      </c>
      <c r="AD275" s="8">
        <v>1.059152835184292E-2</v>
      </c>
      <c r="AE275" s="8">
        <v>1.0655547901384239E-2</v>
      </c>
      <c r="AF275" s="8">
        <v>1.071956745092556E-2</v>
      </c>
      <c r="AG275" s="8">
        <v>1.0783587000466881E-2</v>
      </c>
      <c r="AH275" s="8">
        <v>1.08476065500082E-2</v>
      </c>
      <c r="AI275" s="8">
        <v>1.090725275657594E-2</v>
      </c>
      <c r="AJ275" s="8">
        <v>1.096689896314368E-2</v>
      </c>
      <c r="AK275" s="8">
        <v>1.1026545169711421E-2</v>
      </c>
      <c r="AL275" s="8">
        <v>1.1086191376279159E-2</v>
      </c>
      <c r="AM275" s="8">
        <v>1.11458375828469E-2</v>
      </c>
    </row>
    <row r="276" spans="1:39" x14ac:dyDescent="0.25">
      <c r="A276" t="s">
        <v>577</v>
      </c>
      <c r="B276" t="s">
        <v>240</v>
      </c>
      <c r="C276" t="s">
        <v>311</v>
      </c>
      <c r="D276" t="s">
        <v>588</v>
      </c>
      <c r="E276" s="8">
        <v>3.8257808694650502E-4</v>
      </c>
      <c r="F276" s="8">
        <v>3.9314226424617E-4</v>
      </c>
      <c r="G276" s="8">
        <v>4.0370644154583498E-4</v>
      </c>
      <c r="H276" s="8">
        <v>4.1427061884550002E-4</v>
      </c>
      <c r="I276" s="8">
        <v>4.24834796145165E-4</v>
      </c>
      <c r="J276" s="8">
        <v>4.3539897344482999E-4</v>
      </c>
      <c r="K276" s="8">
        <v>4.4596315074449502E-4</v>
      </c>
      <c r="L276" s="8">
        <v>4.5652732804416001E-4</v>
      </c>
      <c r="M276" s="8">
        <v>4.6820658430109702E-4</v>
      </c>
      <c r="N276" s="8">
        <v>4.7988584055803397E-4</v>
      </c>
      <c r="O276" s="8">
        <v>4.9156509681497098E-4</v>
      </c>
      <c r="P276" s="8">
        <v>5.03244353071908E-4</v>
      </c>
      <c r="Q276" s="8">
        <v>5.1492360932884501E-4</v>
      </c>
      <c r="R276" s="8">
        <v>5.2608937582504143E-4</v>
      </c>
      <c r="S276" s="8">
        <v>5.3725514232123796E-4</v>
      </c>
      <c r="T276" s="8">
        <v>5.4673510762143782E-4</v>
      </c>
      <c r="U276" s="8">
        <v>5.5621507292163757E-4</v>
      </c>
      <c r="V276" s="8">
        <v>5.6569503822183744E-4</v>
      </c>
      <c r="W276" s="8">
        <v>5.7517500352203719E-4</v>
      </c>
      <c r="X276" s="8">
        <v>5.8465496882223705E-4</v>
      </c>
      <c r="Y276" s="8">
        <v>5.9099249630801859E-4</v>
      </c>
      <c r="Z276" s="8">
        <v>5.9733002379380024E-4</v>
      </c>
      <c r="AA276" s="8">
        <v>6.0366755127958178E-4</v>
      </c>
      <c r="AB276" s="8">
        <v>6.1000507876536342E-4</v>
      </c>
      <c r="AC276" s="8">
        <v>6.1634260625114496E-4</v>
      </c>
      <c r="AD276" s="8">
        <v>6.1973808175092363E-4</v>
      </c>
      <c r="AE276" s="8">
        <v>6.2313355725070218E-4</v>
      </c>
      <c r="AF276" s="8">
        <v>6.2652903275048084E-4</v>
      </c>
      <c r="AG276" s="8">
        <v>6.2992450825025939E-4</v>
      </c>
      <c r="AH276" s="8">
        <v>6.3331998375003805E-4</v>
      </c>
      <c r="AI276" s="8">
        <v>6.35640350125895E-4</v>
      </c>
      <c r="AJ276" s="8">
        <v>6.3796071650175205E-4</v>
      </c>
      <c r="AK276" s="8">
        <v>6.40281082877609E-4</v>
      </c>
      <c r="AL276" s="8">
        <v>6.4260144925346605E-4</v>
      </c>
      <c r="AM276" s="8">
        <v>6.4492181562932299E-4</v>
      </c>
    </row>
    <row r="277" spans="1:39" x14ac:dyDescent="0.25">
      <c r="A277" t="s">
        <v>577</v>
      </c>
      <c r="B277" t="s">
        <v>240</v>
      </c>
      <c r="C277" t="s">
        <v>313</v>
      </c>
      <c r="D277" t="s">
        <v>589</v>
      </c>
      <c r="E277" s="8">
        <v>6.4952332304323099E-4</v>
      </c>
      <c r="F277" s="8">
        <v>6.7074379235705943E-4</v>
      </c>
      <c r="G277" s="8">
        <v>6.9196426167088786E-4</v>
      </c>
      <c r="H277" s="8">
        <v>7.1318473098471629E-4</v>
      </c>
      <c r="I277" s="8">
        <v>7.3440520029854472E-4</v>
      </c>
      <c r="J277" s="8">
        <v>7.5562566961237315E-4</v>
      </c>
      <c r="K277" s="8">
        <v>7.7684613892620158E-4</v>
      </c>
      <c r="L277" s="8">
        <v>7.9806660824003001E-4</v>
      </c>
      <c r="M277" s="8">
        <v>8.2155411659821378E-4</v>
      </c>
      <c r="N277" s="8">
        <v>8.4504162495639755E-4</v>
      </c>
      <c r="O277" s="8">
        <v>8.6852913331458143E-4</v>
      </c>
      <c r="P277" s="8">
        <v>8.9201664167276519E-4</v>
      </c>
      <c r="Q277" s="8">
        <v>9.1550415003094896E-4</v>
      </c>
      <c r="R277" s="8">
        <v>9.3745317777647647E-4</v>
      </c>
      <c r="S277" s="8">
        <v>9.5940220552200397E-4</v>
      </c>
      <c r="T277" s="8">
        <v>9.7670650488591707E-4</v>
      </c>
      <c r="U277" s="8">
        <v>9.9401080424983039E-4</v>
      </c>
      <c r="V277" s="8">
        <v>1.0113151036137431E-3</v>
      </c>
      <c r="W277" s="8">
        <v>1.028619402977657E-3</v>
      </c>
      <c r="X277" s="8">
        <v>1.0459237023415699E-3</v>
      </c>
      <c r="Y277" s="8">
        <v>1.05633449361908E-3</v>
      </c>
      <c r="Z277" s="8">
        <v>1.0667452848965901E-3</v>
      </c>
      <c r="AA277" s="8">
        <v>1.0771560761740999E-3</v>
      </c>
      <c r="AB277" s="8">
        <v>1.08756686745161E-3</v>
      </c>
      <c r="AC277" s="8">
        <v>1.0979776587291201E-3</v>
      </c>
      <c r="AD277" s="8">
        <v>1.102700065657504E-3</v>
      </c>
      <c r="AE277" s="8">
        <v>1.107422472585888E-3</v>
      </c>
      <c r="AF277" s="8">
        <v>1.112144879514272E-3</v>
      </c>
      <c r="AG277" s="8">
        <v>1.116867286442656E-3</v>
      </c>
      <c r="AH277" s="8">
        <v>1.1215896933710399E-3</v>
      </c>
      <c r="AI277" s="8">
        <v>1.124745454165188E-3</v>
      </c>
      <c r="AJ277" s="8">
        <v>1.1279012149593361E-3</v>
      </c>
      <c r="AK277" s="8">
        <v>1.1310569757534839E-3</v>
      </c>
      <c r="AL277" s="8">
        <v>1.134212736547632E-3</v>
      </c>
      <c r="AM277" s="8">
        <v>1.1373684973417801E-3</v>
      </c>
    </row>
    <row r="278" spans="1:39" x14ac:dyDescent="0.25">
      <c r="A278" t="s">
        <v>577</v>
      </c>
      <c r="B278" t="s">
        <v>240</v>
      </c>
      <c r="C278" t="s">
        <v>315</v>
      </c>
      <c r="D278" t="s">
        <v>590</v>
      </c>
      <c r="E278" s="8">
        <v>0.84444526544818699</v>
      </c>
      <c r="F278" s="8">
        <v>0.84570166762203625</v>
      </c>
      <c r="G278" s="8">
        <v>0.84695806979588562</v>
      </c>
      <c r="H278" s="8">
        <v>0.84821447196973487</v>
      </c>
      <c r="I278" s="8">
        <v>0.84947087414358413</v>
      </c>
      <c r="J278" s="8">
        <v>0.85072727631743339</v>
      </c>
      <c r="K278" s="8">
        <v>0.85198367849128276</v>
      </c>
      <c r="L278" s="8">
        <v>0.85324008066513202</v>
      </c>
      <c r="M278" s="8">
        <v>0.85455024960722559</v>
      </c>
      <c r="N278" s="8">
        <v>0.85586041854931916</v>
      </c>
      <c r="O278" s="8">
        <v>0.85717058749141284</v>
      </c>
      <c r="P278" s="8">
        <v>0.85848075643350641</v>
      </c>
      <c r="Q278" s="8">
        <v>0.85979092537559998</v>
      </c>
      <c r="R278" s="8">
        <v>0.86215677863801599</v>
      </c>
      <c r="S278" s="8">
        <v>0.86452263190043199</v>
      </c>
      <c r="T278" s="8">
        <v>0.86915014732619922</v>
      </c>
      <c r="U278" s="8">
        <v>0.87377766275196644</v>
      </c>
      <c r="V278" s="8">
        <v>0.87840517817773356</v>
      </c>
      <c r="W278" s="8">
        <v>0.88303269360350078</v>
      </c>
      <c r="X278" s="8">
        <v>0.88766020902926801</v>
      </c>
      <c r="Y278" s="8">
        <v>0.89428576185257036</v>
      </c>
      <c r="Z278" s="8">
        <v>0.90091131467587282</v>
      </c>
      <c r="AA278" s="8">
        <v>0.90753686749917517</v>
      </c>
      <c r="AB278" s="8">
        <v>0.91416242032247763</v>
      </c>
      <c r="AC278" s="8">
        <v>0.92078797314577998</v>
      </c>
      <c r="AD278" s="8">
        <v>0.92741213296078218</v>
      </c>
      <c r="AE278" s="8">
        <v>0.93403629277578437</v>
      </c>
      <c r="AF278" s="8">
        <v>0.94066045259078657</v>
      </c>
      <c r="AG278" s="8">
        <v>0.94728461240578876</v>
      </c>
      <c r="AH278" s="8">
        <v>0.95390877222079096</v>
      </c>
      <c r="AI278" s="8">
        <v>0.95950924699150997</v>
      </c>
      <c r="AJ278" s="8">
        <v>0.96510972176222898</v>
      </c>
      <c r="AK278" s="8">
        <v>0.97071019653294799</v>
      </c>
      <c r="AL278" s="8">
        <v>0.976310671303667</v>
      </c>
      <c r="AM278" s="8">
        <v>0.98191114607438601</v>
      </c>
    </row>
    <row r="279" spans="1:39" x14ac:dyDescent="0.25">
      <c r="A279" t="s">
        <v>577</v>
      </c>
      <c r="B279" t="s">
        <v>240</v>
      </c>
      <c r="C279" t="s">
        <v>317</v>
      </c>
      <c r="D279" t="s">
        <v>591</v>
      </c>
      <c r="E279" s="8">
        <v>0.14158237572207599</v>
      </c>
      <c r="F279" s="8">
        <v>0.14195834890697409</v>
      </c>
      <c r="G279" s="8">
        <v>0.1423343220918723</v>
      </c>
      <c r="H279" s="8">
        <v>0.1427102952767704</v>
      </c>
      <c r="I279" s="8">
        <v>0.14308626846166861</v>
      </c>
      <c r="J279" s="8">
        <v>0.14346224164656671</v>
      </c>
      <c r="K279" s="8">
        <v>0.14383821483146481</v>
      </c>
      <c r="L279" s="8">
        <v>0.14421418801636299</v>
      </c>
      <c r="M279" s="8">
        <v>0.14453569990527279</v>
      </c>
      <c r="N279" s="8">
        <v>0.14485721179418259</v>
      </c>
      <c r="O279" s="8">
        <v>0.1451787236830924</v>
      </c>
      <c r="P279" s="8">
        <v>0.1455002355720022</v>
      </c>
      <c r="Q279" s="8">
        <v>0.145821747460912</v>
      </c>
      <c r="R279" s="8">
        <v>0.14629115756135949</v>
      </c>
      <c r="S279" s="8">
        <v>0.14676056766180701</v>
      </c>
      <c r="T279" s="8">
        <v>0.14752098658428039</v>
      </c>
      <c r="U279" s="8">
        <v>0.14828140550675381</v>
      </c>
      <c r="V279" s="8">
        <v>0.1490418244292272</v>
      </c>
      <c r="W279" s="8">
        <v>0.14980224335170059</v>
      </c>
      <c r="X279" s="8">
        <v>0.150562662274174</v>
      </c>
      <c r="Y279" s="8">
        <v>0.15155230084038959</v>
      </c>
      <c r="Z279" s="8">
        <v>0.15254193940660521</v>
      </c>
      <c r="AA279" s="8">
        <v>0.1535315779728208</v>
      </c>
      <c r="AB279" s="8">
        <v>0.15452121653903639</v>
      </c>
      <c r="AC279" s="8">
        <v>0.155510855105252</v>
      </c>
      <c r="AD279" s="8">
        <v>0.1566141755694114</v>
      </c>
      <c r="AE279" s="8">
        <v>0.1577174960335708</v>
      </c>
      <c r="AF279" s="8">
        <v>0.15882081649773019</v>
      </c>
      <c r="AG279" s="8">
        <v>0.15992413696188959</v>
      </c>
      <c r="AH279" s="8">
        <v>0.16102745742604899</v>
      </c>
      <c r="AI279" s="8">
        <v>0.16198508076348839</v>
      </c>
      <c r="AJ279" s="8">
        <v>0.16294270410092779</v>
      </c>
      <c r="AK279" s="8">
        <v>0.16390032743836719</v>
      </c>
      <c r="AL279" s="8">
        <v>0.16485795077580659</v>
      </c>
      <c r="AM279" s="8">
        <v>0.16581557411324599</v>
      </c>
    </row>
    <row r="280" spans="1:39" x14ac:dyDescent="0.25">
      <c r="A280" t="s">
        <v>577</v>
      </c>
      <c r="B280" t="s">
        <v>240</v>
      </c>
      <c r="C280" t="s">
        <v>319</v>
      </c>
      <c r="D280" t="s">
        <v>592</v>
      </c>
      <c r="E280" s="8">
        <v>7.1045134845606301E-5</v>
      </c>
      <c r="F280" s="8">
        <v>7.2297285121308686E-5</v>
      </c>
      <c r="G280" s="8">
        <v>7.3549435397011071E-5</v>
      </c>
      <c r="H280" s="8">
        <v>7.4801585672713456E-5</v>
      </c>
      <c r="I280" s="8">
        <v>7.6053735948415841E-5</v>
      </c>
      <c r="J280" s="8">
        <v>7.7305886224118226E-5</v>
      </c>
      <c r="K280" s="8">
        <v>7.8558036499820611E-5</v>
      </c>
      <c r="L280" s="8">
        <v>7.9810186775522996E-5</v>
      </c>
      <c r="M280" s="8">
        <v>8.1348821267153792E-5</v>
      </c>
      <c r="N280" s="8">
        <v>8.2887455758784602E-5</v>
      </c>
      <c r="O280" s="8">
        <v>8.4426090250415398E-5</v>
      </c>
      <c r="P280" s="8">
        <v>8.5964724742046208E-5</v>
      </c>
      <c r="Q280" s="8">
        <v>8.7503359233677004E-5</v>
      </c>
      <c r="R280" s="8">
        <v>8.9144266603621299E-5</v>
      </c>
      <c r="S280" s="8">
        <v>9.0785173973565594E-5</v>
      </c>
      <c r="T280" s="8">
        <v>9.2531801058983969E-5</v>
      </c>
      <c r="U280" s="8">
        <v>9.4278428144402358E-5</v>
      </c>
      <c r="V280" s="8">
        <v>9.6025055229820733E-5</v>
      </c>
      <c r="W280" s="8">
        <v>9.7771682315239122E-5</v>
      </c>
      <c r="X280" s="8">
        <v>9.9518309400657497E-5</v>
      </c>
      <c r="Y280" s="8">
        <v>1.0094505661244781E-4</v>
      </c>
      <c r="Z280" s="8">
        <v>1.023718038242381E-4</v>
      </c>
      <c r="AA280" s="8">
        <v>1.037985510360284E-4</v>
      </c>
      <c r="AB280" s="8">
        <v>1.052252982478187E-4</v>
      </c>
      <c r="AC280" s="8">
        <v>1.06652045459609E-4</v>
      </c>
      <c r="AD280" s="8">
        <v>1.07277822431368E-4</v>
      </c>
      <c r="AE280" s="8">
        <v>1.07903599403127E-4</v>
      </c>
      <c r="AF280" s="8">
        <v>1.08529376374886E-4</v>
      </c>
      <c r="AG280" s="8">
        <v>1.09155153346645E-4</v>
      </c>
      <c r="AH280" s="8">
        <v>1.09780930318404E-4</v>
      </c>
      <c r="AI280" s="8">
        <v>1.100041086816446E-4</v>
      </c>
      <c r="AJ280" s="8">
        <v>1.102272870448852E-4</v>
      </c>
      <c r="AK280" s="8">
        <v>1.104504654081258E-4</v>
      </c>
      <c r="AL280" s="8">
        <v>1.106736437713664E-4</v>
      </c>
      <c r="AM280" s="8">
        <v>1.1089682213460701E-4</v>
      </c>
    </row>
    <row r="281" spans="1:39" x14ac:dyDescent="0.25">
      <c r="A281" t="s">
        <v>577</v>
      </c>
      <c r="B281" t="s">
        <v>240</v>
      </c>
      <c r="C281" t="s">
        <v>321</v>
      </c>
      <c r="D281" t="s">
        <v>593</v>
      </c>
      <c r="E281" s="8">
        <v>1.2827092599240701E-4</v>
      </c>
      <c r="F281" s="8">
        <v>1.3240292275373971E-4</v>
      </c>
      <c r="G281" s="8">
        <v>1.3653491951507241E-4</v>
      </c>
      <c r="H281" s="8">
        <v>1.4066691627640521E-4</v>
      </c>
      <c r="I281" s="8">
        <v>1.4479891303773791E-4</v>
      </c>
      <c r="J281" s="8">
        <v>1.4893090979907061E-4</v>
      </c>
      <c r="K281" s="8">
        <v>1.530629065604033E-4</v>
      </c>
      <c r="L281" s="8">
        <v>1.57194903321736E-4</v>
      </c>
      <c r="M281" s="8">
        <v>1.6195385778790139E-4</v>
      </c>
      <c r="N281" s="8">
        <v>1.6671281225406681E-4</v>
      </c>
      <c r="O281" s="8">
        <v>1.714717667202322E-4</v>
      </c>
      <c r="P281" s="8">
        <v>1.7623072118639759E-4</v>
      </c>
      <c r="Q281" s="8">
        <v>1.80989675652563E-4</v>
      </c>
      <c r="R281" s="8">
        <v>1.85509895385236E-4</v>
      </c>
      <c r="S281" s="8">
        <v>1.9003011511790899E-4</v>
      </c>
      <c r="T281" s="8">
        <v>1.9383127119781721E-4</v>
      </c>
      <c r="U281" s="8">
        <v>1.976324272777254E-4</v>
      </c>
      <c r="V281" s="8">
        <v>2.014335833576336E-4</v>
      </c>
      <c r="W281" s="8">
        <v>2.0523473943754179E-4</v>
      </c>
      <c r="X281" s="8">
        <v>2.0903589551745001E-4</v>
      </c>
      <c r="Y281" s="8">
        <v>2.1141288436470919E-4</v>
      </c>
      <c r="Z281" s="8">
        <v>2.137898732119684E-4</v>
      </c>
      <c r="AA281" s="8">
        <v>2.1616686205922761E-4</v>
      </c>
      <c r="AB281" s="8">
        <v>2.1854385090648679E-4</v>
      </c>
      <c r="AC281" s="8">
        <v>2.20920839753746E-4</v>
      </c>
      <c r="AD281" s="8">
        <v>2.22005394491494E-4</v>
      </c>
      <c r="AE281" s="8">
        <v>2.2308994922924199E-4</v>
      </c>
      <c r="AF281" s="8">
        <v>2.2417450396698999E-4</v>
      </c>
      <c r="AG281" s="8">
        <v>2.2525905870473799E-4</v>
      </c>
      <c r="AH281" s="8">
        <v>2.2634361344248599E-4</v>
      </c>
      <c r="AI281" s="8">
        <v>2.269472057551378E-4</v>
      </c>
      <c r="AJ281" s="8">
        <v>2.2755079806778959E-4</v>
      </c>
      <c r="AK281" s="8">
        <v>2.281543903804414E-4</v>
      </c>
      <c r="AL281" s="8">
        <v>2.2875798269309319E-4</v>
      </c>
      <c r="AM281" s="8">
        <v>2.2936157500574501E-4</v>
      </c>
    </row>
    <row r="282" spans="1:39" x14ac:dyDescent="0.25">
      <c r="A282" t="s">
        <v>577</v>
      </c>
      <c r="B282" t="s">
        <v>240</v>
      </c>
      <c r="C282" t="s">
        <v>323</v>
      </c>
      <c r="D282" t="s">
        <v>594</v>
      </c>
      <c r="E282" s="8">
        <v>4.7146295575661401E-4</v>
      </c>
      <c r="F282" s="8">
        <v>4.8549733017520721E-4</v>
      </c>
      <c r="G282" s="8">
        <v>4.995317045938003E-4</v>
      </c>
      <c r="H282" s="8">
        <v>5.1356607901239344E-4</v>
      </c>
      <c r="I282" s="8">
        <v>5.2760045343098658E-4</v>
      </c>
      <c r="J282" s="8">
        <v>5.4163482784957973E-4</v>
      </c>
      <c r="K282" s="8">
        <v>5.5566920226817287E-4</v>
      </c>
      <c r="L282" s="8">
        <v>5.6970357668676601E-4</v>
      </c>
      <c r="M282" s="8">
        <v>5.887373994742436E-4</v>
      </c>
      <c r="N282" s="8">
        <v>6.0777122226172119E-4</v>
      </c>
      <c r="O282" s="8">
        <v>6.2680504504919877E-4</v>
      </c>
      <c r="P282" s="8">
        <v>6.4583886783667636E-4</v>
      </c>
      <c r="Q282" s="8">
        <v>6.6487269062415395E-4</v>
      </c>
      <c r="R282" s="8">
        <v>6.8499691797475795E-4</v>
      </c>
      <c r="S282" s="8">
        <v>7.0512114532536195E-4</v>
      </c>
      <c r="T282" s="8">
        <v>7.2505483355470176E-4</v>
      </c>
      <c r="U282" s="8">
        <v>7.4498852178404157E-4</v>
      </c>
      <c r="V282" s="8">
        <v>7.6492221001338138E-4</v>
      </c>
      <c r="W282" s="8">
        <v>7.8485589824272119E-4</v>
      </c>
      <c r="X282" s="8">
        <v>8.04789586472061E-4</v>
      </c>
      <c r="Y282" s="8">
        <v>8.1859877805789364E-4</v>
      </c>
      <c r="Z282" s="8">
        <v>8.3240796964372617E-4</v>
      </c>
      <c r="AA282" s="8">
        <v>8.462171612295588E-4</v>
      </c>
      <c r="AB282" s="8">
        <v>8.6002635281539133E-4</v>
      </c>
      <c r="AC282" s="8">
        <v>8.7383554440122397E-4</v>
      </c>
      <c r="AD282" s="8">
        <v>8.7979165951300193E-4</v>
      </c>
      <c r="AE282" s="8">
        <v>8.8574777462478E-4</v>
      </c>
      <c r="AF282" s="8">
        <v>8.9170388973655796E-4</v>
      </c>
      <c r="AG282" s="8">
        <v>8.9766000484833603E-4</v>
      </c>
      <c r="AH282" s="8">
        <v>9.0361611996011399E-4</v>
      </c>
      <c r="AI282" s="8">
        <v>9.0460043928977717E-4</v>
      </c>
      <c r="AJ282" s="8">
        <v>9.0558475861944035E-4</v>
      </c>
      <c r="AK282" s="8">
        <v>9.0656907794910363E-4</v>
      </c>
      <c r="AL282" s="8">
        <v>9.0755339727876681E-4</v>
      </c>
      <c r="AM282" s="8">
        <v>9.0853771660842999E-4</v>
      </c>
    </row>
    <row r="283" spans="1:39" x14ac:dyDescent="0.25">
      <c r="A283" t="s">
        <v>577</v>
      </c>
      <c r="B283" t="s">
        <v>240</v>
      </c>
      <c r="C283" t="s">
        <v>325</v>
      </c>
      <c r="D283" t="s">
        <v>595</v>
      </c>
      <c r="E283" s="8">
        <v>6.1640776048844801E-5</v>
      </c>
      <c r="F283" s="8">
        <v>6.3645435339618417E-5</v>
      </c>
      <c r="G283" s="8">
        <v>6.5650094630392033E-5</v>
      </c>
      <c r="H283" s="8">
        <v>6.765475392116565E-5</v>
      </c>
      <c r="I283" s="8">
        <v>6.9659413211939253E-5</v>
      </c>
      <c r="J283" s="8">
        <v>7.1664072502712869E-5</v>
      </c>
      <c r="K283" s="8">
        <v>7.3668731793486485E-5</v>
      </c>
      <c r="L283" s="8">
        <v>7.5673391084260102E-5</v>
      </c>
      <c r="M283" s="8">
        <v>7.7666396930083702E-5</v>
      </c>
      <c r="N283" s="8">
        <v>7.9659402775907303E-5</v>
      </c>
      <c r="O283" s="8">
        <v>8.1652408621730904E-5</v>
      </c>
      <c r="P283" s="8">
        <v>8.3645414467554505E-5</v>
      </c>
      <c r="Q283" s="8">
        <v>8.5638420313378106E-5</v>
      </c>
      <c r="R283" s="8">
        <v>8.7277423034707712E-5</v>
      </c>
      <c r="S283" s="8">
        <v>8.8916425756037305E-5</v>
      </c>
      <c r="T283" s="8">
        <v>8.995008382526451E-5</v>
      </c>
      <c r="U283" s="8">
        <v>9.0983741894491702E-5</v>
      </c>
      <c r="V283" s="8">
        <v>9.2017399963718907E-5</v>
      </c>
      <c r="W283" s="8">
        <v>9.3051058032946098E-5</v>
      </c>
      <c r="X283" s="8">
        <v>9.4084716102173303E-5</v>
      </c>
      <c r="Y283" s="8">
        <v>9.4521459242841562E-5</v>
      </c>
      <c r="Z283" s="8">
        <v>9.495820238350982E-5</v>
      </c>
      <c r="AA283" s="8">
        <v>9.5394945524178079E-5</v>
      </c>
      <c r="AB283" s="8">
        <v>9.5831688664846338E-5</v>
      </c>
      <c r="AC283" s="8">
        <v>9.6268431805514597E-5</v>
      </c>
      <c r="AD283" s="8">
        <v>9.647339544596388E-5</v>
      </c>
      <c r="AE283" s="8">
        <v>9.6678359086413163E-5</v>
      </c>
      <c r="AF283" s="8">
        <v>9.6883322726862433E-5</v>
      </c>
      <c r="AG283" s="8">
        <v>9.7088286367311716E-5</v>
      </c>
      <c r="AH283" s="8">
        <v>9.7293250007760999E-5</v>
      </c>
      <c r="AI283" s="8">
        <v>9.7638638567141685E-5</v>
      </c>
      <c r="AJ283" s="8">
        <v>9.7984027126522358E-5</v>
      </c>
      <c r="AK283" s="8">
        <v>9.8329415685903044E-5</v>
      </c>
      <c r="AL283" s="8">
        <v>9.8674804245283716E-5</v>
      </c>
      <c r="AM283" s="8">
        <v>9.9020192804664402E-5</v>
      </c>
    </row>
    <row r="284" spans="1:39" x14ac:dyDescent="0.25">
      <c r="A284" t="s">
        <v>577</v>
      </c>
      <c r="B284" t="s">
        <v>240</v>
      </c>
      <c r="C284" t="s">
        <v>327</v>
      </c>
      <c r="D284" t="s">
        <v>596</v>
      </c>
      <c r="E284" s="8">
        <v>5.5209927915784703E-5</v>
      </c>
      <c r="F284" s="8">
        <v>5.7074420564562108E-5</v>
      </c>
      <c r="G284" s="8">
        <v>5.8938913213339527E-5</v>
      </c>
      <c r="H284" s="8">
        <v>6.0803405862116952E-5</v>
      </c>
      <c r="I284" s="8">
        <v>6.2667898510894364E-5</v>
      </c>
      <c r="J284" s="8">
        <v>6.4532391159671776E-5</v>
      </c>
      <c r="K284" s="8">
        <v>6.6396883808449188E-5</v>
      </c>
      <c r="L284" s="8">
        <v>6.82613764572266E-5</v>
      </c>
      <c r="M284" s="8">
        <v>7.0075287244190126E-5</v>
      </c>
      <c r="N284" s="8">
        <v>7.1889198031153639E-5</v>
      </c>
      <c r="O284" s="8">
        <v>7.3703108818117165E-5</v>
      </c>
      <c r="P284" s="8">
        <v>7.5517019605080677E-5</v>
      </c>
      <c r="Q284" s="8">
        <v>7.7330930392044203E-5</v>
      </c>
      <c r="R284" s="8">
        <v>7.8802648357615204E-5</v>
      </c>
      <c r="S284" s="8">
        <v>8.0274366323186206E-5</v>
      </c>
      <c r="T284" s="8">
        <v>8.1138964846462486E-5</v>
      </c>
      <c r="U284" s="8">
        <v>8.2003563369738766E-5</v>
      </c>
      <c r="V284" s="8">
        <v>8.2868161893015046E-5</v>
      </c>
      <c r="W284" s="8">
        <v>8.3732760416291326E-5</v>
      </c>
      <c r="X284" s="8">
        <v>8.4597358939567606E-5</v>
      </c>
      <c r="Y284" s="8">
        <v>8.4935894269165418E-5</v>
      </c>
      <c r="Z284" s="8">
        <v>8.5274429598763244E-5</v>
      </c>
      <c r="AA284" s="8">
        <v>8.5612964928361056E-5</v>
      </c>
      <c r="AB284" s="8">
        <v>8.5951500257958882E-5</v>
      </c>
      <c r="AC284" s="8">
        <v>8.6290035587556694E-5</v>
      </c>
      <c r="AD284" s="8">
        <v>8.6426875447422158E-5</v>
      </c>
      <c r="AE284" s="8">
        <v>8.6563715307287623E-5</v>
      </c>
      <c r="AF284" s="8">
        <v>8.6700555167153073E-5</v>
      </c>
      <c r="AG284" s="8">
        <v>8.6837395027018538E-5</v>
      </c>
      <c r="AH284" s="8">
        <v>8.6974234886884002E-5</v>
      </c>
      <c r="AI284" s="8">
        <v>8.7293241251107503E-5</v>
      </c>
      <c r="AJ284" s="8">
        <v>8.7612247615331004E-5</v>
      </c>
      <c r="AK284" s="8">
        <v>8.7931253979554492E-5</v>
      </c>
      <c r="AL284" s="8">
        <v>8.8250260343777993E-5</v>
      </c>
      <c r="AM284" s="8">
        <v>8.8569266708001494E-5</v>
      </c>
    </row>
    <row r="285" spans="1:39" x14ac:dyDescent="0.25">
      <c r="A285" t="s">
        <v>577</v>
      </c>
      <c r="B285" t="s">
        <v>240</v>
      </c>
      <c r="C285" t="s">
        <v>329</v>
      </c>
      <c r="D285" t="s">
        <v>597</v>
      </c>
      <c r="E285" s="8">
        <v>1.46136214202032E-5</v>
      </c>
      <c r="F285" s="8">
        <v>1.48484110116114E-5</v>
      </c>
      <c r="G285" s="8">
        <v>1.5083200603019601E-5</v>
      </c>
      <c r="H285" s="8">
        <v>1.5317990194427801E-5</v>
      </c>
      <c r="I285" s="8">
        <v>1.5552779785836E-5</v>
      </c>
      <c r="J285" s="8">
        <v>1.5787569377244198E-5</v>
      </c>
      <c r="K285" s="8">
        <v>1.60223589686524E-5</v>
      </c>
      <c r="L285" s="8">
        <v>1.6257148560060599E-5</v>
      </c>
      <c r="M285" s="8">
        <v>1.6490788064464081E-5</v>
      </c>
      <c r="N285" s="8">
        <v>1.672442756886756E-5</v>
      </c>
      <c r="O285" s="8">
        <v>1.6958067073271039E-5</v>
      </c>
      <c r="P285" s="8">
        <v>1.7191706577674522E-5</v>
      </c>
      <c r="Q285" s="8">
        <v>1.7425346082078001E-5</v>
      </c>
      <c r="R285" s="8">
        <v>1.7641257167810301E-5</v>
      </c>
      <c r="S285" s="8">
        <v>1.7857168253542601E-5</v>
      </c>
      <c r="T285" s="8">
        <v>1.802352514842044E-5</v>
      </c>
      <c r="U285" s="8">
        <v>1.8189882043298279E-5</v>
      </c>
      <c r="V285" s="8">
        <v>1.8356238938176121E-5</v>
      </c>
      <c r="W285" s="8">
        <v>1.852259583305396E-5</v>
      </c>
      <c r="X285" s="8">
        <v>1.8688952727931799E-5</v>
      </c>
      <c r="Y285" s="8">
        <v>1.8794575234062759E-5</v>
      </c>
      <c r="Z285" s="8">
        <v>1.8900197740193721E-5</v>
      </c>
      <c r="AA285" s="8">
        <v>1.9005820246324681E-5</v>
      </c>
      <c r="AB285" s="8">
        <v>1.911144275245564E-5</v>
      </c>
      <c r="AC285" s="8">
        <v>1.9217065258586599E-5</v>
      </c>
      <c r="AD285" s="8">
        <v>1.9296495382693342E-5</v>
      </c>
      <c r="AE285" s="8">
        <v>1.937592550680008E-5</v>
      </c>
      <c r="AF285" s="8">
        <v>1.9455355630906819E-5</v>
      </c>
      <c r="AG285" s="8">
        <v>1.9534785755013562E-5</v>
      </c>
      <c r="AH285" s="8">
        <v>1.9614215879120301E-5</v>
      </c>
      <c r="AI285" s="8">
        <v>1.970267106683272E-5</v>
      </c>
      <c r="AJ285" s="8">
        <v>1.9791126254545139E-5</v>
      </c>
      <c r="AK285" s="8">
        <v>1.9879581442257559E-5</v>
      </c>
      <c r="AL285" s="8">
        <v>1.9968036629969981E-5</v>
      </c>
      <c r="AM285" s="8">
        <v>2.0056491817682401E-5</v>
      </c>
    </row>
    <row r="286" spans="1:39" x14ac:dyDescent="0.25">
      <c r="A286" t="s">
        <v>577</v>
      </c>
      <c r="B286" t="s">
        <v>240</v>
      </c>
      <c r="C286" t="s">
        <v>331</v>
      </c>
      <c r="D286" t="s">
        <v>598</v>
      </c>
      <c r="E286" s="8">
        <v>3.0844026813715999E-4</v>
      </c>
      <c r="F286" s="8">
        <v>3.1384422734013801E-4</v>
      </c>
      <c r="G286" s="8">
        <v>3.1924818654311597E-4</v>
      </c>
      <c r="H286" s="8">
        <v>3.2465214574609399E-4</v>
      </c>
      <c r="I286" s="8">
        <v>3.3005610494907201E-4</v>
      </c>
      <c r="J286" s="8">
        <v>3.3546006415204998E-4</v>
      </c>
      <c r="K286" s="8">
        <v>3.40864023355028E-4</v>
      </c>
      <c r="L286" s="8">
        <v>3.4626798255800602E-4</v>
      </c>
      <c r="M286" s="8">
        <v>3.5249232542265821E-4</v>
      </c>
      <c r="N286" s="8">
        <v>3.5871666828731039E-4</v>
      </c>
      <c r="O286" s="8">
        <v>3.6494101115196257E-4</v>
      </c>
      <c r="P286" s="8">
        <v>3.7116535401661481E-4</v>
      </c>
      <c r="Q286" s="8">
        <v>3.77389696881267E-4</v>
      </c>
      <c r="R286" s="8">
        <v>3.8344923071142751E-4</v>
      </c>
      <c r="S286" s="8">
        <v>3.8950876454158802E-4</v>
      </c>
      <c r="T286" s="8">
        <v>3.952921729781104E-4</v>
      </c>
      <c r="U286" s="8">
        <v>4.0107558141463278E-4</v>
      </c>
      <c r="V286" s="8">
        <v>4.0685898985115521E-4</v>
      </c>
      <c r="W286" s="8">
        <v>4.1264239828767759E-4</v>
      </c>
      <c r="X286" s="8">
        <v>4.1842580672420002E-4</v>
      </c>
      <c r="Y286" s="8">
        <v>4.2287782839169958E-4</v>
      </c>
      <c r="Z286" s="8">
        <v>4.2732985005919919E-4</v>
      </c>
      <c r="AA286" s="8">
        <v>4.3178187172669881E-4</v>
      </c>
      <c r="AB286" s="8">
        <v>4.3623389339419842E-4</v>
      </c>
      <c r="AC286" s="8">
        <v>4.4068591506169798E-4</v>
      </c>
      <c r="AD286" s="8">
        <v>4.4353278346386562E-4</v>
      </c>
      <c r="AE286" s="8">
        <v>4.4637965186603321E-4</v>
      </c>
      <c r="AF286" s="8">
        <v>4.4922652026820081E-4</v>
      </c>
      <c r="AG286" s="8">
        <v>4.520733886703684E-4</v>
      </c>
      <c r="AH286" s="8">
        <v>4.5492025707253599E-4</v>
      </c>
      <c r="AI286" s="8">
        <v>4.5687704691316878E-4</v>
      </c>
      <c r="AJ286" s="8">
        <v>4.5883383675380163E-4</v>
      </c>
      <c r="AK286" s="8">
        <v>4.6079062659443442E-4</v>
      </c>
      <c r="AL286" s="8">
        <v>4.6274741643506721E-4</v>
      </c>
      <c r="AM286" s="8">
        <v>4.647042062757E-4</v>
      </c>
    </row>
    <row r="287" spans="1:39" x14ac:dyDescent="0.25">
      <c r="A287" t="s">
        <v>577</v>
      </c>
      <c r="B287" t="s">
        <v>240</v>
      </c>
      <c r="C287" t="s">
        <v>333</v>
      </c>
      <c r="D287" t="s">
        <v>599</v>
      </c>
      <c r="E287" s="8">
        <v>1.9039716264973401</v>
      </c>
      <c r="F287" s="8">
        <v>1.9110718013993599</v>
      </c>
      <c r="G287" s="8">
        <v>1.91817197630138</v>
      </c>
      <c r="H287" s="8">
        <v>1.9252721512033999</v>
      </c>
      <c r="I287" s="8">
        <v>1.93237232610542</v>
      </c>
      <c r="J287" s="8">
        <v>1.9394725010074401</v>
      </c>
      <c r="K287" s="8">
        <v>1.9465726759094599</v>
      </c>
      <c r="L287" s="8">
        <v>1.95367285081148</v>
      </c>
      <c r="M287" s="8">
        <v>1.9744073031331659</v>
      </c>
      <c r="N287" s="8">
        <v>1.9951417554548521</v>
      </c>
      <c r="O287" s="8">
        <v>2.0158762077765382</v>
      </c>
      <c r="P287" s="8">
        <v>2.0366106600982241</v>
      </c>
      <c r="Q287" s="8">
        <v>2.05734511241991</v>
      </c>
      <c r="R287" s="8">
        <v>2.080508708091295</v>
      </c>
      <c r="S287" s="8">
        <v>2.1036723037626799</v>
      </c>
      <c r="T287" s="8">
        <v>2.1210036242749539</v>
      </c>
      <c r="U287" s="8">
        <v>2.138334944787228</v>
      </c>
      <c r="V287" s="8">
        <v>2.155666265299502</v>
      </c>
      <c r="W287" s="8">
        <v>2.172997585811776</v>
      </c>
      <c r="X287" s="8">
        <v>2.1903289063240501</v>
      </c>
      <c r="Y287" s="8">
        <v>2.1985971700830098</v>
      </c>
      <c r="Z287" s="8">
        <v>2.20686543384197</v>
      </c>
      <c r="AA287" s="8">
        <v>2.2151336976009302</v>
      </c>
      <c r="AB287" s="8">
        <v>2.2234019613598899</v>
      </c>
      <c r="AC287" s="8">
        <v>2.23167022511885</v>
      </c>
      <c r="AD287" s="8">
        <v>2.2416742732150041</v>
      </c>
      <c r="AE287" s="8">
        <v>2.2516783213111582</v>
      </c>
      <c r="AF287" s="8">
        <v>2.2616823694073118</v>
      </c>
      <c r="AG287" s="8">
        <v>2.2716864175034659</v>
      </c>
      <c r="AH287" s="8">
        <v>2.28169046559962</v>
      </c>
      <c r="AI287" s="8">
        <v>2.2922778018669101</v>
      </c>
      <c r="AJ287" s="8">
        <v>2.3028651381341998</v>
      </c>
      <c r="AK287" s="8">
        <v>2.3134524744014899</v>
      </c>
      <c r="AL287" s="8">
        <v>2.3240398106687801</v>
      </c>
      <c r="AM287" s="8">
        <v>2.3346271469360702</v>
      </c>
    </row>
    <row r="288" spans="1:39" x14ac:dyDescent="0.25">
      <c r="A288" t="s">
        <v>577</v>
      </c>
      <c r="B288" t="s">
        <v>236</v>
      </c>
      <c r="C288" t="s">
        <v>53</v>
      </c>
      <c r="D288" t="s">
        <v>600</v>
      </c>
      <c r="E288" s="8">
        <v>2.68328982454452E-2</v>
      </c>
      <c r="F288" s="8">
        <v>2.6985121628428529E-2</v>
      </c>
      <c r="G288" s="8">
        <v>2.7137345011411861E-2</v>
      </c>
      <c r="H288" s="8">
        <v>2.728956839439519E-2</v>
      </c>
      <c r="I288" s="8">
        <v>2.7441791777378509E-2</v>
      </c>
      <c r="J288" s="8">
        <v>2.7594015160361841E-2</v>
      </c>
      <c r="K288" s="8">
        <v>2.774623854334517E-2</v>
      </c>
      <c r="L288" s="8">
        <v>2.7898461926328499E-2</v>
      </c>
      <c r="M288" s="8">
        <v>2.8248683697579859E-2</v>
      </c>
      <c r="N288" s="8">
        <v>2.8598905468831221E-2</v>
      </c>
      <c r="O288" s="8">
        <v>2.894912724008258E-2</v>
      </c>
      <c r="P288" s="8">
        <v>2.929934901133394E-2</v>
      </c>
      <c r="Q288" s="8">
        <v>2.9649570782585299E-2</v>
      </c>
      <c r="R288" s="8">
        <v>3.033162504078725E-2</v>
      </c>
      <c r="S288" s="8">
        <v>3.10136792989892E-2</v>
      </c>
      <c r="T288" s="8">
        <v>3.1461681246942617E-2</v>
      </c>
      <c r="U288" s="8">
        <v>3.1909683194896038E-2</v>
      </c>
      <c r="V288" s="8">
        <v>3.2357685142849459E-2</v>
      </c>
      <c r="W288" s="8">
        <v>3.2805687090802879E-2</v>
      </c>
      <c r="X288" s="8">
        <v>3.32536890387563E-2</v>
      </c>
      <c r="Y288" s="8">
        <v>3.3601534038688499E-2</v>
      </c>
      <c r="Z288" s="8">
        <v>3.3949379038620699E-2</v>
      </c>
      <c r="AA288" s="8">
        <v>3.4297224038552898E-2</v>
      </c>
      <c r="AB288" s="8">
        <v>3.4645069038485098E-2</v>
      </c>
      <c r="AC288" s="8">
        <v>3.4992914038417297E-2</v>
      </c>
      <c r="AD288" s="8">
        <v>3.5177191984561963E-2</v>
      </c>
      <c r="AE288" s="8">
        <v>3.5361469930706622E-2</v>
      </c>
      <c r="AF288" s="8">
        <v>3.5545747876851282E-2</v>
      </c>
      <c r="AG288" s="8">
        <v>3.5730025822995941E-2</v>
      </c>
      <c r="AH288" s="8">
        <v>3.59143037691406E-2</v>
      </c>
      <c r="AI288" s="8">
        <v>3.5946526193512657E-2</v>
      </c>
      <c r="AJ288" s="8">
        <v>3.597874861788472E-2</v>
      </c>
      <c r="AK288" s="8">
        <v>3.6010971042256777E-2</v>
      </c>
      <c r="AL288" s="8">
        <v>3.6043193466628841E-2</v>
      </c>
      <c r="AM288" s="8">
        <v>3.6075415891000898E-2</v>
      </c>
    </row>
    <row r="289" spans="1:39" x14ac:dyDescent="0.25">
      <c r="A289" t="s">
        <v>577</v>
      </c>
      <c r="B289" t="s">
        <v>236</v>
      </c>
      <c r="C289" t="s">
        <v>293</v>
      </c>
      <c r="D289" t="s">
        <v>601</v>
      </c>
      <c r="E289" s="8">
        <v>1.18815508928707E-4</v>
      </c>
      <c r="F289" s="8">
        <v>1.175580214870394E-4</v>
      </c>
      <c r="G289" s="8">
        <v>1.163005340453719E-4</v>
      </c>
      <c r="H289" s="8">
        <v>1.150430466037043E-4</v>
      </c>
      <c r="I289" s="8">
        <v>1.137855591620367E-4</v>
      </c>
      <c r="J289" s="8">
        <v>1.125280717203691E-4</v>
      </c>
      <c r="K289" s="8">
        <v>1.112705842787016E-4</v>
      </c>
      <c r="L289" s="8">
        <v>1.10013096837034E-4</v>
      </c>
      <c r="M289" s="8">
        <v>1.09062174197971E-4</v>
      </c>
      <c r="N289" s="8">
        <v>1.08111251558908E-4</v>
      </c>
      <c r="O289" s="8">
        <v>1.07160328919845E-4</v>
      </c>
      <c r="P289" s="8">
        <v>1.0620940628078201E-4</v>
      </c>
      <c r="Q289" s="8">
        <v>1.05258483641719E-4</v>
      </c>
      <c r="R289" s="8">
        <v>7.0002522103927554E-5</v>
      </c>
      <c r="S289" s="8">
        <v>3.4746560566136101E-5</v>
      </c>
      <c r="T289" s="8">
        <v>3.451943439663694E-5</v>
      </c>
      <c r="U289" s="8">
        <v>3.4292308227137779E-5</v>
      </c>
      <c r="V289" s="8">
        <v>3.4065182057638618E-5</v>
      </c>
      <c r="W289" s="8">
        <v>3.3838055888139457E-5</v>
      </c>
      <c r="X289" s="8">
        <v>3.3610929718640303E-5</v>
      </c>
      <c r="Y289" s="8">
        <v>3.3468269338872059E-5</v>
      </c>
      <c r="Z289" s="8">
        <v>3.3325608959103822E-5</v>
      </c>
      <c r="AA289" s="8">
        <v>3.3182948579335579E-5</v>
      </c>
      <c r="AB289" s="8">
        <v>3.3040288199567342E-5</v>
      </c>
      <c r="AC289" s="8">
        <v>3.2897627819799099E-5</v>
      </c>
      <c r="AD289" s="8">
        <v>3.2719798739498461E-5</v>
      </c>
      <c r="AE289" s="8">
        <v>3.2541969659197817E-5</v>
      </c>
      <c r="AF289" s="8">
        <v>3.236414057889718E-5</v>
      </c>
      <c r="AG289" s="8">
        <v>3.2186311498596543E-5</v>
      </c>
      <c r="AH289" s="8">
        <v>3.2008482418295899E-5</v>
      </c>
      <c r="AI289" s="8">
        <v>3.1816760318961282E-5</v>
      </c>
      <c r="AJ289" s="8">
        <v>3.1625038219626658E-5</v>
      </c>
      <c r="AK289" s="8">
        <v>3.1433316120292041E-5</v>
      </c>
      <c r="AL289" s="8">
        <v>3.1241594020957417E-5</v>
      </c>
      <c r="AM289" s="8">
        <v>3.10498719216228E-5</v>
      </c>
    </row>
    <row r="290" spans="1:39" x14ac:dyDescent="0.25">
      <c r="A290" t="s">
        <v>577</v>
      </c>
      <c r="B290" t="s">
        <v>236</v>
      </c>
      <c r="C290" t="s">
        <v>295</v>
      </c>
      <c r="D290" t="s">
        <v>602</v>
      </c>
      <c r="E290" s="8">
        <v>5.9828217063528601</v>
      </c>
      <c r="F290" s="8">
        <v>6.0034661138813714</v>
      </c>
      <c r="G290" s="8">
        <v>6.02411052140988</v>
      </c>
      <c r="H290" s="8">
        <v>6.0447549289383904</v>
      </c>
      <c r="I290" s="8">
        <v>6.0653993364668999</v>
      </c>
      <c r="J290" s="8">
        <v>6.0860437439954103</v>
      </c>
      <c r="K290" s="8">
        <v>6.1066881515239197</v>
      </c>
      <c r="L290" s="8">
        <v>6.1273325590524301</v>
      </c>
      <c r="M290" s="8">
        <v>6.1901565587401963</v>
      </c>
      <c r="N290" s="8">
        <v>6.2529805584279634</v>
      </c>
      <c r="O290" s="8">
        <v>6.3158045581157278</v>
      </c>
      <c r="P290" s="8">
        <v>6.378628557803494</v>
      </c>
      <c r="Q290" s="8">
        <v>6.4414525574912602</v>
      </c>
      <c r="R290" s="8">
        <v>6.5140600735639804</v>
      </c>
      <c r="S290" s="8">
        <v>6.5866675896366997</v>
      </c>
      <c r="T290" s="8">
        <v>6.6386342611950999</v>
      </c>
      <c r="U290" s="8">
        <v>6.6906009327535001</v>
      </c>
      <c r="V290" s="8">
        <v>6.7425676043118994</v>
      </c>
      <c r="W290" s="8">
        <v>6.7945342758702996</v>
      </c>
      <c r="X290" s="8">
        <v>6.8465009474286997</v>
      </c>
      <c r="Y290" s="8">
        <v>6.8678598698781341</v>
      </c>
      <c r="Z290" s="8">
        <v>6.8892187923275676</v>
      </c>
      <c r="AA290" s="8">
        <v>6.910577714777002</v>
      </c>
      <c r="AB290" s="8">
        <v>6.9319366372264346</v>
      </c>
      <c r="AC290" s="8">
        <v>6.9532955596758699</v>
      </c>
      <c r="AD290" s="8">
        <v>6.9795206416846822</v>
      </c>
      <c r="AE290" s="8">
        <v>7.0057457236934937</v>
      </c>
      <c r="AF290" s="8">
        <v>7.031970805702306</v>
      </c>
      <c r="AG290" s="8">
        <v>7.0581958877111166</v>
      </c>
      <c r="AH290" s="8">
        <v>7.0844209697199299</v>
      </c>
      <c r="AI290" s="8">
        <v>7.1136375357302546</v>
      </c>
      <c r="AJ290" s="8">
        <v>7.142854101740582</v>
      </c>
      <c r="AK290" s="8">
        <v>7.1720706677509076</v>
      </c>
      <c r="AL290" s="8">
        <v>7.2012872337612341</v>
      </c>
      <c r="AM290" s="8">
        <v>7.2305037997715598</v>
      </c>
    </row>
    <row r="291" spans="1:39" x14ac:dyDescent="0.25">
      <c r="A291" t="s">
        <v>577</v>
      </c>
      <c r="B291" t="s">
        <v>236</v>
      </c>
      <c r="C291" t="s">
        <v>297</v>
      </c>
      <c r="D291" t="s">
        <v>603</v>
      </c>
      <c r="E291" s="8">
        <v>0</v>
      </c>
      <c r="F291" s="8">
        <v>0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0</v>
      </c>
      <c r="Q291" s="8">
        <v>0</v>
      </c>
      <c r="R291" s="8">
        <v>0</v>
      </c>
      <c r="S291" s="8">
        <v>0</v>
      </c>
      <c r="T291" s="8">
        <v>0</v>
      </c>
      <c r="U291" s="8">
        <v>0</v>
      </c>
      <c r="V291" s="8">
        <v>0</v>
      </c>
      <c r="W291" s="8">
        <v>0</v>
      </c>
      <c r="X291" s="8">
        <v>0</v>
      </c>
      <c r="Y291" s="8">
        <v>0</v>
      </c>
      <c r="Z291" s="8">
        <v>0</v>
      </c>
      <c r="AA291" s="8">
        <v>0</v>
      </c>
      <c r="AB291" s="8">
        <v>0</v>
      </c>
      <c r="AC291" s="8">
        <v>0</v>
      </c>
      <c r="AD291" s="8">
        <v>0</v>
      </c>
      <c r="AE291" s="8">
        <v>0</v>
      </c>
      <c r="AF291" s="8">
        <v>0</v>
      </c>
      <c r="AG291" s="8">
        <v>0</v>
      </c>
      <c r="AH291" s="8">
        <v>0</v>
      </c>
      <c r="AI291" s="8">
        <v>0</v>
      </c>
      <c r="AJ291" s="8">
        <v>0</v>
      </c>
      <c r="AK291" s="8">
        <v>0</v>
      </c>
      <c r="AL291" s="8">
        <v>0</v>
      </c>
      <c r="AM291" s="8">
        <v>0</v>
      </c>
    </row>
    <row r="292" spans="1:39" x14ac:dyDescent="0.25">
      <c r="A292" t="s">
        <v>577</v>
      </c>
      <c r="B292" t="s">
        <v>236</v>
      </c>
      <c r="C292" t="s">
        <v>299</v>
      </c>
      <c r="D292" t="s">
        <v>604</v>
      </c>
      <c r="E292" s="8">
        <v>0</v>
      </c>
      <c r="F292" s="8">
        <v>0</v>
      </c>
      <c r="G292" s="8">
        <v>0</v>
      </c>
      <c r="H292" s="8">
        <v>0</v>
      </c>
      <c r="I292" s="8">
        <v>0</v>
      </c>
      <c r="J292" s="8">
        <v>0</v>
      </c>
      <c r="K292" s="8">
        <v>0</v>
      </c>
      <c r="L292" s="8">
        <v>0</v>
      </c>
      <c r="M292" s="8">
        <v>0</v>
      </c>
      <c r="N292" s="8">
        <v>0</v>
      </c>
      <c r="O292" s="8">
        <v>0</v>
      </c>
      <c r="P292" s="8">
        <v>0</v>
      </c>
      <c r="Q292" s="8">
        <v>0</v>
      </c>
      <c r="R292" s="8">
        <v>0</v>
      </c>
      <c r="S292" s="8">
        <v>0</v>
      </c>
      <c r="T292" s="8">
        <v>0</v>
      </c>
      <c r="U292" s="8">
        <v>0</v>
      </c>
      <c r="V292" s="8">
        <v>0</v>
      </c>
      <c r="W292" s="8">
        <v>0</v>
      </c>
      <c r="X292" s="8">
        <v>0</v>
      </c>
      <c r="Y292" s="8">
        <v>0</v>
      </c>
      <c r="Z292" s="8">
        <v>0</v>
      </c>
      <c r="AA292" s="8">
        <v>0</v>
      </c>
      <c r="AB292" s="8">
        <v>0</v>
      </c>
      <c r="AC292" s="8">
        <v>0</v>
      </c>
      <c r="AD292" s="8">
        <v>0</v>
      </c>
      <c r="AE292" s="8">
        <v>0</v>
      </c>
      <c r="AF292" s="8">
        <v>0</v>
      </c>
      <c r="AG292" s="8">
        <v>0</v>
      </c>
      <c r="AH292" s="8">
        <v>0</v>
      </c>
      <c r="AI292" s="8">
        <v>0</v>
      </c>
      <c r="AJ292" s="8">
        <v>0</v>
      </c>
      <c r="AK292" s="8">
        <v>0</v>
      </c>
      <c r="AL292" s="8">
        <v>0</v>
      </c>
      <c r="AM292" s="8">
        <v>0</v>
      </c>
    </row>
    <row r="293" spans="1:39" x14ac:dyDescent="0.25">
      <c r="A293" t="s">
        <v>577</v>
      </c>
      <c r="B293" t="s">
        <v>236</v>
      </c>
      <c r="C293" t="s">
        <v>301</v>
      </c>
      <c r="D293" t="s">
        <v>605</v>
      </c>
      <c r="E293" s="8">
        <v>0</v>
      </c>
      <c r="F293" s="8">
        <v>0</v>
      </c>
      <c r="G293" s="8">
        <v>0</v>
      </c>
      <c r="H293" s="8">
        <v>0</v>
      </c>
      <c r="I293" s="8">
        <v>0</v>
      </c>
      <c r="J293" s="8">
        <v>0</v>
      </c>
      <c r="K293" s="8">
        <v>0</v>
      </c>
      <c r="L293" s="8">
        <v>0</v>
      </c>
      <c r="M293" s="8">
        <v>0</v>
      </c>
      <c r="N293" s="8">
        <v>0</v>
      </c>
      <c r="O293" s="8">
        <v>0</v>
      </c>
      <c r="P293" s="8">
        <v>0</v>
      </c>
      <c r="Q293" s="8">
        <v>0</v>
      </c>
      <c r="R293" s="8">
        <v>0</v>
      </c>
      <c r="S293" s="8">
        <v>0</v>
      </c>
      <c r="T293" s="8">
        <v>0</v>
      </c>
      <c r="U293" s="8">
        <v>0</v>
      </c>
      <c r="V293" s="8">
        <v>0</v>
      </c>
      <c r="W293" s="8">
        <v>0</v>
      </c>
      <c r="X293" s="8">
        <v>0</v>
      </c>
      <c r="Y293" s="8">
        <v>0</v>
      </c>
      <c r="Z293" s="8">
        <v>0</v>
      </c>
      <c r="AA293" s="8">
        <v>0</v>
      </c>
      <c r="AB293" s="8">
        <v>0</v>
      </c>
      <c r="AC293" s="8">
        <v>0</v>
      </c>
      <c r="AD293" s="8">
        <v>0</v>
      </c>
      <c r="AE293" s="8">
        <v>0</v>
      </c>
      <c r="AF293" s="8">
        <v>0</v>
      </c>
      <c r="AG293" s="8">
        <v>0</v>
      </c>
      <c r="AH293" s="8">
        <v>0</v>
      </c>
      <c r="AI293" s="8">
        <v>0</v>
      </c>
      <c r="AJ293" s="8">
        <v>0</v>
      </c>
      <c r="AK293" s="8">
        <v>0</v>
      </c>
      <c r="AL293" s="8">
        <v>0</v>
      </c>
      <c r="AM293" s="8">
        <v>0</v>
      </c>
    </row>
    <row r="294" spans="1:39" x14ac:dyDescent="0.25">
      <c r="A294" t="s">
        <v>577</v>
      </c>
      <c r="B294" t="s">
        <v>236</v>
      </c>
      <c r="C294" t="s">
        <v>303</v>
      </c>
      <c r="D294" t="s">
        <v>606</v>
      </c>
      <c r="E294" s="8">
        <v>0</v>
      </c>
      <c r="F294" s="8">
        <v>0</v>
      </c>
      <c r="G294" s="8">
        <v>0</v>
      </c>
      <c r="H294" s="8">
        <v>0</v>
      </c>
      <c r="I294" s="8">
        <v>0</v>
      </c>
      <c r="J294" s="8">
        <v>0</v>
      </c>
      <c r="K294" s="8">
        <v>0</v>
      </c>
      <c r="L294" s="8">
        <v>0</v>
      </c>
      <c r="M294" s="8">
        <v>0</v>
      </c>
      <c r="N294" s="8">
        <v>0</v>
      </c>
      <c r="O294" s="8">
        <v>0</v>
      </c>
      <c r="P294" s="8">
        <v>0</v>
      </c>
      <c r="Q294" s="8">
        <v>0</v>
      </c>
      <c r="R294" s="8">
        <v>0</v>
      </c>
      <c r="S294" s="8">
        <v>0</v>
      </c>
      <c r="T294" s="8">
        <v>0</v>
      </c>
      <c r="U294" s="8">
        <v>0</v>
      </c>
      <c r="V294" s="8">
        <v>0</v>
      </c>
      <c r="W294" s="8">
        <v>0</v>
      </c>
      <c r="X294" s="8">
        <v>0</v>
      </c>
      <c r="Y294" s="8">
        <v>0</v>
      </c>
      <c r="Z294" s="8">
        <v>0</v>
      </c>
      <c r="AA294" s="8">
        <v>0</v>
      </c>
      <c r="AB294" s="8">
        <v>0</v>
      </c>
      <c r="AC294" s="8">
        <v>0</v>
      </c>
      <c r="AD294" s="8">
        <v>0</v>
      </c>
      <c r="AE294" s="8">
        <v>0</v>
      </c>
      <c r="AF294" s="8">
        <v>0</v>
      </c>
      <c r="AG294" s="8">
        <v>0</v>
      </c>
      <c r="AH294" s="8">
        <v>0</v>
      </c>
      <c r="AI294" s="8">
        <v>0</v>
      </c>
      <c r="AJ294" s="8">
        <v>0</v>
      </c>
      <c r="AK294" s="8">
        <v>0</v>
      </c>
      <c r="AL294" s="8">
        <v>0</v>
      </c>
      <c r="AM294" s="8">
        <v>0</v>
      </c>
    </row>
    <row r="295" spans="1:39" x14ac:dyDescent="0.25">
      <c r="A295" t="s">
        <v>577</v>
      </c>
      <c r="B295" t="s">
        <v>236</v>
      </c>
      <c r="C295" t="s">
        <v>305</v>
      </c>
      <c r="D295" t="s">
        <v>607</v>
      </c>
      <c r="E295" s="8">
        <v>3.1032504585552598E-2</v>
      </c>
      <c r="F295" s="8">
        <v>3.135683873641501E-2</v>
      </c>
      <c r="G295" s="8">
        <v>3.1681172887277433E-2</v>
      </c>
      <c r="H295" s="8">
        <v>3.2005507038139841E-2</v>
      </c>
      <c r="I295" s="8">
        <v>3.2329841189002263E-2</v>
      </c>
      <c r="J295" s="8">
        <v>3.2654175339864672E-2</v>
      </c>
      <c r="K295" s="8">
        <v>3.2978509490727087E-2</v>
      </c>
      <c r="L295" s="8">
        <v>3.3302843641589502E-2</v>
      </c>
      <c r="M295" s="8">
        <v>3.3519304088567639E-2</v>
      </c>
      <c r="N295" s="8">
        <v>3.3735764535545783E-2</v>
      </c>
      <c r="O295" s="8">
        <v>3.3952224982523919E-2</v>
      </c>
      <c r="P295" s="8">
        <v>3.4168685429502063E-2</v>
      </c>
      <c r="Q295" s="8">
        <v>3.43851458764802E-2</v>
      </c>
      <c r="R295" s="8">
        <v>3.4578502087214753E-2</v>
      </c>
      <c r="S295" s="8">
        <v>3.47718582979493E-2</v>
      </c>
      <c r="T295" s="8">
        <v>3.4931412708775519E-2</v>
      </c>
      <c r="U295" s="8">
        <v>3.5090967119601739E-2</v>
      </c>
      <c r="V295" s="8">
        <v>3.5250521530427958E-2</v>
      </c>
      <c r="W295" s="8">
        <v>3.5410075941254178E-2</v>
      </c>
      <c r="X295" s="8">
        <v>3.5569630352080397E-2</v>
      </c>
      <c r="Y295" s="8">
        <v>3.5718845770042383E-2</v>
      </c>
      <c r="Z295" s="8">
        <v>3.5868061188004348E-2</v>
      </c>
      <c r="AA295" s="8">
        <v>3.601727660596634E-2</v>
      </c>
      <c r="AB295" s="8">
        <v>3.6166492023928319E-2</v>
      </c>
      <c r="AC295" s="8">
        <v>3.6315707441890298E-2</v>
      </c>
      <c r="AD295" s="8">
        <v>3.6459671358001183E-2</v>
      </c>
      <c r="AE295" s="8">
        <v>3.6603635274112048E-2</v>
      </c>
      <c r="AF295" s="8">
        <v>3.674759919022294E-2</v>
      </c>
      <c r="AG295" s="8">
        <v>3.6891563106333819E-2</v>
      </c>
      <c r="AH295" s="8">
        <v>3.7035527022444698E-2</v>
      </c>
      <c r="AI295" s="8">
        <v>3.716825857500234E-2</v>
      </c>
      <c r="AJ295" s="8">
        <v>3.7300990127559983E-2</v>
      </c>
      <c r="AK295" s="8">
        <v>3.7433721680117618E-2</v>
      </c>
      <c r="AL295" s="8">
        <v>3.7566453232675261E-2</v>
      </c>
      <c r="AM295" s="8">
        <v>3.7699184785232903E-2</v>
      </c>
    </row>
    <row r="296" spans="1:39" x14ac:dyDescent="0.25">
      <c r="A296" t="s">
        <v>577</v>
      </c>
      <c r="B296" t="s">
        <v>236</v>
      </c>
      <c r="C296" t="s">
        <v>307</v>
      </c>
      <c r="D296" t="s">
        <v>608</v>
      </c>
      <c r="E296" s="8">
        <v>0.20314359355139899</v>
      </c>
      <c r="F296" s="8">
        <v>0.20432727199297501</v>
      </c>
      <c r="G296" s="8">
        <v>0.205510950434551</v>
      </c>
      <c r="H296" s="8">
        <v>0.206694628876127</v>
      </c>
      <c r="I296" s="8">
        <v>0.20787830731770299</v>
      </c>
      <c r="J296" s="8">
        <v>0.20906198575927901</v>
      </c>
      <c r="K296" s="8">
        <v>0.210245664200855</v>
      </c>
      <c r="L296" s="8">
        <v>0.21142934264243099</v>
      </c>
      <c r="M296" s="8">
        <v>0.2133759671707216</v>
      </c>
      <c r="N296" s="8">
        <v>0.21532259169901219</v>
      </c>
      <c r="O296" s="8">
        <v>0.2172692162273028</v>
      </c>
      <c r="P296" s="8">
        <v>0.21921584075559339</v>
      </c>
      <c r="Q296" s="8">
        <v>0.221162465283884</v>
      </c>
      <c r="R296" s="8">
        <v>0.223264893186988</v>
      </c>
      <c r="S296" s="8">
        <v>0.225367321090092</v>
      </c>
      <c r="T296" s="8">
        <v>0.22693820894926059</v>
      </c>
      <c r="U296" s="8">
        <v>0.22850909680842921</v>
      </c>
      <c r="V296" s="8">
        <v>0.2300799846675978</v>
      </c>
      <c r="W296" s="8">
        <v>0.23165087252676639</v>
      </c>
      <c r="X296" s="8">
        <v>0.23322176038593501</v>
      </c>
      <c r="Y296" s="8">
        <v>0.2340175391341178</v>
      </c>
      <c r="Z296" s="8">
        <v>0.23481331788230059</v>
      </c>
      <c r="AA296" s="8">
        <v>0.23560909663048341</v>
      </c>
      <c r="AB296" s="8">
        <v>0.2364048753786662</v>
      </c>
      <c r="AC296" s="8">
        <v>0.23720065412684899</v>
      </c>
      <c r="AD296" s="8">
        <v>0.23811610099483779</v>
      </c>
      <c r="AE296" s="8">
        <v>0.2390315478628266</v>
      </c>
      <c r="AF296" s="8">
        <v>0.2399469947308154</v>
      </c>
      <c r="AG296" s="8">
        <v>0.24086244159880421</v>
      </c>
      <c r="AH296" s="8">
        <v>0.24177788846679299</v>
      </c>
      <c r="AI296" s="8">
        <v>0.24274108515453799</v>
      </c>
      <c r="AJ296" s="8">
        <v>0.24370428184228299</v>
      </c>
      <c r="AK296" s="8">
        <v>0.24466747853002799</v>
      </c>
      <c r="AL296" s="8">
        <v>0.24563067521777299</v>
      </c>
      <c r="AM296" s="8">
        <v>0.24659387190551799</v>
      </c>
    </row>
    <row r="297" spans="1:39" x14ac:dyDescent="0.25">
      <c r="A297" t="s">
        <v>577</v>
      </c>
      <c r="B297" t="s">
        <v>236</v>
      </c>
      <c r="C297" t="s">
        <v>309</v>
      </c>
      <c r="D297" t="s">
        <v>609</v>
      </c>
      <c r="E297" s="8">
        <v>9.2796394034032007E-3</v>
      </c>
      <c r="F297" s="8">
        <v>9.3644582301371914E-3</v>
      </c>
      <c r="G297" s="8">
        <v>9.4492770568711838E-3</v>
      </c>
      <c r="H297" s="8">
        <v>9.5340958836051745E-3</v>
      </c>
      <c r="I297" s="8">
        <v>9.6189147103391669E-3</v>
      </c>
      <c r="J297" s="8">
        <v>9.7037335370731576E-3</v>
      </c>
      <c r="K297" s="8">
        <v>9.78855236380715E-3</v>
      </c>
      <c r="L297" s="8">
        <v>9.8733711905411407E-3</v>
      </c>
      <c r="M297" s="8">
        <v>9.9669907431247928E-3</v>
      </c>
      <c r="N297" s="8">
        <v>1.006061029570844E-2</v>
      </c>
      <c r="O297" s="8">
        <v>1.01542298482921E-2</v>
      </c>
      <c r="P297" s="8">
        <v>1.0247849400875751E-2</v>
      </c>
      <c r="Q297" s="8">
        <v>1.0341468953459399E-2</v>
      </c>
      <c r="R297" s="8">
        <v>1.0437848055570249E-2</v>
      </c>
      <c r="S297" s="8">
        <v>1.0534227157681099E-2</v>
      </c>
      <c r="T297" s="8">
        <v>1.06242073750565E-2</v>
      </c>
      <c r="U297" s="8">
        <v>1.07141875924319E-2</v>
      </c>
      <c r="V297" s="8">
        <v>1.0804167809807299E-2</v>
      </c>
      <c r="W297" s="8">
        <v>1.08941480271827E-2</v>
      </c>
      <c r="X297" s="8">
        <v>1.09841282445581E-2</v>
      </c>
      <c r="Y297" s="8">
        <v>1.105949410917482E-2</v>
      </c>
      <c r="Z297" s="8">
        <v>1.1134859973791539E-2</v>
      </c>
      <c r="AA297" s="8">
        <v>1.121022583840826E-2</v>
      </c>
      <c r="AB297" s="8">
        <v>1.128559170302498E-2</v>
      </c>
      <c r="AC297" s="8">
        <v>1.1360957567641701E-2</v>
      </c>
      <c r="AD297" s="8">
        <v>1.1425274993696159E-2</v>
      </c>
      <c r="AE297" s="8">
        <v>1.148959241975062E-2</v>
      </c>
      <c r="AF297" s="8">
        <v>1.155390984580508E-2</v>
      </c>
      <c r="AG297" s="8">
        <v>1.161822727185954E-2</v>
      </c>
      <c r="AH297" s="8">
        <v>1.1682544697914E-2</v>
      </c>
      <c r="AI297" s="8">
        <v>1.1742465471941381E-2</v>
      </c>
      <c r="AJ297" s="8">
        <v>1.1802386245968761E-2</v>
      </c>
      <c r="AK297" s="8">
        <v>1.1862307019996139E-2</v>
      </c>
      <c r="AL297" s="8">
        <v>1.1922227794023519E-2</v>
      </c>
      <c r="AM297" s="8">
        <v>1.1982148568050899E-2</v>
      </c>
    </row>
    <row r="298" spans="1:39" x14ac:dyDescent="0.25">
      <c r="A298" t="s">
        <v>577</v>
      </c>
      <c r="B298" t="s">
        <v>236</v>
      </c>
      <c r="C298" t="s">
        <v>311</v>
      </c>
      <c r="D298" t="s">
        <v>610</v>
      </c>
      <c r="E298" s="8">
        <v>1.0784888923377599E-3</v>
      </c>
      <c r="F298" s="8">
        <v>1.0872153445542941E-3</v>
      </c>
      <c r="G298" s="8">
        <v>1.095941796770829E-3</v>
      </c>
      <c r="H298" s="8">
        <v>1.1046682489873629E-3</v>
      </c>
      <c r="I298" s="8">
        <v>1.113394701203897E-3</v>
      </c>
      <c r="J298" s="8">
        <v>1.1221211534204311E-3</v>
      </c>
      <c r="K298" s="8">
        <v>1.1308476056369661E-3</v>
      </c>
      <c r="L298" s="8">
        <v>1.1395740578535E-3</v>
      </c>
      <c r="M298" s="8">
        <v>1.146143289226324E-3</v>
      </c>
      <c r="N298" s="8">
        <v>1.152712520599148E-3</v>
      </c>
      <c r="O298" s="8">
        <v>1.159281751971972E-3</v>
      </c>
      <c r="P298" s="8">
        <v>1.165850983344796E-3</v>
      </c>
      <c r="Q298" s="8">
        <v>1.17242021471762E-3</v>
      </c>
      <c r="R298" s="8">
        <v>1.179515264812645E-3</v>
      </c>
      <c r="S298" s="8">
        <v>1.1866103149076701E-3</v>
      </c>
      <c r="T298" s="8">
        <v>1.1933893657075959E-3</v>
      </c>
      <c r="U298" s="8">
        <v>1.200168416507522E-3</v>
      </c>
      <c r="V298" s="8">
        <v>1.206947467307448E-3</v>
      </c>
      <c r="W298" s="8">
        <v>1.2137265181073741E-3</v>
      </c>
      <c r="X298" s="8">
        <v>1.2205055689072999E-3</v>
      </c>
      <c r="Y298" s="8">
        <v>1.225371091491508E-3</v>
      </c>
      <c r="Z298" s="8">
        <v>1.2302366140757161E-3</v>
      </c>
      <c r="AA298" s="8">
        <v>1.2351021366599239E-3</v>
      </c>
      <c r="AB298" s="8">
        <v>1.239967659244132E-3</v>
      </c>
      <c r="AC298" s="8">
        <v>1.24483318182834E-3</v>
      </c>
      <c r="AD298" s="8">
        <v>1.2494658004480539E-3</v>
      </c>
      <c r="AE298" s="8">
        <v>1.254098419067768E-3</v>
      </c>
      <c r="AF298" s="8">
        <v>1.258731037687482E-3</v>
      </c>
      <c r="AG298" s="8">
        <v>1.2633636563071961E-3</v>
      </c>
      <c r="AH298" s="8">
        <v>1.26799627492691E-3</v>
      </c>
      <c r="AI298" s="8">
        <v>1.2724529131335461E-3</v>
      </c>
      <c r="AJ298" s="8">
        <v>1.276909551340182E-3</v>
      </c>
      <c r="AK298" s="8">
        <v>1.2813661895468181E-3</v>
      </c>
      <c r="AL298" s="8">
        <v>1.2858228277534539E-3</v>
      </c>
      <c r="AM298" s="8">
        <v>1.29027946596009E-3</v>
      </c>
    </row>
    <row r="299" spans="1:39" x14ac:dyDescent="0.25">
      <c r="A299" t="s">
        <v>577</v>
      </c>
      <c r="B299" t="s">
        <v>236</v>
      </c>
      <c r="C299" t="s">
        <v>313</v>
      </c>
      <c r="D299" t="s">
        <v>611</v>
      </c>
      <c r="E299" s="8">
        <v>7.3610706369848997E-3</v>
      </c>
      <c r="F299" s="8">
        <v>7.6063490350573937E-3</v>
      </c>
      <c r="G299" s="8">
        <v>7.8516274331298878E-3</v>
      </c>
      <c r="H299" s="8">
        <v>8.0969058312023827E-3</v>
      </c>
      <c r="I299" s="8">
        <v>8.3421842292748776E-3</v>
      </c>
      <c r="J299" s="8">
        <v>8.5874626273473725E-3</v>
      </c>
      <c r="K299" s="8">
        <v>8.8327410254198657E-3</v>
      </c>
      <c r="L299" s="8">
        <v>9.0780194234923606E-3</v>
      </c>
      <c r="M299" s="8">
        <v>9.3498442062138285E-3</v>
      </c>
      <c r="N299" s="8">
        <v>9.6216689889352964E-3</v>
      </c>
      <c r="O299" s="8">
        <v>9.8934937716567643E-3</v>
      </c>
      <c r="P299" s="8">
        <v>1.016531855437823E-2</v>
      </c>
      <c r="Q299" s="8">
        <v>1.04371433370997E-2</v>
      </c>
      <c r="R299" s="8">
        <v>1.0693491291635651E-2</v>
      </c>
      <c r="S299" s="8">
        <v>1.09498392461716E-2</v>
      </c>
      <c r="T299" s="8">
        <v>1.1155857700553461E-2</v>
      </c>
      <c r="U299" s="8">
        <v>1.136187615493532E-2</v>
      </c>
      <c r="V299" s="8">
        <v>1.156789460931718E-2</v>
      </c>
      <c r="W299" s="8">
        <v>1.177391306369904E-2</v>
      </c>
      <c r="X299" s="8">
        <v>1.19799315180809E-2</v>
      </c>
      <c r="Y299" s="8">
        <v>1.2112793077766099E-2</v>
      </c>
      <c r="Z299" s="8">
        <v>1.22456546374513E-2</v>
      </c>
      <c r="AA299" s="8">
        <v>1.2378516197136501E-2</v>
      </c>
      <c r="AB299" s="8">
        <v>1.25113777568217E-2</v>
      </c>
      <c r="AC299" s="8">
        <v>1.26442393165069E-2</v>
      </c>
      <c r="AD299" s="8">
        <v>1.2714208009662919E-2</v>
      </c>
      <c r="AE299" s="8">
        <v>1.278417670281894E-2</v>
      </c>
      <c r="AF299" s="8">
        <v>1.285414539597496E-2</v>
      </c>
      <c r="AG299" s="8">
        <v>1.2924114089130981E-2</v>
      </c>
      <c r="AH299" s="8">
        <v>1.2994082782287E-2</v>
      </c>
      <c r="AI299" s="8">
        <v>1.304719913765752E-2</v>
      </c>
      <c r="AJ299" s="8">
        <v>1.310031549302804E-2</v>
      </c>
      <c r="AK299" s="8">
        <v>1.315343184839856E-2</v>
      </c>
      <c r="AL299" s="8">
        <v>1.320654820376908E-2</v>
      </c>
      <c r="AM299" s="8">
        <v>1.32596645591396E-2</v>
      </c>
    </row>
    <row r="300" spans="1:39" x14ac:dyDescent="0.25">
      <c r="A300" t="s">
        <v>577</v>
      </c>
      <c r="B300" t="s">
        <v>236</v>
      </c>
      <c r="C300" t="s">
        <v>315</v>
      </c>
      <c r="D300" t="s">
        <v>612</v>
      </c>
      <c r="E300" s="8">
        <v>9.7428733720098002</v>
      </c>
      <c r="F300" s="8">
        <v>9.7659345813215275</v>
      </c>
      <c r="G300" s="8">
        <v>9.7889957906332548</v>
      </c>
      <c r="H300" s="8">
        <v>9.812056999944982</v>
      </c>
      <c r="I300" s="8">
        <v>9.8351182092567075</v>
      </c>
      <c r="J300" s="8">
        <v>9.8581794185684348</v>
      </c>
      <c r="K300" s="8">
        <v>9.8812406278801621</v>
      </c>
      <c r="L300" s="8">
        <v>9.9043018371918894</v>
      </c>
      <c r="M300" s="8">
        <v>9.9285485301378316</v>
      </c>
      <c r="N300" s="8">
        <v>9.9527952230837737</v>
      </c>
      <c r="O300" s="8">
        <v>9.9770419160297159</v>
      </c>
      <c r="P300" s="8">
        <v>10.00128860897566</v>
      </c>
      <c r="Q300" s="8">
        <v>10.0255353019216</v>
      </c>
      <c r="R300" s="8">
        <v>10.0613105717227</v>
      </c>
      <c r="S300" s="8">
        <v>10.0970858415238</v>
      </c>
      <c r="T300" s="8">
        <v>10.158245170344101</v>
      </c>
      <c r="U300" s="8">
        <v>10.2194044991644</v>
      </c>
      <c r="V300" s="8">
        <v>10.2805638279847</v>
      </c>
      <c r="W300" s="8">
        <v>10.341723156804999</v>
      </c>
      <c r="X300" s="8">
        <v>10.4028824856253</v>
      </c>
      <c r="Y300" s="8">
        <v>10.48619366827926</v>
      </c>
      <c r="Z300" s="8">
        <v>10.569504850933219</v>
      </c>
      <c r="AA300" s="8">
        <v>10.652816033587181</v>
      </c>
      <c r="AB300" s="8">
        <v>10.73612721624114</v>
      </c>
      <c r="AC300" s="8">
        <v>10.8194383988951</v>
      </c>
      <c r="AD300" s="8">
        <v>10.90332331836464</v>
      </c>
      <c r="AE300" s="8">
        <v>10.98720823783418</v>
      </c>
      <c r="AF300" s="8">
        <v>11.07109315730372</v>
      </c>
      <c r="AG300" s="8">
        <v>11.15497807677326</v>
      </c>
      <c r="AH300" s="8">
        <v>11.238862996242799</v>
      </c>
      <c r="AI300" s="8">
        <v>11.31168354532582</v>
      </c>
      <c r="AJ300" s="8">
        <v>11.38450409440884</v>
      </c>
      <c r="AK300" s="8">
        <v>11.457324643491861</v>
      </c>
      <c r="AL300" s="8">
        <v>11.53014519257488</v>
      </c>
      <c r="AM300" s="8">
        <v>11.602965741657901</v>
      </c>
    </row>
    <row r="301" spans="1:39" x14ac:dyDescent="0.25">
      <c r="A301" t="s">
        <v>577</v>
      </c>
      <c r="B301" t="s">
        <v>236</v>
      </c>
      <c r="C301" t="s">
        <v>317</v>
      </c>
      <c r="D301" t="s">
        <v>613</v>
      </c>
      <c r="E301" s="8">
        <v>1.6356272876237701</v>
      </c>
      <c r="F301" s="8">
        <v>1.641316299609014</v>
      </c>
      <c r="G301" s="8">
        <v>1.6470053115942589</v>
      </c>
      <c r="H301" s="8">
        <v>1.6526943235795031</v>
      </c>
      <c r="I301" s="8">
        <v>1.658383335564747</v>
      </c>
      <c r="J301" s="8">
        <v>1.664072347549991</v>
      </c>
      <c r="K301" s="8">
        <v>1.6697613595352361</v>
      </c>
      <c r="L301" s="8">
        <v>1.67545037152048</v>
      </c>
      <c r="M301" s="8">
        <v>1.680659811611896</v>
      </c>
      <c r="N301" s="8">
        <v>1.685869251703312</v>
      </c>
      <c r="O301" s="8">
        <v>1.691078691794728</v>
      </c>
      <c r="P301" s="8">
        <v>1.696288131886144</v>
      </c>
      <c r="Q301" s="8">
        <v>1.70149757197756</v>
      </c>
      <c r="R301" s="8">
        <v>1.708327480356775</v>
      </c>
      <c r="S301" s="8">
        <v>1.7151573887359901</v>
      </c>
      <c r="T301" s="8">
        <v>1.7252151800112281</v>
      </c>
      <c r="U301" s="8">
        <v>1.7352729712864661</v>
      </c>
      <c r="V301" s="8">
        <v>1.7453307625617041</v>
      </c>
      <c r="W301" s="8">
        <v>1.755388553836942</v>
      </c>
      <c r="X301" s="8">
        <v>1.76544634511218</v>
      </c>
      <c r="Y301" s="8">
        <v>1.77810483669423</v>
      </c>
      <c r="Z301" s="8">
        <v>1.79076332827628</v>
      </c>
      <c r="AA301" s="8">
        <v>1.8034218198583301</v>
      </c>
      <c r="AB301" s="8">
        <v>1.8160803114403801</v>
      </c>
      <c r="AC301" s="8">
        <v>1.8287388030224301</v>
      </c>
      <c r="AD301" s="8">
        <v>1.8427396351468941</v>
      </c>
      <c r="AE301" s="8">
        <v>1.8567404672713581</v>
      </c>
      <c r="AF301" s="8">
        <v>1.8707412993958219</v>
      </c>
      <c r="AG301" s="8">
        <v>1.8847421315202859</v>
      </c>
      <c r="AH301" s="8">
        <v>1.8987429636447499</v>
      </c>
      <c r="AI301" s="8">
        <v>1.9111654778142899</v>
      </c>
      <c r="AJ301" s="8">
        <v>1.9235879919838299</v>
      </c>
      <c r="AK301" s="8">
        <v>1.9360105061533699</v>
      </c>
      <c r="AL301" s="8">
        <v>1.9484330203229101</v>
      </c>
      <c r="AM301" s="8">
        <v>1.9608555344924501</v>
      </c>
    </row>
    <row r="302" spans="1:39" x14ac:dyDescent="0.25">
      <c r="A302" t="s">
        <v>577</v>
      </c>
      <c r="B302" t="s">
        <v>236</v>
      </c>
      <c r="C302" t="s">
        <v>319</v>
      </c>
      <c r="D302" t="s">
        <v>614</v>
      </c>
      <c r="E302" s="8">
        <v>8.0741948433965798E-4</v>
      </c>
      <c r="F302" s="8">
        <v>8.2242926863641439E-4</v>
      </c>
      <c r="G302" s="8">
        <v>8.374390529331708E-4</v>
      </c>
      <c r="H302" s="8">
        <v>8.5244883722992721E-4</v>
      </c>
      <c r="I302" s="8">
        <v>8.6745862152668373E-4</v>
      </c>
      <c r="J302" s="8">
        <v>8.8246840582344014E-4</v>
      </c>
      <c r="K302" s="8">
        <v>8.9747819012019655E-4</v>
      </c>
      <c r="L302" s="8">
        <v>9.1248797441695296E-4</v>
      </c>
      <c r="M302" s="8">
        <v>9.3065679572927043E-4</v>
      </c>
      <c r="N302" s="8">
        <v>9.4882561704158778E-4</v>
      </c>
      <c r="O302" s="8">
        <v>9.6699443835390525E-4</v>
      </c>
      <c r="P302" s="8">
        <v>9.8516325966622261E-4</v>
      </c>
      <c r="Q302" s="8">
        <v>1.0033320809785401E-3</v>
      </c>
      <c r="R302" s="8">
        <v>1.0225648401444251E-3</v>
      </c>
      <c r="S302" s="8">
        <v>1.0417975993103101E-3</v>
      </c>
      <c r="T302" s="8">
        <v>1.0623962113544721E-3</v>
      </c>
      <c r="U302" s="8">
        <v>1.0829948233986341E-3</v>
      </c>
      <c r="V302" s="8">
        <v>1.1035934354427959E-3</v>
      </c>
      <c r="W302" s="8">
        <v>1.1241920474869579E-3</v>
      </c>
      <c r="X302" s="8">
        <v>1.14479065953112E-3</v>
      </c>
      <c r="Y302" s="8">
        <v>1.162195877670528E-3</v>
      </c>
      <c r="Z302" s="8">
        <v>1.1796010958099359E-3</v>
      </c>
      <c r="AA302" s="8">
        <v>1.197006313949344E-3</v>
      </c>
      <c r="AB302" s="8">
        <v>1.2144115320887521E-3</v>
      </c>
      <c r="AC302" s="8">
        <v>1.2318167502281599E-3</v>
      </c>
      <c r="AD302" s="8">
        <v>1.2406282215345339E-3</v>
      </c>
      <c r="AE302" s="8">
        <v>1.2494396928409081E-3</v>
      </c>
      <c r="AF302" s="8">
        <v>1.2582511641472821E-3</v>
      </c>
      <c r="AG302" s="8">
        <v>1.2670626354536561E-3</v>
      </c>
      <c r="AH302" s="8">
        <v>1.27587410676003E-3</v>
      </c>
      <c r="AI302" s="8">
        <v>1.280131977896078E-3</v>
      </c>
      <c r="AJ302" s="8">
        <v>1.284389849032126E-3</v>
      </c>
      <c r="AK302" s="8">
        <v>1.288647720168174E-3</v>
      </c>
      <c r="AL302" s="8">
        <v>1.292905591304222E-3</v>
      </c>
      <c r="AM302" s="8">
        <v>1.2971634624402699E-3</v>
      </c>
    </row>
    <row r="303" spans="1:39" x14ac:dyDescent="0.25">
      <c r="A303" t="s">
        <v>577</v>
      </c>
      <c r="B303" t="s">
        <v>236</v>
      </c>
      <c r="C303" t="s">
        <v>321</v>
      </c>
      <c r="D303" t="s">
        <v>615</v>
      </c>
      <c r="E303" s="8">
        <v>1.4495672160638601E-3</v>
      </c>
      <c r="F303" s="8">
        <v>1.4972298595000561E-3</v>
      </c>
      <c r="G303" s="8">
        <v>1.544892502936251E-3</v>
      </c>
      <c r="H303" s="8">
        <v>1.592555146372447E-3</v>
      </c>
      <c r="I303" s="8">
        <v>1.640217789808643E-3</v>
      </c>
      <c r="J303" s="8">
        <v>1.687880433244839E-3</v>
      </c>
      <c r="K303" s="8">
        <v>1.7355430766810339E-3</v>
      </c>
      <c r="L303" s="8">
        <v>1.7832057201172299E-3</v>
      </c>
      <c r="M303" s="8">
        <v>1.838130336325916E-3</v>
      </c>
      <c r="N303" s="8">
        <v>1.8930549525346019E-3</v>
      </c>
      <c r="O303" s="8">
        <v>1.947979568743288E-3</v>
      </c>
      <c r="P303" s="8">
        <v>2.0029041849519741E-3</v>
      </c>
      <c r="Q303" s="8">
        <v>2.0578288011606602E-3</v>
      </c>
      <c r="R303" s="8">
        <v>2.1104367724828648E-3</v>
      </c>
      <c r="S303" s="8">
        <v>2.1630447438050699E-3</v>
      </c>
      <c r="T303" s="8">
        <v>2.2080379691732282E-3</v>
      </c>
      <c r="U303" s="8">
        <v>2.253031194541386E-3</v>
      </c>
      <c r="V303" s="8">
        <v>2.2980244199095438E-3</v>
      </c>
      <c r="W303" s="8">
        <v>2.3430176452777021E-3</v>
      </c>
      <c r="X303" s="8">
        <v>2.38801087064586E-3</v>
      </c>
      <c r="Y303" s="8">
        <v>2.418008881254128E-3</v>
      </c>
      <c r="Z303" s="8">
        <v>2.448006891862396E-3</v>
      </c>
      <c r="AA303" s="8">
        <v>2.478004902470664E-3</v>
      </c>
      <c r="AB303" s="8">
        <v>2.508002913078932E-3</v>
      </c>
      <c r="AC303" s="8">
        <v>2.5380009236872E-3</v>
      </c>
      <c r="AD303" s="8">
        <v>2.5538726719453041E-3</v>
      </c>
      <c r="AE303" s="8">
        <v>2.5697444202034082E-3</v>
      </c>
      <c r="AF303" s="8">
        <v>2.5856161684615119E-3</v>
      </c>
      <c r="AG303" s="8">
        <v>2.601487916719616E-3</v>
      </c>
      <c r="AH303" s="8">
        <v>2.6173596649777201E-3</v>
      </c>
      <c r="AI303" s="8">
        <v>2.6280447346815781E-3</v>
      </c>
      <c r="AJ303" s="8">
        <v>2.6387298043854361E-3</v>
      </c>
      <c r="AK303" s="8">
        <v>2.6494148740892941E-3</v>
      </c>
      <c r="AL303" s="8">
        <v>2.6600999437931521E-3</v>
      </c>
      <c r="AM303" s="8">
        <v>2.6707850134970101E-3</v>
      </c>
    </row>
    <row r="304" spans="1:39" x14ac:dyDescent="0.25">
      <c r="A304" t="s">
        <v>577</v>
      </c>
      <c r="B304" t="s">
        <v>236</v>
      </c>
      <c r="C304" t="s">
        <v>323</v>
      </c>
      <c r="D304" t="s">
        <v>616</v>
      </c>
      <c r="E304" s="8">
        <v>5.30301584748623E-3</v>
      </c>
      <c r="F304" s="8">
        <v>5.4633979399442527E-3</v>
      </c>
      <c r="G304" s="8">
        <v>5.6237800324022754E-3</v>
      </c>
      <c r="H304" s="8">
        <v>5.7841621248602981E-3</v>
      </c>
      <c r="I304" s="8">
        <v>5.9445442173183217E-3</v>
      </c>
      <c r="J304" s="8">
        <v>6.1049263097763436E-3</v>
      </c>
      <c r="K304" s="8">
        <v>6.2653084022343672E-3</v>
      </c>
      <c r="L304" s="8">
        <v>6.4256904946923899E-3</v>
      </c>
      <c r="M304" s="8">
        <v>6.6419692478198056E-3</v>
      </c>
      <c r="N304" s="8">
        <v>6.8582480009472214E-3</v>
      </c>
      <c r="O304" s="8">
        <v>7.0745267540746381E-3</v>
      </c>
      <c r="P304" s="8">
        <v>7.2908055072020538E-3</v>
      </c>
      <c r="Q304" s="8">
        <v>7.5070842603294696E-3</v>
      </c>
      <c r="R304" s="8">
        <v>7.73657014099546E-3</v>
      </c>
      <c r="S304" s="8">
        <v>7.9660560216614495E-3</v>
      </c>
      <c r="T304" s="8">
        <v>8.1952741724031324E-3</v>
      </c>
      <c r="U304" s="8">
        <v>8.4244923231448134E-3</v>
      </c>
      <c r="V304" s="8">
        <v>8.6537104738864962E-3</v>
      </c>
      <c r="W304" s="8">
        <v>8.8829286246281773E-3</v>
      </c>
      <c r="X304" s="8">
        <v>9.1121467753698601E-3</v>
      </c>
      <c r="Y304" s="8">
        <v>9.2771553111392416E-3</v>
      </c>
      <c r="Z304" s="8">
        <v>9.442163846908623E-3</v>
      </c>
      <c r="AA304" s="8">
        <v>9.6071723826780062E-3</v>
      </c>
      <c r="AB304" s="8">
        <v>9.7721809184473877E-3</v>
      </c>
      <c r="AC304" s="8">
        <v>9.9371894542167691E-3</v>
      </c>
      <c r="AD304" s="8">
        <v>1.0016723602506069E-2</v>
      </c>
      <c r="AE304" s="8">
        <v>1.009625775079538E-2</v>
      </c>
      <c r="AF304" s="8">
        <v>1.017579189908469E-2</v>
      </c>
      <c r="AG304" s="8">
        <v>1.0255326047373991E-2</v>
      </c>
      <c r="AH304" s="8">
        <v>1.0334860195663299E-2</v>
      </c>
      <c r="AI304" s="8">
        <v>1.035894783468088E-2</v>
      </c>
      <c r="AJ304" s="8">
        <v>1.0383035473698459E-2</v>
      </c>
      <c r="AK304" s="8">
        <v>1.040712311271604E-2</v>
      </c>
      <c r="AL304" s="8">
        <v>1.043121075173362E-2</v>
      </c>
      <c r="AM304" s="8">
        <v>1.0455298390751201E-2</v>
      </c>
    </row>
    <row r="305" spans="1:39" x14ac:dyDescent="0.25">
      <c r="A305" t="s">
        <v>577</v>
      </c>
      <c r="B305" t="s">
        <v>236</v>
      </c>
      <c r="C305" t="s">
        <v>325</v>
      </c>
      <c r="D305" t="s">
        <v>617</v>
      </c>
      <c r="E305" s="8">
        <v>6.87631284795239E-4</v>
      </c>
      <c r="F305" s="8">
        <v>7.1018064973836211E-4</v>
      </c>
      <c r="G305" s="8">
        <v>7.3273001468148532E-4</v>
      </c>
      <c r="H305" s="8">
        <v>7.5527937962460842E-4</v>
      </c>
      <c r="I305" s="8">
        <v>7.7782874456773163E-4</v>
      </c>
      <c r="J305" s="8">
        <v>8.0037810951085473E-4</v>
      </c>
      <c r="K305" s="8">
        <v>8.2292747445397783E-4</v>
      </c>
      <c r="L305" s="8">
        <v>8.4547683939710104E-4</v>
      </c>
      <c r="M305" s="8">
        <v>8.6806982603955562E-4</v>
      </c>
      <c r="N305" s="8">
        <v>8.9066281268201019E-4</v>
      </c>
      <c r="O305" s="8">
        <v>9.1325579932446488E-4</v>
      </c>
      <c r="P305" s="8">
        <v>9.3584878596691945E-4</v>
      </c>
      <c r="Q305" s="8">
        <v>9.5844177260937403E-4</v>
      </c>
      <c r="R305" s="8">
        <v>9.7736113152593548E-4</v>
      </c>
      <c r="S305" s="8">
        <v>9.9628049044249694E-4</v>
      </c>
      <c r="T305" s="8">
        <v>1.0086702479511159E-3</v>
      </c>
      <c r="U305" s="8">
        <v>1.0210600054597341E-3</v>
      </c>
      <c r="V305" s="8">
        <v>1.0334497629683531E-3</v>
      </c>
      <c r="W305" s="8">
        <v>1.045839520476971E-3</v>
      </c>
      <c r="X305" s="8">
        <v>1.05822927798559E-3</v>
      </c>
      <c r="Y305" s="8">
        <v>1.0643379288689881E-3</v>
      </c>
      <c r="Z305" s="8">
        <v>1.0704465797523859E-3</v>
      </c>
      <c r="AA305" s="8">
        <v>1.076555230635784E-3</v>
      </c>
      <c r="AB305" s="8">
        <v>1.0826638815191821E-3</v>
      </c>
      <c r="AC305" s="8">
        <v>1.0887725324025799E-3</v>
      </c>
      <c r="AD305" s="8">
        <v>1.0923701848961579E-3</v>
      </c>
      <c r="AE305" s="8">
        <v>1.0959678373897361E-3</v>
      </c>
      <c r="AF305" s="8">
        <v>1.0995654898833141E-3</v>
      </c>
      <c r="AG305" s="8">
        <v>1.1031631423768921E-3</v>
      </c>
      <c r="AH305" s="8">
        <v>1.10676079487047E-3</v>
      </c>
      <c r="AI305" s="8">
        <v>1.1119835205529219E-3</v>
      </c>
      <c r="AJ305" s="8">
        <v>1.117206246235374E-3</v>
      </c>
      <c r="AK305" s="8">
        <v>1.1224289719178259E-3</v>
      </c>
      <c r="AL305" s="8">
        <v>1.127651697600278E-3</v>
      </c>
      <c r="AM305" s="8">
        <v>1.1328744232827299E-3</v>
      </c>
    </row>
    <row r="306" spans="1:39" x14ac:dyDescent="0.25">
      <c r="A306" t="s">
        <v>577</v>
      </c>
      <c r="B306" t="s">
        <v>236</v>
      </c>
      <c r="C306" t="s">
        <v>327</v>
      </c>
      <c r="D306" t="s">
        <v>618</v>
      </c>
      <c r="E306" s="8">
        <v>6.2767111996715004E-4</v>
      </c>
      <c r="F306" s="8">
        <v>6.4912446780981416E-4</v>
      </c>
      <c r="G306" s="8">
        <v>6.7057781565247828E-4</v>
      </c>
      <c r="H306" s="8">
        <v>6.9203116349514241E-4</v>
      </c>
      <c r="I306" s="8">
        <v>7.1348451133780664E-4</v>
      </c>
      <c r="J306" s="8">
        <v>7.3493785918047076E-4</v>
      </c>
      <c r="K306" s="8">
        <v>7.5639120702313488E-4</v>
      </c>
      <c r="L306" s="8">
        <v>7.7784455486579901E-4</v>
      </c>
      <c r="M306" s="8">
        <v>7.9889610076172742E-4</v>
      </c>
      <c r="N306" s="8">
        <v>8.1994764665765582E-4</v>
      </c>
      <c r="O306" s="8">
        <v>8.4099919255358423E-4</v>
      </c>
      <c r="P306" s="8">
        <v>8.6205073844951264E-4</v>
      </c>
      <c r="Q306" s="8">
        <v>8.8310228434544105E-4</v>
      </c>
      <c r="R306" s="8">
        <v>9.0050500817511153E-4</v>
      </c>
      <c r="S306" s="8">
        <v>9.1790773200478202E-4</v>
      </c>
      <c r="T306" s="8">
        <v>9.2860851484862362E-4</v>
      </c>
      <c r="U306" s="8">
        <v>9.3930929769246523E-4</v>
      </c>
      <c r="V306" s="8">
        <v>9.5001008053630684E-4</v>
      </c>
      <c r="W306" s="8">
        <v>9.6071086338014844E-4</v>
      </c>
      <c r="X306" s="8">
        <v>9.7141164622399005E-4</v>
      </c>
      <c r="Y306" s="8">
        <v>9.7646519645538607E-4</v>
      </c>
      <c r="Z306" s="8">
        <v>9.8151874668678208E-4</v>
      </c>
      <c r="AA306" s="8">
        <v>9.8657229691817799E-4</v>
      </c>
      <c r="AB306" s="8">
        <v>9.9162584714957412E-4</v>
      </c>
      <c r="AC306" s="8">
        <v>9.9667939738097002E-4</v>
      </c>
      <c r="AD306" s="8">
        <v>9.9946530066084404E-4</v>
      </c>
      <c r="AE306" s="8">
        <v>1.0022512039407181E-3</v>
      </c>
      <c r="AF306" s="8">
        <v>1.0050371072205921E-3</v>
      </c>
      <c r="AG306" s="8">
        <v>1.0078230105004661E-3</v>
      </c>
      <c r="AH306" s="8">
        <v>1.0106089137803401E-3</v>
      </c>
      <c r="AI306" s="8">
        <v>1.015501889235874E-3</v>
      </c>
      <c r="AJ306" s="8">
        <v>1.0203948646914081E-3</v>
      </c>
      <c r="AK306" s="8">
        <v>1.025287840146942E-3</v>
      </c>
      <c r="AL306" s="8">
        <v>1.0301808156024761E-3</v>
      </c>
      <c r="AM306" s="8">
        <v>1.03507379105801E-3</v>
      </c>
    </row>
    <row r="307" spans="1:39" x14ac:dyDescent="0.25">
      <c r="A307" t="s">
        <v>577</v>
      </c>
      <c r="B307" t="s">
        <v>236</v>
      </c>
      <c r="C307" t="s">
        <v>329</v>
      </c>
      <c r="D307" t="s">
        <v>619</v>
      </c>
      <c r="E307" s="8">
        <v>1.6702521388553199E-4</v>
      </c>
      <c r="F307" s="8">
        <v>1.6981365467511479E-4</v>
      </c>
      <c r="G307" s="8">
        <v>1.726020954646977E-4</v>
      </c>
      <c r="H307" s="8">
        <v>1.753905362542806E-4</v>
      </c>
      <c r="I307" s="8">
        <v>1.781789770438634E-4</v>
      </c>
      <c r="J307" s="8">
        <v>1.8096741783344631E-4</v>
      </c>
      <c r="K307" s="8">
        <v>1.8375585862302911E-4</v>
      </c>
      <c r="L307" s="8">
        <v>1.8654429941261199E-4</v>
      </c>
      <c r="M307" s="8">
        <v>1.89349017424774E-4</v>
      </c>
      <c r="N307" s="8">
        <v>1.9215373543693599E-4</v>
      </c>
      <c r="O307" s="8">
        <v>1.94958453449098E-4</v>
      </c>
      <c r="P307" s="8">
        <v>1.9776317146126001E-4</v>
      </c>
      <c r="Q307" s="8">
        <v>2.0056788947342199E-4</v>
      </c>
      <c r="R307" s="8">
        <v>2.0320330932923849E-4</v>
      </c>
      <c r="S307" s="8">
        <v>2.0583872918505499E-4</v>
      </c>
      <c r="T307" s="8">
        <v>2.0791049962324261E-4</v>
      </c>
      <c r="U307" s="8">
        <v>2.0998227006143019E-4</v>
      </c>
      <c r="V307" s="8">
        <v>2.1205404049961781E-4</v>
      </c>
      <c r="W307" s="8">
        <v>2.1412581093780539E-4</v>
      </c>
      <c r="X307" s="8">
        <v>2.1619758137599301E-4</v>
      </c>
      <c r="Y307" s="8">
        <v>2.1762012051487899E-4</v>
      </c>
      <c r="Z307" s="8">
        <v>2.1904265965376501E-4</v>
      </c>
      <c r="AA307" s="8">
        <v>2.20465198792651E-4</v>
      </c>
      <c r="AB307" s="8">
        <v>2.2188773793153699E-4</v>
      </c>
      <c r="AC307" s="8">
        <v>2.23310277070423E-4</v>
      </c>
      <c r="AD307" s="8">
        <v>2.244487283147978E-4</v>
      </c>
      <c r="AE307" s="8">
        <v>2.2558717955917259E-4</v>
      </c>
      <c r="AF307" s="8">
        <v>2.2672563080354741E-4</v>
      </c>
      <c r="AG307" s="8">
        <v>2.2786408204792221E-4</v>
      </c>
      <c r="AH307" s="8">
        <v>2.29002533292297E-4</v>
      </c>
      <c r="AI307" s="8">
        <v>2.302581865490352E-4</v>
      </c>
      <c r="AJ307" s="8">
        <v>2.315138398057734E-4</v>
      </c>
      <c r="AK307" s="8">
        <v>2.327694930625116E-4</v>
      </c>
      <c r="AL307" s="8">
        <v>2.340251463192498E-4</v>
      </c>
      <c r="AM307" s="8">
        <v>2.35280799575988E-4</v>
      </c>
    </row>
    <row r="308" spans="1:39" x14ac:dyDescent="0.25">
      <c r="A308" t="s">
        <v>577</v>
      </c>
      <c r="B308" t="s">
        <v>236</v>
      </c>
      <c r="C308" t="s">
        <v>331</v>
      </c>
      <c r="D308" t="s">
        <v>620</v>
      </c>
      <c r="E308" s="8">
        <v>3.5451052716318201E-3</v>
      </c>
      <c r="F308" s="8">
        <v>3.6097964787868762E-3</v>
      </c>
      <c r="G308" s="8">
        <v>3.674487685941931E-3</v>
      </c>
      <c r="H308" s="8">
        <v>3.7391788930969871E-3</v>
      </c>
      <c r="I308" s="8">
        <v>3.8038701002520432E-3</v>
      </c>
      <c r="J308" s="8">
        <v>3.868561307407098E-3</v>
      </c>
      <c r="K308" s="8">
        <v>3.9332525145621541E-3</v>
      </c>
      <c r="L308" s="8">
        <v>3.9979437217172098E-3</v>
      </c>
      <c r="M308" s="8">
        <v>4.0723150891446196E-3</v>
      </c>
      <c r="N308" s="8">
        <v>4.1466864565720286E-3</v>
      </c>
      <c r="O308" s="8">
        <v>4.2210578239994401E-3</v>
      </c>
      <c r="P308" s="8">
        <v>4.29542919142685E-3</v>
      </c>
      <c r="Q308" s="8">
        <v>4.3698005588542598E-3</v>
      </c>
      <c r="R308" s="8">
        <v>4.4426301102036651E-3</v>
      </c>
      <c r="S308" s="8">
        <v>4.5154596615530696E-3</v>
      </c>
      <c r="T308" s="8">
        <v>4.586019552640712E-3</v>
      </c>
      <c r="U308" s="8">
        <v>4.6565794437283536E-3</v>
      </c>
      <c r="V308" s="8">
        <v>4.7271393348159961E-3</v>
      </c>
      <c r="W308" s="8">
        <v>4.7976992259036377E-3</v>
      </c>
      <c r="X308" s="8">
        <v>4.8682591169912802E-3</v>
      </c>
      <c r="Y308" s="8">
        <v>4.9249443992601099E-3</v>
      </c>
      <c r="Z308" s="8">
        <v>4.9816296815289396E-3</v>
      </c>
      <c r="AA308" s="8">
        <v>5.0383149637977702E-3</v>
      </c>
      <c r="AB308" s="8">
        <v>5.0950002460666E-3</v>
      </c>
      <c r="AC308" s="8">
        <v>5.1516855283354297E-3</v>
      </c>
      <c r="AD308" s="8">
        <v>5.1910716999279457E-3</v>
      </c>
      <c r="AE308" s="8">
        <v>5.2304578715204617E-3</v>
      </c>
      <c r="AF308" s="8">
        <v>5.2698440431129777E-3</v>
      </c>
      <c r="AG308" s="8">
        <v>5.3092302147054937E-3</v>
      </c>
      <c r="AH308" s="8">
        <v>5.3486163862980097E-3</v>
      </c>
      <c r="AI308" s="8">
        <v>5.3780998736125936E-3</v>
      </c>
      <c r="AJ308" s="8">
        <v>5.4075833609271784E-3</v>
      </c>
      <c r="AK308" s="8">
        <v>5.4370668482417624E-3</v>
      </c>
      <c r="AL308" s="8">
        <v>5.4665503355563463E-3</v>
      </c>
      <c r="AM308" s="8">
        <v>5.4960338228709302E-3</v>
      </c>
    </row>
    <row r="309" spans="1:39" x14ac:dyDescent="0.25">
      <c r="A309" t="s">
        <v>577</v>
      </c>
      <c r="B309" t="s">
        <v>236</v>
      </c>
      <c r="C309" t="s">
        <v>333</v>
      </c>
      <c r="D309" t="s">
        <v>621</v>
      </c>
      <c r="E309" s="8">
        <v>0</v>
      </c>
      <c r="F309" s="8">
        <v>0</v>
      </c>
      <c r="G309" s="8">
        <v>0</v>
      </c>
      <c r="H309" s="8">
        <v>0</v>
      </c>
      <c r="I309" s="8">
        <v>0</v>
      </c>
      <c r="J309" s="8">
        <v>0</v>
      </c>
      <c r="K309" s="8">
        <v>0</v>
      </c>
      <c r="L309" s="8">
        <v>0</v>
      </c>
      <c r="M309" s="8">
        <v>0</v>
      </c>
      <c r="N309" s="8">
        <v>0</v>
      </c>
      <c r="O309" s="8">
        <v>0</v>
      </c>
      <c r="P309" s="8">
        <v>0</v>
      </c>
      <c r="Q309" s="8">
        <v>0</v>
      </c>
      <c r="R309" s="8">
        <v>0</v>
      </c>
      <c r="S309" s="8">
        <v>0</v>
      </c>
      <c r="T309" s="8">
        <v>0</v>
      </c>
      <c r="U309" s="8">
        <v>0</v>
      </c>
      <c r="V309" s="8">
        <v>0</v>
      </c>
      <c r="W309" s="8">
        <v>0</v>
      </c>
      <c r="X309" s="8">
        <v>0</v>
      </c>
      <c r="Y309" s="8">
        <v>0</v>
      </c>
      <c r="Z309" s="8">
        <v>0</v>
      </c>
      <c r="AA309" s="8">
        <v>0</v>
      </c>
      <c r="AB309" s="8">
        <v>0</v>
      </c>
      <c r="AC309" s="8">
        <v>0</v>
      </c>
      <c r="AD309" s="8">
        <v>0</v>
      </c>
      <c r="AE309" s="8">
        <v>0</v>
      </c>
      <c r="AF309" s="8">
        <v>0</v>
      </c>
      <c r="AG309" s="8">
        <v>0</v>
      </c>
      <c r="AH309" s="8">
        <v>0</v>
      </c>
      <c r="AI309" s="8">
        <v>0</v>
      </c>
      <c r="AJ309" s="8">
        <v>0</v>
      </c>
      <c r="AK309" s="8">
        <v>0</v>
      </c>
      <c r="AL309" s="8">
        <v>0</v>
      </c>
      <c r="AM309" s="8">
        <v>0</v>
      </c>
    </row>
    <row r="310" spans="1:39" x14ac:dyDescent="0.25">
      <c r="A310" t="s">
        <v>577</v>
      </c>
      <c r="B310" t="s">
        <v>244</v>
      </c>
      <c r="C310" t="s">
        <v>53</v>
      </c>
      <c r="D310" t="s">
        <v>622</v>
      </c>
      <c r="E310" s="8">
        <v>4.9096100198015103E-3</v>
      </c>
      <c r="F310" s="8">
        <v>4.9388755333849513E-3</v>
      </c>
      <c r="G310" s="8">
        <v>4.9681410469683933E-3</v>
      </c>
      <c r="H310" s="8">
        <v>4.9974065605518344E-3</v>
      </c>
      <c r="I310" s="8">
        <v>5.0266720741352763E-3</v>
      </c>
      <c r="J310" s="8">
        <v>5.0559375877187174E-3</v>
      </c>
      <c r="K310" s="8">
        <v>5.0852031013021593E-3</v>
      </c>
      <c r="L310" s="8">
        <v>5.1144686148856004E-3</v>
      </c>
      <c r="M310" s="8">
        <v>5.1800714166247604E-3</v>
      </c>
      <c r="N310" s="8">
        <v>5.2456742183639203E-3</v>
      </c>
      <c r="O310" s="8">
        <v>5.3112770201030803E-3</v>
      </c>
      <c r="P310" s="8">
        <v>5.3768798218422403E-3</v>
      </c>
      <c r="Q310" s="8">
        <v>5.4424826235814003E-3</v>
      </c>
      <c r="R310" s="8">
        <v>5.5688955045693003E-3</v>
      </c>
      <c r="S310" s="8">
        <v>5.6953083855572004E-3</v>
      </c>
      <c r="T310" s="8">
        <v>5.7788497631393303E-3</v>
      </c>
      <c r="U310" s="8">
        <v>5.8623911407214603E-3</v>
      </c>
      <c r="V310" s="8">
        <v>5.9459325183035903E-3</v>
      </c>
      <c r="W310" s="8">
        <v>6.0294738958857202E-3</v>
      </c>
      <c r="X310" s="8">
        <v>6.1130152734678502E-3</v>
      </c>
      <c r="Y310" s="8">
        <v>6.1782899743984118E-3</v>
      </c>
      <c r="Z310" s="8">
        <v>6.2435646753289742E-3</v>
      </c>
      <c r="AA310" s="8">
        <v>6.3088393762595358E-3</v>
      </c>
      <c r="AB310" s="8">
        <v>6.3741140771900982E-3</v>
      </c>
      <c r="AC310" s="8">
        <v>6.4393887781206598E-3</v>
      </c>
      <c r="AD310" s="8">
        <v>6.474344249614624E-3</v>
      </c>
      <c r="AE310" s="8">
        <v>6.5092997211085883E-3</v>
      </c>
      <c r="AF310" s="8">
        <v>6.5442551926025517E-3</v>
      </c>
      <c r="AG310" s="8">
        <v>6.5792106640965159E-3</v>
      </c>
      <c r="AH310" s="8">
        <v>6.6141661355904801E-3</v>
      </c>
      <c r="AI310" s="8">
        <v>6.6212674465452263E-3</v>
      </c>
      <c r="AJ310" s="8">
        <v>6.6283687574999724E-3</v>
      </c>
      <c r="AK310" s="8">
        <v>6.6354700684547177E-3</v>
      </c>
      <c r="AL310" s="8">
        <v>6.6425713794094638E-3</v>
      </c>
      <c r="AM310" s="8">
        <v>6.6496726903642099E-3</v>
      </c>
    </row>
    <row r="311" spans="1:39" x14ac:dyDescent="0.25">
      <c r="A311" t="s">
        <v>577</v>
      </c>
      <c r="B311" t="s">
        <v>244</v>
      </c>
      <c r="C311" t="s">
        <v>293</v>
      </c>
      <c r="D311" t="s">
        <v>623</v>
      </c>
      <c r="E311" s="8">
        <v>2.1717439628167399E-5</v>
      </c>
      <c r="F311" s="8">
        <v>2.1489190523740431E-5</v>
      </c>
      <c r="G311" s="8">
        <v>2.1260941419313459E-5</v>
      </c>
      <c r="H311" s="8">
        <v>2.1032692314886481E-5</v>
      </c>
      <c r="I311" s="8">
        <v>2.080444321045952E-5</v>
      </c>
      <c r="J311" s="8">
        <v>2.0576194106032541E-5</v>
      </c>
      <c r="K311" s="8">
        <v>2.034794500160557E-5</v>
      </c>
      <c r="L311" s="8">
        <v>2.0119695897178602E-5</v>
      </c>
      <c r="M311" s="8">
        <v>1.994833605180596E-5</v>
      </c>
      <c r="N311" s="8">
        <v>1.9776976206433318E-5</v>
      </c>
      <c r="O311" s="8">
        <v>1.960561636106068E-5</v>
      </c>
      <c r="P311" s="8">
        <v>1.9434256515688038E-5</v>
      </c>
      <c r="Q311" s="8">
        <v>1.92628966703154E-5</v>
      </c>
      <c r="R311" s="8">
        <v>1.2830640646576569E-5</v>
      </c>
      <c r="S311" s="8">
        <v>6.3983846228377502E-6</v>
      </c>
      <c r="T311" s="8">
        <v>6.358245623952422E-6</v>
      </c>
      <c r="U311" s="8">
        <v>6.3181066250670938E-6</v>
      </c>
      <c r="V311" s="8">
        <v>6.2779676261817656E-6</v>
      </c>
      <c r="W311" s="8">
        <v>6.2378286272964382E-6</v>
      </c>
      <c r="X311" s="8">
        <v>6.19768962841111E-6</v>
      </c>
      <c r="Y311" s="8">
        <v>6.1724946793179157E-6</v>
      </c>
      <c r="Z311" s="8">
        <v>6.1472997302247222E-6</v>
      </c>
      <c r="AA311" s="8">
        <v>6.1221047811315278E-6</v>
      </c>
      <c r="AB311" s="8">
        <v>6.0969098320383343E-6</v>
      </c>
      <c r="AC311" s="8">
        <v>6.0717148829451399E-6</v>
      </c>
      <c r="AD311" s="8">
        <v>6.04008108944948E-6</v>
      </c>
      <c r="AE311" s="8">
        <v>6.0084472959538202E-6</v>
      </c>
      <c r="AF311" s="8">
        <v>5.9768135024581586E-6</v>
      </c>
      <c r="AG311" s="8">
        <v>5.9451797089625004E-6</v>
      </c>
      <c r="AH311" s="8">
        <v>5.9135459154668397E-6</v>
      </c>
      <c r="AI311" s="8">
        <v>5.878960414707506E-6</v>
      </c>
      <c r="AJ311" s="8">
        <v>5.8443749139481706E-6</v>
      </c>
      <c r="AK311" s="8">
        <v>5.8097894131888378E-6</v>
      </c>
      <c r="AL311" s="8">
        <v>5.7752039124295033E-6</v>
      </c>
      <c r="AM311" s="8">
        <v>5.7406184116701696E-6</v>
      </c>
    </row>
    <row r="312" spans="1:39" x14ac:dyDescent="0.25">
      <c r="A312" t="s">
        <v>577</v>
      </c>
      <c r="B312" t="s">
        <v>244</v>
      </c>
      <c r="C312" t="s">
        <v>295</v>
      </c>
      <c r="D312" t="s">
        <v>624</v>
      </c>
      <c r="E312" s="8">
        <v>1.0784002882078401</v>
      </c>
      <c r="F312" s="8">
        <v>1.0819180353868409</v>
      </c>
      <c r="G312" s="8">
        <v>1.0854357825658429</v>
      </c>
      <c r="H312" s="8">
        <v>1.0889535297448441</v>
      </c>
      <c r="I312" s="8">
        <v>1.092471276923846</v>
      </c>
      <c r="J312" s="8">
        <v>1.0959890241028469</v>
      </c>
      <c r="K312" s="8">
        <v>1.0995067712818489</v>
      </c>
      <c r="L312" s="8">
        <v>1.10302451846085</v>
      </c>
      <c r="M312" s="8">
        <v>1.114512095510634</v>
      </c>
      <c r="N312" s="8">
        <v>1.125999672560418</v>
      </c>
      <c r="O312" s="8">
        <v>1.137487249610202</v>
      </c>
      <c r="P312" s="8">
        <v>1.148974826659986</v>
      </c>
      <c r="Q312" s="8">
        <v>1.1604624037097699</v>
      </c>
      <c r="R312" s="8">
        <v>1.17387590401305</v>
      </c>
      <c r="S312" s="8">
        <v>1.18728940431633</v>
      </c>
      <c r="T312" s="8">
        <v>1.197073157170226</v>
      </c>
      <c r="U312" s="8">
        <v>1.206856910024122</v>
      </c>
      <c r="V312" s="8">
        <v>1.216640662878018</v>
      </c>
      <c r="W312" s="8">
        <v>1.226424415731914</v>
      </c>
      <c r="X312" s="8">
        <v>1.23620816858581</v>
      </c>
      <c r="Y312" s="8">
        <v>1.2403869950056261</v>
      </c>
      <c r="Z312" s="8">
        <v>1.244565821425442</v>
      </c>
      <c r="AA312" s="8">
        <v>1.248744647845258</v>
      </c>
      <c r="AB312" s="8">
        <v>1.2529234742650741</v>
      </c>
      <c r="AC312" s="8">
        <v>1.25710230068489</v>
      </c>
      <c r="AD312" s="8">
        <v>1.2621876140677379</v>
      </c>
      <c r="AE312" s="8">
        <v>1.2672729274505861</v>
      </c>
      <c r="AF312" s="8">
        <v>1.272358240833434</v>
      </c>
      <c r="AG312" s="8">
        <v>1.2774435542162821</v>
      </c>
      <c r="AH312" s="8">
        <v>1.28252886759913</v>
      </c>
      <c r="AI312" s="8">
        <v>1.28814230335299</v>
      </c>
      <c r="AJ312" s="8">
        <v>1.2937557391068499</v>
      </c>
      <c r="AK312" s="8">
        <v>1.2993691748607099</v>
      </c>
      <c r="AL312" s="8">
        <v>1.3049826106145701</v>
      </c>
      <c r="AM312" s="8">
        <v>1.3105960463684301</v>
      </c>
    </row>
    <row r="313" spans="1:39" x14ac:dyDescent="0.25">
      <c r="A313" t="s">
        <v>577</v>
      </c>
      <c r="B313" t="s">
        <v>244</v>
      </c>
      <c r="C313" t="s">
        <v>297</v>
      </c>
      <c r="D313" t="s">
        <v>625</v>
      </c>
      <c r="E313" s="8">
        <v>0</v>
      </c>
      <c r="F313" s="8">
        <v>0</v>
      </c>
      <c r="G313" s="8">
        <v>0</v>
      </c>
      <c r="H313" s="8">
        <v>0</v>
      </c>
      <c r="I313" s="8">
        <v>0</v>
      </c>
      <c r="J313" s="8">
        <v>0</v>
      </c>
      <c r="K313" s="8">
        <v>0</v>
      </c>
      <c r="L313" s="8">
        <v>0</v>
      </c>
      <c r="M313" s="8">
        <v>0</v>
      </c>
      <c r="N313" s="8">
        <v>0</v>
      </c>
      <c r="O313" s="8">
        <v>0</v>
      </c>
      <c r="P313" s="8">
        <v>0</v>
      </c>
      <c r="Q313" s="8">
        <v>0</v>
      </c>
      <c r="R313" s="8">
        <v>0</v>
      </c>
      <c r="S313" s="8">
        <v>0</v>
      </c>
      <c r="T313" s="8">
        <v>0</v>
      </c>
      <c r="U313" s="8">
        <v>0</v>
      </c>
      <c r="V313" s="8">
        <v>0</v>
      </c>
      <c r="W313" s="8">
        <v>0</v>
      </c>
      <c r="X313" s="8">
        <v>0</v>
      </c>
      <c r="Y313" s="8">
        <v>0</v>
      </c>
      <c r="Z313" s="8">
        <v>0</v>
      </c>
      <c r="AA313" s="8">
        <v>0</v>
      </c>
      <c r="AB313" s="8">
        <v>0</v>
      </c>
      <c r="AC313" s="8">
        <v>0</v>
      </c>
      <c r="AD313" s="8">
        <v>0</v>
      </c>
      <c r="AE313" s="8">
        <v>0</v>
      </c>
      <c r="AF313" s="8">
        <v>0</v>
      </c>
      <c r="AG313" s="8">
        <v>0</v>
      </c>
      <c r="AH313" s="8">
        <v>0</v>
      </c>
      <c r="AI313" s="8">
        <v>0</v>
      </c>
      <c r="AJ313" s="8">
        <v>0</v>
      </c>
      <c r="AK313" s="8">
        <v>0</v>
      </c>
      <c r="AL313" s="8">
        <v>0</v>
      </c>
      <c r="AM313" s="8">
        <v>0</v>
      </c>
    </row>
    <row r="314" spans="1:39" x14ac:dyDescent="0.25">
      <c r="A314" t="s">
        <v>577</v>
      </c>
      <c r="B314" t="s">
        <v>244</v>
      </c>
      <c r="C314" t="s">
        <v>299</v>
      </c>
      <c r="D314" t="s">
        <v>626</v>
      </c>
      <c r="E314" s="8">
        <v>0</v>
      </c>
      <c r="F314" s="8">
        <v>0</v>
      </c>
      <c r="G314" s="8">
        <v>0</v>
      </c>
      <c r="H314" s="8">
        <v>0</v>
      </c>
      <c r="I314" s="8">
        <v>0</v>
      </c>
      <c r="J314" s="8">
        <v>0</v>
      </c>
      <c r="K314" s="8">
        <v>0</v>
      </c>
      <c r="L314" s="8">
        <v>0</v>
      </c>
      <c r="M314" s="8">
        <v>0</v>
      </c>
      <c r="N314" s="8">
        <v>0</v>
      </c>
      <c r="O314" s="8">
        <v>0</v>
      </c>
      <c r="P314" s="8">
        <v>0</v>
      </c>
      <c r="Q314" s="8">
        <v>0</v>
      </c>
      <c r="R314" s="8">
        <v>0</v>
      </c>
      <c r="S314" s="8">
        <v>0</v>
      </c>
      <c r="T314" s="8">
        <v>0</v>
      </c>
      <c r="U314" s="8">
        <v>0</v>
      </c>
      <c r="V314" s="8">
        <v>0</v>
      </c>
      <c r="W314" s="8">
        <v>0</v>
      </c>
      <c r="X314" s="8">
        <v>0</v>
      </c>
      <c r="Y314" s="8">
        <v>0</v>
      </c>
      <c r="Z314" s="8">
        <v>0</v>
      </c>
      <c r="AA314" s="8">
        <v>0</v>
      </c>
      <c r="AB314" s="8">
        <v>0</v>
      </c>
      <c r="AC314" s="8">
        <v>0</v>
      </c>
      <c r="AD314" s="8">
        <v>0</v>
      </c>
      <c r="AE314" s="8">
        <v>0</v>
      </c>
      <c r="AF314" s="8">
        <v>0</v>
      </c>
      <c r="AG314" s="8">
        <v>0</v>
      </c>
      <c r="AH314" s="8">
        <v>0</v>
      </c>
      <c r="AI314" s="8">
        <v>0</v>
      </c>
      <c r="AJ314" s="8">
        <v>0</v>
      </c>
      <c r="AK314" s="8">
        <v>0</v>
      </c>
      <c r="AL314" s="8">
        <v>0</v>
      </c>
      <c r="AM314" s="8">
        <v>0</v>
      </c>
    </row>
    <row r="315" spans="1:39" x14ac:dyDescent="0.25">
      <c r="A315" t="s">
        <v>577</v>
      </c>
      <c r="B315" t="s">
        <v>244</v>
      </c>
      <c r="C315" t="s">
        <v>301</v>
      </c>
      <c r="D315" t="s">
        <v>627</v>
      </c>
      <c r="E315" s="8">
        <v>0</v>
      </c>
      <c r="F315" s="8">
        <v>0</v>
      </c>
      <c r="G315" s="8">
        <v>0</v>
      </c>
      <c r="H315" s="8">
        <v>0</v>
      </c>
      <c r="I315" s="8">
        <v>0</v>
      </c>
      <c r="J315" s="8">
        <v>0</v>
      </c>
      <c r="K315" s="8">
        <v>0</v>
      </c>
      <c r="L315" s="8">
        <v>0</v>
      </c>
      <c r="M315" s="8">
        <v>0</v>
      </c>
      <c r="N315" s="8">
        <v>0</v>
      </c>
      <c r="O315" s="8">
        <v>0</v>
      </c>
      <c r="P315" s="8">
        <v>0</v>
      </c>
      <c r="Q315" s="8">
        <v>0</v>
      </c>
      <c r="R315" s="8">
        <v>0</v>
      </c>
      <c r="S315" s="8">
        <v>0</v>
      </c>
      <c r="T315" s="8">
        <v>0</v>
      </c>
      <c r="U315" s="8">
        <v>0</v>
      </c>
      <c r="V315" s="8">
        <v>0</v>
      </c>
      <c r="W315" s="8">
        <v>0</v>
      </c>
      <c r="X315" s="8">
        <v>0</v>
      </c>
      <c r="Y315" s="8">
        <v>0</v>
      </c>
      <c r="Z315" s="8">
        <v>0</v>
      </c>
      <c r="AA315" s="8">
        <v>0</v>
      </c>
      <c r="AB315" s="8">
        <v>0</v>
      </c>
      <c r="AC315" s="8">
        <v>0</v>
      </c>
      <c r="AD315" s="8">
        <v>0</v>
      </c>
      <c r="AE315" s="8">
        <v>0</v>
      </c>
      <c r="AF315" s="8">
        <v>0</v>
      </c>
      <c r="AG315" s="8">
        <v>0</v>
      </c>
      <c r="AH315" s="8">
        <v>0</v>
      </c>
      <c r="AI315" s="8">
        <v>0</v>
      </c>
      <c r="AJ315" s="8">
        <v>0</v>
      </c>
      <c r="AK315" s="8">
        <v>0</v>
      </c>
      <c r="AL315" s="8">
        <v>0</v>
      </c>
      <c r="AM315" s="8">
        <v>0</v>
      </c>
    </row>
    <row r="316" spans="1:39" x14ac:dyDescent="0.25">
      <c r="A316" t="s">
        <v>577</v>
      </c>
      <c r="B316" t="s">
        <v>244</v>
      </c>
      <c r="C316" t="s">
        <v>303</v>
      </c>
      <c r="D316" t="s">
        <v>628</v>
      </c>
      <c r="E316" s="8">
        <v>0</v>
      </c>
      <c r="F316" s="8">
        <v>0</v>
      </c>
      <c r="G316" s="8">
        <v>0</v>
      </c>
      <c r="H316" s="8">
        <v>0</v>
      </c>
      <c r="I316" s="8">
        <v>0</v>
      </c>
      <c r="J316" s="8">
        <v>0</v>
      </c>
      <c r="K316" s="8">
        <v>0</v>
      </c>
      <c r="L316" s="8">
        <v>0</v>
      </c>
      <c r="M316" s="8">
        <v>0</v>
      </c>
      <c r="N316" s="8">
        <v>0</v>
      </c>
      <c r="O316" s="8">
        <v>0</v>
      </c>
      <c r="P316" s="8">
        <v>0</v>
      </c>
      <c r="Q316" s="8">
        <v>0</v>
      </c>
      <c r="R316" s="8">
        <v>0</v>
      </c>
      <c r="S316" s="8">
        <v>0</v>
      </c>
      <c r="T316" s="8">
        <v>0</v>
      </c>
      <c r="U316" s="8">
        <v>0</v>
      </c>
      <c r="V316" s="8">
        <v>0</v>
      </c>
      <c r="W316" s="8">
        <v>0</v>
      </c>
      <c r="X316" s="8">
        <v>0</v>
      </c>
      <c r="Y316" s="8">
        <v>0</v>
      </c>
      <c r="Z316" s="8">
        <v>0</v>
      </c>
      <c r="AA316" s="8">
        <v>0</v>
      </c>
      <c r="AB316" s="8">
        <v>0</v>
      </c>
      <c r="AC316" s="8">
        <v>0</v>
      </c>
      <c r="AD316" s="8">
        <v>0</v>
      </c>
      <c r="AE316" s="8">
        <v>0</v>
      </c>
      <c r="AF316" s="8">
        <v>0</v>
      </c>
      <c r="AG316" s="8">
        <v>0</v>
      </c>
      <c r="AH316" s="8">
        <v>0</v>
      </c>
      <c r="AI316" s="8">
        <v>0</v>
      </c>
      <c r="AJ316" s="8">
        <v>0</v>
      </c>
      <c r="AK316" s="8">
        <v>0</v>
      </c>
      <c r="AL316" s="8">
        <v>0</v>
      </c>
      <c r="AM316" s="8">
        <v>0</v>
      </c>
    </row>
    <row r="317" spans="1:39" x14ac:dyDescent="0.25">
      <c r="A317" t="s">
        <v>577</v>
      </c>
      <c r="B317" t="s">
        <v>244</v>
      </c>
      <c r="C317" t="s">
        <v>305</v>
      </c>
      <c r="D317" t="s">
        <v>629</v>
      </c>
      <c r="E317" s="8">
        <v>5.5742592939440304E-3</v>
      </c>
      <c r="F317" s="8">
        <v>5.6335757355777784E-3</v>
      </c>
      <c r="G317" s="8">
        <v>5.6928921772115247E-3</v>
      </c>
      <c r="H317" s="8">
        <v>5.7522086188452719E-3</v>
      </c>
      <c r="I317" s="8">
        <v>5.8115250604790182E-3</v>
      </c>
      <c r="J317" s="8">
        <v>5.8708415021127653E-3</v>
      </c>
      <c r="K317" s="8">
        <v>5.9301579437465116E-3</v>
      </c>
      <c r="L317" s="8">
        <v>5.9894743853802597E-3</v>
      </c>
      <c r="M317" s="8">
        <v>6.0297405567772419E-3</v>
      </c>
      <c r="N317" s="8">
        <v>6.0700067281742242E-3</v>
      </c>
      <c r="O317" s="8">
        <v>6.1102728995712056E-3</v>
      </c>
      <c r="P317" s="8">
        <v>6.1505390709681879E-3</v>
      </c>
      <c r="Q317" s="8">
        <v>6.1908052423651702E-3</v>
      </c>
      <c r="R317" s="8">
        <v>6.2270806998044447E-3</v>
      </c>
      <c r="S317" s="8">
        <v>6.2633561572437201E-3</v>
      </c>
      <c r="T317" s="8">
        <v>6.2938418219528718E-3</v>
      </c>
      <c r="U317" s="8">
        <v>6.3243274866620243E-3</v>
      </c>
      <c r="V317" s="8">
        <v>6.354813151371176E-3</v>
      </c>
      <c r="W317" s="8">
        <v>6.3852988160803294E-3</v>
      </c>
      <c r="X317" s="8">
        <v>6.4157844807894802E-3</v>
      </c>
      <c r="Y317" s="8">
        <v>6.4444596976193074E-3</v>
      </c>
      <c r="Z317" s="8">
        <v>6.473134914449132E-3</v>
      </c>
      <c r="AA317" s="8">
        <v>6.5018101312789584E-3</v>
      </c>
      <c r="AB317" s="8">
        <v>6.5304853481087839E-3</v>
      </c>
      <c r="AC317" s="8">
        <v>6.5591605649386103E-3</v>
      </c>
      <c r="AD317" s="8">
        <v>6.5869078784305422E-3</v>
      </c>
      <c r="AE317" s="8">
        <v>6.6146551919224741E-3</v>
      </c>
      <c r="AF317" s="8">
        <v>6.642402505414406E-3</v>
      </c>
      <c r="AG317" s="8">
        <v>6.6701498189063379E-3</v>
      </c>
      <c r="AH317" s="8">
        <v>6.6978971323982698E-3</v>
      </c>
      <c r="AI317" s="8">
        <v>6.7232579678051319E-3</v>
      </c>
      <c r="AJ317" s="8">
        <v>6.7486188032119939E-3</v>
      </c>
      <c r="AK317" s="8">
        <v>6.773979638618856E-3</v>
      </c>
      <c r="AL317" s="8">
        <v>6.7993404740257181E-3</v>
      </c>
      <c r="AM317" s="8">
        <v>6.8247013094325801E-3</v>
      </c>
    </row>
    <row r="318" spans="1:39" x14ac:dyDescent="0.25">
      <c r="A318" t="s">
        <v>577</v>
      </c>
      <c r="B318" t="s">
        <v>244</v>
      </c>
      <c r="C318" t="s">
        <v>307</v>
      </c>
      <c r="D318" t="s">
        <v>630</v>
      </c>
      <c r="E318" s="8">
        <v>3.6581775184628802E-2</v>
      </c>
      <c r="F318" s="8">
        <v>3.6791952321240648E-2</v>
      </c>
      <c r="G318" s="8">
        <v>3.7002129457852487E-2</v>
      </c>
      <c r="H318" s="8">
        <v>3.7212306594464332E-2</v>
      </c>
      <c r="I318" s="8">
        <v>3.7422483731076171E-2</v>
      </c>
      <c r="J318" s="8">
        <v>3.7632660867688017E-2</v>
      </c>
      <c r="K318" s="8">
        <v>3.7842838004299863E-2</v>
      </c>
      <c r="L318" s="8">
        <v>3.8053015140911702E-2</v>
      </c>
      <c r="M318" s="8">
        <v>3.84101549799548E-2</v>
      </c>
      <c r="N318" s="8">
        <v>3.8767294818997898E-2</v>
      </c>
      <c r="O318" s="8">
        <v>3.9124434658041003E-2</v>
      </c>
      <c r="P318" s="8">
        <v>3.9481574497084101E-2</v>
      </c>
      <c r="Q318" s="8">
        <v>3.98387143361272E-2</v>
      </c>
      <c r="R318" s="8">
        <v>4.0228137617406748E-2</v>
      </c>
      <c r="S318" s="8">
        <v>4.0617560898686303E-2</v>
      </c>
      <c r="T318" s="8">
        <v>4.0914080765830842E-2</v>
      </c>
      <c r="U318" s="8">
        <v>4.121060063297538E-2</v>
      </c>
      <c r="V318" s="8">
        <v>4.1507120500119919E-2</v>
      </c>
      <c r="W318" s="8">
        <v>4.1803640367264458E-2</v>
      </c>
      <c r="X318" s="8">
        <v>4.2100160234408997E-2</v>
      </c>
      <c r="Y318" s="8">
        <v>4.2255037086527322E-2</v>
      </c>
      <c r="Z318" s="8">
        <v>4.2409913938645627E-2</v>
      </c>
      <c r="AA318" s="8">
        <v>4.2564790790763959E-2</v>
      </c>
      <c r="AB318" s="8">
        <v>4.2719667642882278E-2</v>
      </c>
      <c r="AC318" s="8">
        <v>4.2874544495000597E-2</v>
      </c>
      <c r="AD318" s="8">
        <v>4.3051647925138707E-2</v>
      </c>
      <c r="AE318" s="8">
        <v>4.3228751355276838E-2</v>
      </c>
      <c r="AF318" s="8">
        <v>4.3405854785414963E-2</v>
      </c>
      <c r="AG318" s="8">
        <v>4.358295821555308E-2</v>
      </c>
      <c r="AH318" s="8">
        <v>4.3760061645691198E-2</v>
      </c>
      <c r="AI318" s="8">
        <v>4.3944875992111783E-2</v>
      </c>
      <c r="AJ318" s="8">
        <v>4.4129690338532361E-2</v>
      </c>
      <c r="AK318" s="8">
        <v>4.4314504684952939E-2</v>
      </c>
      <c r="AL318" s="8">
        <v>4.4499319031373517E-2</v>
      </c>
      <c r="AM318" s="8">
        <v>4.4684133377794102E-2</v>
      </c>
    </row>
    <row r="319" spans="1:39" x14ac:dyDescent="0.25">
      <c r="A319" t="s">
        <v>577</v>
      </c>
      <c r="B319" t="s">
        <v>244</v>
      </c>
      <c r="C319" t="s">
        <v>309</v>
      </c>
      <c r="D319" t="s">
        <v>631</v>
      </c>
      <c r="E319" s="8">
        <v>1.6785700442080399E-3</v>
      </c>
      <c r="F319" s="8">
        <v>1.694252894916244E-3</v>
      </c>
      <c r="G319" s="8">
        <v>1.709935745624449E-3</v>
      </c>
      <c r="H319" s="8">
        <v>1.7256185963326529E-3</v>
      </c>
      <c r="I319" s="8">
        <v>1.741301447040857E-3</v>
      </c>
      <c r="J319" s="8">
        <v>1.7569842977490609E-3</v>
      </c>
      <c r="K319" s="8">
        <v>1.7726671484572659E-3</v>
      </c>
      <c r="L319" s="8">
        <v>1.78834999916547E-3</v>
      </c>
      <c r="M319" s="8">
        <v>1.805717261900288E-3</v>
      </c>
      <c r="N319" s="8">
        <v>1.823084524635106E-3</v>
      </c>
      <c r="O319" s="8">
        <v>1.8404517873699239E-3</v>
      </c>
      <c r="P319" s="8">
        <v>1.8578190501047421E-3</v>
      </c>
      <c r="Q319" s="8">
        <v>1.8751863128395601E-3</v>
      </c>
      <c r="R319" s="8">
        <v>1.8931403079101849E-3</v>
      </c>
      <c r="S319" s="8">
        <v>1.91109430298081E-3</v>
      </c>
      <c r="T319" s="8">
        <v>1.927958050237236E-3</v>
      </c>
      <c r="U319" s="8">
        <v>1.944821797493662E-3</v>
      </c>
      <c r="V319" s="8">
        <v>1.9616855447500878E-3</v>
      </c>
      <c r="W319" s="8">
        <v>1.978549292006514E-3</v>
      </c>
      <c r="X319" s="8">
        <v>1.9954130392629398E-3</v>
      </c>
      <c r="Y319" s="8">
        <v>2.009687303232712E-3</v>
      </c>
      <c r="Z319" s="8">
        <v>2.0239615672024841E-3</v>
      </c>
      <c r="AA319" s="8">
        <v>2.0382358311722558E-3</v>
      </c>
      <c r="AB319" s="8">
        <v>2.0525100951420279E-3</v>
      </c>
      <c r="AC319" s="8">
        <v>2.0667843591118001E-3</v>
      </c>
      <c r="AD319" s="8">
        <v>2.0790583411905159E-3</v>
      </c>
      <c r="AE319" s="8">
        <v>2.0913323232692321E-3</v>
      </c>
      <c r="AF319" s="8">
        <v>2.1036063053479479E-3</v>
      </c>
      <c r="AG319" s="8">
        <v>2.1158802874266642E-3</v>
      </c>
      <c r="AH319" s="8">
        <v>2.12815426950538E-3</v>
      </c>
      <c r="AI319" s="8">
        <v>2.1396285573208459E-3</v>
      </c>
      <c r="AJ319" s="8">
        <v>2.1511028451363119E-3</v>
      </c>
      <c r="AK319" s="8">
        <v>2.1625771329517778E-3</v>
      </c>
      <c r="AL319" s="8">
        <v>2.1740514207672442E-3</v>
      </c>
      <c r="AM319" s="8">
        <v>2.1855257085827101E-3</v>
      </c>
    </row>
    <row r="320" spans="1:39" x14ac:dyDescent="0.25">
      <c r="A320" t="s">
        <v>577</v>
      </c>
      <c r="B320" t="s">
        <v>244</v>
      </c>
      <c r="C320" t="s">
        <v>311</v>
      </c>
      <c r="D320" t="s">
        <v>632</v>
      </c>
      <c r="E320" s="8">
        <v>1.92584436137561E-4</v>
      </c>
      <c r="F320" s="8">
        <v>1.9416304785166029E-4</v>
      </c>
      <c r="G320" s="8">
        <v>1.957416595657596E-4</v>
      </c>
      <c r="H320" s="8">
        <v>1.9732027127985889E-4</v>
      </c>
      <c r="I320" s="8">
        <v>1.9889888299395809E-4</v>
      </c>
      <c r="J320" s="8">
        <v>2.0047749470805741E-4</v>
      </c>
      <c r="K320" s="8">
        <v>2.020561064221567E-4</v>
      </c>
      <c r="L320" s="8">
        <v>2.0363471813625601E-4</v>
      </c>
      <c r="M320" s="8">
        <v>2.0484289169109699E-4</v>
      </c>
      <c r="N320" s="8">
        <v>2.06051065245938E-4</v>
      </c>
      <c r="O320" s="8">
        <v>2.0725923880077901E-4</v>
      </c>
      <c r="P320" s="8">
        <v>2.0846741235561999E-4</v>
      </c>
      <c r="Q320" s="8">
        <v>2.09675585910461E-4</v>
      </c>
      <c r="R320" s="8">
        <v>2.1099269886907301E-4</v>
      </c>
      <c r="S320" s="8">
        <v>2.1230981182768501E-4</v>
      </c>
      <c r="T320" s="8">
        <v>2.136086420257856E-4</v>
      </c>
      <c r="U320" s="8">
        <v>2.1490747222388621E-4</v>
      </c>
      <c r="V320" s="8">
        <v>2.162063024219868E-4</v>
      </c>
      <c r="W320" s="8">
        <v>2.1750513262008741E-4</v>
      </c>
      <c r="X320" s="8">
        <v>2.18803962818188E-4</v>
      </c>
      <c r="Y320" s="8">
        <v>2.197520687697346E-4</v>
      </c>
      <c r="Z320" s="8">
        <v>2.207001747212812E-4</v>
      </c>
      <c r="AA320" s="8">
        <v>2.216482806728278E-4</v>
      </c>
      <c r="AB320" s="8">
        <v>2.225963866243744E-4</v>
      </c>
      <c r="AC320" s="8">
        <v>2.23544492575921E-4</v>
      </c>
      <c r="AD320" s="8">
        <v>2.24448913311171E-4</v>
      </c>
      <c r="AE320" s="8">
        <v>2.25353334046421E-4</v>
      </c>
      <c r="AF320" s="8">
        <v>2.26257754781671E-4</v>
      </c>
      <c r="AG320" s="8">
        <v>2.27162175516921E-4</v>
      </c>
      <c r="AH320" s="8">
        <v>2.28066596252171E-4</v>
      </c>
      <c r="AI320" s="8">
        <v>2.289247430416848E-4</v>
      </c>
      <c r="AJ320" s="8">
        <v>2.297828898311986E-4</v>
      </c>
      <c r="AK320" s="8">
        <v>2.3064103662071239E-4</v>
      </c>
      <c r="AL320" s="8">
        <v>2.3149918341022619E-4</v>
      </c>
      <c r="AM320" s="8">
        <v>2.3235733019974001E-4</v>
      </c>
    </row>
    <row r="321" spans="1:39" x14ac:dyDescent="0.25">
      <c r="A321" t="s">
        <v>577</v>
      </c>
      <c r="B321" t="s">
        <v>244</v>
      </c>
      <c r="C321" t="s">
        <v>313</v>
      </c>
      <c r="D321" t="s">
        <v>633</v>
      </c>
      <c r="E321" s="8">
        <v>1.35065298526967E-3</v>
      </c>
      <c r="F321" s="8">
        <v>1.39621175774179E-3</v>
      </c>
      <c r="G321" s="8">
        <v>1.4417705302139101E-3</v>
      </c>
      <c r="H321" s="8">
        <v>1.48732930268603E-3</v>
      </c>
      <c r="I321" s="8">
        <v>1.5328880751581499E-3</v>
      </c>
      <c r="J321" s="8">
        <v>1.5784468476302701E-3</v>
      </c>
      <c r="K321" s="8">
        <v>1.62400562010239E-3</v>
      </c>
      <c r="L321" s="8">
        <v>1.6695643925745099E-3</v>
      </c>
      <c r="M321" s="8">
        <v>1.72005907955305E-3</v>
      </c>
      <c r="N321" s="8">
        <v>1.77055376653159E-3</v>
      </c>
      <c r="O321" s="8">
        <v>1.8210484535101301E-3</v>
      </c>
      <c r="P321" s="8">
        <v>1.87154314048867E-3</v>
      </c>
      <c r="Q321" s="8">
        <v>1.9220378274672099E-3</v>
      </c>
      <c r="R321" s="8">
        <v>1.9696590009563148E-3</v>
      </c>
      <c r="S321" s="8">
        <v>2.0172801744454201E-3</v>
      </c>
      <c r="T321" s="8">
        <v>2.0556002905566919E-3</v>
      </c>
      <c r="U321" s="8">
        <v>2.093920406667964E-3</v>
      </c>
      <c r="V321" s="8">
        <v>2.1322405227792358E-3</v>
      </c>
      <c r="W321" s="8">
        <v>2.170560638890508E-3</v>
      </c>
      <c r="X321" s="8">
        <v>2.2088807550017802E-3</v>
      </c>
      <c r="Y321" s="8">
        <v>2.2337624693612558E-3</v>
      </c>
      <c r="Z321" s="8">
        <v>2.258644183720732E-3</v>
      </c>
      <c r="AA321" s="8">
        <v>2.2835258980802081E-3</v>
      </c>
      <c r="AB321" s="8">
        <v>2.3084076124396842E-3</v>
      </c>
      <c r="AC321" s="8">
        <v>2.3332893267991599E-3</v>
      </c>
      <c r="AD321" s="8">
        <v>2.3462799299118482E-3</v>
      </c>
      <c r="AE321" s="8">
        <v>2.3592705330245361E-3</v>
      </c>
      <c r="AF321" s="8">
        <v>2.372261136137224E-3</v>
      </c>
      <c r="AG321" s="8">
        <v>2.3852517392499118E-3</v>
      </c>
      <c r="AH321" s="8">
        <v>2.3982423423626002E-3</v>
      </c>
      <c r="AI321" s="8">
        <v>2.408049111374596E-3</v>
      </c>
      <c r="AJ321" s="8">
        <v>2.4178558803865922E-3</v>
      </c>
      <c r="AK321" s="8">
        <v>2.427662649398588E-3</v>
      </c>
      <c r="AL321" s="8">
        <v>2.4374694184105838E-3</v>
      </c>
      <c r="AM321" s="8">
        <v>2.44727618742258E-3</v>
      </c>
    </row>
    <row r="322" spans="1:39" x14ac:dyDescent="0.25">
      <c r="A322" t="s">
        <v>577</v>
      </c>
      <c r="B322" t="s">
        <v>244</v>
      </c>
      <c r="C322" t="s">
        <v>315</v>
      </c>
      <c r="D322" t="s">
        <v>634</v>
      </c>
      <c r="E322" s="8">
        <v>1.7445996149352101</v>
      </c>
      <c r="F322" s="8">
        <v>1.7489392891216771</v>
      </c>
      <c r="G322" s="8">
        <v>1.753278963308144</v>
      </c>
      <c r="H322" s="8">
        <v>1.757618637494611</v>
      </c>
      <c r="I322" s="8">
        <v>1.7619583116810791</v>
      </c>
      <c r="J322" s="8">
        <v>1.766297985867546</v>
      </c>
      <c r="K322" s="8">
        <v>1.770637660054013</v>
      </c>
      <c r="L322" s="8">
        <v>1.77497733424048</v>
      </c>
      <c r="M322" s="8">
        <v>1.7794627669726859</v>
      </c>
      <c r="N322" s="8">
        <v>1.783948199704892</v>
      </c>
      <c r="O322" s="8">
        <v>1.788433632437098</v>
      </c>
      <c r="P322" s="8">
        <v>1.7929190651693041</v>
      </c>
      <c r="Q322" s="8">
        <v>1.79740449790151</v>
      </c>
      <c r="R322" s="8">
        <v>1.8040066142319451</v>
      </c>
      <c r="S322" s="8">
        <v>1.8106087305623799</v>
      </c>
      <c r="T322" s="8">
        <v>1.821868024574594</v>
      </c>
      <c r="U322" s="8">
        <v>1.833127318586808</v>
      </c>
      <c r="V322" s="8">
        <v>1.844386612599022</v>
      </c>
      <c r="W322" s="8">
        <v>1.8556459066112361</v>
      </c>
      <c r="X322" s="8">
        <v>1.8669052006234499</v>
      </c>
      <c r="Y322" s="8">
        <v>1.882306108177344</v>
      </c>
      <c r="Z322" s="8">
        <v>1.8977070157312379</v>
      </c>
      <c r="AA322" s="8">
        <v>1.913107923285132</v>
      </c>
      <c r="AB322" s="8">
        <v>1.9285088308390259</v>
      </c>
      <c r="AC322" s="8">
        <v>1.94390973839292</v>
      </c>
      <c r="AD322" s="8">
        <v>1.959612470991384</v>
      </c>
      <c r="AE322" s="8">
        <v>1.975315203589848</v>
      </c>
      <c r="AF322" s="8">
        <v>1.991017936188312</v>
      </c>
      <c r="AG322" s="8">
        <v>2.0067206687867758</v>
      </c>
      <c r="AH322" s="8">
        <v>2.02242340138524</v>
      </c>
      <c r="AI322" s="8">
        <v>2.0362327033734142</v>
      </c>
      <c r="AJ322" s="8">
        <v>2.050042005361588</v>
      </c>
      <c r="AK322" s="8">
        <v>2.0638513073497622</v>
      </c>
      <c r="AL322" s="8">
        <v>2.0776606093379359</v>
      </c>
      <c r="AM322" s="8">
        <v>2.0914699113261102</v>
      </c>
    </row>
    <row r="323" spans="1:39" x14ac:dyDescent="0.25">
      <c r="A323" t="s">
        <v>577</v>
      </c>
      <c r="B323" t="s">
        <v>244</v>
      </c>
      <c r="C323" t="s">
        <v>317</v>
      </c>
      <c r="D323" t="s">
        <v>635</v>
      </c>
      <c r="E323" s="8">
        <v>0.29261488006707198</v>
      </c>
      <c r="F323" s="8">
        <v>0.29367412651423802</v>
      </c>
      <c r="G323" s="8">
        <v>0.29473337296140401</v>
      </c>
      <c r="H323" s="8">
        <v>0.29579261940856999</v>
      </c>
      <c r="I323" s="8">
        <v>0.29685186585573597</v>
      </c>
      <c r="J323" s="8">
        <v>0.29791111230290201</v>
      </c>
      <c r="K323" s="8">
        <v>0.298970358750068</v>
      </c>
      <c r="L323" s="8">
        <v>0.30002960519723398</v>
      </c>
      <c r="M323" s="8">
        <v>0.30100481295071102</v>
      </c>
      <c r="N323" s="8">
        <v>0.301980020704188</v>
      </c>
      <c r="O323" s="8">
        <v>0.30295522845766498</v>
      </c>
      <c r="P323" s="8">
        <v>0.30393043621114202</v>
      </c>
      <c r="Q323" s="8">
        <v>0.304905643964619</v>
      </c>
      <c r="R323" s="8">
        <v>0.30617987221883203</v>
      </c>
      <c r="S323" s="8">
        <v>0.307454100473045</v>
      </c>
      <c r="T323" s="8">
        <v>0.30931812535615599</v>
      </c>
      <c r="U323" s="8">
        <v>0.31118215023926699</v>
      </c>
      <c r="V323" s="8">
        <v>0.31304617512237798</v>
      </c>
      <c r="W323" s="8">
        <v>0.31491020000548903</v>
      </c>
      <c r="X323" s="8">
        <v>0.31677422488860002</v>
      </c>
      <c r="Y323" s="8">
        <v>0.3191114100257112</v>
      </c>
      <c r="Z323" s="8">
        <v>0.32144859516282243</v>
      </c>
      <c r="AA323" s="8">
        <v>0.3237857802999336</v>
      </c>
      <c r="AB323" s="8">
        <v>0.32612296543704478</v>
      </c>
      <c r="AC323" s="8">
        <v>0.32846015057415601</v>
      </c>
      <c r="AD323" s="8">
        <v>0.3310719472592768</v>
      </c>
      <c r="AE323" s="8">
        <v>0.33368374394439759</v>
      </c>
      <c r="AF323" s="8">
        <v>0.33629554062951839</v>
      </c>
      <c r="AG323" s="8">
        <v>0.33890733731463918</v>
      </c>
      <c r="AH323" s="8">
        <v>0.34151913399976003</v>
      </c>
      <c r="AI323" s="8">
        <v>0.34386416742178338</v>
      </c>
      <c r="AJ323" s="8">
        <v>0.3462092008438068</v>
      </c>
      <c r="AK323" s="8">
        <v>0.34855423426583021</v>
      </c>
      <c r="AL323" s="8">
        <v>0.35089926768785362</v>
      </c>
      <c r="AM323" s="8">
        <v>0.35324430110987698</v>
      </c>
    </row>
    <row r="324" spans="1:39" x14ac:dyDescent="0.25">
      <c r="A324" t="s">
        <v>577</v>
      </c>
      <c r="B324" t="s">
        <v>244</v>
      </c>
      <c r="C324" t="s">
        <v>319</v>
      </c>
      <c r="D324" t="s">
        <v>636</v>
      </c>
      <c r="E324" s="8">
        <v>1.46161483895625E-4</v>
      </c>
      <c r="F324" s="8">
        <v>1.48941298754176E-4</v>
      </c>
      <c r="G324" s="8">
        <v>1.5172111361272701E-4</v>
      </c>
      <c r="H324" s="8">
        <v>1.5450092847127801E-4</v>
      </c>
      <c r="I324" s="8">
        <v>1.5728074332982899E-4</v>
      </c>
      <c r="J324" s="8">
        <v>1.6006055818837999E-4</v>
      </c>
      <c r="K324" s="8">
        <v>1.62840373046931E-4</v>
      </c>
      <c r="L324" s="8">
        <v>1.65620187905482E-4</v>
      </c>
      <c r="M324" s="8">
        <v>1.6897250982670999E-4</v>
      </c>
      <c r="N324" s="8">
        <v>1.7232483174793801E-4</v>
      </c>
      <c r="O324" s="8">
        <v>1.7567715366916599E-4</v>
      </c>
      <c r="P324" s="8">
        <v>1.7902947559039401E-4</v>
      </c>
      <c r="Q324" s="8">
        <v>1.82381797511622E-4</v>
      </c>
      <c r="R324" s="8">
        <v>1.8592917737929451E-4</v>
      </c>
      <c r="S324" s="8">
        <v>1.8947655724696699E-4</v>
      </c>
      <c r="T324" s="8">
        <v>1.9328083329093481E-4</v>
      </c>
      <c r="U324" s="8">
        <v>1.970851093349026E-4</v>
      </c>
      <c r="V324" s="8">
        <v>2.0088938537887041E-4</v>
      </c>
      <c r="W324" s="8">
        <v>2.046936614228382E-4</v>
      </c>
      <c r="X324" s="8">
        <v>2.0849793746680601E-4</v>
      </c>
      <c r="Y324" s="8">
        <v>2.11722155448076E-4</v>
      </c>
      <c r="Z324" s="8">
        <v>2.14946373429346E-4</v>
      </c>
      <c r="AA324" s="8">
        <v>2.1817059141061599E-4</v>
      </c>
      <c r="AB324" s="8">
        <v>2.2139480939188601E-4</v>
      </c>
      <c r="AC324" s="8">
        <v>2.24619027373156E-4</v>
      </c>
      <c r="AD324" s="8">
        <v>2.26266573091165E-4</v>
      </c>
      <c r="AE324" s="8">
        <v>2.2791411880917399E-4</v>
      </c>
      <c r="AF324" s="8">
        <v>2.2956166452718299E-4</v>
      </c>
      <c r="AG324" s="8">
        <v>2.3120921024519201E-4</v>
      </c>
      <c r="AH324" s="8">
        <v>2.3285675596320101E-4</v>
      </c>
      <c r="AI324" s="8">
        <v>2.336886816272784E-4</v>
      </c>
      <c r="AJ324" s="8">
        <v>2.3452060729135579E-4</v>
      </c>
      <c r="AK324" s="8">
        <v>2.3535253295543321E-4</v>
      </c>
      <c r="AL324" s="8">
        <v>2.361844586195106E-4</v>
      </c>
      <c r="AM324" s="8">
        <v>2.3701638428358799E-4</v>
      </c>
    </row>
    <row r="325" spans="1:39" x14ac:dyDescent="0.25">
      <c r="A325" t="s">
        <v>577</v>
      </c>
      <c r="B325" t="s">
        <v>244</v>
      </c>
      <c r="C325" t="s">
        <v>321</v>
      </c>
      <c r="D325" t="s">
        <v>637</v>
      </c>
      <c r="E325" s="8">
        <v>2.6444956280598101E-4</v>
      </c>
      <c r="F325" s="8">
        <v>2.7328306789676322E-4</v>
      </c>
      <c r="G325" s="8">
        <v>2.8211657298754528E-4</v>
      </c>
      <c r="H325" s="8">
        <v>2.9095007807832738E-4</v>
      </c>
      <c r="I325" s="8">
        <v>2.9978358316910949E-4</v>
      </c>
      <c r="J325" s="8">
        <v>3.0861708825989171E-4</v>
      </c>
      <c r="K325" s="8">
        <v>3.1745059335067382E-4</v>
      </c>
      <c r="L325" s="8">
        <v>3.2628409844145598E-4</v>
      </c>
      <c r="M325" s="8">
        <v>3.3645993533292521E-4</v>
      </c>
      <c r="N325" s="8">
        <v>3.4663577222439438E-4</v>
      </c>
      <c r="O325" s="8">
        <v>3.5681160911586361E-4</v>
      </c>
      <c r="P325" s="8">
        <v>3.6698744600733278E-4</v>
      </c>
      <c r="Q325" s="8">
        <v>3.7716328289880201E-4</v>
      </c>
      <c r="R325" s="8">
        <v>3.8691076706997749E-4</v>
      </c>
      <c r="S325" s="8">
        <v>3.9665825124115297E-4</v>
      </c>
      <c r="T325" s="8">
        <v>4.0500994297091978E-4</v>
      </c>
      <c r="U325" s="8">
        <v>4.133616347006866E-4</v>
      </c>
      <c r="V325" s="8">
        <v>4.2171332643045341E-4</v>
      </c>
      <c r="W325" s="8">
        <v>4.3006501816022022E-4</v>
      </c>
      <c r="X325" s="8">
        <v>4.3841670988998698E-4</v>
      </c>
      <c r="Y325" s="8">
        <v>4.4402714430243919E-4</v>
      </c>
      <c r="Z325" s="8">
        <v>4.496375787148914E-4</v>
      </c>
      <c r="AA325" s="8">
        <v>4.5524801312734362E-4</v>
      </c>
      <c r="AB325" s="8">
        <v>4.6085844753979577E-4</v>
      </c>
      <c r="AC325" s="8">
        <v>4.6646888195224799E-4</v>
      </c>
      <c r="AD325" s="8">
        <v>4.6941957098989458E-4</v>
      </c>
      <c r="AE325" s="8">
        <v>4.7237026002754123E-4</v>
      </c>
      <c r="AF325" s="8">
        <v>4.7532094906518782E-4</v>
      </c>
      <c r="AG325" s="8">
        <v>4.7827163810283441E-4</v>
      </c>
      <c r="AH325" s="8">
        <v>4.81222327140481E-4</v>
      </c>
      <c r="AI325" s="8">
        <v>4.832032222337804E-4</v>
      </c>
      <c r="AJ325" s="8">
        <v>4.851841173270798E-4</v>
      </c>
      <c r="AK325" s="8">
        <v>4.8716501242037919E-4</v>
      </c>
      <c r="AL325" s="8">
        <v>4.8914590751367865E-4</v>
      </c>
      <c r="AM325" s="8">
        <v>4.9112680260697799E-4</v>
      </c>
    </row>
    <row r="326" spans="1:39" x14ac:dyDescent="0.25">
      <c r="A326" t="s">
        <v>577</v>
      </c>
      <c r="B326" t="s">
        <v>244</v>
      </c>
      <c r="C326" t="s">
        <v>323</v>
      </c>
      <c r="D326" t="s">
        <v>638</v>
      </c>
      <c r="E326" s="8">
        <v>9.7138576253063896E-4</v>
      </c>
      <c r="F326" s="8">
        <v>1.001193093337769E-3</v>
      </c>
      <c r="G326" s="8">
        <v>1.0310004241448989E-3</v>
      </c>
      <c r="H326" s="8">
        <v>1.060807754952029E-3</v>
      </c>
      <c r="I326" s="8">
        <v>1.09061508575916E-3</v>
      </c>
      <c r="J326" s="8">
        <v>1.12042241656629E-3</v>
      </c>
      <c r="K326" s="8">
        <v>1.1502297473734201E-3</v>
      </c>
      <c r="L326" s="8">
        <v>1.18003707818055E-3</v>
      </c>
      <c r="M326" s="8">
        <v>1.220170578267064E-3</v>
      </c>
      <c r="N326" s="8">
        <v>1.260304078353578E-3</v>
      </c>
      <c r="O326" s="8">
        <v>1.300437578440092E-3</v>
      </c>
      <c r="P326" s="8">
        <v>1.340571078526606E-3</v>
      </c>
      <c r="Q326" s="8">
        <v>1.38070457861312E-3</v>
      </c>
      <c r="R326" s="8">
        <v>1.423291953252635E-3</v>
      </c>
      <c r="S326" s="8">
        <v>1.4658793278921501E-3</v>
      </c>
      <c r="T326" s="8">
        <v>1.5084462934230861E-3</v>
      </c>
      <c r="U326" s="8">
        <v>1.551013258954022E-3</v>
      </c>
      <c r="V326" s="8">
        <v>1.593580224484958E-3</v>
      </c>
      <c r="W326" s="8">
        <v>1.636147190015894E-3</v>
      </c>
      <c r="X326" s="8">
        <v>1.67871415554683E-3</v>
      </c>
      <c r="Y326" s="8">
        <v>1.7095054746462781E-3</v>
      </c>
      <c r="Z326" s="8">
        <v>1.7402967937457259E-3</v>
      </c>
      <c r="AA326" s="8">
        <v>1.771088112845174E-3</v>
      </c>
      <c r="AB326" s="8">
        <v>1.8018794319446219E-3</v>
      </c>
      <c r="AC326" s="8">
        <v>1.83267075104407E-3</v>
      </c>
      <c r="AD326" s="8">
        <v>1.8475030956021301E-3</v>
      </c>
      <c r="AE326" s="8">
        <v>1.8623354401601901E-3</v>
      </c>
      <c r="AF326" s="8">
        <v>1.8771677847182499E-3</v>
      </c>
      <c r="AG326" s="8">
        <v>1.8920001292763099E-3</v>
      </c>
      <c r="AH326" s="8">
        <v>1.90683247383437E-3</v>
      </c>
      <c r="AI326" s="8">
        <v>1.9114427952746601E-3</v>
      </c>
      <c r="AJ326" s="8">
        <v>1.91605311671495E-3</v>
      </c>
      <c r="AK326" s="8">
        <v>1.9206634381552399E-3</v>
      </c>
      <c r="AL326" s="8">
        <v>1.9252737595955301E-3</v>
      </c>
      <c r="AM326" s="8">
        <v>1.92988408103582E-3</v>
      </c>
    </row>
    <row r="327" spans="1:39" x14ac:dyDescent="0.25">
      <c r="A327" t="s">
        <v>577</v>
      </c>
      <c r="B327" t="s">
        <v>244</v>
      </c>
      <c r="C327" t="s">
        <v>325</v>
      </c>
      <c r="D327" t="s">
        <v>639</v>
      </c>
      <c r="E327" s="8">
        <v>1.23993231738338E-4</v>
      </c>
      <c r="F327" s="8">
        <v>1.2813212125361179E-4</v>
      </c>
      <c r="G327" s="8">
        <v>1.322710107688857E-4</v>
      </c>
      <c r="H327" s="8">
        <v>1.364099002841596E-4</v>
      </c>
      <c r="I327" s="8">
        <v>1.405487897994334E-4</v>
      </c>
      <c r="J327" s="8">
        <v>1.446876793147073E-4</v>
      </c>
      <c r="K327" s="8">
        <v>1.4882656882998121E-4</v>
      </c>
      <c r="L327" s="8">
        <v>1.52965458345255E-4</v>
      </c>
      <c r="M327" s="8">
        <v>1.5711764483594939E-4</v>
      </c>
      <c r="N327" s="8">
        <v>1.612698313266438E-4</v>
      </c>
      <c r="O327" s="8">
        <v>1.6542201781733821E-4</v>
      </c>
      <c r="P327" s="8">
        <v>1.695742043080326E-4</v>
      </c>
      <c r="Q327" s="8">
        <v>1.7372639079872701E-4</v>
      </c>
      <c r="R327" s="8">
        <v>1.77201871352805E-4</v>
      </c>
      <c r="S327" s="8">
        <v>1.8067735190688299E-4</v>
      </c>
      <c r="T327" s="8">
        <v>1.8296058179380819E-4</v>
      </c>
      <c r="U327" s="8">
        <v>1.852438116807334E-4</v>
      </c>
      <c r="V327" s="8">
        <v>1.875270415676586E-4</v>
      </c>
      <c r="W327" s="8">
        <v>1.898102714545838E-4</v>
      </c>
      <c r="X327" s="8">
        <v>1.92093501341509E-4</v>
      </c>
      <c r="Y327" s="8">
        <v>1.932336984558648E-4</v>
      </c>
      <c r="Z327" s="8">
        <v>1.9437389557022059E-4</v>
      </c>
      <c r="AA327" s="8">
        <v>1.9551409268457639E-4</v>
      </c>
      <c r="AB327" s="8">
        <v>1.9665428979893221E-4</v>
      </c>
      <c r="AC327" s="8">
        <v>1.9779448691328801E-4</v>
      </c>
      <c r="AD327" s="8">
        <v>1.9844306617380599E-4</v>
      </c>
      <c r="AE327" s="8">
        <v>1.99091645434324E-4</v>
      </c>
      <c r="AF327" s="8">
        <v>1.9974022469484201E-4</v>
      </c>
      <c r="AG327" s="8">
        <v>2.0038880395535999E-4</v>
      </c>
      <c r="AH327" s="8">
        <v>2.01037383215878E-4</v>
      </c>
      <c r="AI327" s="8">
        <v>2.019684349855084E-4</v>
      </c>
      <c r="AJ327" s="8">
        <v>2.0289948675513881E-4</v>
      </c>
      <c r="AK327" s="8">
        <v>2.0383053852476919E-4</v>
      </c>
      <c r="AL327" s="8">
        <v>2.047615902943996E-4</v>
      </c>
      <c r="AM327" s="8">
        <v>2.0569264206403E-4</v>
      </c>
    </row>
    <row r="328" spans="1:39" x14ac:dyDescent="0.25">
      <c r="A328" t="s">
        <v>577</v>
      </c>
      <c r="B328" t="s">
        <v>244</v>
      </c>
      <c r="C328" t="s">
        <v>327</v>
      </c>
      <c r="D328" t="s">
        <v>640</v>
      </c>
      <c r="E328" s="8">
        <v>1.1419172415374601E-4</v>
      </c>
      <c r="F328" s="8">
        <v>1.181507620967986E-4</v>
      </c>
      <c r="G328" s="8">
        <v>1.2210980003985109E-4</v>
      </c>
      <c r="H328" s="8">
        <v>1.260688379829037E-4</v>
      </c>
      <c r="I328" s="8">
        <v>1.3002787592595631E-4</v>
      </c>
      <c r="J328" s="8">
        <v>1.339869138690089E-4</v>
      </c>
      <c r="K328" s="8">
        <v>1.379459518120614E-4</v>
      </c>
      <c r="L328" s="8">
        <v>1.4190498975511401E-4</v>
      </c>
      <c r="M328" s="8">
        <v>1.4579796394150241E-4</v>
      </c>
      <c r="N328" s="8">
        <v>1.4969093812789081E-4</v>
      </c>
      <c r="O328" s="8">
        <v>1.5358391231427921E-4</v>
      </c>
      <c r="P328" s="8">
        <v>1.5747688650066759E-4</v>
      </c>
      <c r="Q328" s="8">
        <v>1.6136986068705599E-4</v>
      </c>
      <c r="R328" s="8">
        <v>1.6458988720323051E-4</v>
      </c>
      <c r="S328" s="8">
        <v>1.6780991371940501E-4</v>
      </c>
      <c r="T328" s="8">
        <v>1.69798932070436E-4</v>
      </c>
      <c r="U328" s="8">
        <v>1.7178795042146699E-4</v>
      </c>
      <c r="V328" s="8">
        <v>1.7377696877249801E-4</v>
      </c>
      <c r="W328" s="8">
        <v>1.75765987123529E-4</v>
      </c>
      <c r="X328" s="8">
        <v>1.7775500547456E-4</v>
      </c>
      <c r="Y328" s="8">
        <v>1.787108647919134E-4</v>
      </c>
      <c r="Z328" s="8">
        <v>1.7966672410926681E-4</v>
      </c>
      <c r="AA328" s="8">
        <v>1.8062258342662021E-4</v>
      </c>
      <c r="AB328" s="8">
        <v>1.8157844274397359E-4</v>
      </c>
      <c r="AC328" s="8">
        <v>1.82534302061327E-4</v>
      </c>
      <c r="AD328" s="8">
        <v>1.8304195558638481E-4</v>
      </c>
      <c r="AE328" s="8">
        <v>1.835496091114426E-4</v>
      </c>
      <c r="AF328" s="8">
        <v>1.8405726263650039E-4</v>
      </c>
      <c r="AG328" s="8">
        <v>1.845649161615582E-4</v>
      </c>
      <c r="AH328" s="8">
        <v>1.8507256968661599E-4</v>
      </c>
      <c r="AI328" s="8">
        <v>1.859537733806814E-4</v>
      </c>
      <c r="AJ328" s="8">
        <v>1.868349770747468E-4</v>
      </c>
      <c r="AK328" s="8">
        <v>1.8771618076881221E-4</v>
      </c>
      <c r="AL328" s="8">
        <v>1.8859738446287759E-4</v>
      </c>
      <c r="AM328" s="8">
        <v>1.8947858815694299E-4</v>
      </c>
    </row>
    <row r="329" spans="1:39" x14ac:dyDescent="0.25">
      <c r="A329" t="s">
        <v>577</v>
      </c>
      <c r="B329" t="s">
        <v>244</v>
      </c>
      <c r="C329" t="s">
        <v>329</v>
      </c>
      <c r="D329" t="s">
        <v>641</v>
      </c>
      <c r="E329" s="8">
        <v>3.0184605336559301E-5</v>
      </c>
      <c r="F329" s="8">
        <v>3.069827377925397E-5</v>
      </c>
      <c r="G329" s="8">
        <v>3.1211942221948653E-5</v>
      </c>
      <c r="H329" s="8">
        <v>3.1725610664643322E-5</v>
      </c>
      <c r="I329" s="8">
        <v>3.2239279107337978E-5</v>
      </c>
      <c r="J329" s="8">
        <v>3.2752947550032653E-5</v>
      </c>
      <c r="K329" s="8">
        <v>3.3266615992727329E-5</v>
      </c>
      <c r="L329" s="8">
        <v>3.3780284435421998E-5</v>
      </c>
      <c r="M329" s="8">
        <v>3.4296004601689802E-5</v>
      </c>
      <c r="N329" s="8">
        <v>3.48117247679576E-5</v>
      </c>
      <c r="O329" s="8">
        <v>3.5327444934225398E-5</v>
      </c>
      <c r="P329" s="8">
        <v>3.5843165100493202E-5</v>
      </c>
      <c r="Q329" s="8">
        <v>3.6358885266761E-5</v>
      </c>
      <c r="R329" s="8">
        <v>3.6845259967857351E-5</v>
      </c>
      <c r="S329" s="8">
        <v>3.7331634668953702E-5</v>
      </c>
      <c r="T329" s="8">
        <v>3.7715867981778812E-5</v>
      </c>
      <c r="U329" s="8">
        <v>3.8100101294603901E-5</v>
      </c>
      <c r="V329" s="8">
        <v>3.8484334607428997E-5</v>
      </c>
      <c r="W329" s="8">
        <v>3.8868567920254099E-5</v>
      </c>
      <c r="X329" s="8">
        <v>3.9252801233079202E-5</v>
      </c>
      <c r="Y329" s="8">
        <v>3.9520245154883957E-5</v>
      </c>
      <c r="Z329" s="8">
        <v>3.9787689076688732E-5</v>
      </c>
      <c r="AA329" s="8">
        <v>4.005513299849348E-5</v>
      </c>
      <c r="AB329" s="8">
        <v>4.0322576920298241E-5</v>
      </c>
      <c r="AC329" s="8">
        <v>4.0590020842103003E-5</v>
      </c>
      <c r="AD329" s="8">
        <v>4.0803352243198099E-5</v>
      </c>
      <c r="AE329" s="8">
        <v>4.1016683644293202E-5</v>
      </c>
      <c r="AF329" s="8">
        <v>4.1230015045388299E-5</v>
      </c>
      <c r="AG329" s="8">
        <v>4.1443346446483402E-5</v>
      </c>
      <c r="AH329" s="8">
        <v>4.1656677847578498E-5</v>
      </c>
      <c r="AI329" s="8">
        <v>4.1890318021728398E-5</v>
      </c>
      <c r="AJ329" s="8">
        <v>4.2123958195878297E-5</v>
      </c>
      <c r="AK329" s="8">
        <v>4.2357598370028197E-5</v>
      </c>
      <c r="AL329" s="8">
        <v>4.2591238544178103E-5</v>
      </c>
      <c r="AM329" s="8">
        <v>4.2824878718328002E-5</v>
      </c>
    </row>
    <row r="330" spans="1:39" x14ac:dyDescent="0.25">
      <c r="A330" t="s">
        <v>577</v>
      </c>
      <c r="B330" t="s">
        <v>244</v>
      </c>
      <c r="C330" t="s">
        <v>331</v>
      </c>
      <c r="D330" t="s">
        <v>642</v>
      </c>
      <c r="E330" s="8">
        <v>6.4414166538992804E-4</v>
      </c>
      <c r="F330" s="8">
        <v>6.5609386788501273E-4</v>
      </c>
      <c r="G330" s="8">
        <v>6.6804607038009741E-4</v>
      </c>
      <c r="H330" s="8">
        <v>6.799982728751821E-4</v>
      </c>
      <c r="I330" s="8">
        <v>6.919504753702669E-4</v>
      </c>
      <c r="J330" s="8">
        <v>7.0390267786535159E-4</v>
      </c>
      <c r="K330" s="8">
        <v>7.1585488036043628E-4</v>
      </c>
      <c r="L330" s="8">
        <v>7.2780708285552097E-4</v>
      </c>
      <c r="M330" s="8">
        <v>7.4153794408693342E-4</v>
      </c>
      <c r="N330" s="8">
        <v>7.5526880531834577E-4</v>
      </c>
      <c r="O330" s="8">
        <v>7.6899966654975823E-4</v>
      </c>
      <c r="P330" s="8">
        <v>7.8273052778117058E-4</v>
      </c>
      <c r="Q330" s="8">
        <v>7.9646138901258304E-4</v>
      </c>
      <c r="R330" s="8">
        <v>8.0990135343731308E-4</v>
      </c>
      <c r="S330" s="8">
        <v>8.2334131786204301E-4</v>
      </c>
      <c r="T330" s="8">
        <v>8.3638752551711264E-4</v>
      </c>
      <c r="U330" s="8">
        <v>8.4943373317218217E-4</v>
      </c>
      <c r="V330" s="8">
        <v>8.6247994082725181E-4</v>
      </c>
      <c r="W330" s="8">
        <v>8.7552614848232133E-4</v>
      </c>
      <c r="X330" s="8">
        <v>8.8857235613739097E-4</v>
      </c>
      <c r="Y330" s="8">
        <v>8.9911555761807674E-4</v>
      </c>
      <c r="Z330" s="8">
        <v>9.0965875909876262E-4</v>
      </c>
      <c r="AA330" s="8">
        <v>9.2020196057944839E-4</v>
      </c>
      <c r="AB330" s="8">
        <v>9.3074516206013427E-4</v>
      </c>
      <c r="AC330" s="8">
        <v>9.4128836354082004E-4</v>
      </c>
      <c r="AD330" s="8">
        <v>9.4864200951294E-4</v>
      </c>
      <c r="AE330" s="8">
        <v>9.5599565548505996E-4</v>
      </c>
      <c r="AF330" s="8">
        <v>9.6334930145718003E-4</v>
      </c>
      <c r="AG330" s="8">
        <v>9.7070294742929999E-4</v>
      </c>
      <c r="AH330" s="8">
        <v>9.7805659340141995E-4</v>
      </c>
      <c r="AI330" s="8">
        <v>9.8360896390043795E-4</v>
      </c>
      <c r="AJ330" s="8">
        <v>9.8916133439945595E-4</v>
      </c>
      <c r="AK330" s="8">
        <v>9.9471370489847394E-4</v>
      </c>
      <c r="AL330" s="8">
        <v>1.0002660753974919E-3</v>
      </c>
      <c r="AM330" s="8">
        <v>1.0058184458965099E-3</v>
      </c>
    </row>
    <row r="331" spans="1:39" x14ac:dyDescent="0.25">
      <c r="A331" t="s">
        <v>577</v>
      </c>
      <c r="B331" t="s">
        <v>244</v>
      </c>
      <c r="C331" t="s">
        <v>333</v>
      </c>
      <c r="D331" t="s">
        <v>643</v>
      </c>
      <c r="E331" s="8">
        <v>0</v>
      </c>
      <c r="F331" s="8">
        <v>0</v>
      </c>
      <c r="G331" s="8">
        <v>0</v>
      </c>
      <c r="H331" s="8">
        <v>0</v>
      </c>
      <c r="I331" s="8">
        <v>0</v>
      </c>
      <c r="J331" s="8">
        <v>0</v>
      </c>
      <c r="K331" s="8">
        <v>0</v>
      </c>
      <c r="L331" s="8">
        <v>0</v>
      </c>
      <c r="M331" s="8">
        <v>0</v>
      </c>
      <c r="N331" s="8">
        <v>0</v>
      </c>
      <c r="O331" s="8">
        <v>0</v>
      </c>
      <c r="P331" s="8">
        <v>0</v>
      </c>
      <c r="Q331" s="8">
        <v>0</v>
      </c>
      <c r="R331" s="8">
        <v>0</v>
      </c>
      <c r="S331" s="8">
        <v>0</v>
      </c>
      <c r="T331" s="8">
        <v>0</v>
      </c>
      <c r="U331" s="8">
        <v>0</v>
      </c>
      <c r="V331" s="8">
        <v>0</v>
      </c>
      <c r="W331" s="8">
        <v>0</v>
      </c>
      <c r="X331" s="8">
        <v>0</v>
      </c>
      <c r="Y331" s="8">
        <v>0</v>
      </c>
      <c r="Z331" s="8">
        <v>0</v>
      </c>
      <c r="AA331" s="8">
        <v>0</v>
      </c>
      <c r="AB331" s="8">
        <v>0</v>
      </c>
      <c r="AC331" s="8">
        <v>0</v>
      </c>
      <c r="AD331" s="8">
        <v>0</v>
      </c>
      <c r="AE331" s="8">
        <v>0</v>
      </c>
      <c r="AF331" s="8">
        <v>0</v>
      </c>
      <c r="AG331" s="8">
        <v>0</v>
      </c>
      <c r="AH331" s="8">
        <v>0</v>
      </c>
      <c r="AI331" s="8">
        <v>0</v>
      </c>
      <c r="AJ331" s="8">
        <v>0</v>
      </c>
      <c r="AK331" s="8">
        <v>0</v>
      </c>
      <c r="AL331" s="8">
        <v>0</v>
      </c>
      <c r="AM331" s="8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25"/>
  <sheetViews>
    <sheetView workbookViewId="0"/>
  </sheetViews>
  <sheetFormatPr defaultRowHeight="15" x14ac:dyDescent="0.25"/>
  <cols>
    <col min="1" max="1" width="12" customWidth="1"/>
    <col min="2" max="2" width="10" customWidth="1"/>
    <col min="3" max="3" width="26" customWidth="1"/>
    <col min="4" max="4" width="20" customWidth="1"/>
    <col min="5" max="5" width="14" customWidth="1"/>
    <col min="6" max="6" width="20" customWidth="1"/>
    <col min="7" max="7" width="26" customWidth="1"/>
    <col min="8" max="9" width="16" customWidth="1"/>
    <col min="10" max="10" width="14" customWidth="1"/>
    <col min="11" max="11" width="34" customWidth="1"/>
    <col min="12" max="12" width="16" customWidth="1"/>
    <col min="13" max="13" width="30" customWidth="1"/>
  </cols>
  <sheetData>
    <row r="1" spans="1:13" ht="15.75" x14ac:dyDescent="0.25">
      <c r="A1" s="9" t="s">
        <v>644</v>
      </c>
    </row>
    <row r="2" spans="1:13" ht="48" customHeight="1" x14ac:dyDescent="0.25">
      <c r="A2" s="13" t="s">
        <v>645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4" spans="1:13" ht="72" customHeight="1" x14ac:dyDescent="0.25">
      <c r="A4" s="7" t="s">
        <v>646</v>
      </c>
      <c r="B4" s="7" t="s">
        <v>647</v>
      </c>
      <c r="C4" s="7" t="s">
        <v>648</v>
      </c>
      <c r="D4" s="7" t="s">
        <v>649</v>
      </c>
      <c r="E4" s="7" t="s">
        <v>650</v>
      </c>
      <c r="F4" s="7" t="s">
        <v>651</v>
      </c>
      <c r="G4" s="7" t="s">
        <v>652</v>
      </c>
      <c r="H4" s="7" t="s">
        <v>653</v>
      </c>
      <c r="I4" s="7" t="s">
        <v>654</v>
      </c>
      <c r="J4" s="7" t="s">
        <v>655</v>
      </c>
      <c r="K4" s="7" t="s">
        <v>656</v>
      </c>
      <c r="L4" s="7" t="s">
        <v>657</v>
      </c>
      <c r="M4" s="7" t="s">
        <v>658</v>
      </c>
    </row>
    <row r="5" spans="1:13" x14ac:dyDescent="0.25">
      <c r="A5" t="s">
        <v>235</v>
      </c>
      <c r="B5" t="s">
        <v>236</v>
      </c>
      <c r="C5" t="s">
        <v>659</v>
      </c>
      <c r="D5" t="s">
        <v>234</v>
      </c>
      <c r="E5">
        <f>IFERROR(INDEX(COBRA_aggregated!$AG:$AG, MATCH(About!$B$1 &amp; Keys!$C$8 &amp; $D5, COBRA_aggregated!$Y:$Y, 0)), 0)</f>
        <v>0</v>
      </c>
      <c r="F5" t="str">
        <f>IFERROR(INDEX(Runs!$E:$E, MATCH($D5, Runs!$A:$A, 0)), $D5)</f>
        <v>Industry PM25</v>
      </c>
      <c r="G5" s="10" t="str">
        <f t="shared" ref="G5:G19" si="0">IF($E5=1, $F5, $D5)</f>
        <v>transportation PM25</v>
      </c>
      <c r="H5" s="8">
        <f>IFERROR(INDEX(COBRA_aggregated!$AA:$AA, MATCH(About!$B$1 &amp; Keys!$C$8 &amp; $D5, COBRA_aggregated!$Y:$Y, 0)), 0)</f>
        <v>5.5883650304263253E-2</v>
      </c>
      <c r="I5" s="8">
        <f>IFERROR(INDEX(COBRA_aggregated!$AB:$AB, MATCH(About!$B$1 &amp; Keys!$C$8 &amp; $D5, COBRA_aggregated!$Y:$Y, 0)), 0)</f>
        <v>2.8248683697579859E-2</v>
      </c>
      <c r="J5" s="11">
        <f t="shared" ref="J5:J19" si="1">IFERROR($H5/$I5, 0)</f>
        <v>1.9782744889118835</v>
      </c>
      <c r="K5" t="str">
        <f>IFERROR(INDEX(COBRA_aggregated!$AJ:$AJ, MATCH(About!$B$1 &amp; Keys!$C$8 &amp; $D5, COBRA_aggregated!$Y:$Y, 0)), "")</f>
        <v/>
      </c>
      <c r="L5">
        <f>IF($E5=1, IFERROR(INDEX(COBRA_aggregated!$AG:$AG, MATCH(About!$B$1 &amp; Keys!$C$8 &amp; $F5, COBRA_aggregated!$Y:$Y, 0)), 0), 0)</f>
        <v>0</v>
      </c>
      <c r="M5" t="str">
        <f>$A5 &amp; Keys!$C$8 &amp; $B5 &amp; Keys!$C$8</f>
        <v>transport|PM25|</v>
      </c>
    </row>
    <row r="6" spans="1:13" x14ac:dyDescent="0.25">
      <c r="A6" t="s">
        <v>235</v>
      </c>
      <c r="B6" t="s">
        <v>240</v>
      </c>
      <c r="C6" t="s">
        <v>660</v>
      </c>
      <c r="D6" t="s">
        <v>239</v>
      </c>
      <c r="E6">
        <f>IFERROR(INDEX(COBRA_aggregated!$AG:$AG, MATCH(About!$B$1 &amp; Keys!$C$8 &amp; $D6, COBRA_aggregated!$Y:$Y, 0)), 0)</f>
        <v>0</v>
      </c>
      <c r="F6" t="str">
        <f>IFERROR(INDEX(Runs!$E:$E, MATCH($D6, Runs!$A:$A, 0)), $D6)</f>
        <v>Industry NO2</v>
      </c>
      <c r="G6" s="10" t="str">
        <f t="shared" si="0"/>
        <v>transportation NO2</v>
      </c>
      <c r="H6" s="8">
        <f>IFERROR(INDEX(COBRA_aggregated!$AA:$AA, MATCH(About!$B$1 &amp; Keys!$C$8 &amp; $D6, COBRA_aggregated!$Y:$Y, 0)), 0)</f>
        <v>1.8422588654852321E-3</v>
      </c>
      <c r="I6" s="8">
        <f>IFERROR(INDEX(COBRA_aggregated!$AB:$AB, MATCH(About!$B$1 &amp; Keys!$C$8 &amp; $D6, COBRA_aggregated!$Y:$Y, 0)), 0)</f>
        <v>5.7148835886332216E-3</v>
      </c>
      <c r="J6" s="11">
        <f t="shared" si="1"/>
        <v>0.32236157340972699</v>
      </c>
      <c r="K6" t="str">
        <f>IFERROR(INDEX(COBRA_aggregated!$AJ:$AJ, MATCH(About!$B$1 &amp; Keys!$C$8 &amp; $D6, COBRA_aggregated!$Y:$Y, 0)), "")</f>
        <v/>
      </c>
      <c r="L6">
        <f>IF($E6=1, IFERROR(INDEX(COBRA_aggregated!$AG:$AG, MATCH(About!$B$1 &amp; Keys!$C$8 &amp; $F6, COBRA_aggregated!$Y:$Y, 0)), 0), 0)</f>
        <v>0</v>
      </c>
      <c r="M6" t="str">
        <f>$A6 &amp; Keys!$C$8 &amp; $B6 &amp; Keys!$C$8</f>
        <v>transport|NOx|</v>
      </c>
    </row>
    <row r="7" spans="1:13" x14ac:dyDescent="0.25">
      <c r="A7" t="s">
        <v>235</v>
      </c>
      <c r="B7" t="s">
        <v>244</v>
      </c>
      <c r="C7" t="s">
        <v>661</v>
      </c>
      <c r="D7" t="s">
        <v>243</v>
      </c>
      <c r="E7">
        <f>IFERROR(INDEX(COBRA_aggregated!$AG:$AG, MATCH(About!$B$1 &amp; Keys!$C$8 &amp; $D7, COBRA_aggregated!$Y:$Y, 0)), 0)</f>
        <v>0</v>
      </c>
      <c r="F7" t="str">
        <f>IFERROR(INDEX(Runs!$E:$E, MATCH($D7, Runs!$A:$A, 0)), $D7)</f>
        <v>Industry SO2</v>
      </c>
      <c r="G7" s="10" t="str">
        <f t="shared" si="0"/>
        <v>transportation SO2</v>
      </c>
      <c r="H7" s="8">
        <f>IFERROR(INDEX(COBRA_aggregated!$AA:$AA, MATCH(About!$B$1 &amp; Keys!$C$8 &amp; $D7, COBRA_aggregated!$Y:$Y, 0)), 0)</f>
        <v>9.3831735735502367E-3</v>
      </c>
      <c r="I7" s="8">
        <f>IFERROR(INDEX(COBRA_aggregated!$AB:$AB, MATCH(About!$B$1 &amp; Keys!$C$8 &amp; $D7, COBRA_aggregated!$Y:$Y, 0)), 0)</f>
        <v>5.1800714166247604E-3</v>
      </c>
      <c r="J7" s="11">
        <f t="shared" si="1"/>
        <v>1.8113984960586007</v>
      </c>
      <c r="K7" t="str">
        <f>IFERROR(INDEX(COBRA_aggregated!$AJ:$AJ, MATCH(About!$B$1 &amp; Keys!$C$8 &amp; $D7, COBRA_aggregated!$Y:$Y, 0)), "")</f>
        <v/>
      </c>
      <c r="L7">
        <f>IF($E7=1, IFERROR(INDEX(COBRA_aggregated!$AG:$AG, MATCH(About!$B$1 &amp; Keys!$C$8 &amp; $F7, COBRA_aggregated!$Y:$Y, 0)), 0), 0)</f>
        <v>0</v>
      </c>
      <c r="M7" t="str">
        <f>$A7 &amp; Keys!$C$8 &amp; $B7 &amp; Keys!$C$8</f>
        <v>transport|SO2|</v>
      </c>
    </row>
    <row r="8" spans="1:13" x14ac:dyDescent="0.25">
      <c r="A8" t="s">
        <v>248</v>
      </c>
      <c r="B8" t="s">
        <v>236</v>
      </c>
      <c r="C8" t="s">
        <v>662</v>
      </c>
      <c r="D8" t="s">
        <v>247</v>
      </c>
      <c r="E8">
        <f>IFERROR(INDEX(COBRA_aggregated!$AG:$AG, MATCH(About!$B$1 &amp; Keys!$C$8 &amp; $D8, COBRA_aggregated!$Y:$Y, 0)), 0)</f>
        <v>0</v>
      </c>
      <c r="F8" t="str">
        <f>IFERROR(INDEX(Runs!$E:$E, MATCH($D8, Runs!$A:$A, 0)), $D8)</f>
        <v>Industry PM25</v>
      </c>
      <c r="G8" s="10" t="str">
        <f t="shared" si="0"/>
        <v>electricity PM25</v>
      </c>
      <c r="H8" s="8">
        <f>IFERROR(INDEX(COBRA_aggregated!$AA:$AA, MATCH(About!$B$1 &amp; Keys!$C$8 &amp; $D8, COBRA_aggregated!$Y:$Y, 0)), 0)</f>
        <v>1.8578796885388427E-2</v>
      </c>
      <c r="I8" s="8">
        <f>IFERROR(INDEX(COBRA_aggregated!$AB:$AB, MATCH(About!$B$1 &amp; Keys!$C$8 &amp; $D8, COBRA_aggregated!$Y:$Y, 0)), 0)</f>
        <v>2.4252978284752182E-2</v>
      </c>
      <c r="J8" s="11">
        <f t="shared" si="1"/>
        <v>0.7660418719406884</v>
      </c>
      <c r="K8" t="str">
        <f>IFERROR(INDEX(COBRA_aggregated!$AJ:$AJ, MATCH(About!$B$1 &amp; Keys!$C$8 &amp; $D8, COBRA_aggregated!$Y:$Y, 0)), "")</f>
        <v/>
      </c>
      <c r="L8">
        <f>IF($E8=1, IFERROR(INDEX(COBRA_aggregated!$AG:$AG, MATCH(About!$B$1 &amp; Keys!$C$8 &amp; $F8, COBRA_aggregated!$Y:$Y, 0)), 0), 0)</f>
        <v>0</v>
      </c>
      <c r="M8" t="str">
        <f>$A8 &amp; Keys!$C$8 &amp; $B8 &amp; Keys!$C$8</f>
        <v>electricity|PM25|</v>
      </c>
    </row>
    <row r="9" spans="1:13" x14ac:dyDescent="0.25">
      <c r="A9" t="s">
        <v>248</v>
      </c>
      <c r="B9" t="s">
        <v>240</v>
      </c>
      <c r="C9" t="s">
        <v>663</v>
      </c>
      <c r="D9" t="s">
        <v>249</v>
      </c>
      <c r="E9">
        <f>IFERROR(INDEX(COBRA_aggregated!$AG:$AG, MATCH(About!$B$1 &amp; Keys!$C$8 &amp; $D9, COBRA_aggregated!$Y:$Y, 0)), 0)</f>
        <v>0</v>
      </c>
      <c r="F9" t="str">
        <f>IFERROR(INDEX(Runs!$E:$E, MATCH($D9, Runs!$A:$A, 0)), $D9)</f>
        <v>Industry NO2</v>
      </c>
      <c r="G9" s="10" t="str">
        <f t="shared" si="0"/>
        <v>electricity NO2</v>
      </c>
      <c r="H9" s="8">
        <f>IFERROR(INDEX(COBRA_aggregated!$AA:$AA, MATCH(About!$B$1 &amp; Keys!$C$8 &amp; $D9, COBRA_aggregated!$Y:$Y, 0)), 0)</f>
        <v>4.2371712042948615E-4</v>
      </c>
      <c r="I9" s="8">
        <f>IFERROR(INDEX(COBRA_aggregated!$AB:$AB, MATCH(About!$B$1 &amp; Keys!$C$8 &amp; $D9, COBRA_aggregated!$Y:$Y, 0)), 0)</f>
        <v>6.1439221592658041E-3</v>
      </c>
      <c r="J9" s="11">
        <f t="shared" si="1"/>
        <v>6.8965248817559915E-2</v>
      </c>
      <c r="K9" t="str">
        <f>IFERROR(INDEX(COBRA_aggregated!$AJ:$AJ, MATCH(About!$B$1 &amp; Keys!$C$8 &amp; $D9, COBRA_aggregated!$Y:$Y, 0)), "")</f>
        <v/>
      </c>
      <c r="L9">
        <f>IF($E9=1, IFERROR(INDEX(COBRA_aggregated!$AG:$AG, MATCH(About!$B$1 &amp; Keys!$C$8 &amp; $F9, COBRA_aggregated!$Y:$Y, 0)), 0), 0)</f>
        <v>0</v>
      </c>
      <c r="M9" t="str">
        <f>$A9 &amp; Keys!$C$8 &amp; $B9 &amp; Keys!$C$8</f>
        <v>electricity|NOx|</v>
      </c>
    </row>
    <row r="10" spans="1:13" x14ac:dyDescent="0.25">
      <c r="A10" t="s">
        <v>248</v>
      </c>
      <c r="B10" t="s">
        <v>244</v>
      </c>
      <c r="C10" t="s">
        <v>664</v>
      </c>
      <c r="D10" t="s">
        <v>250</v>
      </c>
      <c r="E10">
        <f>IFERROR(INDEX(COBRA_aggregated!$AG:$AG, MATCH(About!$B$1 &amp; Keys!$C$8 &amp; $D10, COBRA_aggregated!$Y:$Y, 0)), 0)</f>
        <v>0</v>
      </c>
      <c r="F10" t="str">
        <f>IFERROR(INDEX(Runs!$E:$E, MATCH($D10, Runs!$A:$A, 0)), $D10)</f>
        <v>Industry SO2</v>
      </c>
      <c r="G10" s="10" t="str">
        <f t="shared" si="0"/>
        <v>electricity SO2</v>
      </c>
      <c r="H10" s="8">
        <f>IFERROR(INDEX(COBRA_aggregated!$AA:$AA, MATCH(About!$B$1 &amp; Keys!$C$8 &amp; $D10, COBRA_aggregated!$Y:$Y, 0)), 0)</f>
        <v>3.579400393646009E-3</v>
      </c>
      <c r="I10" s="8">
        <f>IFERROR(INDEX(COBRA_aggregated!$AB:$AB, MATCH(About!$B$1 &amp; Keys!$C$8 &amp; $D10, COBRA_aggregated!$Y:$Y, 0)), 0)</f>
        <v>5.7032329662362116E-3</v>
      </c>
      <c r="J10" s="11">
        <f t="shared" si="1"/>
        <v>0.62760900963303912</v>
      </c>
      <c r="K10" t="str">
        <f>IFERROR(INDEX(COBRA_aggregated!$AJ:$AJ, MATCH(About!$B$1 &amp; Keys!$C$8 &amp; $D10, COBRA_aggregated!$Y:$Y, 0)), "")</f>
        <v/>
      </c>
      <c r="L10">
        <f>IF($E10=1, IFERROR(INDEX(COBRA_aggregated!$AG:$AG, MATCH(About!$B$1 &amp; Keys!$C$8 &amp; $F10, COBRA_aggregated!$Y:$Y, 0)), 0), 0)</f>
        <v>0</v>
      </c>
      <c r="M10" t="str">
        <f>$A10 &amp; Keys!$C$8 &amp; $B10 &amp; Keys!$C$8</f>
        <v>electricity|SO2|</v>
      </c>
    </row>
    <row r="11" spans="1:13" x14ac:dyDescent="0.25">
      <c r="A11" t="s">
        <v>252</v>
      </c>
      <c r="B11" t="s">
        <v>236</v>
      </c>
      <c r="C11" t="s">
        <v>665</v>
      </c>
      <c r="D11" t="s">
        <v>251</v>
      </c>
      <c r="E11">
        <f>IFERROR(INDEX(COBRA_aggregated!$AG:$AG, MATCH(About!$B$1 &amp; Keys!$C$8 &amp; $D11, COBRA_aggregated!$Y:$Y, 0)), 0)</f>
        <v>0</v>
      </c>
      <c r="F11" t="str">
        <f>IFERROR(INDEX(Runs!$E:$E, MATCH($D11, Runs!$A:$A, 0)), $D11)</f>
        <v>Industry PM25</v>
      </c>
      <c r="G11" s="10" t="str">
        <f t="shared" si="0"/>
        <v>buildings PM25</v>
      </c>
      <c r="H11" s="8">
        <f>IFERROR(INDEX(COBRA_aggregated!$AA:$AA, MATCH(About!$B$1 &amp; Keys!$C$8 &amp; $D11, COBRA_aggregated!$Y:$Y, 0)), 0)</f>
        <v>5.2599057012206199E-2</v>
      </c>
      <c r="I11" s="8">
        <f>IFERROR(INDEX(COBRA_aggregated!$AB:$AB, MATCH(About!$B$1 &amp; Keys!$C$8 &amp; $D11, COBRA_aggregated!$Y:$Y, 0)), 0)</f>
        <v>2.7627705191843259E-2</v>
      </c>
      <c r="J11" s="11">
        <f t="shared" si="1"/>
        <v>1.9038518272496778</v>
      </c>
      <c r="K11" t="str">
        <f>IFERROR(INDEX(COBRA_aggregated!$AJ:$AJ, MATCH(About!$B$1 &amp; Keys!$C$8 &amp; $D11, COBRA_aggregated!$Y:$Y, 0)), "")</f>
        <v/>
      </c>
      <c r="L11">
        <f>IF($E11=1, IFERROR(INDEX(COBRA_aggregated!$AG:$AG, MATCH(About!$B$1 &amp; Keys!$C$8 &amp; $F11, COBRA_aggregated!$Y:$Y, 0)), 0), 0)</f>
        <v>0</v>
      </c>
      <c r="M11" t="str">
        <f>$A11 &amp; Keys!$C$8 &amp; $B11 &amp; Keys!$C$8</f>
        <v>buildings|PM25|</v>
      </c>
    </row>
    <row r="12" spans="1:13" x14ac:dyDescent="0.25">
      <c r="A12" t="s">
        <v>252</v>
      </c>
      <c r="B12" t="s">
        <v>240</v>
      </c>
      <c r="C12" t="s">
        <v>666</v>
      </c>
      <c r="D12" t="s">
        <v>253</v>
      </c>
      <c r="E12">
        <f>IFERROR(INDEX(COBRA_aggregated!$AG:$AG, MATCH(About!$B$1 &amp; Keys!$C$8 &amp; $D12, COBRA_aggregated!$Y:$Y, 0)), 0)</f>
        <v>0</v>
      </c>
      <c r="F12" t="str">
        <f>IFERROR(INDEX(Runs!$E:$E, MATCH($D12, Runs!$A:$A, 0)), $D12)</f>
        <v>Industry NO2</v>
      </c>
      <c r="G12" s="10" t="str">
        <f t="shared" si="0"/>
        <v>buildings NO2</v>
      </c>
      <c r="H12" s="8">
        <f>IFERROR(INDEX(COBRA_aggregated!$AA:$AA, MATCH(About!$B$1 &amp; Keys!$C$8 &amp; $D12, COBRA_aggregated!$Y:$Y, 0)), 0)</f>
        <v>2.2199334205901095E-3</v>
      </c>
      <c r="I12" s="8">
        <f>IFERROR(INDEX(COBRA_aggregated!$AB:$AB, MATCH(About!$B$1 &amp; Keys!$C$8 &amp; $D12, COBRA_aggregated!$Y:$Y, 0)), 0)</f>
        <v>5.6784740124662739E-3</v>
      </c>
      <c r="J12" s="11">
        <f t="shared" si="1"/>
        <v>0.39093837811295157</v>
      </c>
      <c r="K12" t="str">
        <f>IFERROR(INDEX(COBRA_aggregated!$AJ:$AJ, MATCH(About!$B$1 &amp; Keys!$C$8 &amp; $D12, COBRA_aggregated!$Y:$Y, 0)), "")</f>
        <v/>
      </c>
      <c r="L12">
        <f>IF($E12=1, IFERROR(INDEX(COBRA_aggregated!$AG:$AG, MATCH(About!$B$1 &amp; Keys!$C$8 &amp; $F12, COBRA_aggregated!$Y:$Y, 0)), 0), 0)</f>
        <v>0</v>
      </c>
      <c r="M12" t="str">
        <f>$A12 &amp; Keys!$C$8 &amp; $B12 &amp; Keys!$C$8</f>
        <v>buildings|NOx|</v>
      </c>
    </row>
    <row r="13" spans="1:13" x14ac:dyDescent="0.25">
      <c r="A13" t="s">
        <v>252</v>
      </c>
      <c r="B13" t="s">
        <v>244</v>
      </c>
      <c r="C13" t="s">
        <v>667</v>
      </c>
      <c r="D13" t="s">
        <v>254</v>
      </c>
      <c r="E13">
        <f>IFERROR(INDEX(COBRA_aggregated!$AG:$AG, MATCH(About!$B$1 &amp; Keys!$C$8 &amp; $D13, COBRA_aggregated!$Y:$Y, 0)), 0)</f>
        <v>0</v>
      </c>
      <c r="F13" t="str">
        <f>IFERROR(INDEX(Runs!$E:$E, MATCH($D13, Runs!$A:$A, 0)), $D13)</f>
        <v>Industry SO2</v>
      </c>
      <c r="G13" s="10" t="str">
        <f t="shared" si="0"/>
        <v>buildings SO2</v>
      </c>
      <c r="H13" s="8">
        <f>IFERROR(INDEX(COBRA_aggregated!$AA:$AA, MATCH(About!$B$1 &amp; Keys!$C$8 &amp; $D13, COBRA_aggregated!$Y:$Y, 0)), 0)</f>
        <v>6.728547864114409E-3</v>
      </c>
      <c r="I13" s="8">
        <f>IFERROR(INDEX(COBRA_aggregated!$AB:$AB, MATCH(About!$B$1 &amp; Keys!$C$8 &amp; $D13, COBRA_aggregated!$Y:$Y, 0)), 0)</f>
        <v>5.1581943281164694E-3</v>
      </c>
      <c r="J13" s="11">
        <f t="shared" si="1"/>
        <v>1.3044386147761438</v>
      </c>
      <c r="K13" t="str">
        <f>IFERROR(INDEX(COBRA_aggregated!$AJ:$AJ, MATCH(About!$B$1 &amp; Keys!$C$8 &amp; $D13, COBRA_aggregated!$Y:$Y, 0)), "")</f>
        <v/>
      </c>
      <c r="L13">
        <f>IF($E13=1, IFERROR(INDEX(COBRA_aggregated!$AG:$AG, MATCH(About!$B$1 &amp; Keys!$C$8 &amp; $F13, COBRA_aggregated!$Y:$Y, 0)), 0), 0)</f>
        <v>0</v>
      </c>
      <c r="M13" t="str">
        <f>$A13 &amp; Keys!$C$8 &amp; $B13 &amp; Keys!$C$8</f>
        <v>buildings|SO2|</v>
      </c>
    </row>
    <row r="14" spans="1:13" x14ac:dyDescent="0.25">
      <c r="A14" t="s">
        <v>255</v>
      </c>
      <c r="B14" t="s">
        <v>236</v>
      </c>
      <c r="C14" t="s">
        <v>668</v>
      </c>
      <c r="D14" t="s">
        <v>238</v>
      </c>
      <c r="E14">
        <f>IFERROR(INDEX(COBRA_aggregated!$AG:$AG, MATCH(About!$B$1 &amp; Keys!$C$8 &amp; $D14, COBRA_aggregated!$Y:$Y, 0)), 0)</f>
        <v>0</v>
      </c>
      <c r="F14" t="str">
        <f>IFERROR(INDEX(Runs!$E:$E, MATCH($D14, Runs!$A:$A, 0)), $D14)</f>
        <v>Industry PM25</v>
      </c>
      <c r="G14" s="10" t="str">
        <f t="shared" si="0"/>
        <v>Industry PM25</v>
      </c>
      <c r="H14" s="8">
        <f>IFERROR(INDEX(COBRA_aggregated!$AA:$AA, MATCH(About!$B$1 &amp; Keys!$C$8 &amp; $D14, COBRA_aggregated!$Y:$Y, 0)), 0)</f>
        <v>4.6396808210625869E-2</v>
      </c>
      <c r="I14" s="8">
        <f>IFERROR(INDEX(COBRA_aggregated!$AB:$AB, MATCH(About!$B$1 &amp; Keys!$C$8 &amp; $D14, COBRA_aggregated!$Y:$Y, 0)), 0)</f>
        <v>2.6833191881203179E-2</v>
      </c>
      <c r="J14" s="11">
        <f t="shared" si="1"/>
        <v>1.7290827127848001</v>
      </c>
      <c r="K14" t="str">
        <f>IFERROR(INDEX(COBRA_aggregated!$AJ:$AJ, MATCH(About!$B$1 &amp; Keys!$C$8 &amp; $D14, COBRA_aggregated!$Y:$Y, 0)), "")</f>
        <v/>
      </c>
      <c r="L14">
        <f>IF($E14=1, IFERROR(INDEX(COBRA_aggregated!$AG:$AG, MATCH(About!$B$1 &amp; Keys!$C$8 &amp; $F14, COBRA_aggregated!$Y:$Y, 0)), 0), 0)</f>
        <v>0</v>
      </c>
      <c r="M14" t="str">
        <f>$A14 &amp; Keys!$C$8 &amp; $B14 &amp; Keys!$C$8</f>
        <v>industry|PM25|</v>
      </c>
    </row>
    <row r="15" spans="1:13" x14ac:dyDescent="0.25">
      <c r="A15" t="s">
        <v>255</v>
      </c>
      <c r="B15" t="s">
        <v>240</v>
      </c>
      <c r="C15" t="s">
        <v>669</v>
      </c>
      <c r="D15" t="s">
        <v>242</v>
      </c>
      <c r="E15">
        <f>IFERROR(INDEX(COBRA_aggregated!$AG:$AG, MATCH(About!$B$1 &amp; Keys!$C$8 &amp; $D15, COBRA_aggregated!$Y:$Y, 0)), 0)</f>
        <v>0</v>
      </c>
      <c r="F15" t="str">
        <f>IFERROR(INDEX(Runs!$E:$E, MATCH($D15, Runs!$A:$A, 0)), $D15)</f>
        <v>Industry NO2</v>
      </c>
      <c r="G15" s="10" t="str">
        <f t="shared" si="0"/>
        <v>Industry NO2</v>
      </c>
      <c r="H15" s="8">
        <f>IFERROR(INDEX(COBRA_aggregated!$AA:$AA, MATCH(About!$B$1 &amp; Keys!$C$8 &amp; $D15, COBRA_aggregated!$Y:$Y, 0)), 0)</f>
        <v>4.3620409516338714E-4</v>
      </c>
      <c r="I15" s="8">
        <f>IFERROR(INDEX(COBRA_aggregated!$AB:$AB, MATCH(About!$B$1 &amp; Keys!$C$8 &amp; $D15, COBRA_aggregated!$Y:$Y, 0)), 0)</f>
        <v>5.8012217057786938E-3</v>
      </c>
      <c r="J15" s="11">
        <f t="shared" si="1"/>
        <v>7.5191764301798178E-2</v>
      </c>
      <c r="K15" t="str">
        <f>IFERROR(INDEX(COBRA_aggregated!$AJ:$AJ, MATCH(About!$B$1 &amp; Keys!$C$8 &amp; $D15, COBRA_aggregated!$Y:$Y, 0)), "")</f>
        <v/>
      </c>
      <c r="L15">
        <f>IF($E15=1, IFERROR(INDEX(COBRA_aggregated!$AG:$AG, MATCH(About!$B$1 &amp; Keys!$C$8 &amp; $F15, COBRA_aggregated!$Y:$Y, 0)), 0), 0)</f>
        <v>0</v>
      </c>
      <c r="M15" t="str">
        <f>$A15 &amp; Keys!$C$8 &amp; $B15 &amp; Keys!$C$8</f>
        <v>industry|NOx|</v>
      </c>
    </row>
    <row r="16" spans="1:13" x14ac:dyDescent="0.25">
      <c r="A16" t="s">
        <v>255</v>
      </c>
      <c r="B16" t="s">
        <v>244</v>
      </c>
      <c r="C16" t="s">
        <v>670</v>
      </c>
      <c r="D16" t="s">
        <v>246</v>
      </c>
      <c r="E16">
        <f>IFERROR(INDEX(COBRA_aggregated!$AG:$AG, MATCH(About!$B$1 &amp; Keys!$C$8 &amp; $D16, COBRA_aggregated!$Y:$Y, 0)), 0)</f>
        <v>0</v>
      </c>
      <c r="F16" t="str">
        <f>IFERROR(INDEX(Runs!$E:$E, MATCH($D16, Runs!$A:$A, 0)), $D16)</f>
        <v>Industry SO2</v>
      </c>
      <c r="G16" s="10" t="str">
        <f t="shared" si="0"/>
        <v>Industry SO2</v>
      </c>
      <c r="H16" s="8">
        <f>IFERROR(INDEX(COBRA_aggregated!$AA:$AA, MATCH(About!$B$1 &amp; Keys!$C$8 &amp; $D16, COBRA_aggregated!$Y:$Y, 0)), 0)</f>
        <v>1.662973492776975E-2</v>
      </c>
      <c r="I16" s="8">
        <f>IFERROR(INDEX(COBRA_aggregated!$AB:$AB, MATCH(About!$B$1 &amp; Keys!$C$8 &amp; $D16, COBRA_aggregated!$Y:$Y, 0)), 0)</f>
        <v>5.3000351638639942E-3</v>
      </c>
      <c r="J16" s="11">
        <f t="shared" si="1"/>
        <v>3.1376650179893959</v>
      </c>
      <c r="K16" t="str">
        <f>IFERROR(INDEX(COBRA_aggregated!$AJ:$AJ, MATCH(About!$B$1 &amp; Keys!$C$8 &amp; $D16, COBRA_aggregated!$Y:$Y, 0)), "")</f>
        <v/>
      </c>
      <c r="L16">
        <f>IF($E16=1, IFERROR(INDEX(COBRA_aggregated!$AG:$AG, MATCH(About!$B$1 &amp; Keys!$C$8 &amp; $F16, COBRA_aggregated!$Y:$Y, 0)), 0), 0)</f>
        <v>0</v>
      </c>
      <c r="M16" t="str">
        <f>$A16 &amp; Keys!$C$8 &amp; $B16 &amp; Keys!$C$8</f>
        <v>industry|SO2|</v>
      </c>
    </row>
    <row r="17" spans="1:13" x14ac:dyDescent="0.25">
      <c r="A17" t="s">
        <v>577</v>
      </c>
      <c r="B17" t="s">
        <v>236</v>
      </c>
      <c r="C17" t="s">
        <v>671</v>
      </c>
      <c r="D17" t="s">
        <v>242</v>
      </c>
      <c r="E17">
        <f>IFERROR(INDEX(COBRA_aggregated!$AG:$AG, MATCH(About!$B$1 &amp; Keys!$C$8 &amp; $D17, COBRA_aggregated!$Y:$Y, 0)), 0)</f>
        <v>0</v>
      </c>
      <c r="F17" t="str">
        <f>IFERROR(INDEX(Runs!$E:$E, MATCH($D17, Runs!$A:$A, 0)), $D17)</f>
        <v>Industry NO2</v>
      </c>
      <c r="G17" s="10" t="str">
        <f t="shared" si="0"/>
        <v>Industry NO2</v>
      </c>
      <c r="H17" s="8">
        <f>IFERROR(INDEX(COBRA_aggregated!$AA:$AA, MATCH(About!$B$1 &amp; Keys!$C$8 &amp; $D17, COBRA_aggregated!$Y:$Y, 0)), 0)</f>
        <v>4.3620409516338714E-4</v>
      </c>
      <c r="I17" s="8">
        <f>IFERROR(INDEX(COBRA_aggregated!$AB:$AB, MATCH(About!$B$1 &amp; Keys!$C$8 &amp; $D17, COBRA_aggregated!$Y:$Y, 0)), 0)</f>
        <v>5.8012217057786938E-3</v>
      </c>
      <c r="J17" s="11">
        <f t="shared" si="1"/>
        <v>7.5191764301798178E-2</v>
      </c>
      <c r="K17" t="str">
        <f>IFERROR(INDEX(COBRA_aggregated!$AJ:$AJ, MATCH(About!$B$1 &amp; Keys!$C$8 &amp; $D17, COBRA_aggregated!$Y:$Y, 0)), "")</f>
        <v/>
      </c>
      <c r="L17">
        <f>IF($E17=1, IFERROR(INDEX(COBRA_aggregated!$AG:$AG, MATCH(About!$B$1 &amp; Keys!$C$8 &amp; $F17, COBRA_aggregated!$Y:$Y, 0)), 0), 0)</f>
        <v>0</v>
      </c>
      <c r="M17" t="str">
        <f>$A17 &amp; Keys!$C$8 &amp; $B17 &amp; Keys!$C$8</f>
        <v>LULUCF|PM25|</v>
      </c>
    </row>
    <row r="18" spans="1:13" x14ac:dyDescent="0.25">
      <c r="A18" t="s">
        <v>577</v>
      </c>
      <c r="B18" t="s">
        <v>240</v>
      </c>
      <c r="C18" t="s">
        <v>672</v>
      </c>
      <c r="D18" t="s">
        <v>242</v>
      </c>
      <c r="E18">
        <f>IFERROR(INDEX(COBRA_aggregated!$AG:$AG, MATCH(About!$B$1 &amp; Keys!$C$8 &amp; $D18, COBRA_aggregated!$Y:$Y, 0)), 0)</f>
        <v>0</v>
      </c>
      <c r="F18" t="str">
        <f>IFERROR(INDEX(Runs!$E:$E, MATCH($D18, Runs!$A:$A, 0)), $D18)</f>
        <v>Industry NO2</v>
      </c>
      <c r="G18" s="10" t="str">
        <f t="shared" si="0"/>
        <v>Industry NO2</v>
      </c>
      <c r="H18" s="8">
        <f>IFERROR(INDEX(COBRA_aggregated!$AA:$AA, MATCH(About!$B$1 &amp; Keys!$C$8 &amp; $D18, COBRA_aggregated!$Y:$Y, 0)), 0)</f>
        <v>4.3620409516338714E-4</v>
      </c>
      <c r="I18" s="8">
        <f>IFERROR(INDEX(COBRA_aggregated!$AB:$AB, MATCH(About!$B$1 &amp; Keys!$C$8 &amp; $D18, COBRA_aggregated!$Y:$Y, 0)), 0)</f>
        <v>5.8012217057786938E-3</v>
      </c>
      <c r="J18" s="11">
        <f t="shared" si="1"/>
        <v>7.5191764301798178E-2</v>
      </c>
      <c r="K18" t="str">
        <f>IFERROR(INDEX(COBRA_aggregated!$AJ:$AJ, MATCH(About!$B$1 &amp; Keys!$C$8 &amp; $D18, COBRA_aggregated!$Y:$Y, 0)), "")</f>
        <v/>
      </c>
      <c r="L18">
        <f>IF($E18=1, IFERROR(INDEX(COBRA_aggregated!$AG:$AG, MATCH(About!$B$1 &amp; Keys!$C$8 &amp; $F18, COBRA_aggregated!$Y:$Y, 0)), 0), 0)</f>
        <v>0</v>
      </c>
      <c r="M18" t="str">
        <f>$A18 &amp; Keys!$C$8 &amp; $B18 &amp; Keys!$C$8</f>
        <v>LULUCF|NOx|</v>
      </c>
    </row>
    <row r="19" spans="1:13" x14ac:dyDescent="0.25">
      <c r="A19" t="s">
        <v>577</v>
      </c>
      <c r="B19" t="s">
        <v>244</v>
      </c>
      <c r="C19" t="s">
        <v>673</v>
      </c>
      <c r="D19" t="s">
        <v>242</v>
      </c>
      <c r="E19">
        <f>IFERROR(INDEX(COBRA_aggregated!$AG:$AG, MATCH(About!$B$1 &amp; Keys!$C$8 &amp; $D19, COBRA_aggregated!$Y:$Y, 0)), 0)</f>
        <v>0</v>
      </c>
      <c r="F19" t="str">
        <f>IFERROR(INDEX(Runs!$E:$E, MATCH($D19, Runs!$A:$A, 0)), $D19)</f>
        <v>Industry NO2</v>
      </c>
      <c r="G19" s="10" t="str">
        <f t="shared" si="0"/>
        <v>Industry NO2</v>
      </c>
      <c r="H19" s="8">
        <f>IFERROR(INDEX(COBRA_aggregated!$AA:$AA, MATCH(About!$B$1 &amp; Keys!$C$8 &amp; $D19, COBRA_aggregated!$Y:$Y, 0)), 0)</f>
        <v>4.3620409516338714E-4</v>
      </c>
      <c r="I19" s="8">
        <f>IFERROR(INDEX(COBRA_aggregated!$AB:$AB, MATCH(About!$B$1 &amp; Keys!$C$8 &amp; $D19, COBRA_aggregated!$Y:$Y, 0)), 0)</f>
        <v>5.8012217057786938E-3</v>
      </c>
      <c r="J19" s="11">
        <f t="shared" si="1"/>
        <v>7.5191764301798178E-2</v>
      </c>
      <c r="K19" t="str">
        <f>IFERROR(INDEX(COBRA_aggregated!$AJ:$AJ, MATCH(About!$B$1 &amp; Keys!$C$8 &amp; $D19, COBRA_aggregated!$Y:$Y, 0)), "")</f>
        <v/>
      </c>
      <c r="L19">
        <f>IF($E19=1, IFERROR(INDEX(COBRA_aggregated!$AG:$AG, MATCH(About!$B$1 &amp; Keys!$C$8 &amp; $F19, COBRA_aggregated!$Y:$Y, 0)), 0), 0)</f>
        <v>0</v>
      </c>
      <c r="M19" t="str">
        <f>$A19 &amp; Keys!$C$8 &amp; $B19 &amp; Keys!$C$8</f>
        <v>LULUCF|SO2|</v>
      </c>
    </row>
    <row r="21" spans="1:13" x14ac:dyDescent="0.25">
      <c r="A21" s="4" t="s">
        <v>674</v>
      </c>
      <c r="E21">
        <f>SUM($E$5:$E$19)</f>
        <v>0</v>
      </c>
    </row>
    <row r="22" spans="1:13" x14ac:dyDescent="0.25">
      <c r="A22" s="4" t="s">
        <v>675</v>
      </c>
      <c r="L22">
        <f>SUM($L$5:$L$19)</f>
        <v>0</v>
      </c>
    </row>
    <row r="24" spans="1:13" x14ac:dyDescent="0.25">
      <c r="A24" s="4" t="s">
        <v>676</v>
      </c>
      <c r="E24">
        <f>SUM(COBRA_aggregated!$AG:$AG)</f>
        <v>3</v>
      </c>
    </row>
    <row r="25" spans="1:13" x14ac:dyDescent="0.25">
      <c r="A25" s="4" t="s">
        <v>677</v>
      </c>
      <c r="L25">
        <f>SUM(COBRA_aggregated!$AK:$AK)</f>
        <v>0</v>
      </c>
    </row>
  </sheetData>
  <mergeCells count="1">
    <mergeCell ref="A2:M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Substitution!$G$5)/IFERROR(SUMIFS(COBRA_aggregated!$U:$U, COBRA_aggregated!$A:$A, About!$B$1, COBRA_aggregated!$B:$B, Substitution!$G$5), 1)</f>
        <v>5.5883650304263253E-2</v>
      </c>
      <c r="C2" s="12">
        <f>$B2 * IFERROR(VLOOKUP(Substitution!$M$5 &amp; $A2, US_national_yearly!$D:$AM, MATCH(C$1, US_national_yearly!$D$1:$AM$1, 0), FALSE) / VLOOKUP(Substitution!$M$5 &amp; $A2, US_national_yearly!$D:$AM, MATCH(Keys!$C$7, US_national_yearly!$D$1:$AM$1, 0), FALSE), 1)</f>
        <v>5.6576485099791365E-2</v>
      </c>
      <c r="D2" s="12">
        <f>$B2 * IFERROR(VLOOKUP(Substitution!$M$5 &amp; $A2, US_national_yearly!$D:$AM, MATCH(D$1, US_national_yearly!$D$1:$AM$1, 0), FALSE) / VLOOKUP(Substitution!$M$5 &amp; $A2, US_national_yearly!$D:$AM, MATCH(Keys!$C$7, US_national_yearly!$D$1:$AM$1, 0), FALSE), 1)</f>
        <v>5.7269319895319457E-2</v>
      </c>
      <c r="E2" s="12">
        <f>$B2 * IFERROR(VLOOKUP(Substitution!$M$5 &amp; $A2, US_national_yearly!$D:$AM, MATCH(E$1, US_national_yearly!$D$1:$AM$1, 0), FALSE) / VLOOKUP(Substitution!$M$5 &amp; $A2, US_national_yearly!$D:$AM, MATCH(Keys!$C$7, US_national_yearly!$D$1:$AM$1, 0), FALSE), 1)</f>
        <v>5.7962154690847555E-2</v>
      </c>
      <c r="F2" s="12">
        <f>$B2 * IFERROR(VLOOKUP(Substitution!$M$5 &amp; $A2, US_national_yearly!$D:$AM, MATCH(F$1, US_national_yearly!$D$1:$AM$1, 0), FALSE) / VLOOKUP(Substitution!$M$5 &amp; $A2, US_national_yearly!$D:$AM, MATCH(Keys!$C$7, US_national_yearly!$D$1:$AM$1, 0), FALSE), 1)</f>
        <v>5.8654989486375653E-2</v>
      </c>
      <c r="G2" s="12">
        <f>$B2 * IFERROR(VLOOKUP(Substitution!$M$5 &amp; $A2, US_national_yearly!$D:$AM, MATCH(G$1, US_national_yearly!$D$1:$AM$1, 0), FALSE) / VLOOKUP(Substitution!$M$5 &amp; $A2, US_national_yearly!$D:$AM, MATCH(Keys!$C$7, US_national_yearly!$D$1:$AM$1, 0), FALSE), 1)</f>
        <v>6.000428002543029E-2</v>
      </c>
      <c r="H2" s="12">
        <f>$B2 * IFERROR(VLOOKUP(Substitution!$M$5 &amp; $A2, US_national_yearly!$D:$AM, MATCH(H$1, US_national_yearly!$D$1:$AM$1, 0), FALSE) / VLOOKUP(Substitution!$M$5 &amp; $A2, US_national_yearly!$D:$AM, MATCH(Keys!$C$7, US_national_yearly!$D$1:$AM$1, 0), FALSE), 1)</f>
        <v>6.1353570564484927E-2</v>
      </c>
      <c r="I2" s="12">
        <f>$B2 * IFERROR(VLOOKUP(Substitution!$M$5 &amp; $A2, US_national_yearly!$D:$AM, MATCH(I$1, US_national_yearly!$D$1:$AM$1, 0), FALSE) / VLOOKUP(Substitution!$M$5 &amp; $A2, US_national_yearly!$D:$AM, MATCH(Keys!$C$7, US_national_yearly!$D$1:$AM$1, 0), FALSE), 1)</f>
        <v>6.2239841389103996E-2</v>
      </c>
      <c r="J2" s="12">
        <f>$B2 * IFERROR(VLOOKUP(Substitution!$M$5 &amp; $A2, US_national_yearly!$D:$AM, MATCH(J$1, US_national_yearly!$D$1:$AM$1, 0), FALSE) / VLOOKUP(Substitution!$M$5 &amp; $A2, US_national_yearly!$D:$AM, MATCH(Keys!$C$7, US_national_yearly!$D$1:$AM$1, 0), FALSE), 1)</f>
        <v>6.3126112213723079E-2</v>
      </c>
      <c r="K2" s="12">
        <f>$B2 * IFERROR(VLOOKUP(Substitution!$M$5 &amp; $A2, US_national_yearly!$D:$AM, MATCH(K$1, US_national_yearly!$D$1:$AM$1, 0), FALSE) / VLOOKUP(Substitution!$M$5 &amp; $A2, US_national_yearly!$D:$AM, MATCH(Keys!$C$7, US_national_yearly!$D$1:$AM$1, 0), FALSE), 1)</f>
        <v>6.4012383038342155E-2</v>
      </c>
      <c r="L2" s="12">
        <f>$B2 * IFERROR(VLOOKUP(Substitution!$M$5 &amp; $A2, US_national_yearly!$D:$AM, MATCH(L$1, US_national_yearly!$D$1:$AM$1, 0), FALSE) / VLOOKUP(Substitution!$M$5 &amp; $A2, US_national_yearly!$D:$AM, MATCH(Keys!$C$7, US_national_yearly!$D$1:$AM$1, 0), FALSE), 1)</f>
        <v>6.4898653862961245E-2</v>
      </c>
      <c r="M2" s="12">
        <f>$B2 * IFERROR(VLOOKUP(Substitution!$M$5 &amp; $A2, US_national_yearly!$D:$AM, MATCH(M$1, US_national_yearly!$D$1:$AM$1, 0), FALSE) / VLOOKUP(Substitution!$M$5 &amp; $A2, US_national_yearly!$D:$AM, MATCH(Keys!$C$7, US_national_yearly!$D$1:$AM$1, 0), FALSE), 1)</f>
        <v>6.5784924687580321E-2</v>
      </c>
      <c r="N2" s="12">
        <f>$B2 * IFERROR(VLOOKUP(Substitution!$M$5 &amp; $A2, US_national_yearly!$D:$AM, MATCH(N$1, US_national_yearly!$D$1:$AM$1, 0), FALSE) / VLOOKUP(Substitution!$M$5 &amp; $A2, US_national_yearly!$D:$AM, MATCH(Keys!$C$7, US_national_yearly!$D$1:$AM$1, 0), FALSE), 1)</f>
        <v>6.647305757704175E-2</v>
      </c>
      <c r="O2" s="12">
        <f>$B2 * IFERROR(VLOOKUP(Substitution!$M$5 &amp; $A2, US_national_yearly!$D:$AM, MATCH(O$1, US_national_yearly!$D$1:$AM$1, 0), FALSE) / VLOOKUP(Substitution!$M$5 &amp; $A2, US_national_yearly!$D:$AM, MATCH(Keys!$C$7, US_national_yearly!$D$1:$AM$1, 0), FALSE), 1)</f>
        <v>6.7161190466503179E-2</v>
      </c>
      <c r="P2" s="12">
        <f>$B2 * IFERROR(VLOOKUP(Substitution!$M$5 &amp; $A2, US_national_yearly!$D:$AM, MATCH(P$1, US_national_yearly!$D$1:$AM$1, 0), FALSE) / VLOOKUP(Substitution!$M$5 &amp; $A2, US_national_yearly!$D:$AM, MATCH(Keys!$C$7, US_national_yearly!$D$1:$AM$1, 0), FALSE), 1)</f>
        <v>6.7849323355964594E-2</v>
      </c>
      <c r="Q2" s="12">
        <f>$B2 * IFERROR(VLOOKUP(Substitution!$M$5 &amp; $A2, US_national_yearly!$D:$AM, MATCH(Q$1, US_national_yearly!$D$1:$AM$1, 0), FALSE) / VLOOKUP(Substitution!$M$5 &amp; $A2, US_national_yearly!$D:$AM, MATCH(Keys!$C$7, US_national_yearly!$D$1:$AM$1, 0), FALSE), 1)</f>
        <v>6.8537456245426023E-2</v>
      </c>
      <c r="R2" s="12">
        <f>$B2 * IFERROR(VLOOKUP(Substitution!$M$5 &amp; $A2, US_national_yearly!$D:$AM, MATCH(R$1, US_national_yearly!$D$1:$AM$1, 0), FALSE) / VLOOKUP(Substitution!$M$5 &amp; $A2, US_national_yearly!$D:$AM, MATCH(Keys!$C$7, US_national_yearly!$D$1:$AM$1, 0), FALSE), 1)</f>
        <v>6.9225589134887466E-2</v>
      </c>
      <c r="S2" s="12">
        <f>$B2 * IFERROR(VLOOKUP(Substitution!$M$5 &amp; $A2, US_national_yearly!$D:$AM, MATCH(S$1, US_national_yearly!$D$1:$AM$1, 0), FALSE) / VLOOKUP(Substitution!$M$5 &amp; $A2, US_national_yearly!$D:$AM, MATCH(Keys!$C$7, US_national_yearly!$D$1:$AM$1, 0), FALSE), 1)</f>
        <v>6.9590141494614524E-2</v>
      </c>
      <c r="T2" s="12">
        <f>$B2 * IFERROR(VLOOKUP(Substitution!$M$5 &amp; $A2, US_national_yearly!$D:$AM, MATCH(T$1, US_national_yearly!$D$1:$AM$1, 0), FALSE) / VLOOKUP(Substitution!$M$5 &amp; $A2, US_national_yearly!$D:$AM, MATCH(Keys!$C$7, US_national_yearly!$D$1:$AM$1, 0), FALSE), 1)</f>
        <v>6.9954693854341582E-2</v>
      </c>
      <c r="U2" s="12">
        <f>$B2 * IFERROR(VLOOKUP(Substitution!$M$5 &amp; $A2, US_national_yearly!$D:$AM, MATCH(U$1, US_national_yearly!$D$1:$AM$1, 0), FALSE) / VLOOKUP(Substitution!$M$5 &amp; $A2, US_national_yearly!$D:$AM, MATCH(Keys!$C$7, US_national_yearly!$D$1:$AM$1, 0), FALSE), 1)</f>
        <v>7.031924621406864E-2</v>
      </c>
      <c r="V2" s="12">
        <f>$B2 * IFERROR(VLOOKUP(Substitution!$M$5 &amp; $A2, US_national_yearly!$D:$AM, MATCH(V$1, US_national_yearly!$D$1:$AM$1, 0), FALSE) / VLOOKUP(Substitution!$M$5 &amp; $A2, US_national_yearly!$D:$AM, MATCH(Keys!$C$7, US_national_yearly!$D$1:$AM$1, 0), FALSE), 1)</f>
        <v>7.0683798573795698E-2</v>
      </c>
      <c r="W2" s="12">
        <f>$B2 * IFERROR(VLOOKUP(Substitution!$M$5 &amp; $A2, US_national_yearly!$D:$AM, MATCH(W$1, US_national_yearly!$D$1:$AM$1, 0), FALSE) / VLOOKUP(Substitution!$M$5 &amp; $A2, US_national_yearly!$D:$AM, MATCH(Keys!$C$7, US_national_yearly!$D$1:$AM$1, 0), FALSE), 1)</f>
        <v>7.1048350933522755E-2</v>
      </c>
      <c r="X2" s="12">
        <f>$B2 * IFERROR(VLOOKUP(Substitution!$M$5 &amp; $A2, US_national_yearly!$D:$AM, MATCH(X$1, US_national_yearly!$D$1:$AM$1, 0), FALSE) / VLOOKUP(Substitution!$M$5 &amp; $A2, US_national_yearly!$D:$AM, MATCH(Keys!$C$7, US_national_yearly!$D$1:$AM$1, 0), FALSE), 1)</f>
        <v>7.1112095733628894E-2</v>
      </c>
      <c r="Y2" s="12">
        <f>$B2 * IFERROR(VLOOKUP(Substitution!$M$5 &amp; $A2, US_national_yearly!$D:$AM, MATCH(Y$1, US_national_yearly!$D$1:$AM$1, 0), FALSE) / VLOOKUP(Substitution!$M$5 &amp; $A2, US_national_yearly!$D:$AM, MATCH(Keys!$C$7, US_national_yearly!$D$1:$AM$1, 0), FALSE), 1)</f>
        <v>7.1175840533735033E-2</v>
      </c>
      <c r="Z2" s="12">
        <f>$B2 * IFERROR(VLOOKUP(Substitution!$M$5 &amp; $A2, US_national_yearly!$D:$AM, MATCH(Z$1, US_national_yearly!$D$1:$AM$1, 0), FALSE) / VLOOKUP(Substitution!$M$5 &amp; $A2, US_national_yearly!$D:$AM, MATCH(Keys!$C$7, US_national_yearly!$D$1:$AM$1, 0), FALSE), 1)</f>
        <v>7.1239585333841171E-2</v>
      </c>
      <c r="AA2" s="12">
        <f>$B2 * IFERROR(VLOOKUP(Substitution!$M$5 &amp; $A2, US_national_yearly!$D:$AM, MATCH(AA$1, US_national_yearly!$D$1:$AM$1, 0), FALSE) / VLOOKUP(Substitution!$M$5 &amp; $A2, US_national_yearly!$D:$AM, MATCH(Keys!$C$7, US_national_yearly!$D$1:$AM$1, 0), FALSE), 1)</f>
        <v>7.1303330133947324E-2</v>
      </c>
      <c r="AB2" s="12">
        <f>$B2 * IFERROR(VLOOKUP(Substitution!$M$5 &amp; $A2, US_national_yearly!$D:$AM, MATCH(AB$1, US_national_yearly!$D$1:$AM$1, 0), FALSE) / VLOOKUP(Substitution!$M$5 &amp; $A2, US_national_yearly!$D:$AM, MATCH(Keys!$C$7, US_national_yearly!$D$1:$AM$1, 0), FALSE), 1)</f>
        <v>7.1367074934053448E-2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Substitution!$G$5)/IFERROR(SUMIFS(COBRA_aggregated!$U:$U, COBRA_aggregated!$A:$A, About!$B$1, COBRA_aggregated!$B:$B, Substitution!$G$5), 1)</f>
        <v>1.2414934242231001E-4</v>
      </c>
      <c r="C3" s="12">
        <f>$B3 * IFERROR(VLOOKUP(Substitution!$M$5 &amp; $A3, US_national_yearly!$D:$AM, MATCH(C$1, US_national_yearly!$D$1:$AM$1, 0), FALSE) / VLOOKUP(Substitution!$M$5 &amp; $A3, US_national_yearly!$D:$AM, MATCH(Keys!$C$7, US_national_yearly!$D$1:$AM$1, 0), FALSE), 1)</f>
        <v>1.2306687344346991E-4</v>
      </c>
      <c r="D3" s="12">
        <f>$B3 * IFERROR(VLOOKUP(Substitution!$M$5 &amp; $A3, US_national_yearly!$D:$AM, MATCH(D$1, US_national_yearly!$D$1:$AM$1, 0), FALSE) / VLOOKUP(Substitution!$M$5 &amp; $A3, US_national_yearly!$D:$AM, MATCH(Keys!$C$7, US_national_yearly!$D$1:$AM$1, 0), FALSE), 1)</f>
        <v>1.2198440446462981E-4</v>
      </c>
      <c r="E3" s="12">
        <f>$B3 * IFERROR(VLOOKUP(Substitution!$M$5 &amp; $A3, US_national_yearly!$D:$AM, MATCH(E$1, US_national_yearly!$D$1:$AM$1, 0), FALSE) / VLOOKUP(Substitution!$M$5 &amp; $A3, US_national_yearly!$D:$AM, MATCH(Keys!$C$7, US_national_yearly!$D$1:$AM$1, 0), FALSE), 1)</f>
        <v>1.2090193548578972E-4</v>
      </c>
      <c r="F3" s="12">
        <f>$B3 * IFERROR(VLOOKUP(Substitution!$M$5 &amp; $A3, US_national_yearly!$D:$AM, MATCH(F$1, US_national_yearly!$D$1:$AM$1, 0), FALSE) / VLOOKUP(Substitution!$M$5 &amp; $A3, US_national_yearly!$D:$AM, MATCH(Keys!$C$7, US_national_yearly!$D$1:$AM$1, 0), FALSE), 1)</f>
        <v>1.1981946650694959E-4</v>
      </c>
      <c r="G3" s="12">
        <f>$B3 * IFERROR(VLOOKUP(Substitution!$M$5 &amp; $A3, US_national_yearly!$D:$AM, MATCH(G$1, US_national_yearly!$D$1:$AM$1, 0), FALSE) / VLOOKUP(Substitution!$M$5 &amp; $A3, US_national_yearly!$D:$AM, MATCH(Keys!$C$7, US_national_yearly!$D$1:$AM$1, 0), FALSE), 1)</f>
        <v>7.9686354604761877E-5</v>
      </c>
      <c r="H3" s="12">
        <f>$B3 * IFERROR(VLOOKUP(Substitution!$M$5 &amp; $A3, US_national_yearly!$D:$AM, MATCH(H$1, US_national_yearly!$D$1:$AM$1, 0), FALSE) / VLOOKUP(Substitution!$M$5 &amp; $A3, US_national_yearly!$D:$AM, MATCH(Keys!$C$7, US_national_yearly!$D$1:$AM$1, 0), FALSE), 1)</f>
        <v>3.9553242702574129E-5</v>
      </c>
      <c r="I3" s="12">
        <f>$B3 * IFERROR(VLOOKUP(Substitution!$M$5 &amp; $A3, US_national_yearly!$D:$AM, MATCH(I$1, US_national_yearly!$D$1:$AM$1, 0), FALSE) / VLOOKUP(Substitution!$M$5 &amp; $A3, US_national_yearly!$D:$AM, MATCH(Keys!$C$7, US_national_yearly!$D$1:$AM$1, 0), FALSE), 1)</f>
        <v>3.9294696925382544E-5</v>
      </c>
      <c r="J3" s="12">
        <f>$B3 * IFERROR(VLOOKUP(Substitution!$M$5 &amp; $A3, US_national_yearly!$D:$AM, MATCH(J$1, US_national_yearly!$D$1:$AM$1, 0), FALSE) / VLOOKUP(Substitution!$M$5 &amp; $A3, US_national_yearly!$D:$AM, MATCH(Keys!$C$7, US_national_yearly!$D$1:$AM$1, 0), FALSE), 1)</f>
        <v>3.9036151148190952E-5</v>
      </c>
      <c r="K3" s="12">
        <f>$B3 * IFERROR(VLOOKUP(Substitution!$M$5 &amp; $A3, US_national_yearly!$D:$AM, MATCH(K$1, US_national_yearly!$D$1:$AM$1, 0), FALSE) / VLOOKUP(Substitution!$M$5 &amp; $A3, US_national_yearly!$D:$AM, MATCH(Keys!$C$7, US_national_yearly!$D$1:$AM$1, 0), FALSE), 1)</f>
        <v>3.8777605370999353E-5</v>
      </c>
      <c r="L3" s="12">
        <f>$B3 * IFERROR(VLOOKUP(Substitution!$M$5 &amp; $A3, US_national_yearly!$D:$AM, MATCH(L$1, US_national_yearly!$D$1:$AM$1, 0), FALSE) / VLOOKUP(Substitution!$M$5 &amp; $A3, US_national_yearly!$D:$AM, MATCH(Keys!$C$7, US_national_yearly!$D$1:$AM$1, 0), FALSE), 1)</f>
        <v>3.8519059593807768E-5</v>
      </c>
      <c r="M3" s="12">
        <f>$B3 * IFERROR(VLOOKUP(Substitution!$M$5 &amp; $A3, US_national_yearly!$D:$AM, MATCH(M$1, US_national_yearly!$D$1:$AM$1, 0), FALSE) / VLOOKUP(Substitution!$M$5 &amp; $A3, US_national_yearly!$D:$AM, MATCH(Keys!$C$7, US_national_yearly!$D$1:$AM$1, 0), FALSE), 1)</f>
        <v>3.8260513816616183E-5</v>
      </c>
      <c r="N3" s="12">
        <f>$B3 * IFERROR(VLOOKUP(Substitution!$M$5 &amp; $A3, US_national_yearly!$D:$AM, MATCH(N$1, US_national_yearly!$D$1:$AM$1, 0), FALSE) / VLOOKUP(Substitution!$M$5 &amp; $A3, US_national_yearly!$D:$AM, MATCH(Keys!$C$7, US_national_yearly!$D$1:$AM$1, 0), FALSE), 1)</f>
        <v>3.8098118444726805E-5</v>
      </c>
      <c r="O3" s="12">
        <f>$B3 * IFERROR(VLOOKUP(Substitution!$M$5 &amp; $A3, US_national_yearly!$D:$AM, MATCH(O$1, US_national_yearly!$D$1:$AM$1, 0), FALSE) / VLOOKUP(Substitution!$M$5 &amp; $A3, US_national_yearly!$D:$AM, MATCH(Keys!$C$7, US_national_yearly!$D$1:$AM$1, 0), FALSE), 1)</f>
        <v>3.7935723072837427E-5</v>
      </c>
      <c r="P3" s="12">
        <f>$B3 * IFERROR(VLOOKUP(Substitution!$M$5 &amp; $A3, US_national_yearly!$D:$AM, MATCH(P$1, US_national_yearly!$D$1:$AM$1, 0), FALSE) / VLOOKUP(Substitution!$M$5 &amp; $A3, US_national_yearly!$D:$AM, MATCH(Keys!$C$7, US_national_yearly!$D$1:$AM$1, 0), FALSE), 1)</f>
        <v>3.7773327700948035E-5</v>
      </c>
      <c r="Q3" s="12">
        <f>$B3 * IFERROR(VLOOKUP(Substitution!$M$5 &amp; $A3, US_national_yearly!$D:$AM, MATCH(Q$1, US_national_yearly!$D$1:$AM$1, 0), FALSE) / VLOOKUP(Substitution!$M$5 &amp; $A3, US_national_yearly!$D:$AM, MATCH(Keys!$C$7, US_national_yearly!$D$1:$AM$1, 0), FALSE), 1)</f>
        <v>3.7610932329058656E-5</v>
      </c>
      <c r="R3" s="12">
        <f>$B3 * IFERROR(VLOOKUP(Substitution!$M$5 &amp; $A3, US_national_yearly!$D:$AM, MATCH(R$1, US_national_yearly!$D$1:$AM$1, 0), FALSE) / VLOOKUP(Substitution!$M$5 &amp; $A3, US_national_yearly!$D:$AM, MATCH(Keys!$C$7, US_national_yearly!$D$1:$AM$1, 0), FALSE), 1)</f>
        <v>3.7448536957169278E-5</v>
      </c>
      <c r="S3" s="12">
        <f>$B3 * IFERROR(VLOOKUP(Substitution!$M$5 &amp; $A3, US_national_yearly!$D:$AM, MATCH(S$1, US_national_yearly!$D$1:$AM$1, 0), FALSE) / VLOOKUP(Substitution!$M$5 &amp; $A3, US_national_yearly!$D:$AM, MATCH(Keys!$C$7, US_national_yearly!$D$1:$AM$1, 0), FALSE), 1)</f>
        <v>3.7246107805676172E-5</v>
      </c>
      <c r="T3" s="12">
        <f>$B3 * IFERROR(VLOOKUP(Substitution!$M$5 &amp; $A3, US_national_yearly!$D:$AM, MATCH(T$1, US_national_yearly!$D$1:$AM$1, 0), FALSE) / VLOOKUP(Substitution!$M$5 &amp; $A3, US_national_yearly!$D:$AM, MATCH(Keys!$C$7, US_national_yearly!$D$1:$AM$1, 0), FALSE), 1)</f>
        <v>3.704367865418306E-5</v>
      </c>
      <c r="U3" s="12">
        <f>$B3 * IFERROR(VLOOKUP(Substitution!$M$5 &amp; $A3, US_national_yearly!$D:$AM, MATCH(U$1, US_national_yearly!$D$1:$AM$1, 0), FALSE) / VLOOKUP(Substitution!$M$5 &amp; $A3, US_national_yearly!$D:$AM, MATCH(Keys!$C$7, US_national_yearly!$D$1:$AM$1, 0), FALSE), 1)</f>
        <v>3.6841249502689961E-5</v>
      </c>
      <c r="V3" s="12">
        <f>$B3 * IFERROR(VLOOKUP(Substitution!$M$5 &amp; $A3, US_national_yearly!$D:$AM, MATCH(V$1, US_national_yearly!$D$1:$AM$1, 0), FALSE) / VLOOKUP(Substitution!$M$5 &amp; $A3, US_national_yearly!$D:$AM, MATCH(Keys!$C$7, US_national_yearly!$D$1:$AM$1, 0), FALSE), 1)</f>
        <v>3.6638820351196855E-5</v>
      </c>
      <c r="W3" s="12">
        <f>$B3 * IFERROR(VLOOKUP(Substitution!$M$5 &amp; $A3, US_national_yearly!$D:$AM, MATCH(W$1, US_national_yearly!$D$1:$AM$1, 0), FALSE) / VLOOKUP(Substitution!$M$5 &amp; $A3, US_national_yearly!$D:$AM, MATCH(Keys!$C$7, US_national_yearly!$D$1:$AM$1, 0), FALSE), 1)</f>
        <v>3.6436391199703743E-5</v>
      </c>
      <c r="X3" s="12">
        <f>$B3 * IFERROR(VLOOKUP(Substitution!$M$5 &amp; $A3, US_national_yearly!$D:$AM, MATCH(X$1, US_national_yearly!$D$1:$AM$1, 0), FALSE) / VLOOKUP(Substitution!$M$5 &amp; $A3, US_national_yearly!$D:$AM, MATCH(Keys!$C$7, US_national_yearly!$D$1:$AM$1, 0), FALSE), 1)</f>
        <v>3.6218147131719078E-5</v>
      </c>
      <c r="Y3" s="12">
        <f>$B3 * IFERROR(VLOOKUP(Substitution!$M$5 &amp; $A3, US_national_yearly!$D:$AM, MATCH(Y$1, US_national_yearly!$D$1:$AM$1, 0), FALSE) / VLOOKUP(Substitution!$M$5 &amp; $A3, US_national_yearly!$D:$AM, MATCH(Keys!$C$7, US_national_yearly!$D$1:$AM$1, 0), FALSE), 1)</f>
        <v>3.59999030637344E-5</v>
      </c>
      <c r="Z3" s="12">
        <f>$B3 * IFERROR(VLOOKUP(Substitution!$M$5 &amp; $A3, US_national_yearly!$D:$AM, MATCH(Z$1, US_national_yearly!$D$1:$AM$1, 0), FALSE) / VLOOKUP(Substitution!$M$5 &amp; $A3, US_national_yearly!$D:$AM, MATCH(Keys!$C$7, US_national_yearly!$D$1:$AM$1, 0), FALSE), 1)</f>
        <v>3.5781658995749736E-5</v>
      </c>
      <c r="AA3" s="12">
        <f>$B3 * IFERROR(VLOOKUP(Substitution!$M$5 &amp; $A3, US_national_yearly!$D:$AM, MATCH(AA$1, US_national_yearly!$D$1:$AM$1, 0), FALSE) / VLOOKUP(Substitution!$M$5 &amp; $A3, US_national_yearly!$D:$AM, MATCH(Keys!$C$7, US_national_yearly!$D$1:$AM$1, 0), FALSE), 1)</f>
        <v>3.5563414927765064E-5</v>
      </c>
      <c r="AB3" s="12">
        <f>$B3 * IFERROR(VLOOKUP(Substitution!$M$5 &amp; $A3, US_national_yearly!$D:$AM, MATCH(AB$1, US_national_yearly!$D$1:$AM$1, 0), FALSE) / VLOOKUP(Substitution!$M$5 &amp; $A3, US_national_yearly!$D:$AM, MATCH(Keys!$C$7, US_national_yearly!$D$1:$AM$1, 0), FALSE), 1)</f>
        <v>3.53451708597804E-5</v>
      </c>
    </row>
    <row r="4" spans="1:28" x14ac:dyDescent="0.25">
      <c r="A4" s="4" t="s">
        <v>295</v>
      </c>
      <c r="B4" s="12">
        <f>IFERROR(VLOOKUP(Substitution!$M$5 &amp; $A4, US_national_yearly!$D:$AM, MATCH(Keys!$C$7, US_national_yearly!$D$1:$AM$1, 0), FALSE), 0)</f>
        <v>6.1901565587401963</v>
      </c>
      <c r="C4" s="12">
        <f>$B4 * IFERROR(VLOOKUP(Substitution!$M$5 &amp; $A4, US_national_yearly!$D:$AM, MATCH(C$1, US_national_yearly!$D$1:$AM$1, 0), FALSE) / VLOOKUP(Substitution!$M$5 &amp; $A4, US_national_yearly!$D:$AM, MATCH(Keys!$C$7, US_national_yearly!$D$1:$AM$1, 0), FALSE), 1)</f>
        <v>6.2529805584279625</v>
      </c>
      <c r="D4" s="12">
        <f>$B4 * IFERROR(VLOOKUP(Substitution!$M$5 &amp; $A4, US_national_yearly!$D:$AM, MATCH(D$1, US_national_yearly!$D$1:$AM$1, 0), FALSE) / VLOOKUP(Substitution!$M$5 &amp; $A4, US_national_yearly!$D:$AM, MATCH(Keys!$C$7, US_national_yearly!$D$1:$AM$1, 0), FALSE), 1)</f>
        <v>6.3158045581157278</v>
      </c>
      <c r="E4" s="12">
        <f>$B4 * IFERROR(VLOOKUP(Substitution!$M$5 &amp; $A4, US_national_yearly!$D:$AM, MATCH(E$1, US_national_yearly!$D$1:$AM$1, 0), FALSE) / VLOOKUP(Substitution!$M$5 &amp; $A4, US_national_yearly!$D:$AM, MATCH(Keys!$C$7, US_national_yearly!$D$1:$AM$1, 0), FALSE), 1)</f>
        <v>6.3786285578034931</v>
      </c>
      <c r="F4" s="12">
        <f>$B4 * IFERROR(VLOOKUP(Substitution!$M$5 &amp; $A4, US_national_yearly!$D:$AM, MATCH(F$1, US_national_yearly!$D$1:$AM$1, 0), FALSE) / VLOOKUP(Substitution!$M$5 &amp; $A4, US_national_yearly!$D:$AM, MATCH(Keys!$C$7, US_national_yearly!$D$1:$AM$1, 0), FALSE), 1)</f>
        <v>6.4414525574912602</v>
      </c>
      <c r="G4" s="12">
        <f>$B4 * IFERROR(VLOOKUP(Substitution!$M$5 &amp; $A4, US_national_yearly!$D:$AM, MATCH(G$1, US_national_yearly!$D$1:$AM$1, 0), FALSE) / VLOOKUP(Substitution!$M$5 &amp; $A4, US_national_yearly!$D:$AM, MATCH(Keys!$C$7, US_national_yearly!$D$1:$AM$1, 0), FALSE), 1)</f>
        <v>6.5140600735639804</v>
      </c>
      <c r="H4" s="12">
        <f>$B4 * IFERROR(VLOOKUP(Substitution!$M$5 &amp; $A4, US_national_yearly!$D:$AM, MATCH(H$1, US_national_yearly!$D$1:$AM$1, 0), FALSE) / VLOOKUP(Substitution!$M$5 &amp; $A4, US_national_yearly!$D:$AM, MATCH(Keys!$C$7, US_national_yearly!$D$1:$AM$1, 0), FALSE), 1)</f>
        <v>6.5866675896366997</v>
      </c>
      <c r="I4" s="12">
        <f>$B4 * IFERROR(VLOOKUP(Substitution!$M$5 &amp; $A4, US_national_yearly!$D:$AM, MATCH(I$1, US_national_yearly!$D$1:$AM$1, 0), FALSE) / VLOOKUP(Substitution!$M$5 &amp; $A4, US_national_yearly!$D:$AM, MATCH(Keys!$C$7, US_national_yearly!$D$1:$AM$1, 0), FALSE), 1)</f>
        <v>6.6386342611951008</v>
      </c>
      <c r="J4" s="12">
        <f>$B4 * IFERROR(VLOOKUP(Substitution!$M$5 &amp; $A4, US_national_yearly!$D:$AM, MATCH(J$1, US_national_yearly!$D$1:$AM$1, 0), FALSE) / VLOOKUP(Substitution!$M$5 &amp; $A4, US_national_yearly!$D:$AM, MATCH(Keys!$C$7, US_national_yearly!$D$1:$AM$1, 0), FALSE), 1)</f>
        <v>6.690600932753501</v>
      </c>
      <c r="K4" s="12">
        <f>$B4 * IFERROR(VLOOKUP(Substitution!$M$5 &amp; $A4, US_national_yearly!$D:$AM, MATCH(K$1, US_national_yearly!$D$1:$AM$1, 0), FALSE) / VLOOKUP(Substitution!$M$5 &amp; $A4, US_national_yearly!$D:$AM, MATCH(Keys!$C$7, US_national_yearly!$D$1:$AM$1, 0), FALSE), 1)</f>
        <v>6.7425676043118994</v>
      </c>
      <c r="L4" s="12">
        <f>$B4 * IFERROR(VLOOKUP(Substitution!$M$5 &amp; $A4, US_national_yearly!$D:$AM, MATCH(L$1, US_national_yearly!$D$1:$AM$1, 0), FALSE) / VLOOKUP(Substitution!$M$5 &amp; $A4, US_national_yearly!$D:$AM, MATCH(Keys!$C$7, US_national_yearly!$D$1:$AM$1, 0), FALSE), 1)</f>
        <v>6.7945342758703005</v>
      </c>
      <c r="M4" s="12">
        <f>$B4 * IFERROR(VLOOKUP(Substitution!$M$5 &amp; $A4, US_national_yearly!$D:$AM, MATCH(M$1, US_national_yearly!$D$1:$AM$1, 0), FALSE) / VLOOKUP(Substitution!$M$5 &amp; $A4, US_national_yearly!$D:$AM, MATCH(Keys!$C$7, US_national_yearly!$D$1:$AM$1, 0), FALSE), 1)</f>
        <v>6.8465009474286989</v>
      </c>
      <c r="N4" s="12">
        <f>$B4 * IFERROR(VLOOKUP(Substitution!$M$5 &amp; $A4, US_national_yearly!$D:$AM, MATCH(N$1, US_national_yearly!$D$1:$AM$1, 0), FALSE) / VLOOKUP(Substitution!$M$5 &amp; $A4, US_national_yearly!$D:$AM, MATCH(Keys!$C$7, US_national_yearly!$D$1:$AM$1, 0), FALSE), 1)</f>
        <v>6.8678598698781341</v>
      </c>
      <c r="O4" s="12">
        <f>$B4 * IFERROR(VLOOKUP(Substitution!$M$5 &amp; $A4, US_national_yearly!$D:$AM, MATCH(O$1, US_national_yearly!$D$1:$AM$1, 0), FALSE) / VLOOKUP(Substitution!$M$5 &amp; $A4, US_national_yearly!$D:$AM, MATCH(Keys!$C$7, US_national_yearly!$D$1:$AM$1, 0), FALSE), 1)</f>
        <v>6.8892187923275667</v>
      </c>
      <c r="P4" s="12">
        <f>$B4 * IFERROR(VLOOKUP(Substitution!$M$5 &amp; $A4, US_national_yearly!$D:$AM, MATCH(P$1, US_national_yearly!$D$1:$AM$1, 0), FALSE) / VLOOKUP(Substitution!$M$5 &amp; $A4, US_national_yearly!$D:$AM, MATCH(Keys!$C$7, US_national_yearly!$D$1:$AM$1, 0), FALSE), 1)</f>
        <v>6.910577714777002</v>
      </c>
      <c r="Q4" s="12">
        <f>$B4 * IFERROR(VLOOKUP(Substitution!$M$5 &amp; $A4, US_national_yearly!$D:$AM, MATCH(Q$1, US_national_yearly!$D$1:$AM$1, 0), FALSE) / VLOOKUP(Substitution!$M$5 &amp; $A4, US_national_yearly!$D:$AM, MATCH(Keys!$C$7, US_national_yearly!$D$1:$AM$1, 0), FALSE), 1)</f>
        <v>6.9319366372264355</v>
      </c>
      <c r="R4" s="12">
        <f>$B4 * IFERROR(VLOOKUP(Substitution!$M$5 &amp; $A4, US_national_yearly!$D:$AM, MATCH(R$1, US_national_yearly!$D$1:$AM$1, 0), FALSE) / VLOOKUP(Substitution!$M$5 &amp; $A4, US_national_yearly!$D:$AM, MATCH(Keys!$C$7, US_national_yearly!$D$1:$AM$1, 0), FALSE), 1)</f>
        <v>6.9532955596758699</v>
      </c>
      <c r="S4" s="12">
        <f>$B4 * IFERROR(VLOOKUP(Substitution!$M$5 &amp; $A4, US_national_yearly!$D:$AM, MATCH(S$1, US_national_yearly!$D$1:$AM$1, 0), FALSE) / VLOOKUP(Substitution!$M$5 &amp; $A4, US_national_yearly!$D:$AM, MATCH(Keys!$C$7, US_national_yearly!$D$1:$AM$1, 0), FALSE), 1)</f>
        <v>6.9795206416846813</v>
      </c>
      <c r="T4" s="12">
        <f>$B4 * IFERROR(VLOOKUP(Substitution!$M$5 &amp; $A4, US_national_yearly!$D:$AM, MATCH(T$1, US_national_yearly!$D$1:$AM$1, 0), FALSE) / VLOOKUP(Substitution!$M$5 &amp; $A4, US_national_yearly!$D:$AM, MATCH(Keys!$C$7, US_national_yearly!$D$1:$AM$1, 0), FALSE), 1)</f>
        <v>7.0057457236934937</v>
      </c>
      <c r="U4" s="12">
        <f>$B4 * IFERROR(VLOOKUP(Substitution!$M$5 &amp; $A4, US_national_yearly!$D:$AM, MATCH(U$1, US_national_yearly!$D$1:$AM$1, 0), FALSE) / VLOOKUP(Substitution!$M$5 &amp; $A4, US_national_yearly!$D:$AM, MATCH(Keys!$C$7, US_national_yearly!$D$1:$AM$1, 0), FALSE), 1)</f>
        <v>7.0319708057023051</v>
      </c>
      <c r="V4" s="12">
        <f>$B4 * IFERROR(VLOOKUP(Substitution!$M$5 &amp; $A4, US_national_yearly!$D:$AM, MATCH(V$1, US_national_yearly!$D$1:$AM$1, 0), FALSE) / VLOOKUP(Substitution!$M$5 &amp; $A4, US_national_yearly!$D:$AM, MATCH(Keys!$C$7, US_national_yearly!$D$1:$AM$1, 0), FALSE), 1)</f>
        <v>7.0581958877111157</v>
      </c>
      <c r="W4" s="12">
        <f>$B4 * IFERROR(VLOOKUP(Substitution!$M$5 &amp; $A4, US_national_yearly!$D:$AM, MATCH(W$1, US_national_yearly!$D$1:$AM$1, 0), FALSE) / VLOOKUP(Substitution!$M$5 &amp; $A4, US_national_yearly!$D:$AM, MATCH(Keys!$C$7, US_national_yearly!$D$1:$AM$1, 0), FALSE), 1)</f>
        <v>7.084420969719929</v>
      </c>
      <c r="X4" s="12">
        <f>$B4 * IFERROR(VLOOKUP(Substitution!$M$5 &amp; $A4, US_national_yearly!$D:$AM, MATCH(X$1, US_national_yearly!$D$1:$AM$1, 0), FALSE) / VLOOKUP(Substitution!$M$5 &amp; $A4, US_national_yearly!$D:$AM, MATCH(Keys!$C$7, US_national_yearly!$D$1:$AM$1, 0), FALSE), 1)</f>
        <v>7.1136375357302555</v>
      </c>
      <c r="Y4" s="12">
        <f>$B4 * IFERROR(VLOOKUP(Substitution!$M$5 &amp; $A4, US_national_yearly!$D:$AM, MATCH(Y$1, US_national_yearly!$D$1:$AM$1, 0), FALSE) / VLOOKUP(Substitution!$M$5 &amp; $A4, US_national_yearly!$D:$AM, MATCH(Keys!$C$7, US_national_yearly!$D$1:$AM$1, 0), FALSE), 1)</f>
        <v>7.1428541017405829</v>
      </c>
      <c r="Z4" s="12">
        <f>$B4 * IFERROR(VLOOKUP(Substitution!$M$5 &amp; $A4, US_national_yearly!$D:$AM, MATCH(Z$1, US_national_yearly!$D$1:$AM$1, 0), FALSE) / VLOOKUP(Substitution!$M$5 &amp; $A4, US_national_yearly!$D:$AM, MATCH(Keys!$C$7, US_national_yearly!$D$1:$AM$1, 0), FALSE), 1)</f>
        <v>7.1720706677509067</v>
      </c>
      <c r="AA4" s="12">
        <f>$B4 * IFERROR(VLOOKUP(Substitution!$M$5 &amp; $A4, US_national_yearly!$D:$AM, MATCH(AA$1, US_national_yearly!$D$1:$AM$1, 0), FALSE) / VLOOKUP(Substitution!$M$5 &amp; $A4, US_national_yearly!$D:$AM, MATCH(Keys!$C$7, US_national_yearly!$D$1:$AM$1, 0), FALSE), 1)</f>
        <v>7.2012872337612341</v>
      </c>
      <c r="AB4" s="12">
        <f>$B4 * IFERROR(VLOOKUP(Substitution!$M$5 &amp; $A4, US_national_yearly!$D:$AM, MATCH(AB$1, US_national_yearly!$D$1:$AM$1, 0), FALSE) / VLOOKUP(Substitution!$M$5 &amp; $A4, US_national_yearly!$D:$AM, MATCH(Keys!$C$7, US_national_yearly!$D$1:$AM$1, 0), FALSE), 1)</f>
        <v>7.2305037997715607</v>
      </c>
    </row>
    <row r="5" spans="1:28" x14ac:dyDescent="0.25">
      <c r="A5" s="4" t="s">
        <v>297</v>
      </c>
      <c r="B5" s="12">
        <f>IFERROR(VLOOKUP(Substitution!$M$5 &amp; $A5, US_national_yearly!$D:$AM, MATCH(Keys!$C$7, US_national_yearly!$D$1:$AM$1, 0), FALSE), 0)</f>
        <v>0</v>
      </c>
      <c r="C5" s="12">
        <f>$B5 * IFERROR(VLOOKUP(Substitution!$M$5 &amp; $A5, US_national_yearly!$D:$AM, MATCH(C$1, US_national_yearly!$D$1:$AM$1, 0), FALSE) / VLOOKUP(Substitution!$M$5 &amp; $A5, US_national_yearly!$D:$AM, MATCH(Keys!$C$7, US_national_yearly!$D$1:$AM$1, 0), FALSE), 1)</f>
        <v>0</v>
      </c>
      <c r="D5" s="12">
        <f>$B5 * IFERROR(VLOOKUP(Substitution!$M$5 &amp; $A5, US_national_yearly!$D:$AM, MATCH(D$1, US_national_yearly!$D$1:$AM$1, 0), FALSE) / VLOOKUP(Substitution!$M$5 &amp; $A5, US_national_yearly!$D:$AM, MATCH(Keys!$C$7, US_national_yearly!$D$1:$AM$1, 0), FALSE), 1)</f>
        <v>0</v>
      </c>
      <c r="E5" s="12">
        <f>$B5 * IFERROR(VLOOKUP(Substitution!$M$5 &amp; $A5, US_national_yearly!$D:$AM, MATCH(E$1, US_national_yearly!$D$1:$AM$1, 0), FALSE) / VLOOKUP(Substitution!$M$5 &amp; $A5, US_national_yearly!$D:$AM, MATCH(Keys!$C$7, US_national_yearly!$D$1:$AM$1, 0), FALSE), 1)</f>
        <v>0</v>
      </c>
      <c r="F5" s="12">
        <f>$B5 * IFERROR(VLOOKUP(Substitution!$M$5 &amp; $A5, US_national_yearly!$D:$AM, MATCH(F$1, US_national_yearly!$D$1:$AM$1, 0), FALSE) / VLOOKUP(Substitution!$M$5 &amp; $A5, US_national_yearly!$D:$AM, MATCH(Keys!$C$7, US_national_yearly!$D$1:$AM$1, 0), FALSE), 1)</f>
        <v>0</v>
      </c>
      <c r="G5" s="12">
        <f>$B5 * IFERROR(VLOOKUP(Substitution!$M$5 &amp; $A5, US_national_yearly!$D:$AM, MATCH(G$1, US_national_yearly!$D$1:$AM$1, 0), FALSE) / VLOOKUP(Substitution!$M$5 &amp; $A5, US_national_yearly!$D:$AM, MATCH(Keys!$C$7, US_national_yearly!$D$1:$AM$1, 0), FALSE), 1)</f>
        <v>0</v>
      </c>
      <c r="H5" s="12">
        <f>$B5 * IFERROR(VLOOKUP(Substitution!$M$5 &amp; $A5, US_national_yearly!$D:$AM, MATCH(H$1, US_national_yearly!$D$1:$AM$1, 0), FALSE) / VLOOKUP(Substitution!$M$5 &amp; $A5, US_national_yearly!$D:$AM, MATCH(Keys!$C$7, US_national_yearly!$D$1:$AM$1, 0), FALSE), 1)</f>
        <v>0</v>
      </c>
      <c r="I5" s="12">
        <f>$B5 * IFERROR(VLOOKUP(Substitution!$M$5 &amp; $A5, US_national_yearly!$D:$AM, MATCH(I$1, US_national_yearly!$D$1:$AM$1, 0), FALSE) / VLOOKUP(Substitution!$M$5 &amp; $A5, US_national_yearly!$D:$AM, MATCH(Keys!$C$7, US_national_yearly!$D$1:$AM$1, 0), FALSE), 1)</f>
        <v>0</v>
      </c>
      <c r="J5" s="12">
        <f>$B5 * IFERROR(VLOOKUP(Substitution!$M$5 &amp; $A5, US_national_yearly!$D:$AM, MATCH(J$1, US_national_yearly!$D$1:$AM$1, 0), FALSE) / VLOOKUP(Substitution!$M$5 &amp; $A5, US_national_yearly!$D:$AM, MATCH(Keys!$C$7, US_national_yearly!$D$1:$AM$1, 0), FALSE), 1)</f>
        <v>0</v>
      </c>
      <c r="K5" s="12">
        <f>$B5 * IFERROR(VLOOKUP(Substitution!$M$5 &amp; $A5, US_national_yearly!$D:$AM, MATCH(K$1, US_national_yearly!$D$1:$AM$1, 0), FALSE) / VLOOKUP(Substitution!$M$5 &amp; $A5, US_national_yearly!$D:$AM, MATCH(Keys!$C$7, US_national_yearly!$D$1:$AM$1, 0), FALSE), 1)</f>
        <v>0</v>
      </c>
      <c r="L5" s="12">
        <f>$B5 * IFERROR(VLOOKUP(Substitution!$M$5 &amp; $A5, US_national_yearly!$D:$AM, MATCH(L$1, US_national_yearly!$D$1:$AM$1, 0), FALSE) / VLOOKUP(Substitution!$M$5 &amp; $A5, US_national_yearly!$D:$AM, MATCH(Keys!$C$7, US_national_yearly!$D$1:$AM$1, 0), FALSE), 1)</f>
        <v>0</v>
      </c>
      <c r="M5" s="12">
        <f>$B5 * IFERROR(VLOOKUP(Substitution!$M$5 &amp; $A5, US_national_yearly!$D:$AM, MATCH(M$1, US_national_yearly!$D$1:$AM$1, 0), FALSE) / VLOOKUP(Substitution!$M$5 &amp; $A5, US_national_yearly!$D:$AM, MATCH(Keys!$C$7, US_national_yearly!$D$1:$AM$1, 0), FALSE), 1)</f>
        <v>0</v>
      </c>
      <c r="N5" s="12">
        <f>$B5 * IFERROR(VLOOKUP(Substitution!$M$5 &amp; $A5, US_national_yearly!$D:$AM, MATCH(N$1, US_national_yearly!$D$1:$AM$1, 0), FALSE) / VLOOKUP(Substitution!$M$5 &amp; $A5, US_national_yearly!$D:$AM, MATCH(Keys!$C$7, US_national_yearly!$D$1:$AM$1, 0), FALSE), 1)</f>
        <v>0</v>
      </c>
      <c r="O5" s="12">
        <f>$B5 * IFERROR(VLOOKUP(Substitution!$M$5 &amp; $A5, US_national_yearly!$D:$AM, MATCH(O$1, US_national_yearly!$D$1:$AM$1, 0), FALSE) / VLOOKUP(Substitution!$M$5 &amp; $A5, US_national_yearly!$D:$AM, MATCH(Keys!$C$7, US_national_yearly!$D$1:$AM$1, 0), FALSE), 1)</f>
        <v>0</v>
      </c>
      <c r="P5" s="12">
        <f>$B5 * IFERROR(VLOOKUP(Substitution!$M$5 &amp; $A5, US_national_yearly!$D:$AM, MATCH(P$1, US_national_yearly!$D$1:$AM$1, 0), FALSE) / VLOOKUP(Substitution!$M$5 &amp; $A5, US_national_yearly!$D:$AM, MATCH(Keys!$C$7, US_national_yearly!$D$1:$AM$1, 0), FALSE), 1)</f>
        <v>0</v>
      </c>
      <c r="Q5" s="12">
        <f>$B5 * IFERROR(VLOOKUP(Substitution!$M$5 &amp; $A5, US_national_yearly!$D:$AM, MATCH(Q$1, US_national_yearly!$D$1:$AM$1, 0), FALSE) / VLOOKUP(Substitution!$M$5 &amp; $A5, US_national_yearly!$D:$AM, MATCH(Keys!$C$7, US_national_yearly!$D$1:$AM$1, 0), FALSE), 1)</f>
        <v>0</v>
      </c>
      <c r="R5" s="12">
        <f>$B5 * IFERROR(VLOOKUP(Substitution!$M$5 &amp; $A5, US_national_yearly!$D:$AM, MATCH(R$1, US_national_yearly!$D$1:$AM$1, 0), FALSE) / VLOOKUP(Substitution!$M$5 &amp; $A5, US_national_yearly!$D:$AM, MATCH(Keys!$C$7, US_national_yearly!$D$1:$AM$1, 0), FALSE), 1)</f>
        <v>0</v>
      </c>
      <c r="S5" s="12">
        <f>$B5 * IFERROR(VLOOKUP(Substitution!$M$5 &amp; $A5, US_national_yearly!$D:$AM, MATCH(S$1, US_national_yearly!$D$1:$AM$1, 0), FALSE) / VLOOKUP(Substitution!$M$5 &amp; $A5, US_national_yearly!$D:$AM, MATCH(Keys!$C$7, US_national_yearly!$D$1:$AM$1, 0), FALSE), 1)</f>
        <v>0</v>
      </c>
      <c r="T5" s="12">
        <f>$B5 * IFERROR(VLOOKUP(Substitution!$M$5 &amp; $A5, US_national_yearly!$D:$AM, MATCH(T$1, US_national_yearly!$D$1:$AM$1, 0), FALSE) / VLOOKUP(Substitution!$M$5 &amp; $A5, US_national_yearly!$D:$AM, MATCH(Keys!$C$7, US_national_yearly!$D$1:$AM$1, 0), FALSE), 1)</f>
        <v>0</v>
      </c>
      <c r="U5" s="12">
        <f>$B5 * IFERROR(VLOOKUP(Substitution!$M$5 &amp; $A5, US_national_yearly!$D:$AM, MATCH(U$1, US_national_yearly!$D$1:$AM$1, 0), FALSE) / VLOOKUP(Substitution!$M$5 &amp; $A5, US_national_yearly!$D:$AM, MATCH(Keys!$C$7, US_national_yearly!$D$1:$AM$1, 0), FALSE), 1)</f>
        <v>0</v>
      </c>
      <c r="V5" s="12">
        <f>$B5 * IFERROR(VLOOKUP(Substitution!$M$5 &amp; $A5, US_national_yearly!$D:$AM, MATCH(V$1, US_national_yearly!$D$1:$AM$1, 0), FALSE) / VLOOKUP(Substitution!$M$5 &amp; $A5, US_national_yearly!$D:$AM, MATCH(Keys!$C$7, US_national_yearly!$D$1:$AM$1, 0), FALSE), 1)</f>
        <v>0</v>
      </c>
      <c r="W5" s="12">
        <f>$B5 * IFERROR(VLOOKUP(Substitution!$M$5 &amp; $A5, US_national_yearly!$D:$AM, MATCH(W$1, US_national_yearly!$D$1:$AM$1, 0), FALSE) / VLOOKUP(Substitution!$M$5 &amp; $A5, US_national_yearly!$D:$AM, MATCH(Keys!$C$7, US_national_yearly!$D$1:$AM$1, 0), FALSE), 1)</f>
        <v>0</v>
      </c>
      <c r="X5" s="12">
        <f>$B5 * IFERROR(VLOOKUP(Substitution!$M$5 &amp; $A5, US_national_yearly!$D:$AM, MATCH(X$1, US_national_yearly!$D$1:$AM$1, 0), FALSE) / VLOOKUP(Substitution!$M$5 &amp; $A5, US_national_yearly!$D:$AM, MATCH(Keys!$C$7, US_national_yearly!$D$1:$AM$1, 0), FALSE), 1)</f>
        <v>0</v>
      </c>
      <c r="Y5" s="12">
        <f>$B5 * IFERROR(VLOOKUP(Substitution!$M$5 &amp; $A5, US_national_yearly!$D:$AM, MATCH(Y$1, US_national_yearly!$D$1:$AM$1, 0), FALSE) / VLOOKUP(Substitution!$M$5 &amp; $A5, US_national_yearly!$D:$AM, MATCH(Keys!$C$7, US_national_yearly!$D$1:$AM$1, 0), FALSE), 1)</f>
        <v>0</v>
      </c>
      <c r="Z5" s="12">
        <f>$B5 * IFERROR(VLOOKUP(Substitution!$M$5 &amp; $A5, US_national_yearly!$D:$AM, MATCH(Z$1, US_national_yearly!$D$1:$AM$1, 0), FALSE) / VLOOKUP(Substitution!$M$5 &amp; $A5, US_national_yearly!$D:$AM, MATCH(Keys!$C$7, US_national_yearly!$D$1:$AM$1, 0), FALSE), 1)</f>
        <v>0</v>
      </c>
      <c r="AA5" s="12">
        <f>$B5 * IFERROR(VLOOKUP(Substitution!$M$5 &amp; $A5, US_national_yearly!$D:$AM, MATCH(AA$1, US_national_yearly!$D$1:$AM$1, 0), FALSE) / VLOOKUP(Substitution!$M$5 &amp; $A5, US_national_yearly!$D:$AM, MATCH(Keys!$C$7, US_national_yearly!$D$1:$AM$1, 0), FALSE), 1)</f>
        <v>0</v>
      </c>
      <c r="AB5" s="12">
        <f>$B5 * IFERROR(VLOOKUP(Substitution!$M$5 &amp; $A5, US_national_yearly!$D:$AM, MATCH(AB$1, US_national_yearly!$D$1:$AM$1, 0), FALSE) / VLOOKUP(Substitution!$M$5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Substitution!$G$5)/IFERROR(SUMIFS(COBRA_aggregated!$U:$U, COBRA_aggregated!$A:$A, About!$B$1, COBRA_aggregated!$B:$B, Substitution!$G$5), 1)</f>
        <v>0.11818640977295089</v>
      </c>
      <c r="C6" s="12">
        <f>$B6 * IFERROR(VLOOKUP(Substitution!$M$5 &amp; $A6, US_national_yearly!$D:$AM, MATCH(C$1, US_national_yearly!$D$1:$AM$1, 0), FALSE) / VLOOKUP(Substitution!$M$5 &amp; $A6, US_national_yearly!$D:$AM, MATCH(Keys!$C$7, US_national_yearly!$D$1:$AM$1, 0), FALSE), 1)</f>
        <v>0.11818640977295089</v>
      </c>
      <c r="D6" s="12">
        <f>$B6 * IFERROR(VLOOKUP(Substitution!$M$5 &amp; $A6, US_national_yearly!$D:$AM, MATCH(D$1, US_national_yearly!$D$1:$AM$1, 0), FALSE) / VLOOKUP(Substitution!$M$5 &amp; $A6, US_national_yearly!$D:$AM, MATCH(Keys!$C$7, US_national_yearly!$D$1:$AM$1, 0), FALSE), 1)</f>
        <v>0.11818640977295089</v>
      </c>
      <c r="E6" s="12">
        <f>$B6 * IFERROR(VLOOKUP(Substitution!$M$5 &amp; $A6, US_national_yearly!$D:$AM, MATCH(E$1, US_national_yearly!$D$1:$AM$1, 0), FALSE) / VLOOKUP(Substitution!$M$5 &amp; $A6, US_national_yearly!$D:$AM, MATCH(Keys!$C$7, US_national_yearly!$D$1:$AM$1, 0), FALSE), 1)</f>
        <v>0.11818640977295089</v>
      </c>
      <c r="F6" s="12">
        <f>$B6 * IFERROR(VLOOKUP(Substitution!$M$5 &amp; $A6, US_national_yearly!$D:$AM, MATCH(F$1, US_national_yearly!$D$1:$AM$1, 0), FALSE) / VLOOKUP(Substitution!$M$5 &amp; $A6, US_national_yearly!$D:$AM, MATCH(Keys!$C$7, US_national_yearly!$D$1:$AM$1, 0), FALSE), 1)</f>
        <v>0.11818640977295089</v>
      </c>
      <c r="G6" s="12">
        <f>$B6 * IFERROR(VLOOKUP(Substitution!$M$5 &amp; $A6, US_national_yearly!$D:$AM, MATCH(G$1, US_national_yearly!$D$1:$AM$1, 0), FALSE) / VLOOKUP(Substitution!$M$5 &amp; $A6, US_national_yearly!$D:$AM, MATCH(Keys!$C$7, US_national_yearly!$D$1:$AM$1, 0), FALSE), 1)</f>
        <v>0.11818640977295089</v>
      </c>
      <c r="H6" s="12">
        <f>$B6 * IFERROR(VLOOKUP(Substitution!$M$5 &amp; $A6, US_national_yearly!$D:$AM, MATCH(H$1, US_national_yearly!$D$1:$AM$1, 0), FALSE) / VLOOKUP(Substitution!$M$5 &amp; $A6, US_national_yearly!$D:$AM, MATCH(Keys!$C$7, US_national_yearly!$D$1:$AM$1, 0), FALSE), 1)</f>
        <v>0.11818640977295089</v>
      </c>
      <c r="I6" s="12">
        <f>$B6 * IFERROR(VLOOKUP(Substitution!$M$5 &amp; $A6, US_national_yearly!$D:$AM, MATCH(I$1, US_national_yearly!$D$1:$AM$1, 0), FALSE) / VLOOKUP(Substitution!$M$5 &amp; $A6, US_national_yearly!$D:$AM, MATCH(Keys!$C$7, US_national_yearly!$D$1:$AM$1, 0), FALSE), 1)</f>
        <v>0.11818640977295089</v>
      </c>
      <c r="J6" s="12">
        <f>$B6 * IFERROR(VLOOKUP(Substitution!$M$5 &amp; $A6, US_national_yearly!$D:$AM, MATCH(J$1, US_national_yearly!$D$1:$AM$1, 0), FALSE) / VLOOKUP(Substitution!$M$5 &amp; $A6, US_national_yearly!$D:$AM, MATCH(Keys!$C$7, US_national_yearly!$D$1:$AM$1, 0), FALSE), 1)</f>
        <v>0.11818640977295089</v>
      </c>
      <c r="K6" s="12">
        <f>$B6 * IFERROR(VLOOKUP(Substitution!$M$5 &amp; $A6, US_national_yearly!$D:$AM, MATCH(K$1, US_national_yearly!$D$1:$AM$1, 0), FALSE) / VLOOKUP(Substitution!$M$5 &amp; $A6, US_national_yearly!$D:$AM, MATCH(Keys!$C$7, US_national_yearly!$D$1:$AM$1, 0), FALSE), 1)</f>
        <v>0.11818640977295089</v>
      </c>
      <c r="L6" s="12">
        <f>$B6 * IFERROR(VLOOKUP(Substitution!$M$5 &amp; $A6, US_national_yearly!$D:$AM, MATCH(L$1, US_national_yearly!$D$1:$AM$1, 0), FALSE) / VLOOKUP(Substitution!$M$5 &amp; $A6, US_national_yearly!$D:$AM, MATCH(Keys!$C$7, US_national_yearly!$D$1:$AM$1, 0), FALSE), 1)</f>
        <v>0.11818640977295089</v>
      </c>
      <c r="M6" s="12">
        <f>$B6 * IFERROR(VLOOKUP(Substitution!$M$5 &amp; $A6, US_national_yearly!$D:$AM, MATCH(M$1, US_national_yearly!$D$1:$AM$1, 0), FALSE) / VLOOKUP(Substitution!$M$5 &amp; $A6, US_national_yearly!$D:$AM, MATCH(Keys!$C$7, US_national_yearly!$D$1:$AM$1, 0), FALSE), 1)</f>
        <v>0.11818640977295089</v>
      </c>
      <c r="N6" s="12">
        <f>$B6 * IFERROR(VLOOKUP(Substitution!$M$5 &amp; $A6, US_national_yearly!$D:$AM, MATCH(N$1, US_national_yearly!$D$1:$AM$1, 0), FALSE) / VLOOKUP(Substitution!$M$5 &amp; $A6, US_national_yearly!$D:$AM, MATCH(Keys!$C$7, US_national_yearly!$D$1:$AM$1, 0), FALSE), 1)</f>
        <v>0.11818640977295089</v>
      </c>
      <c r="O6" s="12">
        <f>$B6 * IFERROR(VLOOKUP(Substitution!$M$5 &amp; $A6, US_national_yearly!$D:$AM, MATCH(O$1, US_national_yearly!$D$1:$AM$1, 0), FALSE) / VLOOKUP(Substitution!$M$5 &amp; $A6, US_national_yearly!$D:$AM, MATCH(Keys!$C$7, US_national_yearly!$D$1:$AM$1, 0), FALSE), 1)</f>
        <v>0.11818640977295089</v>
      </c>
      <c r="P6" s="12">
        <f>$B6 * IFERROR(VLOOKUP(Substitution!$M$5 &amp; $A6, US_national_yearly!$D:$AM, MATCH(P$1, US_national_yearly!$D$1:$AM$1, 0), FALSE) / VLOOKUP(Substitution!$M$5 &amp; $A6, US_national_yearly!$D:$AM, MATCH(Keys!$C$7, US_national_yearly!$D$1:$AM$1, 0), FALSE), 1)</f>
        <v>0.11818640977295089</v>
      </c>
      <c r="Q6" s="12">
        <f>$B6 * IFERROR(VLOOKUP(Substitution!$M$5 &amp; $A6, US_national_yearly!$D:$AM, MATCH(Q$1, US_national_yearly!$D$1:$AM$1, 0), FALSE) / VLOOKUP(Substitution!$M$5 &amp; $A6, US_national_yearly!$D:$AM, MATCH(Keys!$C$7, US_national_yearly!$D$1:$AM$1, 0), FALSE), 1)</f>
        <v>0.11818640977295089</v>
      </c>
      <c r="R6" s="12">
        <f>$B6 * IFERROR(VLOOKUP(Substitution!$M$5 &amp; $A6, US_national_yearly!$D:$AM, MATCH(R$1, US_national_yearly!$D$1:$AM$1, 0), FALSE) / VLOOKUP(Substitution!$M$5 &amp; $A6, US_national_yearly!$D:$AM, MATCH(Keys!$C$7, US_national_yearly!$D$1:$AM$1, 0), FALSE), 1)</f>
        <v>0.11818640977295089</v>
      </c>
      <c r="S6" s="12">
        <f>$B6 * IFERROR(VLOOKUP(Substitution!$M$5 &amp; $A6, US_national_yearly!$D:$AM, MATCH(S$1, US_national_yearly!$D$1:$AM$1, 0), FALSE) / VLOOKUP(Substitution!$M$5 &amp; $A6, US_national_yearly!$D:$AM, MATCH(Keys!$C$7, US_national_yearly!$D$1:$AM$1, 0), FALSE), 1)</f>
        <v>0.11818640977295089</v>
      </c>
      <c r="T6" s="12">
        <f>$B6 * IFERROR(VLOOKUP(Substitution!$M$5 &amp; $A6, US_national_yearly!$D:$AM, MATCH(T$1, US_national_yearly!$D$1:$AM$1, 0), FALSE) / VLOOKUP(Substitution!$M$5 &amp; $A6, US_national_yearly!$D:$AM, MATCH(Keys!$C$7, US_national_yearly!$D$1:$AM$1, 0), FALSE), 1)</f>
        <v>0.11818640977295089</v>
      </c>
      <c r="U6" s="12">
        <f>$B6 * IFERROR(VLOOKUP(Substitution!$M$5 &amp; $A6, US_national_yearly!$D:$AM, MATCH(U$1, US_national_yearly!$D$1:$AM$1, 0), FALSE) / VLOOKUP(Substitution!$M$5 &amp; $A6, US_national_yearly!$D:$AM, MATCH(Keys!$C$7, US_national_yearly!$D$1:$AM$1, 0), FALSE), 1)</f>
        <v>0.11818640977295089</v>
      </c>
      <c r="V6" s="12">
        <f>$B6 * IFERROR(VLOOKUP(Substitution!$M$5 &amp; $A6, US_national_yearly!$D:$AM, MATCH(V$1, US_national_yearly!$D$1:$AM$1, 0), FALSE) / VLOOKUP(Substitution!$M$5 &amp; $A6, US_national_yearly!$D:$AM, MATCH(Keys!$C$7, US_national_yearly!$D$1:$AM$1, 0), FALSE), 1)</f>
        <v>0.11818640977295089</v>
      </c>
      <c r="W6" s="12">
        <f>$B6 * IFERROR(VLOOKUP(Substitution!$M$5 &amp; $A6, US_national_yearly!$D:$AM, MATCH(W$1, US_national_yearly!$D$1:$AM$1, 0), FALSE) / VLOOKUP(Substitution!$M$5 &amp; $A6, US_national_yearly!$D:$AM, MATCH(Keys!$C$7, US_national_yearly!$D$1:$AM$1, 0), FALSE), 1)</f>
        <v>0.11818640977295089</v>
      </c>
      <c r="X6" s="12">
        <f>$B6 * IFERROR(VLOOKUP(Substitution!$M$5 &amp; $A6, US_national_yearly!$D:$AM, MATCH(X$1, US_national_yearly!$D$1:$AM$1, 0), FALSE) / VLOOKUP(Substitution!$M$5 &amp; $A6, US_national_yearly!$D:$AM, MATCH(Keys!$C$7, US_national_yearly!$D$1:$AM$1, 0), FALSE), 1)</f>
        <v>0.11818640977295089</v>
      </c>
      <c r="Y6" s="12">
        <f>$B6 * IFERROR(VLOOKUP(Substitution!$M$5 &amp; $A6, US_national_yearly!$D:$AM, MATCH(Y$1, US_national_yearly!$D$1:$AM$1, 0), FALSE) / VLOOKUP(Substitution!$M$5 &amp; $A6, US_national_yearly!$D:$AM, MATCH(Keys!$C$7, US_national_yearly!$D$1:$AM$1, 0), FALSE), 1)</f>
        <v>0.11818640977295089</v>
      </c>
      <c r="Z6" s="12">
        <f>$B6 * IFERROR(VLOOKUP(Substitution!$M$5 &amp; $A6, US_national_yearly!$D:$AM, MATCH(Z$1, US_national_yearly!$D$1:$AM$1, 0), FALSE) / VLOOKUP(Substitution!$M$5 &amp; $A6, US_national_yearly!$D:$AM, MATCH(Keys!$C$7, US_national_yearly!$D$1:$AM$1, 0), FALSE), 1)</f>
        <v>0.11818640977295089</v>
      </c>
      <c r="AA6" s="12">
        <f>$B6 * IFERROR(VLOOKUP(Substitution!$M$5 &amp; $A6, US_national_yearly!$D:$AM, MATCH(AA$1, US_national_yearly!$D$1:$AM$1, 0), FALSE) / VLOOKUP(Substitution!$M$5 &amp; $A6, US_national_yearly!$D:$AM, MATCH(Keys!$C$7, US_national_yearly!$D$1:$AM$1, 0), FALSE), 1)</f>
        <v>0.11818640977295089</v>
      </c>
      <c r="AB6" s="12">
        <f>$B6 * IFERROR(VLOOKUP(Substitution!$M$5 &amp; $A6, US_national_yearly!$D:$AM, MATCH(AB$1, US_national_yearly!$D$1:$AM$1, 0), FALSE) / VLOOKUP(Substitution!$M$5 &amp; $A6, US_national_yearly!$D:$AM, MATCH(Keys!$C$7, US_national_yearly!$D$1:$AM$1, 0), FALSE), 1)</f>
        <v>0.11818640977295089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Substitution!$G$5)/IFERROR(SUMIFS(COBRA_aggregated!$U:$U, COBRA_aggregated!$A:$A, About!$B$1, COBRA_aggregated!$B:$B, Substitution!$G$5), 1)</f>
        <v>0.15914993163101432</v>
      </c>
      <c r="C7" s="12">
        <f>$B7 * IFERROR(VLOOKUP(Substitution!$M$5 &amp; $A7, US_national_yearly!$D:$AM, MATCH(C$1, US_national_yearly!$D$1:$AM$1, 0), FALSE) / VLOOKUP(Substitution!$M$5 &amp; $A7, US_national_yearly!$D:$AM, MATCH(Keys!$C$7, US_national_yearly!$D$1:$AM$1, 0), FALSE), 1)</f>
        <v>0.15914993163101432</v>
      </c>
      <c r="D7" s="12">
        <f>$B7 * IFERROR(VLOOKUP(Substitution!$M$5 &amp; $A7, US_national_yearly!$D:$AM, MATCH(D$1, US_national_yearly!$D$1:$AM$1, 0), FALSE) / VLOOKUP(Substitution!$M$5 &amp; $A7, US_national_yearly!$D:$AM, MATCH(Keys!$C$7, US_national_yearly!$D$1:$AM$1, 0), FALSE), 1)</f>
        <v>0.15914993163101432</v>
      </c>
      <c r="E7" s="12">
        <f>$B7 * IFERROR(VLOOKUP(Substitution!$M$5 &amp; $A7, US_national_yearly!$D:$AM, MATCH(E$1, US_national_yearly!$D$1:$AM$1, 0), FALSE) / VLOOKUP(Substitution!$M$5 &amp; $A7, US_national_yearly!$D:$AM, MATCH(Keys!$C$7, US_national_yearly!$D$1:$AM$1, 0), FALSE), 1)</f>
        <v>0.15914993163101432</v>
      </c>
      <c r="F7" s="12">
        <f>$B7 * IFERROR(VLOOKUP(Substitution!$M$5 &amp; $A7, US_national_yearly!$D:$AM, MATCH(F$1, US_national_yearly!$D$1:$AM$1, 0), FALSE) / VLOOKUP(Substitution!$M$5 &amp; $A7, US_national_yearly!$D:$AM, MATCH(Keys!$C$7, US_national_yearly!$D$1:$AM$1, 0), FALSE), 1)</f>
        <v>0.15914993163101432</v>
      </c>
      <c r="G7" s="12">
        <f>$B7 * IFERROR(VLOOKUP(Substitution!$M$5 &amp; $A7, US_national_yearly!$D:$AM, MATCH(G$1, US_national_yearly!$D$1:$AM$1, 0), FALSE) / VLOOKUP(Substitution!$M$5 &amp; $A7, US_national_yearly!$D:$AM, MATCH(Keys!$C$7, US_national_yearly!$D$1:$AM$1, 0), FALSE), 1)</f>
        <v>0.15914993163101432</v>
      </c>
      <c r="H7" s="12">
        <f>$B7 * IFERROR(VLOOKUP(Substitution!$M$5 &amp; $A7, US_national_yearly!$D:$AM, MATCH(H$1, US_national_yearly!$D$1:$AM$1, 0), FALSE) / VLOOKUP(Substitution!$M$5 &amp; $A7, US_national_yearly!$D:$AM, MATCH(Keys!$C$7, US_national_yearly!$D$1:$AM$1, 0), FALSE), 1)</f>
        <v>0.15914993163101432</v>
      </c>
      <c r="I7" s="12">
        <f>$B7 * IFERROR(VLOOKUP(Substitution!$M$5 &amp; $A7, US_national_yearly!$D:$AM, MATCH(I$1, US_national_yearly!$D$1:$AM$1, 0), FALSE) / VLOOKUP(Substitution!$M$5 &amp; $A7, US_national_yearly!$D:$AM, MATCH(Keys!$C$7, US_national_yearly!$D$1:$AM$1, 0), FALSE), 1)</f>
        <v>0.15914993163101432</v>
      </c>
      <c r="J7" s="12">
        <f>$B7 * IFERROR(VLOOKUP(Substitution!$M$5 &amp; $A7, US_national_yearly!$D:$AM, MATCH(J$1, US_national_yearly!$D$1:$AM$1, 0), FALSE) / VLOOKUP(Substitution!$M$5 &amp; $A7, US_national_yearly!$D:$AM, MATCH(Keys!$C$7, US_national_yearly!$D$1:$AM$1, 0), FALSE), 1)</f>
        <v>0.15914993163101432</v>
      </c>
      <c r="K7" s="12">
        <f>$B7 * IFERROR(VLOOKUP(Substitution!$M$5 &amp; $A7, US_national_yearly!$D:$AM, MATCH(K$1, US_national_yearly!$D$1:$AM$1, 0), FALSE) / VLOOKUP(Substitution!$M$5 &amp; $A7, US_national_yearly!$D:$AM, MATCH(Keys!$C$7, US_national_yearly!$D$1:$AM$1, 0), FALSE), 1)</f>
        <v>0.15914993163101432</v>
      </c>
      <c r="L7" s="12">
        <f>$B7 * IFERROR(VLOOKUP(Substitution!$M$5 &amp; $A7, US_national_yearly!$D:$AM, MATCH(L$1, US_national_yearly!$D$1:$AM$1, 0), FALSE) / VLOOKUP(Substitution!$M$5 &amp; $A7, US_national_yearly!$D:$AM, MATCH(Keys!$C$7, US_national_yearly!$D$1:$AM$1, 0), FALSE), 1)</f>
        <v>0.15914993163101432</v>
      </c>
      <c r="M7" s="12">
        <f>$B7 * IFERROR(VLOOKUP(Substitution!$M$5 &amp; $A7, US_national_yearly!$D:$AM, MATCH(M$1, US_national_yearly!$D$1:$AM$1, 0), FALSE) / VLOOKUP(Substitution!$M$5 &amp; $A7, US_national_yearly!$D:$AM, MATCH(Keys!$C$7, US_national_yearly!$D$1:$AM$1, 0), FALSE), 1)</f>
        <v>0.15914993163101432</v>
      </c>
      <c r="N7" s="12">
        <f>$B7 * IFERROR(VLOOKUP(Substitution!$M$5 &amp; $A7, US_national_yearly!$D:$AM, MATCH(N$1, US_national_yearly!$D$1:$AM$1, 0), FALSE) / VLOOKUP(Substitution!$M$5 &amp; $A7, US_national_yearly!$D:$AM, MATCH(Keys!$C$7, US_national_yearly!$D$1:$AM$1, 0), FALSE), 1)</f>
        <v>0.15914993163101432</v>
      </c>
      <c r="O7" s="12">
        <f>$B7 * IFERROR(VLOOKUP(Substitution!$M$5 &amp; $A7, US_national_yearly!$D:$AM, MATCH(O$1, US_national_yearly!$D$1:$AM$1, 0), FALSE) / VLOOKUP(Substitution!$M$5 &amp; $A7, US_national_yearly!$D:$AM, MATCH(Keys!$C$7, US_national_yearly!$D$1:$AM$1, 0), FALSE), 1)</f>
        <v>0.15914993163101432</v>
      </c>
      <c r="P7" s="12">
        <f>$B7 * IFERROR(VLOOKUP(Substitution!$M$5 &amp; $A7, US_national_yearly!$D:$AM, MATCH(P$1, US_national_yearly!$D$1:$AM$1, 0), FALSE) / VLOOKUP(Substitution!$M$5 &amp; $A7, US_national_yearly!$D:$AM, MATCH(Keys!$C$7, US_national_yearly!$D$1:$AM$1, 0), FALSE), 1)</f>
        <v>0.15914993163101432</v>
      </c>
      <c r="Q7" s="12">
        <f>$B7 * IFERROR(VLOOKUP(Substitution!$M$5 &amp; $A7, US_national_yearly!$D:$AM, MATCH(Q$1, US_national_yearly!$D$1:$AM$1, 0), FALSE) / VLOOKUP(Substitution!$M$5 &amp; $A7, US_national_yearly!$D:$AM, MATCH(Keys!$C$7, US_national_yearly!$D$1:$AM$1, 0), FALSE), 1)</f>
        <v>0.15914993163101432</v>
      </c>
      <c r="R7" s="12">
        <f>$B7 * IFERROR(VLOOKUP(Substitution!$M$5 &amp; $A7, US_national_yearly!$D:$AM, MATCH(R$1, US_national_yearly!$D$1:$AM$1, 0), FALSE) / VLOOKUP(Substitution!$M$5 &amp; $A7, US_national_yearly!$D:$AM, MATCH(Keys!$C$7, US_national_yearly!$D$1:$AM$1, 0), FALSE), 1)</f>
        <v>0.15914993163101432</v>
      </c>
      <c r="S7" s="12">
        <f>$B7 * IFERROR(VLOOKUP(Substitution!$M$5 &amp; $A7, US_national_yearly!$D:$AM, MATCH(S$1, US_national_yearly!$D$1:$AM$1, 0), FALSE) / VLOOKUP(Substitution!$M$5 &amp; $A7, US_national_yearly!$D:$AM, MATCH(Keys!$C$7, US_national_yearly!$D$1:$AM$1, 0), FALSE), 1)</f>
        <v>0.15914993163101432</v>
      </c>
      <c r="T7" s="12">
        <f>$B7 * IFERROR(VLOOKUP(Substitution!$M$5 &amp; $A7, US_national_yearly!$D:$AM, MATCH(T$1, US_national_yearly!$D$1:$AM$1, 0), FALSE) / VLOOKUP(Substitution!$M$5 &amp; $A7, US_national_yearly!$D:$AM, MATCH(Keys!$C$7, US_national_yearly!$D$1:$AM$1, 0), FALSE), 1)</f>
        <v>0.15914993163101432</v>
      </c>
      <c r="U7" s="12">
        <f>$B7 * IFERROR(VLOOKUP(Substitution!$M$5 &amp; $A7, US_national_yearly!$D:$AM, MATCH(U$1, US_national_yearly!$D$1:$AM$1, 0), FALSE) / VLOOKUP(Substitution!$M$5 &amp; $A7, US_national_yearly!$D:$AM, MATCH(Keys!$C$7, US_national_yearly!$D$1:$AM$1, 0), FALSE), 1)</f>
        <v>0.15914993163101432</v>
      </c>
      <c r="V7" s="12">
        <f>$B7 * IFERROR(VLOOKUP(Substitution!$M$5 &amp; $A7, US_national_yearly!$D:$AM, MATCH(V$1, US_national_yearly!$D$1:$AM$1, 0), FALSE) / VLOOKUP(Substitution!$M$5 &amp; $A7, US_national_yearly!$D:$AM, MATCH(Keys!$C$7, US_national_yearly!$D$1:$AM$1, 0), FALSE), 1)</f>
        <v>0.15914993163101432</v>
      </c>
      <c r="W7" s="12">
        <f>$B7 * IFERROR(VLOOKUP(Substitution!$M$5 &amp; $A7, US_national_yearly!$D:$AM, MATCH(W$1, US_national_yearly!$D$1:$AM$1, 0), FALSE) / VLOOKUP(Substitution!$M$5 &amp; $A7, US_national_yearly!$D:$AM, MATCH(Keys!$C$7, US_national_yearly!$D$1:$AM$1, 0), FALSE), 1)</f>
        <v>0.15914993163101432</v>
      </c>
      <c r="X7" s="12">
        <f>$B7 * IFERROR(VLOOKUP(Substitution!$M$5 &amp; $A7, US_national_yearly!$D:$AM, MATCH(X$1, US_national_yearly!$D$1:$AM$1, 0), FALSE) / VLOOKUP(Substitution!$M$5 &amp; $A7, US_national_yearly!$D:$AM, MATCH(Keys!$C$7, US_national_yearly!$D$1:$AM$1, 0), FALSE), 1)</f>
        <v>0.15914993163101432</v>
      </c>
      <c r="Y7" s="12">
        <f>$B7 * IFERROR(VLOOKUP(Substitution!$M$5 &amp; $A7, US_national_yearly!$D:$AM, MATCH(Y$1, US_national_yearly!$D$1:$AM$1, 0), FALSE) / VLOOKUP(Substitution!$M$5 &amp; $A7, US_national_yearly!$D:$AM, MATCH(Keys!$C$7, US_national_yearly!$D$1:$AM$1, 0), FALSE), 1)</f>
        <v>0.15914993163101432</v>
      </c>
      <c r="Z7" s="12">
        <f>$B7 * IFERROR(VLOOKUP(Substitution!$M$5 &amp; $A7, US_national_yearly!$D:$AM, MATCH(Z$1, US_national_yearly!$D$1:$AM$1, 0), FALSE) / VLOOKUP(Substitution!$M$5 &amp; $A7, US_national_yearly!$D:$AM, MATCH(Keys!$C$7, US_national_yearly!$D$1:$AM$1, 0), FALSE), 1)</f>
        <v>0.15914993163101432</v>
      </c>
      <c r="AA7" s="12">
        <f>$B7 * IFERROR(VLOOKUP(Substitution!$M$5 &amp; $A7, US_national_yearly!$D:$AM, MATCH(AA$1, US_national_yearly!$D$1:$AM$1, 0), FALSE) / VLOOKUP(Substitution!$M$5 &amp; $A7, US_national_yearly!$D:$AM, MATCH(Keys!$C$7, US_national_yearly!$D$1:$AM$1, 0), FALSE), 1)</f>
        <v>0.15914993163101432</v>
      </c>
      <c r="AB7" s="12">
        <f>$B7 * IFERROR(VLOOKUP(Substitution!$M$5 &amp; $A7, US_national_yearly!$D:$AM, MATCH(AB$1, US_national_yearly!$D$1:$AM$1, 0), FALSE) / VLOOKUP(Substitution!$M$5 &amp; $A7, US_national_yearly!$D:$AM, MATCH(Keys!$C$7, US_national_yearly!$D$1:$AM$1, 0), FALSE), 1)</f>
        <v>0.15914993163101432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Substitution!$G$5)/IFERROR(SUMIFS(COBRA_aggregated!$U:$U, COBRA_aggregated!$A:$A, About!$B$1, COBRA_aggregated!$B:$B, Substitution!$G$5), 1)</f>
        <v>0.24317272921054375</v>
      </c>
      <c r="C8" s="12">
        <f>$B8 * IFERROR(VLOOKUP(Substitution!$M$5 &amp; $A8, US_national_yearly!$D:$AM, MATCH(C$1, US_national_yearly!$D$1:$AM$1, 0), FALSE) / VLOOKUP(Substitution!$M$5 &amp; $A8, US_national_yearly!$D:$AM, MATCH(Keys!$C$7, US_national_yearly!$D$1:$AM$1, 0), FALSE), 1)</f>
        <v>0.24317272921054375</v>
      </c>
      <c r="D8" s="12">
        <f>$B8 * IFERROR(VLOOKUP(Substitution!$M$5 &amp; $A8, US_national_yearly!$D:$AM, MATCH(D$1, US_national_yearly!$D$1:$AM$1, 0), FALSE) / VLOOKUP(Substitution!$M$5 &amp; $A8, US_national_yearly!$D:$AM, MATCH(Keys!$C$7, US_national_yearly!$D$1:$AM$1, 0), FALSE), 1)</f>
        <v>0.24317272921054375</v>
      </c>
      <c r="E8" s="12">
        <f>$B8 * IFERROR(VLOOKUP(Substitution!$M$5 &amp; $A8, US_national_yearly!$D:$AM, MATCH(E$1, US_national_yearly!$D$1:$AM$1, 0), FALSE) / VLOOKUP(Substitution!$M$5 &amp; $A8, US_national_yearly!$D:$AM, MATCH(Keys!$C$7, US_national_yearly!$D$1:$AM$1, 0), FALSE), 1)</f>
        <v>0.24317272921054375</v>
      </c>
      <c r="F8" s="12">
        <f>$B8 * IFERROR(VLOOKUP(Substitution!$M$5 &amp; $A8, US_national_yearly!$D:$AM, MATCH(F$1, US_national_yearly!$D$1:$AM$1, 0), FALSE) / VLOOKUP(Substitution!$M$5 &amp; $A8, US_national_yearly!$D:$AM, MATCH(Keys!$C$7, US_national_yearly!$D$1:$AM$1, 0), FALSE), 1)</f>
        <v>0.24317272921054375</v>
      </c>
      <c r="G8" s="12">
        <f>$B8 * IFERROR(VLOOKUP(Substitution!$M$5 &amp; $A8, US_national_yearly!$D:$AM, MATCH(G$1, US_national_yearly!$D$1:$AM$1, 0), FALSE) / VLOOKUP(Substitution!$M$5 &amp; $A8, US_national_yearly!$D:$AM, MATCH(Keys!$C$7, US_national_yearly!$D$1:$AM$1, 0), FALSE), 1)</f>
        <v>0.24317272921054375</v>
      </c>
      <c r="H8" s="12">
        <f>$B8 * IFERROR(VLOOKUP(Substitution!$M$5 &amp; $A8, US_national_yearly!$D:$AM, MATCH(H$1, US_national_yearly!$D$1:$AM$1, 0), FALSE) / VLOOKUP(Substitution!$M$5 &amp; $A8, US_national_yearly!$D:$AM, MATCH(Keys!$C$7, US_national_yearly!$D$1:$AM$1, 0), FALSE), 1)</f>
        <v>0.24317272921054375</v>
      </c>
      <c r="I8" s="12">
        <f>$B8 * IFERROR(VLOOKUP(Substitution!$M$5 &amp; $A8, US_national_yearly!$D:$AM, MATCH(I$1, US_national_yearly!$D$1:$AM$1, 0), FALSE) / VLOOKUP(Substitution!$M$5 &amp; $A8, US_national_yearly!$D:$AM, MATCH(Keys!$C$7, US_national_yearly!$D$1:$AM$1, 0), FALSE), 1)</f>
        <v>0.24317272921054375</v>
      </c>
      <c r="J8" s="12">
        <f>$B8 * IFERROR(VLOOKUP(Substitution!$M$5 &amp; $A8, US_national_yearly!$D:$AM, MATCH(J$1, US_national_yearly!$D$1:$AM$1, 0), FALSE) / VLOOKUP(Substitution!$M$5 &amp; $A8, US_national_yearly!$D:$AM, MATCH(Keys!$C$7, US_national_yearly!$D$1:$AM$1, 0), FALSE), 1)</f>
        <v>0.24317272921054375</v>
      </c>
      <c r="K8" s="12">
        <f>$B8 * IFERROR(VLOOKUP(Substitution!$M$5 &amp; $A8, US_national_yearly!$D:$AM, MATCH(K$1, US_national_yearly!$D$1:$AM$1, 0), FALSE) / VLOOKUP(Substitution!$M$5 &amp; $A8, US_national_yearly!$D:$AM, MATCH(Keys!$C$7, US_national_yearly!$D$1:$AM$1, 0), FALSE), 1)</f>
        <v>0.24317272921054375</v>
      </c>
      <c r="L8" s="12">
        <f>$B8 * IFERROR(VLOOKUP(Substitution!$M$5 &amp; $A8, US_national_yearly!$D:$AM, MATCH(L$1, US_national_yearly!$D$1:$AM$1, 0), FALSE) / VLOOKUP(Substitution!$M$5 &amp; $A8, US_national_yearly!$D:$AM, MATCH(Keys!$C$7, US_national_yearly!$D$1:$AM$1, 0), FALSE), 1)</f>
        <v>0.24317272921054375</v>
      </c>
      <c r="M8" s="12">
        <f>$B8 * IFERROR(VLOOKUP(Substitution!$M$5 &amp; $A8, US_national_yearly!$D:$AM, MATCH(M$1, US_national_yearly!$D$1:$AM$1, 0), FALSE) / VLOOKUP(Substitution!$M$5 &amp; $A8, US_national_yearly!$D:$AM, MATCH(Keys!$C$7, US_national_yearly!$D$1:$AM$1, 0), FALSE), 1)</f>
        <v>0.24317272921054375</v>
      </c>
      <c r="N8" s="12">
        <f>$B8 * IFERROR(VLOOKUP(Substitution!$M$5 &amp; $A8, US_national_yearly!$D:$AM, MATCH(N$1, US_national_yearly!$D$1:$AM$1, 0), FALSE) / VLOOKUP(Substitution!$M$5 &amp; $A8, US_national_yearly!$D:$AM, MATCH(Keys!$C$7, US_national_yearly!$D$1:$AM$1, 0), FALSE), 1)</f>
        <v>0.24317272921054375</v>
      </c>
      <c r="O8" s="12">
        <f>$B8 * IFERROR(VLOOKUP(Substitution!$M$5 &amp; $A8, US_national_yearly!$D:$AM, MATCH(O$1, US_national_yearly!$D$1:$AM$1, 0), FALSE) / VLOOKUP(Substitution!$M$5 &amp; $A8, US_national_yearly!$D:$AM, MATCH(Keys!$C$7, US_national_yearly!$D$1:$AM$1, 0), FALSE), 1)</f>
        <v>0.24317272921054375</v>
      </c>
      <c r="P8" s="12">
        <f>$B8 * IFERROR(VLOOKUP(Substitution!$M$5 &amp; $A8, US_national_yearly!$D:$AM, MATCH(P$1, US_national_yearly!$D$1:$AM$1, 0), FALSE) / VLOOKUP(Substitution!$M$5 &amp; $A8, US_national_yearly!$D:$AM, MATCH(Keys!$C$7, US_national_yearly!$D$1:$AM$1, 0), FALSE), 1)</f>
        <v>0.24317272921054375</v>
      </c>
      <c r="Q8" s="12">
        <f>$B8 * IFERROR(VLOOKUP(Substitution!$M$5 &amp; $A8, US_national_yearly!$D:$AM, MATCH(Q$1, US_national_yearly!$D$1:$AM$1, 0), FALSE) / VLOOKUP(Substitution!$M$5 &amp; $A8, US_national_yearly!$D:$AM, MATCH(Keys!$C$7, US_national_yearly!$D$1:$AM$1, 0), FALSE), 1)</f>
        <v>0.24317272921054375</v>
      </c>
      <c r="R8" s="12">
        <f>$B8 * IFERROR(VLOOKUP(Substitution!$M$5 &amp; $A8, US_national_yearly!$D:$AM, MATCH(R$1, US_national_yearly!$D$1:$AM$1, 0), FALSE) / VLOOKUP(Substitution!$M$5 &amp; $A8, US_national_yearly!$D:$AM, MATCH(Keys!$C$7, US_national_yearly!$D$1:$AM$1, 0), FALSE), 1)</f>
        <v>0.24317272921054375</v>
      </c>
      <c r="S8" s="12">
        <f>$B8 * IFERROR(VLOOKUP(Substitution!$M$5 &amp; $A8, US_national_yearly!$D:$AM, MATCH(S$1, US_national_yearly!$D$1:$AM$1, 0), FALSE) / VLOOKUP(Substitution!$M$5 &amp; $A8, US_national_yearly!$D:$AM, MATCH(Keys!$C$7, US_national_yearly!$D$1:$AM$1, 0), FALSE), 1)</f>
        <v>0.24317272921054375</v>
      </c>
      <c r="T8" s="12">
        <f>$B8 * IFERROR(VLOOKUP(Substitution!$M$5 &amp; $A8, US_national_yearly!$D:$AM, MATCH(T$1, US_national_yearly!$D$1:$AM$1, 0), FALSE) / VLOOKUP(Substitution!$M$5 &amp; $A8, US_national_yearly!$D:$AM, MATCH(Keys!$C$7, US_national_yearly!$D$1:$AM$1, 0), FALSE), 1)</f>
        <v>0.24317272921054375</v>
      </c>
      <c r="U8" s="12">
        <f>$B8 * IFERROR(VLOOKUP(Substitution!$M$5 &amp; $A8, US_national_yearly!$D:$AM, MATCH(U$1, US_national_yearly!$D$1:$AM$1, 0), FALSE) / VLOOKUP(Substitution!$M$5 &amp; $A8, US_national_yearly!$D:$AM, MATCH(Keys!$C$7, US_national_yearly!$D$1:$AM$1, 0), FALSE), 1)</f>
        <v>0.24317272921054375</v>
      </c>
      <c r="V8" s="12">
        <f>$B8 * IFERROR(VLOOKUP(Substitution!$M$5 &amp; $A8, US_national_yearly!$D:$AM, MATCH(V$1, US_national_yearly!$D$1:$AM$1, 0), FALSE) / VLOOKUP(Substitution!$M$5 &amp; $A8, US_national_yearly!$D:$AM, MATCH(Keys!$C$7, US_national_yearly!$D$1:$AM$1, 0), FALSE), 1)</f>
        <v>0.24317272921054375</v>
      </c>
      <c r="W8" s="12">
        <f>$B8 * IFERROR(VLOOKUP(Substitution!$M$5 &amp; $A8, US_national_yearly!$D:$AM, MATCH(W$1, US_national_yearly!$D$1:$AM$1, 0), FALSE) / VLOOKUP(Substitution!$M$5 &amp; $A8, US_national_yearly!$D:$AM, MATCH(Keys!$C$7, US_national_yearly!$D$1:$AM$1, 0), FALSE), 1)</f>
        <v>0.24317272921054375</v>
      </c>
      <c r="X8" s="12">
        <f>$B8 * IFERROR(VLOOKUP(Substitution!$M$5 &amp; $A8, US_national_yearly!$D:$AM, MATCH(X$1, US_national_yearly!$D$1:$AM$1, 0), FALSE) / VLOOKUP(Substitution!$M$5 &amp; $A8, US_national_yearly!$D:$AM, MATCH(Keys!$C$7, US_national_yearly!$D$1:$AM$1, 0), FALSE), 1)</f>
        <v>0.24317272921054375</v>
      </c>
      <c r="Y8" s="12">
        <f>$B8 * IFERROR(VLOOKUP(Substitution!$M$5 &amp; $A8, US_national_yearly!$D:$AM, MATCH(Y$1, US_national_yearly!$D$1:$AM$1, 0), FALSE) / VLOOKUP(Substitution!$M$5 &amp; $A8, US_national_yearly!$D:$AM, MATCH(Keys!$C$7, US_national_yearly!$D$1:$AM$1, 0), FALSE), 1)</f>
        <v>0.24317272921054375</v>
      </c>
      <c r="Z8" s="12">
        <f>$B8 * IFERROR(VLOOKUP(Substitution!$M$5 &amp; $A8, US_national_yearly!$D:$AM, MATCH(Z$1, US_national_yearly!$D$1:$AM$1, 0), FALSE) / VLOOKUP(Substitution!$M$5 &amp; $A8, US_national_yearly!$D:$AM, MATCH(Keys!$C$7, US_national_yearly!$D$1:$AM$1, 0), FALSE), 1)</f>
        <v>0.24317272921054375</v>
      </c>
      <c r="AA8" s="12">
        <f>$B8 * IFERROR(VLOOKUP(Substitution!$M$5 &amp; $A8, US_national_yearly!$D:$AM, MATCH(AA$1, US_national_yearly!$D$1:$AM$1, 0), FALSE) / VLOOKUP(Substitution!$M$5 &amp; $A8, US_national_yearly!$D:$AM, MATCH(Keys!$C$7, US_national_yearly!$D$1:$AM$1, 0), FALSE), 1)</f>
        <v>0.24317272921054375</v>
      </c>
      <c r="AB8" s="12">
        <f>$B8 * IFERROR(VLOOKUP(Substitution!$M$5 &amp; $A8, US_national_yearly!$D:$AM, MATCH(AB$1, US_national_yearly!$D$1:$AM$1, 0), FALSE) / VLOOKUP(Substitution!$M$5 &amp; $A8, US_national_yearly!$D:$AM, MATCH(Keys!$C$7, US_national_yearly!$D$1:$AM$1, 0), FALSE), 1)</f>
        <v>0.24317272921054375</v>
      </c>
    </row>
    <row r="9" spans="1:28" x14ac:dyDescent="0.25">
      <c r="A9" s="4" t="s">
        <v>305</v>
      </c>
      <c r="B9" s="12">
        <f>IFERROR(VLOOKUP(Substitution!$M$5 &amp; $A9, US_national_yearly!$D:$AM, MATCH(Keys!$C$7, US_national_yearly!$D$1:$AM$1, 0), FALSE), 0)</f>
        <v>3.3519304088567639E-2</v>
      </c>
      <c r="C9" s="12">
        <f>$B9 * IFERROR(VLOOKUP(Substitution!$M$5 &amp; $A9, US_national_yearly!$D:$AM, MATCH(C$1, US_national_yearly!$D$1:$AM$1, 0), FALSE) / VLOOKUP(Substitution!$M$5 &amp; $A9, US_national_yearly!$D:$AM, MATCH(Keys!$C$7, US_national_yearly!$D$1:$AM$1, 0), FALSE), 1)</f>
        <v>3.3735764535545783E-2</v>
      </c>
      <c r="D9" s="12">
        <f>$B9 * IFERROR(VLOOKUP(Substitution!$M$5 &amp; $A9, US_national_yearly!$D:$AM, MATCH(D$1, US_national_yearly!$D$1:$AM$1, 0), FALSE) / VLOOKUP(Substitution!$M$5 &amp; $A9, US_national_yearly!$D:$AM, MATCH(Keys!$C$7, US_national_yearly!$D$1:$AM$1, 0), FALSE), 1)</f>
        <v>3.3952224982523919E-2</v>
      </c>
      <c r="E9" s="12">
        <f>$B9 * IFERROR(VLOOKUP(Substitution!$M$5 &amp; $A9, US_national_yearly!$D:$AM, MATCH(E$1, US_national_yearly!$D$1:$AM$1, 0), FALSE) / VLOOKUP(Substitution!$M$5 &amp; $A9, US_national_yearly!$D:$AM, MATCH(Keys!$C$7, US_national_yearly!$D$1:$AM$1, 0), FALSE), 1)</f>
        <v>3.4168685429502063E-2</v>
      </c>
      <c r="F9" s="12">
        <f>$B9 * IFERROR(VLOOKUP(Substitution!$M$5 &amp; $A9, US_national_yearly!$D:$AM, MATCH(F$1, US_national_yearly!$D$1:$AM$1, 0), FALSE) / VLOOKUP(Substitution!$M$5 &amp; $A9, US_national_yearly!$D:$AM, MATCH(Keys!$C$7, US_national_yearly!$D$1:$AM$1, 0), FALSE), 1)</f>
        <v>3.4385145876480207E-2</v>
      </c>
      <c r="G9" s="12">
        <f>$B9 * IFERROR(VLOOKUP(Substitution!$M$5 &amp; $A9, US_national_yearly!$D:$AM, MATCH(G$1, US_national_yearly!$D$1:$AM$1, 0), FALSE) / VLOOKUP(Substitution!$M$5 &amp; $A9, US_national_yearly!$D:$AM, MATCH(Keys!$C$7, US_national_yearly!$D$1:$AM$1, 0), FALSE), 1)</f>
        <v>3.4578502087214753E-2</v>
      </c>
      <c r="H9" s="12">
        <f>$B9 * IFERROR(VLOOKUP(Substitution!$M$5 &amp; $A9, US_national_yearly!$D:$AM, MATCH(H$1, US_national_yearly!$D$1:$AM$1, 0), FALSE) / VLOOKUP(Substitution!$M$5 &amp; $A9, US_national_yearly!$D:$AM, MATCH(Keys!$C$7, US_national_yearly!$D$1:$AM$1, 0), FALSE), 1)</f>
        <v>3.47718582979493E-2</v>
      </c>
      <c r="I9" s="12">
        <f>$B9 * IFERROR(VLOOKUP(Substitution!$M$5 &amp; $A9, US_national_yearly!$D:$AM, MATCH(I$1, US_national_yearly!$D$1:$AM$1, 0), FALSE) / VLOOKUP(Substitution!$M$5 &amp; $A9, US_national_yearly!$D:$AM, MATCH(Keys!$C$7, US_national_yearly!$D$1:$AM$1, 0), FALSE), 1)</f>
        <v>3.4931412708775519E-2</v>
      </c>
      <c r="J9" s="12">
        <f>$B9 * IFERROR(VLOOKUP(Substitution!$M$5 &amp; $A9, US_national_yearly!$D:$AM, MATCH(J$1, US_national_yearly!$D$1:$AM$1, 0), FALSE) / VLOOKUP(Substitution!$M$5 &amp; $A9, US_national_yearly!$D:$AM, MATCH(Keys!$C$7, US_national_yearly!$D$1:$AM$1, 0), FALSE), 1)</f>
        <v>3.5090967119601739E-2</v>
      </c>
      <c r="K9" s="12">
        <f>$B9 * IFERROR(VLOOKUP(Substitution!$M$5 &amp; $A9, US_national_yearly!$D:$AM, MATCH(K$1, US_national_yearly!$D$1:$AM$1, 0), FALSE) / VLOOKUP(Substitution!$M$5 &amp; $A9, US_national_yearly!$D:$AM, MATCH(Keys!$C$7, US_national_yearly!$D$1:$AM$1, 0), FALSE), 1)</f>
        <v>3.5250521530427958E-2</v>
      </c>
      <c r="L9" s="12">
        <f>$B9 * IFERROR(VLOOKUP(Substitution!$M$5 &amp; $A9, US_national_yearly!$D:$AM, MATCH(L$1, US_national_yearly!$D$1:$AM$1, 0), FALSE) / VLOOKUP(Substitution!$M$5 &amp; $A9, US_national_yearly!$D:$AM, MATCH(Keys!$C$7, US_national_yearly!$D$1:$AM$1, 0), FALSE), 1)</f>
        <v>3.5410075941254178E-2</v>
      </c>
      <c r="M9" s="12">
        <f>$B9 * IFERROR(VLOOKUP(Substitution!$M$5 &amp; $A9, US_national_yearly!$D:$AM, MATCH(M$1, US_national_yearly!$D$1:$AM$1, 0), FALSE) / VLOOKUP(Substitution!$M$5 &amp; $A9, US_national_yearly!$D:$AM, MATCH(Keys!$C$7, US_national_yearly!$D$1:$AM$1, 0), FALSE), 1)</f>
        <v>3.5569630352080397E-2</v>
      </c>
      <c r="N9" s="12">
        <f>$B9 * IFERROR(VLOOKUP(Substitution!$M$5 &amp; $A9, US_national_yearly!$D:$AM, MATCH(N$1, US_national_yearly!$D$1:$AM$1, 0), FALSE) / VLOOKUP(Substitution!$M$5 &amp; $A9, US_national_yearly!$D:$AM, MATCH(Keys!$C$7, US_national_yearly!$D$1:$AM$1, 0), FALSE), 1)</f>
        <v>3.5718845770042383E-2</v>
      </c>
      <c r="O9" s="12">
        <f>$B9 * IFERROR(VLOOKUP(Substitution!$M$5 &amp; $A9, US_national_yearly!$D:$AM, MATCH(O$1, US_national_yearly!$D$1:$AM$1, 0), FALSE) / VLOOKUP(Substitution!$M$5 &amp; $A9, US_national_yearly!$D:$AM, MATCH(Keys!$C$7, US_national_yearly!$D$1:$AM$1, 0), FALSE), 1)</f>
        <v>3.5868061188004348E-2</v>
      </c>
      <c r="P9" s="12">
        <f>$B9 * IFERROR(VLOOKUP(Substitution!$M$5 &amp; $A9, US_national_yearly!$D:$AM, MATCH(P$1, US_national_yearly!$D$1:$AM$1, 0), FALSE) / VLOOKUP(Substitution!$M$5 &amp; $A9, US_national_yearly!$D:$AM, MATCH(Keys!$C$7, US_national_yearly!$D$1:$AM$1, 0), FALSE), 1)</f>
        <v>3.601727660596634E-2</v>
      </c>
      <c r="Q9" s="12">
        <f>$B9 * IFERROR(VLOOKUP(Substitution!$M$5 &amp; $A9, US_national_yearly!$D:$AM, MATCH(Q$1, US_national_yearly!$D$1:$AM$1, 0), FALSE) / VLOOKUP(Substitution!$M$5 &amp; $A9, US_national_yearly!$D:$AM, MATCH(Keys!$C$7, US_national_yearly!$D$1:$AM$1, 0), FALSE), 1)</f>
        <v>3.6166492023928319E-2</v>
      </c>
      <c r="R9" s="12">
        <f>$B9 * IFERROR(VLOOKUP(Substitution!$M$5 &amp; $A9, US_national_yearly!$D:$AM, MATCH(R$1, US_national_yearly!$D$1:$AM$1, 0), FALSE) / VLOOKUP(Substitution!$M$5 &amp; $A9, US_national_yearly!$D:$AM, MATCH(Keys!$C$7, US_national_yearly!$D$1:$AM$1, 0), FALSE), 1)</f>
        <v>3.6315707441890291E-2</v>
      </c>
      <c r="S9" s="12">
        <f>$B9 * IFERROR(VLOOKUP(Substitution!$M$5 &amp; $A9, US_national_yearly!$D:$AM, MATCH(S$1, US_national_yearly!$D$1:$AM$1, 0), FALSE) / VLOOKUP(Substitution!$M$5 &amp; $A9, US_national_yearly!$D:$AM, MATCH(Keys!$C$7, US_national_yearly!$D$1:$AM$1, 0), FALSE), 1)</f>
        <v>3.6459671358001183E-2</v>
      </c>
      <c r="T9" s="12">
        <f>$B9 * IFERROR(VLOOKUP(Substitution!$M$5 &amp; $A9, US_national_yearly!$D:$AM, MATCH(T$1, US_national_yearly!$D$1:$AM$1, 0), FALSE) / VLOOKUP(Substitution!$M$5 &amp; $A9, US_national_yearly!$D:$AM, MATCH(Keys!$C$7, US_national_yearly!$D$1:$AM$1, 0), FALSE), 1)</f>
        <v>3.6603635274112048E-2</v>
      </c>
      <c r="U9" s="12">
        <f>$B9 * IFERROR(VLOOKUP(Substitution!$M$5 &amp; $A9, US_national_yearly!$D:$AM, MATCH(U$1, US_national_yearly!$D$1:$AM$1, 0), FALSE) / VLOOKUP(Substitution!$M$5 &amp; $A9, US_national_yearly!$D:$AM, MATCH(Keys!$C$7, US_national_yearly!$D$1:$AM$1, 0), FALSE), 1)</f>
        <v>3.674759919022294E-2</v>
      </c>
      <c r="V9" s="12">
        <f>$B9 * IFERROR(VLOOKUP(Substitution!$M$5 &amp; $A9, US_national_yearly!$D:$AM, MATCH(V$1, US_national_yearly!$D$1:$AM$1, 0), FALSE) / VLOOKUP(Substitution!$M$5 &amp; $A9, US_national_yearly!$D:$AM, MATCH(Keys!$C$7, US_national_yearly!$D$1:$AM$1, 0), FALSE), 1)</f>
        <v>3.6891563106333819E-2</v>
      </c>
      <c r="W9" s="12">
        <f>$B9 * IFERROR(VLOOKUP(Substitution!$M$5 &amp; $A9, US_national_yearly!$D:$AM, MATCH(W$1, US_national_yearly!$D$1:$AM$1, 0), FALSE) / VLOOKUP(Substitution!$M$5 &amp; $A9, US_national_yearly!$D:$AM, MATCH(Keys!$C$7, US_national_yearly!$D$1:$AM$1, 0), FALSE), 1)</f>
        <v>3.7035527022444698E-2</v>
      </c>
      <c r="X9" s="12">
        <f>$B9 * IFERROR(VLOOKUP(Substitution!$M$5 &amp; $A9, US_national_yearly!$D:$AM, MATCH(X$1, US_national_yearly!$D$1:$AM$1, 0), FALSE) / VLOOKUP(Substitution!$M$5 &amp; $A9, US_national_yearly!$D:$AM, MATCH(Keys!$C$7, US_national_yearly!$D$1:$AM$1, 0), FALSE), 1)</f>
        <v>3.716825857500234E-2</v>
      </c>
      <c r="Y9" s="12">
        <f>$B9 * IFERROR(VLOOKUP(Substitution!$M$5 &amp; $A9, US_national_yearly!$D:$AM, MATCH(Y$1, US_national_yearly!$D$1:$AM$1, 0), FALSE) / VLOOKUP(Substitution!$M$5 &amp; $A9, US_national_yearly!$D:$AM, MATCH(Keys!$C$7, US_national_yearly!$D$1:$AM$1, 0), FALSE), 1)</f>
        <v>3.7300990127559983E-2</v>
      </c>
      <c r="Z9" s="12">
        <f>$B9 * IFERROR(VLOOKUP(Substitution!$M$5 &amp; $A9, US_national_yearly!$D:$AM, MATCH(Z$1, US_national_yearly!$D$1:$AM$1, 0), FALSE) / VLOOKUP(Substitution!$M$5 &amp; $A9, US_national_yearly!$D:$AM, MATCH(Keys!$C$7, US_national_yearly!$D$1:$AM$1, 0), FALSE), 1)</f>
        <v>3.7433721680117618E-2</v>
      </c>
      <c r="AA9" s="12">
        <f>$B9 * IFERROR(VLOOKUP(Substitution!$M$5 &amp; $A9, US_national_yearly!$D:$AM, MATCH(AA$1, US_national_yearly!$D$1:$AM$1, 0), FALSE) / VLOOKUP(Substitution!$M$5 &amp; $A9, US_national_yearly!$D:$AM, MATCH(Keys!$C$7, US_national_yearly!$D$1:$AM$1, 0), FALSE), 1)</f>
        <v>3.7566453232675261E-2</v>
      </c>
      <c r="AB9" s="12">
        <f>$B9 * IFERROR(VLOOKUP(Substitution!$M$5 &amp; $A9, US_national_yearly!$D:$AM, MATCH(AB$1, US_national_yearly!$D$1:$AM$1, 0), FALSE) / VLOOKUP(Substitution!$M$5 &amp; $A9, US_national_yearly!$D:$AM, MATCH(Keys!$C$7, US_national_yearly!$D$1:$AM$1, 0), FALSE), 1)</f>
        <v>3.7699184785232903E-2</v>
      </c>
    </row>
    <row r="10" spans="1:28" x14ac:dyDescent="0.25">
      <c r="A10" s="4" t="s">
        <v>307</v>
      </c>
      <c r="B10" s="12">
        <f>IFERROR(VLOOKUP(Substitution!$M$5 &amp; $A10, US_national_yearly!$D:$AM, MATCH(Keys!$C$7, US_national_yearly!$D$1:$AM$1, 0), FALSE), 0)</f>
        <v>0.2133759671707216</v>
      </c>
      <c r="C10" s="12">
        <f>$B10 * IFERROR(VLOOKUP(Substitution!$M$5 &amp; $A10, US_national_yearly!$D:$AM, MATCH(C$1, US_national_yearly!$D$1:$AM$1, 0), FALSE) / VLOOKUP(Substitution!$M$5 &amp; $A10, US_national_yearly!$D:$AM, MATCH(Keys!$C$7, US_national_yearly!$D$1:$AM$1, 0), FALSE), 1)</f>
        <v>0.21532259169901219</v>
      </c>
      <c r="D10" s="12">
        <f>$B10 * IFERROR(VLOOKUP(Substitution!$M$5 &amp; $A10, US_national_yearly!$D:$AM, MATCH(D$1, US_national_yearly!$D$1:$AM$1, 0), FALSE) / VLOOKUP(Substitution!$M$5 &amp; $A10, US_national_yearly!$D:$AM, MATCH(Keys!$C$7, US_national_yearly!$D$1:$AM$1, 0), FALSE), 1)</f>
        <v>0.2172692162273028</v>
      </c>
      <c r="E10" s="12">
        <f>$B10 * IFERROR(VLOOKUP(Substitution!$M$5 &amp; $A10, US_national_yearly!$D:$AM, MATCH(E$1, US_national_yearly!$D$1:$AM$1, 0), FALSE) / VLOOKUP(Substitution!$M$5 &amp; $A10, US_national_yearly!$D:$AM, MATCH(Keys!$C$7, US_national_yearly!$D$1:$AM$1, 0), FALSE), 1)</f>
        <v>0.21921584075559339</v>
      </c>
      <c r="F10" s="12">
        <f>$B10 * IFERROR(VLOOKUP(Substitution!$M$5 &amp; $A10, US_national_yearly!$D:$AM, MATCH(F$1, US_national_yearly!$D$1:$AM$1, 0), FALSE) / VLOOKUP(Substitution!$M$5 &amp; $A10, US_national_yearly!$D:$AM, MATCH(Keys!$C$7, US_national_yearly!$D$1:$AM$1, 0), FALSE), 1)</f>
        <v>0.22116246528388397</v>
      </c>
      <c r="G10" s="12">
        <f>$B10 * IFERROR(VLOOKUP(Substitution!$M$5 &amp; $A10, US_national_yearly!$D:$AM, MATCH(G$1, US_national_yearly!$D$1:$AM$1, 0), FALSE) / VLOOKUP(Substitution!$M$5 &amp; $A10, US_national_yearly!$D:$AM, MATCH(Keys!$C$7, US_national_yearly!$D$1:$AM$1, 0), FALSE), 1)</f>
        <v>0.223264893186988</v>
      </c>
      <c r="H10" s="12">
        <f>$B10 * IFERROR(VLOOKUP(Substitution!$M$5 &amp; $A10, US_national_yearly!$D:$AM, MATCH(H$1, US_national_yearly!$D$1:$AM$1, 0), FALSE) / VLOOKUP(Substitution!$M$5 &amp; $A10, US_national_yearly!$D:$AM, MATCH(Keys!$C$7, US_national_yearly!$D$1:$AM$1, 0), FALSE), 1)</f>
        <v>0.225367321090092</v>
      </c>
      <c r="I10" s="12">
        <f>$B10 * IFERROR(VLOOKUP(Substitution!$M$5 &amp; $A10, US_national_yearly!$D:$AM, MATCH(I$1, US_national_yearly!$D$1:$AM$1, 0), FALSE) / VLOOKUP(Substitution!$M$5 &amp; $A10, US_national_yearly!$D:$AM, MATCH(Keys!$C$7, US_national_yearly!$D$1:$AM$1, 0), FALSE), 1)</f>
        <v>0.22693820894926059</v>
      </c>
      <c r="J10" s="12">
        <f>$B10 * IFERROR(VLOOKUP(Substitution!$M$5 &amp; $A10, US_national_yearly!$D:$AM, MATCH(J$1, US_national_yearly!$D$1:$AM$1, 0), FALSE) / VLOOKUP(Substitution!$M$5 &amp; $A10, US_national_yearly!$D:$AM, MATCH(Keys!$C$7, US_national_yearly!$D$1:$AM$1, 0), FALSE), 1)</f>
        <v>0.22850909680842921</v>
      </c>
      <c r="K10" s="12">
        <f>$B10 * IFERROR(VLOOKUP(Substitution!$M$5 &amp; $A10, US_national_yearly!$D:$AM, MATCH(K$1, US_national_yearly!$D$1:$AM$1, 0), FALSE) / VLOOKUP(Substitution!$M$5 &amp; $A10, US_national_yearly!$D:$AM, MATCH(Keys!$C$7, US_national_yearly!$D$1:$AM$1, 0), FALSE), 1)</f>
        <v>0.23007998466759783</v>
      </c>
      <c r="L10" s="12">
        <f>$B10 * IFERROR(VLOOKUP(Substitution!$M$5 &amp; $A10, US_national_yearly!$D:$AM, MATCH(L$1, US_national_yearly!$D$1:$AM$1, 0), FALSE) / VLOOKUP(Substitution!$M$5 &amp; $A10, US_national_yearly!$D:$AM, MATCH(Keys!$C$7, US_national_yearly!$D$1:$AM$1, 0), FALSE), 1)</f>
        <v>0.23165087252676639</v>
      </c>
      <c r="M10" s="12">
        <f>$B10 * IFERROR(VLOOKUP(Substitution!$M$5 &amp; $A10, US_national_yearly!$D:$AM, MATCH(M$1, US_national_yearly!$D$1:$AM$1, 0), FALSE) / VLOOKUP(Substitution!$M$5 &amp; $A10, US_national_yearly!$D:$AM, MATCH(Keys!$C$7, US_national_yearly!$D$1:$AM$1, 0), FALSE), 1)</f>
        <v>0.23322176038593498</v>
      </c>
      <c r="N10" s="12">
        <f>$B10 * IFERROR(VLOOKUP(Substitution!$M$5 &amp; $A10, US_national_yearly!$D:$AM, MATCH(N$1, US_national_yearly!$D$1:$AM$1, 0), FALSE) / VLOOKUP(Substitution!$M$5 &amp; $A10, US_national_yearly!$D:$AM, MATCH(Keys!$C$7, US_national_yearly!$D$1:$AM$1, 0), FALSE), 1)</f>
        <v>0.2340175391341178</v>
      </c>
      <c r="O10" s="12">
        <f>$B10 * IFERROR(VLOOKUP(Substitution!$M$5 &amp; $A10, US_national_yearly!$D:$AM, MATCH(O$1, US_national_yearly!$D$1:$AM$1, 0), FALSE) / VLOOKUP(Substitution!$M$5 &amp; $A10, US_national_yearly!$D:$AM, MATCH(Keys!$C$7, US_national_yearly!$D$1:$AM$1, 0), FALSE), 1)</f>
        <v>0.23481331788230056</v>
      </c>
      <c r="P10" s="12">
        <f>$B10 * IFERROR(VLOOKUP(Substitution!$M$5 &amp; $A10, US_national_yearly!$D:$AM, MATCH(P$1, US_national_yearly!$D$1:$AM$1, 0), FALSE) / VLOOKUP(Substitution!$M$5 &amp; $A10, US_national_yearly!$D:$AM, MATCH(Keys!$C$7, US_national_yearly!$D$1:$AM$1, 0), FALSE), 1)</f>
        <v>0.23560909663048338</v>
      </c>
      <c r="Q10" s="12">
        <f>$B10 * IFERROR(VLOOKUP(Substitution!$M$5 &amp; $A10, US_national_yearly!$D:$AM, MATCH(Q$1, US_national_yearly!$D$1:$AM$1, 0), FALSE) / VLOOKUP(Substitution!$M$5 &amp; $A10, US_national_yearly!$D:$AM, MATCH(Keys!$C$7, US_national_yearly!$D$1:$AM$1, 0), FALSE), 1)</f>
        <v>0.2364048753786662</v>
      </c>
      <c r="R10" s="12">
        <f>$B10 * IFERROR(VLOOKUP(Substitution!$M$5 &amp; $A10, US_national_yearly!$D:$AM, MATCH(R$1, US_national_yearly!$D$1:$AM$1, 0), FALSE) / VLOOKUP(Substitution!$M$5 &amp; $A10, US_national_yearly!$D:$AM, MATCH(Keys!$C$7, US_national_yearly!$D$1:$AM$1, 0), FALSE), 1)</f>
        <v>0.23720065412684901</v>
      </c>
      <c r="S10" s="12">
        <f>$B10 * IFERROR(VLOOKUP(Substitution!$M$5 &amp; $A10, US_national_yearly!$D:$AM, MATCH(S$1, US_national_yearly!$D$1:$AM$1, 0), FALSE) / VLOOKUP(Substitution!$M$5 &amp; $A10, US_national_yearly!$D:$AM, MATCH(Keys!$C$7, US_national_yearly!$D$1:$AM$1, 0), FALSE), 1)</f>
        <v>0.23811610099483782</v>
      </c>
      <c r="T10" s="12">
        <f>$B10 * IFERROR(VLOOKUP(Substitution!$M$5 &amp; $A10, US_national_yearly!$D:$AM, MATCH(T$1, US_national_yearly!$D$1:$AM$1, 0), FALSE) / VLOOKUP(Substitution!$M$5 &amp; $A10, US_national_yearly!$D:$AM, MATCH(Keys!$C$7, US_national_yearly!$D$1:$AM$1, 0), FALSE), 1)</f>
        <v>0.2390315478628266</v>
      </c>
      <c r="U10" s="12">
        <f>$B10 * IFERROR(VLOOKUP(Substitution!$M$5 &amp; $A10, US_national_yearly!$D:$AM, MATCH(U$1, US_national_yearly!$D$1:$AM$1, 0), FALSE) / VLOOKUP(Substitution!$M$5 &amp; $A10, US_national_yearly!$D:$AM, MATCH(Keys!$C$7, US_national_yearly!$D$1:$AM$1, 0), FALSE), 1)</f>
        <v>0.2399469947308154</v>
      </c>
      <c r="V10" s="12">
        <f>$B10 * IFERROR(VLOOKUP(Substitution!$M$5 &amp; $A10, US_national_yearly!$D:$AM, MATCH(V$1, US_national_yearly!$D$1:$AM$1, 0), FALSE) / VLOOKUP(Substitution!$M$5 &amp; $A10, US_national_yearly!$D:$AM, MATCH(Keys!$C$7, US_national_yearly!$D$1:$AM$1, 0), FALSE), 1)</f>
        <v>0.24086244159880421</v>
      </c>
      <c r="W10" s="12">
        <f>$B10 * IFERROR(VLOOKUP(Substitution!$M$5 &amp; $A10, US_national_yearly!$D:$AM, MATCH(W$1, US_national_yearly!$D$1:$AM$1, 0), FALSE) / VLOOKUP(Substitution!$M$5 &amp; $A10, US_national_yearly!$D:$AM, MATCH(Keys!$C$7, US_national_yearly!$D$1:$AM$1, 0), FALSE), 1)</f>
        <v>0.24177788846679302</v>
      </c>
      <c r="X10" s="12">
        <f>$B10 * IFERROR(VLOOKUP(Substitution!$M$5 &amp; $A10, US_national_yearly!$D:$AM, MATCH(X$1, US_national_yearly!$D$1:$AM$1, 0), FALSE) / VLOOKUP(Substitution!$M$5 &amp; $A10, US_national_yearly!$D:$AM, MATCH(Keys!$C$7, US_national_yearly!$D$1:$AM$1, 0), FALSE), 1)</f>
        <v>0.24274108515453796</v>
      </c>
      <c r="Y10" s="12">
        <f>$B10 * IFERROR(VLOOKUP(Substitution!$M$5 &amp; $A10, US_national_yearly!$D:$AM, MATCH(Y$1, US_national_yearly!$D$1:$AM$1, 0), FALSE) / VLOOKUP(Substitution!$M$5 &amp; $A10, US_national_yearly!$D:$AM, MATCH(Keys!$C$7, US_national_yearly!$D$1:$AM$1, 0), FALSE), 1)</f>
        <v>0.24370428184228299</v>
      </c>
      <c r="Z10" s="12">
        <f>$B10 * IFERROR(VLOOKUP(Substitution!$M$5 &amp; $A10, US_national_yearly!$D:$AM, MATCH(Z$1, US_national_yearly!$D$1:$AM$1, 0), FALSE) / VLOOKUP(Substitution!$M$5 &amp; $A10, US_national_yearly!$D:$AM, MATCH(Keys!$C$7, US_national_yearly!$D$1:$AM$1, 0), FALSE), 1)</f>
        <v>0.24466747853002799</v>
      </c>
      <c r="AA10" s="12">
        <f>$B10 * IFERROR(VLOOKUP(Substitution!$M$5 &amp; $A10, US_national_yearly!$D:$AM, MATCH(AA$1, US_national_yearly!$D$1:$AM$1, 0), FALSE) / VLOOKUP(Substitution!$M$5 &amp; $A10, US_national_yearly!$D:$AM, MATCH(Keys!$C$7, US_national_yearly!$D$1:$AM$1, 0), FALSE), 1)</f>
        <v>0.24563067521777301</v>
      </c>
      <c r="AB10" s="12">
        <f>$B10 * IFERROR(VLOOKUP(Substitution!$M$5 &amp; $A10, US_national_yearly!$D:$AM, MATCH(AB$1, US_national_yearly!$D$1:$AM$1, 0), FALSE) / VLOOKUP(Substitution!$M$5 &amp; $A10, US_national_yearly!$D:$AM, MATCH(Keys!$C$7, US_national_yearly!$D$1:$AM$1, 0), FALSE), 1)</f>
        <v>0.24659387190551796</v>
      </c>
    </row>
    <row r="11" spans="1:28" x14ac:dyDescent="0.25">
      <c r="A11" s="4" t="s">
        <v>309</v>
      </c>
      <c r="B11" s="12">
        <f>IFERROR(VLOOKUP(Substitution!$M$5 &amp; $A11, US_national_yearly!$D:$AM, MATCH(Keys!$C$7, US_national_yearly!$D$1:$AM$1, 0), FALSE), 0)</f>
        <v>9.9669907431247928E-3</v>
      </c>
      <c r="C11" s="12">
        <f>$B11 * IFERROR(VLOOKUP(Substitution!$M$5 &amp; $A11, US_national_yearly!$D:$AM, MATCH(C$1, US_national_yearly!$D$1:$AM$1, 0), FALSE) / VLOOKUP(Substitution!$M$5 &amp; $A11, US_national_yearly!$D:$AM, MATCH(Keys!$C$7, US_national_yearly!$D$1:$AM$1, 0), FALSE), 1)</f>
        <v>1.0060610295708438E-2</v>
      </c>
      <c r="D11" s="12">
        <f>$B11 * IFERROR(VLOOKUP(Substitution!$M$5 &amp; $A11, US_national_yearly!$D:$AM, MATCH(D$1, US_national_yearly!$D$1:$AM$1, 0), FALSE) / VLOOKUP(Substitution!$M$5 &amp; $A11, US_national_yearly!$D:$AM, MATCH(Keys!$C$7, US_national_yearly!$D$1:$AM$1, 0), FALSE), 1)</f>
        <v>1.01542298482921E-2</v>
      </c>
      <c r="E11" s="12">
        <f>$B11 * IFERROR(VLOOKUP(Substitution!$M$5 &amp; $A11, US_national_yearly!$D:$AM, MATCH(E$1, US_national_yearly!$D$1:$AM$1, 0), FALSE) / VLOOKUP(Substitution!$M$5 &amp; $A11, US_national_yearly!$D:$AM, MATCH(Keys!$C$7, US_national_yearly!$D$1:$AM$1, 0), FALSE), 1)</f>
        <v>1.0247849400875751E-2</v>
      </c>
      <c r="F11" s="12">
        <f>$B11 * IFERROR(VLOOKUP(Substitution!$M$5 &amp; $A11, US_national_yearly!$D:$AM, MATCH(F$1, US_national_yearly!$D$1:$AM$1, 0), FALSE) / VLOOKUP(Substitution!$M$5 &amp; $A11, US_national_yearly!$D:$AM, MATCH(Keys!$C$7, US_national_yearly!$D$1:$AM$1, 0), FALSE), 1)</f>
        <v>1.0341468953459399E-2</v>
      </c>
      <c r="G11" s="12">
        <f>$B11 * IFERROR(VLOOKUP(Substitution!$M$5 &amp; $A11, US_national_yearly!$D:$AM, MATCH(G$1, US_national_yearly!$D$1:$AM$1, 0), FALSE) / VLOOKUP(Substitution!$M$5 &amp; $A11, US_national_yearly!$D:$AM, MATCH(Keys!$C$7, US_national_yearly!$D$1:$AM$1, 0), FALSE), 1)</f>
        <v>1.0437848055570249E-2</v>
      </c>
      <c r="H11" s="12">
        <f>$B11 * IFERROR(VLOOKUP(Substitution!$M$5 &amp; $A11, US_national_yearly!$D:$AM, MATCH(H$1, US_national_yearly!$D$1:$AM$1, 0), FALSE) / VLOOKUP(Substitution!$M$5 &amp; $A11, US_national_yearly!$D:$AM, MATCH(Keys!$C$7, US_national_yearly!$D$1:$AM$1, 0), FALSE), 1)</f>
        <v>1.0534227157681099E-2</v>
      </c>
      <c r="I11" s="12">
        <f>$B11 * IFERROR(VLOOKUP(Substitution!$M$5 &amp; $A11, US_national_yearly!$D:$AM, MATCH(I$1, US_national_yearly!$D$1:$AM$1, 0), FALSE) / VLOOKUP(Substitution!$M$5 &amp; $A11, US_national_yearly!$D:$AM, MATCH(Keys!$C$7, US_national_yearly!$D$1:$AM$1, 0), FALSE), 1)</f>
        <v>1.06242073750565E-2</v>
      </c>
      <c r="J11" s="12">
        <f>$B11 * IFERROR(VLOOKUP(Substitution!$M$5 &amp; $A11, US_national_yearly!$D:$AM, MATCH(J$1, US_national_yearly!$D$1:$AM$1, 0), FALSE) / VLOOKUP(Substitution!$M$5 &amp; $A11, US_national_yearly!$D:$AM, MATCH(Keys!$C$7, US_national_yearly!$D$1:$AM$1, 0), FALSE), 1)</f>
        <v>1.07141875924319E-2</v>
      </c>
      <c r="K11" s="12">
        <f>$B11 * IFERROR(VLOOKUP(Substitution!$M$5 &amp; $A11, US_national_yearly!$D:$AM, MATCH(K$1, US_national_yearly!$D$1:$AM$1, 0), FALSE) / VLOOKUP(Substitution!$M$5 &amp; $A11, US_national_yearly!$D:$AM, MATCH(Keys!$C$7, US_national_yearly!$D$1:$AM$1, 0), FALSE), 1)</f>
        <v>1.0804167809807299E-2</v>
      </c>
      <c r="L11" s="12">
        <f>$B11 * IFERROR(VLOOKUP(Substitution!$M$5 &amp; $A11, US_national_yearly!$D:$AM, MATCH(L$1, US_national_yearly!$D$1:$AM$1, 0), FALSE) / VLOOKUP(Substitution!$M$5 &amp; $A11, US_national_yearly!$D:$AM, MATCH(Keys!$C$7, US_national_yearly!$D$1:$AM$1, 0), FALSE), 1)</f>
        <v>1.0894148027182702E-2</v>
      </c>
      <c r="M11" s="12">
        <f>$B11 * IFERROR(VLOOKUP(Substitution!$M$5 &amp; $A11, US_national_yearly!$D:$AM, MATCH(M$1, US_national_yearly!$D$1:$AM$1, 0), FALSE) / VLOOKUP(Substitution!$M$5 &amp; $A11, US_national_yearly!$D:$AM, MATCH(Keys!$C$7, US_national_yearly!$D$1:$AM$1, 0), FALSE), 1)</f>
        <v>1.09841282445581E-2</v>
      </c>
      <c r="N11" s="12">
        <f>$B11 * IFERROR(VLOOKUP(Substitution!$M$5 &amp; $A11, US_national_yearly!$D:$AM, MATCH(N$1, US_national_yearly!$D$1:$AM$1, 0), FALSE) / VLOOKUP(Substitution!$M$5 &amp; $A11, US_national_yearly!$D:$AM, MATCH(Keys!$C$7, US_national_yearly!$D$1:$AM$1, 0), FALSE), 1)</f>
        <v>1.105949410917482E-2</v>
      </c>
      <c r="O11" s="12">
        <f>$B11 * IFERROR(VLOOKUP(Substitution!$M$5 &amp; $A11, US_national_yearly!$D:$AM, MATCH(O$1, US_national_yearly!$D$1:$AM$1, 0), FALSE) / VLOOKUP(Substitution!$M$5 &amp; $A11, US_national_yearly!$D:$AM, MATCH(Keys!$C$7, US_national_yearly!$D$1:$AM$1, 0), FALSE), 1)</f>
        <v>1.1134859973791539E-2</v>
      </c>
      <c r="P11" s="12">
        <f>$B11 * IFERROR(VLOOKUP(Substitution!$M$5 &amp; $A11, US_national_yearly!$D:$AM, MATCH(P$1, US_national_yearly!$D$1:$AM$1, 0), FALSE) / VLOOKUP(Substitution!$M$5 &amp; $A11, US_national_yearly!$D:$AM, MATCH(Keys!$C$7, US_national_yearly!$D$1:$AM$1, 0), FALSE), 1)</f>
        <v>1.1210225838408258E-2</v>
      </c>
      <c r="Q11" s="12">
        <f>$B11 * IFERROR(VLOOKUP(Substitution!$M$5 &amp; $A11, US_national_yearly!$D:$AM, MATCH(Q$1, US_national_yearly!$D$1:$AM$1, 0), FALSE) / VLOOKUP(Substitution!$M$5 &amp; $A11, US_national_yearly!$D:$AM, MATCH(Keys!$C$7, US_national_yearly!$D$1:$AM$1, 0), FALSE), 1)</f>
        <v>1.128559170302498E-2</v>
      </c>
      <c r="R11" s="12">
        <f>$B11 * IFERROR(VLOOKUP(Substitution!$M$5 &amp; $A11, US_national_yearly!$D:$AM, MATCH(R$1, US_national_yearly!$D$1:$AM$1, 0), FALSE) / VLOOKUP(Substitution!$M$5 &amp; $A11, US_national_yearly!$D:$AM, MATCH(Keys!$C$7, US_national_yearly!$D$1:$AM$1, 0), FALSE), 1)</f>
        <v>1.1360957567641701E-2</v>
      </c>
      <c r="S11" s="12">
        <f>$B11 * IFERROR(VLOOKUP(Substitution!$M$5 &amp; $A11, US_national_yearly!$D:$AM, MATCH(S$1, US_national_yearly!$D$1:$AM$1, 0), FALSE) / VLOOKUP(Substitution!$M$5 &amp; $A11, US_national_yearly!$D:$AM, MATCH(Keys!$C$7, US_national_yearly!$D$1:$AM$1, 0), FALSE), 1)</f>
        <v>1.1425274993696159E-2</v>
      </c>
      <c r="T11" s="12">
        <f>$B11 * IFERROR(VLOOKUP(Substitution!$M$5 &amp; $A11, US_national_yearly!$D:$AM, MATCH(T$1, US_national_yearly!$D$1:$AM$1, 0), FALSE) / VLOOKUP(Substitution!$M$5 &amp; $A11, US_national_yearly!$D:$AM, MATCH(Keys!$C$7, US_national_yearly!$D$1:$AM$1, 0), FALSE), 1)</f>
        <v>1.148959241975062E-2</v>
      </c>
      <c r="U11" s="12">
        <f>$B11 * IFERROR(VLOOKUP(Substitution!$M$5 &amp; $A11, US_national_yearly!$D:$AM, MATCH(U$1, US_national_yearly!$D$1:$AM$1, 0), FALSE) / VLOOKUP(Substitution!$M$5 &amp; $A11, US_national_yearly!$D:$AM, MATCH(Keys!$C$7, US_national_yearly!$D$1:$AM$1, 0), FALSE), 1)</f>
        <v>1.155390984580508E-2</v>
      </c>
      <c r="V11" s="12">
        <f>$B11 * IFERROR(VLOOKUP(Substitution!$M$5 &amp; $A11, US_national_yearly!$D:$AM, MATCH(V$1, US_national_yearly!$D$1:$AM$1, 0), FALSE) / VLOOKUP(Substitution!$M$5 &amp; $A11, US_national_yearly!$D:$AM, MATCH(Keys!$C$7, US_national_yearly!$D$1:$AM$1, 0), FALSE), 1)</f>
        <v>1.161822727185954E-2</v>
      </c>
      <c r="W11" s="12">
        <f>$B11 * IFERROR(VLOOKUP(Substitution!$M$5 &amp; $A11, US_national_yearly!$D:$AM, MATCH(W$1, US_national_yearly!$D$1:$AM$1, 0), FALSE) / VLOOKUP(Substitution!$M$5 &amp; $A11, US_national_yearly!$D:$AM, MATCH(Keys!$C$7, US_national_yearly!$D$1:$AM$1, 0), FALSE), 1)</f>
        <v>1.1682544697914E-2</v>
      </c>
      <c r="X11" s="12">
        <f>$B11 * IFERROR(VLOOKUP(Substitution!$M$5 &amp; $A11, US_national_yearly!$D:$AM, MATCH(X$1, US_national_yearly!$D$1:$AM$1, 0), FALSE) / VLOOKUP(Substitution!$M$5 &amp; $A11, US_national_yearly!$D:$AM, MATCH(Keys!$C$7, US_national_yearly!$D$1:$AM$1, 0), FALSE), 1)</f>
        <v>1.1742465471941381E-2</v>
      </c>
      <c r="Y11" s="12">
        <f>$B11 * IFERROR(VLOOKUP(Substitution!$M$5 &amp; $A11, US_national_yearly!$D:$AM, MATCH(Y$1, US_national_yearly!$D$1:$AM$1, 0), FALSE) / VLOOKUP(Substitution!$M$5 &amp; $A11, US_national_yearly!$D:$AM, MATCH(Keys!$C$7, US_national_yearly!$D$1:$AM$1, 0), FALSE), 1)</f>
        <v>1.1802386245968761E-2</v>
      </c>
      <c r="Z11" s="12">
        <f>$B11 * IFERROR(VLOOKUP(Substitution!$M$5 &amp; $A11, US_national_yearly!$D:$AM, MATCH(Z$1, US_national_yearly!$D$1:$AM$1, 0), FALSE) / VLOOKUP(Substitution!$M$5 &amp; $A11, US_national_yearly!$D:$AM, MATCH(Keys!$C$7, US_national_yearly!$D$1:$AM$1, 0), FALSE), 1)</f>
        <v>1.1862307019996139E-2</v>
      </c>
      <c r="AA11" s="12">
        <f>$B11 * IFERROR(VLOOKUP(Substitution!$M$5 &amp; $A11, US_national_yearly!$D:$AM, MATCH(AA$1, US_national_yearly!$D$1:$AM$1, 0), FALSE) / VLOOKUP(Substitution!$M$5 &amp; $A11, US_national_yearly!$D:$AM, MATCH(Keys!$C$7, US_national_yearly!$D$1:$AM$1, 0), FALSE), 1)</f>
        <v>1.1922227794023519E-2</v>
      </c>
      <c r="AB11" s="12">
        <f>$B11 * IFERROR(VLOOKUP(Substitution!$M$5 &amp; $A11, US_national_yearly!$D:$AM, MATCH(AB$1, US_national_yearly!$D$1:$AM$1, 0), FALSE) / VLOOKUP(Substitution!$M$5 &amp; $A11, US_national_yearly!$D:$AM, MATCH(Keys!$C$7, US_national_yearly!$D$1:$AM$1, 0), FALSE), 1)</f>
        <v>1.1982148568050899E-2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Substitution!$G$5)/IFERROR(SUMIFS(COBRA_aggregated!$U:$U, COBRA_aggregated!$A:$A, About!$B$1, COBRA_aggregated!$B:$B, Substitution!$G$5), 1)</f>
        <v>3.430933856460581E-3</v>
      </c>
      <c r="C12" s="12">
        <f>$B12 * IFERROR(VLOOKUP(Substitution!$M$5 &amp; $A12, US_national_yearly!$D:$AM, MATCH(C$1, US_national_yearly!$D$1:$AM$1, 0), FALSE) / VLOOKUP(Substitution!$M$5 &amp; $A12, US_national_yearly!$D:$AM, MATCH(Keys!$C$7, US_national_yearly!$D$1:$AM$1, 0), FALSE), 1)</f>
        <v>3.4505985864640687E-3</v>
      </c>
      <c r="D12" s="12">
        <f>$B12 * IFERROR(VLOOKUP(Substitution!$M$5 &amp; $A12, US_national_yearly!$D:$AM, MATCH(D$1, US_national_yearly!$D$1:$AM$1, 0), FALSE) / VLOOKUP(Substitution!$M$5 &amp; $A12, US_national_yearly!$D:$AM, MATCH(Keys!$C$7, US_national_yearly!$D$1:$AM$1, 0), FALSE), 1)</f>
        <v>3.4702633164675561E-3</v>
      </c>
      <c r="E12" s="12">
        <f>$B12 * IFERROR(VLOOKUP(Substitution!$M$5 &amp; $A12, US_national_yearly!$D:$AM, MATCH(E$1, US_national_yearly!$D$1:$AM$1, 0), FALSE) / VLOOKUP(Substitution!$M$5 &amp; $A12, US_national_yearly!$D:$AM, MATCH(Keys!$C$7, US_national_yearly!$D$1:$AM$1, 0), FALSE), 1)</f>
        <v>3.4899280464710442E-3</v>
      </c>
      <c r="F12" s="12">
        <f>$B12 * IFERROR(VLOOKUP(Substitution!$M$5 &amp; $A12, US_national_yearly!$D:$AM, MATCH(F$1, US_national_yearly!$D$1:$AM$1, 0), FALSE) / VLOOKUP(Substitution!$M$5 &amp; $A12, US_national_yearly!$D:$AM, MATCH(Keys!$C$7, US_national_yearly!$D$1:$AM$1, 0), FALSE), 1)</f>
        <v>3.5095927764745311E-3</v>
      </c>
      <c r="G12" s="12">
        <f>$B12 * IFERROR(VLOOKUP(Substitution!$M$5 &amp; $A12, US_national_yearly!$D:$AM, MATCH(G$1, US_national_yearly!$D$1:$AM$1, 0), FALSE) / VLOOKUP(Substitution!$M$5 &amp; $A12, US_national_yearly!$D:$AM, MATCH(Keys!$C$7, US_national_yearly!$D$1:$AM$1, 0), FALSE), 1)</f>
        <v>3.5308315236827772E-3</v>
      </c>
      <c r="H12" s="12">
        <f>$B12 * IFERROR(VLOOKUP(Substitution!$M$5 &amp; $A12, US_national_yearly!$D:$AM, MATCH(H$1, US_national_yearly!$D$1:$AM$1, 0), FALSE) / VLOOKUP(Substitution!$M$5 &amp; $A12, US_national_yearly!$D:$AM, MATCH(Keys!$C$7, US_national_yearly!$D$1:$AM$1, 0), FALSE), 1)</f>
        <v>3.5520702708910232E-3</v>
      </c>
      <c r="I12" s="12">
        <f>$B12 * IFERROR(VLOOKUP(Substitution!$M$5 &amp; $A12, US_national_yearly!$D:$AM, MATCH(I$1, US_national_yearly!$D$1:$AM$1, 0), FALSE) / VLOOKUP(Substitution!$M$5 &amp; $A12, US_national_yearly!$D:$AM, MATCH(Keys!$C$7, US_national_yearly!$D$1:$AM$1, 0), FALSE), 1)</f>
        <v>3.572363086913906E-3</v>
      </c>
      <c r="J12" s="12">
        <f>$B12 * IFERROR(VLOOKUP(Substitution!$M$5 &amp; $A12, US_national_yearly!$D:$AM, MATCH(J$1, US_national_yearly!$D$1:$AM$1, 0), FALSE) / VLOOKUP(Substitution!$M$5 &amp; $A12, US_national_yearly!$D:$AM, MATCH(Keys!$C$7, US_national_yearly!$D$1:$AM$1, 0), FALSE), 1)</f>
        <v>3.5926559029367902E-3</v>
      </c>
      <c r="K12" s="12">
        <f>$B12 * IFERROR(VLOOKUP(Substitution!$M$5 &amp; $A12, US_national_yearly!$D:$AM, MATCH(K$1, US_national_yearly!$D$1:$AM$1, 0), FALSE) / VLOOKUP(Substitution!$M$5 &amp; $A12, US_national_yearly!$D:$AM, MATCH(Keys!$C$7, US_national_yearly!$D$1:$AM$1, 0), FALSE), 1)</f>
        <v>3.6129487189596734E-3</v>
      </c>
      <c r="L12" s="12">
        <f>$B12 * IFERROR(VLOOKUP(Substitution!$M$5 &amp; $A12, US_national_yearly!$D:$AM, MATCH(L$1, US_national_yearly!$D$1:$AM$1, 0), FALSE) / VLOOKUP(Substitution!$M$5 &amp; $A12, US_national_yearly!$D:$AM, MATCH(Keys!$C$7, US_national_yearly!$D$1:$AM$1, 0), FALSE), 1)</f>
        <v>3.6332415349825571E-3</v>
      </c>
      <c r="M12" s="12">
        <f>$B12 * IFERROR(VLOOKUP(Substitution!$M$5 &amp; $A12, US_national_yearly!$D:$AM, MATCH(M$1, US_national_yearly!$D$1:$AM$1, 0), FALSE) / VLOOKUP(Substitution!$M$5 &amp; $A12, US_national_yearly!$D:$AM, MATCH(Keys!$C$7, US_national_yearly!$D$1:$AM$1, 0), FALSE), 1)</f>
        <v>3.6535343510054399E-3</v>
      </c>
      <c r="N12" s="12">
        <f>$B12 * IFERROR(VLOOKUP(Substitution!$M$5 &amp; $A12, US_national_yearly!$D:$AM, MATCH(N$1, US_national_yearly!$D$1:$AM$1, 0), FALSE) / VLOOKUP(Substitution!$M$5 &amp; $A12, US_national_yearly!$D:$AM, MATCH(Keys!$C$7, US_national_yearly!$D$1:$AM$1, 0), FALSE), 1)</f>
        <v>3.6680990972465508E-3</v>
      </c>
      <c r="O12" s="12">
        <f>$B12 * IFERROR(VLOOKUP(Substitution!$M$5 &amp; $A12, US_national_yearly!$D:$AM, MATCH(O$1, US_national_yearly!$D$1:$AM$1, 0), FALSE) / VLOOKUP(Substitution!$M$5 &amp; $A12, US_national_yearly!$D:$AM, MATCH(Keys!$C$7, US_national_yearly!$D$1:$AM$1, 0), FALSE), 1)</f>
        <v>3.6826638434876609E-3</v>
      </c>
      <c r="P12" s="12">
        <f>$B12 * IFERROR(VLOOKUP(Substitution!$M$5 &amp; $A12, US_national_yearly!$D:$AM, MATCH(P$1, US_national_yearly!$D$1:$AM$1, 0), FALSE) / VLOOKUP(Substitution!$M$5 &amp; $A12, US_national_yearly!$D:$AM, MATCH(Keys!$C$7, US_national_yearly!$D$1:$AM$1, 0), FALSE), 1)</f>
        <v>3.6972285897287705E-3</v>
      </c>
      <c r="Q12" s="12">
        <f>$B12 * IFERROR(VLOOKUP(Substitution!$M$5 &amp; $A12, US_national_yearly!$D:$AM, MATCH(Q$1, US_national_yearly!$D$1:$AM$1, 0), FALSE) / VLOOKUP(Substitution!$M$5 &amp; $A12, US_national_yearly!$D:$AM, MATCH(Keys!$C$7, US_national_yearly!$D$1:$AM$1, 0), FALSE), 1)</f>
        <v>3.7117933359698809E-3</v>
      </c>
      <c r="R12" s="12">
        <f>$B12 * IFERROR(VLOOKUP(Substitution!$M$5 &amp; $A12, US_national_yearly!$D:$AM, MATCH(R$1, US_national_yearly!$D$1:$AM$1, 0), FALSE) / VLOOKUP(Substitution!$M$5 &amp; $A12, US_national_yearly!$D:$AM, MATCH(Keys!$C$7, US_national_yearly!$D$1:$AM$1, 0), FALSE), 1)</f>
        <v>3.7263580822109918E-3</v>
      </c>
      <c r="S12" s="12">
        <f>$B12 * IFERROR(VLOOKUP(Substitution!$M$5 &amp; $A12, US_national_yearly!$D:$AM, MATCH(S$1, US_national_yearly!$D$1:$AM$1, 0), FALSE) / VLOOKUP(Substitution!$M$5 &amp; $A12, US_national_yearly!$D:$AM, MATCH(Keys!$C$7, US_national_yearly!$D$1:$AM$1, 0), FALSE), 1)</f>
        <v>3.7402256397981197E-3</v>
      </c>
      <c r="T12" s="12">
        <f>$B12 * IFERROR(VLOOKUP(Substitution!$M$5 &amp; $A12, US_national_yearly!$D:$AM, MATCH(T$1, US_national_yearly!$D$1:$AM$1, 0), FALSE) / VLOOKUP(Substitution!$M$5 &amp; $A12, US_national_yearly!$D:$AM, MATCH(Keys!$C$7, US_national_yearly!$D$1:$AM$1, 0), FALSE), 1)</f>
        <v>3.7540931973852479E-3</v>
      </c>
      <c r="U12" s="12">
        <f>$B12 * IFERROR(VLOOKUP(Substitution!$M$5 &amp; $A12, US_national_yearly!$D:$AM, MATCH(U$1, US_national_yearly!$D$1:$AM$1, 0), FALSE) / VLOOKUP(Substitution!$M$5 &amp; $A12, US_national_yearly!$D:$AM, MATCH(Keys!$C$7, US_national_yearly!$D$1:$AM$1, 0), FALSE), 1)</f>
        <v>3.7679607549723757E-3</v>
      </c>
      <c r="V12" s="12">
        <f>$B12 * IFERROR(VLOOKUP(Substitution!$M$5 &amp; $A12, US_national_yearly!$D:$AM, MATCH(V$1, US_national_yearly!$D$1:$AM$1, 0), FALSE) / VLOOKUP(Substitution!$M$5 &amp; $A12, US_national_yearly!$D:$AM, MATCH(Keys!$C$7, US_national_yearly!$D$1:$AM$1, 0), FALSE), 1)</f>
        <v>3.7818283125595036E-3</v>
      </c>
      <c r="W12" s="12">
        <f>$B12 * IFERROR(VLOOKUP(Substitution!$M$5 &amp; $A12, US_national_yearly!$D:$AM, MATCH(W$1, US_national_yearly!$D$1:$AM$1, 0), FALSE) / VLOOKUP(Substitution!$M$5 &amp; $A12, US_national_yearly!$D:$AM, MATCH(Keys!$C$7, US_national_yearly!$D$1:$AM$1, 0), FALSE), 1)</f>
        <v>3.7956958701466314E-3</v>
      </c>
      <c r="X12" s="12">
        <f>$B12 * IFERROR(VLOOKUP(Substitution!$M$5 &amp; $A12, US_national_yearly!$D:$AM, MATCH(X$1, US_national_yearly!$D$1:$AM$1, 0), FALSE) / VLOOKUP(Substitution!$M$5 &amp; $A12, US_national_yearly!$D:$AM, MATCH(Keys!$C$7, US_national_yearly!$D$1:$AM$1, 0), FALSE), 1)</f>
        <v>3.8090366374423732E-3</v>
      </c>
      <c r="Y12" s="12">
        <f>$B12 * IFERROR(VLOOKUP(Substitution!$M$5 &amp; $A12, US_national_yearly!$D:$AM, MATCH(Y$1, US_national_yearly!$D$1:$AM$1, 0), FALSE) / VLOOKUP(Substitution!$M$5 &amp; $A12, US_national_yearly!$D:$AM, MATCH(Keys!$C$7, US_national_yearly!$D$1:$AM$1, 0), FALSE), 1)</f>
        <v>3.8223774047381133E-3</v>
      </c>
      <c r="Z12" s="12">
        <f>$B12 * IFERROR(VLOOKUP(Substitution!$M$5 &amp; $A12, US_national_yearly!$D:$AM, MATCH(Z$1, US_national_yearly!$D$1:$AM$1, 0), FALSE) / VLOOKUP(Substitution!$M$5 &amp; $A12, US_national_yearly!$D:$AM, MATCH(Keys!$C$7, US_national_yearly!$D$1:$AM$1, 0), FALSE), 1)</f>
        <v>3.8357181720338543E-3</v>
      </c>
      <c r="AA12" s="12">
        <f>$B12 * IFERROR(VLOOKUP(Substitution!$M$5 &amp; $A12, US_national_yearly!$D:$AM, MATCH(AA$1, US_national_yearly!$D$1:$AM$1, 0), FALSE) / VLOOKUP(Substitution!$M$5 &amp; $A12, US_national_yearly!$D:$AM, MATCH(Keys!$C$7, US_national_yearly!$D$1:$AM$1, 0), FALSE), 1)</f>
        <v>3.8490589393295944E-3</v>
      </c>
      <c r="AB12" s="12">
        <f>$B12 * IFERROR(VLOOKUP(Substitution!$M$5 &amp; $A12, US_national_yearly!$D:$AM, MATCH(AB$1, US_national_yearly!$D$1:$AM$1, 0), FALSE) / VLOOKUP(Substitution!$M$5 &amp; $A12, US_national_yearly!$D:$AM, MATCH(Keys!$C$7, US_national_yearly!$D$1:$AM$1, 0), FALSE), 1)</f>
        <v>3.8623997066253354E-3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Substitution!$G$5)/IFERROR(SUMIFS(COBRA_aggregated!$U:$U, COBRA_aggregated!$A:$A, About!$B$1, COBRA_aggregated!$B:$B, Substitution!$G$5), 1)</f>
        <v>2.1675433845824266E-2</v>
      </c>
      <c r="C13" s="12">
        <f>$B13 * IFERROR(VLOOKUP(Substitution!$M$5 &amp; $A13, US_national_yearly!$D:$AM, MATCH(C$1, US_national_yearly!$D$1:$AM$1, 0), FALSE) / VLOOKUP(Substitution!$M$5 &amp; $A13, US_national_yearly!$D:$AM, MATCH(Keys!$C$7, US_national_yearly!$D$1:$AM$1, 0), FALSE), 1)</f>
        <v>2.2305596227740643E-2</v>
      </c>
      <c r="D13" s="12">
        <f>$B13 * IFERROR(VLOOKUP(Substitution!$M$5 &amp; $A13, US_national_yearly!$D:$AM, MATCH(D$1, US_national_yearly!$D$1:$AM$1, 0), FALSE) / VLOOKUP(Substitution!$M$5 &amp; $A13, US_national_yearly!$D:$AM, MATCH(Keys!$C$7, US_national_yearly!$D$1:$AM$1, 0), FALSE), 1)</f>
        <v>2.2935758609657016E-2</v>
      </c>
      <c r="E13" s="12">
        <f>$B13 * IFERROR(VLOOKUP(Substitution!$M$5 &amp; $A13, US_national_yearly!$D:$AM, MATCH(E$1, US_national_yearly!$D$1:$AM$1, 0), FALSE) / VLOOKUP(Substitution!$M$5 &amp; $A13, US_national_yearly!$D:$AM, MATCH(Keys!$C$7, US_national_yearly!$D$1:$AM$1, 0), FALSE), 1)</f>
        <v>2.356592099157339E-2</v>
      </c>
      <c r="F13" s="12">
        <f>$B13 * IFERROR(VLOOKUP(Substitution!$M$5 &amp; $A13, US_national_yearly!$D:$AM, MATCH(F$1, US_national_yearly!$D$1:$AM$1, 0), FALSE) / VLOOKUP(Substitution!$M$5 &amp; $A13, US_national_yearly!$D:$AM, MATCH(Keys!$C$7, US_national_yearly!$D$1:$AM$1, 0), FALSE), 1)</f>
        <v>2.4196083373489771E-2</v>
      </c>
      <c r="G13" s="12">
        <f>$B13 * IFERROR(VLOOKUP(Substitution!$M$5 &amp; $A13, US_national_yearly!$D:$AM, MATCH(G$1, US_national_yearly!$D$1:$AM$1, 0), FALSE) / VLOOKUP(Substitution!$M$5 &amp; $A13, US_national_yearly!$D:$AM, MATCH(Keys!$C$7, US_national_yearly!$D$1:$AM$1, 0), FALSE), 1)</f>
        <v>2.4790366337730352E-2</v>
      </c>
      <c r="H13" s="12">
        <f>$B13 * IFERROR(VLOOKUP(Substitution!$M$5 &amp; $A13, US_national_yearly!$D:$AM, MATCH(H$1, US_national_yearly!$D$1:$AM$1, 0), FALSE) / VLOOKUP(Substitution!$M$5 &amp; $A13, US_national_yearly!$D:$AM, MATCH(Keys!$C$7, US_national_yearly!$D$1:$AM$1, 0), FALSE), 1)</f>
        <v>2.5384649301970926E-2</v>
      </c>
      <c r="I13" s="12">
        <f>$B13 * IFERROR(VLOOKUP(Substitution!$M$5 &amp; $A13, US_national_yearly!$D:$AM, MATCH(I$1, US_national_yearly!$D$1:$AM$1, 0), FALSE) / VLOOKUP(Substitution!$M$5 &amp; $A13, US_national_yearly!$D:$AM, MATCH(Keys!$C$7, US_national_yearly!$D$1:$AM$1, 0), FALSE), 1)</f>
        <v>2.5862255054589264E-2</v>
      </c>
      <c r="J13" s="12">
        <f>$B13 * IFERROR(VLOOKUP(Substitution!$M$5 &amp; $A13, US_national_yearly!$D:$AM, MATCH(J$1, US_national_yearly!$D$1:$AM$1, 0), FALSE) / VLOOKUP(Substitution!$M$5 &amp; $A13, US_national_yearly!$D:$AM, MATCH(Keys!$C$7, US_national_yearly!$D$1:$AM$1, 0), FALSE), 1)</f>
        <v>2.6339860807207599E-2</v>
      </c>
      <c r="K13" s="12">
        <f>$B13 * IFERROR(VLOOKUP(Substitution!$M$5 &amp; $A13, US_national_yearly!$D:$AM, MATCH(K$1, US_national_yearly!$D$1:$AM$1, 0), FALSE) / VLOOKUP(Substitution!$M$5 &amp; $A13, US_national_yearly!$D:$AM, MATCH(Keys!$C$7, US_national_yearly!$D$1:$AM$1, 0), FALSE), 1)</f>
        <v>2.6817466559825941E-2</v>
      </c>
      <c r="L13" s="12">
        <f>$B13 * IFERROR(VLOOKUP(Substitution!$M$5 &amp; $A13, US_national_yearly!$D:$AM, MATCH(L$1, US_national_yearly!$D$1:$AM$1, 0), FALSE) / VLOOKUP(Substitution!$M$5 &amp; $A13, US_national_yearly!$D:$AM, MATCH(Keys!$C$7, US_national_yearly!$D$1:$AM$1, 0), FALSE), 1)</f>
        <v>2.7295072312444279E-2</v>
      </c>
      <c r="M13" s="12">
        <f>$B13 * IFERROR(VLOOKUP(Substitution!$M$5 &amp; $A13, US_national_yearly!$D:$AM, MATCH(M$1, US_national_yearly!$D$1:$AM$1, 0), FALSE) / VLOOKUP(Substitution!$M$5 &amp; $A13, US_national_yearly!$D:$AM, MATCH(Keys!$C$7, US_national_yearly!$D$1:$AM$1, 0), FALSE), 1)</f>
        <v>2.7772678065062621E-2</v>
      </c>
      <c r="N13" s="12">
        <f>$B13 * IFERROR(VLOOKUP(Substitution!$M$5 &amp; $A13, US_national_yearly!$D:$AM, MATCH(N$1, US_national_yearly!$D$1:$AM$1, 0), FALSE) / VLOOKUP(Substitution!$M$5 &amp; $A13, US_national_yearly!$D:$AM, MATCH(Keys!$C$7, US_national_yearly!$D$1:$AM$1, 0), FALSE), 1)</f>
        <v>2.8080686614092309E-2</v>
      </c>
      <c r="O13" s="12">
        <f>$B13 * IFERROR(VLOOKUP(Substitution!$M$5 &amp; $A13, US_national_yearly!$D:$AM, MATCH(O$1, US_national_yearly!$D$1:$AM$1, 0), FALSE) / VLOOKUP(Substitution!$M$5 &amp; $A13, US_national_yearly!$D:$AM, MATCH(Keys!$C$7, US_national_yearly!$D$1:$AM$1, 0), FALSE), 1)</f>
        <v>2.8388695163122001E-2</v>
      </c>
      <c r="P13" s="12">
        <f>$B13 * IFERROR(VLOOKUP(Substitution!$M$5 &amp; $A13, US_national_yearly!$D:$AM, MATCH(P$1, US_national_yearly!$D$1:$AM$1, 0), FALSE) / VLOOKUP(Substitution!$M$5 &amp; $A13, US_national_yearly!$D:$AM, MATCH(Keys!$C$7, US_national_yearly!$D$1:$AM$1, 0), FALSE), 1)</f>
        <v>2.8696703712151696E-2</v>
      </c>
      <c r="Q13" s="12">
        <f>$B13 * IFERROR(VLOOKUP(Substitution!$M$5 &amp; $A13, US_national_yearly!$D:$AM, MATCH(Q$1, US_national_yearly!$D$1:$AM$1, 0), FALSE) / VLOOKUP(Substitution!$M$5 &amp; $A13, US_national_yearly!$D:$AM, MATCH(Keys!$C$7, US_national_yearly!$D$1:$AM$1, 0), FALSE), 1)</f>
        <v>2.9004712261181384E-2</v>
      </c>
      <c r="R13" s="12">
        <f>$B13 * IFERROR(VLOOKUP(Substitution!$M$5 &amp; $A13, US_national_yearly!$D:$AM, MATCH(R$1, US_national_yearly!$D$1:$AM$1, 0), FALSE) / VLOOKUP(Substitution!$M$5 &amp; $A13, US_national_yearly!$D:$AM, MATCH(Keys!$C$7, US_national_yearly!$D$1:$AM$1, 0), FALSE), 1)</f>
        <v>2.9312720810211076E-2</v>
      </c>
      <c r="S13" s="12">
        <f>$B13 * IFERROR(VLOOKUP(Substitution!$M$5 &amp; $A13, US_national_yearly!$D:$AM, MATCH(S$1, US_national_yearly!$D$1:$AM$1, 0), FALSE) / VLOOKUP(Substitution!$M$5 &amp; $A13, US_national_yearly!$D:$AM, MATCH(Keys!$C$7, US_national_yearly!$D$1:$AM$1, 0), FALSE), 1)</f>
        <v>2.9474926911867198E-2</v>
      </c>
      <c r="T13" s="12">
        <f>$B13 * IFERROR(VLOOKUP(Substitution!$M$5 &amp; $A13, US_national_yearly!$D:$AM, MATCH(T$1, US_national_yearly!$D$1:$AM$1, 0), FALSE) / VLOOKUP(Substitution!$M$5 &amp; $A13, US_national_yearly!$D:$AM, MATCH(Keys!$C$7, US_national_yearly!$D$1:$AM$1, 0), FALSE), 1)</f>
        <v>2.9637133013523331E-2</v>
      </c>
      <c r="U13" s="12">
        <f>$B13 * IFERROR(VLOOKUP(Substitution!$M$5 &amp; $A13, US_national_yearly!$D:$AM, MATCH(U$1, US_national_yearly!$D$1:$AM$1, 0), FALSE) / VLOOKUP(Substitution!$M$5 &amp; $A13, US_national_yearly!$D:$AM, MATCH(Keys!$C$7, US_national_yearly!$D$1:$AM$1, 0), FALSE), 1)</f>
        <v>2.9799339115179464E-2</v>
      </c>
      <c r="V13" s="12">
        <f>$B13 * IFERROR(VLOOKUP(Substitution!$M$5 &amp; $A13, US_national_yearly!$D:$AM, MATCH(V$1, US_national_yearly!$D$1:$AM$1, 0), FALSE) / VLOOKUP(Substitution!$M$5 &amp; $A13, US_national_yearly!$D:$AM, MATCH(Keys!$C$7, US_national_yearly!$D$1:$AM$1, 0), FALSE), 1)</f>
        <v>2.9961545216835594E-2</v>
      </c>
      <c r="W13" s="12">
        <f>$B13 * IFERROR(VLOOKUP(Substitution!$M$5 &amp; $A13, US_national_yearly!$D:$AM, MATCH(W$1, US_national_yearly!$D$1:$AM$1, 0), FALSE) / VLOOKUP(Substitution!$M$5 &amp; $A13, US_national_yearly!$D:$AM, MATCH(Keys!$C$7, US_national_yearly!$D$1:$AM$1, 0), FALSE), 1)</f>
        <v>3.012375131849172E-2</v>
      </c>
      <c r="X13" s="12">
        <f>$B13 * IFERROR(VLOOKUP(Substitution!$M$5 &amp; $A13, US_national_yearly!$D:$AM, MATCH(X$1, US_national_yearly!$D$1:$AM$1, 0), FALSE) / VLOOKUP(Substitution!$M$5 &amp; $A13, US_national_yearly!$D:$AM, MATCH(Keys!$C$7, US_national_yearly!$D$1:$AM$1, 0), FALSE), 1)</f>
        <v>3.0246889204168983E-2</v>
      </c>
      <c r="Y13" s="12">
        <f>$B13 * IFERROR(VLOOKUP(Substitution!$M$5 &amp; $A13, US_national_yearly!$D:$AM, MATCH(Y$1, US_national_yearly!$D$1:$AM$1, 0), FALSE) / VLOOKUP(Substitution!$M$5 &amp; $A13, US_national_yearly!$D:$AM, MATCH(Keys!$C$7, US_national_yearly!$D$1:$AM$1, 0), FALSE), 1)</f>
        <v>3.0370027089846249E-2</v>
      </c>
      <c r="Z13" s="12">
        <f>$B13 * IFERROR(VLOOKUP(Substitution!$M$5 &amp; $A13, US_national_yearly!$D:$AM, MATCH(Z$1, US_national_yearly!$D$1:$AM$1, 0), FALSE) / VLOOKUP(Substitution!$M$5 &amp; $A13, US_national_yearly!$D:$AM, MATCH(Keys!$C$7, US_national_yearly!$D$1:$AM$1, 0), FALSE), 1)</f>
        <v>3.0493164975523512E-2</v>
      </c>
      <c r="AA13" s="12">
        <f>$B13 * IFERROR(VLOOKUP(Substitution!$M$5 &amp; $A13, US_national_yearly!$D:$AM, MATCH(AA$1, US_national_yearly!$D$1:$AM$1, 0), FALSE) / VLOOKUP(Substitution!$M$5 &amp; $A13, US_national_yearly!$D:$AM, MATCH(Keys!$C$7, US_national_yearly!$D$1:$AM$1, 0), FALSE), 1)</f>
        <v>3.0616302861200782E-2</v>
      </c>
      <c r="AB13" s="12">
        <f>$B13 * IFERROR(VLOOKUP(Substitution!$M$5 &amp; $A13, US_national_yearly!$D:$AM, MATCH(AB$1, US_national_yearly!$D$1:$AM$1, 0), FALSE) / VLOOKUP(Substitution!$M$5 &amp; $A13, US_national_yearly!$D:$AM, MATCH(Keys!$C$7, US_national_yearly!$D$1:$AM$1, 0), FALSE), 1)</f>
        <v>3.0739440746878045E-2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Substitution!$G$5)/IFERROR(SUMIFS(COBRA_aggregated!$U:$U, COBRA_aggregated!$A:$A, About!$B$1, COBRA_aggregated!$B:$B, Substitution!$G$5), 1)</f>
        <v>15.210770988756927</v>
      </c>
      <c r="C14" s="12">
        <f>$B14 * IFERROR(VLOOKUP(Substitution!$M$5 &amp; $A14, US_national_yearly!$D:$AM, MATCH(C$1, US_national_yearly!$D$1:$AM$1, 0), FALSE) / VLOOKUP(Substitution!$M$5 &amp; $A14, US_national_yearly!$D:$AM, MATCH(Keys!$C$7, US_national_yearly!$D$1:$AM$1, 0), FALSE), 1)</f>
        <v>15.247917495370247</v>
      </c>
      <c r="D14" s="12">
        <f>$B14 * IFERROR(VLOOKUP(Substitution!$M$5 &amp; $A14, US_national_yearly!$D:$AM, MATCH(D$1, US_national_yearly!$D$1:$AM$1, 0), FALSE) / VLOOKUP(Substitution!$M$5 &amp; $A14, US_national_yearly!$D:$AM, MATCH(Keys!$C$7, US_national_yearly!$D$1:$AM$1, 0), FALSE), 1)</f>
        <v>15.285064001983567</v>
      </c>
      <c r="E14" s="12">
        <f>$B14 * IFERROR(VLOOKUP(Substitution!$M$5 &amp; $A14, US_national_yearly!$D:$AM, MATCH(E$1, US_national_yearly!$D$1:$AM$1, 0), FALSE) / VLOOKUP(Substitution!$M$5 &amp; $A14, US_national_yearly!$D:$AM, MATCH(Keys!$C$7, US_national_yearly!$D$1:$AM$1, 0), FALSE), 1)</f>
        <v>15.322210508596889</v>
      </c>
      <c r="F14" s="12">
        <f>$B14 * IFERROR(VLOOKUP(Substitution!$M$5 &amp; $A14, US_national_yearly!$D:$AM, MATCH(F$1, US_national_yearly!$D$1:$AM$1, 0), FALSE) / VLOOKUP(Substitution!$M$5 &amp; $A14, US_national_yearly!$D:$AM, MATCH(Keys!$C$7, US_national_yearly!$D$1:$AM$1, 0), FALSE), 1)</f>
        <v>15.359357015210206</v>
      </c>
      <c r="G14" s="12">
        <f>$B14 * IFERROR(VLOOKUP(Substitution!$M$5 &amp; $A14, US_national_yearly!$D:$AM, MATCH(G$1, US_national_yearly!$D$1:$AM$1, 0), FALSE) / VLOOKUP(Substitution!$M$5 &amp; $A14, US_national_yearly!$D:$AM, MATCH(Keys!$C$7, US_national_yearly!$D$1:$AM$1, 0), FALSE), 1)</f>
        <v>15.414165574019554</v>
      </c>
      <c r="H14" s="12">
        <f>$B14 * IFERROR(VLOOKUP(Substitution!$M$5 &amp; $A14, US_national_yearly!$D:$AM, MATCH(H$1, US_national_yearly!$D$1:$AM$1, 0), FALSE) / VLOOKUP(Substitution!$M$5 &amp; $A14, US_national_yearly!$D:$AM, MATCH(Keys!$C$7, US_national_yearly!$D$1:$AM$1, 0), FALSE), 1)</f>
        <v>15.468974132828903</v>
      </c>
      <c r="I14" s="12">
        <f>$B14 * IFERROR(VLOOKUP(Substitution!$M$5 &amp; $A14, US_national_yearly!$D:$AM, MATCH(I$1, US_national_yearly!$D$1:$AM$1, 0), FALSE) / VLOOKUP(Substitution!$M$5 &amp; $A14, US_national_yearly!$D:$AM, MATCH(Keys!$C$7, US_national_yearly!$D$1:$AM$1, 0), FALSE), 1)</f>
        <v>15.562671669955085</v>
      </c>
      <c r="J14" s="12">
        <f>$B14 * IFERROR(VLOOKUP(Substitution!$M$5 &amp; $A14, US_national_yearly!$D:$AM, MATCH(J$1, US_national_yearly!$D$1:$AM$1, 0), FALSE) / VLOOKUP(Substitution!$M$5 &amp; $A14, US_national_yearly!$D:$AM, MATCH(Keys!$C$7, US_national_yearly!$D$1:$AM$1, 0), FALSE), 1)</f>
        <v>15.65636920708126</v>
      </c>
      <c r="K14" s="12">
        <f>$B14 * IFERROR(VLOOKUP(Substitution!$M$5 &amp; $A14, US_national_yearly!$D:$AM, MATCH(K$1, US_national_yearly!$D$1:$AM$1, 0), FALSE) / VLOOKUP(Substitution!$M$5 &amp; $A14, US_national_yearly!$D:$AM, MATCH(Keys!$C$7, US_national_yearly!$D$1:$AM$1, 0), FALSE), 1)</f>
        <v>15.750066744207443</v>
      </c>
      <c r="L14" s="12">
        <f>$B14 * IFERROR(VLOOKUP(Substitution!$M$5 &amp; $A14, US_national_yearly!$D:$AM, MATCH(L$1, US_national_yearly!$D$1:$AM$1, 0), FALSE) / VLOOKUP(Substitution!$M$5 &amp; $A14, US_national_yearly!$D:$AM, MATCH(Keys!$C$7, US_national_yearly!$D$1:$AM$1, 0), FALSE), 1)</f>
        <v>15.84376428133362</v>
      </c>
      <c r="M14" s="12">
        <f>$B14 * IFERROR(VLOOKUP(Substitution!$M$5 &amp; $A14, US_national_yearly!$D:$AM, MATCH(M$1, US_national_yearly!$D$1:$AM$1, 0), FALSE) / VLOOKUP(Substitution!$M$5 &amp; $A14, US_national_yearly!$D:$AM, MATCH(Keys!$C$7, US_national_yearly!$D$1:$AM$1, 0), FALSE), 1)</f>
        <v>15.937461818459798</v>
      </c>
      <c r="N14" s="12">
        <f>$B14 * IFERROR(VLOOKUP(Substitution!$M$5 &amp; $A14, US_national_yearly!$D:$AM, MATCH(N$1, US_national_yearly!$D$1:$AM$1, 0), FALSE) / VLOOKUP(Substitution!$M$5 &amp; $A14, US_national_yearly!$D:$AM, MATCH(Keys!$C$7, US_national_yearly!$D$1:$AM$1, 0), FALSE), 1)</f>
        <v>16.065096519172123</v>
      </c>
      <c r="O14" s="12">
        <f>$B14 * IFERROR(VLOOKUP(Substitution!$M$5 &amp; $A14, US_national_yearly!$D:$AM, MATCH(O$1, US_national_yearly!$D$1:$AM$1, 0), FALSE) / VLOOKUP(Substitution!$M$5 &amp; $A14, US_national_yearly!$D:$AM, MATCH(Keys!$C$7, US_national_yearly!$D$1:$AM$1, 0), FALSE), 1)</f>
        <v>16.19273121988444</v>
      </c>
      <c r="P14" s="12">
        <f>$B14 * IFERROR(VLOOKUP(Substitution!$M$5 &amp; $A14, US_national_yearly!$D:$AM, MATCH(P$1, US_national_yearly!$D$1:$AM$1, 0), FALSE) / VLOOKUP(Substitution!$M$5 &amp; $A14, US_national_yearly!$D:$AM, MATCH(Keys!$C$7, US_national_yearly!$D$1:$AM$1, 0), FALSE), 1)</f>
        <v>16.32036592059676</v>
      </c>
      <c r="Q14" s="12">
        <f>$B14 * IFERROR(VLOOKUP(Substitution!$M$5 &amp; $A14, US_national_yearly!$D:$AM, MATCH(Q$1, US_national_yearly!$D$1:$AM$1, 0), FALSE) / VLOOKUP(Substitution!$M$5 &amp; $A14, US_national_yearly!$D:$AM, MATCH(Keys!$C$7, US_national_yearly!$D$1:$AM$1, 0), FALSE), 1)</f>
        <v>16.448000621309081</v>
      </c>
      <c r="R14" s="12">
        <f>$B14 * IFERROR(VLOOKUP(Substitution!$M$5 &amp; $A14, US_national_yearly!$D:$AM, MATCH(R$1, US_national_yearly!$D$1:$AM$1, 0), FALSE) / VLOOKUP(Substitution!$M$5 &amp; $A14, US_national_yearly!$D:$AM, MATCH(Keys!$C$7, US_national_yearly!$D$1:$AM$1, 0), FALSE), 1)</f>
        <v>16.575635322021398</v>
      </c>
      <c r="S14" s="12">
        <f>$B14 * IFERROR(VLOOKUP(Substitution!$M$5 &amp; $A14, US_national_yearly!$D:$AM, MATCH(S$1, US_national_yearly!$D$1:$AM$1, 0), FALSE) / VLOOKUP(Substitution!$M$5 &amp; $A14, US_national_yearly!$D:$AM, MATCH(Keys!$C$7, US_national_yearly!$D$1:$AM$1, 0), FALSE), 1)</f>
        <v>16.704149001094262</v>
      </c>
      <c r="T14" s="12">
        <f>$B14 * IFERROR(VLOOKUP(Substitution!$M$5 &amp; $A14, US_national_yearly!$D:$AM, MATCH(T$1, US_national_yearly!$D$1:$AM$1, 0), FALSE) / VLOOKUP(Substitution!$M$5 &amp; $A14, US_national_yearly!$D:$AM, MATCH(Keys!$C$7, US_national_yearly!$D$1:$AM$1, 0), FALSE), 1)</f>
        <v>16.832662680167125</v>
      </c>
      <c r="U14" s="12">
        <f>$B14 * IFERROR(VLOOKUP(Substitution!$M$5 &amp; $A14, US_national_yearly!$D:$AM, MATCH(U$1, US_national_yearly!$D$1:$AM$1, 0), FALSE) / VLOOKUP(Substitution!$M$5 &amp; $A14, US_national_yearly!$D:$AM, MATCH(Keys!$C$7, US_national_yearly!$D$1:$AM$1, 0), FALSE), 1)</f>
        <v>16.961176359239989</v>
      </c>
      <c r="V14" s="12">
        <f>$B14 * IFERROR(VLOOKUP(Substitution!$M$5 &amp; $A14, US_national_yearly!$D:$AM, MATCH(V$1, US_national_yearly!$D$1:$AM$1, 0), FALSE) / VLOOKUP(Substitution!$M$5 &amp; $A14, US_national_yearly!$D:$AM, MATCH(Keys!$C$7, US_national_yearly!$D$1:$AM$1, 0), FALSE), 1)</f>
        <v>17.089690038312852</v>
      </c>
      <c r="W14" s="12">
        <f>$B14 * IFERROR(VLOOKUP(Substitution!$M$5 &amp; $A14, US_national_yearly!$D:$AM, MATCH(W$1, US_national_yearly!$D$1:$AM$1, 0), FALSE) / VLOOKUP(Substitution!$M$5 &amp; $A14, US_national_yearly!$D:$AM, MATCH(Keys!$C$7, US_national_yearly!$D$1:$AM$1, 0), FALSE), 1)</f>
        <v>17.21820371738572</v>
      </c>
      <c r="X14" s="12">
        <f>$B14 * IFERROR(VLOOKUP(Substitution!$M$5 &amp; $A14, US_national_yearly!$D:$AM, MATCH(X$1, US_national_yearly!$D$1:$AM$1, 0), FALSE) / VLOOKUP(Substitution!$M$5 &amp; $A14, US_national_yearly!$D:$AM, MATCH(Keys!$C$7, US_national_yearly!$D$1:$AM$1, 0), FALSE), 1)</f>
        <v>17.329766519543064</v>
      </c>
      <c r="Y14" s="12">
        <f>$B14 * IFERROR(VLOOKUP(Substitution!$M$5 &amp; $A14, US_national_yearly!$D:$AM, MATCH(Y$1, US_national_yearly!$D$1:$AM$1, 0), FALSE) / VLOOKUP(Substitution!$M$5 &amp; $A14, US_national_yearly!$D:$AM, MATCH(Keys!$C$7, US_national_yearly!$D$1:$AM$1, 0), FALSE), 1)</f>
        <v>17.441329321700408</v>
      </c>
      <c r="Z14" s="12">
        <f>$B14 * IFERROR(VLOOKUP(Substitution!$M$5 &amp; $A14, US_national_yearly!$D:$AM, MATCH(Z$1, US_national_yearly!$D$1:$AM$1, 0), FALSE) / VLOOKUP(Substitution!$M$5 &amp; $A14, US_national_yearly!$D:$AM, MATCH(Keys!$C$7, US_national_yearly!$D$1:$AM$1, 0), FALSE), 1)</f>
        <v>17.552892123857752</v>
      </c>
      <c r="AA14" s="12">
        <f>$B14 * IFERROR(VLOOKUP(Substitution!$M$5 &amp; $A14, US_national_yearly!$D:$AM, MATCH(AA$1, US_national_yearly!$D$1:$AM$1, 0), FALSE) / VLOOKUP(Substitution!$M$5 &amp; $A14, US_national_yearly!$D:$AM, MATCH(Keys!$C$7, US_national_yearly!$D$1:$AM$1, 0), FALSE), 1)</f>
        <v>17.664454926015093</v>
      </c>
      <c r="AB14" s="12">
        <f>$B14 * IFERROR(VLOOKUP(Substitution!$M$5 &amp; $A14, US_national_yearly!$D:$AM, MATCH(AB$1, US_national_yearly!$D$1:$AM$1, 0), FALSE) / VLOOKUP(Substitution!$M$5 &amp; $A14, US_national_yearly!$D:$AM, MATCH(Keys!$C$7, US_national_yearly!$D$1:$AM$1, 0), FALSE), 1)</f>
        <v>17.776017728172437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Substitution!$G$5)/IFERROR(SUMIFS(COBRA_aggregated!$U:$U, COBRA_aggregated!$A:$A, About!$B$1, COBRA_aggregated!$B:$B, Substitution!$G$5), 1)</f>
        <v>2.5766996049479842</v>
      </c>
      <c r="C15" s="12">
        <f>$B15 * IFERROR(VLOOKUP(Substitution!$M$5 &amp; $A15, US_national_yearly!$D:$AM, MATCH(C$1, US_national_yearly!$D$1:$AM$1, 0), FALSE) / VLOOKUP(Substitution!$M$5 &amp; $A15, US_national_yearly!$D:$AM, MATCH(Keys!$C$7, US_national_yearly!$D$1:$AM$1, 0), FALSE), 1)</f>
        <v>2.5846864456713772</v>
      </c>
      <c r="D15" s="12">
        <f>$B15 * IFERROR(VLOOKUP(Substitution!$M$5 &amp; $A15, US_national_yearly!$D:$AM, MATCH(D$1, US_national_yearly!$D$1:$AM$1, 0), FALSE) / VLOOKUP(Substitution!$M$5 &amp; $A15, US_national_yearly!$D:$AM, MATCH(Keys!$C$7, US_national_yearly!$D$1:$AM$1, 0), FALSE), 1)</f>
        <v>2.5926732863947701</v>
      </c>
      <c r="E15" s="12">
        <f>$B15 * IFERROR(VLOOKUP(Substitution!$M$5 &amp; $A15, US_national_yearly!$D:$AM, MATCH(E$1, US_national_yearly!$D$1:$AM$1, 0), FALSE) / VLOOKUP(Substitution!$M$5 &amp; $A15, US_national_yearly!$D:$AM, MATCH(Keys!$C$7, US_national_yearly!$D$1:$AM$1, 0), FALSE), 1)</f>
        <v>2.6006601271181631</v>
      </c>
      <c r="F15" s="12">
        <f>$B15 * IFERROR(VLOOKUP(Substitution!$M$5 &amp; $A15, US_national_yearly!$D:$AM, MATCH(F$1, US_national_yearly!$D$1:$AM$1, 0), FALSE) / VLOOKUP(Substitution!$M$5 &amp; $A15, US_national_yearly!$D:$AM, MATCH(Keys!$C$7, US_national_yearly!$D$1:$AM$1, 0), FALSE), 1)</f>
        <v>2.608646967841556</v>
      </c>
      <c r="G15" s="12">
        <f>$B15 * IFERROR(VLOOKUP(Substitution!$M$5 &amp; $A15, US_national_yearly!$D:$AM, MATCH(G$1, US_national_yearly!$D$1:$AM$1, 0), FALSE) / VLOOKUP(Substitution!$M$5 &amp; $A15, US_national_yearly!$D:$AM, MATCH(Keys!$C$7, US_national_yearly!$D$1:$AM$1, 0), FALSE), 1)</f>
        <v>2.6191182256778904</v>
      </c>
      <c r="H15" s="12">
        <f>$B15 * IFERROR(VLOOKUP(Substitution!$M$5 &amp; $A15, US_national_yearly!$D:$AM, MATCH(H$1, US_national_yearly!$D$1:$AM$1, 0), FALSE) / VLOOKUP(Substitution!$M$5 &amp; $A15, US_national_yearly!$D:$AM, MATCH(Keys!$C$7, US_national_yearly!$D$1:$AM$1, 0), FALSE), 1)</f>
        <v>2.6295894835142257</v>
      </c>
      <c r="I15" s="12">
        <f>$B15 * IFERROR(VLOOKUP(Substitution!$M$5 &amp; $A15, US_national_yearly!$D:$AM, MATCH(I$1, US_national_yearly!$D$1:$AM$1, 0), FALSE) / VLOOKUP(Substitution!$M$5 &amp; $A15, US_national_yearly!$D:$AM, MATCH(Keys!$C$7, US_national_yearly!$D$1:$AM$1, 0), FALSE), 1)</f>
        <v>2.6450095623585574</v>
      </c>
      <c r="J15" s="12">
        <f>$B15 * IFERROR(VLOOKUP(Substitution!$M$5 &amp; $A15, US_national_yearly!$D:$AM, MATCH(J$1, US_national_yearly!$D$1:$AM$1, 0), FALSE) / VLOOKUP(Substitution!$M$5 &amp; $A15, US_national_yearly!$D:$AM, MATCH(Keys!$C$7, US_national_yearly!$D$1:$AM$1, 0), FALSE), 1)</f>
        <v>2.6604296412028892</v>
      </c>
      <c r="K15" s="12">
        <f>$B15 * IFERROR(VLOOKUP(Substitution!$M$5 &amp; $A15, US_national_yearly!$D:$AM, MATCH(K$1, US_national_yearly!$D$1:$AM$1, 0), FALSE) / VLOOKUP(Substitution!$M$5 &amp; $A15, US_national_yearly!$D:$AM, MATCH(Keys!$C$7, US_national_yearly!$D$1:$AM$1, 0), FALSE), 1)</f>
        <v>2.6758497200472209</v>
      </c>
      <c r="L15" s="12">
        <f>$B15 * IFERROR(VLOOKUP(Substitution!$M$5 &amp; $A15, US_national_yearly!$D:$AM, MATCH(L$1, US_national_yearly!$D$1:$AM$1, 0), FALSE) / VLOOKUP(Substitution!$M$5 &amp; $A15, US_national_yearly!$D:$AM, MATCH(Keys!$C$7, US_national_yearly!$D$1:$AM$1, 0), FALSE), 1)</f>
        <v>2.6912697988915526</v>
      </c>
      <c r="M15" s="12">
        <f>$B15 * IFERROR(VLOOKUP(Substitution!$M$5 &amp; $A15, US_national_yearly!$D:$AM, MATCH(M$1, US_national_yearly!$D$1:$AM$1, 0), FALSE) / VLOOKUP(Substitution!$M$5 &amp; $A15, US_national_yearly!$D:$AM, MATCH(Keys!$C$7, US_national_yearly!$D$1:$AM$1, 0), FALSE), 1)</f>
        <v>2.7066898777358839</v>
      </c>
      <c r="N15" s="12">
        <f>$B15 * IFERROR(VLOOKUP(Substitution!$M$5 &amp; $A15, US_national_yearly!$D:$AM, MATCH(N$1, US_national_yearly!$D$1:$AM$1, 0), FALSE) / VLOOKUP(Substitution!$M$5 &amp; $A15, US_national_yearly!$D:$AM, MATCH(Keys!$C$7, US_national_yearly!$D$1:$AM$1, 0), FALSE), 1)</f>
        <v>2.7260972140887558</v>
      </c>
      <c r="O15" s="12">
        <f>$B15 * IFERROR(VLOOKUP(Substitution!$M$5 &amp; $A15, US_national_yearly!$D:$AM, MATCH(O$1, US_national_yearly!$D$1:$AM$1, 0), FALSE) / VLOOKUP(Substitution!$M$5 &amp; $A15, US_national_yearly!$D:$AM, MATCH(Keys!$C$7, US_national_yearly!$D$1:$AM$1, 0), FALSE), 1)</f>
        <v>2.7455045504416269</v>
      </c>
      <c r="P15" s="12">
        <f>$B15 * IFERROR(VLOOKUP(Substitution!$M$5 &amp; $A15, US_national_yearly!$D:$AM, MATCH(P$1, US_national_yearly!$D$1:$AM$1, 0), FALSE) / VLOOKUP(Substitution!$M$5 &amp; $A15, US_national_yearly!$D:$AM, MATCH(Keys!$C$7, US_national_yearly!$D$1:$AM$1, 0), FALSE), 1)</f>
        <v>2.7649118867944988</v>
      </c>
      <c r="Q15" s="12">
        <f>$B15 * IFERROR(VLOOKUP(Substitution!$M$5 &amp; $A15, US_national_yearly!$D:$AM, MATCH(Q$1, US_national_yearly!$D$1:$AM$1, 0), FALSE) / VLOOKUP(Substitution!$M$5 &amp; $A15, US_national_yearly!$D:$AM, MATCH(Keys!$C$7, US_national_yearly!$D$1:$AM$1, 0), FALSE), 1)</f>
        <v>2.7843192231473699</v>
      </c>
      <c r="R15" s="12">
        <f>$B15 * IFERROR(VLOOKUP(Substitution!$M$5 &amp; $A15, US_national_yearly!$D:$AM, MATCH(R$1, US_national_yearly!$D$1:$AM$1, 0), FALSE) / VLOOKUP(Substitution!$M$5 &amp; $A15, US_national_yearly!$D:$AM, MATCH(Keys!$C$7, US_national_yearly!$D$1:$AM$1, 0), FALSE), 1)</f>
        <v>2.8037265595002414</v>
      </c>
      <c r="S15" s="12">
        <f>$B15 * IFERROR(VLOOKUP(Substitution!$M$5 &amp; $A15, US_national_yearly!$D:$AM, MATCH(S$1, US_national_yearly!$D$1:$AM$1, 0), FALSE) / VLOOKUP(Substitution!$M$5 &amp; $A15, US_national_yearly!$D:$AM, MATCH(Keys!$C$7, US_national_yearly!$D$1:$AM$1, 0), FALSE), 1)</f>
        <v>2.8251919020727216</v>
      </c>
      <c r="T15" s="12">
        <f>$B15 * IFERROR(VLOOKUP(Substitution!$M$5 &amp; $A15, US_national_yearly!$D:$AM, MATCH(T$1, US_national_yearly!$D$1:$AM$1, 0), FALSE) / VLOOKUP(Substitution!$M$5 &amp; $A15, US_national_yearly!$D:$AM, MATCH(Keys!$C$7, US_national_yearly!$D$1:$AM$1, 0), FALSE), 1)</f>
        <v>2.8466572446452023</v>
      </c>
      <c r="U15" s="12">
        <f>$B15 * IFERROR(VLOOKUP(Substitution!$M$5 &amp; $A15, US_national_yearly!$D:$AM, MATCH(U$1, US_national_yearly!$D$1:$AM$1, 0), FALSE) / VLOOKUP(Substitution!$M$5 &amp; $A15, US_national_yearly!$D:$AM, MATCH(Keys!$C$7, US_national_yearly!$D$1:$AM$1, 0), FALSE), 1)</f>
        <v>2.8681225872176817</v>
      </c>
      <c r="V15" s="12">
        <f>$B15 * IFERROR(VLOOKUP(Substitution!$M$5 &amp; $A15, US_national_yearly!$D:$AM, MATCH(V$1, US_national_yearly!$D$1:$AM$1, 0), FALSE) / VLOOKUP(Substitution!$M$5 &amp; $A15, US_national_yearly!$D:$AM, MATCH(Keys!$C$7, US_national_yearly!$D$1:$AM$1, 0), FALSE), 1)</f>
        <v>2.8895879297901623</v>
      </c>
      <c r="W15" s="12">
        <f>$B15 * IFERROR(VLOOKUP(Substitution!$M$5 &amp; $A15, US_national_yearly!$D:$AM, MATCH(W$1, US_national_yearly!$D$1:$AM$1, 0), FALSE) / VLOOKUP(Substitution!$M$5 &amp; $A15, US_national_yearly!$D:$AM, MATCH(Keys!$C$7, US_national_yearly!$D$1:$AM$1, 0), FALSE), 1)</f>
        <v>2.9110532723626426</v>
      </c>
      <c r="X15" s="12">
        <f>$B15 * IFERROR(VLOOKUP(Substitution!$M$5 &amp; $A15, US_national_yearly!$D:$AM, MATCH(X$1, US_national_yearly!$D$1:$AM$1, 0), FALSE) / VLOOKUP(Substitution!$M$5 &amp; $A15, US_national_yearly!$D:$AM, MATCH(Keys!$C$7, US_national_yearly!$D$1:$AM$1, 0), FALSE), 1)</f>
        <v>2.93009882050508</v>
      </c>
      <c r="Y15" s="12">
        <f>$B15 * IFERROR(VLOOKUP(Substitution!$M$5 &amp; $A15, US_national_yearly!$D:$AM, MATCH(Y$1, US_national_yearly!$D$1:$AM$1, 0), FALSE) / VLOOKUP(Substitution!$M$5 &amp; $A15, US_national_yearly!$D:$AM, MATCH(Keys!$C$7, US_national_yearly!$D$1:$AM$1, 0), FALSE), 1)</f>
        <v>2.9491443686475174</v>
      </c>
      <c r="Z15" s="12">
        <f>$B15 * IFERROR(VLOOKUP(Substitution!$M$5 &amp; $A15, US_national_yearly!$D:$AM, MATCH(Z$1, US_national_yearly!$D$1:$AM$1, 0), FALSE) / VLOOKUP(Substitution!$M$5 &amp; $A15, US_national_yearly!$D:$AM, MATCH(Keys!$C$7, US_national_yearly!$D$1:$AM$1, 0), FALSE), 1)</f>
        <v>2.9681899167899553</v>
      </c>
      <c r="AA15" s="12">
        <f>$B15 * IFERROR(VLOOKUP(Substitution!$M$5 &amp; $A15, US_national_yearly!$D:$AM, MATCH(AA$1, US_national_yearly!$D$1:$AM$1, 0), FALSE) / VLOOKUP(Substitution!$M$5 &amp; $A15, US_national_yearly!$D:$AM, MATCH(Keys!$C$7, US_national_yearly!$D$1:$AM$1, 0), FALSE), 1)</f>
        <v>2.9872354649323931</v>
      </c>
      <c r="AB15" s="12">
        <f>$B15 * IFERROR(VLOOKUP(Substitution!$M$5 &amp; $A15, US_national_yearly!$D:$AM, MATCH(AB$1, US_national_yearly!$D$1:$AM$1, 0), FALSE) / VLOOKUP(Substitution!$M$5 &amp; $A15, US_national_yearly!$D:$AM, MATCH(Keys!$C$7, US_national_yearly!$D$1:$AM$1, 0), FALSE), 1)</f>
        <v>3.0062810130748305</v>
      </c>
    </row>
    <row r="16" spans="1:28" x14ac:dyDescent="0.25">
      <c r="A16" s="4" t="s">
        <v>319</v>
      </c>
      <c r="B16" s="12">
        <f>IFERROR(VLOOKUP(Substitution!$M$5 &amp; $A16, US_national_yearly!$D:$AM, MATCH(Keys!$C$7, US_national_yearly!$D$1:$AM$1, 0), FALSE), 0)</f>
        <v>9.3065679572927043E-4</v>
      </c>
      <c r="C16" s="12">
        <f>$B16 * IFERROR(VLOOKUP(Substitution!$M$5 &amp; $A16, US_national_yearly!$D:$AM, MATCH(C$1, US_national_yearly!$D$1:$AM$1, 0), FALSE) / VLOOKUP(Substitution!$M$5 &amp; $A16, US_national_yearly!$D:$AM, MATCH(Keys!$C$7, US_national_yearly!$D$1:$AM$1, 0), FALSE), 1)</f>
        <v>9.4882561704158778E-4</v>
      </c>
      <c r="D16" s="12">
        <f>$B16 * IFERROR(VLOOKUP(Substitution!$M$5 &amp; $A16, US_national_yearly!$D:$AM, MATCH(D$1, US_national_yearly!$D$1:$AM$1, 0), FALSE) / VLOOKUP(Substitution!$M$5 &amp; $A16, US_national_yearly!$D:$AM, MATCH(Keys!$C$7, US_national_yearly!$D$1:$AM$1, 0), FALSE), 1)</f>
        <v>9.6699443835390536E-4</v>
      </c>
      <c r="E16" s="12">
        <f>$B16 * IFERROR(VLOOKUP(Substitution!$M$5 &amp; $A16, US_national_yearly!$D:$AM, MATCH(E$1, US_national_yearly!$D$1:$AM$1, 0), FALSE) / VLOOKUP(Substitution!$M$5 &amp; $A16, US_national_yearly!$D:$AM, MATCH(Keys!$C$7, US_national_yearly!$D$1:$AM$1, 0), FALSE), 1)</f>
        <v>9.8516325966622261E-4</v>
      </c>
      <c r="F16" s="12">
        <f>$B16 * IFERROR(VLOOKUP(Substitution!$M$5 &amp; $A16, US_national_yearly!$D:$AM, MATCH(F$1, US_national_yearly!$D$1:$AM$1, 0), FALSE) / VLOOKUP(Substitution!$M$5 &amp; $A16, US_national_yearly!$D:$AM, MATCH(Keys!$C$7, US_national_yearly!$D$1:$AM$1, 0), FALSE), 1)</f>
        <v>1.0033320809785401E-3</v>
      </c>
      <c r="G16" s="12">
        <f>$B16 * IFERROR(VLOOKUP(Substitution!$M$5 &amp; $A16, US_national_yearly!$D:$AM, MATCH(G$1, US_national_yearly!$D$1:$AM$1, 0), FALSE) / VLOOKUP(Substitution!$M$5 &amp; $A16, US_national_yearly!$D:$AM, MATCH(Keys!$C$7, US_national_yearly!$D$1:$AM$1, 0), FALSE), 1)</f>
        <v>1.0225648401444251E-3</v>
      </c>
      <c r="H16" s="12">
        <f>$B16 * IFERROR(VLOOKUP(Substitution!$M$5 &amp; $A16, US_national_yearly!$D:$AM, MATCH(H$1, US_national_yearly!$D$1:$AM$1, 0), FALSE) / VLOOKUP(Substitution!$M$5 &amp; $A16, US_national_yearly!$D:$AM, MATCH(Keys!$C$7, US_national_yearly!$D$1:$AM$1, 0), FALSE), 1)</f>
        <v>1.0417975993103101E-3</v>
      </c>
      <c r="I16" s="12">
        <f>$B16 * IFERROR(VLOOKUP(Substitution!$M$5 &amp; $A16, US_national_yearly!$D:$AM, MATCH(I$1, US_national_yearly!$D$1:$AM$1, 0), FALSE) / VLOOKUP(Substitution!$M$5 &amp; $A16, US_national_yearly!$D:$AM, MATCH(Keys!$C$7, US_national_yearly!$D$1:$AM$1, 0), FALSE), 1)</f>
        <v>1.0623962113544721E-3</v>
      </c>
      <c r="J16" s="12">
        <f>$B16 * IFERROR(VLOOKUP(Substitution!$M$5 &amp; $A16, US_national_yearly!$D:$AM, MATCH(J$1, US_national_yearly!$D$1:$AM$1, 0), FALSE) / VLOOKUP(Substitution!$M$5 &amp; $A16, US_national_yearly!$D:$AM, MATCH(Keys!$C$7, US_national_yearly!$D$1:$AM$1, 0), FALSE), 1)</f>
        <v>1.0829948233986341E-3</v>
      </c>
      <c r="K16" s="12">
        <f>$B16 * IFERROR(VLOOKUP(Substitution!$M$5 &amp; $A16, US_national_yearly!$D:$AM, MATCH(K$1, US_national_yearly!$D$1:$AM$1, 0), FALSE) / VLOOKUP(Substitution!$M$5 &amp; $A16, US_national_yearly!$D:$AM, MATCH(Keys!$C$7, US_national_yearly!$D$1:$AM$1, 0), FALSE), 1)</f>
        <v>1.1035934354427959E-3</v>
      </c>
      <c r="L16" s="12">
        <f>$B16 * IFERROR(VLOOKUP(Substitution!$M$5 &amp; $A16, US_national_yearly!$D:$AM, MATCH(L$1, US_national_yearly!$D$1:$AM$1, 0), FALSE) / VLOOKUP(Substitution!$M$5 &amp; $A16, US_national_yearly!$D:$AM, MATCH(Keys!$C$7, US_national_yearly!$D$1:$AM$1, 0), FALSE), 1)</f>
        <v>1.1241920474869579E-3</v>
      </c>
      <c r="M16" s="12">
        <f>$B16 * IFERROR(VLOOKUP(Substitution!$M$5 &amp; $A16, US_national_yearly!$D:$AM, MATCH(M$1, US_national_yearly!$D$1:$AM$1, 0), FALSE) / VLOOKUP(Substitution!$M$5 &amp; $A16, US_national_yearly!$D:$AM, MATCH(Keys!$C$7, US_national_yearly!$D$1:$AM$1, 0), FALSE), 1)</f>
        <v>1.14479065953112E-3</v>
      </c>
      <c r="N16" s="12">
        <f>$B16 * IFERROR(VLOOKUP(Substitution!$M$5 &amp; $A16, US_national_yearly!$D:$AM, MATCH(N$1, US_national_yearly!$D$1:$AM$1, 0), FALSE) / VLOOKUP(Substitution!$M$5 &amp; $A16, US_national_yearly!$D:$AM, MATCH(Keys!$C$7, US_national_yearly!$D$1:$AM$1, 0), FALSE), 1)</f>
        <v>1.162195877670528E-3</v>
      </c>
      <c r="O16" s="12">
        <f>$B16 * IFERROR(VLOOKUP(Substitution!$M$5 &amp; $A16, US_national_yearly!$D:$AM, MATCH(O$1, US_national_yearly!$D$1:$AM$1, 0), FALSE) / VLOOKUP(Substitution!$M$5 &amp; $A16, US_national_yearly!$D:$AM, MATCH(Keys!$C$7, US_national_yearly!$D$1:$AM$1, 0), FALSE), 1)</f>
        <v>1.1796010958099359E-3</v>
      </c>
      <c r="P16" s="12">
        <f>$B16 * IFERROR(VLOOKUP(Substitution!$M$5 &amp; $A16, US_national_yearly!$D:$AM, MATCH(P$1, US_national_yearly!$D$1:$AM$1, 0), FALSE) / VLOOKUP(Substitution!$M$5 &amp; $A16, US_national_yearly!$D:$AM, MATCH(Keys!$C$7, US_national_yearly!$D$1:$AM$1, 0), FALSE), 1)</f>
        <v>1.197006313949344E-3</v>
      </c>
      <c r="Q16" s="12">
        <f>$B16 * IFERROR(VLOOKUP(Substitution!$M$5 &amp; $A16, US_national_yearly!$D:$AM, MATCH(Q$1, US_national_yearly!$D$1:$AM$1, 0), FALSE) / VLOOKUP(Substitution!$M$5 &amp; $A16, US_national_yearly!$D:$AM, MATCH(Keys!$C$7, US_national_yearly!$D$1:$AM$1, 0), FALSE), 1)</f>
        <v>1.2144115320887521E-3</v>
      </c>
      <c r="R16" s="12">
        <f>$B16 * IFERROR(VLOOKUP(Substitution!$M$5 &amp; $A16, US_national_yearly!$D:$AM, MATCH(R$1, US_national_yearly!$D$1:$AM$1, 0), FALSE) / VLOOKUP(Substitution!$M$5 &amp; $A16, US_national_yearly!$D:$AM, MATCH(Keys!$C$7, US_national_yearly!$D$1:$AM$1, 0), FALSE), 1)</f>
        <v>1.2318167502281599E-3</v>
      </c>
      <c r="S16" s="12">
        <f>$B16 * IFERROR(VLOOKUP(Substitution!$M$5 &amp; $A16, US_national_yearly!$D:$AM, MATCH(S$1, US_national_yearly!$D$1:$AM$1, 0), FALSE) / VLOOKUP(Substitution!$M$5 &amp; $A16, US_national_yearly!$D:$AM, MATCH(Keys!$C$7, US_national_yearly!$D$1:$AM$1, 0), FALSE), 1)</f>
        <v>1.2406282215345339E-3</v>
      </c>
      <c r="T16" s="12">
        <f>$B16 * IFERROR(VLOOKUP(Substitution!$M$5 &amp; $A16, US_national_yearly!$D:$AM, MATCH(T$1, US_national_yearly!$D$1:$AM$1, 0), FALSE) / VLOOKUP(Substitution!$M$5 &amp; $A16, US_national_yearly!$D:$AM, MATCH(Keys!$C$7, US_national_yearly!$D$1:$AM$1, 0), FALSE), 1)</f>
        <v>1.2494396928409081E-3</v>
      </c>
      <c r="U16" s="12">
        <f>$B16 * IFERROR(VLOOKUP(Substitution!$M$5 &amp; $A16, US_national_yearly!$D:$AM, MATCH(U$1, US_national_yearly!$D$1:$AM$1, 0), FALSE) / VLOOKUP(Substitution!$M$5 &amp; $A16, US_national_yearly!$D:$AM, MATCH(Keys!$C$7, US_national_yearly!$D$1:$AM$1, 0), FALSE), 1)</f>
        <v>1.2582511641472821E-3</v>
      </c>
      <c r="V16" s="12">
        <f>$B16 * IFERROR(VLOOKUP(Substitution!$M$5 &amp; $A16, US_national_yearly!$D:$AM, MATCH(V$1, US_national_yearly!$D$1:$AM$1, 0), FALSE) / VLOOKUP(Substitution!$M$5 &amp; $A16, US_national_yearly!$D:$AM, MATCH(Keys!$C$7, US_national_yearly!$D$1:$AM$1, 0), FALSE), 1)</f>
        <v>1.2670626354536561E-3</v>
      </c>
      <c r="W16" s="12">
        <f>$B16 * IFERROR(VLOOKUP(Substitution!$M$5 &amp; $A16, US_national_yearly!$D:$AM, MATCH(W$1, US_national_yearly!$D$1:$AM$1, 0), FALSE) / VLOOKUP(Substitution!$M$5 &amp; $A16, US_national_yearly!$D:$AM, MATCH(Keys!$C$7, US_national_yearly!$D$1:$AM$1, 0), FALSE), 1)</f>
        <v>1.27587410676003E-3</v>
      </c>
      <c r="X16" s="12">
        <f>$B16 * IFERROR(VLOOKUP(Substitution!$M$5 &amp; $A16, US_national_yearly!$D:$AM, MATCH(X$1, US_national_yearly!$D$1:$AM$1, 0), FALSE) / VLOOKUP(Substitution!$M$5 &amp; $A16, US_national_yearly!$D:$AM, MATCH(Keys!$C$7, US_national_yearly!$D$1:$AM$1, 0), FALSE), 1)</f>
        <v>1.280131977896078E-3</v>
      </c>
      <c r="Y16" s="12">
        <f>$B16 * IFERROR(VLOOKUP(Substitution!$M$5 &amp; $A16, US_national_yearly!$D:$AM, MATCH(Y$1, US_national_yearly!$D$1:$AM$1, 0), FALSE) / VLOOKUP(Substitution!$M$5 &amp; $A16, US_national_yearly!$D:$AM, MATCH(Keys!$C$7, US_national_yearly!$D$1:$AM$1, 0), FALSE), 1)</f>
        <v>1.284389849032126E-3</v>
      </c>
      <c r="Z16" s="12">
        <f>$B16 * IFERROR(VLOOKUP(Substitution!$M$5 &amp; $A16, US_national_yearly!$D:$AM, MATCH(Z$1, US_national_yearly!$D$1:$AM$1, 0), FALSE) / VLOOKUP(Substitution!$M$5 &amp; $A16, US_national_yearly!$D:$AM, MATCH(Keys!$C$7, US_national_yearly!$D$1:$AM$1, 0), FALSE), 1)</f>
        <v>1.288647720168174E-3</v>
      </c>
      <c r="AA16" s="12">
        <f>$B16 * IFERROR(VLOOKUP(Substitution!$M$5 &amp; $A16, US_national_yearly!$D:$AM, MATCH(AA$1, US_national_yearly!$D$1:$AM$1, 0), FALSE) / VLOOKUP(Substitution!$M$5 &amp; $A16, US_national_yearly!$D:$AM, MATCH(Keys!$C$7, US_national_yearly!$D$1:$AM$1, 0), FALSE), 1)</f>
        <v>1.292905591304222E-3</v>
      </c>
      <c r="AB16" s="12">
        <f>$B16 * IFERROR(VLOOKUP(Substitution!$M$5 &amp; $A16, US_national_yearly!$D:$AM, MATCH(AB$1, US_national_yearly!$D$1:$AM$1, 0), FALSE) / VLOOKUP(Substitution!$M$5 &amp; $A16, US_national_yearly!$D:$AM, MATCH(Keys!$C$7, US_national_yearly!$D$1:$AM$1, 0), FALSE), 1)</f>
        <v>1.2971634624402699E-3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Substitution!$G$5)/IFERROR(SUMIFS(COBRA_aggregated!$U:$U, COBRA_aggregated!$A:$A, About!$B$1, COBRA_aggregated!$B:$B, Substitution!$G$5), 1)</f>
        <v>5.9171105725294975E-3</v>
      </c>
      <c r="C17" s="12">
        <f>$B17 * IFERROR(VLOOKUP(Substitution!$M$5 &amp; $A17, US_national_yearly!$D:$AM, MATCH(C$1, US_national_yearly!$D$1:$AM$1, 0), FALSE) / VLOOKUP(Substitution!$M$5 &amp; $A17, US_national_yearly!$D:$AM, MATCH(Keys!$C$7, US_national_yearly!$D$1:$AM$1, 0), FALSE), 1)</f>
        <v>6.0939179625376207E-3</v>
      </c>
      <c r="D17" s="12">
        <f>$B17 * IFERROR(VLOOKUP(Substitution!$M$5 &amp; $A17, US_national_yearly!$D:$AM, MATCH(D$1, US_national_yearly!$D$1:$AM$1, 0), FALSE) / VLOOKUP(Substitution!$M$5 &amp; $A17, US_national_yearly!$D:$AM, MATCH(Keys!$C$7, US_national_yearly!$D$1:$AM$1, 0), FALSE), 1)</f>
        <v>6.2707253525457456E-3</v>
      </c>
      <c r="E17" s="12">
        <f>$B17 * IFERROR(VLOOKUP(Substitution!$M$5 &amp; $A17, US_national_yearly!$D:$AM, MATCH(E$1, US_national_yearly!$D$1:$AM$1, 0), FALSE) / VLOOKUP(Substitution!$M$5 &amp; $A17, US_national_yearly!$D:$AM, MATCH(Keys!$C$7, US_national_yearly!$D$1:$AM$1, 0), FALSE), 1)</f>
        <v>6.4475327425538706E-3</v>
      </c>
      <c r="F17" s="12">
        <f>$B17 * IFERROR(VLOOKUP(Substitution!$M$5 &amp; $A17, US_national_yearly!$D:$AM, MATCH(F$1, US_national_yearly!$D$1:$AM$1, 0), FALSE) / VLOOKUP(Substitution!$M$5 &amp; $A17, US_national_yearly!$D:$AM, MATCH(Keys!$C$7, US_national_yearly!$D$1:$AM$1, 0), FALSE), 1)</f>
        <v>6.6243401325619946E-3</v>
      </c>
      <c r="G17" s="12">
        <f>$B17 * IFERROR(VLOOKUP(Substitution!$M$5 &amp; $A17, US_national_yearly!$D:$AM, MATCH(G$1, US_national_yearly!$D$1:$AM$1, 0), FALSE) / VLOOKUP(Substitution!$M$5 &amp; $A17, US_national_yearly!$D:$AM, MATCH(Keys!$C$7, US_national_yearly!$D$1:$AM$1, 0), FALSE), 1)</f>
        <v>6.7936900296602341E-3</v>
      </c>
      <c r="H17" s="12">
        <f>$B17 * IFERROR(VLOOKUP(Substitution!$M$5 &amp; $A17, US_national_yearly!$D:$AM, MATCH(H$1, US_national_yearly!$D$1:$AM$1, 0), FALSE) / VLOOKUP(Substitution!$M$5 &amp; $A17, US_national_yearly!$D:$AM, MATCH(Keys!$C$7, US_national_yearly!$D$1:$AM$1, 0), FALSE), 1)</f>
        <v>6.9630399267584754E-3</v>
      </c>
      <c r="I17" s="12">
        <f>$B17 * IFERROR(VLOOKUP(Substitution!$M$5 &amp; $A17, US_national_yearly!$D:$AM, MATCH(I$1, US_national_yearly!$D$1:$AM$1, 0), FALSE) / VLOOKUP(Substitution!$M$5 &amp; $A17, US_national_yearly!$D:$AM, MATCH(Keys!$C$7, US_national_yearly!$D$1:$AM$1, 0), FALSE), 1)</f>
        <v>7.1078772564389572E-3</v>
      </c>
      <c r="J17" s="12">
        <f>$B17 * IFERROR(VLOOKUP(Substitution!$M$5 &amp; $A17, US_national_yearly!$D:$AM, MATCH(J$1, US_national_yearly!$D$1:$AM$1, 0), FALSE) / VLOOKUP(Substitution!$M$5 &amp; $A17, US_national_yearly!$D:$AM, MATCH(Keys!$C$7, US_national_yearly!$D$1:$AM$1, 0), FALSE), 1)</f>
        <v>7.2527145861194372E-3</v>
      </c>
      <c r="K17" s="12">
        <f>$B17 * IFERROR(VLOOKUP(Substitution!$M$5 &amp; $A17, US_national_yearly!$D:$AM, MATCH(K$1, US_national_yearly!$D$1:$AM$1, 0), FALSE) / VLOOKUP(Substitution!$M$5 &amp; $A17, US_national_yearly!$D:$AM, MATCH(Keys!$C$7, US_national_yearly!$D$1:$AM$1, 0), FALSE), 1)</f>
        <v>7.3975519157999173E-3</v>
      </c>
      <c r="L17" s="12">
        <f>$B17 * IFERROR(VLOOKUP(Substitution!$M$5 &amp; $A17, US_national_yearly!$D:$AM, MATCH(L$1, US_national_yearly!$D$1:$AM$1, 0), FALSE) / VLOOKUP(Substitution!$M$5 &amp; $A17, US_national_yearly!$D:$AM, MATCH(Keys!$C$7, US_national_yearly!$D$1:$AM$1, 0), FALSE), 1)</f>
        <v>7.5423892454803999E-3</v>
      </c>
      <c r="M17" s="12">
        <f>$B17 * IFERROR(VLOOKUP(Substitution!$M$5 &amp; $A17, US_national_yearly!$D:$AM, MATCH(M$1, US_national_yearly!$D$1:$AM$1, 0), FALSE) / VLOOKUP(Substitution!$M$5 &amp; $A17, US_national_yearly!$D:$AM, MATCH(Keys!$C$7, US_national_yearly!$D$1:$AM$1, 0), FALSE), 1)</f>
        <v>7.6872265751608809E-3</v>
      </c>
      <c r="N17" s="12">
        <f>$B17 * IFERROR(VLOOKUP(Substitution!$M$5 &amp; $A17, US_national_yearly!$D:$AM, MATCH(N$1, US_national_yearly!$D$1:$AM$1, 0), FALSE) / VLOOKUP(Substitution!$M$5 &amp; $A17, US_national_yearly!$D:$AM, MATCH(Keys!$C$7, US_national_yearly!$D$1:$AM$1, 0), FALSE), 1)</f>
        <v>7.7837929296881801E-3</v>
      </c>
      <c r="O17" s="12">
        <f>$B17 * IFERROR(VLOOKUP(Substitution!$M$5 &amp; $A17, US_national_yearly!$D:$AM, MATCH(O$1, US_national_yearly!$D$1:$AM$1, 0), FALSE) / VLOOKUP(Substitution!$M$5 &amp; $A17, US_national_yearly!$D:$AM, MATCH(Keys!$C$7, US_national_yearly!$D$1:$AM$1, 0), FALSE), 1)</f>
        <v>7.880359284215481E-3</v>
      </c>
      <c r="P17" s="12">
        <f>$B17 * IFERROR(VLOOKUP(Substitution!$M$5 &amp; $A17, US_national_yearly!$D:$AM, MATCH(P$1, US_national_yearly!$D$1:$AM$1, 0), FALSE) / VLOOKUP(Substitution!$M$5 &amp; $A17, US_national_yearly!$D:$AM, MATCH(Keys!$C$7, US_national_yearly!$D$1:$AM$1, 0), FALSE), 1)</f>
        <v>7.9769256387427819E-3</v>
      </c>
      <c r="Q17" s="12">
        <f>$B17 * IFERROR(VLOOKUP(Substitution!$M$5 &amp; $A17, US_national_yearly!$D:$AM, MATCH(Q$1, US_national_yearly!$D$1:$AM$1, 0), FALSE) / VLOOKUP(Substitution!$M$5 &amp; $A17, US_national_yearly!$D:$AM, MATCH(Keys!$C$7, US_national_yearly!$D$1:$AM$1, 0), FALSE), 1)</f>
        <v>8.0734919932700829E-3</v>
      </c>
      <c r="R17" s="12">
        <f>$B17 * IFERROR(VLOOKUP(Substitution!$M$5 &amp; $A17, US_national_yearly!$D:$AM, MATCH(R$1, US_national_yearly!$D$1:$AM$1, 0), FALSE) / VLOOKUP(Substitution!$M$5 &amp; $A17, US_national_yearly!$D:$AM, MATCH(Keys!$C$7, US_national_yearly!$D$1:$AM$1, 0), FALSE), 1)</f>
        <v>8.170058347797382E-3</v>
      </c>
      <c r="S17" s="12">
        <f>$B17 * IFERROR(VLOOKUP(Substitution!$M$5 &amp; $A17, US_national_yearly!$D:$AM, MATCH(S$1, US_national_yearly!$D$1:$AM$1, 0), FALSE) / VLOOKUP(Substitution!$M$5 &amp; $A17, US_national_yearly!$D:$AM, MATCH(Keys!$C$7, US_national_yearly!$D$1:$AM$1, 0), FALSE), 1)</f>
        <v>8.2211509648803874E-3</v>
      </c>
      <c r="T17" s="12">
        <f>$B17 * IFERROR(VLOOKUP(Substitution!$M$5 &amp; $A17, US_national_yearly!$D:$AM, MATCH(T$1, US_national_yearly!$D$1:$AM$1, 0), FALSE) / VLOOKUP(Substitution!$M$5 &amp; $A17, US_national_yearly!$D:$AM, MATCH(Keys!$C$7, US_national_yearly!$D$1:$AM$1, 0), FALSE), 1)</f>
        <v>8.2722435819633927E-3</v>
      </c>
      <c r="U17" s="12">
        <f>$B17 * IFERROR(VLOOKUP(Substitution!$M$5 &amp; $A17, US_national_yearly!$D:$AM, MATCH(U$1, US_national_yearly!$D$1:$AM$1, 0), FALSE) / VLOOKUP(Substitution!$M$5 &amp; $A17, US_national_yearly!$D:$AM, MATCH(Keys!$C$7, US_national_yearly!$D$1:$AM$1, 0), FALSE), 1)</f>
        <v>8.3233361990463963E-3</v>
      </c>
      <c r="V17" s="12">
        <f>$B17 * IFERROR(VLOOKUP(Substitution!$M$5 &amp; $A17, US_national_yearly!$D:$AM, MATCH(V$1, US_national_yearly!$D$1:$AM$1, 0), FALSE) / VLOOKUP(Substitution!$M$5 &amp; $A17, US_national_yearly!$D:$AM, MATCH(Keys!$C$7, US_national_yearly!$D$1:$AM$1, 0), FALSE), 1)</f>
        <v>8.3744288161293999E-3</v>
      </c>
      <c r="W17" s="12">
        <f>$B17 * IFERROR(VLOOKUP(Substitution!$M$5 &amp; $A17, US_national_yearly!$D:$AM, MATCH(W$1, US_national_yearly!$D$1:$AM$1, 0), FALSE) / VLOOKUP(Substitution!$M$5 &amp; $A17, US_national_yearly!$D:$AM, MATCH(Keys!$C$7, US_national_yearly!$D$1:$AM$1, 0), FALSE), 1)</f>
        <v>8.4255214332124052E-3</v>
      </c>
      <c r="X17" s="12">
        <f>$B17 * IFERROR(VLOOKUP(Substitution!$M$5 &amp; $A17, US_national_yearly!$D:$AM, MATCH(X$1, US_national_yearly!$D$1:$AM$1, 0), FALSE) / VLOOKUP(Substitution!$M$5 &amp; $A17, US_national_yearly!$D:$AM, MATCH(Keys!$C$7, US_national_yearly!$D$1:$AM$1, 0), FALSE), 1)</f>
        <v>8.4599176551034411E-3</v>
      </c>
      <c r="Y17" s="12">
        <f>$B17 * IFERROR(VLOOKUP(Substitution!$M$5 &amp; $A17, US_national_yearly!$D:$AM, MATCH(Y$1, US_national_yearly!$D$1:$AM$1, 0), FALSE) / VLOOKUP(Substitution!$M$5 &amp; $A17, US_national_yearly!$D:$AM, MATCH(Keys!$C$7, US_national_yearly!$D$1:$AM$1, 0), FALSE), 1)</f>
        <v>8.4943138769944786E-3</v>
      </c>
      <c r="Z17" s="12">
        <f>$B17 * IFERROR(VLOOKUP(Substitution!$M$5 &amp; $A17, US_national_yearly!$D:$AM, MATCH(Z$1, US_national_yearly!$D$1:$AM$1, 0), FALSE) / VLOOKUP(Substitution!$M$5 &amp; $A17, US_national_yearly!$D:$AM, MATCH(Keys!$C$7, US_national_yearly!$D$1:$AM$1, 0), FALSE), 1)</f>
        <v>8.5287100988855162E-3</v>
      </c>
      <c r="AA17" s="12">
        <f>$B17 * IFERROR(VLOOKUP(Substitution!$M$5 &amp; $A17, US_national_yearly!$D:$AM, MATCH(AA$1, US_national_yearly!$D$1:$AM$1, 0), FALSE) / VLOOKUP(Substitution!$M$5 &amp; $A17, US_national_yearly!$D:$AM, MATCH(Keys!$C$7, US_national_yearly!$D$1:$AM$1, 0), FALSE), 1)</f>
        <v>8.5631063207765538E-3</v>
      </c>
      <c r="AB17" s="12">
        <f>$B17 * IFERROR(VLOOKUP(Substitution!$M$5 &amp; $A17, US_national_yearly!$D:$AM, MATCH(AB$1, US_national_yearly!$D$1:$AM$1, 0), FALSE) / VLOOKUP(Substitution!$M$5 &amp; $A17, US_national_yearly!$D:$AM, MATCH(Keys!$C$7, US_national_yearly!$D$1:$AM$1, 0), FALSE), 1)</f>
        <v>8.5975025426675896E-3</v>
      </c>
    </row>
    <row r="18" spans="1:28" x14ac:dyDescent="0.25">
      <c r="A18" s="4" t="s">
        <v>323</v>
      </c>
      <c r="B18" s="12">
        <f>IFERROR(VLOOKUP(Substitution!$M$5 &amp; $A18, US_national_yearly!$D:$AM, MATCH(Keys!$C$7, US_national_yearly!$D$1:$AM$1, 0), FALSE), 0)</f>
        <v>6.6419692478198056E-3</v>
      </c>
      <c r="C18" s="12">
        <f>$B18 * IFERROR(VLOOKUP(Substitution!$M$5 &amp; $A18, US_national_yearly!$D:$AM, MATCH(C$1, US_national_yearly!$D$1:$AM$1, 0), FALSE) / VLOOKUP(Substitution!$M$5 &amp; $A18, US_national_yearly!$D:$AM, MATCH(Keys!$C$7, US_national_yearly!$D$1:$AM$1, 0), FALSE), 1)</f>
        <v>6.8582480009472214E-3</v>
      </c>
      <c r="D18" s="12">
        <f>$B18 * IFERROR(VLOOKUP(Substitution!$M$5 &amp; $A18, US_national_yearly!$D:$AM, MATCH(D$1, US_national_yearly!$D$1:$AM$1, 0), FALSE) / VLOOKUP(Substitution!$M$5 &amp; $A18, US_national_yearly!$D:$AM, MATCH(Keys!$C$7, US_national_yearly!$D$1:$AM$1, 0), FALSE), 1)</f>
        <v>7.0745267540746381E-3</v>
      </c>
      <c r="E18" s="12">
        <f>$B18 * IFERROR(VLOOKUP(Substitution!$M$5 &amp; $A18, US_national_yearly!$D:$AM, MATCH(E$1, US_national_yearly!$D$1:$AM$1, 0), FALSE) / VLOOKUP(Substitution!$M$5 &amp; $A18, US_national_yearly!$D:$AM, MATCH(Keys!$C$7, US_national_yearly!$D$1:$AM$1, 0), FALSE), 1)</f>
        <v>7.2908055072020538E-3</v>
      </c>
      <c r="F18" s="12">
        <f>$B18 * IFERROR(VLOOKUP(Substitution!$M$5 &amp; $A18, US_national_yearly!$D:$AM, MATCH(F$1, US_national_yearly!$D$1:$AM$1, 0), FALSE) / VLOOKUP(Substitution!$M$5 &amp; $A18, US_national_yearly!$D:$AM, MATCH(Keys!$C$7, US_national_yearly!$D$1:$AM$1, 0), FALSE), 1)</f>
        <v>7.5070842603294696E-3</v>
      </c>
      <c r="G18" s="12">
        <f>$B18 * IFERROR(VLOOKUP(Substitution!$M$5 &amp; $A18, US_national_yearly!$D:$AM, MATCH(G$1, US_national_yearly!$D$1:$AM$1, 0), FALSE) / VLOOKUP(Substitution!$M$5 &amp; $A18, US_national_yearly!$D:$AM, MATCH(Keys!$C$7, US_national_yearly!$D$1:$AM$1, 0), FALSE), 1)</f>
        <v>7.73657014099546E-3</v>
      </c>
      <c r="H18" s="12">
        <f>$B18 * IFERROR(VLOOKUP(Substitution!$M$5 &amp; $A18, US_national_yearly!$D:$AM, MATCH(H$1, US_national_yearly!$D$1:$AM$1, 0), FALSE) / VLOOKUP(Substitution!$M$5 &amp; $A18, US_national_yearly!$D:$AM, MATCH(Keys!$C$7, US_national_yearly!$D$1:$AM$1, 0), FALSE), 1)</f>
        <v>7.9660560216614495E-3</v>
      </c>
      <c r="I18" s="12">
        <f>$B18 * IFERROR(VLOOKUP(Substitution!$M$5 &amp; $A18, US_national_yearly!$D:$AM, MATCH(I$1, US_national_yearly!$D$1:$AM$1, 0), FALSE) / VLOOKUP(Substitution!$M$5 &amp; $A18, US_national_yearly!$D:$AM, MATCH(Keys!$C$7, US_national_yearly!$D$1:$AM$1, 0), FALSE), 1)</f>
        <v>8.1952741724031324E-3</v>
      </c>
      <c r="J18" s="12">
        <f>$B18 * IFERROR(VLOOKUP(Substitution!$M$5 &amp; $A18, US_national_yearly!$D:$AM, MATCH(J$1, US_national_yearly!$D$1:$AM$1, 0), FALSE) / VLOOKUP(Substitution!$M$5 &amp; $A18, US_national_yearly!$D:$AM, MATCH(Keys!$C$7, US_national_yearly!$D$1:$AM$1, 0), FALSE), 1)</f>
        <v>8.4244923231448134E-3</v>
      </c>
      <c r="K18" s="12">
        <f>$B18 * IFERROR(VLOOKUP(Substitution!$M$5 &amp; $A18, US_national_yearly!$D:$AM, MATCH(K$1, US_national_yearly!$D$1:$AM$1, 0), FALSE) / VLOOKUP(Substitution!$M$5 &amp; $A18, US_national_yearly!$D:$AM, MATCH(Keys!$C$7, US_national_yearly!$D$1:$AM$1, 0), FALSE), 1)</f>
        <v>8.6537104738864962E-3</v>
      </c>
      <c r="L18" s="12">
        <f>$B18 * IFERROR(VLOOKUP(Substitution!$M$5 &amp; $A18, US_national_yearly!$D:$AM, MATCH(L$1, US_national_yearly!$D$1:$AM$1, 0), FALSE) / VLOOKUP(Substitution!$M$5 &amp; $A18, US_national_yearly!$D:$AM, MATCH(Keys!$C$7, US_national_yearly!$D$1:$AM$1, 0), FALSE), 1)</f>
        <v>8.8829286246281773E-3</v>
      </c>
      <c r="M18" s="12">
        <f>$B18 * IFERROR(VLOOKUP(Substitution!$M$5 &amp; $A18, US_national_yearly!$D:$AM, MATCH(M$1, US_national_yearly!$D$1:$AM$1, 0), FALSE) / VLOOKUP(Substitution!$M$5 &amp; $A18, US_national_yearly!$D:$AM, MATCH(Keys!$C$7, US_national_yearly!$D$1:$AM$1, 0), FALSE), 1)</f>
        <v>9.1121467753698601E-3</v>
      </c>
      <c r="N18" s="12">
        <f>$B18 * IFERROR(VLOOKUP(Substitution!$M$5 &amp; $A18, US_national_yearly!$D:$AM, MATCH(N$1, US_national_yearly!$D$1:$AM$1, 0), FALSE) / VLOOKUP(Substitution!$M$5 &amp; $A18, US_national_yearly!$D:$AM, MATCH(Keys!$C$7, US_national_yearly!$D$1:$AM$1, 0), FALSE), 1)</f>
        <v>9.2771553111392416E-3</v>
      </c>
      <c r="O18" s="12">
        <f>$B18 * IFERROR(VLOOKUP(Substitution!$M$5 &amp; $A18, US_national_yearly!$D:$AM, MATCH(O$1, US_national_yearly!$D$1:$AM$1, 0), FALSE) / VLOOKUP(Substitution!$M$5 &amp; $A18, US_national_yearly!$D:$AM, MATCH(Keys!$C$7, US_national_yearly!$D$1:$AM$1, 0), FALSE), 1)</f>
        <v>9.442163846908623E-3</v>
      </c>
      <c r="P18" s="12">
        <f>$B18 * IFERROR(VLOOKUP(Substitution!$M$5 &amp; $A18, US_national_yearly!$D:$AM, MATCH(P$1, US_national_yearly!$D$1:$AM$1, 0), FALSE) / VLOOKUP(Substitution!$M$5 &amp; $A18, US_national_yearly!$D:$AM, MATCH(Keys!$C$7, US_national_yearly!$D$1:$AM$1, 0), FALSE), 1)</f>
        <v>9.6071723826780062E-3</v>
      </c>
      <c r="Q18" s="12">
        <f>$B18 * IFERROR(VLOOKUP(Substitution!$M$5 &amp; $A18, US_national_yearly!$D:$AM, MATCH(Q$1, US_national_yearly!$D$1:$AM$1, 0), FALSE) / VLOOKUP(Substitution!$M$5 &amp; $A18, US_national_yearly!$D:$AM, MATCH(Keys!$C$7, US_national_yearly!$D$1:$AM$1, 0), FALSE), 1)</f>
        <v>9.7721809184473877E-3</v>
      </c>
      <c r="R18" s="12">
        <f>$B18 * IFERROR(VLOOKUP(Substitution!$M$5 &amp; $A18, US_national_yearly!$D:$AM, MATCH(R$1, US_national_yearly!$D$1:$AM$1, 0), FALSE) / VLOOKUP(Substitution!$M$5 &amp; $A18, US_national_yearly!$D:$AM, MATCH(Keys!$C$7, US_national_yearly!$D$1:$AM$1, 0), FALSE), 1)</f>
        <v>9.9371894542167691E-3</v>
      </c>
      <c r="S18" s="12">
        <f>$B18 * IFERROR(VLOOKUP(Substitution!$M$5 &amp; $A18, US_national_yearly!$D:$AM, MATCH(S$1, US_national_yearly!$D$1:$AM$1, 0), FALSE) / VLOOKUP(Substitution!$M$5 &amp; $A18, US_national_yearly!$D:$AM, MATCH(Keys!$C$7, US_national_yearly!$D$1:$AM$1, 0), FALSE), 1)</f>
        <v>1.0016723602506069E-2</v>
      </c>
      <c r="T18" s="12">
        <f>$B18 * IFERROR(VLOOKUP(Substitution!$M$5 &amp; $A18, US_national_yearly!$D:$AM, MATCH(T$1, US_national_yearly!$D$1:$AM$1, 0), FALSE) / VLOOKUP(Substitution!$M$5 &amp; $A18, US_national_yearly!$D:$AM, MATCH(Keys!$C$7, US_national_yearly!$D$1:$AM$1, 0), FALSE), 1)</f>
        <v>1.009625775079538E-2</v>
      </c>
      <c r="U18" s="12">
        <f>$B18 * IFERROR(VLOOKUP(Substitution!$M$5 &amp; $A18, US_national_yearly!$D:$AM, MATCH(U$1, US_national_yearly!$D$1:$AM$1, 0), FALSE) / VLOOKUP(Substitution!$M$5 &amp; $A18, US_national_yearly!$D:$AM, MATCH(Keys!$C$7, US_national_yearly!$D$1:$AM$1, 0), FALSE), 1)</f>
        <v>1.017579189908469E-2</v>
      </c>
      <c r="V18" s="12">
        <f>$B18 * IFERROR(VLOOKUP(Substitution!$M$5 &amp; $A18, US_national_yearly!$D:$AM, MATCH(V$1, US_national_yearly!$D$1:$AM$1, 0), FALSE) / VLOOKUP(Substitution!$M$5 &amp; $A18, US_national_yearly!$D:$AM, MATCH(Keys!$C$7, US_national_yearly!$D$1:$AM$1, 0), FALSE), 1)</f>
        <v>1.0255326047373991E-2</v>
      </c>
      <c r="W18" s="12">
        <f>$B18 * IFERROR(VLOOKUP(Substitution!$M$5 &amp; $A18, US_national_yearly!$D:$AM, MATCH(W$1, US_national_yearly!$D$1:$AM$1, 0), FALSE) / VLOOKUP(Substitution!$M$5 &amp; $A18, US_national_yearly!$D:$AM, MATCH(Keys!$C$7, US_national_yearly!$D$1:$AM$1, 0), FALSE), 1)</f>
        <v>1.0334860195663299E-2</v>
      </c>
      <c r="X18" s="12">
        <f>$B18 * IFERROR(VLOOKUP(Substitution!$M$5 &amp; $A18, US_national_yearly!$D:$AM, MATCH(X$1, US_national_yearly!$D$1:$AM$1, 0), FALSE) / VLOOKUP(Substitution!$M$5 &amp; $A18, US_national_yearly!$D:$AM, MATCH(Keys!$C$7, US_national_yearly!$D$1:$AM$1, 0), FALSE), 1)</f>
        <v>1.035894783468088E-2</v>
      </c>
      <c r="Y18" s="12">
        <f>$B18 * IFERROR(VLOOKUP(Substitution!$M$5 &amp; $A18, US_national_yearly!$D:$AM, MATCH(Y$1, US_national_yearly!$D$1:$AM$1, 0), FALSE) / VLOOKUP(Substitution!$M$5 &amp; $A18, US_national_yearly!$D:$AM, MATCH(Keys!$C$7, US_national_yearly!$D$1:$AM$1, 0), FALSE), 1)</f>
        <v>1.0383035473698459E-2</v>
      </c>
      <c r="Z18" s="12">
        <f>$B18 * IFERROR(VLOOKUP(Substitution!$M$5 &amp; $A18, US_national_yearly!$D:$AM, MATCH(Z$1, US_national_yearly!$D$1:$AM$1, 0), FALSE) / VLOOKUP(Substitution!$M$5 &amp; $A18, US_national_yearly!$D:$AM, MATCH(Keys!$C$7, US_national_yearly!$D$1:$AM$1, 0), FALSE), 1)</f>
        <v>1.040712311271604E-2</v>
      </c>
      <c r="AA18" s="12">
        <f>$B18 * IFERROR(VLOOKUP(Substitution!$M$5 &amp; $A18, US_national_yearly!$D:$AM, MATCH(AA$1, US_national_yearly!$D$1:$AM$1, 0), FALSE) / VLOOKUP(Substitution!$M$5 &amp; $A18, US_national_yearly!$D:$AM, MATCH(Keys!$C$7, US_national_yearly!$D$1:$AM$1, 0), FALSE), 1)</f>
        <v>1.043121075173362E-2</v>
      </c>
      <c r="AB18" s="12">
        <f>$B18 * IFERROR(VLOOKUP(Substitution!$M$5 &amp; $A18, US_national_yearly!$D:$AM, MATCH(AB$1, US_national_yearly!$D$1:$AM$1, 0), FALSE) / VLOOKUP(Substitution!$M$5 &amp; $A18, US_national_yearly!$D:$AM, MATCH(Keys!$C$7, US_national_yearly!$D$1:$AM$1, 0), FALSE), 1)</f>
        <v>1.0455298390751201E-2</v>
      </c>
    </row>
    <row r="19" spans="1:28" x14ac:dyDescent="0.25">
      <c r="A19" s="4" t="s">
        <v>325</v>
      </c>
      <c r="B19" s="12">
        <f>IFERROR(VLOOKUP(Substitution!$M$5 &amp; $A19, US_national_yearly!$D:$AM, MATCH(Keys!$C$7, US_national_yearly!$D$1:$AM$1, 0), FALSE), 0)</f>
        <v>8.6806982603955562E-4</v>
      </c>
      <c r="C19" s="12">
        <f>$B19 * IFERROR(VLOOKUP(Substitution!$M$5 &amp; $A19, US_national_yearly!$D:$AM, MATCH(C$1, US_national_yearly!$D$1:$AM$1, 0), FALSE) / VLOOKUP(Substitution!$M$5 &amp; $A19, US_national_yearly!$D:$AM, MATCH(Keys!$C$7, US_national_yearly!$D$1:$AM$1, 0), FALSE), 1)</f>
        <v>8.9066281268201019E-4</v>
      </c>
      <c r="D19" s="12">
        <f>$B19 * IFERROR(VLOOKUP(Substitution!$M$5 &amp; $A19, US_national_yearly!$D:$AM, MATCH(D$1, US_national_yearly!$D$1:$AM$1, 0), FALSE) / VLOOKUP(Substitution!$M$5 &amp; $A19, US_national_yearly!$D:$AM, MATCH(Keys!$C$7, US_national_yearly!$D$1:$AM$1, 0), FALSE), 1)</f>
        <v>9.1325579932446488E-4</v>
      </c>
      <c r="E19" s="12">
        <f>$B19 * IFERROR(VLOOKUP(Substitution!$M$5 &amp; $A19, US_national_yearly!$D:$AM, MATCH(E$1, US_national_yearly!$D$1:$AM$1, 0), FALSE) / VLOOKUP(Substitution!$M$5 &amp; $A19, US_national_yearly!$D:$AM, MATCH(Keys!$C$7, US_national_yearly!$D$1:$AM$1, 0), FALSE), 1)</f>
        <v>9.3584878596691945E-4</v>
      </c>
      <c r="F19" s="12">
        <f>$B19 * IFERROR(VLOOKUP(Substitution!$M$5 &amp; $A19, US_national_yearly!$D:$AM, MATCH(F$1, US_national_yearly!$D$1:$AM$1, 0), FALSE) / VLOOKUP(Substitution!$M$5 &amp; $A19, US_national_yearly!$D:$AM, MATCH(Keys!$C$7, US_national_yearly!$D$1:$AM$1, 0), FALSE), 1)</f>
        <v>9.5844177260937403E-4</v>
      </c>
      <c r="G19" s="12">
        <f>$B19 * IFERROR(VLOOKUP(Substitution!$M$5 &amp; $A19, US_national_yearly!$D:$AM, MATCH(G$1, US_national_yearly!$D$1:$AM$1, 0), FALSE) / VLOOKUP(Substitution!$M$5 &amp; $A19, US_national_yearly!$D:$AM, MATCH(Keys!$C$7, US_national_yearly!$D$1:$AM$1, 0), FALSE), 1)</f>
        <v>9.7736113152593548E-4</v>
      </c>
      <c r="H19" s="12">
        <f>$B19 * IFERROR(VLOOKUP(Substitution!$M$5 &amp; $A19, US_national_yearly!$D:$AM, MATCH(H$1, US_national_yearly!$D$1:$AM$1, 0), FALSE) / VLOOKUP(Substitution!$M$5 &amp; $A19, US_national_yearly!$D:$AM, MATCH(Keys!$C$7, US_national_yearly!$D$1:$AM$1, 0), FALSE), 1)</f>
        <v>9.9628049044249694E-4</v>
      </c>
      <c r="I19" s="12">
        <f>$B19 * IFERROR(VLOOKUP(Substitution!$M$5 &amp; $A19, US_national_yearly!$D:$AM, MATCH(I$1, US_national_yearly!$D$1:$AM$1, 0), FALSE) / VLOOKUP(Substitution!$M$5 &amp; $A19, US_national_yearly!$D:$AM, MATCH(Keys!$C$7, US_national_yearly!$D$1:$AM$1, 0), FALSE), 1)</f>
        <v>1.0086702479511159E-3</v>
      </c>
      <c r="J19" s="12">
        <f>$B19 * IFERROR(VLOOKUP(Substitution!$M$5 &amp; $A19, US_national_yearly!$D:$AM, MATCH(J$1, US_national_yearly!$D$1:$AM$1, 0), FALSE) / VLOOKUP(Substitution!$M$5 &amp; $A19, US_national_yearly!$D:$AM, MATCH(Keys!$C$7, US_national_yearly!$D$1:$AM$1, 0), FALSE), 1)</f>
        <v>1.0210600054597341E-3</v>
      </c>
      <c r="K19" s="12">
        <f>$B19 * IFERROR(VLOOKUP(Substitution!$M$5 &amp; $A19, US_national_yearly!$D:$AM, MATCH(K$1, US_national_yearly!$D$1:$AM$1, 0), FALSE) / VLOOKUP(Substitution!$M$5 &amp; $A19, US_national_yearly!$D:$AM, MATCH(Keys!$C$7, US_national_yearly!$D$1:$AM$1, 0), FALSE), 1)</f>
        <v>1.0334497629683531E-3</v>
      </c>
      <c r="L19" s="12">
        <f>$B19 * IFERROR(VLOOKUP(Substitution!$M$5 &amp; $A19, US_national_yearly!$D:$AM, MATCH(L$1, US_national_yearly!$D$1:$AM$1, 0), FALSE) / VLOOKUP(Substitution!$M$5 &amp; $A19, US_national_yearly!$D:$AM, MATCH(Keys!$C$7, US_national_yearly!$D$1:$AM$1, 0), FALSE), 1)</f>
        <v>1.045839520476971E-3</v>
      </c>
      <c r="M19" s="12">
        <f>$B19 * IFERROR(VLOOKUP(Substitution!$M$5 &amp; $A19, US_national_yearly!$D:$AM, MATCH(M$1, US_national_yearly!$D$1:$AM$1, 0), FALSE) / VLOOKUP(Substitution!$M$5 &amp; $A19, US_national_yearly!$D:$AM, MATCH(Keys!$C$7, US_national_yearly!$D$1:$AM$1, 0), FALSE), 1)</f>
        <v>1.05822927798559E-3</v>
      </c>
      <c r="N19" s="12">
        <f>$B19 * IFERROR(VLOOKUP(Substitution!$M$5 &amp; $A19, US_national_yearly!$D:$AM, MATCH(N$1, US_national_yearly!$D$1:$AM$1, 0), FALSE) / VLOOKUP(Substitution!$M$5 &amp; $A19, US_national_yearly!$D:$AM, MATCH(Keys!$C$7, US_national_yearly!$D$1:$AM$1, 0), FALSE), 1)</f>
        <v>1.0643379288689881E-3</v>
      </c>
      <c r="O19" s="12">
        <f>$B19 * IFERROR(VLOOKUP(Substitution!$M$5 &amp; $A19, US_national_yearly!$D:$AM, MATCH(O$1, US_national_yearly!$D$1:$AM$1, 0), FALSE) / VLOOKUP(Substitution!$M$5 &amp; $A19, US_national_yearly!$D:$AM, MATCH(Keys!$C$7, US_national_yearly!$D$1:$AM$1, 0), FALSE), 1)</f>
        <v>1.0704465797523859E-3</v>
      </c>
      <c r="P19" s="12">
        <f>$B19 * IFERROR(VLOOKUP(Substitution!$M$5 &amp; $A19, US_national_yearly!$D:$AM, MATCH(P$1, US_national_yearly!$D$1:$AM$1, 0), FALSE) / VLOOKUP(Substitution!$M$5 &amp; $A19, US_national_yearly!$D:$AM, MATCH(Keys!$C$7, US_national_yearly!$D$1:$AM$1, 0), FALSE), 1)</f>
        <v>1.076555230635784E-3</v>
      </c>
      <c r="Q19" s="12">
        <f>$B19 * IFERROR(VLOOKUP(Substitution!$M$5 &amp; $A19, US_national_yearly!$D:$AM, MATCH(Q$1, US_national_yearly!$D$1:$AM$1, 0), FALSE) / VLOOKUP(Substitution!$M$5 &amp; $A19, US_national_yearly!$D:$AM, MATCH(Keys!$C$7, US_national_yearly!$D$1:$AM$1, 0), FALSE), 1)</f>
        <v>1.0826638815191821E-3</v>
      </c>
      <c r="R19" s="12">
        <f>$B19 * IFERROR(VLOOKUP(Substitution!$M$5 &amp; $A19, US_national_yearly!$D:$AM, MATCH(R$1, US_national_yearly!$D$1:$AM$1, 0), FALSE) / VLOOKUP(Substitution!$M$5 &amp; $A19, US_national_yearly!$D:$AM, MATCH(Keys!$C$7, US_national_yearly!$D$1:$AM$1, 0), FALSE), 1)</f>
        <v>1.0887725324025799E-3</v>
      </c>
      <c r="S19" s="12">
        <f>$B19 * IFERROR(VLOOKUP(Substitution!$M$5 &amp; $A19, US_national_yearly!$D:$AM, MATCH(S$1, US_national_yearly!$D$1:$AM$1, 0), FALSE) / VLOOKUP(Substitution!$M$5 &amp; $A19, US_national_yearly!$D:$AM, MATCH(Keys!$C$7, US_national_yearly!$D$1:$AM$1, 0), FALSE), 1)</f>
        <v>1.0923701848961579E-3</v>
      </c>
      <c r="T19" s="12">
        <f>$B19 * IFERROR(VLOOKUP(Substitution!$M$5 &amp; $A19, US_national_yearly!$D:$AM, MATCH(T$1, US_national_yearly!$D$1:$AM$1, 0), FALSE) / VLOOKUP(Substitution!$M$5 &amp; $A19, US_national_yearly!$D:$AM, MATCH(Keys!$C$7, US_national_yearly!$D$1:$AM$1, 0), FALSE), 1)</f>
        <v>1.0959678373897361E-3</v>
      </c>
      <c r="U19" s="12">
        <f>$B19 * IFERROR(VLOOKUP(Substitution!$M$5 &amp; $A19, US_national_yearly!$D:$AM, MATCH(U$1, US_national_yearly!$D$1:$AM$1, 0), FALSE) / VLOOKUP(Substitution!$M$5 &amp; $A19, US_national_yearly!$D:$AM, MATCH(Keys!$C$7, US_national_yearly!$D$1:$AM$1, 0), FALSE), 1)</f>
        <v>1.0995654898833141E-3</v>
      </c>
      <c r="V19" s="12">
        <f>$B19 * IFERROR(VLOOKUP(Substitution!$M$5 &amp; $A19, US_national_yearly!$D:$AM, MATCH(V$1, US_national_yearly!$D$1:$AM$1, 0), FALSE) / VLOOKUP(Substitution!$M$5 &amp; $A19, US_national_yearly!$D:$AM, MATCH(Keys!$C$7, US_national_yearly!$D$1:$AM$1, 0), FALSE), 1)</f>
        <v>1.1031631423768921E-3</v>
      </c>
      <c r="W19" s="12">
        <f>$B19 * IFERROR(VLOOKUP(Substitution!$M$5 &amp; $A19, US_national_yearly!$D:$AM, MATCH(W$1, US_national_yearly!$D$1:$AM$1, 0), FALSE) / VLOOKUP(Substitution!$M$5 &amp; $A19, US_national_yearly!$D:$AM, MATCH(Keys!$C$7, US_national_yearly!$D$1:$AM$1, 0), FALSE), 1)</f>
        <v>1.10676079487047E-3</v>
      </c>
      <c r="X19" s="12">
        <f>$B19 * IFERROR(VLOOKUP(Substitution!$M$5 &amp; $A19, US_national_yearly!$D:$AM, MATCH(X$1, US_national_yearly!$D$1:$AM$1, 0), FALSE) / VLOOKUP(Substitution!$M$5 &amp; $A19, US_national_yearly!$D:$AM, MATCH(Keys!$C$7, US_national_yearly!$D$1:$AM$1, 0), FALSE), 1)</f>
        <v>1.1119835205529219E-3</v>
      </c>
      <c r="Y19" s="12">
        <f>$B19 * IFERROR(VLOOKUP(Substitution!$M$5 &amp; $A19, US_national_yearly!$D:$AM, MATCH(Y$1, US_national_yearly!$D$1:$AM$1, 0), FALSE) / VLOOKUP(Substitution!$M$5 &amp; $A19, US_national_yearly!$D:$AM, MATCH(Keys!$C$7, US_national_yearly!$D$1:$AM$1, 0), FALSE), 1)</f>
        <v>1.117206246235374E-3</v>
      </c>
      <c r="Z19" s="12">
        <f>$B19 * IFERROR(VLOOKUP(Substitution!$M$5 &amp; $A19, US_national_yearly!$D:$AM, MATCH(Z$1, US_national_yearly!$D$1:$AM$1, 0), FALSE) / VLOOKUP(Substitution!$M$5 &amp; $A19, US_national_yearly!$D:$AM, MATCH(Keys!$C$7, US_national_yearly!$D$1:$AM$1, 0), FALSE), 1)</f>
        <v>1.1224289719178259E-3</v>
      </c>
      <c r="AA19" s="12">
        <f>$B19 * IFERROR(VLOOKUP(Substitution!$M$5 &amp; $A19, US_national_yearly!$D:$AM, MATCH(AA$1, US_national_yearly!$D$1:$AM$1, 0), FALSE) / VLOOKUP(Substitution!$M$5 &amp; $A19, US_national_yearly!$D:$AM, MATCH(Keys!$C$7, US_national_yearly!$D$1:$AM$1, 0), FALSE), 1)</f>
        <v>1.127651697600278E-3</v>
      </c>
      <c r="AB19" s="12">
        <f>$B19 * IFERROR(VLOOKUP(Substitution!$M$5 &amp; $A19, US_national_yearly!$D:$AM, MATCH(AB$1, US_national_yearly!$D$1:$AM$1, 0), FALSE) / VLOOKUP(Substitution!$M$5 &amp; $A19, US_national_yearly!$D:$AM, MATCH(Keys!$C$7, US_national_yearly!$D$1:$AM$1, 0), FALSE), 1)</f>
        <v>1.1328744232827299E-3</v>
      </c>
    </row>
    <row r="20" spans="1:28" x14ac:dyDescent="0.25">
      <c r="A20" s="4" t="s">
        <v>327</v>
      </c>
      <c r="B20" s="12">
        <f>IFERROR(VLOOKUP(Substitution!$M$5 &amp; $A20, US_national_yearly!$D:$AM, MATCH(Keys!$C$7, US_national_yearly!$D$1:$AM$1, 0), FALSE), 0)</f>
        <v>7.9889610076172742E-4</v>
      </c>
      <c r="C20" s="12">
        <f>$B20 * IFERROR(VLOOKUP(Substitution!$M$5 &amp; $A20, US_national_yearly!$D:$AM, MATCH(C$1, US_national_yearly!$D$1:$AM$1, 0), FALSE) / VLOOKUP(Substitution!$M$5 &amp; $A20, US_national_yearly!$D:$AM, MATCH(Keys!$C$7, US_national_yearly!$D$1:$AM$1, 0), FALSE), 1)</f>
        <v>8.1994764665765582E-4</v>
      </c>
      <c r="D20" s="12">
        <f>$B20 * IFERROR(VLOOKUP(Substitution!$M$5 &amp; $A20, US_national_yearly!$D:$AM, MATCH(D$1, US_national_yearly!$D$1:$AM$1, 0), FALSE) / VLOOKUP(Substitution!$M$5 &amp; $A20, US_national_yearly!$D:$AM, MATCH(Keys!$C$7, US_national_yearly!$D$1:$AM$1, 0), FALSE), 1)</f>
        <v>8.4099919255358423E-4</v>
      </c>
      <c r="E20" s="12">
        <f>$B20 * IFERROR(VLOOKUP(Substitution!$M$5 &amp; $A20, US_national_yearly!$D:$AM, MATCH(E$1, US_national_yearly!$D$1:$AM$1, 0), FALSE) / VLOOKUP(Substitution!$M$5 &amp; $A20, US_national_yearly!$D:$AM, MATCH(Keys!$C$7, US_national_yearly!$D$1:$AM$1, 0), FALSE), 1)</f>
        <v>8.6205073844951264E-4</v>
      </c>
      <c r="F20" s="12">
        <f>$B20 * IFERROR(VLOOKUP(Substitution!$M$5 &amp; $A20, US_national_yearly!$D:$AM, MATCH(F$1, US_national_yearly!$D$1:$AM$1, 0), FALSE) / VLOOKUP(Substitution!$M$5 &amp; $A20, US_national_yearly!$D:$AM, MATCH(Keys!$C$7, US_national_yearly!$D$1:$AM$1, 0), FALSE), 1)</f>
        <v>8.8310228434544105E-4</v>
      </c>
      <c r="G20" s="12">
        <f>$B20 * IFERROR(VLOOKUP(Substitution!$M$5 &amp; $A20, US_national_yearly!$D:$AM, MATCH(G$1, US_national_yearly!$D$1:$AM$1, 0), FALSE) / VLOOKUP(Substitution!$M$5 &amp; $A20, US_national_yearly!$D:$AM, MATCH(Keys!$C$7, US_national_yearly!$D$1:$AM$1, 0), FALSE), 1)</f>
        <v>9.0050500817511164E-4</v>
      </c>
      <c r="H20" s="12">
        <f>$B20 * IFERROR(VLOOKUP(Substitution!$M$5 &amp; $A20, US_national_yearly!$D:$AM, MATCH(H$1, US_national_yearly!$D$1:$AM$1, 0), FALSE) / VLOOKUP(Substitution!$M$5 &amp; $A20, US_national_yearly!$D:$AM, MATCH(Keys!$C$7, US_national_yearly!$D$1:$AM$1, 0), FALSE), 1)</f>
        <v>9.1790773200478202E-4</v>
      </c>
      <c r="I20" s="12">
        <f>$B20 * IFERROR(VLOOKUP(Substitution!$M$5 &amp; $A20, US_national_yearly!$D:$AM, MATCH(I$1, US_national_yearly!$D$1:$AM$1, 0), FALSE) / VLOOKUP(Substitution!$M$5 &amp; $A20, US_national_yearly!$D:$AM, MATCH(Keys!$C$7, US_national_yearly!$D$1:$AM$1, 0), FALSE), 1)</f>
        <v>9.2860851484862373E-4</v>
      </c>
      <c r="J20" s="12">
        <f>$B20 * IFERROR(VLOOKUP(Substitution!$M$5 &amp; $A20, US_national_yearly!$D:$AM, MATCH(J$1, US_national_yearly!$D$1:$AM$1, 0), FALSE) / VLOOKUP(Substitution!$M$5 &amp; $A20, US_national_yearly!$D:$AM, MATCH(Keys!$C$7, US_national_yearly!$D$1:$AM$1, 0), FALSE), 1)</f>
        <v>9.3930929769246523E-4</v>
      </c>
      <c r="K20" s="12">
        <f>$B20 * IFERROR(VLOOKUP(Substitution!$M$5 &amp; $A20, US_national_yearly!$D:$AM, MATCH(K$1, US_national_yearly!$D$1:$AM$1, 0), FALSE) / VLOOKUP(Substitution!$M$5 &amp; $A20, US_national_yearly!$D:$AM, MATCH(Keys!$C$7, US_national_yearly!$D$1:$AM$1, 0), FALSE), 1)</f>
        <v>9.5001008053630684E-4</v>
      </c>
      <c r="L20" s="12">
        <f>$B20 * IFERROR(VLOOKUP(Substitution!$M$5 &amp; $A20, US_national_yearly!$D:$AM, MATCH(L$1, US_national_yearly!$D$1:$AM$1, 0), FALSE) / VLOOKUP(Substitution!$M$5 &amp; $A20, US_national_yearly!$D:$AM, MATCH(Keys!$C$7, US_national_yearly!$D$1:$AM$1, 0), FALSE), 1)</f>
        <v>9.6071086338014855E-4</v>
      </c>
      <c r="M20" s="12">
        <f>$B20 * IFERROR(VLOOKUP(Substitution!$M$5 &amp; $A20, US_national_yearly!$D:$AM, MATCH(M$1, US_national_yearly!$D$1:$AM$1, 0), FALSE) / VLOOKUP(Substitution!$M$5 &amp; $A20, US_national_yearly!$D:$AM, MATCH(Keys!$C$7, US_national_yearly!$D$1:$AM$1, 0), FALSE), 1)</f>
        <v>9.7141164622399005E-4</v>
      </c>
      <c r="N20" s="12">
        <f>$B20 * IFERROR(VLOOKUP(Substitution!$M$5 &amp; $A20, US_national_yearly!$D:$AM, MATCH(N$1, US_national_yearly!$D$1:$AM$1, 0), FALSE) / VLOOKUP(Substitution!$M$5 &amp; $A20, US_national_yearly!$D:$AM, MATCH(Keys!$C$7, US_national_yearly!$D$1:$AM$1, 0), FALSE), 1)</f>
        <v>9.7646519645538607E-4</v>
      </c>
      <c r="O20" s="12">
        <f>$B20 * IFERROR(VLOOKUP(Substitution!$M$5 &amp; $A20, US_national_yearly!$D:$AM, MATCH(O$1, US_national_yearly!$D$1:$AM$1, 0), FALSE) / VLOOKUP(Substitution!$M$5 &amp; $A20, US_national_yearly!$D:$AM, MATCH(Keys!$C$7, US_national_yearly!$D$1:$AM$1, 0), FALSE), 1)</f>
        <v>9.8151874668678208E-4</v>
      </c>
      <c r="P20" s="12">
        <f>$B20 * IFERROR(VLOOKUP(Substitution!$M$5 &amp; $A20, US_national_yearly!$D:$AM, MATCH(P$1, US_national_yearly!$D$1:$AM$1, 0), FALSE) / VLOOKUP(Substitution!$M$5 &amp; $A20, US_national_yearly!$D:$AM, MATCH(Keys!$C$7, US_national_yearly!$D$1:$AM$1, 0), FALSE), 1)</f>
        <v>9.8657229691817799E-4</v>
      </c>
      <c r="Q20" s="12">
        <f>$B20 * IFERROR(VLOOKUP(Substitution!$M$5 &amp; $A20, US_national_yearly!$D:$AM, MATCH(Q$1, US_national_yearly!$D$1:$AM$1, 0), FALSE) / VLOOKUP(Substitution!$M$5 &amp; $A20, US_national_yearly!$D:$AM, MATCH(Keys!$C$7, US_national_yearly!$D$1:$AM$1, 0), FALSE), 1)</f>
        <v>9.9162584714957412E-4</v>
      </c>
      <c r="R20" s="12">
        <f>$B20 * IFERROR(VLOOKUP(Substitution!$M$5 &amp; $A20, US_national_yearly!$D:$AM, MATCH(R$1, US_national_yearly!$D$1:$AM$1, 0), FALSE) / VLOOKUP(Substitution!$M$5 &amp; $A20, US_national_yearly!$D:$AM, MATCH(Keys!$C$7, US_national_yearly!$D$1:$AM$1, 0), FALSE), 1)</f>
        <v>9.9667939738097002E-4</v>
      </c>
      <c r="S20" s="12">
        <f>$B20 * IFERROR(VLOOKUP(Substitution!$M$5 &amp; $A20, US_national_yearly!$D:$AM, MATCH(S$1, US_national_yearly!$D$1:$AM$1, 0), FALSE) / VLOOKUP(Substitution!$M$5 &amp; $A20, US_national_yearly!$D:$AM, MATCH(Keys!$C$7, US_national_yearly!$D$1:$AM$1, 0), FALSE), 1)</f>
        <v>9.9946530066084404E-4</v>
      </c>
      <c r="T20" s="12">
        <f>$B20 * IFERROR(VLOOKUP(Substitution!$M$5 &amp; $A20, US_national_yearly!$D:$AM, MATCH(T$1, US_national_yearly!$D$1:$AM$1, 0), FALSE) / VLOOKUP(Substitution!$M$5 &amp; $A20, US_national_yearly!$D:$AM, MATCH(Keys!$C$7, US_national_yearly!$D$1:$AM$1, 0), FALSE), 1)</f>
        <v>1.0022512039407181E-3</v>
      </c>
      <c r="U20" s="12">
        <f>$B20 * IFERROR(VLOOKUP(Substitution!$M$5 &amp; $A20, US_national_yearly!$D:$AM, MATCH(U$1, US_national_yearly!$D$1:$AM$1, 0), FALSE) / VLOOKUP(Substitution!$M$5 &amp; $A20, US_national_yearly!$D:$AM, MATCH(Keys!$C$7, US_national_yearly!$D$1:$AM$1, 0), FALSE), 1)</f>
        <v>1.0050371072205921E-3</v>
      </c>
      <c r="V20" s="12">
        <f>$B20 * IFERROR(VLOOKUP(Substitution!$M$5 &amp; $A20, US_national_yearly!$D:$AM, MATCH(V$1, US_national_yearly!$D$1:$AM$1, 0), FALSE) / VLOOKUP(Substitution!$M$5 &amp; $A20, US_national_yearly!$D:$AM, MATCH(Keys!$C$7, US_national_yearly!$D$1:$AM$1, 0), FALSE), 1)</f>
        <v>1.0078230105004661E-3</v>
      </c>
      <c r="W20" s="12">
        <f>$B20 * IFERROR(VLOOKUP(Substitution!$M$5 &amp; $A20, US_national_yearly!$D:$AM, MATCH(W$1, US_national_yearly!$D$1:$AM$1, 0), FALSE) / VLOOKUP(Substitution!$M$5 &amp; $A20, US_national_yearly!$D:$AM, MATCH(Keys!$C$7, US_national_yearly!$D$1:$AM$1, 0), FALSE), 1)</f>
        <v>1.0106089137803401E-3</v>
      </c>
      <c r="X20" s="12">
        <f>$B20 * IFERROR(VLOOKUP(Substitution!$M$5 &amp; $A20, US_national_yearly!$D:$AM, MATCH(X$1, US_national_yearly!$D$1:$AM$1, 0), FALSE) / VLOOKUP(Substitution!$M$5 &amp; $A20, US_national_yearly!$D:$AM, MATCH(Keys!$C$7, US_national_yearly!$D$1:$AM$1, 0), FALSE), 1)</f>
        <v>1.015501889235874E-3</v>
      </c>
      <c r="Y20" s="12">
        <f>$B20 * IFERROR(VLOOKUP(Substitution!$M$5 &amp; $A20, US_national_yearly!$D:$AM, MATCH(Y$1, US_national_yearly!$D$1:$AM$1, 0), FALSE) / VLOOKUP(Substitution!$M$5 &amp; $A20, US_national_yearly!$D:$AM, MATCH(Keys!$C$7, US_national_yearly!$D$1:$AM$1, 0), FALSE), 1)</f>
        <v>1.0203948646914081E-3</v>
      </c>
      <c r="Z20" s="12">
        <f>$B20 * IFERROR(VLOOKUP(Substitution!$M$5 &amp; $A20, US_national_yearly!$D:$AM, MATCH(Z$1, US_national_yearly!$D$1:$AM$1, 0), FALSE) / VLOOKUP(Substitution!$M$5 &amp; $A20, US_national_yearly!$D:$AM, MATCH(Keys!$C$7, US_national_yearly!$D$1:$AM$1, 0), FALSE), 1)</f>
        <v>1.025287840146942E-3</v>
      </c>
      <c r="AA20" s="12">
        <f>$B20 * IFERROR(VLOOKUP(Substitution!$M$5 &amp; $A20, US_national_yearly!$D:$AM, MATCH(AA$1, US_national_yearly!$D$1:$AM$1, 0), FALSE) / VLOOKUP(Substitution!$M$5 &amp; $A20, US_national_yearly!$D:$AM, MATCH(Keys!$C$7, US_national_yearly!$D$1:$AM$1, 0), FALSE), 1)</f>
        <v>1.0301808156024761E-3</v>
      </c>
      <c r="AB20" s="12">
        <f>$B20 * IFERROR(VLOOKUP(Substitution!$M$5 &amp; $A20, US_national_yearly!$D:$AM, MATCH(AB$1, US_national_yearly!$D$1:$AM$1, 0), FALSE) / VLOOKUP(Substitution!$M$5 &amp; $A20, US_national_yearly!$D:$AM, MATCH(Keys!$C$7, US_national_yearly!$D$1:$AM$1, 0), FALSE), 1)</f>
        <v>1.03507379105801E-3</v>
      </c>
    </row>
    <row r="21" spans="1:28" x14ac:dyDescent="0.25">
      <c r="A21" s="4" t="s">
        <v>329</v>
      </c>
      <c r="B21" s="12">
        <f>IFERROR(VLOOKUP(Substitution!$M$5 &amp; $A21, US_national_yearly!$D:$AM, MATCH(Keys!$C$7, US_national_yearly!$D$1:$AM$1, 0), FALSE), 0)</f>
        <v>1.89349017424774E-4</v>
      </c>
      <c r="C21" s="12">
        <f>$B21 * IFERROR(VLOOKUP(Substitution!$M$5 &amp; $A21, US_national_yearly!$D:$AM, MATCH(C$1, US_national_yearly!$D$1:$AM$1, 0), FALSE) / VLOOKUP(Substitution!$M$5 &amp; $A21, US_national_yearly!$D:$AM, MATCH(Keys!$C$7, US_national_yearly!$D$1:$AM$1, 0), FALSE), 1)</f>
        <v>1.9215373543693599E-4</v>
      </c>
      <c r="D21" s="12">
        <f>$B21 * IFERROR(VLOOKUP(Substitution!$M$5 &amp; $A21, US_national_yearly!$D:$AM, MATCH(D$1, US_national_yearly!$D$1:$AM$1, 0), FALSE) / VLOOKUP(Substitution!$M$5 &amp; $A21, US_national_yearly!$D:$AM, MATCH(Keys!$C$7, US_national_yearly!$D$1:$AM$1, 0), FALSE), 1)</f>
        <v>1.94958453449098E-4</v>
      </c>
      <c r="E21" s="12">
        <f>$B21 * IFERROR(VLOOKUP(Substitution!$M$5 &amp; $A21, US_national_yearly!$D:$AM, MATCH(E$1, US_national_yearly!$D$1:$AM$1, 0), FALSE) / VLOOKUP(Substitution!$M$5 &amp; $A21, US_national_yearly!$D:$AM, MATCH(Keys!$C$7, US_national_yearly!$D$1:$AM$1, 0), FALSE), 1)</f>
        <v>1.9776317146126001E-4</v>
      </c>
      <c r="F21" s="12">
        <f>$B21 * IFERROR(VLOOKUP(Substitution!$M$5 &amp; $A21, US_national_yearly!$D:$AM, MATCH(F$1, US_national_yearly!$D$1:$AM$1, 0), FALSE) / VLOOKUP(Substitution!$M$5 &amp; $A21, US_national_yearly!$D:$AM, MATCH(Keys!$C$7, US_national_yearly!$D$1:$AM$1, 0), FALSE), 1)</f>
        <v>2.0056788947342197E-4</v>
      </c>
      <c r="G21" s="12">
        <f>$B21 * IFERROR(VLOOKUP(Substitution!$M$5 &amp; $A21, US_national_yearly!$D:$AM, MATCH(G$1, US_national_yearly!$D$1:$AM$1, 0), FALSE) / VLOOKUP(Substitution!$M$5 &amp; $A21, US_national_yearly!$D:$AM, MATCH(Keys!$C$7, US_national_yearly!$D$1:$AM$1, 0), FALSE), 1)</f>
        <v>2.0320330932923849E-4</v>
      </c>
      <c r="H21" s="12">
        <f>$B21 * IFERROR(VLOOKUP(Substitution!$M$5 &amp; $A21, US_national_yearly!$D:$AM, MATCH(H$1, US_national_yearly!$D$1:$AM$1, 0), FALSE) / VLOOKUP(Substitution!$M$5 &amp; $A21, US_national_yearly!$D:$AM, MATCH(Keys!$C$7, US_national_yearly!$D$1:$AM$1, 0), FALSE), 1)</f>
        <v>2.0583872918505502E-4</v>
      </c>
      <c r="I21" s="12">
        <f>$B21 * IFERROR(VLOOKUP(Substitution!$M$5 &amp; $A21, US_national_yearly!$D:$AM, MATCH(I$1, US_national_yearly!$D$1:$AM$1, 0), FALSE) / VLOOKUP(Substitution!$M$5 &amp; $A21, US_national_yearly!$D:$AM, MATCH(Keys!$C$7, US_national_yearly!$D$1:$AM$1, 0), FALSE), 1)</f>
        <v>2.0791049962324261E-4</v>
      </c>
      <c r="J21" s="12">
        <f>$B21 * IFERROR(VLOOKUP(Substitution!$M$5 &amp; $A21, US_national_yearly!$D:$AM, MATCH(J$1, US_national_yearly!$D$1:$AM$1, 0), FALSE) / VLOOKUP(Substitution!$M$5 &amp; $A21, US_national_yearly!$D:$AM, MATCH(Keys!$C$7, US_national_yearly!$D$1:$AM$1, 0), FALSE), 1)</f>
        <v>2.0998227006143019E-4</v>
      </c>
      <c r="K21" s="12">
        <f>$B21 * IFERROR(VLOOKUP(Substitution!$M$5 &amp; $A21, US_national_yearly!$D:$AM, MATCH(K$1, US_national_yearly!$D$1:$AM$1, 0), FALSE) / VLOOKUP(Substitution!$M$5 &amp; $A21, US_national_yearly!$D:$AM, MATCH(Keys!$C$7, US_national_yearly!$D$1:$AM$1, 0), FALSE), 1)</f>
        <v>2.1205404049961783E-4</v>
      </c>
      <c r="L21" s="12">
        <f>$B21 * IFERROR(VLOOKUP(Substitution!$M$5 &amp; $A21, US_national_yearly!$D:$AM, MATCH(L$1, US_national_yearly!$D$1:$AM$1, 0), FALSE) / VLOOKUP(Substitution!$M$5 &amp; $A21, US_national_yearly!$D:$AM, MATCH(Keys!$C$7, US_national_yearly!$D$1:$AM$1, 0), FALSE), 1)</f>
        <v>2.1412581093780542E-4</v>
      </c>
      <c r="M21" s="12">
        <f>$B21 * IFERROR(VLOOKUP(Substitution!$M$5 &amp; $A21, US_national_yearly!$D:$AM, MATCH(M$1, US_national_yearly!$D$1:$AM$1, 0), FALSE) / VLOOKUP(Substitution!$M$5 &amp; $A21, US_national_yearly!$D:$AM, MATCH(Keys!$C$7, US_national_yearly!$D$1:$AM$1, 0), FALSE), 1)</f>
        <v>2.1619758137599301E-4</v>
      </c>
      <c r="N21" s="12">
        <f>$B21 * IFERROR(VLOOKUP(Substitution!$M$5 &amp; $A21, US_national_yearly!$D:$AM, MATCH(N$1, US_national_yearly!$D$1:$AM$1, 0), FALSE) / VLOOKUP(Substitution!$M$5 &amp; $A21, US_national_yearly!$D:$AM, MATCH(Keys!$C$7, US_national_yearly!$D$1:$AM$1, 0), FALSE), 1)</f>
        <v>2.1762012051487899E-4</v>
      </c>
      <c r="O21" s="12">
        <f>$B21 * IFERROR(VLOOKUP(Substitution!$M$5 &amp; $A21, US_national_yearly!$D:$AM, MATCH(O$1, US_national_yearly!$D$1:$AM$1, 0), FALSE) / VLOOKUP(Substitution!$M$5 &amp; $A21, US_national_yearly!$D:$AM, MATCH(Keys!$C$7, US_national_yearly!$D$1:$AM$1, 0), FALSE), 1)</f>
        <v>2.1904265965376501E-4</v>
      </c>
      <c r="P21" s="12">
        <f>$B21 * IFERROR(VLOOKUP(Substitution!$M$5 &amp; $A21, US_national_yearly!$D:$AM, MATCH(P$1, US_national_yearly!$D$1:$AM$1, 0), FALSE) / VLOOKUP(Substitution!$M$5 &amp; $A21, US_national_yearly!$D:$AM, MATCH(Keys!$C$7, US_national_yearly!$D$1:$AM$1, 0), FALSE), 1)</f>
        <v>2.20465198792651E-4</v>
      </c>
      <c r="Q21" s="12">
        <f>$B21 * IFERROR(VLOOKUP(Substitution!$M$5 &amp; $A21, US_national_yearly!$D:$AM, MATCH(Q$1, US_national_yearly!$D$1:$AM$1, 0), FALSE) / VLOOKUP(Substitution!$M$5 &amp; $A21, US_national_yearly!$D:$AM, MATCH(Keys!$C$7, US_national_yearly!$D$1:$AM$1, 0), FALSE), 1)</f>
        <v>2.2188773793153701E-4</v>
      </c>
      <c r="R21" s="12">
        <f>$B21 * IFERROR(VLOOKUP(Substitution!$M$5 &amp; $A21, US_national_yearly!$D:$AM, MATCH(R$1, US_national_yearly!$D$1:$AM$1, 0), FALSE) / VLOOKUP(Substitution!$M$5 &amp; $A21, US_national_yearly!$D:$AM, MATCH(Keys!$C$7, US_national_yearly!$D$1:$AM$1, 0), FALSE), 1)</f>
        <v>2.23310277070423E-4</v>
      </c>
      <c r="S21" s="12">
        <f>$B21 * IFERROR(VLOOKUP(Substitution!$M$5 &amp; $A21, US_national_yearly!$D:$AM, MATCH(S$1, US_national_yearly!$D$1:$AM$1, 0), FALSE) / VLOOKUP(Substitution!$M$5 &amp; $A21, US_national_yearly!$D:$AM, MATCH(Keys!$C$7, US_national_yearly!$D$1:$AM$1, 0), FALSE), 1)</f>
        <v>2.2444872831479777E-4</v>
      </c>
      <c r="T21" s="12">
        <f>$B21 * IFERROR(VLOOKUP(Substitution!$M$5 &amp; $A21, US_national_yearly!$D:$AM, MATCH(T$1, US_national_yearly!$D$1:$AM$1, 0), FALSE) / VLOOKUP(Substitution!$M$5 &amp; $A21, US_national_yearly!$D:$AM, MATCH(Keys!$C$7, US_national_yearly!$D$1:$AM$1, 0), FALSE), 1)</f>
        <v>2.2558717955917259E-4</v>
      </c>
      <c r="U21" s="12">
        <f>$B21 * IFERROR(VLOOKUP(Substitution!$M$5 &amp; $A21, US_national_yearly!$D:$AM, MATCH(U$1, US_national_yearly!$D$1:$AM$1, 0), FALSE) / VLOOKUP(Substitution!$M$5 &amp; $A21, US_national_yearly!$D:$AM, MATCH(Keys!$C$7, US_national_yearly!$D$1:$AM$1, 0), FALSE), 1)</f>
        <v>2.2672563080354739E-4</v>
      </c>
      <c r="V21" s="12">
        <f>$B21 * IFERROR(VLOOKUP(Substitution!$M$5 &amp; $A21, US_national_yearly!$D:$AM, MATCH(V$1, US_national_yearly!$D$1:$AM$1, 0), FALSE) / VLOOKUP(Substitution!$M$5 &amp; $A21, US_national_yearly!$D:$AM, MATCH(Keys!$C$7, US_national_yearly!$D$1:$AM$1, 0), FALSE), 1)</f>
        <v>2.2786408204792221E-4</v>
      </c>
      <c r="W21" s="12">
        <f>$B21 * IFERROR(VLOOKUP(Substitution!$M$5 &amp; $A21, US_national_yearly!$D:$AM, MATCH(W$1, US_national_yearly!$D$1:$AM$1, 0), FALSE) / VLOOKUP(Substitution!$M$5 &amp; $A21, US_national_yearly!$D:$AM, MATCH(Keys!$C$7, US_national_yearly!$D$1:$AM$1, 0), FALSE), 1)</f>
        <v>2.29002533292297E-4</v>
      </c>
      <c r="X21" s="12">
        <f>$B21 * IFERROR(VLOOKUP(Substitution!$M$5 &amp; $A21, US_national_yearly!$D:$AM, MATCH(X$1, US_national_yearly!$D$1:$AM$1, 0), FALSE) / VLOOKUP(Substitution!$M$5 &amp; $A21, US_national_yearly!$D:$AM, MATCH(Keys!$C$7, US_national_yearly!$D$1:$AM$1, 0), FALSE), 1)</f>
        <v>2.302581865490352E-4</v>
      </c>
      <c r="Y21" s="12">
        <f>$B21 * IFERROR(VLOOKUP(Substitution!$M$5 &amp; $A21, US_national_yearly!$D:$AM, MATCH(Y$1, US_national_yearly!$D$1:$AM$1, 0), FALSE) / VLOOKUP(Substitution!$M$5 &amp; $A21, US_national_yearly!$D:$AM, MATCH(Keys!$C$7, US_national_yearly!$D$1:$AM$1, 0), FALSE), 1)</f>
        <v>2.315138398057734E-4</v>
      </c>
      <c r="Z21" s="12">
        <f>$B21 * IFERROR(VLOOKUP(Substitution!$M$5 &amp; $A21, US_national_yearly!$D:$AM, MATCH(Z$1, US_national_yearly!$D$1:$AM$1, 0), FALSE) / VLOOKUP(Substitution!$M$5 &amp; $A21, US_national_yearly!$D:$AM, MATCH(Keys!$C$7, US_national_yearly!$D$1:$AM$1, 0), FALSE), 1)</f>
        <v>2.327694930625116E-4</v>
      </c>
      <c r="AA21" s="12">
        <f>$B21 * IFERROR(VLOOKUP(Substitution!$M$5 &amp; $A21, US_national_yearly!$D:$AM, MATCH(AA$1, US_national_yearly!$D$1:$AM$1, 0), FALSE) / VLOOKUP(Substitution!$M$5 &amp; $A21, US_national_yearly!$D:$AM, MATCH(Keys!$C$7, US_national_yearly!$D$1:$AM$1, 0), FALSE), 1)</f>
        <v>2.3402514631924978E-4</v>
      </c>
      <c r="AB21" s="12">
        <f>$B21 * IFERROR(VLOOKUP(Substitution!$M$5 &amp; $A21, US_national_yearly!$D:$AM, MATCH(AB$1, US_national_yearly!$D$1:$AM$1, 0), FALSE) / VLOOKUP(Substitution!$M$5 &amp; $A21, US_national_yearly!$D:$AM, MATCH(Keys!$C$7, US_national_yearly!$D$1:$AM$1, 0), FALSE), 1)</f>
        <v>2.3528079957598803E-4</v>
      </c>
    </row>
    <row r="22" spans="1:28" x14ac:dyDescent="0.25">
      <c r="A22" s="4" t="s">
        <v>331</v>
      </c>
      <c r="B22" s="12">
        <f>IFERROR(VLOOKUP(Substitution!$M$5 &amp; $A22, US_national_yearly!$D:$AM, MATCH(Keys!$C$7, US_national_yearly!$D$1:$AM$1, 0), FALSE), 0)</f>
        <v>4.0723150891446196E-3</v>
      </c>
      <c r="C22" s="12">
        <f>$B22 * IFERROR(VLOOKUP(Substitution!$M$5 &amp; $A22, US_national_yearly!$D:$AM, MATCH(C$1, US_national_yearly!$D$1:$AM$1, 0), FALSE) / VLOOKUP(Substitution!$M$5 &amp; $A22, US_national_yearly!$D:$AM, MATCH(Keys!$C$7, US_national_yearly!$D$1:$AM$1, 0), FALSE), 1)</f>
        <v>4.1466864565720286E-3</v>
      </c>
      <c r="D22" s="12">
        <f>$B22 * IFERROR(VLOOKUP(Substitution!$M$5 &amp; $A22, US_national_yearly!$D:$AM, MATCH(D$1, US_national_yearly!$D$1:$AM$1, 0), FALSE) / VLOOKUP(Substitution!$M$5 &amp; $A22, US_national_yearly!$D:$AM, MATCH(Keys!$C$7, US_national_yearly!$D$1:$AM$1, 0), FALSE), 1)</f>
        <v>4.2210578239994401E-3</v>
      </c>
      <c r="E22" s="12">
        <f>$B22 * IFERROR(VLOOKUP(Substitution!$M$5 &amp; $A22, US_national_yearly!$D:$AM, MATCH(E$1, US_national_yearly!$D$1:$AM$1, 0), FALSE) / VLOOKUP(Substitution!$M$5 &amp; $A22, US_national_yearly!$D:$AM, MATCH(Keys!$C$7, US_national_yearly!$D$1:$AM$1, 0), FALSE), 1)</f>
        <v>4.29542919142685E-3</v>
      </c>
      <c r="F22" s="12">
        <f>$B22 * IFERROR(VLOOKUP(Substitution!$M$5 &amp; $A22, US_national_yearly!$D:$AM, MATCH(F$1, US_national_yearly!$D$1:$AM$1, 0), FALSE) / VLOOKUP(Substitution!$M$5 &amp; $A22, US_national_yearly!$D:$AM, MATCH(Keys!$C$7, US_national_yearly!$D$1:$AM$1, 0), FALSE), 1)</f>
        <v>4.3698005588542598E-3</v>
      </c>
      <c r="G22" s="12">
        <f>$B22 * IFERROR(VLOOKUP(Substitution!$M$5 &amp; $A22, US_national_yearly!$D:$AM, MATCH(G$1, US_national_yearly!$D$1:$AM$1, 0), FALSE) / VLOOKUP(Substitution!$M$5 &amp; $A22, US_national_yearly!$D:$AM, MATCH(Keys!$C$7, US_national_yearly!$D$1:$AM$1, 0), FALSE), 1)</f>
        <v>4.4426301102036651E-3</v>
      </c>
      <c r="H22" s="12">
        <f>$B22 * IFERROR(VLOOKUP(Substitution!$M$5 &amp; $A22, US_national_yearly!$D:$AM, MATCH(H$1, US_national_yearly!$D$1:$AM$1, 0), FALSE) / VLOOKUP(Substitution!$M$5 &amp; $A22, US_national_yearly!$D:$AM, MATCH(Keys!$C$7, US_national_yearly!$D$1:$AM$1, 0), FALSE), 1)</f>
        <v>4.5154596615530696E-3</v>
      </c>
      <c r="I22" s="12">
        <f>$B22 * IFERROR(VLOOKUP(Substitution!$M$5 &amp; $A22, US_national_yearly!$D:$AM, MATCH(I$1, US_national_yearly!$D$1:$AM$1, 0), FALSE) / VLOOKUP(Substitution!$M$5 &amp; $A22, US_national_yearly!$D:$AM, MATCH(Keys!$C$7, US_national_yearly!$D$1:$AM$1, 0), FALSE), 1)</f>
        <v>4.586019552640712E-3</v>
      </c>
      <c r="J22" s="12">
        <f>$B22 * IFERROR(VLOOKUP(Substitution!$M$5 &amp; $A22, US_national_yearly!$D:$AM, MATCH(J$1, US_national_yearly!$D$1:$AM$1, 0), FALSE) / VLOOKUP(Substitution!$M$5 &amp; $A22, US_national_yearly!$D:$AM, MATCH(Keys!$C$7, US_national_yearly!$D$1:$AM$1, 0), FALSE), 1)</f>
        <v>4.6565794437283536E-3</v>
      </c>
      <c r="K22" s="12">
        <f>$B22 * IFERROR(VLOOKUP(Substitution!$M$5 &amp; $A22, US_national_yearly!$D:$AM, MATCH(K$1, US_national_yearly!$D$1:$AM$1, 0), FALSE) / VLOOKUP(Substitution!$M$5 &amp; $A22, US_national_yearly!$D:$AM, MATCH(Keys!$C$7, US_national_yearly!$D$1:$AM$1, 0), FALSE), 1)</f>
        <v>4.7271393348159961E-3</v>
      </c>
      <c r="L22" s="12">
        <f>$B22 * IFERROR(VLOOKUP(Substitution!$M$5 &amp; $A22, US_national_yearly!$D:$AM, MATCH(L$1, US_national_yearly!$D$1:$AM$1, 0), FALSE) / VLOOKUP(Substitution!$M$5 &amp; $A22, US_national_yearly!$D:$AM, MATCH(Keys!$C$7, US_national_yearly!$D$1:$AM$1, 0), FALSE), 1)</f>
        <v>4.7976992259036377E-3</v>
      </c>
      <c r="M22" s="12">
        <f>$B22 * IFERROR(VLOOKUP(Substitution!$M$5 &amp; $A22, US_national_yearly!$D:$AM, MATCH(M$1, US_national_yearly!$D$1:$AM$1, 0), FALSE) / VLOOKUP(Substitution!$M$5 &amp; $A22, US_national_yearly!$D:$AM, MATCH(Keys!$C$7, US_national_yearly!$D$1:$AM$1, 0), FALSE), 1)</f>
        <v>4.8682591169912802E-3</v>
      </c>
      <c r="N22" s="12">
        <f>$B22 * IFERROR(VLOOKUP(Substitution!$M$5 &amp; $A22, US_national_yearly!$D:$AM, MATCH(N$1, US_national_yearly!$D$1:$AM$1, 0), FALSE) / VLOOKUP(Substitution!$M$5 &amp; $A22, US_national_yearly!$D:$AM, MATCH(Keys!$C$7, US_national_yearly!$D$1:$AM$1, 0), FALSE), 1)</f>
        <v>4.9249443992601099E-3</v>
      </c>
      <c r="O22" s="12">
        <f>$B22 * IFERROR(VLOOKUP(Substitution!$M$5 &amp; $A22, US_national_yearly!$D:$AM, MATCH(O$1, US_national_yearly!$D$1:$AM$1, 0), FALSE) / VLOOKUP(Substitution!$M$5 &amp; $A22, US_national_yearly!$D:$AM, MATCH(Keys!$C$7, US_national_yearly!$D$1:$AM$1, 0), FALSE), 1)</f>
        <v>4.9816296815289396E-3</v>
      </c>
      <c r="P22" s="12">
        <f>$B22 * IFERROR(VLOOKUP(Substitution!$M$5 &amp; $A22, US_national_yearly!$D:$AM, MATCH(P$1, US_national_yearly!$D$1:$AM$1, 0), FALSE) / VLOOKUP(Substitution!$M$5 &amp; $A22, US_national_yearly!$D:$AM, MATCH(Keys!$C$7, US_national_yearly!$D$1:$AM$1, 0), FALSE), 1)</f>
        <v>5.0383149637977702E-3</v>
      </c>
      <c r="Q22" s="12">
        <f>$B22 * IFERROR(VLOOKUP(Substitution!$M$5 &amp; $A22, US_national_yearly!$D:$AM, MATCH(Q$1, US_national_yearly!$D$1:$AM$1, 0), FALSE) / VLOOKUP(Substitution!$M$5 &amp; $A22, US_national_yearly!$D:$AM, MATCH(Keys!$C$7, US_national_yearly!$D$1:$AM$1, 0), FALSE), 1)</f>
        <v>5.0950002460666E-3</v>
      </c>
      <c r="R22" s="12">
        <f>$B22 * IFERROR(VLOOKUP(Substitution!$M$5 &amp; $A22, US_national_yearly!$D:$AM, MATCH(R$1, US_national_yearly!$D$1:$AM$1, 0), FALSE) / VLOOKUP(Substitution!$M$5 &amp; $A22, US_national_yearly!$D:$AM, MATCH(Keys!$C$7, US_national_yearly!$D$1:$AM$1, 0), FALSE), 1)</f>
        <v>5.1516855283354297E-3</v>
      </c>
      <c r="S22" s="12">
        <f>$B22 * IFERROR(VLOOKUP(Substitution!$M$5 &amp; $A22, US_national_yearly!$D:$AM, MATCH(S$1, US_national_yearly!$D$1:$AM$1, 0), FALSE) / VLOOKUP(Substitution!$M$5 &amp; $A22, US_national_yearly!$D:$AM, MATCH(Keys!$C$7, US_national_yearly!$D$1:$AM$1, 0), FALSE), 1)</f>
        <v>5.1910716999279457E-3</v>
      </c>
      <c r="T22" s="12">
        <f>$B22 * IFERROR(VLOOKUP(Substitution!$M$5 &amp; $A22, US_national_yearly!$D:$AM, MATCH(T$1, US_national_yearly!$D$1:$AM$1, 0), FALSE) / VLOOKUP(Substitution!$M$5 &amp; $A22, US_national_yearly!$D:$AM, MATCH(Keys!$C$7, US_national_yearly!$D$1:$AM$1, 0), FALSE), 1)</f>
        <v>5.2304578715204617E-3</v>
      </c>
      <c r="U22" s="12">
        <f>$B22 * IFERROR(VLOOKUP(Substitution!$M$5 &amp; $A22, US_national_yearly!$D:$AM, MATCH(U$1, US_national_yearly!$D$1:$AM$1, 0), FALSE) / VLOOKUP(Substitution!$M$5 &amp; $A22, US_national_yearly!$D:$AM, MATCH(Keys!$C$7, US_national_yearly!$D$1:$AM$1, 0), FALSE), 1)</f>
        <v>5.2698440431129777E-3</v>
      </c>
      <c r="V22" s="12">
        <f>$B22 * IFERROR(VLOOKUP(Substitution!$M$5 &amp; $A22, US_national_yearly!$D:$AM, MATCH(V$1, US_national_yearly!$D$1:$AM$1, 0), FALSE) / VLOOKUP(Substitution!$M$5 &amp; $A22, US_national_yearly!$D:$AM, MATCH(Keys!$C$7, US_national_yearly!$D$1:$AM$1, 0), FALSE), 1)</f>
        <v>5.3092302147054937E-3</v>
      </c>
      <c r="W22" s="12">
        <f>$B22 * IFERROR(VLOOKUP(Substitution!$M$5 &amp; $A22, US_national_yearly!$D:$AM, MATCH(W$1, US_national_yearly!$D$1:$AM$1, 0), FALSE) / VLOOKUP(Substitution!$M$5 &amp; $A22, US_national_yearly!$D:$AM, MATCH(Keys!$C$7, US_national_yearly!$D$1:$AM$1, 0), FALSE), 1)</f>
        <v>5.3486163862980097E-3</v>
      </c>
      <c r="X22" s="12">
        <f>$B22 * IFERROR(VLOOKUP(Substitution!$M$5 &amp; $A22, US_national_yearly!$D:$AM, MATCH(X$1, US_national_yearly!$D$1:$AM$1, 0), FALSE) / VLOOKUP(Substitution!$M$5 &amp; $A22, US_national_yearly!$D:$AM, MATCH(Keys!$C$7, US_national_yearly!$D$1:$AM$1, 0), FALSE), 1)</f>
        <v>5.3780998736125936E-3</v>
      </c>
      <c r="Y22" s="12">
        <f>$B22 * IFERROR(VLOOKUP(Substitution!$M$5 &amp; $A22, US_national_yearly!$D:$AM, MATCH(Y$1, US_national_yearly!$D$1:$AM$1, 0), FALSE) / VLOOKUP(Substitution!$M$5 &amp; $A22, US_national_yearly!$D:$AM, MATCH(Keys!$C$7, US_national_yearly!$D$1:$AM$1, 0), FALSE), 1)</f>
        <v>5.4075833609271784E-3</v>
      </c>
      <c r="Z22" s="12">
        <f>$B22 * IFERROR(VLOOKUP(Substitution!$M$5 &amp; $A22, US_national_yearly!$D:$AM, MATCH(Z$1, US_national_yearly!$D$1:$AM$1, 0), FALSE) / VLOOKUP(Substitution!$M$5 &amp; $A22, US_national_yearly!$D:$AM, MATCH(Keys!$C$7, US_national_yearly!$D$1:$AM$1, 0), FALSE), 1)</f>
        <v>5.4370668482417624E-3</v>
      </c>
      <c r="AA22" s="12">
        <f>$B22 * IFERROR(VLOOKUP(Substitution!$M$5 &amp; $A22, US_national_yearly!$D:$AM, MATCH(AA$1, US_national_yearly!$D$1:$AM$1, 0), FALSE) / VLOOKUP(Substitution!$M$5 &amp; $A22, US_national_yearly!$D:$AM, MATCH(Keys!$C$7, US_national_yearly!$D$1:$AM$1, 0), FALSE), 1)</f>
        <v>5.4665503355563463E-3</v>
      </c>
      <c r="AB22" s="12">
        <f>$B22 * IFERROR(VLOOKUP(Substitution!$M$5 &amp; $A22, US_national_yearly!$D:$AM, MATCH(AB$1, US_national_yearly!$D$1:$AM$1, 0), FALSE) / VLOOKUP(Substitution!$M$5 &amp; $A22, US_national_yearly!$D:$AM, MATCH(Keys!$C$7, US_national_yearly!$D$1:$AM$1, 0), FALSE), 1)</f>
        <v>5.4960338228709302E-3</v>
      </c>
    </row>
    <row r="23" spans="1:28" x14ac:dyDescent="0.25">
      <c r="A23" s="4" t="s">
        <v>333</v>
      </c>
      <c r="B23" s="12">
        <f>IFERROR(VLOOKUP(Substitution!$M$5 &amp; $A23, US_national_yearly!$D:$AM, MATCH(Keys!$C$7, US_national_yearly!$D$1:$AM$1, 0), FALSE), 0)</f>
        <v>0</v>
      </c>
      <c r="C23" s="12">
        <f>$B23 * IFERROR(VLOOKUP(Substitution!$M$5 &amp; $A23, US_national_yearly!$D:$AM, MATCH(C$1, US_national_yearly!$D$1:$AM$1, 0), FALSE) / VLOOKUP(Substitution!$M$5 &amp; $A23, US_national_yearly!$D:$AM, MATCH(Keys!$C$7, US_national_yearly!$D$1:$AM$1, 0), FALSE), 1)</f>
        <v>0</v>
      </c>
      <c r="D23" s="12">
        <f>$B23 * IFERROR(VLOOKUP(Substitution!$M$5 &amp; $A23, US_national_yearly!$D:$AM, MATCH(D$1, US_national_yearly!$D$1:$AM$1, 0), FALSE) / VLOOKUP(Substitution!$M$5 &amp; $A23, US_national_yearly!$D:$AM, MATCH(Keys!$C$7, US_national_yearly!$D$1:$AM$1, 0), FALSE), 1)</f>
        <v>0</v>
      </c>
      <c r="E23" s="12">
        <f>$B23 * IFERROR(VLOOKUP(Substitution!$M$5 &amp; $A23, US_national_yearly!$D:$AM, MATCH(E$1, US_national_yearly!$D$1:$AM$1, 0), FALSE) / VLOOKUP(Substitution!$M$5 &amp; $A23, US_national_yearly!$D:$AM, MATCH(Keys!$C$7, US_national_yearly!$D$1:$AM$1, 0), FALSE), 1)</f>
        <v>0</v>
      </c>
      <c r="F23" s="12">
        <f>$B23 * IFERROR(VLOOKUP(Substitution!$M$5 &amp; $A23, US_national_yearly!$D:$AM, MATCH(F$1, US_national_yearly!$D$1:$AM$1, 0), FALSE) / VLOOKUP(Substitution!$M$5 &amp; $A23, US_national_yearly!$D:$AM, MATCH(Keys!$C$7, US_national_yearly!$D$1:$AM$1, 0), FALSE), 1)</f>
        <v>0</v>
      </c>
      <c r="G23" s="12">
        <f>$B23 * IFERROR(VLOOKUP(Substitution!$M$5 &amp; $A23, US_national_yearly!$D:$AM, MATCH(G$1, US_national_yearly!$D$1:$AM$1, 0), FALSE) / VLOOKUP(Substitution!$M$5 &amp; $A23, US_national_yearly!$D:$AM, MATCH(Keys!$C$7, US_national_yearly!$D$1:$AM$1, 0), FALSE), 1)</f>
        <v>0</v>
      </c>
      <c r="H23" s="12">
        <f>$B23 * IFERROR(VLOOKUP(Substitution!$M$5 &amp; $A23, US_national_yearly!$D:$AM, MATCH(H$1, US_national_yearly!$D$1:$AM$1, 0), FALSE) / VLOOKUP(Substitution!$M$5 &amp; $A23, US_national_yearly!$D:$AM, MATCH(Keys!$C$7, US_national_yearly!$D$1:$AM$1, 0), FALSE), 1)</f>
        <v>0</v>
      </c>
      <c r="I23" s="12">
        <f>$B23 * IFERROR(VLOOKUP(Substitution!$M$5 &amp; $A23, US_national_yearly!$D:$AM, MATCH(I$1, US_national_yearly!$D$1:$AM$1, 0), FALSE) / VLOOKUP(Substitution!$M$5 &amp; $A23, US_national_yearly!$D:$AM, MATCH(Keys!$C$7, US_national_yearly!$D$1:$AM$1, 0), FALSE), 1)</f>
        <v>0</v>
      </c>
      <c r="J23" s="12">
        <f>$B23 * IFERROR(VLOOKUP(Substitution!$M$5 &amp; $A23, US_national_yearly!$D:$AM, MATCH(J$1, US_national_yearly!$D$1:$AM$1, 0), FALSE) / VLOOKUP(Substitution!$M$5 &amp; $A23, US_national_yearly!$D:$AM, MATCH(Keys!$C$7, US_national_yearly!$D$1:$AM$1, 0), FALSE), 1)</f>
        <v>0</v>
      </c>
      <c r="K23" s="12">
        <f>$B23 * IFERROR(VLOOKUP(Substitution!$M$5 &amp; $A23, US_national_yearly!$D:$AM, MATCH(K$1, US_national_yearly!$D$1:$AM$1, 0), FALSE) / VLOOKUP(Substitution!$M$5 &amp; $A23, US_national_yearly!$D:$AM, MATCH(Keys!$C$7, US_national_yearly!$D$1:$AM$1, 0), FALSE), 1)</f>
        <v>0</v>
      </c>
      <c r="L23" s="12">
        <f>$B23 * IFERROR(VLOOKUP(Substitution!$M$5 &amp; $A23, US_national_yearly!$D:$AM, MATCH(L$1, US_national_yearly!$D$1:$AM$1, 0), FALSE) / VLOOKUP(Substitution!$M$5 &amp; $A23, US_national_yearly!$D:$AM, MATCH(Keys!$C$7, US_national_yearly!$D$1:$AM$1, 0), FALSE), 1)</f>
        <v>0</v>
      </c>
      <c r="M23" s="12">
        <f>$B23 * IFERROR(VLOOKUP(Substitution!$M$5 &amp; $A23, US_national_yearly!$D:$AM, MATCH(M$1, US_national_yearly!$D$1:$AM$1, 0), FALSE) / VLOOKUP(Substitution!$M$5 &amp; $A23, US_national_yearly!$D:$AM, MATCH(Keys!$C$7, US_national_yearly!$D$1:$AM$1, 0), FALSE), 1)</f>
        <v>0</v>
      </c>
      <c r="N23" s="12">
        <f>$B23 * IFERROR(VLOOKUP(Substitution!$M$5 &amp; $A23, US_national_yearly!$D:$AM, MATCH(N$1, US_national_yearly!$D$1:$AM$1, 0), FALSE) / VLOOKUP(Substitution!$M$5 &amp; $A23, US_national_yearly!$D:$AM, MATCH(Keys!$C$7, US_national_yearly!$D$1:$AM$1, 0), FALSE), 1)</f>
        <v>0</v>
      </c>
      <c r="O23" s="12">
        <f>$B23 * IFERROR(VLOOKUP(Substitution!$M$5 &amp; $A23, US_national_yearly!$D:$AM, MATCH(O$1, US_national_yearly!$D$1:$AM$1, 0), FALSE) / VLOOKUP(Substitution!$M$5 &amp; $A23, US_national_yearly!$D:$AM, MATCH(Keys!$C$7, US_national_yearly!$D$1:$AM$1, 0), FALSE), 1)</f>
        <v>0</v>
      </c>
      <c r="P23" s="12">
        <f>$B23 * IFERROR(VLOOKUP(Substitution!$M$5 &amp; $A23, US_national_yearly!$D:$AM, MATCH(P$1, US_national_yearly!$D$1:$AM$1, 0), FALSE) / VLOOKUP(Substitution!$M$5 &amp; $A23, US_national_yearly!$D:$AM, MATCH(Keys!$C$7, US_national_yearly!$D$1:$AM$1, 0), FALSE), 1)</f>
        <v>0</v>
      </c>
      <c r="Q23" s="12">
        <f>$B23 * IFERROR(VLOOKUP(Substitution!$M$5 &amp; $A23, US_national_yearly!$D:$AM, MATCH(Q$1, US_national_yearly!$D$1:$AM$1, 0), FALSE) / VLOOKUP(Substitution!$M$5 &amp; $A23, US_national_yearly!$D:$AM, MATCH(Keys!$C$7, US_national_yearly!$D$1:$AM$1, 0), FALSE), 1)</f>
        <v>0</v>
      </c>
      <c r="R23" s="12">
        <f>$B23 * IFERROR(VLOOKUP(Substitution!$M$5 &amp; $A23, US_national_yearly!$D:$AM, MATCH(R$1, US_national_yearly!$D$1:$AM$1, 0), FALSE) / VLOOKUP(Substitution!$M$5 &amp; $A23, US_national_yearly!$D:$AM, MATCH(Keys!$C$7, US_national_yearly!$D$1:$AM$1, 0), FALSE), 1)</f>
        <v>0</v>
      </c>
      <c r="S23" s="12">
        <f>$B23 * IFERROR(VLOOKUP(Substitution!$M$5 &amp; $A23, US_national_yearly!$D:$AM, MATCH(S$1, US_national_yearly!$D$1:$AM$1, 0), FALSE) / VLOOKUP(Substitution!$M$5 &amp; $A23, US_national_yearly!$D:$AM, MATCH(Keys!$C$7, US_national_yearly!$D$1:$AM$1, 0), FALSE), 1)</f>
        <v>0</v>
      </c>
      <c r="T23" s="12">
        <f>$B23 * IFERROR(VLOOKUP(Substitution!$M$5 &amp; $A23, US_national_yearly!$D:$AM, MATCH(T$1, US_national_yearly!$D$1:$AM$1, 0), FALSE) / VLOOKUP(Substitution!$M$5 &amp; $A23, US_national_yearly!$D:$AM, MATCH(Keys!$C$7, US_national_yearly!$D$1:$AM$1, 0), FALSE), 1)</f>
        <v>0</v>
      </c>
      <c r="U23" s="12">
        <f>$B23 * IFERROR(VLOOKUP(Substitution!$M$5 &amp; $A23, US_national_yearly!$D:$AM, MATCH(U$1, US_national_yearly!$D$1:$AM$1, 0), FALSE) / VLOOKUP(Substitution!$M$5 &amp; $A23, US_national_yearly!$D:$AM, MATCH(Keys!$C$7, US_national_yearly!$D$1:$AM$1, 0), FALSE), 1)</f>
        <v>0</v>
      </c>
      <c r="V23" s="12">
        <f>$B23 * IFERROR(VLOOKUP(Substitution!$M$5 &amp; $A23, US_national_yearly!$D:$AM, MATCH(V$1, US_national_yearly!$D$1:$AM$1, 0), FALSE) / VLOOKUP(Substitution!$M$5 &amp; $A23, US_national_yearly!$D:$AM, MATCH(Keys!$C$7, US_national_yearly!$D$1:$AM$1, 0), FALSE), 1)</f>
        <v>0</v>
      </c>
      <c r="W23" s="12">
        <f>$B23 * IFERROR(VLOOKUP(Substitution!$M$5 &amp; $A23, US_national_yearly!$D:$AM, MATCH(W$1, US_national_yearly!$D$1:$AM$1, 0), FALSE) / VLOOKUP(Substitution!$M$5 &amp; $A23, US_national_yearly!$D:$AM, MATCH(Keys!$C$7, US_national_yearly!$D$1:$AM$1, 0), FALSE), 1)</f>
        <v>0</v>
      </c>
      <c r="X23" s="12">
        <f>$B23 * IFERROR(VLOOKUP(Substitution!$M$5 &amp; $A23, US_national_yearly!$D:$AM, MATCH(X$1, US_national_yearly!$D$1:$AM$1, 0), FALSE) / VLOOKUP(Substitution!$M$5 &amp; $A23, US_national_yearly!$D:$AM, MATCH(Keys!$C$7, US_national_yearly!$D$1:$AM$1, 0), FALSE), 1)</f>
        <v>0</v>
      </c>
      <c r="Y23" s="12">
        <f>$B23 * IFERROR(VLOOKUP(Substitution!$M$5 &amp; $A23, US_national_yearly!$D:$AM, MATCH(Y$1, US_national_yearly!$D$1:$AM$1, 0), FALSE) / VLOOKUP(Substitution!$M$5 &amp; $A23, US_national_yearly!$D:$AM, MATCH(Keys!$C$7, US_national_yearly!$D$1:$AM$1, 0), FALSE), 1)</f>
        <v>0</v>
      </c>
      <c r="Z23" s="12">
        <f>$B23 * IFERROR(VLOOKUP(Substitution!$M$5 &amp; $A23, US_national_yearly!$D:$AM, MATCH(Z$1, US_national_yearly!$D$1:$AM$1, 0), FALSE) / VLOOKUP(Substitution!$M$5 &amp; $A23, US_national_yearly!$D:$AM, MATCH(Keys!$C$7, US_national_yearly!$D$1:$AM$1, 0), FALSE), 1)</f>
        <v>0</v>
      </c>
      <c r="AA23" s="12">
        <f>$B23 * IFERROR(VLOOKUP(Substitution!$M$5 &amp; $A23, US_national_yearly!$D:$AM, MATCH(AA$1, US_national_yearly!$D$1:$AM$1, 0), FALSE) / VLOOKUP(Substitution!$M$5 &amp; $A23, US_national_yearly!$D:$AM, MATCH(Keys!$C$7, US_national_yearly!$D$1:$AM$1, 0), FALSE), 1)</f>
        <v>0</v>
      </c>
      <c r="AB23" s="12">
        <f>$B23 * IFERROR(VLOOKUP(Substitution!$M$5 &amp; $A23, US_national_yearly!$D:$AM, MATCH(AB$1, US_national_yearly!$D$1:$AM$1, 0), FALSE) / VLOOKUP(Substitution!$M$5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Substitution!$G$6)/IFERROR(SUMIFS(COBRA_aggregated!$W:$W, COBRA_aggregated!$A:$A, About!$B$1, COBRA_aggregated!$B:$B, Substitution!$G$6), 1)</f>
        <v>1.8422588654852321E-3</v>
      </c>
      <c r="C2" s="12">
        <f>$B2 * IFERROR(VLOOKUP(Substitution!$M$6 &amp; $A2, US_national_yearly!$D:$AM, MATCH(C$1, US_national_yearly!$D$1:$AM$1, 0), FALSE) / VLOOKUP(Substitution!$M$6 &amp; $A2, US_national_yearly!$D:$AM, MATCH(Keys!$C$7, US_national_yearly!$D$1:$AM$1, 0), FALSE), 1)</f>
        <v>1.8693185343351335E-3</v>
      </c>
      <c r="D2" s="12">
        <f>$B2 * IFERROR(VLOOKUP(Substitution!$M$6 &amp; $A2, US_national_yearly!$D:$AM, MATCH(D$1, US_national_yearly!$D$1:$AM$1, 0), FALSE) / VLOOKUP(Substitution!$M$6 &amp; $A2, US_national_yearly!$D:$AM, MATCH(Keys!$C$7, US_national_yearly!$D$1:$AM$1, 0), FALSE), 1)</f>
        <v>1.8963782031850343E-3</v>
      </c>
      <c r="E2" s="12">
        <f>$B2 * IFERROR(VLOOKUP(Substitution!$M$6 &amp; $A2, US_national_yearly!$D:$AM, MATCH(E$1, US_national_yearly!$D$1:$AM$1, 0), FALSE) / VLOOKUP(Substitution!$M$6 &amp; $A2, US_national_yearly!$D:$AM, MATCH(Keys!$C$7, US_national_yearly!$D$1:$AM$1, 0), FALSE), 1)</f>
        <v>1.9234378720349356E-3</v>
      </c>
      <c r="F2" s="12">
        <f>$B2 * IFERROR(VLOOKUP(Substitution!$M$6 &amp; $A2, US_national_yearly!$D:$AM, MATCH(F$1, US_national_yearly!$D$1:$AM$1, 0), FALSE) / VLOOKUP(Substitution!$M$6 &amp; $A2, US_national_yearly!$D:$AM, MATCH(Keys!$C$7, US_national_yearly!$D$1:$AM$1, 0), FALSE), 1)</f>
        <v>1.950497540884837E-3</v>
      </c>
      <c r="G2" s="12">
        <f>$B2 * IFERROR(VLOOKUP(Substitution!$M$6 &amp; $A2, US_national_yearly!$D:$AM, MATCH(G$1, US_national_yearly!$D$1:$AM$1, 0), FALSE) / VLOOKUP(Substitution!$M$6 &amp; $A2, US_national_yearly!$D:$AM, MATCH(Keys!$C$7, US_national_yearly!$D$1:$AM$1, 0), FALSE), 1)</f>
        <v>1.9991031036999366E-3</v>
      </c>
      <c r="H2" s="12">
        <f>$B2 * IFERROR(VLOOKUP(Substitution!$M$6 &amp; $A2, US_national_yearly!$D:$AM, MATCH(H$1, US_national_yearly!$D$1:$AM$1, 0), FALSE) / VLOOKUP(Substitution!$M$6 &amp; $A2, US_national_yearly!$D:$AM, MATCH(Keys!$C$7, US_national_yearly!$D$1:$AM$1, 0), FALSE), 1)</f>
        <v>2.0477086665150373E-3</v>
      </c>
      <c r="I2" s="12">
        <f>$B2 * IFERROR(VLOOKUP(Substitution!$M$6 &amp; $A2, US_national_yearly!$D:$AM, MATCH(I$1, US_national_yearly!$D$1:$AM$1, 0), FALSE) / VLOOKUP(Substitution!$M$6 &amp; $A2, US_national_yearly!$D:$AM, MATCH(Keys!$C$7, US_national_yearly!$D$1:$AM$1, 0), FALSE), 1)</f>
        <v>2.0790844792933638E-3</v>
      </c>
      <c r="J2" s="12">
        <f>$B2 * IFERROR(VLOOKUP(Substitution!$M$6 &amp; $A2, US_national_yearly!$D:$AM, MATCH(J$1, US_national_yearly!$D$1:$AM$1, 0), FALSE) / VLOOKUP(Substitution!$M$6 &amp; $A2, US_national_yearly!$D:$AM, MATCH(Keys!$C$7, US_national_yearly!$D$1:$AM$1, 0), FALSE), 1)</f>
        <v>2.1104602920716908E-3</v>
      </c>
      <c r="K2" s="12">
        <f>$B2 * IFERROR(VLOOKUP(Substitution!$M$6 &amp; $A2, US_national_yearly!$D:$AM, MATCH(K$1, US_national_yearly!$D$1:$AM$1, 0), FALSE) / VLOOKUP(Substitution!$M$6 &amp; $A2, US_national_yearly!$D:$AM, MATCH(Keys!$C$7, US_national_yearly!$D$1:$AM$1, 0), FALSE), 1)</f>
        <v>2.1418361048500178E-3</v>
      </c>
      <c r="L2" s="12">
        <f>$B2 * IFERROR(VLOOKUP(Substitution!$M$6 &amp; $A2, US_national_yearly!$D:$AM, MATCH(L$1, US_national_yearly!$D$1:$AM$1, 0), FALSE) / VLOOKUP(Substitution!$M$6 &amp; $A2, US_national_yearly!$D:$AM, MATCH(Keys!$C$7, US_national_yearly!$D$1:$AM$1, 0), FALSE), 1)</f>
        <v>2.1732119176283444E-3</v>
      </c>
      <c r="M2" s="12">
        <f>$B2 * IFERROR(VLOOKUP(Substitution!$M$6 &amp; $A2, US_national_yearly!$D:$AM, MATCH(M$1, US_national_yearly!$D$1:$AM$1, 0), FALSE) / VLOOKUP(Substitution!$M$6 &amp; $A2, US_national_yearly!$D:$AM, MATCH(Keys!$C$7, US_national_yearly!$D$1:$AM$1, 0), FALSE), 1)</f>
        <v>2.2045877304066714E-3</v>
      </c>
      <c r="N2" s="12">
        <f>$B2 * IFERROR(VLOOKUP(Substitution!$M$6 &amp; $A2, US_national_yearly!$D:$AM, MATCH(N$1, US_national_yearly!$D$1:$AM$1, 0), FALSE) / VLOOKUP(Substitution!$M$6 &amp; $A2, US_national_yearly!$D:$AM, MATCH(Keys!$C$7, US_national_yearly!$D$1:$AM$1, 0), FALSE), 1)</f>
        <v>2.2278308105380127E-3</v>
      </c>
      <c r="O2" s="12">
        <f>$B2 * IFERROR(VLOOKUP(Substitution!$M$6 &amp; $A2, US_national_yearly!$D:$AM, MATCH(O$1, US_national_yearly!$D$1:$AM$1, 0), FALSE) / VLOOKUP(Substitution!$M$6 &amp; $A2, US_national_yearly!$D:$AM, MATCH(Keys!$C$7, US_national_yearly!$D$1:$AM$1, 0), FALSE), 1)</f>
        <v>2.2510738906693539E-3</v>
      </c>
      <c r="P2" s="12">
        <f>$B2 * IFERROR(VLOOKUP(Substitution!$M$6 &amp; $A2, US_national_yearly!$D:$AM, MATCH(P$1, US_national_yearly!$D$1:$AM$1, 0), FALSE) / VLOOKUP(Substitution!$M$6 &amp; $A2, US_national_yearly!$D:$AM, MATCH(Keys!$C$7, US_national_yearly!$D$1:$AM$1, 0), FALSE), 1)</f>
        <v>2.2743169708006952E-3</v>
      </c>
      <c r="Q2" s="12">
        <f>$B2 * IFERROR(VLOOKUP(Substitution!$M$6 &amp; $A2, US_national_yearly!$D:$AM, MATCH(Q$1, US_national_yearly!$D$1:$AM$1, 0), FALSE) / VLOOKUP(Substitution!$M$6 &amp; $A2, US_national_yearly!$D:$AM, MATCH(Keys!$C$7, US_national_yearly!$D$1:$AM$1, 0), FALSE), 1)</f>
        <v>2.2975600509320369E-3</v>
      </c>
      <c r="R2" s="12">
        <f>$B2 * IFERROR(VLOOKUP(Substitution!$M$6 &amp; $A2, US_national_yearly!$D:$AM, MATCH(R$1, US_national_yearly!$D$1:$AM$1, 0), FALSE) / VLOOKUP(Substitution!$M$6 &amp; $A2, US_national_yearly!$D:$AM, MATCH(Keys!$C$7, US_national_yearly!$D$1:$AM$1, 0), FALSE), 1)</f>
        <v>2.3208031310633782E-3</v>
      </c>
      <c r="S2" s="12">
        <f>$B2 * IFERROR(VLOOKUP(Substitution!$M$6 &amp; $A2, US_national_yearly!$D:$AM, MATCH(S$1, US_national_yearly!$D$1:$AM$1, 0), FALSE) / VLOOKUP(Substitution!$M$6 &amp; $A2, US_national_yearly!$D:$AM, MATCH(Keys!$C$7, US_national_yearly!$D$1:$AM$1, 0), FALSE), 1)</f>
        <v>2.3313673450377792E-3</v>
      </c>
      <c r="T2" s="12">
        <f>$B2 * IFERROR(VLOOKUP(Substitution!$M$6 &amp; $A2, US_national_yearly!$D:$AM, MATCH(T$1, US_national_yearly!$D$1:$AM$1, 0), FALSE) / VLOOKUP(Substitution!$M$6 &amp; $A2, US_national_yearly!$D:$AM, MATCH(Keys!$C$7, US_national_yearly!$D$1:$AM$1, 0), FALSE), 1)</f>
        <v>2.3419315590121805E-3</v>
      </c>
      <c r="U2" s="12">
        <f>$B2 * IFERROR(VLOOKUP(Substitution!$M$6 &amp; $A2, US_national_yearly!$D:$AM, MATCH(U$1, US_national_yearly!$D$1:$AM$1, 0), FALSE) / VLOOKUP(Substitution!$M$6 &amp; $A2, US_national_yearly!$D:$AM, MATCH(Keys!$C$7, US_national_yearly!$D$1:$AM$1, 0), FALSE), 1)</f>
        <v>2.3524957729865819E-3</v>
      </c>
      <c r="V2" s="12">
        <f>$B2 * IFERROR(VLOOKUP(Substitution!$M$6 &amp; $A2, US_national_yearly!$D:$AM, MATCH(V$1, US_national_yearly!$D$1:$AM$1, 0), FALSE) / VLOOKUP(Substitution!$M$6 &amp; $A2, US_national_yearly!$D:$AM, MATCH(Keys!$C$7, US_national_yearly!$D$1:$AM$1, 0), FALSE), 1)</f>
        <v>2.3630599869609828E-3</v>
      </c>
      <c r="W2" s="12">
        <f>$B2 * IFERROR(VLOOKUP(Substitution!$M$6 &amp; $A2, US_national_yearly!$D:$AM, MATCH(W$1, US_national_yearly!$D$1:$AM$1, 0), FALSE) / VLOOKUP(Substitution!$M$6 &amp; $A2, US_national_yearly!$D:$AM, MATCH(Keys!$C$7, US_national_yearly!$D$1:$AM$1, 0), FALSE), 1)</f>
        <v>2.3736242009353842E-3</v>
      </c>
      <c r="X2" s="12">
        <f>$B2 * IFERROR(VLOOKUP(Substitution!$M$6 &amp; $A2, US_national_yearly!$D:$AM, MATCH(X$1, US_national_yearly!$D$1:$AM$1, 0), FALSE) / VLOOKUP(Substitution!$M$6 &amp; $A2, US_national_yearly!$D:$AM, MATCH(Keys!$C$7, US_national_yearly!$D$1:$AM$1, 0), FALSE), 1)</f>
        <v>2.3739901392435502E-3</v>
      </c>
      <c r="Y2" s="12">
        <f>$B2 * IFERROR(VLOOKUP(Substitution!$M$6 &amp; $A2, US_national_yearly!$D:$AM, MATCH(Y$1, US_national_yearly!$D$1:$AM$1, 0), FALSE) / VLOOKUP(Substitution!$M$6 &amp; $A2, US_national_yearly!$D:$AM, MATCH(Keys!$C$7, US_national_yearly!$D$1:$AM$1, 0), FALSE), 1)</f>
        <v>2.3743560775517161E-3</v>
      </c>
      <c r="Z2" s="12">
        <f>$B2 * IFERROR(VLOOKUP(Substitution!$M$6 &amp; $A2, US_national_yearly!$D:$AM, MATCH(Z$1, US_national_yearly!$D$1:$AM$1, 0), FALSE) / VLOOKUP(Substitution!$M$6 &amp; $A2, US_national_yearly!$D:$AM, MATCH(Keys!$C$7, US_national_yearly!$D$1:$AM$1, 0), FALSE), 1)</f>
        <v>2.3747220158598817E-3</v>
      </c>
      <c r="AA2" s="12">
        <f>$B2 * IFERROR(VLOOKUP(Substitution!$M$6 &amp; $A2, US_national_yearly!$D:$AM, MATCH(AA$1, US_national_yearly!$D$1:$AM$1, 0), FALSE) / VLOOKUP(Substitution!$M$6 &amp; $A2, US_national_yearly!$D:$AM, MATCH(Keys!$C$7, US_national_yearly!$D$1:$AM$1, 0), FALSE), 1)</f>
        <v>2.3750879541680481E-3</v>
      </c>
      <c r="AB2" s="12">
        <f>$B2 * IFERROR(VLOOKUP(Substitution!$M$6 &amp; $A2, US_national_yearly!$D:$AM, MATCH(AB$1, US_national_yearly!$D$1:$AM$1, 0), FALSE) / VLOOKUP(Substitution!$M$6 &amp; $A2, US_national_yearly!$D:$AM, MATCH(Keys!$C$7, US_national_yearly!$D$1:$AM$1, 0), FALSE), 1)</f>
        <v>2.3754538924762141E-3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Substitution!$G$6)/IFERROR(SUMIFS(COBRA_aggregated!$W:$W, COBRA_aggregated!$A:$A, About!$B$1, COBRA_aggregated!$B:$B, Substitution!$G$6), 1)</f>
        <v>3.746249389359162E-6</v>
      </c>
      <c r="C3" s="12">
        <f>$B3 * IFERROR(VLOOKUP(Substitution!$M$6 &amp; $A3, US_national_yearly!$D:$AM, MATCH(C$1, US_national_yearly!$D$1:$AM$1, 0), FALSE) / VLOOKUP(Substitution!$M$6 &amp; $A3, US_national_yearly!$D:$AM, MATCH(Keys!$C$7, US_national_yearly!$D$1:$AM$1, 0), FALSE), 1)</f>
        <v>3.7105568178732953E-6</v>
      </c>
      <c r="D3" s="12">
        <f>$B3 * IFERROR(VLOOKUP(Substitution!$M$6 &amp; $A3, US_national_yearly!$D:$AM, MATCH(D$1, US_national_yearly!$D$1:$AM$1, 0), FALSE) / VLOOKUP(Substitution!$M$6 &amp; $A3, US_national_yearly!$D:$AM, MATCH(Keys!$C$7, US_national_yearly!$D$1:$AM$1, 0), FALSE), 1)</f>
        <v>3.6748642463874276E-6</v>
      </c>
      <c r="E3" s="12">
        <f>$B3 * IFERROR(VLOOKUP(Substitution!$M$6 &amp; $A3, US_national_yearly!$D:$AM, MATCH(E$1, US_national_yearly!$D$1:$AM$1, 0), FALSE) / VLOOKUP(Substitution!$M$6 &amp; $A3, US_national_yearly!$D:$AM, MATCH(Keys!$C$7, US_national_yearly!$D$1:$AM$1, 0), FALSE), 1)</f>
        <v>3.6391716749015609E-6</v>
      </c>
      <c r="F3" s="12">
        <f>$B3 * IFERROR(VLOOKUP(Substitution!$M$6 &amp; $A3, US_national_yearly!$D:$AM, MATCH(F$1, US_national_yearly!$D$1:$AM$1, 0), FALSE) / VLOOKUP(Substitution!$M$6 &amp; $A3, US_national_yearly!$D:$AM, MATCH(Keys!$C$7, US_national_yearly!$D$1:$AM$1, 0), FALSE), 1)</f>
        <v>3.6034791034156941E-6</v>
      </c>
      <c r="G3" s="12">
        <f>$B3 * IFERROR(VLOOKUP(Substitution!$M$6 &amp; $A3, US_national_yearly!$D:$AM, MATCH(G$1, US_national_yearly!$D$1:$AM$1, 0), FALSE) / VLOOKUP(Substitution!$M$6 &amp; $A3, US_national_yearly!$D:$AM, MATCH(Keys!$C$7, US_national_yearly!$D$1:$AM$1, 0), FALSE), 1)</f>
        <v>2.3921673721864014E-6</v>
      </c>
      <c r="H3" s="12">
        <f>$B3 * IFERROR(VLOOKUP(Substitution!$M$6 &amp; $A3, US_national_yearly!$D:$AM, MATCH(H$1, US_national_yearly!$D$1:$AM$1, 0), FALSE) / VLOOKUP(Substitution!$M$6 &amp; $A3, US_national_yearly!$D:$AM, MATCH(Keys!$C$7, US_national_yearly!$D$1:$AM$1, 0), FALSE), 1)</f>
        <v>1.1808556409571093E-6</v>
      </c>
      <c r="I3" s="12">
        <f>$B3 * IFERROR(VLOOKUP(Substitution!$M$6 &amp; $A3, US_national_yearly!$D:$AM, MATCH(I$1, US_national_yearly!$D$1:$AM$1, 0), FALSE) / VLOOKUP(Substitution!$M$6 &amp; $A3, US_national_yearly!$D:$AM, MATCH(Keys!$C$7, US_national_yearly!$D$1:$AM$1, 0), FALSE), 1)</f>
        <v>1.1725058640899821E-6</v>
      </c>
      <c r="J3" s="12">
        <f>$B3 * IFERROR(VLOOKUP(Substitution!$M$6 &amp; $A3, US_national_yearly!$D:$AM, MATCH(J$1, US_national_yearly!$D$1:$AM$1, 0), FALSE) / VLOOKUP(Substitution!$M$6 &amp; $A3, US_national_yearly!$D:$AM, MATCH(Keys!$C$7, US_national_yearly!$D$1:$AM$1, 0), FALSE), 1)</f>
        <v>1.1641560872228549E-6</v>
      </c>
      <c r="K3" s="12">
        <f>$B3 * IFERROR(VLOOKUP(Substitution!$M$6 &amp; $A3, US_national_yearly!$D:$AM, MATCH(K$1, US_national_yearly!$D$1:$AM$1, 0), FALSE) / VLOOKUP(Substitution!$M$6 &amp; $A3, US_national_yearly!$D:$AM, MATCH(Keys!$C$7, US_national_yearly!$D$1:$AM$1, 0), FALSE), 1)</f>
        <v>1.1558063103557276E-6</v>
      </c>
      <c r="L3" s="12">
        <f>$B3 * IFERROR(VLOOKUP(Substitution!$M$6 &amp; $A3, US_national_yearly!$D:$AM, MATCH(L$1, US_national_yearly!$D$1:$AM$1, 0), FALSE) / VLOOKUP(Substitution!$M$6 &amp; $A3, US_national_yearly!$D:$AM, MATCH(Keys!$C$7, US_national_yearly!$D$1:$AM$1, 0), FALSE), 1)</f>
        <v>1.1474565334886004E-6</v>
      </c>
      <c r="M3" s="12">
        <f>$B3 * IFERROR(VLOOKUP(Substitution!$M$6 &amp; $A3, US_national_yearly!$D:$AM, MATCH(M$1, US_national_yearly!$D$1:$AM$1, 0), FALSE) / VLOOKUP(Substitution!$M$6 &amp; $A3, US_national_yearly!$D:$AM, MATCH(Keys!$C$7, US_national_yearly!$D$1:$AM$1, 0), FALSE), 1)</f>
        <v>1.1391067566214729E-6</v>
      </c>
      <c r="N3" s="12">
        <f>$B3 * IFERROR(VLOOKUP(Substitution!$M$6 &amp; $A3, US_national_yearly!$D:$AM, MATCH(N$1, US_national_yearly!$D$1:$AM$1, 0), FALSE) / VLOOKUP(Substitution!$M$6 &amp; $A3, US_national_yearly!$D:$AM, MATCH(Keys!$C$7, US_national_yearly!$D$1:$AM$1, 0), FALSE), 1)</f>
        <v>1.1335645238619907E-6</v>
      </c>
      <c r="O3" s="12">
        <f>$B3 * IFERROR(VLOOKUP(Substitution!$M$6 &amp; $A3, US_national_yearly!$D:$AM, MATCH(O$1, US_national_yearly!$D$1:$AM$1, 0), FALSE) / VLOOKUP(Substitution!$M$6 &amp; $A3, US_national_yearly!$D:$AM, MATCH(Keys!$C$7, US_national_yearly!$D$1:$AM$1, 0), FALSE), 1)</f>
        <v>1.1280222911025087E-6</v>
      </c>
      <c r="P3" s="12">
        <f>$B3 * IFERROR(VLOOKUP(Substitution!$M$6 &amp; $A3, US_national_yearly!$D:$AM, MATCH(P$1, US_national_yearly!$D$1:$AM$1, 0), FALSE) / VLOOKUP(Substitution!$M$6 &amp; $A3, US_national_yearly!$D:$AM, MATCH(Keys!$C$7, US_national_yearly!$D$1:$AM$1, 0), FALSE), 1)</f>
        <v>1.1224800583430265E-6</v>
      </c>
      <c r="Q3" s="12">
        <f>$B3 * IFERROR(VLOOKUP(Substitution!$M$6 &amp; $A3, US_national_yearly!$D:$AM, MATCH(Q$1, US_national_yearly!$D$1:$AM$1, 0), FALSE) / VLOOKUP(Substitution!$M$6 &amp; $A3, US_national_yearly!$D:$AM, MATCH(Keys!$C$7, US_national_yearly!$D$1:$AM$1, 0), FALSE), 1)</f>
        <v>1.1169378255835442E-6</v>
      </c>
      <c r="R3" s="12">
        <f>$B3 * IFERROR(VLOOKUP(Substitution!$M$6 &amp; $A3, US_national_yearly!$D:$AM, MATCH(R$1, US_national_yearly!$D$1:$AM$1, 0), FALSE) / VLOOKUP(Substitution!$M$6 &amp; $A3, US_national_yearly!$D:$AM, MATCH(Keys!$C$7, US_national_yearly!$D$1:$AM$1, 0), FALSE), 1)</f>
        <v>1.111395592824062E-6</v>
      </c>
      <c r="S3" s="12">
        <f>$B3 * IFERROR(VLOOKUP(Substitution!$M$6 &amp; $A3, US_national_yearly!$D:$AM, MATCH(S$1, US_national_yearly!$D$1:$AM$1, 0), FALSE) / VLOOKUP(Substitution!$M$6 &amp; $A3, US_national_yearly!$D:$AM, MATCH(Keys!$C$7, US_national_yearly!$D$1:$AM$1, 0), FALSE), 1)</f>
        <v>1.1047329477001078E-6</v>
      </c>
      <c r="T3" s="12">
        <f>$B3 * IFERROR(VLOOKUP(Substitution!$M$6 &amp; $A3, US_national_yearly!$D:$AM, MATCH(T$1, US_national_yearly!$D$1:$AM$1, 0), FALSE) / VLOOKUP(Substitution!$M$6 &amp; $A3, US_national_yearly!$D:$AM, MATCH(Keys!$C$7, US_national_yearly!$D$1:$AM$1, 0), FALSE), 1)</f>
        <v>1.0980703025761537E-6</v>
      </c>
      <c r="U3" s="12">
        <f>$B3 * IFERROR(VLOOKUP(Substitution!$M$6 &amp; $A3, US_national_yearly!$D:$AM, MATCH(U$1, US_national_yearly!$D$1:$AM$1, 0), FALSE) / VLOOKUP(Substitution!$M$6 &amp; $A3, US_national_yearly!$D:$AM, MATCH(Keys!$C$7, US_national_yearly!$D$1:$AM$1, 0), FALSE), 1)</f>
        <v>1.0914076574521993E-6</v>
      </c>
      <c r="V3" s="12">
        <f>$B3 * IFERROR(VLOOKUP(Substitution!$M$6 &amp; $A3, US_national_yearly!$D:$AM, MATCH(V$1, US_national_yearly!$D$1:$AM$1, 0), FALSE) / VLOOKUP(Substitution!$M$6 &amp; $A3, US_national_yearly!$D:$AM, MATCH(Keys!$C$7, US_national_yearly!$D$1:$AM$1, 0), FALSE), 1)</f>
        <v>1.0847450123282452E-6</v>
      </c>
      <c r="W3" s="12">
        <f>$B3 * IFERROR(VLOOKUP(Substitution!$M$6 &amp; $A3, US_national_yearly!$D:$AM, MATCH(W$1, US_national_yearly!$D$1:$AM$1, 0), FALSE) / VLOOKUP(Substitution!$M$6 &amp; $A3, US_national_yearly!$D:$AM, MATCH(Keys!$C$7, US_national_yearly!$D$1:$AM$1, 0), FALSE), 1)</f>
        <v>1.078082367204291E-6</v>
      </c>
      <c r="X3" s="12">
        <f>$B3 * IFERROR(VLOOKUP(Substitution!$M$6 &amp; $A3, US_national_yearly!$D:$AM, MATCH(X$1, US_national_yearly!$D$1:$AM$1, 0), FALSE) / VLOOKUP(Substitution!$M$6 &amp; $A3, US_national_yearly!$D:$AM, MATCH(Keys!$C$7, US_national_yearly!$D$1:$AM$1, 0), FALSE), 1)</f>
        <v>1.0710263038256555E-6</v>
      </c>
      <c r="Y3" s="12">
        <f>$B3 * IFERROR(VLOOKUP(Substitution!$M$6 &amp; $A3, US_national_yearly!$D:$AM, MATCH(Y$1, US_national_yearly!$D$1:$AM$1, 0), FALSE) / VLOOKUP(Substitution!$M$6 &amp; $A3, US_national_yearly!$D:$AM, MATCH(Keys!$C$7, US_national_yearly!$D$1:$AM$1, 0), FALSE), 1)</f>
        <v>1.0639702404470199E-6</v>
      </c>
      <c r="Z3" s="12">
        <f>$B3 * IFERROR(VLOOKUP(Substitution!$M$6 &amp; $A3, US_national_yearly!$D:$AM, MATCH(Z$1, US_national_yearly!$D$1:$AM$1, 0), FALSE) / VLOOKUP(Substitution!$M$6 &amp; $A3, US_national_yearly!$D:$AM, MATCH(Keys!$C$7, US_national_yearly!$D$1:$AM$1, 0), FALSE), 1)</f>
        <v>1.056914177068384E-6</v>
      </c>
      <c r="AA3" s="12">
        <f>$B3 * IFERROR(VLOOKUP(Substitution!$M$6 &amp; $A3, US_national_yearly!$D:$AM, MATCH(AA$1, US_national_yearly!$D$1:$AM$1, 0), FALSE) / VLOOKUP(Substitution!$M$6 &amp; $A3, US_national_yearly!$D:$AM, MATCH(Keys!$C$7, US_national_yearly!$D$1:$AM$1, 0), FALSE), 1)</f>
        <v>1.0498581136897483E-6</v>
      </c>
      <c r="AB3" s="12">
        <f>$B3 * IFERROR(VLOOKUP(Substitution!$M$6 &amp; $A3, US_national_yearly!$D:$AM, MATCH(AB$1, US_national_yearly!$D$1:$AM$1, 0), FALSE) / VLOOKUP(Substitution!$M$6 &amp; $A3, US_national_yearly!$D:$AM, MATCH(Keys!$C$7, US_national_yearly!$D$1:$AM$1, 0), FALSE), 1)</f>
        <v>1.0428020503111127E-6</v>
      </c>
    </row>
    <row r="4" spans="1:28" x14ac:dyDescent="0.25">
      <c r="A4" s="4" t="s">
        <v>295</v>
      </c>
      <c r="B4" s="12">
        <f>IFERROR(VLOOKUP(Substitution!$M$6 &amp; $A4, US_national_yearly!$D:$AM, MATCH(Keys!$C$7, US_national_yearly!$D$1:$AM$1, 0), FALSE), 0)</f>
        <v>0.535761912021263</v>
      </c>
      <c r="C4" s="12">
        <f>$B4 * IFERROR(VLOOKUP(Substitution!$M$6 &amp; $A4, US_national_yearly!$D:$AM, MATCH(C$1, US_national_yearly!$D$1:$AM$1, 0), FALSE) / VLOOKUP(Substitution!$M$6 &amp; $A4, US_national_yearly!$D:$AM, MATCH(Keys!$C$7, US_national_yearly!$D$1:$AM$1, 0), FALSE), 1)</f>
        <v>0.54097274888435198</v>
      </c>
      <c r="D4" s="12">
        <f>$B4 * IFERROR(VLOOKUP(Substitution!$M$6 &amp; $A4, US_national_yearly!$D:$AM, MATCH(D$1, US_national_yearly!$D$1:$AM$1, 0), FALSE) / VLOOKUP(Substitution!$M$6 &amp; $A4, US_national_yearly!$D:$AM, MATCH(Keys!$C$7, US_national_yearly!$D$1:$AM$1, 0), FALSE), 1)</f>
        <v>0.54618358574744119</v>
      </c>
      <c r="E4" s="12">
        <f>$B4 * IFERROR(VLOOKUP(Substitution!$M$6 &amp; $A4, US_national_yearly!$D:$AM, MATCH(E$1, US_national_yearly!$D$1:$AM$1, 0), FALSE) / VLOOKUP(Substitution!$M$6 &amp; $A4, US_national_yearly!$D:$AM, MATCH(Keys!$C$7, US_national_yearly!$D$1:$AM$1, 0), FALSE), 1)</f>
        <v>0.55139442261053007</v>
      </c>
      <c r="F4" s="12">
        <f>$B4 * IFERROR(VLOOKUP(Substitution!$M$6 &amp; $A4, US_national_yearly!$D:$AM, MATCH(F$1, US_national_yearly!$D$1:$AM$1, 0), FALSE) / VLOOKUP(Substitution!$M$6 &amp; $A4, US_national_yearly!$D:$AM, MATCH(Keys!$C$7, US_national_yearly!$D$1:$AM$1, 0), FALSE), 1)</f>
        <v>0.55660525947361905</v>
      </c>
      <c r="G4" s="12">
        <f>$B4 * IFERROR(VLOOKUP(Substitution!$M$6 &amp; $A4, US_national_yearly!$D:$AM, MATCH(G$1, US_national_yearly!$D$1:$AM$1, 0), FALSE) / VLOOKUP(Substitution!$M$6 &amp; $A4, US_national_yearly!$D:$AM, MATCH(Keys!$C$7, US_national_yearly!$D$1:$AM$1, 0), FALSE), 1)</f>
        <v>0.56263694647486395</v>
      </c>
      <c r="H4" s="12">
        <f>$B4 * IFERROR(VLOOKUP(Substitution!$M$6 &amp; $A4, US_national_yearly!$D:$AM, MATCH(H$1, US_national_yearly!$D$1:$AM$1, 0), FALSE) / VLOOKUP(Substitution!$M$6 &amp; $A4, US_national_yearly!$D:$AM, MATCH(Keys!$C$7, US_national_yearly!$D$1:$AM$1, 0), FALSE), 1)</f>
        <v>0.56866863347610896</v>
      </c>
      <c r="I4" s="12">
        <f>$B4 * IFERROR(VLOOKUP(Substitution!$M$6 &amp; $A4, US_national_yearly!$D:$AM, MATCH(I$1, US_national_yearly!$D$1:$AM$1, 0), FALSE) / VLOOKUP(Substitution!$M$6 &amp; $A4, US_national_yearly!$D:$AM, MATCH(Keys!$C$7, US_national_yearly!$D$1:$AM$1, 0), FALSE), 1)</f>
        <v>0.57282420835998249</v>
      </c>
      <c r="J4" s="12">
        <f>$B4 * IFERROR(VLOOKUP(Substitution!$M$6 &amp; $A4, US_national_yearly!$D:$AM, MATCH(J$1, US_national_yearly!$D$1:$AM$1, 0), FALSE) / VLOOKUP(Substitution!$M$6 &amp; $A4, US_national_yearly!$D:$AM, MATCH(Keys!$C$7, US_national_yearly!$D$1:$AM$1, 0), FALSE), 1)</f>
        <v>0.57697978324385624</v>
      </c>
      <c r="K4" s="12">
        <f>$B4 * IFERROR(VLOOKUP(Substitution!$M$6 &amp; $A4, US_national_yearly!$D:$AM, MATCH(K$1, US_national_yearly!$D$1:$AM$1, 0), FALSE) / VLOOKUP(Substitution!$M$6 &amp; $A4, US_national_yearly!$D:$AM, MATCH(Keys!$C$7, US_national_yearly!$D$1:$AM$1, 0), FALSE), 1)</f>
        <v>0.58113535812772976</v>
      </c>
      <c r="L4" s="12">
        <f>$B4 * IFERROR(VLOOKUP(Substitution!$M$6 &amp; $A4, US_national_yearly!$D:$AM, MATCH(L$1, US_national_yearly!$D$1:$AM$1, 0), FALSE) / VLOOKUP(Substitution!$M$6 &amp; $A4, US_national_yearly!$D:$AM, MATCH(Keys!$C$7, US_national_yearly!$D$1:$AM$1, 0), FALSE), 1)</f>
        <v>0.5852909330116034</v>
      </c>
      <c r="M4" s="12">
        <f>$B4 * IFERROR(VLOOKUP(Substitution!$M$6 &amp; $A4, US_national_yearly!$D:$AM, MATCH(M$1, US_national_yearly!$D$1:$AM$1, 0), FALSE) / VLOOKUP(Substitution!$M$6 &amp; $A4, US_national_yearly!$D:$AM, MATCH(Keys!$C$7, US_national_yearly!$D$1:$AM$1, 0), FALSE), 1)</f>
        <v>0.58944650789547703</v>
      </c>
      <c r="N4" s="12">
        <f>$B4 * IFERROR(VLOOKUP(Substitution!$M$6 &amp; $A4, US_national_yearly!$D:$AM, MATCH(N$1, US_national_yearly!$D$1:$AM$1, 0), FALSE) / VLOOKUP(Substitution!$M$6 &amp; $A4, US_national_yearly!$D:$AM, MATCH(Keys!$C$7, US_national_yearly!$D$1:$AM$1, 0), FALSE), 1)</f>
        <v>0.59087899407618505</v>
      </c>
      <c r="O4" s="12">
        <f>$B4 * IFERROR(VLOOKUP(Substitution!$M$6 &amp; $A4, US_national_yearly!$D:$AM, MATCH(O$1, US_national_yearly!$D$1:$AM$1, 0), FALSE) / VLOOKUP(Substitution!$M$6 &amp; $A4, US_national_yearly!$D:$AM, MATCH(Keys!$C$7, US_national_yearly!$D$1:$AM$1, 0), FALSE), 1)</f>
        <v>0.59231148025689306</v>
      </c>
      <c r="P4" s="12">
        <f>$B4 * IFERROR(VLOOKUP(Substitution!$M$6 &amp; $A4, US_national_yearly!$D:$AM, MATCH(P$1, US_national_yearly!$D$1:$AM$1, 0), FALSE) / VLOOKUP(Substitution!$M$6 &amp; $A4, US_national_yearly!$D:$AM, MATCH(Keys!$C$7, US_national_yearly!$D$1:$AM$1, 0), FALSE), 1)</f>
        <v>0.59374396643760097</v>
      </c>
      <c r="Q4" s="12">
        <f>$B4 * IFERROR(VLOOKUP(Substitution!$M$6 &amp; $A4, US_national_yearly!$D:$AM, MATCH(Q$1, US_national_yearly!$D$1:$AM$1, 0), FALSE) / VLOOKUP(Substitution!$M$6 &amp; $A4, US_national_yearly!$D:$AM, MATCH(Keys!$C$7, US_national_yearly!$D$1:$AM$1, 0), FALSE), 1)</f>
        <v>0.59517645261830909</v>
      </c>
      <c r="R4" s="12">
        <f>$B4 * IFERROR(VLOOKUP(Substitution!$M$6 &amp; $A4, US_national_yearly!$D:$AM, MATCH(R$1, US_national_yearly!$D$1:$AM$1, 0), FALSE) / VLOOKUP(Substitution!$M$6 &amp; $A4, US_national_yearly!$D:$AM, MATCH(Keys!$C$7, US_national_yearly!$D$1:$AM$1, 0), FALSE), 1)</f>
        <v>0.596608938799017</v>
      </c>
      <c r="S4" s="12">
        <f>$B4 * IFERROR(VLOOKUP(Substitution!$M$6 &amp; $A4, US_national_yearly!$D:$AM, MATCH(S$1, US_national_yearly!$D$1:$AM$1, 0), FALSE) / VLOOKUP(Substitution!$M$6 &amp; $A4, US_national_yearly!$D:$AM, MATCH(Keys!$C$7, US_national_yearly!$D$1:$AM$1, 0), FALSE), 1)</f>
        <v>0.59849026207985423</v>
      </c>
      <c r="T4" s="12">
        <f>$B4 * IFERROR(VLOOKUP(Substitution!$M$6 &amp; $A4, US_national_yearly!$D:$AM, MATCH(T$1, US_national_yearly!$D$1:$AM$1, 0), FALSE) / VLOOKUP(Substitution!$M$6 &amp; $A4, US_national_yearly!$D:$AM, MATCH(Keys!$C$7, US_national_yearly!$D$1:$AM$1, 0), FALSE), 1)</f>
        <v>0.60037158536069146</v>
      </c>
      <c r="U4" s="12">
        <f>$B4 * IFERROR(VLOOKUP(Substitution!$M$6 &amp; $A4, US_national_yearly!$D:$AM, MATCH(U$1, US_national_yearly!$D$1:$AM$1, 0), FALSE) / VLOOKUP(Substitution!$M$6 &amp; $A4, US_national_yearly!$D:$AM, MATCH(Keys!$C$7, US_national_yearly!$D$1:$AM$1, 0), FALSE), 1)</f>
        <v>0.60225290864152858</v>
      </c>
      <c r="V4" s="12">
        <f>$B4 * IFERROR(VLOOKUP(Substitution!$M$6 &amp; $A4, US_national_yearly!$D:$AM, MATCH(V$1, US_national_yearly!$D$1:$AM$1, 0), FALSE) / VLOOKUP(Substitution!$M$6 &amp; $A4, US_national_yearly!$D:$AM, MATCH(Keys!$C$7, US_national_yearly!$D$1:$AM$1, 0), FALSE), 1)</f>
        <v>0.60413423192236582</v>
      </c>
      <c r="W4" s="12">
        <f>$B4 * IFERROR(VLOOKUP(Substitution!$M$6 &amp; $A4, US_national_yearly!$D:$AM, MATCH(W$1, US_national_yearly!$D$1:$AM$1, 0), FALSE) / VLOOKUP(Substitution!$M$6 &amp; $A4, US_national_yearly!$D:$AM, MATCH(Keys!$C$7, US_national_yearly!$D$1:$AM$1, 0), FALSE), 1)</f>
        <v>0.60601555520320305</v>
      </c>
      <c r="X4" s="12">
        <f>$B4 * IFERROR(VLOOKUP(Substitution!$M$6 &amp; $A4, US_national_yearly!$D:$AM, MATCH(X$1, US_national_yearly!$D$1:$AM$1, 0), FALSE) / VLOOKUP(Substitution!$M$6 &amp; $A4, US_national_yearly!$D:$AM, MATCH(Keys!$C$7, US_national_yearly!$D$1:$AM$1, 0), FALSE), 1)</f>
        <v>0.6081352320331378</v>
      </c>
      <c r="Y4" s="12">
        <f>$B4 * IFERROR(VLOOKUP(Substitution!$M$6 &amp; $A4, US_national_yearly!$D:$AM, MATCH(Y$1, US_national_yearly!$D$1:$AM$1, 0), FALSE) / VLOOKUP(Substitution!$M$6 &amp; $A4, US_national_yearly!$D:$AM, MATCH(Keys!$C$7, US_national_yearly!$D$1:$AM$1, 0), FALSE), 1)</f>
        <v>0.61025490886307265</v>
      </c>
      <c r="Z4" s="12">
        <f>$B4 * IFERROR(VLOOKUP(Substitution!$M$6 &amp; $A4, US_national_yearly!$D:$AM, MATCH(Z$1, US_national_yearly!$D$1:$AM$1, 0), FALSE) / VLOOKUP(Substitution!$M$6 &amp; $A4, US_national_yearly!$D:$AM, MATCH(Keys!$C$7, US_national_yearly!$D$1:$AM$1, 0), FALSE), 1)</f>
        <v>0.6123745856930074</v>
      </c>
      <c r="AA4" s="12">
        <f>$B4 * IFERROR(VLOOKUP(Substitution!$M$6 &amp; $A4, US_national_yearly!$D:$AM, MATCH(AA$1, US_national_yearly!$D$1:$AM$1, 0), FALSE) / VLOOKUP(Substitution!$M$6 &amp; $A4, US_national_yearly!$D:$AM, MATCH(Keys!$C$7, US_national_yearly!$D$1:$AM$1, 0), FALSE), 1)</f>
        <v>0.61449426252294226</v>
      </c>
      <c r="AB4" s="12">
        <f>$B4 * IFERROR(VLOOKUP(Substitution!$M$6 &amp; $A4, US_national_yearly!$D:$AM, MATCH(AB$1, US_national_yearly!$D$1:$AM$1, 0), FALSE) / VLOOKUP(Substitution!$M$6 &amp; $A4, US_national_yearly!$D:$AM, MATCH(Keys!$C$7, US_national_yearly!$D$1:$AM$1, 0), FALSE), 1)</f>
        <v>0.61661393935287701</v>
      </c>
    </row>
    <row r="5" spans="1:28" x14ac:dyDescent="0.25">
      <c r="A5" s="4" t="s">
        <v>297</v>
      </c>
      <c r="B5" s="12">
        <f>IFERROR(VLOOKUP(Substitution!$M$6 &amp; $A5, US_national_yearly!$D:$AM, MATCH(Keys!$C$7, US_national_yearly!$D$1:$AM$1, 0), FALSE), 0)</f>
        <v>0.87718934501489121</v>
      </c>
      <c r="C5" s="12">
        <f>$B5 * IFERROR(VLOOKUP(Substitution!$M$6 &amp; $A5, US_national_yearly!$D:$AM, MATCH(C$1, US_national_yearly!$D$1:$AM$1, 0), FALSE) / VLOOKUP(Substitution!$M$6 &amp; $A5, US_national_yearly!$D:$AM, MATCH(Keys!$C$7, US_national_yearly!$D$1:$AM$1, 0), FALSE), 1)</f>
        <v>0.88918195751509443</v>
      </c>
      <c r="D5" s="12">
        <f>$B5 * IFERROR(VLOOKUP(Substitution!$M$6 &amp; $A5, US_national_yearly!$D:$AM, MATCH(D$1, US_national_yearly!$D$1:$AM$1, 0), FALSE) / VLOOKUP(Substitution!$M$6 &amp; $A5, US_national_yearly!$D:$AM, MATCH(Keys!$C$7, US_national_yearly!$D$1:$AM$1, 0), FALSE), 1)</f>
        <v>0.90117457001529755</v>
      </c>
      <c r="E5" s="12">
        <f>$B5 * IFERROR(VLOOKUP(Substitution!$M$6 &amp; $A5, US_national_yearly!$D:$AM, MATCH(E$1, US_national_yearly!$D$1:$AM$1, 0), FALSE) / VLOOKUP(Substitution!$M$6 &amp; $A5, US_national_yearly!$D:$AM, MATCH(Keys!$C$7, US_national_yearly!$D$1:$AM$1, 0), FALSE), 1)</f>
        <v>0.91316718251550077</v>
      </c>
      <c r="F5" s="12">
        <f>$B5 * IFERROR(VLOOKUP(Substitution!$M$6 &amp; $A5, US_national_yearly!$D:$AM, MATCH(F$1, US_national_yearly!$D$1:$AM$1, 0), FALSE) / VLOOKUP(Substitution!$M$6 &amp; $A5, US_national_yearly!$D:$AM, MATCH(Keys!$C$7, US_national_yearly!$D$1:$AM$1, 0), FALSE), 1)</f>
        <v>0.925159795015704</v>
      </c>
      <c r="G5" s="12">
        <f>$B5 * IFERROR(VLOOKUP(Substitution!$M$6 &amp; $A5, US_national_yearly!$D:$AM, MATCH(G$1, US_national_yearly!$D$1:$AM$1, 0), FALSE) / VLOOKUP(Substitution!$M$6 &amp; $A5, US_national_yearly!$D:$AM, MATCH(Keys!$C$7, US_national_yearly!$D$1:$AM$1, 0), FALSE), 1)</f>
        <v>0.93473422024424657</v>
      </c>
      <c r="H5" s="12">
        <f>$B5 * IFERROR(VLOOKUP(Substitution!$M$6 &amp; $A5, US_national_yearly!$D:$AM, MATCH(H$1, US_national_yearly!$D$1:$AM$1, 0), FALSE) / VLOOKUP(Substitution!$M$6 &amp; $A5, US_national_yearly!$D:$AM, MATCH(Keys!$C$7, US_national_yearly!$D$1:$AM$1, 0), FALSE), 1)</f>
        <v>0.94430864547278903</v>
      </c>
      <c r="I5" s="12">
        <f>$B5 * IFERROR(VLOOKUP(Substitution!$M$6 &amp; $A5, US_national_yearly!$D:$AM, MATCH(I$1, US_national_yearly!$D$1:$AM$1, 0), FALSE) / VLOOKUP(Substitution!$M$6 &amp; $A5, US_national_yearly!$D:$AM, MATCH(Keys!$C$7, US_national_yearly!$D$1:$AM$1, 0), FALSE), 1)</f>
        <v>0.94760402576418956</v>
      </c>
      <c r="J5" s="12">
        <f>$B5 * IFERROR(VLOOKUP(Substitution!$M$6 &amp; $A5, US_national_yearly!$D:$AM, MATCH(J$1, US_national_yearly!$D$1:$AM$1, 0), FALSE) / VLOOKUP(Substitution!$M$6 &amp; $A5, US_national_yearly!$D:$AM, MATCH(Keys!$C$7, US_national_yearly!$D$1:$AM$1, 0), FALSE), 1)</f>
        <v>0.9508994060555902</v>
      </c>
      <c r="K5" s="12">
        <f>$B5 * IFERROR(VLOOKUP(Substitution!$M$6 &amp; $A5, US_national_yearly!$D:$AM, MATCH(K$1, US_national_yearly!$D$1:$AM$1, 0), FALSE) / VLOOKUP(Substitution!$M$6 &amp; $A5, US_national_yearly!$D:$AM, MATCH(Keys!$C$7, US_national_yearly!$D$1:$AM$1, 0), FALSE), 1)</f>
        <v>0.95419478634699084</v>
      </c>
      <c r="L5" s="12">
        <f>$B5 * IFERROR(VLOOKUP(Substitution!$M$6 &amp; $A5, US_national_yearly!$D:$AM, MATCH(L$1, US_national_yearly!$D$1:$AM$1, 0), FALSE) / VLOOKUP(Substitution!$M$6 &amp; $A5, US_national_yearly!$D:$AM, MATCH(Keys!$C$7, US_national_yearly!$D$1:$AM$1, 0), FALSE), 1)</f>
        <v>0.95749016663839137</v>
      </c>
      <c r="M5" s="12">
        <f>$B5 * IFERROR(VLOOKUP(Substitution!$M$6 &amp; $A5, US_national_yearly!$D:$AM, MATCH(M$1, US_national_yearly!$D$1:$AM$1, 0), FALSE) / VLOOKUP(Substitution!$M$6 &amp; $A5, US_national_yearly!$D:$AM, MATCH(Keys!$C$7, US_national_yearly!$D$1:$AM$1, 0), FALSE), 1)</f>
        <v>0.9607855469297919</v>
      </c>
      <c r="N5" s="12">
        <f>$B5 * IFERROR(VLOOKUP(Substitution!$M$6 &amp; $A5, US_national_yearly!$D:$AM, MATCH(N$1, US_national_yearly!$D$1:$AM$1, 0), FALSE) / VLOOKUP(Substitution!$M$6 &amp; $A5, US_national_yearly!$D:$AM, MATCH(Keys!$C$7, US_national_yearly!$D$1:$AM$1, 0), FALSE), 1)</f>
        <v>0.9646067857833508</v>
      </c>
      <c r="O5" s="12">
        <f>$B5 * IFERROR(VLOOKUP(Substitution!$M$6 &amp; $A5, US_national_yearly!$D:$AM, MATCH(O$1, US_national_yearly!$D$1:$AM$1, 0), FALSE) / VLOOKUP(Substitution!$M$6 &amp; $A5, US_national_yearly!$D:$AM, MATCH(Keys!$C$7, US_national_yearly!$D$1:$AM$1, 0), FALSE), 1)</f>
        <v>0.96842802463690958</v>
      </c>
      <c r="P5" s="12">
        <f>$B5 * IFERROR(VLOOKUP(Substitution!$M$6 &amp; $A5, US_national_yearly!$D:$AM, MATCH(P$1, US_national_yearly!$D$1:$AM$1, 0), FALSE) / VLOOKUP(Substitution!$M$6 &amp; $A5, US_national_yearly!$D:$AM, MATCH(Keys!$C$7, US_national_yearly!$D$1:$AM$1, 0), FALSE), 1)</f>
        <v>0.97224926349046847</v>
      </c>
      <c r="Q5" s="12">
        <f>$B5 * IFERROR(VLOOKUP(Substitution!$M$6 &amp; $A5, US_national_yearly!$D:$AM, MATCH(Q$1, US_national_yearly!$D$1:$AM$1, 0), FALSE) / VLOOKUP(Substitution!$M$6 &amp; $A5, US_national_yearly!$D:$AM, MATCH(Keys!$C$7, US_national_yearly!$D$1:$AM$1, 0), FALSE), 1)</f>
        <v>0.97607050234402726</v>
      </c>
      <c r="R5" s="12">
        <f>$B5 * IFERROR(VLOOKUP(Substitution!$M$6 &amp; $A5, US_national_yearly!$D:$AM, MATCH(R$1, US_national_yearly!$D$1:$AM$1, 0), FALSE) / VLOOKUP(Substitution!$M$6 &amp; $A5, US_national_yearly!$D:$AM, MATCH(Keys!$C$7, US_national_yearly!$D$1:$AM$1, 0), FALSE), 1)</f>
        <v>0.97989174119758604</v>
      </c>
      <c r="S5" s="12">
        <f>$B5 * IFERROR(VLOOKUP(Substitution!$M$6 &amp; $A5, US_national_yearly!$D:$AM, MATCH(S$1, US_national_yearly!$D$1:$AM$1, 0), FALSE) / VLOOKUP(Substitution!$M$6 &amp; $A5, US_national_yearly!$D:$AM, MATCH(Keys!$C$7, US_national_yearly!$D$1:$AM$1, 0), FALSE), 1)</f>
        <v>0.98488349619861282</v>
      </c>
      <c r="T5" s="12">
        <f>$B5 * IFERROR(VLOOKUP(Substitution!$M$6 &amp; $A5, US_national_yearly!$D:$AM, MATCH(T$1, US_national_yearly!$D$1:$AM$1, 0), FALSE) / VLOOKUP(Substitution!$M$6 &amp; $A5, US_national_yearly!$D:$AM, MATCH(Keys!$C$7, US_national_yearly!$D$1:$AM$1, 0), FALSE), 1)</f>
        <v>0.98987525119963948</v>
      </c>
      <c r="U5" s="12">
        <f>$B5 * IFERROR(VLOOKUP(Substitution!$M$6 &amp; $A5, US_national_yearly!$D:$AM, MATCH(U$1, US_national_yearly!$D$1:$AM$1, 0), FALSE) / VLOOKUP(Substitution!$M$6 &amp; $A5, US_national_yearly!$D:$AM, MATCH(Keys!$C$7, US_national_yearly!$D$1:$AM$1, 0), FALSE), 1)</f>
        <v>0.99486700620066637</v>
      </c>
      <c r="V5" s="12">
        <f>$B5 * IFERROR(VLOOKUP(Substitution!$M$6 &amp; $A5, US_national_yearly!$D:$AM, MATCH(V$1, US_national_yearly!$D$1:$AM$1, 0), FALSE) / VLOOKUP(Substitution!$M$6 &amp; $A5, US_national_yearly!$D:$AM, MATCH(Keys!$C$7, US_national_yearly!$D$1:$AM$1, 0), FALSE), 1)</f>
        <v>0.99985876120169315</v>
      </c>
      <c r="W5" s="12">
        <f>$B5 * IFERROR(VLOOKUP(Substitution!$M$6 &amp; $A5, US_national_yearly!$D:$AM, MATCH(W$1, US_national_yearly!$D$1:$AM$1, 0), FALSE) / VLOOKUP(Substitution!$M$6 &amp; $A5, US_national_yearly!$D:$AM, MATCH(Keys!$C$7, US_national_yearly!$D$1:$AM$1, 0), FALSE), 1)</f>
        <v>1.0048505162027199</v>
      </c>
      <c r="X5" s="12">
        <f>$B5 * IFERROR(VLOOKUP(Substitution!$M$6 &amp; $A5, US_national_yearly!$D:$AM, MATCH(X$1, US_national_yearly!$D$1:$AM$1, 0), FALSE) / VLOOKUP(Substitution!$M$6 &amp; $A5, US_national_yearly!$D:$AM, MATCH(Keys!$C$7, US_national_yearly!$D$1:$AM$1, 0), FALSE), 1)</f>
        <v>1.0094885738374779</v>
      </c>
      <c r="Y5" s="12">
        <f>$B5 * IFERROR(VLOOKUP(Substitution!$M$6 &amp; $A5, US_national_yearly!$D:$AM, MATCH(Y$1, US_national_yearly!$D$1:$AM$1, 0), FALSE) / VLOOKUP(Substitution!$M$6 &amp; $A5, US_national_yearly!$D:$AM, MATCH(Keys!$C$7, US_national_yearly!$D$1:$AM$1, 0), FALSE), 1)</f>
        <v>1.0141266314722359</v>
      </c>
      <c r="Z5" s="12">
        <f>$B5 * IFERROR(VLOOKUP(Substitution!$M$6 &amp; $A5, US_national_yearly!$D:$AM, MATCH(Z$1, US_national_yearly!$D$1:$AM$1, 0), FALSE) / VLOOKUP(Substitution!$M$6 &amp; $A5, US_national_yearly!$D:$AM, MATCH(Keys!$C$7, US_national_yearly!$D$1:$AM$1, 0), FALSE), 1)</f>
        <v>1.0187646891069939</v>
      </c>
      <c r="AA5" s="12">
        <f>$B5 * IFERROR(VLOOKUP(Substitution!$M$6 &amp; $A5, US_national_yearly!$D:$AM, MATCH(AA$1, US_national_yearly!$D$1:$AM$1, 0), FALSE) / VLOOKUP(Substitution!$M$6 &amp; $A5, US_national_yearly!$D:$AM, MATCH(Keys!$C$7, US_national_yearly!$D$1:$AM$1, 0), FALSE), 1)</f>
        <v>1.0234027467417519</v>
      </c>
      <c r="AB5" s="12">
        <f>$B5 * IFERROR(VLOOKUP(Substitution!$M$6 &amp; $A5, US_national_yearly!$D:$AM, MATCH(AB$1, US_national_yearly!$D$1:$AM$1, 0), FALSE) / VLOOKUP(Substitution!$M$6 &amp; $A5, US_national_yearly!$D:$AM, MATCH(Keys!$C$7, US_national_yearly!$D$1:$AM$1, 0), FALSE), 1)</f>
        <v>1.0280408043765099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Substitution!$G$6)/IFERROR(SUMIFS(COBRA_aggregated!$W:$W, COBRA_aggregated!$A:$A, About!$B$1, COBRA_aggregated!$B:$B, Substitution!$G$6), 1)</f>
        <v>3.7002640138604783E-3</v>
      </c>
      <c r="C6" s="12">
        <f>$B6 * IFERROR(VLOOKUP(Substitution!$M$6 &amp; $A6, US_national_yearly!$D:$AM, MATCH(C$1, US_national_yearly!$D$1:$AM$1, 0), FALSE) / VLOOKUP(Substitution!$M$6 &amp; $A6, US_national_yearly!$D:$AM, MATCH(Keys!$C$7, US_national_yearly!$D$1:$AM$1, 0), FALSE), 1)</f>
        <v>3.7508526726221388E-3</v>
      </c>
      <c r="D6" s="12">
        <f>$B6 * IFERROR(VLOOKUP(Substitution!$M$6 &amp; $A6, US_national_yearly!$D:$AM, MATCH(D$1, US_national_yearly!$D$1:$AM$1, 0), FALSE) / VLOOKUP(Substitution!$M$6 &amp; $A6, US_national_yearly!$D:$AM, MATCH(Keys!$C$7, US_national_yearly!$D$1:$AM$1, 0), FALSE), 1)</f>
        <v>3.8014413313837993E-3</v>
      </c>
      <c r="E6" s="12">
        <f>$B6 * IFERROR(VLOOKUP(Substitution!$M$6 &amp; $A6, US_national_yearly!$D:$AM, MATCH(E$1, US_national_yearly!$D$1:$AM$1, 0), FALSE) / VLOOKUP(Substitution!$M$6 &amp; $A6, US_national_yearly!$D:$AM, MATCH(Keys!$C$7, US_national_yearly!$D$1:$AM$1, 0), FALSE), 1)</f>
        <v>3.8520299901454598E-3</v>
      </c>
      <c r="F6" s="12">
        <f>$B6 * IFERROR(VLOOKUP(Substitution!$M$6 &amp; $A6, US_national_yearly!$D:$AM, MATCH(F$1, US_national_yearly!$D$1:$AM$1, 0), FALSE) / VLOOKUP(Substitution!$M$6 &amp; $A6, US_national_yearly!$D:$AM, MATCH(Keys!$C$7, US_national_yearly!$D$1:$AM$1, 0), FALSE), 1)</f>
        <v>3.9026186489071204E-3</v>
      </c>
      <c r="G6" s="12">
        <f>$B6 * IFERROR(VLOOKUP(Substitution!$M$6 &amp; $A6, US_national_yearly!$D:$AM, MATCH(G$1, US_national_yearly!$D$1:$AM$1, 0), FALSE) / VLOOKUP(Substitution!$M$6 &amp; $A6, US_national_yearly!$D:$AM, MATCH(Keys!$C$7, US_national_yearly!$D$1:$AM$1, 0), FALSE), 1)</f>
        <v>3.9430066236408427E-3</v>
      </c>
      <c r="H6" s="12">
        <f>$B6 * IFERROR(VLOOKUP(Substitution!$M$6 &amp; $A6, US_national_yearly!$D:$AM, MATCH(H$1, US_national_yearly!$D$1:$AM$1, 0), FALSE) / VLOOKUP(Substitution!$M$6 &amp; $A6, US_national_yearly!$D:$AM, MATCH(Keys!$C$7, US_national_yearly!$D$1:$AM$1, 0), FALSE), 1)</f>
        <v>3.9833945983745655E-3</v>
      </c>
      <c r="I6" s="12">
        <f>$B6 * IFERROR(VLOOKUP(Substitution!$M$6 &amp; $A6, US_national_yearly!$D:$AM, MATCH(I$1, US_national_yearly!$D$1:$AM$1, 0), FALSE) / VLOOKUP(Substitution!$M$6 &amp; $A6, US_national_yearly!$D:$AM, MATCH(Keys!$C$7, US_national_yearly!$D$1:$AM$1, 0), FALSE), 1)</f>
        <v>3.9972955619014695E-3</v>
      </c>
      <c r="J6" s="12">
        <f>$B6 * IFERROR(VLOOKUP(Substitution!$M$6 &amp; $A6, US_national_yearly!$D:$AM, MATCH(J$1, US_national_yearly!$D$1:$AM$1, 0), FALSE) / VLOOKUP(Substitution!$M$6 &amp; $A6, US_national_yearly!$D:$AM, MATCH(Keys!$C$7, US_national_yearly!$D$1:$AM$1, 0), FALSE), 1)</f>
        <v>4.0111965254283751E-3</v>
      </c>
      <c r="K6" s="12">
        <f>$B6 * IFERROR(VLOOKUP(Substitution!$M$6 &amp; $A6, US_national_yearly!$D:$AM, MATCH(K$1, US_national_yearly!$D$1:$AM$1, 0), FALSE) / VLOOKUP(Substitution!$M$6 &amp; $A6, US_national_yearly!$D:$AM, MATCH(Keys!$C$7, US_national_yearly!$D$1:$AM$1, 0), FALSE), 1)</f>
        <v>4.0250974889552791E-3</v>
      </c>
      <c r="L6" s="12">
        <f>$B6 * IFERROR(VLOOKUP(Substitution!$M$6 &amp; $A6, US_national_yearly!$D:$AM, MATCH(L$1, US_national_yearly!$D$1:$AM$1, 0), FALSE) / VLOOKUP(Substitution!$M$6 &amp; $A6, US_national_yearly!$D:$AM, MATCH(Keys!$C$7, US_national_yearly!$D$1:$AM$1, 0), FALSE), 1)</f>
        <v>4.0389984524821839E-3</v>
      </c>
      <c r="M6" s="12">
        <f>$B6 * IFERROR(VLOOKUP(Substitution!$M$6 &amp; $A6, US_national_yearly!$D:$AM, MATCH(M$1, US_national_yearly!$D$1:$AM$1, 0), FALSE) / VLOOKUP(Substitution!$M$6 &amp; $A6, US_national_yearly!$D:$AM, MATCH(Keys!$C$7, US_national_yearly!$D$1:$AM$1, 0), FALSE), 1)</f>
        <v>4.0528994160090887E-3</v>
      </c>
      <c r="N6" s="12">
        <f>$B6 * IFERROR(VLOOKUP(Substitution!$M$6 &amp; $A6, US_national_yearly!$D:$AM, MATCH(N$1, US_national_yearly!$D$1:$AM$1, 0), FALSE) / VLOOKUP(Substitution!$M$6 &amp; $A6, US_national_yearly!$D:$AM, MATCH(Keys!$C$7, US_national_yearly!$D$1:$AM$1, 0), FALSE), 1)</f>
        <v>4.0690186183853332E-3</v>
      </c>
      <c r="O6" s="12">
        <f>$B6 * IFERROR(VLOOKUP(Substitution!$M$6 &amp; $A6, US_national_yearly!$D:$AM, MATCH(O$1, US_national_yearly!$D$1:$AM$1, 0), FALSE) / VLOOKUP(Substitution!$M$6 &amp; $A6, US_national_yearly!$D:$AM, MATCH(Keys!$C$7, US_national_yearly!$D$1:$AM$1, 0), FALSE), 1)</f>
        <v>4.0851378207615785E-3</v>
      </c>
      <c r="P6" s="12">
        <f>$B6 * IFERROR(VLOOKUP(Substitution!$M$6 &amp; $A6, US_national_yearly!$D:$AM, MATCH(P$1, US_national_yearly!$D$1:$AM$1, 0), FALSE) / VLOOKUP(Substitution!$M$6 &amp; $A6, US_national_yearly!$D:$AM, MATCH(Keys!$C$7, US_national_yearly!$D$1:$AM$1, 0), FALSE), 1)</f>
        <v>4.1012570231378229E-3</v>
      </c>
      <c r="Q6" s="12">
        <f>$B6 * IFERROR(VLOOKUP(Substitution!$M$6 &amp; $A6, US_national_yearly!$D:$AM, MATCH(Q$1, US_national_yearly!$D$1:$AM$1, 0), FALSE) / VLOOKUP(Substitution!$M$6 &amp; $A6, US_national_yearly!$D:$AM, MATCH(Keys!$C$7, US_national_yearly!$D$1:$AM$1, 0), FALSE), 1)</f>
        <v>4.1173762255140682E-3</v>
      </c>
      <c r="R6" s="12">
        <f>$B6 * IFERROR(VLOOKUP(Substitution!$M$6 &amp; $A6, US_national_yearly!$D:$AM, MATCH(R$1, US_national_yearly!$D$1:$AM$1, 0), FALSE) / VLOOKUP(Substitution!$M$6 &amp; $A6, US_national_yearly!$D:$AM, MATCH(Keys!$C$7, US_national_yearly!$D$1:$AM$1, 0), FALSE), 1)</f>
        <v>4.1334954278903135E-3</v>
      </c>
      <c r="S6" s="12">
        <f>$B6 * IFERROR(VLOOKUP(Substitution!$M$6 &amp; $A6, US_national_yearly!$D:$AM, MATCH(S$1, US_national_yearly!$D$1:$AM$1, 0), FALSE) / VLOOKUP(Substitution!$M$6 &amp; $A6, US_national_yearly!$D:$AM, MATCH(Keys!$C$7, US_national_yearly!$D$1:$AM$1, 0), FALSE), 1)</f>
        <v>4.1545522401216037E-3</v>
      </c>
      <c r="T6" s="12">
        <f>$B6 * IFERROR(VLOOKUP(Substitution!$M$6 &amp; $A6, US_national_yearly!$D:$AM, MATCH(T$1, US_national_yearly!$D$1:$AM$1, 0), FALSE) / VLOOKUP(Substitution!$M$6 &amp; $A6, US_national_yearly!$D:$AM, MATCH(Keys!$C$7, US_national_yearly!$D$1:$AM$1, 0), FALSE), 1)</f>
        <v>4.175609052352894E-3</v>
      </c>
      <c r="U6" s="12">
        <f>$B6 * IFERROR(VLOOKUP(Substitution!$M$6 &amp; $A6, US_national_yearly!$D:$AM, MATCH(U$1, US_national_yearly!$D$1:$AM$1, 0), FALSE) / VLOOKUP(Substitution!$M$6 &amp; $A6, US_national_yearly!$D:$AM, MATCH(Keys!$C$7, US_national_yearly!$D$1:$AM$1, 0), FALSE), 1)</f>
        <v>4.1966658645841825E-3</v>
      </c>
      <c r="V6" s="12">
        <f>$B6 * IFERROR(VLOOKUP(Substitution!$M$6 &amp; $A6, US_national_yearly!$D:$AM, MATCH(V$1, US_national_yearly!$D$1:$AM$1, 0), FALSE) / VLOOKUP(Substitution!$M$6 &amp; $A6, US_national_yearly!$D:$AM, MATCH(Keys!$C$7, US_national_yearly!$D$1:$AM$1, 0), FALSE), 1)</f>
        <v>4.2177226768154727E-3</v>
      </c>
      <c r="W6" s="12">
        <f>$B6 * IFERROR(VLOOKUP(Substitution!$M$6 &amp; $A6, US_national_yearly!$D:$AM, MATCH(W$1, US_national_yearly!$D$1:$AM$1, 0), FALSE) / VLOOKUP(Substitution!$M$6 &amp; $A6, US_national_yearly!$D:$AM, MATCH(Keys!$C$7, US_national_yearly!$D$1:$AM$1, 0), FALSE), 1)</f>
        <v>4.238779489046763E-3</v>
      </c>
      <c r="X6" s="12">
        <f>$B6 * IFERROR(VLOOKUP(Substitution!$M$6 &amp; $A6, US_national_yearly!$D:$AM, MATCH(X$1, US_national_yearly!$D$1:$AM$1, 0), FALSE) / VLOOKUP(Substitution!$M$6 &amp; $A6, US_national_yearly!$D:$AM, MATCH(Keys!$C$7, US_national_yearly!$D$1:$AM$1, 0), FALSE), 1)</f>
        <v>4.2583442931692292E-3</v>
      </c>
      <c r="Y6" s="12">
        <f>$B6 * IFERROR(VLOOKUP(Substitution!$M$6 &amp; $A6, US_national_yearly!$D:$AM, MATCH(Y$1, US_national_yearly!$D$1:$AM$1, 0), FALSE) / VLOOKUP(Substitution!$M$6 &amp; $A6, US_national_yearly!$D:$AM, MATCH(Keys!$C$7, US_national_yearly!$D$1:$AM$1, 0), FALSE), 1)</f>
        <v>4.2779090972916954E-3</v>
      </c>
      <c r="Z6" s="12">
        <f>$B6 * IFERROR(VLOOKUP(Substitution!$M$6 &amp; $A6, US_national_yearly!$D:$AM, MATCH(Z$1, US_national_yearly!$D$1:$AM$1, 0), FALSE) / VLOOKUP(Substitution!$M$6 &amp; $A6, US_national_yearly!$D:$AM, MATCH(Keys!$C$7, US_national_yearly!$D$1:$AM$1, 0), FALSE), 1)</f>
        <v>4.2974739014141625E-3</v>
      </c>
      <c r="AA6" s="12">
        <f>$B6 * IFERROR(VLOOKUP(Substitution!$M$6 &amp; $A6, US_national_yearly!$D:$AM, MATCH(AA$1, US_national_yearly!$D$1:$AM$1, 0), FALSE) / VLOOKUP(Substitution!$M$6 &amp; $A6, US_national_yearly!$D:$AM, MATCH(Keys!$C$7, US_national_yearly!$D$1:$AM$1, 0), FALSE), 1)</f>
        <v>4.3170387055366287E-3</v>
      </c>
      <c r="AB6" s="12">
        <f>$B6 * IFERROR(VLOOKUP(Substitution!$M$6 &amp; $A6, US_national_yearly!$D:$AM, MATCH(AB$1, US_national_yearly!$D$1:$AM$1, 0), FALSE) / VLOOKUP(Substitution!$M$6 &amp; $A6, US_national_yearly!$D:$AM, MATCH(Keys!$C$7, US_national_yearly!$D$1:$AM$1, 0), FALSE), 1)</f>
        <v>4.3366035096590958E-3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Substitution!$G$6)/IFERROR(SUMIFS(COBRA_aggregated!$W:$W, COBRA_aggregated!$A:$A, About!$B$1, COBRA_aggregated!$B:$B, Substitution!$G$6), 1)</f>
        <v>4.9827869926587585E-3</v>
      </c>
      <c r="C7" s="12">
        <f>$B7 * IFERROR(VLOOKUP(Substitution!$M$6 &amp; $A7, US_national_yearly!$D:$AM, MATCH(C$1, US_national_yearly!$D$1:$AM$1, 0), FALSE) / VLOOKUP(Substitution!$M$6 &amp; $A7, US_national_yearly!$D:$AM, MATCH(Keys!$C$7, US_national_yearly!$D$1:$AM$1, 0), FALSE), 1)</f>
        <v>5.0509098373293657E-3</v>
      </c>
      <c r="D7" s="12">
        <f>$B7 * IFERROR(VLOOKUP(Substitution!$M$6 &amp; $A7, US_national_yearly!$D:$AM, MATCH(D$1, US_national_yearly!$D$1:$AM$1, 0), FALSE) / VLOOKUP(Substitution!$M$6 &amp; $A7, US_national_yearly!$D:$AM, MATCH(Keys!$C$7, US_national_yearly!$D$1:$AM$1, 0), FALSE), 1)</f>
        <v>5.119032681999972E-3</v>
      </c>
      <c r="E7" s="12">
        <f>$B7 * IFERROR(VLOOKUP(Substitution!$M$6 &amp; $A7, US_national_yearly!$D:$AM, MATCH(E$1, US_national_yearly!$D$1:$AM$1, 0), FALSE) / VLOOKUP(Substitution!$M$6 &amp; $A7, US_national_yearly!$D:$AM, MATCH(Keys!$C$7, US_national_yearly!$D$1:$AM$1, 0), FALSE), 1)</f>
        <v>5.1871555266705801E-3</v>
      </c>
      <c r="F7" s="12">
        <f>$B7 * IFERROR(VLOOKUP(Substitution!$M$6 &amp; $A7, US_national_yearly!$D:$AM, MATCH(F$1, US_national_yearly!$D$1:$AM$1, 0), FALSE) / VLOOKUP(Substitution!$M$6 &amp; $A7, US_national_yearly!$D:$AM, MATCH(Keys!$C$7, US_national_yearly!$D$1:$AM$1, 0), FALSE), 1)</f>
        <v>5.2552783713411873E-3</v>
      </c>
      <c r="G7" s="12">
        <f>$B7 * IFERROR(VLOOKUP(Substitution!$M$6 &amp; $A7, US_national_yearly!$D:$AM, MATCH(G$1, US_national_yearly!$D$1:$AM$1, 0), FALSE) / VLOOKUP(Substitution!$M$6 &amp; $A7, US_national_yearly!$D:$AM, MATCH(Keys!$C$7, US_national_yearly!$D$1:$AM$1, 0), FALSE), 1)</f>
        <v>5.3096649432390099E-3</v>
      </c>
      <c r="H7" s="12">
        <f>$B7 * IFERROR(VLOOKUP(Substitution!$M$6 &amp; $A7, US_national_yearly!$D:$AM, MATCH(H$1, US_national_yearly!$D$1:$AM$1, 0), FALSE) / VLOOKUP(Substitution!$M$6 &amp; $A7, US_national_yearly!$D:$AM, MATCH(Keys!$C$7, US_national_yearly!$D$1:$AM$1, 0), FALSE), 1)</f>
        <v>5.3640515151368333E-3</v>
      </c>
      <c r="I7" s="12">
        <f>$B7 * IFERROR(VLOOKUP(Substitution!$M$6 &amp; $A7, US_national_yearly!$D:$AM, MATCH(I$1, US_national_yearly!$D$1:$AM$1, 0), FALSE) / VLOOKUP(Substitution!$M$6 &amp; $A7, US_national_yearly!$D:$AM, MATCH(Keys!$C$7, US_national_yearly!$D$1:$AM$1, 0), FALSE), 1)</f>
        <v>5.3827705955939572E-3</v>
      </c>
      <c r="J7" s="12">
        <f>$B7 * IFERROR(VLOOKUP(Substitution!$M$6 &amp; $A7, US_national_yearly!$D:$AM, MATCH(J$1, US_national_yearly!$D$1:$AM$1, 0), FALSE) / VLOOKUP(Substitution!$M$6 &amp; $A7, US_national_yearly!$D:$AM, MATCH(Keys!$C$7, US_national_yearly!$D$1:$AM$1, 0), FALSE), 1)</f>
        <v>5.4014896760510821E-3</v>
      </c>
      <c r="K7" s="12">
        <f>$B7 * IFERROR(VLOOKUP(Substitution!$M$6 &amp; $A7, US_national_yearly!$D:$AM, MATCH(K$1, US_national_yearly!$D$1:$AM$1, 0), FALSE) / VLOOKUP(Substitution!$M$6 &amp; $A7, US_national_yearly!$D:$AM, MATCH(Keys!$C$7, US_national_yearly!$D$1:$AM$1, 0), FALSE), 1)</f>
        <v>5.4202087565082069E-3</v>
      </c>
      <c r="L7" s="12">
        <f>$B7 * IFERROR(VLOOKUP(Substitution!$M$6 &amp; $A7, US_national_yearly!$D:$AM, MATCH(L$1, US_national_yearly!$D$1:$AM$1, 0), FALSE) / VLOOKUP(Substitution!$M$6 &amp; $A7, US_national_yearly!$D:$AM, MATCH(Keys!$C$7, US_national_yearly!$D$1:$AM$1, 0), FALSE), 1)</f>
        <v>5.4389278369653318E-3</v>
      </c>
      <c r="M7" s="12">
        <f>$B7 * IFERROR(VLOOKUP(Substitution!$M$6 &amp; $A7, US_national_yearly!$D:$AM, MATCH(M$1, US_national_yearly!$D$1:$AM$1, 0), FALSE) / VLOOKUP(Substitution!$M$6 &amp; $A7, US_national_yearly!$D:$AM, MATCH(Keys!$C$7, US_national_yearly!$D$1:$AM$1, 0), FALSE), 1)</f>
        <v>5.4576469174224566E-3</v>
      </c>
      <c r="N7" s="12">
        <f>$B7 * IFERROR(VLOOKUP(Substitution!$M$6 &amp; $A7, US_national_yearly!$D:$AM, MATCH(N$1, US_national_yearly!$D$1:$AM$1, 0), FALSE) / VLOOKUP(Substitution!$M$6 &amp; $A7, US_national_yearly!$D:$AM, MATCH(Keys!$C$7, US_national_yearly!$D$1:$AM$1, 0), FALSE), 1)</f>
        <v>5.4793530852447828E-3</v>
      </c>
      <c r="O7" s="12">
        <f>$B7 * IFERROR(VLOOKUP(Substitution!$M$6 &amp; $A7, US_national_yearly!$D:$AM, MATCH(O$1, US_national_yearly!$D$1:$AM$1, 0), FALSE) / VLOOKUP(Substitution!$M$6 &amp; $A7, US_national_yearly!$D:$AM, MATCH(Keys!$C$7, US_national_yearly!$D$1:$AM$1, 0), FALSE), 1)</f>
        <v>5.5010592530671081E-3</v>
      </c>
      <c r="P7" s="12">
        <f>$B7 * IFERROR(VLOOKUP(Substitution!$M$6 &amp; $A7, US_national_yearly!$D:$AM, MATCH(P$1, US_national_yearly!$D$1:$AM$1, 0), FALSE) / VLOOKUP(Substitution!$M$6 &amp; $A7, US_national_yearly!$D:$AM, MATCH(Keys!$C$7, US_national_yearly!$D$1:$AM$1, 0), FALSE), 1)</f>
        <v>5.5227654208894325E-3</v>
      </c>
      <c r="Q7" s="12">
        <f>$B7 * IFERROR(VLOOKUP(Substitution!$M$6 &amp; $A7, US_national_yearly!$D:$AM, MATCH(Q$1, US_national_yearly!$D$1:$AM$1, 0), FALSE) / VLOOKUP(Substitution!$M$6 &amp; $A7, US_national_yearly!$D:$AM, MATCH(Keys!$C$7, US_national_yearly!$D$1:$AM$1, 0), FALSE), 1)</f>
        <v>5.5444715887117586E-3</v>
      </c>
      <c r="R7" s="12">
        <f>$B7 * IFERROR(VLOOKUP(Substitution!$M$6 &amp; $A7, US_national_yearly!$D:$AM, MATCH(R$1, US_national_yearly!$D$1:$AM$1, 0), FALSE) / VLOOKUP(Substitution!$M$6 &amp; $A7, US_national_yearly!$D:$AM, MATCH(Keys!$C$7, US_national_yearly!$D$1:$AM$1, 0), FALSE), 1)</f>
        <v>5.5661777565340839E-3</v>
      </c>
      <c r="S7" s="12">
        <f>$B7 * IFERROR(VLOOKUP(Substitution!$M$6 &amp; $A7, US_national_yearly!$D:$AM, MATCH(S$1, US_national_yearly!$D$1:$AM$1, 0), FALSE) / VLOOKUP(Substitution!$M$6 &amp; $A7, US_national_yearly!$D:$AM, MATCH(Keys!$C$7, US_national_yearly!$D$1:$AM$1, 0), FALSE), 1)</f>
        <v>5.5945329251527271E-3</v>
      </c>
      <c r="T7" s="12">
        <f>$B7 * IFERROR(VLOOKUP(Substitution!$M$6 &amp; $A7, US_national_yearly!$D:$AM, MATCH(T$1, US_national_yearly!$D$1:$AM$1, 0), FALSE) / VLOOKUP(Substitution!$M$6 &amp; $A7, US_national_yearly!$D:$AM, MATCH(Keys!$C$7, US_national_yearly!$D$1:$AM$1, 0), FALSE), 1)</f>
        <v>5.6228880937713712E-3</v>
      </c>
      <c r="U7" s="12">
        <f>$B7 * IFERROR(VLOOKUP(Substitution!$M$6 &amp; $A7, US_national_yearly!$D:$AM, MATCH(U$1, US_national_yearly!$D$1:$AM$1, 0), FALSE) / VLOOKUP(Substitution!$M$6 &amp; $A7, US_national_yearly!$D:$AM, MATCH(Keys!$C$7, US_national_yearly!$D$1:$AM$1, 0), FALSE), 1)</f>
        <v>5.6512432623900145E-3</v>
      </c>
      <c r="V7" s="12">
        <f>$B7 * IFERROR(VLOOKUP(Substitution!$M$6 &amp; $A7, US_national_yearly!$D:$AM, MATCH(V$1, US_national_yearly!$D$1:$AM$1, 0), FALSE) / VLOOKUP(Substitution!$M$6 &amp; $A7, US_national_yearly!$D:$AM, MATCH(Keys!$C$7, US_national_yearly!$D$1:$AM$1, 0), FALSE), 1)</f>
        <v>5.6795984310086568E-3</v>
      </c>
      <c r="W7" s="12">
        <f>$B7 * IFERROR(VLOOKUP(Substitution!$M$6 &amp; $A7, US_national_yearly!$D:$AM, MATCH(W$1, US_national_yearly!$D$1:$AM$1, 0), FALSE) / VLOOKUP(Substitution!$M$6 &amp; $A7, US_national_yearly!$D:$AM, MATCH(Keys!$C$7, US_national_yearly!$D$1:$AM$1, 0), FALSE), 1)</f>
        <v>5.7079535996272992E-3</v>
      </c>
      <c r="X7" s="12">
        <f>$B7 * IFERROR(VLOOKUP(Substitution!$M$6 &amp; $A7, US_national_yearly!$D:$AM, MATCH(X$1, US_national_yearly!$D$1:$AM$1, 0), FALSE) / VLOOKUP(Substitution!$M$6 &amp; $A7, US_national_yearly!$D:$AM, MATCH(Keys!$C$7, US_national_yearly!$D$1:$AM$1, 0), FALSE), 1)</f>
        <v>5.7342996254845921E-3</v>
      </c>
      <c r="Y7" s="12">
        <f>$B7 * IFERROR(VLOOKUP(Substitution!$M$6 &amp; $A7, US_national_yearly!$D:$AM, MATCH(Y$1, US_national_yearly!$D$1:$AM$1, 0), FALSE) / VLOOKUP(Substitution!$M$6 &amp; $A7, US_national_yearly!$D:$AM, MATCH(Keys!$C$7, US_national_yearly!$D$1:$AM$1, 0), FALSE), 1)</f>
        <v>5.7606456513418849E-3</v>
      </c>
      <c r="Z7" s="12">
        <f>$B7 * IFERROR(VLOOKUP(Substitution!$M$6 &amp; $A7, US_national_yearly!$D:$AM, MATCH(Z$1, US_national_yearly!$D$1:$AM$1, 0), FALSE) / VLOOKUP(Substitution!$M$6 &amp; $A7, US_national_yearly!$D:$AM, MATCH(Keys!$C$7, US_national_yearly!$D$1:$AM$1, 0), FALSE), 1)</f>
        <v>5.7869916771991787E-3</v>
      </c>
      <c r="AA7" s="12">
        <f>$B7 * IFERROR(VLOOKUP(Substitution!$M$6 &amp; $A7, US_national_yearly!$D:$AM, MATCH(AA$1, US_national_yearly!$D$1:$AM$1, 0), FALSE) / VLOOKUP(Substitution!$M$6 &amp; $A7, US_national_yearly!$D:$AM, MATCH(Keys!$C$7, US_national_yearly!$D$1:$AM$1, 0), FALSE), 1)</f>
        <v>5.8133377030564716E-3</v>
      </c>
      <c r="AB7" s="12">
        <f>$B7 * IFERROR(VLOOKUP(Substitution!$M$6 &amp; $A7, US_national_yearly!$D:$AM, MATCH(AB$1, US_national_yearly!$D$1:$AM$1, 0), FALSE) / VLOOKUP(Substitution!$M$6 &amp; $A7, US_national_yearly!$D:$AM, MATCH(Keys!$C$7, US_national_yearly!$D$1:$AM$1, 0), FALSE), 1)</f>
        <v>5.8396837289137636E-3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Substitution!$G$6)/IFERROR(SUMIFS(COBRA_aggregated!$W:$W, COBRA_aggregated!$A:$A, About!$B$1, COBRA_aggregated!$B:$B, Substitution!$G$6), 1)</f>
        <v>7.6134082457815925E-3</v>
      </c>
      <c r="C8" s="12">
        <f>$B8 * IFERROR(VLOOKUP(Substitution!$M$6 &amp; $A8, US_national_yearly!$D:$AM, MATCH(C$1, US_national_yearly!$D$1:$AM$1, 0), FALSE) / VLOOKUP(Substitution!$M$6 &amp; $A8, US_national_yearly!$D:$AM, MATCH(Keys!$C$7, US_national_yearly!$D$1:$AM$1, 0), FALSE), 1)</f>
        <v>7.7174959840747136E-3</v>
      </c>
      <c r="D8" s="12">
        <f>$B8 * IFERROR(VLOOKUP(Substitution!$M$6 &amp; $A8, US_national_yearly!$D:$AM, MATCH(D$1, US_national_yearly!$D$1:$AM$1, 0), FALSE) / VLOOKUP(Substitution!$M$6 &amp; $A8, US_national_yearly!$D:$AM, MATCH(Keys!$C$7, US_national_yearly!$D$1:$AM$1, 0), FALSE), 1)</f>
        <v>7.8215837223678374E-3</v>
      </c>
      <c r="E8" s="12">
        <f>$B8 * IFERROR(VLOOKUP(Substitution!$M$6 &amp; $A8, US_national_yearly!$D:$AM, MATCH(E$1, US_national_yearly!$D$1:$AM$1, 0), FALSE) / VLOOKUP(Substitution!$M$6 &amp; $A8, US_national_yearly!$D:$AM, MATCH(Keys!$C$7, US_national_yearly!$D$1:$AM$1, 0), FALSE), 1)</f>
        <v>7.9256714606609577E-3</v>
      </c>
      <c r="F8" s="12">
        <f>$B8 * IFERROR(VLOOKUP(Substitution!$M$6 &amp; $A8, US_national_yearly!$D:$AM, MATCH(F$1, US_national_yearly!$D$1:$AM$1, 0), FALSE) / VLOOKUP(Substitution!$M$6 &amp; $A8, US_national_yearly!$D:$AM, MATCH(Keys!$C$7, US_national_yearly!$D$1:$AM$1, 0), FALSE), 1)</f>
        <v>8.0297591989540781E-3</v>
      </c>
      <c r="G8" s="12">
        <f>$B8 * IFERROR(VLOOKUP(Substitution!$M$6 &amp; $A8, US_national_yearly!$D:$AM, MATCH(G$1, US_national_yearly!$D$1:$AM$1, 0), FALSE) / VLOOKUP(Substitution!$M$6 &amp; $A8, US_national_yearly!$D:$AM, MATCH(Keys!$C$7, US_national_yearly!$D$1:$AM$1, 0), FALSE), 1)</f>
        <v>8.1128587127642909E-3</v>
      </c>
      <c r="H8" s="12">
        <f>$B8 * IFERROR(VLOOKUP(Substitution!$M$6 &amp; $A8, US_national_yearly!$D:$AM, MATCH(H$1, US_national_yearly!$D$1:$AM$1, 0), FALSE) / VLOOKUP(Substitution!$M$6 &amp; $A8, US_national_yearly!$D:$AM, MATCH(Keys!$C$7, US_national_yearly!$D$1:$AM$1, 0), FALSE), 1)</f>
        <v>8.1959582265745019E-3</v>
      </c>
      <c r="I8" s="12">
        <f>$B8 * IFERROR(VLOOKUP(Substitution!$M$6 &amp; $A8, US_national_yearly!$D:$AM, MATCH(I$1, US_national_yearly!$D$1:$AM$1, 0), FALSE) / VLOOKUP(Substitution!$M$6 &amp; $A8, US_national_yearly!$D:$AM, MATCH(Keys!$C$7, US_national_yearly!$D$1:$AM$1, 0), FALSE), 1)</f>
        <v>8.2245598913636281E-3</v>
      </c>
      <c r="J8" s="12">
        <f>$B8 * IFERROR(VLOOKUP(Substitution!$M$6 &amp; $A8, US_national_yearly!$D:$AM, MATCH(J$1, US_national_yearly!$D$1:$AM$1, 0), FALSE) / VLOOKUP(Substitution!$M$6 &amp; $A8, US_national_yearly!$D:$AM, MATCH(Keys!$C$7, US_national_yearly!$D$1:$AM$1, 0), FALSE), 1)</f>
        <v>8.2531615561527542E-3</v>
      </c>
      <c r="K8" s="12">
        <f>$B8 * IFERROR(VLOOKUP(Substitution!$M$6 &amp; $A8, US_national_yearly!$D:$AM, MATCH(K$1, US_national_yearly!$D$1:$AM$1, 0), FALSE) / VLOOKUP(Substitution!$M$6 &amp; $A8, US_national_yearly!$D:$AM, MATCH(Keys!$C$7, US_national_yearly!$D$1:$AM$1, 0), FALSE), 1)</f>
        <v>8.2817632209418787E-3</v>
      </c>
      <c r="L8" s="12">
        <f>$B8 * IFERROR(VLOOKUP(Substitution!$M$6 &amp; $A8, US_national_yearly!$D:$AM, MATCH(L$1, US_national_yearly!$D$1:$AM$1, 0), FALSE) / VLOOKUP(Substitution!$M$6 &amp; $A8, US_national_yearly!$D:$AM, MATCH(Keys!$C$7, US_national_yearly!$D$1:$AM$1, 0), FALSE), 1)</f>
        <v>8.3103648857310065E-3</v>
      </c>
      <c r="M8" s="12">
        <f>$B8 * IFERROR(VLOOKUP(Substitution!$M$6 &amp; $A8, US_national_yearly!$D:$AM, MATCH(M$1, US_national_yearly!$D$1:$AM$1, 0), FALSE) / VLOOKUP(Substitution!$M$6 &amp; $A8, US_national_yearly!$D:$AM, MATCH(Keys!$C$7, US_national_yearly!$D$1:$AM$1, 0), FALSE), 1)</f>
        <v>8.338966550520131E-3</v>
      </c>
      <c r="N8" s="12">
        <f>$B8 * IFERROR(VLOOKUP(Substitution!$M$6 &amp; $A8, US_national_yearly!$D:$AM, MATCH(N$1, US_national_yearly!$D$1:$AM$1, 0), FALSE) / VLOOKUP(Substitution!$M$6 &amp; $A8, US_national_yearly!$D:$AM, MATCH(Keys!$C$7, US_national_yearly!$D$1:$AM$1, 0), FALSE), 1)</f>
        <v>8.3721323107442385E-3</v>
      </c>
      <c r="O8" s="12">
        <f>$B8 * IFERROR(VLOOKUP(Substitution!$M$6 &amp; $A8, US_national_yearly!$D:$AM, MATCH(O$1, US_national_yearly!$D$1:$AM$1, 0), FALSE) / VLOOKUP(Substitution!$M$6 &amp; $A8, US_national_yearly!$D:$AM, MATCH(Keys!$C$7, US_national_yearly!$D$1:$AM$1, 0), FALSE), 1)</f>
        <v>8.4052980709683478E-3</v>
      </c>
      <c r="P8" s="12">
        <f>$B8 * IFERROR(VLOOKUP(Substitution!$M$6 &amp; $A8, US_national_yearly!$D:$AM, MATCH(P$1, US_national_yearly!$D$1:$AM$1, 0), FALSE) / VLOOKUP(Substitution!$M$6 &amp; $A8, US_national_yearly!$D:$AM, MATCH(Keys!$C$7, US_national_yearly!$D$1:$AM$1, 0), FALSE), 1)</f>
        <v>8.4384638311924554E-3</v>
      </c>
      <c r="Q8" s="12">
        <f>$B8 * IFERROR(VLOOKUP(Substitution!$M$6 &amp; $A8, US_national_yearly!$D:$AM, MATCH(Q$1, US_national_yearly!$D$1:$AM$1, 0), FALSE) / VLOOKUP(Substitution!$M$6 &amp; $A8, US_national_yearly!$D:$AM, MATCH(Keys!$C$7, US_national_yearly!$D$1:$AM$1, 0), FALSE), 1)</f>
        <v>8.4716295914165646E-3</v>
      </c>
      <c r="R8" s="12">
        <f>$B8 * IFERROR(VLOOKUP(Substitution!$M$6 &amp; $A8, US_national_yearly!$D:$AM, MATCH(R$1, US_national_yearly!$D$1:$AM$1, 0), FALSE) / VLOOKUP(Substitution!$M$6 &amp; $A8, US_national_yearly!$D:$AM, MATCH(Keys!$C$7, US_national_yearly!$D$1:$AM$1, 0), FALSE), 1)</f>
        <v>8.5047953516406722E-3</v>
      </c>
      <c r="S8" s="12">
        <f>$B8 * IFERROR(VLOOKUP(Substitution!$M$6 &amp; $A8, US_national_yearly!$D:$AM, MATCH(S$1, US_national_yearly!$D$1:$AM$1, 0), FALSE) / VLOOKUP(Substitution!$M$6 &amp; $A8, US_national_yearly!$D:$AM, MATCH(Keys!$C$7, US_national_yearly!$D$1:$AM$1, 0), FALSE), 1)</f>
        <v>8.54812039768405E-3</v>
      </c>
      <c r="T8" s="12">
        <f>$B8 * IFERROR(VLOOKUP(Substitution!$M$6 &amp; $A8, US_national_yearly!$D:$AM, MATCH(T$1, US_national_yearly!$D$1:$AM$1, 0), FALSE) / VLOOKUP(Substitution!$M$6 &amp; $A8, US_national_yearly!$D:$AM, MATCH(Keys!$C$7, US_national_yearly!$D$1:$AM$1, 0), FALSE), 1)</f>
        <v>8.5914454437274277E-3</v>
      </c>
      <c r="U8" s="12">
        <f>$B8 * IFERROR(VLOOKUP(Substitution!$M$6 &amp; $A8, US_national_yearly!$D:$AM, MATCH(U$1, US_national_yearly!$D$1:$AM$1, 0), FALSE) / VLOOKUP(Substitution!$M$6 &amp; $A8, US_national_yearly!$D:$AM, MATCH(Keys!$C$7, US_national_yearly!$D$1:$AM$1, 0), FALSE), 1)</f>
        <v>8.6347704897708072E-3</v>
      </c>
      <c r="V8" s="12">
        <f>$B8 * IFERROR(VLOOKUP(Substitution!$M$6 &amp; $A8, US_national_yearly!$D:$AM, MATCH(V$1, US_national_yearly!$D$1:$AM$1, 0), FALSE) / VLOOKUP(Substitution!$M$6 &amp; $A8, US_national_yearly!$D:$AM, MATCH(Keys!$C$7, US_national_yearly!$D$1:$AM$1, 0), FALSE), 1)</f>
        <v>8.6780955358141867E-3</v>
      </c>
      <c r="W8" s="12">
        <f>$B8 * IFERROR(VLOOKUP(Substitution!$M$6 &amp; $A8, US_national_yearly!$D:$AM, MATCH(W$1, US_national_yearly!$D$1:$AM$1, 0), FALSE) / VLOOKUP(Substitution!$M$6 &amp; $A8, US_national_yearly!$D:$AM, MATCH(Keys!$C$7, US_national_yearly!$D$1:$AM$1, 0), FALSE), 1)</f>
        <v>8.7214205818575627E-3</v>
      </c>
      <c r="X8" s="12">
        <f>$B8 * IFERROR(VLOOKUP(Substitution!$M$6 &amp; $A8, US_national_yearly!$D:$AM, MATCH(X$1, US_national_yearly!$D$1:$AM$1, 0), FALSE) / VLOOKUP(Substitution!$M$6 &amp; $A8, US_national_yearly!$D:$AM, MATCH(Keys!$C$7, US_national_yearly!$D$1:$AM$1, 0), FALSE), 1)</f>
        <v>8.7616757748011538E-3</v>
      </c>
      <c r="Y8" s="12">
        <f>$B8 * IFERROR(VLOOKUP(Substitution!$M$6 &amp; $A8, US_national_yearly!$D:$AM, MATCH(Y$1, US_national_yearly!$D$1:$AM$1, 0), FALSE) / VLOOKUP(Substitution!$M$6 &amp; $A8, US_national_yearly!$D:$AM, MATCH(Keys!$C$7, US_national_yearly!$D$1:$AM$1, 0), FALSE), 1)</f>
        <v>8.8019309677447432E-3</v>
      </c>
      <c r="Z8" s="12">
        <f>$B8 * IFERROR(VLOOKUP(Substitution!$M$6 &amp; $A8, US_national_yearly!$D:$AM, MATCH(Z$1, US_national_yearly!$D$1:$AM$1, 0), FALSE) / VLOOKUP(Substitution!$M$6 &amp; $A8, US_national_yearly!$D:$AM, MATCH(Keys!$C$7, US_national_yearly!$D$1:$AM$1, 0), FALSE), 1)</f>
        <v>8.8421861606883343E-3</v>
      </c>
      <c r="AA8" s="12">
        <f>$B8 * IFERROR(VLOOKUP(Substitution!$M$6 &amp; $A8, US_national_yearly!$D:$AM, MATCH(AA$1, US_national_yearly!$D$1:$AM$1, 0), FALSE) / VLOOKUP(Substitution!$M$6 &amp; $A8, US_national_yearly!$D:$AM, MATCH(Keys!$C$7, US_national_yearly!$D$1:$AM$1, 0), FALSE), 1)</f>
        <v>8.8824413536319237E-3</v>
      </c>
      <c r="AB8" s="12">
        <f>$B8 * IFERROR(VLOOKUP(Substitution!$M$6 &amp; $A8, US_national_yearly!$D:$AM, MATCH(AB$1, US_national_yearly!$D$1:$AM$1, 0), FALSE) / VLOOKUP(Substitution!$M$6 &amp; $A8, US_national_yearly!$D:$AM, MATCH(Keys!$C$7, US_national_yearly!$D$1:$AM$1, 0), FALSE), 1)</f>
        <v>8.9226965465755148E-3</v>
      </c>
    </row>
    <row r="9" spans="1:28" x14ac:dyDescent="0.25">
      <c r="A9" s="4" t="s">
        <v>305</v>
      </c>
      <c r="B9" s="12">
        <f>IFERROR(VLOOKUP(Substitution!$M$6 &amp; $A9, US_national_yearly!$D:$AM, MATCH(Keys!$C$7, US_national_yearly!$D$1:$AM$1, 0), FALSE), 0)</f>
        <v>2.372967102977722E-2</v>
      </c>
      <c r="C9" s="12">
        <f>$B9 * IFERROR(VLOOKUP(Substitution!$M$6 &amp; $A9, US_national_yearly!$D:$AM, MATCH(C$1, US_national_yearly!$D$1:$AM$1, 0), FALSE) / VLOOKUP(Substitution!$M$6 &amp; $A9, US_national_yearly!$D:$AM, MATCH(Keys!$C$7, US_national_yearly!$D$1:$AM$1, 0), FALSE), 1)</f>
        <v>2.3879202103342739E-2</v>
      </c>
      <c r="D9" s="12">
        <f>$B9 * IFERROR(VLOOKUP(Substitution!$M$6 &amp; $A9, US_national_yearly!$D:$AM, MATCH(D$1, US_national_yearly!$D$1:$AM$1, 0), FALSE) / VLOOKUP(Substitution!$M$6 &amp; $A9, US_national_yearly!$D:$AM, MATCH(Keys!$C$7, US_national_yearly!$D$1:$AM$1, 0), FALSE), 1)</f>
        <v>2.4028733176908259E-2</v>
      </c>
      <c r="E9" s="12">
        <f>$B9 * IFERROR(VLOOKUP(Substitution!$M$6 &amp; $A9, US_national_yearly!$D:$AM, MATCH(E$1, US_national_yearly!$D$1:$AM$1, 0), FALSE) / VLOOKUP(Substitution!$M$6 &amp; $A9, US_national_yearly!$D:$AM, MATCH(Keys!$C$7, US_national_yearly!$D$1:$AM$1, 0), FALSE), 1)</f>
        <v>2.4178264250473779E-2</v>
      </c>
      <c r="F9" s="12">
        <f>$B9 * IFERROR(VLOOKUP(Substitution!$M$6 &amp; $A9, US_national_yearly!$D:$AM, MATCH(F$1, US_national_yearly!$D$1:$AM$1, 0), FALSE) / VLOOKUP(Substitution!$M$6 &amp; $A9, US_national_yearly!$D:$AM, MATCH(Keys!$C$7, US_national_yearly!$D$1:$AM$1, 0), FALSE), 1)</f>
        <v>2.4327795324039302E-2</v>
      </c>
      <c r="G9" s="12">
        <f>$B9 * IFERROR(VLOOKUP(Substitution!$M$6 &amp; $A9, US_national_yearly!$D:$AM, MATCH(G$1, US_national_yearly!$D$1:$AM$1, 0), FALSE) / VLOOKUP(Substitution!$M$6 &amp; $A9, US_national_yearly!$D:$AM, MATCH(Keys!$C$7, US_national_yearly!$D$1:$AM$1, 0), FALSE), 1)</f>
        <v>2.44753371735675E-2</v>
      </c>
      <c r="H9" s="12">
        <f>$B9 * IFERROR(VLOOKUP(Substitution!$M$6 &amp; $A9, US_national_yearly!$D:$AM, MATCH(H$1, US_national_yearly!$D$1:$AM$1, 0), FALSE) / VLOOKUP(Substitution!$M$6 &amp; $A9, US_national_yearly!$D:$AM, MATCH(Keys!$C$7, US_national_yearly!$D$1:$AM$1, 0), FALSE), 1)</f>
        <v>2.4622879023095699E-2</v>
      </c>
      <c r="I9" s="12">
        <f>$B9 * IFERROR(VLOOKUP(Substitution!$M$6 &amp; $A9, US_national_yearly!$D:$AM, MATCH(I$1, US_national_yearly!$D$1:$AM$1, 0), FALSE) / VLOOKUP(Substitution!$M$6 &amp; $A9, US_national_yearly!$D:$AM, MATCH(Keys!$C$7, US_national_yearly!$D$1:$AM$1, 0), FALSE), 1)</f>
        <v>2.4754943563359479E-2</v>
      </c>
      <c r="J9" s="12">
        <f>$B9 * IFERROR(VLOOKUP(Substitution!$M$6 &amp; $A9, US_national_yearly!$D:$AM, MATCH(J$1, US_national_yearly!$D$1:$AM$1, 0), FALSE) / VLOOKUP(Substitution!$M$6 &amp; $A9, US_national_yearly!$D:$AM, MATCH(Keys!$C$7, US_national_yearly!$D$1:$AM$1, 0), FALSE), 1)</f>
        <v>2.4887008103623258E-2</v>
      </c>
      <c r="K9" s="12">
        <f>$B9 * IFERROR(VLOOKUP(Substitution!$M$6 &amp; $A9, US_national_yearly!$D:$AM, MATCH(K$1, US_national_yearly!$D$1:$AM$1, 0), FALSE) / VLOOKUP(Substitution!$M$6 &amp; $A9, US_national_yearly!$D:$AM, MATCH(Keys!$C$7, US_national_yearly!$D$1:$AM$1, 0), FALSE), 1)</f>
        <v>2.5019072643887037E-2</v>
      </c>
      <c r="L9" s="12">
        <f>$B9 * IFERROR(VLOOKUP(Substitution!$M$6 &amp; $A9, US_national_yearly!$D:$AM, MATCH(L$1, US_national_yearly!$D$1:$AM$1, 0), FALSE) / VLOOKUP(Substitution!$M$6 &amp; $A9, US_national_yearly!$D:$AM, MATCH(Keys!$C$7, US_national_yearly!$D$1:$AM$1, 0), FALSE), 1)</f>
        <v>2.5151137184150817E-2</v>
      </c>
      <c r="M9" s="12">
        <f>$B9 * IFERROR(VLOOKUP(Substitution!$M$6 &amp; $A9, US_national_yearly!$D:$AM, MATCH(M$1, US_national_yearly!$D$1:$AM$1, 0), FALSE) / VLOOKUP(Substitution!$M$6 &amp; $A9, US_national_yearly!$D:$AM, MATCH(Keys!$C$7, US_national_yearly!$D$1:$AM$1, 0), FALSE), 1)</f>
        <v>2.5283201724414596E-2</v>
      </c>
      <c r="N9" s="12">
        <f>$B9 * IFERROR(VLOOKUP(Substitution!$M$6 &amp; $A9, US_national_yearly!$D:$AM, MATCH(N$1, US_national_yearly!$D$1:$AM$1, 0), FALSE) / VLOOKUP(Substitution!$M$6 &amp; $A9, US_national_yearly!$D:$AM, MATCH(Keys!$C$7, US_national_yearly!$D$1:$AM$1, 0), FALSE), 1)</f>
        <v>2.5403307038980364E-2</v>
      </c>
      <c r="O9" s="12">
        <f>$B9 * IFERROR(VLOOKUP(Substitution!$M$6 &amp; $A9, US_national_yearly!$D:$AM, MATCH(O$1, US_national_yearly!$D$1:$AM$1, 0), FALSE) / VLOOKUP(Substitution!$M$6 &amp; $A9, US_national_yearly!$D:$AM, MATCH(Keys!$C$7, US_national_yearly!$D$1:$AM$1, 0), FALSE), 1)</f>
        <v>2.5523412353546122E-2</v>
      </c>
      <c r="P9" s="12">
        <f>$B9 * IFERROR(VLOOKUP(Substitution!$M$6 &amp; $A9, US_national_yearly!$D:$AM, MATCH(P$1, US_national_yearly!$D$1:$AM$1, 0), FALSE) / VLOOKUP(Substitution!$M$6 &amp; $A9, US_national_yearly!$D:$AM, MATCH(Keys!$C$7, US_national_yearly!$D$1:$AM$1, 0), FALSE), 1)</f>
        <v>2.5643517668111876E-2</v>
      </c>
      <c r="Q9" s="12">
        <f>$B9 * IFERROR(VLOOKUP(Substitution!$M$6 &amp; $A9, US_national_yearly!$D:$AM, MATCH(Q$1, US_national_yearly!$D$1:$AM$1, 0), FALSE) / VLOOKUP(Substitution!$M$6 &amp; $A9, US_national_yearly!$D:$AM, MATCH(Keys!$C$7, US_national_yearly!$D$1:$AM$1, 0), FALSE), 1)</f>
        <v>2.5763622982677644E-2</v>
      </c>
      <c r="R9" s="12">
        <f>$B9 * IFERROR(VLOOKUP(Substitution!$M$6 &amp; $A9, US_national_yearly!$D:$AM, MATCH(R$1, US_national_yearly!$D$1:$AM$1, 0), FALSE) / VLOOKUP(Substitution!$M$6 &amp; $A9, US_national_yearly!$D:$AM, MATCH(Keys!$C$7, US_national_yearly!$D$1:$AM$1, 0), FALSE), 1)</f>
        <v>2.5883728297243402E-2</v>
      </c>
      <c r="S9" s="12">
        <f>$B9 * IFERROR(VLOOKUP(Substitution!$M$6 &amp; $A9, US_national_yearly!$D:$AM, MATCH(S$1, US_national_yearly!$D$1:$AM$1, 0), FALSE) / VLOOKUP(Substitution!$M$6 &amp; $A9, US_national_yearly!$D:$AM, MATCH(Keys!$C$7, US_national_yearly!$D$1:$AM$1, 0), FALSE), 1)</f>
        <v>2.5994718020261556E-2</v>
      </c>
      <c r="T9" s="12">
        <f>$B9 * IFERROR(VLOOKUP(Substitution!$M$6 &amp; $A9, US_national_yearly!$D:$AM, MATCH(T$1, US_national_yearly!$D$1:$AM$1, 0), FALSE) / VLOOKUP(Substitution!$M$6 &amp; $A9, US_national_yearly!$D:$AM, MATCH(Keys!$C$7, US_national_yearly!$D$1:$AM$1, 0), FALSE), 1)</f>
        <v>2.6105707743279721E-2</v>
      </c>
      <c r="U9" s="12">
        <f>$B9 * IFERROR(VLOOKUP(Substitution!$M$6 &amp; $A9, US_national_yearly!$D:$AM, MATCH(U$1, US_national_yearly!$D$1:$AM$1, 0), FALSE) / VLOOKUP(Substitution!$M$6 &amp; $A9, US_national_yearly!$D:$AM, MATCH(Keys!$C$7, US_national_yearly!$D$1:$AM$1, 0), FALSE), 1)</f>
        <v>2.6216697466297876E-2</v>
      </c>
      <c r="V9" s="12">
        <f>$B9 * IFERROR(VLOOKUP(Substitution!$M$6 &amp; $A9, US_national_yearly!$D:$AM, MATCH(V$1, US_national_yearly!$D$1:$AM$1, 0), FALSE) / VLOOKUP(Substitution!$M$6 &amp; $A9, US_national_yearly!$D:$AM, MATCH(Keys!$C$7, US_national_yearly!$D$1:$AM$1, 0), FALSE), 1)</f>
        <v>2.6327687189316044E-2</v>
      </c>
      <c r="W9" s="12">
        <f>$B9 * IFERROR(VLOOKUP(Substitution!$M$6 &amp; $A9, US_national_yearly!$D:$AM, MATCH(W$1, US_national_yearly!$D$1:$AM$1, 0), FALSE) / VLOOKUP(Substitution!$M$6 &amp; $A9, US_national_yearly!$D:$AM, MATCH(Keys!$C$7, US_national_yearly!$D$1:$AM$1, 0), FALSE), 1)</f>
        <v>2.6438676912334199E-2</v>
      </c>
      <c r="X9" s="12">
        <f>$B9 * IFERROR(VLOOKUP(Substitution!$M$6 &amp; $A9, US_national_yearly!$D:$AM, MATCH(X$1, US_national_yearly!$D$1:$AM$1, 0), FALSE) / VLOOKUP(Substitution!$M$6 &amp; $A9, US_national_yearly!$D:$AM, MATCH(Keys!$C$7, US_national_yearly!$D$1:$AM$1, 0), FALSE), 1)</f>
        <v>2.6540772147290743E-2</v>
      </c>
      <c r="Y9" s="12">
        <f>$B9 * IFERROR(VLOOKUP(Substitution!$M$6 &amp; $A9, US_national_yearly!$D:$AM, MATCH(Y$1, US_national_yearly!$D$1:$AM$1, 0), FALSE) / VLOOKUP(Substitution!$M$6 &amp; $A9, US_national_yearly!$D:$AM, MATCH(Keys!$C$7, US_national_yearly!$D$1:$AM$1, 0), FALSE), 1)</f>
        <v>2.664286738224728E-2</v>
      </c>
      <c r="Z9" s="12">
        <f>$B9 * IFERROR(VLOOKUP(Substitution!$M$6 &amp; $A9, US_national_yearly!$D:$AM, MATCH(Z$1, US_national_yearly!$D$1:$AM$1, 0), FALSE) / VLOOKUP(Substitution!$M$6 &amp; $A9, US_national_yearly!$D:$AM, MATCH(Keys!$C$7, US_national_yearly!$D$1:$AM$1, 0), FALSE), 1)</f>
        <v>2.674496261720382E-2</v>
      </c>
      <c r="AA9" s="12">
        <f>$B9 * IFERROR(VLOOKUP(Substitution!$M$6 &amp; $A9, US_national_yearly!$D:$AM, MATCH(AA$1, US_national_yearly!$D$1:$AM$1, 0), FALSE) / VLOOKUP(Substitution!$M$6 &amp; $A9, US_national_yearly!$D:$AM, MATCH(Keys!$C$7, US_national_yearly!$D$1:$AM$1, 0), FALSE), 1)</f>
        <v>2.684705785216036E-2</v>
      </c>
      <c r="AB9" s="12">
        <f>$B9 * IFERROR(VLOOKUP(Substitution!$M$6 &amp; $A9, US_national_yearly!$D:$AM, MATCH(AB$1, US_national_yearly!$D$1:$AM$1, 0), FALSE) / VLOOKUP(Substitution!$M$6 &amp; $A9, US_national_yearly!$D:$AM, MATCH(Keys!$C$7, US_national_yearly!$D$1:$AM$1, 0), FALSE), 1)</f>
        <v>2.6949153087116904E-2</v>
      </c>
    </row>
    <row r="10" spans="1:28" x14ac:dyDescent="0.25">
      <c r="A10" s="4" t="s">
        <v>307</v>
      </c>
      <c r="B10" s="12">
        <f>IFERROR(VLOOKUP(Substitution!$M$6 &amp; $A10, US_national_yearly!$D:$AM, MATCH(Keys!$C$7, US_national_yearly!$D$1:$AM$1, 0), FALSE), 0)</f>
        <v>0.1524682084608848</v>
      </c>
      <c r="C10" s="12">
        <f>$B10 * IFERROR(VLOOKUP(Substitution!$M$6 &amp; $A10, US_national_yearly!$D:$AM, MATCH(C$1, US_national_yearly!$D$1:$AM$1, 0), FALSE) / VLOOKUP(Substitution!$M$6 &amp; $A10, US_national_yearly!$D:$AM, MATCH(Keys!$C$7, US_national_yearly!$D$1:$AM$1, 0), FALSE), 1)</f>
        <v>0.15390269852338259</v>
      </c>
      <c r="D10" s="12">
        <f>$B10 * IFERROR(VLOOKUP(Substitution!$M$6 &amp; $A10, US_national_yearly!$D:$AM, MATCH(D$1, US_national_yearly!$D$1:$AM$1, 0), FALSE) / VLOOKUP(Substitution!$M$6 &amp; $A10, US_national_yearly!$D:$AM, MATCH(Keys!$C$7, US_national_yearly!$D$1:$AM$1, 0), FALSE), 1)</f>
        <v>0.15533718858588041</v>
      </c>
      <c r="E10" s="12">
        <f>$B10 * IFERROR(VLOOKUP(Substitution!$M$6 &amp; $A10, US_national_yearly!$D:$AM, MATCH(E$1, US_national_yearly!$D$1:$AM$1, 0), FALSE) / VLOOKUP(Substitution!$M$6 &amp; $A10, US_national_yearly!$D:$AM, MATCH(Keys!$C$7, US_national_yearly!$D$1:$AM$1, 0), FALSE), 1)</f>
        <v>0.15677167864837821</v>
      </c>
      <c r="F10" s="12">
        <f>$B10 * IFERROR(VLOOKUP(Substitution!$M$6 &amp; $A10, US_national_yearly!$D:$AM, MATCH(F$1, US_national_yearly!$D$1:$AM$1, 0), FALSE) / VLOOKUP(Substitution!$M$6 &amp; $A10, US_national_yearly!$D:$AM, MATCH(Keys!$C$7, US_national_yearly!$D$1:$AM$1, 0), FALSE), 1)</f>
        <v>0.15820616871087601</v>
      </c>
      <c r="G10" s="12">
        <f>$B10 * IFERROR(VLOOKUP(Substitution!$M$6 &amp; $A10, US_national_yearly!$D:$AM, MATCH(G$1, US_national_yearly!$D$1:$AM$1, 0), FALSE) / VLOOKUP(Substitution!$M$6 &amp; $A10, US_national_yearly!$D:$AM, MATCH(Keys!$C$7, US_national_yearly!$D$1:$AM$1, 0), FALSE), 1)</f>
        <v>0.1597835676606085</v>
      </c>
      <c r="H10" s="12">
        <f>$B10 * IFERROR(VLOOKUP(Substitution!$M$6 &amp; $A10, US_national_yearly!$D:$AM, MATCH(H$1, US_national_yearly!$D$1:$AM$1, 0), FALSE) / VLOOKUP(Substitution!$M$6 &amp; $A10, US_national_yearly!$D:$AM, MATCH(Keys!$C$7, US_national_yearly!$D$1:$AM$1, 0), FALSE), 1)</f>
        <v>0.16136096661034099</v>
      </c>
      <c r="I10" s="12">
        <f>$B10 * IFERROR(VLOOKUP(Substitution!$M$6 &amp; $A10, US_national_yearly!$D:$AM, MATCH(I$1, US_national_yearly!$D$1:$AM$1, 0), FALSE) / VLOOKUP(Substitution!$M$6 &amp; $A10, US_national_yearly!$D:$AM, MATCH(Keys!$C$7, US_national_yearly!$D$1:$AM$1, 0), FALSE), 1)</f>
        <v>0.16257984875156761</v>
      </c>
      <c r="J10" s="12">
        <f>$B10 * IFERROR(VLOOKUP(Substitution!$M$6 &amp; $A10, US_national_yearly!$D:$AM, MATCH(J$1, US_national_yearly!$D$1:$AM$1, 0), FALSE) / VLOOKUP(Substitution!$M$6 &amp; $A10, US_national_yearly!$D:$AM, MATCH(Keys!$C$7, US_national_yearly!$D$1:$AM$1, 0), FALSE), 1)</f>
        <v>0.16379873089279423</v>
      </c>
      <c r="K10" s="12">
        <f>$B10 * IFERROR(VLOOKUP(Substitution!$M$6 &amp; $A10, US_national_yearly!$D:$AM, MATCH(K$1, US_national_yearly!$D$1:$AM$1, 0), FALSE) / VLOOKUP(Substitution!$M$6 &amp; $A10, US_national_yearly!$D:$AM, MATCH(Keys!$C$7, US_national_yearly!$D$1:$AM$1, 0), FALSE), 1)</f>
        <v>0.16501761303402079</v>
      </c>
      <c r="L10" s="12">
        <f>$B10 * IFERROR(VLOOKUP(Substitution!$M$6 &amp; $A10, US_national_yearly!$D:$AM, MATCH(L$1, US_national_yearly!$D$1:$AM$1, 0), FALSE) / VLOOKUP(Substitution!$M$6 &amp; $A10, US_national_yearly!$D:$AM, MATCH(Keys!$C$7, US_national_yearly!$D$1:$AM$1, 0), FALSE), 1)</f>
        <v>0.16623649517524741</v>
      </c>
      <c r="M10" s="12">
        <f>$B10 * IFERROR(VLOOKUP(Substitution!$M$6 &amp; $A10, US_national_yearly!$D:$AM, MATCH(M$1, US_national_yearly!$D$1:$AM$1, 0), FALSE) / VLOOKUP(Substitution!$M$6 &amp; $A10, US_national_yearly!$D:$AM, MATCH(Keys!$C$7, US_national_yearly!$D$1:$AM$1, 0), FALSE), 1)</f>
        <v>0.167455377316474</v>
      </c>
      <c r="N10" s="12">
        <f>$B10 * IFERROR(VLOOKUP(Substitution!$M$6 &amp; $A10, US_national_yearly!$D:$AM, MATCH(N$1, US_national_yearly!$D$1:$AM$1, 0), FALSE) / VLOOKUP(Substitution!$M$6 &amp; $A10, US_national_yearly!$D:$AM, MATCH(Keys!$C$7, US_national_yearly!$D$1:$AM$1, 0), FALSE), 1)</f>
        <v>0.16810407952755321</v>
      </c>
      <c r="O10" s="12">
        <f>$B10 * IFERROR(VLOOKUP(Substitution!$M$6 &amp; $A10, US_national_yearly!$D:$AM, MATCH(O$1, US_national_yearly!$D$1:$AM$1, 0), FALSE) / VLOOKUP(Substitution!$M$6 &amp; $A10, US_national_yearly!$D:$AM, MATCH(Keys!$C$7, US_national_yearly!$D$1:$AM$1, 0), FALSE), 1)</f>
        <v>0.1687527817386324</v>
      </c>
      <c r="P10" s="12">
        <f>$B10 * IFERROR(VLOOKUP(Substitution!$M$6 &amp; $A10, US_national_yearly!$D:$AM, MATCH(P$1, US_national_yearly!$D$1:$AM$1, 0), FALSE) / VLOOKUP(Substitution!$M$6 &amp; $A10, US_national_yearly!$D:$AM, MATCH(Keys!$C$7, US_national_yearly!$D$1:$AM$1, 0), FALSE), 1)</f>
        <v>0.16940148394971161</v>
      </c>
      <c r="Q10" s="12">
        <f>$B10 * IFERROR(VLOOKUP(Substitution!$M$6 &amp; $A10, US_national_yearly!$D:$AM, MATCH(Q$1, US_national_yearly!$D$1:$AM$1, 0), FALSE) / VLOOKUP(Substitution!$M$6 &amp; $A10, US_national_yearly!$D:$AM, MATCH(Keys!$C$7, US_national_yearly!$D$1:$AM$1, 0), FALSE), 1)</f>
        <v>0.17005018616079076</v>
      </c>
      <c r="R10" s="12">
        <f>$B10 * IFERROR(VLOOKUP(Substitution!$M$6 &amp; $A10, US_national_yearly!$D:$AM, MATCH(R$1, US_national_yearly!$D$1:$AM$1, 0), FALSE) / VLOOKUP(Substitution!$M$6 &amp; $A10, US_national_yearly!$D:$AM, MATCH(Keys!$C$7, US_national_yearly!$D$1:$AM$1, 0), FALSE), 1)</f>
        <v>0.17069888837186997</v>
      </c>
      <c r="S10" s="12">
        <f>$B10 * IFERROR(VLOOKUP(Substitution!$M$6 &amp; $A10, US_national_yearly!$D:$AM, MATCH(S$1, US_national_yearly!$D$1:$AM$1, 0), FALSE) / VLOOKUP(Substitution!$M$6 &amp; $A10, US_national_yearly!$D:$AM, MATCH(Keys!$C$7, US_national_yearly!$D$1:$AM$1, 0), FALSE), 1)</f>
        <v>0.17143698291529164</v>
      </c>
      <c r="T10" s="12">
        <f>$B10 * IFERROR(VLOOKUP(Substitution!$M$6 &amp; $A10, US_national_yearly!$D:$AM, MATCH(T$1, US_national_yearly!$D$1:$AM$1, 0), FALSE) / VLOOKUP(Substitution!$M$6 &amp; $A10, US_national_yearly!$D:$AM, MATCH(Keys!$C$7, US_national_yearly!$D$1:$AM$1, 0), FALSE), 1)</f>
        <v>0.17217507745871319</v>
      </c>
      <c r="U10" s="12">
        <f>$B10 * IFERROR(VLOOKUP(Substitution!$M$6 &amp; $A10, US_national_yearly!$D:$AM, MATCH(U$1, US_national_yearly!$D$1:$AM$1, 0), FALSE) / VLOOKUP(Substitution!$M$6 &amp; $A10, US_national_yearly!$D:$AM, MATCH(Keys!$C$7, US_national_yearly!$D$1:$AM$1, 0), FALSE), 1)</f>
        <v>0.1729131720021348</v>
      </c>
      <c r="V10" s="12">
        <f>$B10 * IFERROR(VLOOKUP(Substitution!$M$6 &amp; $A10, US_national_yearly!$D:$AM, MATCH(V$1, US_national_yearly!$D$1:$AM$1, 0), FALSE) / VLOOKUP(Substitution!$M$6 &amp; $A10, US_national_yearly!$D:$AM, MATCH(Keys!$C$7, US_national_yearly!$D$1:$AM$1, 0), FALSE), 1)</f>
        <v>0.1736512665455564</v>
      </c>
      <c r="W10" s="12">
        <f>$B10 * IFERROR(VLOOKUP(Substitution!$M$6 &amp; $A10, US_national_yearly!$D:$AM, MATCH(W$1, US_national_yearly!$D$1:$AM$1, 0), FALSE) / VLOOKUP(Substitution!$M$6 &amp; $A10, US_national_yearly!$D:$AM, MATCH(Keys!$C$7, US_national_yearly!$D$1:$AM$1, 0), FALSE), 1)</f>
        <v>0.17438936108897801</v>
      </c>
      <c r="X10" s="12">
        <f>$B10 * IFERROR(VLOOKUP(Substitution!$M$6 &amp; $A10, US_national_yearly!$D:$AM, MATCH(X$1, US_national_yearly!$D$1:$AM$1, 0), FALSE) / VLOOKUP(Substitution!$M$6 &amp; $A10, US_national_yearly!$D:$AM, MATCH(Keys!$C$7, US_national_yearly!$D$1:$AM$1, 0), FALSE), 1)</f>
        <v>0.17515153603531039</v>
      </c>
      <c r="Y10" s="12">
        <f>$B10 * IFERROR(VLOOKUP(Substitution!$M$6 &amp; $A10, US_national_yearly!$D:$AM, MATCH(Y$1, US_national_yearly!$D$1:$AM$1, 0), FALSE) / VLOOKUP(Substitution!$M$6 &amp; $A10, US_national_yearly!$D:$AM, MATCH(Keys!$C$7, US_national_yearly!$D$1:$AM$1, 0), FALSE), 1)</f>
        <v>0.17591371098164277</v>
      </c>
      <c r="Z10" s="12">
        <f>$B10 * IFERROR(VLOOKUP(Substitution!$M$6 &amp; $A10, US_national_yearly!$D:$AM, MATCH(Z$1, US_national_yearly!$D$1:$AM$1, 0), FALSE) / VLOOKUP(Substitution!$M$6 &amp; $A10, US_national_yearly!$D:$AM, MATCH(Keys!$C$7, US_national_yearly!$D$1:$AM$1, 0), FALSE), 1)</f>
        <v>0.1766758859279752</v>
      </c>
      <c r="AA10" s="12">
        <f>$B10 * IFERROR(VLOOKUP(Substitution!$M$6 &amp; $A10, US_national_yearly!$D:$AM, MATCH(AA$1, US_national_yearly!$D$1:$AM$1, 0), FALSE) / VLOOKUP(Substitution!$M$6 &amp; $A10, US_national_yearly!$D:$AM, MATCH(Keys!$C$7, US_national_yearly!$D$1:$AM$1, 0), FALSE), 1)</f>
        <v>0.17743806087430763</v>
      </c>
      <c r="AB10" s="12">
        <f>$B10 * IFERROR(VLOOKUP(Substitution!$M$6 &amp; $A10, US_national_yearly!$D:$AM, MATCH(AB$1, US_national_yearly!$D$1:$AM$1, 0), FALSE) / VLOOKUP(Substitution!$M$6 &amp; $A10, US_national_yearly!$D:$AM, MATCH(Keys!$C$7, US_national_yearly!$D$1:$AM$1, 0), FALSE), 1)</f>
        <v>0.17820023582064001</v>
      </c>
    </row>
    <row r="11" spans="1:28" x14ac:dyDescent="0.25">
      <c r="A11" s="4" t="s">
        <v>309</v>
      </c>
      <c r="B11" s="12">
        <f>IFERROR(VLOOKUP(Substitution!$M$6 &amp; $A11, US_national_yearly!$D:$AM, MATCH(Keys!$C$7, US_national_yearly!$D$1:$AM$1, 0), FALSE), 0)</f>
        <v>9.1734366332611381E-3</v>
      </c>
      <c r="C11" s="12">
        <f>$B11 * IFERROR(VLOOKUP(Substitution!$M$6 &amp; $A11, US_national_yearly!$D:$AM, MATCH(C$1, US_national_yearly!$D$1:$AM$1, 0), FALSE) / VLOOKUP(Substitution!$M$6 &amp; $A11, US_national_yearly!$D:$AM, MATCH(Keys!$C$7, US_national_yearly!$D$1:$AM$1, 0), FALSE), 1)</f>
        <v>9.2631336340910555E-3</v>
      </c>
      <c r="D11" s="12">
        <f>$B11 * IFERROR(VLOOKUP(Substitution!$M$6 &amp; $A11, US_national_yearly!$D:$AM, MATCH(D$1, US_national_yearly!$D$1:$AM$1, 0), FALSE) / VLOOKUP(Substitution!$M$6 &amp; $A11, US_national_yearly!$D:$AM, MATCH(Keys!$C$7, US_national_yearly!$D$1:$AM$1, 0), FALSE), 1)</f>
        <v>9.3528306349209764E-3</v>
      </c>
      <c r="E11" s="12">
        <f>$B11 * IFERROR(VLOOKUP(Substitution!$M$6 &amp; $A11, US_national_yearly!$D:$AM, MATCH(E$1, US_national_yearly!$D$1:$AM$1, 0), FALSE) / VLOOKUP(Substitution!$M$6 &amp; $A11, US_national_yearly!$D:$AM, MATCH(Keys!$C$7, US_national_yearly!$D$1:$AM$1, 0), FALSE), 1)</f>
        <v>9.4425276357508921E-3</v>
      </c>
      <c r="F11" s="12">
        <f>$B11 * IFERROR(VLOOKUP(Substitution!$M$6 &amp; $A11, US_national_yearly!$D:$AM, MATCH(F$1, US_national_yearly!$D$1:$AM$1, 0), FALSE) / VLOOKUP(Substitution!$M$6 &amp; $A11, US_national_yearly!$D:$AM, MATCH(Keys!$C$7, US_national_yearly!$D$1:$AM$1, 0), FALSE), 1)</f>
        <v>9.5322246365808095E-3</v>
      </c>
      <c r="G11" s="12">
        <f>$B11 * IFERROR(VLOOKUP(Substitution!$M$6 &amp; $A11, US_national_yearly!$D:$AM, MATCH(G$1, US_national_yearly!$D$1:$AM$1, 0), FALSE) / VLOOKUP(Substitution!$M$6 &amp; $A11, US_national_yearly!$D:$AM, MATCH(Keys!$C$7, US_national_yearly!$D$1:$AM$1, 0), FALSE), 1)</f>
        <v>9.6250304394095154E-3</v>
      </c>
      <c r="H11" s="12">
        <f>$B11 * IFERROR(VLOOKUP(Substitution!$M$6 &amp; $A11, US_national_yearly!$D:$AM, MATCH(H$1, US_national_yearly!$D$1:$AM$1, 0), FALSE) / VLOOKUP(Substitution!$M$6 &amp; $A11, US_national_yearly!$D:$AM, MATCH(Keys!$C$7, US_national_yearly!$D$1:$AM$1, 0), FALSE), 1)</f>
        <v>9.7178362422382196E-3</v>
      </c>
      <c r="I11" s="12">
        <f>$B11 * IFERROR(VLOOKUP(Substitution!$M$6 &amp; $A11, US_national_yearly!$D:$AM, MATCH(I$1, US_national_yearly!$D$1:$AM$1, 0), FALSE) / VLOOKUP(Substitution!$M$6 &amp; $A11, US_national_yearly!$D:$AM, MATCH(Keys!$C$7, US_national_yearly!$D$1:$AM$1, 0), FALSE), 1)</f>
        <v>9.8053651221661955E-3</v>
      </c>
      <c r="J11" s="12">
        <f>$B11 * IFERROR(VLOOKUP(Substitution!$M$6 &amp; $A11, US_national_yearly!$D:$AM, MATCH(J$1, US_national_yearly!$D$1:$AM$1, 0), FALSE) / VLOOKUP(Substitution!$M$6 &amp; $A11, US_national_yearly!$D:$AM, MATCH(Keys!$C$7, US_national_yearly!$D$1:$AM$1, 0), FALSE), 1)</f>
        <v>9.8928940020941714E-3</v>
      </c>
      <c r="K11" s="12">
        <f>$B11 * IFERROR(VLOOKUP(Substitution!$M$6 &amp; $A11, US_national_yearly!$D:$AM, MATCH(K$1, US_national_yearly!$D$1:$AM$1, 0), FALSE) / VLOOKUP(Substitution!$M$6 &amp; $A11, US_national_yearly!$D:$AM, MATCH(Keys!$C$7, US_national_yearly!$D$1:$AM$1, 0), FALSE), 1)</f>
        <v>9.980422882022149E-3</v>
      </c>
      <c r="L11" s="12">
        <f>$B11 * IFERROR(VLOOKUP(Substitution!$M$6 &amp; $A11, US_national_yearly!$D:$AM, MATCH(L$1, US_national_yearly!$D$1:$AM$1, 0), FALSE) / VLOOKUP(Substitution!$M$6 &amp; $A11, US_national_yearly!$D:$AM, MATCH(Keys!$C$7, US_national_yearly!$D$1:$AM$1, 0), FALSE), 1)</f>
        <v>1.006795176195012E-2</v>
      </c>
      <c r="M11" s="12">
        <f>$B11 * IFERROR(VLOOKUP(Substitution!$M$6 &amp; $A11, US_national_yearly!$D:$AM, MATCH(M$1, US_national_yearly!$D$1:$AM$1, 0), FALSE) / VLOOKUP(Substitution!$M$6 &amp; $A11, US_national_yearly!$D:$AM, MATCH(Keys!$C$7, US_national_yearly!$D$1:$AM$1, 0), FALSE), 1)</f>
        <v>1.0155480641878101E-2</v>
      </c>
      <c r="N11" s="12">
        <f>$B11 * IFERROR(VLOOKUP(Substitution!$M$6 &amp; $A11, US_national_yearly!$D:$AM, MATCH(N$1, US_national_yearly!$D$1:$AM$1, 0), FALSE) / VLOOKUP(Substitution!$M$6 &amp; $A11, US_national_yearly!$D:$AM, MATCH(Keys!$C$7, US_national_yearly!$D$1:$AM$1, 0), FALSE), 1)</f>
        <v>1.0229886273962799E-2</v>
      </c>
      <c r="O11" s="12">
        <f>$B11 * IFERROR(VLOOKUP(Substitution!$M$6 &amp; $A11, US_national_yearly!$D:$AM, MATCH(O$1, US_national_yearly!$D$1:$AM$1, 0), FALSE) / VLOOKUP(Substitution!$M$6 &amp; $A11, US_national_yearly!$D:$AM, MATCH(Keys!$C$7, US_national_yearly!$D$1:$AM$1, 0), FALSE), 1)</f>
        <v>1.0304291906047499E-2</v>
      </c>
      <c r="P11" s="12">
        <f>$B11 * IFERROR(VLOOKUP(Substitution!$M$6 &amp; $A11, US_national_yearly!$D:$AM, MATCH(P$1, US_national_yearly!$D$1:$AM$1, 0), FALSE) / VLOOKUP(Substitution!$M$6 &amp; $A11, US_national_yearly!$D:$AM, MATCH(Keys!$C$7, US_national_yearly!$D$1:$AM$1, 0), FALSE), 1)</f>
        <v>1.0378697538132201E-2</v>
      </c>
      <c r="Q11" s="12">
        <f>$B11 * IFERROR(VLOOKUP(Substitution!$M$6 &amp; $A11, US_national_yearly!$D:$AM, MATCH(Q$1, US_national_yearly!$D$1:$AM$1, 0), FALSE) / VLOOKUP(Substitution!$M$6 &amp; $A11, US_national_yearly!$D:$AM, MATCH(Keys!$C$7, US_national_yearly!$D$1:$AM$1, 0), FALSE), 1)</f>
        <v>1.04531031702169E-2</v>
      </c>
      <c r="R11" s="12">
        <f>$B11 * IFERROR(VLOOKUP(Substitution!$M$6 &amp; $A11, US_national_yearly!$D:$AM, MATCH(R$1, US_national_yearly!$D$1:$AM$1, 0), FALSE) / VLOOKUP(Substitution!$M$6 &amp; $A11, US_national_yearly!$D:$AM, MATCH(Keys!$C$7, US_national_yearly!$D$1:$AM$1, 0), FALSE), 1)</f>
        <v>1.05275088023016E-2</v>
      </c>
      <c r="S11" s="12">
        <f>$B11 * IFERROR(VLOOKUP(Substitution!$M$6 &amp; $A11, US_national_yearly!$D:$AM, MATCH(S$1, US_national_yearly!$D$1:$AM$1, 0), FALSE) / VLOOKUP(Substitution!$M$6 &amp; $A11, US_national_yearly!$D:$AM, MATCH(Keys!$C$7, US_national_yearly!$D$1:$AM$1, 0), FALSE), 1)</f>
        <v>1.059152835184292E-2</v>
      </c>
      <c r="T11" s="12">
        <f>$B11 * IFERROR(VLOOKUP(Substitution!$M$6 &amp; $A11, US_national_yearly!$D:$AM, MATCH(T$1, US_national_yearly!$D$1:$AM$1, 0), FALSE) / VLOOKUP(Substitution!$M$6 &amp; $A11, US_national_yearly!$D:$AM, MATCH(Keys!$C$7, US_national_yearly!$D$1:$AM$1, 0), FALSE), 1)</f>
        <v>1.0655547901384239E-2</v>
      </c>
      <c r="U11" s="12">
        <f>$B11 * IFERROR(VLOOKUP(Substitution!$M$6 &amp; $A11, US_national_yearly!$D:$AM, MATCH(U$1, US_national_yearly!$D$1:$AM$1, 0), FALSE) / VLOOKUP(Substitution!$M$6 &amp; $A11, US_national_yearly!$D:$AM, MATCH(Keys!$C$7, US_national_yearly!$D$1:$AM$1, 0), FALSE), 1)</f>
        <v>1.071956745092556E-2</v>
      </c>
      <c r="V11" s="12">
        <f>$B11 * IFERROR(VLOOKUP(Substitution!$M$6 &amp; $A11, US_national_yearly!$D:$AM, MATCH(V$1, US_national_yearly!$D$1:$AM$1, 0), FALSE) / VLOOKUP(Substitution!$M$6 &amp; $A11, US_national_yearly!$D:$AM, MATCH(Keys!$C$7, US_national_yearly!$D$1:$AM$1, 0), FALSE), 1)</f>
        <v>1.0783587000466881E-2</v>
      </c>
      <c r="W11" s="12">
        <f>$B11 * IFERROR(VLOOKUP(Substitution!$M$6 &amp; $A11, US_national_yearly!$D:$AM, MATCH(W$1, US_national_yearly!$D$1:$AM$1, 0), FALSE) / VLOOKUP(Substitution!$M$6 &amp; $A11, US_national_yearly!$D:$AM, MATCH(Keys!$C$7, US_national_yearly!$D$1:$AM$1, 0), FALSE), 1)</f>
        <v>1.0847606550008201E-2</v>
      </c>
      <c r="X11" s="12">
        <f>$B11 * IFERROR(VLOOKUP(Substitution!$M$6 &amp; $A11, US_national_yearly!$D:$AM, MATCH(X$1, US_national_yearly!$D$1:$AM$1, 0), FALSE) / VLOOKUP(Substitution!$M$6 &amp; $A11, US_national_yearly!$D:$AM, MATCH(Keys!$C$7, US_national_yearly!$D$1:$AM$1, 0), FALSE), 1)</f>
        <v>1.0907252756575938E-2</v>
      </c>
      <c r="Y11" s="12">
        <f>$B11 * IFERROR(VLOOKUP(Substitution!$M$6 &amp; $A11, US_national_yearly!$D:$AM, MATCH(Y$1, US_national_yearly!$D$1:$AM$1, 0), FALSE) / VLOOKUP(Substitution!$M$6 &amp; $A11, US_national_yearly!$D:$AM, MATCH(Keys!$C$7, US_national_yearly!$D$1:$AM$1, 0), FALSE), 1)</f>
        <v>1.096689896314368E-2</v>
      </c>
      <c r="Z11" s="12">
        <f>$B11 * IFERROR(VLOOKUP(Substitution!$M$6 &amp; $A11, US_national_yearly!$D:$AM, MATCH(Z$1, US_national_yearly!$D$1:$AM$1, 0), FALSE) / VLOOKUP(Substitution!$M$6 &amp; $A11, US_national_yearly!$D:$AM, MATCH(Keys!$C$7, US_national_yearly!$D$1:$AM$1, 0), FALSE), 1)</f>
        <v>1.1026545169711421E-2</v>
      </c>
      <c r="AA11" s="12">
        <f>$B11 * IFERROR(VLOOKUP(Substitution!$M$6 &amp; $A11, US_national_yearly!$D:$AM, MATCH(AA$1, US_national_yearly!$D$1:$AM$1, 0), FALSE) / VLOOKUP(Substitution!$M$6 &amp; $A11, US_national_yearly!$D:$AM, MATCH(Keys!$C$7, US_national_yearly!$D$1:$AM$1, 0), FALSE), 1)</f>
        <v>1.1086191376279159E-2</v>
      </c>
      <c r="AB11" s="12">
        <f>$B11 * IFERROR(VLOOKUP(Substitution!$M$6 &amp; $A11, US_national_yearly!$D:$AM, MATCH(AB$1, US_national_yearly!$D$1:$AM$1, 0), FALSE) / VLOOKUP(Substitution!$M$6 &amp; $A11, US_national_yearly!$D:$AM, MATCH(Keys!$C$7, US_national_yearly!$D$1:$AM$1, 0), FALSE), 1)</f>
        <v>1.11458375828469E-2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Substitution!$G$6)/IFERROR(SUMIFS(COBRA_aggregated!$W:$W, COBRA_aggregated!$A:$A, About!$B$1, COBRA_aggregated!$B:$B, Substitution!$G$6), 1)</f>
        <v>1.1324929939529224E-4</v>
      </c>
      <c r="C12" s="12">
        <f>$B12 * IFERROR(VLOOKUP(Substitution!$M$6 &amp; $A12, US_national_yearly!$D:$AM, MATCH(C$1, US_national_yearly!$D$1:$AM$1, 0), FALSE) / VLOOKUP(Substitution!$M$6 &amp; $A12, US_national_yearly!$D:$AM, MATCH(Keys!$C$7, US_national_yearly!$D$1:$AM$1, 0), FALSE), 1)</f>
        <v>1.160742651965113E-4</v>
      </c>
      <c r="D12" s="12">
        <f>$B12 * IFERROR(VLOOKUP(Substitution!$M$6 &amp; $A12, US_national_yearly!$D:$AM, MATCH(D$1, US_national_yearly!$D$1:$AM$1, 0), FALSE) / VLOOKUP(Substitution!$M$6 &amp; $A12, US_national_yearly!$D:$AM, MATCH(Keys!$C$7, US_national_yearly!$D$1:$AM$1, 0), FALSE), 1)</f>
        <v>1.1889923099773039E-4</v>
      </c>
      <c r="E12" s="12">
        <f>$B12 * IFERROR(VLOOKUP(Substitution!$M$6 &amp; $A12, US_national_yearly!$D:$AM, MATCH(E$1, US_national_yearly!$D$1:$AM$1, 0), FALSE) / VLOOKUP(Substitution!$M$6 &amp; $A12, US_national_yearly!$D:$AM, MATCH(Keys!$C$7, US_national_yearly!$D$1:$AM$1, 0), FALSE), 1)</f>
        <v>1.2172419679894947E-4</v>
      </c>
      <c r="F12" s="12">
        <f>$B12 * IFERROR(VLOOKUP(Substitution!$M$6 &amp; $A12, US_national_yearly!$D:$AM, MATCH(F$1, US_national_yearly!$D$1:$AM$1, 0), FALSE) / VLOOKUP(Substitution!$M$6 &amp; $A12, US_national_yearly!$D:$AM, MATCH(Keys!$C$7, US_national_yearly!$D$1:$AM$1, 0), FALSE), 1)</f>
        <v>1.2454916260016855E-4</v>
      </c>
      <c r="G12" s="12">
        <f>$B12 * IFERROR(VLOOKUP(Substitution!$M$6 &amp; $A12, US_national_yearly!$D:$AM, MATCH(G$1, US_national_yearly!$D$1:$AM$1, 0), FALSE) / VLOOKUP(Substitution!$M$6 &amp; $A12, US_national_yearly!$D:$AM, MATCH(Keys!$C$7, US_national_yearly!$D$1:$AM$1, 0), FALSE), 1)</f>
        <v>1.2724992605652458E-4</v>
      </c>
      <c r="H12" s="12">
        <f>$B12 * IFERROR(VLOOKUP(Substitution!$M$6 &amp; $A12, US_national_yearly!$D:$AM, MATCH(H$1, US_national_yearly!$D$1:$AM$1, 0), FALSE) / VLOOKUP(Substitution!$M$6 &amp; $A12, US_national_yearly!$D:$AM, MATCH(Keys!$C$7, US_national_yearly!$D$1:$AM$1, 0), FALSE), 1)</f>
        <v>1.2995068951288062E-4</v>
      </c>
      <c r="I12" s="12">
        <f>$B12 * IFERROR(VLOOKUP(Substitution!$M$6 &amp; $A12, US_national_yearly!$D:$AM, MATCH(I$1, US_national_yearly!$D$1:$AM$1, 0), FALSE) / VLOOKUP(Substitution!$M$6 &amp; $A12, US_national_yearly!$D:$AM, MATCH(Keys!$C$7, US_national_yearly!$D$1:$AM$1, 0), FALSE), 1)</f>
        <v>1.3224369320940466E-4</v>
      </c>
      <c r="J12" s="12">
        <f>$B12 * IFERROR(VLOOKUP(Substitution!$M$6 &amp; $A12, US_national_yearly!$D:$AM, MATCH(J$1, US_national_yearly!$D$1:$AM$1, 0), FALSE) / VLOOKUP(Substitution!$M$6 &amp; $A12, US_national_yearly!$D:$AM, MATCH(Keys!$C$7, US_national_yearly!$D$1:$AM$1, 0), FALSE), 1)</f>
        <v>1.3453669690592868E-4</v>
      </c>
      <c r="K12" s="12">
        <f>$B12 * IFERROR(VLOOKUP(Substitution!$M$6 &amp; $A12, US_national_yearly!$D:$AM, MATCH(K$1, US_national_yearly!$D$1:$AM$1, 0), FALSE) / VLOOKUP(Substitution!$M$6 &amp; $A12, US_national_yearly!$D:$AM, MATCH(Keys!$C$7, US_national_yearly!$D$1:$AM$1, 0), FALSE), 1)</f>
        <v>1.3682970060245272E-4</v>
      </c>
      <c r="L12" s="12">
        <f>$B12 * IFERROR(VLOOKUP(Substitution!$M$6 &amp; $A12, US_national_yearly!$D:$AM, MATCH(L$1, US_national_yearly!$D$1:$AM$1, 0), FALSE) / VLOOKUP(Substitution!$M$6 &amp; $A12, US_national_yearly!$D:$AM, MATCH(Keys!$C$7, US_national_yearly!$D$1:$AM$1, 0), FALSE), 1)</f>
        <v>1.3912270429897677E-4</v>
      </c>
      <c r="M12" s="12">
        <f>$B12 * IFERROR(VLOOKUP(Substitution!$M$6 &amp; $A12, US_national_yearly!$D:$AM, MATCH(M$1, US_national_yearly!$D$1:$AM$1, 0), FALSE) / VLOOKUP(Substitution!$M$6 &amp; $A12, US_national_yearly!$D:$AM, MATCH(Keys!$C$7, US_national_yearly!$D$1:$AM$1, 0), FALSE), 1)</f>
        <v>1.4141570799550081E-4</v>
      </c>
      <c r="N12" s="12">
        <f>$B12 * IFERROR(VLOOKUP(Substitution!$M$6 &amp; $A12, US_national_yearly!$D:$AM, MATCH(N$1, US_national_yearly!$D$1:$AM$1, 0), FALSE) / VLOOKUP(Substitution!$M$6 &amp; $A12, US_national_yearly!$D:$AM, MATCH(Keys!$C$7, US_national_yearly!$D$1:$AM$1, 0), FALSE), 1)</f>
        <v>1.4294862225114829E-4</v>
      </c>
      <c r="O12" s="12">
        <f>$B12 * IFERROR(VLOOKUP(Substitution!$M$6 &amp; $A12, US_national_yearly!$D:$AM, MATCH(O$1, US_national_yearly!$D$1:$AM$1, 0), FALSE) / VLOOKUP(Substitution!$M$6 &amp; $A12, US_national_yearly!$D:$AM, MATCH(Keys!$C$7, US_national_yearly!$D$1:$AM$1, 0), FALSE), 1)</f>
        <v>1.4448153650679579E-4</v>
      </c>
      <c r="P12" s="12">
        <f>$B12 * IFERROR(VLOOKUP(Substitution!$M$6 &amp; $A12, US_national_yearly!$D:$AM, MATCH(P$1, US_national_yearly!$D$1:$AM$1, 0), FALSE) / VLOOKUP(Substitution!$M$6 &amp; $A12, US_national_yearly!$D:$AM, MATCH(Keys!$C$7, US_national_yearly!$D$1:$AM$1, 0), FALSE), 1)</f>
        <v>1.460144507624433E-4</v>
      </c>
      <c r="Q12" s="12">
        <f>$B12 * IFERROR(VLOOKUP(Substitution!$M$6 &amp; $A12, US_national_yearly!$D:$AM, MATCH(Q$1, US_national_yearly!$D$1:$AM$1, 0), FALSE) / VLOOKUP(Substitution!$M$6 &amp; $A12, US_national_yearly!$D:$AM, MATCH(Keys!$C$7, US_national_yearly!$D$1:$AM$1, 0), FALSE), 1)</f>
        <v>1.475473650180908E-4</v>
      </c>
      <c r="R12" s="12">
        <f>$B12 * IFERROR(VLOOKUP(Substitution!$M$6 &amp; $A12, US_national_yearly!$D:$AM, MATCH(R$1, US_national_yearly!$D$1:$AM$1, 0), FALSE) / VLOOKUP(Substitution!$M$6 &amp; $A12, US_national_yearly!$D:$AM, MATCH(Keys!$C$7, US_national_yearly!$D$1:$AM$1, 0), FALSE), 1)</f>
        <v>1.4908027927373828E-4</v>
      </c>
      <c r="S12" s="12">
        <f>$B12 * IFERROR(VLOOKUP(Substitution!$M$6 &amp; $A12, US_national_yearly!$D:$AM, MATCH(S$1, US_national_yearly!$D$1:$AM$1, 0), FALSE) / VLOOKUP(Substitution!$M$6 &amp; $A12, US_national_yearly!$D:$AM, MATCH(Keys!$C$7, US_national_yearly!$D$1:$AM$1, 0), FALSE), 1)</f>
        <v>1.4990157319474929E-4</v>
      </c>
      <c r="T12" s="12">
        <f>$B12 * IFERROR(VLOOKUP(Substitution!$M$6 &amp; $A12, US_national_yearly!$D:$AM, MATCH(T$1, US_national_yearly!$D$1:$AM$1, 0), FALSE) / VLOOKUP(Substitution!$M$6 &amp; $A12, US_national_yearly!$D:$AM, MATCH(Keys!$C$7, US_national_yearly!$D$1:$AM$1, 0), FALSE), 1)</f>
        <v>1.5072286711576027E-4</v>
      </c>
      <c r="U12" s="12">
        <f>$B12 * IFERROR(VLOOKUP(Substitution!$M$6 &amp; $A12, US_national_yearly!$D:$AM, MATCH(U$1, US_national_yearly!$D$1:$AM$1, 0), FALSE) / VLOOKUP(Substitution!$M$6 &amp; $A12, US_national_yearly!$D:$AM, MATCH(Keys!$C$7, US_national_yearly!$D$1:$AM$1, 0), FALSE), 1)</f>
        <v>1.5154416103677125E-4</v>
      </c>
      <c r="V12" s="12">
        <f>$B12 * IFERROR(VLOOKUP(Substitution!$M$6 &amp; $A12, US_national_yearly!$D:$AM, MATCH(V$1, US_national_yearly!$D$1:$AM$1, 0), FALSE) / VLOOKUP(Substitution!$M$6 &amp; $A12, US_national_yearly!$D:$AM, MATCH(Keys!$C$7, US_national_yearly!$D$1:$AM$1, 0), FALSE), 1)</f>
        <v>1.523654549577822E-4</v>
      </c>
      <c r="W12" s="12">
        <f>$B12 * IFERROR(VLOOKUP(Substitution!$M$6 &amp; $A12, US_national_yearly!$D:$AM, MATCH(W$1, US_national_yearly!$D$1:$AM$1, 0), FALSE) / VLOOKUP(Substitution!$M$6 &amp; $A12, US_national_yearly!$D:$AM, MATCH(Keys!$C$7, US_national_yearly!$D$1:$AM$1, 0), FALSE), 1)</f>
        <v>1.5318674887879321E-4</v>
      </c>
      <c r="X12" s="12">
        <f>$B12 * IFERROR(VLOOKUP(Substitution!$M$6 &amp; $A12, US_national_yearly!$D:$AM, MATCH(X$1, US_national_yearly!$D$1:$AM$1, 0), FALSE) / VLOOKUP(Substitution!$M$6 &amp; $A12, US_national_yearly!$D:$AM, MATCH(Keys!$C$7, US_national_yearly!$D$1:$AM$1, 0), FALSE), 1)</f>
        <v>1.5374799657418486E-4</v>
      </c>
      <c r="Y12" s="12">
        <f>$B12 * IFERROR(VLOOKUP(Substitution!$M$6 &amp; $A12, US_national_yearly!$D:$AM, MATCH(Y$1, US_national_yearly!$D$1:$AM$1, 0), FALSE) / VLOOKUP(Substitution!$M$6 &amp; $A12, US_national_yearly!$D:$AM, MATCH(Keys!$C$7, US_national_yearly!$D$1:$AM$1, 0), FALSE), 1)</f>
        <v>1.5430924426957656E-4</v>
      </c>
      <c r="Z12" s="12">
        <f>$B12 * IFERROR(VLOOKUP(Substitution!$M$6 &amp; $A12, US_national_yearly!$D:$AM, MATCH(Z$1, US_national_yearly!$D$1:$AM$1, 0), FALSE) / VLOOKUP(Substitution!$M$6 &amp; $A12, US_national_yearly!$D:$AM, MATCH(Keys!$C$7, US_national_yearly!$D$1:$AM$1, 0), FALSE), 1)</f>
        <v>1.5487049196496823E-4</v>
      </c>
      <c r="AA12" s="12">
        <f>$B12 * IFERROR(VLOOKUP(Substitution!$M$6 &amp; $A12, US_national_yearly!$D:$AM, MATCH(AA$1, US_national_yearly!$D$1:$AM$1, 0), FALSE) / VLOOKUP(Substitution!$M$6 &amp; $A12, US_national_yearly!$D:$AM, MATCH(Keys!$C$7, US_national_yearly!$D$1:$AM$1, 0), FALSE), 1)</f>
        <v>1.5543173966035991E-4</v>
      </c>
      <c r="AB12" s="12">
        <f>$B12 * IFERROR(VLOOKUP(Substitution!$M$6 &amp; $A12, US_national_yearly!$D:$AM, MATCH(AB$1, US_national_yearly!$D$1:$AM$1, 0), FALSE) / VLOOKUP(Substitution!$M$6 &amp; $A12, US_national_yearly!$D:$AM, MATCH(Keys!$C$7, US_national_yearly!$D$1:$AM$1, 0), FALSE), 1)</f>
        <v>1.5599298735575155E-4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Substitution!$G$6)/IFERROR(SUMIFS(COBRA_aggregated!$W:$W, COBRA_aggregated!$A:$A, About!$B$1, COBRA_aggregated!$B:$B, Substitution!$G$6), 1)</f>
        <v>7.0945262751176766E-4</v>
      </c>
      <c r="C13" s="12">
        <f>$B13 * IFERROR(VLOOKUP(Substitution!$M$6 &amp; $A13, US_national_yearly!$D:$AM, MATCH(C$1, US_national_yearly!$D$1:$AM$1, 0), FALSE) / VLOOKUP(Substitution!$M$6 &amp; $A13, US_national_yearly!$D:$AM, MATCH(Keys!$C$7, US_national_yearly!$D$1:$AM$1, 0), FALSE), 1)</f>
        <v>7.2973525306468349E-4</v>
      </c>
      <c r="D13" s="12">
        <f>$B13 * IFERROR(VLOOKUP(Substitution!$M$6 &amp; $A13, US_national_yearly!$D:$AM, MATCH(D$1, US_national_yearly!$D$1:$AM$1, 0), FALSE) / VLOOKUP(Substitution!$M$6 &amp; $A13, US_national_yearly!$D:$AM, MATCH(Keys!$C$7, US_national_yearly!$D$1:$AM$1, 0), FALSE), 1)</f>
        <v>7.5001787861759932E-4</v>
      </c>
      <c r="E13" s="12">
        <f>$B13 * IFERROR(VLOOKUP(Substitution!$M$6 &amp; $A13, US_national_yearly!$D:$AM, MATCH(E$1, US_national_yearly!$D$1:$AM$1, 0), FALSE) / VLOOKUP(Substitution!$M$6 &amp; $A13, US_national_yearly!$D:$AM, MATCH(Keys!$C$7, US_national_yearly!$D$1:$AM$1, 0), FALSE), 1)</f>
        <v>7.7030050417051504E-4</v>
      </c>
      <c r="F13" s="12">
        <f>$B13 * IFERROR(VLOOKUP(Substitution!$M$6 &amp; $A13, US_national_yearly!$D:$AM, MATCH(F$1, US_national_yearly!$D$1:$AM$1, 0), FALSE) / VLOOKUP(Substitution!$M$6 &amp; $A13, US_national_yearly!$D:$AM, MATCH(Keys!$C$7, US_national_yearly!$D$1:$AM$1, 0), FALSE), 1)</f>
        <v>7.9058312972343087E-4</v>
      </c>
      <c r="G13" s="12">
        <f>$B13 * IFERROR(VLOOKUP(Substitution!$M$6 &amp; $A13, US_national_yearly!$D:$AM, MATCH(G$1, US_national_yearly!$D$1:$AM$1, 0), FALSE) / VLOOKUP(Substitution!$M$6 &amp; $A13, US_national_yearly!$D:$AM, MATCH(Keys!$C$7, US_national_yearly!$D$1:$AM$1, 0), FALSE), 1)</f>
        <v>8.0953720114829435E-4</v>
      </c>
      <c r="H13" s="12">
        <f>$B13 * IFERROR(VLOOKUP(Substitution!$M$6 &amp; $A13, US_national_yearly!$D:$AM, MATCH(H$1, US_national_yearly!$D$1:$AM$1, 0), FALSE) / VLOOKUP(Substitution!$M$6 &amp; $A13, US_national_yearly!$D:$AM, MATCH(Keys!$C$7, US_national_yearly!$D$1:$AM$1, 0), FALSE), 1)</f>
        <v>8.2849127257315783E-4</v>
      </c>
      <c r="I13" s="12">
        <f>$B13 * IFERROR(VLOOKUP(Substitution!$M$6 &amp; $A13, US_national_yearly!$D:$AM, MATCH(I$1, US_national_yearly!$D$1:$AM$1, 0), FALSE) / VLOOKUP(Substitution!$M$6 &amp; $A13, US_national_yearly!$D:$AM, MATCH(Keys!$C$7, US_national_yearly!$D$1:$AM$1, 0), FALSE), 1)</f>
        <v>8.4343439123442355E-4</v>
      </c>
      <c r="J13" s="12">
        <f>$B13 * IFERROR(VLOOKUP(Substitution!$M$6 &amp; $A13, US_national_yearly!$D:$AM, MATCH(J$1, US_national_yearly!$D$1:$AM$1, 0), FALSE) / VLOOKUP(Substitution!$M$6 &amp; $A13, US_national_yearly!$D:$AM, MATCH(Keys!$C$7, US_national_yearly!$D$1:$AM$1, 0), FALSE), 1)</f>
        <v>8.5837750989568938E-4</v>
      </c>
      <c r="K13" s="12">
        <f>$B13 * IFERROR(VLOOKUP(Substitution!$M$6 &amp; $A13, US_national_yearly!$D:$AM, MATCH(K$1, US_national_yearly!$D$1:$AM$1, 0), FALSE) / VLOOKUP(Substitution!$M$6 &amp; $A13, US_national_yearly!$D:$AM, MATCH(Keys!$C$7, US_national_yearly!$D$1:$AM$1, 0), FALSE), 1)</f>
        <v>8.7332062855695455E-4</v>
      </c>
      <c r="L13" s="12">
        <f>$B13 * IFERROR(VLOOKUP(Substitution!$M$6 &amp; $A13, US_national_yearly!$D:$AM, MATCH(L$1, US_national_yearly!$D$1:$AM$1, 0), FALSE) / VLOOKUP(Substitution!$M$6 &amp; $A13, US_national_yearly!$D:$AM, MATCH(Keys!$C$7, US_national_yearly!$D$1:$AM$1, 0), FALSE), 1)</f>
        <v>8.8826374721822081E-4</v>
      </c>
      <c r="M13" s="12">
        <f>$B13 * IFERROR(VLOOKUP(Substitution!$M$6 &amp; $A13, US_national_yearly!$D:$AM, MATCH(M$1, US_national_yearly!$D$1:$AM$1, 0), FALSE) / VLOOKUP(Substitution!$M$6 &amp; $A13, US_national_yearly!$D:$AM, MATCH(Keys!$C$7, US_national_yearly!$D$1:$AM$1, 0), FALSE), 1)</f>
        <v>9.0320686587948631E-4</v>
      </c>
      <c r="N13" s="12">
        <f>$B13 * IFERROR(VLOOKUP(Substitution!$M$6 &amp; $A13, US_national_yearly!$D:$AM, MATCH(N$1, US_national_yearly!$D$1:$AM$1, 0), FALSE) / VLOOKUP(Substitution!$M$6 &amp; $A13, US_national_yearly!$D:$AM, MATCH(Keys!$C$7, US_national_yearly!$D$1:$AM$1, 0), FALSE), 1)</f>
        <v>9.1219709923975358E-4</v>
      </c>
      <c r="O13" s="12">
        <f>$B13 * IFERROR(VLOOKUP(Substitution!$M$6 &amp; $A13, US_national_yearly!$D:$AM, MATCH(O$1, US_national_yearly!$D$1:$AM$1, 0), FALSE) / VLOOKUP(Substitution!$M$6 &amp; $A13, US_national_yearly!$D:$AM, MATCH(Keys!$C$7, US_national_yearly!$D$1:$AM$1, 0), FALSE), 1)</f>
        <v>9.2118733260002073E-4</v>
      </c>
      <c r="P13" s="12">
        <f>$B13 * IFERROR(VLOOKUP(Substitution!$M$6 &amp; $A13, US_national_yearly!$D:$AM, MATCH(P$1, US_national_yearly!$D$1:$AM$1, 0), FALSE) / VLOOKUP(Substitution!$M$6 &amp; $A13, US_national_yearly!$D:$AM, MATCH(Keys!$C$7, US_national_yearly!$D$1:$AM$1, 0), FALSE), 1)</f>
        <v>9.3017756596028766E-4</v>
      </c>
      <c r="Q13" s="12">
        <f>$B13 * IFERROR(VLOOKUP(Substitution!$M$6 &amp; $A13, US_national_yearly!$D:$AM, MATCH(Q$1, US_national_yearly!$D$1:$AM$1, 0), FALSE) / VLOOKUP(Substitution!$M$6 &amp; $A13, US_national_yearly!$D:$AM, MATCH(Keys!$C$7, US_national_yearly!$D$1:$AM$1, 0), FALSE), 1)</f>
        <v>9.3916779932055503E-4</v>
      </c>
      <c r="R13" s="12">
        <f>$B13 * IFERROR(VLOOKUP(Substitution!$M$6 &amp; $A13, US_national_yearly!$D:$AM, MATCH(R$1, US_national_yearly!$D$1:$AM$1, 0), FALSE) / VLOOKUP(Substitution!$M$6 &amp; $A13, US_national_yearly!$D:$AM, MATCH(Keys!$C$7, US_national_yearly!$D$1:$AM$1, 0), FALSE), 1)</f>
        <v>9.4815803268082218E-4</v>
      </c>
      <c r="S13" s="12">
        <f>$B13 * IFERROR(VLOOKUP(Substitution!$M$6 &amp; $A13, US_national_yearly!$D:$AM, MATCH(S$1, US_national_yearly!$D$1:$AM$1, 0), FALSE) / VLOOKUP(Substitution!$M$6 &amp; $A13, US_national_yearly!$D:$AM, MATCH(Keys!$C$7, US_national_yearly!$D$1:$AM$1, 0), FALSE), 1)</f>
        <v>9.5223606471283781E-4</v>
      </c>
      <c r="T13" s="12">
        <f>$B13 * IFERROR(VLOOKUP(Substitution!$M$6 &amp; $A13, US_national_yearly!$D:$AM, MATCH(T$1, US_national_yearly!$D$1:$AM$1, 0), FALSE) / VLOOKUP(Substitution!$M$6 &amp; $A13, US_national_yearly!$D:$AM, MATCH(Keys!$C$7, US_national_yearly!$D$1:$AM$1, 0), FALSE), 1)</f>
        <v>9.5631409674485333E-4</v>
      </c>
      <c r="U13" s="12">
        <f>$B13 * IFERROR(VLOOKUP(Substitution!$M$6 &amp; $A13, US_national_yearly!$D:$AM, MATCH(U$1, US_national_yearly!$D$1:$AM$1, 0), FALSE) / VLOOKUP(Substitution!$M$6 &amp; $A13, US_national_yearly!$D:$AM, MATCH(Keys!$C$7, US_national_yearly!$D$1:$AM$1, 0), FALSE), 1)</f>
        <v>9.6039212877686896E-4</v>
      </c>
      <c r="V13" s="12">
        <f>$B13 * IFERROR(VLOOKUP(Substitution!$M$6 &amp; $A13, US_national_yearly!$D:$AM, MATCH(V$1, US_national_yearly!$D$1:$AM$1, 0), FALSE) / VLOOKUP(Substitution!$M$6 &amp; $A13, US_national_yearly!$D:$AM, MATCH(Keys!$C$7, US_national_yearly!$D$1:$AM$1, 0), FALSE), 1)</f>
        <v>9.6447016080888448E-4</v>
      </c>
      <c r="W13" s="12">
        <f>$B13 * IFERROR(VLOOKUP(Substitution!$M$6 &amp; $A13, US_national_yearly!$D:$AM, MATCH(W$1, US_national_yearly!$D$1:$AM$1, 0), FALSE) / VLOOKUP(Substitution!$M$6 &amp; $A13, US_national_yearly!$D:$AM, MATCH(Keys!$C$7, US_national_yearly!$D$1:$AM$1, 0), FALSE), 1)</f>
        <v>9.6854819284090011E-4</v>
      </c>
      <c r="X13" s="12">
        <f>$B13 * IFERROR(VLOOKUP(Substitution!$M$6 &amp; $A13, US_national_yearly!$D:$AM, MATCH(X$1, US_national_yearly!$D$1:$AM$1, 0), FALSE) / VLOOKUP(Substitution!$M$6 &amp; $A13, US_national_yearly!$D:$AM, MATCH(Keys!$C$7, US_national_yearly!$D$1:$AM$1, 0), FALSE), 1)</f>
        <v>9.7127334842344085E-4</v>
      </c>
      <c r="Y13" s="12">
        <f>$B13 * IFERROR(VLOOKUP(Substitution!$M$6 &amp; $A13, US_national_yearly!$D:$AM, MATCH(Y$1, US_national_yearly!$D$1:$AM$1, 0), FALSE) / VLOOKUP(Substitution!$M$6 &amp; $A13, US_national_yearly!$D:$AM, MATCH(Keys!$C$7, US_national_yearly!$D$1:$AM$1, 0), FALSE), 1)</f>
        <v>9.7399850400598171E-4</v>
      </c>
      <c r="Z13" s="12">
        <f>$B13 * IFERROR(VLOOKUP(Substitution!$M$6 &amp; $A13, US_national_yearly!$D:$AM, MATCH(Z$1, US_national_yearly!$D$1:$AM$1, 0), FALSE) / VLOOKUP(Substitution!$M$6 &amp; $A13, US_national_yearly!$D:$AM, MATCH(Keys!$C$7, US_national_yearly!$D$1:$AM$1, 0), FALSE), 1)</f>
        <v>9.7672365958852213E-4</v>
      </c>
      <c r="AA13" s="12">
        <f>$B13 * IFERROR(VLOOKUP(Substitution!$M$6 &amp; $A13, US_national_yearly!$D:$AM, MATCH(AA$1, US_national_yearly!$D$1:$AM$1, 0), FALSE) / VLOOKUP(Substitution!$M$6 &amp; $A13, US_national_yearly!$D:$AM, MATCH(Keys!$C$7, US_national_yearly!$D$1:$AM$1, 0), FALSE), 1)</f>
        <v>9.7944881517106298E-4</v>
      </c>
      <c r="AB13" s="12">
        <f>$B13 * IFERROR(VLOOKUP(Substitution!$M$6 &amp; $A13, US_national_yearly!$D:$AM, MATCH(AB$1, US_national_yearly!$D$1:$AM$1, 0), FALSE) / VLOOKUP(Substitution!$M$6 &amp; $A13, US_national_yearly!$D:$AM, MATCH(Keys!$C$7, US_national_yearly!$D$1:$AM$1, 0), FALSE), 1)</f>
        <v>9.8217397075360383E-4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Substitution!$G$6)/IFERROR(SUMIFS(COBRA_aggregated!$W:$W, COBRA_aggregated!$A:$A, About!$B$1, COBRA_aggregated!$B:$B, Substitution!$G$6), 1)</f>
        <v>0.47927733616418267</v>
      </c>
      <c r="C14" s="12">
        <f>$B14 * IFERROR(VLOOKUP(Substitution!$M$6 &amp; $A14, US_national_yearly!$D:$AM, MATCH(C$1, US_national_yearly!$D$1:$AM$1, 0), FALSE) / VLOOKUP(Substitution!$M$6 &amp; $A14, US_national_yearly!$D:$AM, MATCH(Keys!$C$7, US_national_yearly!$D$1:$AM$1, 0), FALSE), 1)</f>
        <v>0.48001214875218462</v>
      </c>
      <c r="D14" s="12">
        <f>$B14 * IFERROR(VLOOKUP(Substitution!$M$6 &amp; $A14, US_national_yearly!$D:$AM, MATCH(D$1, US_national_yearly!$D$1:$AM$1, 0), FALSE) / VLOOKUP(Substitution!$M$6 &amp; $A14, US_national_yearly!$D:$AM, MATCH(Keys!$C$7, US_national_yearly!$D$1:$AM$1, 0), FALSE), 1)</f>
        <v>0.48074696134018668</v>
      </c>
      <c r="E14" s="12">
        <f>$B14 * IFERROR(VLOOKUP(Substitution!$M$6 &amp; $A14, US_national_yearly!$D:$AM, MATCH(E$1, US_national_yearly!$D$1:$AM$1, 0), FALSE) / VLOOKUP(Substitution!$M$6 &amp; $A14, US_national_yearly!$D:$AM, MATCH(Keys!$C$7, US_national_yearly!$D$1:$AM$1, 0), FALSE), 1)</f>
        <v>0.48148177392818875</v>
      </c>
      <c r="F14" s="12">
        <f>$B14 * IFERROR(VLOOKUP(Substitution!$M$6 &amp; $A14, US_national_yearly!$D:$AM, MATCH(F$1, US_national_yearly!$D$1:$AM$1, 0), FALSE) / VLOOKUP(Substitution!$M$6 &amp; $A14, US_national_yearly!$D:$AM, MATCH(Keys!$C$7, US_national_yearly!$D$1:$AM$1, 0), FALSE), 1)</f>
        <v>0.48221658651619076</v>
      </c>
      <c r="G14" s="12">
        <f>$B14 * IFERROR(VLOOKUP(Substitution!$M$6 &amp; $A14, US_national_yearly!$D:$AM, MATCH(G$1, US_national_yearly!$D$1:$AM$1, 0), FALSE) / VLOOKUP(Substitution!$M$6 &amp; $A14, US_national_yearly!$D:$AM, MATCH(Keys!$C$7, US_national_yearly!$D$1:$AM$1, 0), FALSE), 1)</f>
        <v>0.48354348314969747</v>
      </c>
      <c r="H14" s="12">
        <f>$B14 * IFERROR(VLOOKUP(Substitution!$M$6 &amp; $A14, US_national_yearly!$D:$AM, MATCH(H$1, US_national_yearly!$D$1:$AM$1, 0), FALSE) / VLOOKUP(Substitution!$M$6 &amp; $A14, US_national_yearly!$D:$AM, MATCH(Keys!$C$7, US_national_yearly!$D$1:$AM$1, 0), FALSE), 1)</f>
        <v>0.48487037978320408</v>
      </c>
      <c r="I14" s="12">
        <f>$B14 * IFERROR(VLOOKUP(Substitution!$M$6 &amp; $A14, US_national_yearly!$D:$AM, MATCH(I$1, US_national_yearly!$D$1:$AM$1, 0), FALSE) / VLOOKUP(Substitution!$M$6 &amp; $A14, US_national_yearly!$D:$AM, MATCH(Keys!$C$7, US_national_yearly!$D$1:$AM$1, 0), FALSE), 1)</f>
        <v>0.48746573712742086</v>
      </c>
      <c r="J14" s="12">
        <f>$B14 * IFERROR(VLOOKUP(Substitution!$M$6 &amp; $A14, US_national_yearly!$D:$AM, MATCH(J$1, US_national_yearly!$D$1:$AM$1, 0), FALSE) / VLOOKUP(Substitution!$M$6 &amp; $A14, US_national_yearly!$D:$AM, MATCH(Keys!$C$7, US_national_yearly!$D$1:$AM$1, 0), FALSE), 1)</f>
        <v>0.49006109447163754</v>
      </c>
      <c r="K14" s="12">
        <f>$B14 * IFERROR(VLOOKUP(Substitution!$M$6 &amp; $A14, US_national_yearly!$D:$AM, MATCH(K$1, US_national_yearly!$D$1:$AM$1, 0), FALSE) / VLOOKUP(Substitution!$M$6 &amp; $A14, US_national_yearly!$D:$AM, MATCH(Keys!$C$7, US_national_yearly!$D$1:$AM$1, 0), FALSE), 1)</f>
        <v>0.49265645181585432</v>
      </c>
      <c r="L14" s="12">
        <f>$B14 * IFERROR(VLOOKUP(Substitution!$M$6 &amp; $A14, US_national_yearly!$D:$AM, MATCH(L$1, US_national_yearly!$D$1:$AM$1, 0), FALSE) / VLOOKUP(Substitution!$M$6 &amp; $A14, US_national_yearly!$D:$AM, MATCH(Keys!$C$7, US_national_yearly!$D$1:$AM$1, 0), FALSE), 1)</f>
        <v>0.495251809160071</v>
      </c>
      <c r="M14" s="12">
        <f>$B14 * IFERROR(VLOOKUP(Substitution!$M$6 &amp; $A14, US_national_yearly!$D:$AM, MATCH(M$1, US_national_yearly!$D$1:$AM$1, 0), FALSE) / VLOOKUP(Substitution!$M$6 &amp; $A14, US_national_yearly!$D:$AM, MATCH(Keys!$C$7, US_national_yearly!$D$1:$AM$1, 0), FALSE), 1)</f>
        <v>0.49784716650428779</v>
      </c>
      <c r="N14" s="12">
        <f>$B14 * IFERROR(VLOOKUP(Substitution!$M$6 &amp; $A14, US_national_yearly!$D:$AM, MATCH(N$1, US_national_yearly!$D$1:$AM$1, 0), FALSE) / VLOOKUP(Substitution!$M$6 &amp; $A14, US_national_yearly!$D:$AM, MATCH(Keys!$C$7, US_national_yearly!$D$1:$AM$1, 0), FALSE), 1)</f>
        <v>0.50156312973667461</v>
      </c>
      <c r="O14" s="12">
        <f>$B14 * IFERROR(VLOOKUP(Substitution!$M$6 &amp; $A14, US_national_yearly!$D:$AM, MATCH(O$1, US_national_yearly!$D$1:$AM$1, 0), FALSE) / VLOOKUP(Substitution!$M$6 &amp; $A14, US_national_yearly!$D:$AM, MATCH(Keys!$C$7, US_national_yearly!$D$1:$AM$1, 0), FALSE), 1)</f>
        <v>0.50527909296906148</v>
      </c>
      <c r="P14" s="12">
        <f>$B14 * IFERROR(VLOOKUP(Substitution!$M$6 &amp; $A14, US_national_yearly!$D:$AM, MATCH(P$1, US_national_yearly!$D$1:$AM$1, 0), FALSE) / VLOOKUP(Substitution!$M$6 &amp; $A14, US_national_yearly!$D:$AM, MATCH(Keys!$C$7, US_national_yearly!$D$1:$AM$1, 0), FALSE), 1)</f>
        <v>0.50899505620144836</v>
      </c>
      <c r="Q14" s="12">
        <f>$B14 * IFERROR(VLOOKUP(Substitution!$M$6 &amp; $A14, US_national_yearly!$D:$AM, MATCH(Q$1, US_national_yearly!$D$1:$AM$1, 0), FALSE) / VLOOKUP(Substitution!$M$6 &amp; $A14, US_national_yearly!$D:$AM, MATCH(Keys!$C$7, US_national_yearly!$D$1:$AM$1, 0), FALSE), 1)</f>
        <v>0.51271101943383512</v>
      </c>
      <c r="R14" s="12">
        <f>$B14 * IFERROR(VLOOKUP(Substitution!$M$6 &amp; $A14, US_national_yearly!$D:$AM, MATCH(R$1, US_national_yearly!$D$1:$AM$1, 0), FALSE) / VLOOKUP(Substitution!$M$6 &amp; $A14, US_national_yearly!$D:$AM, MATCH(Keys!$C$7, US_national_yearly!$D$1:$AM$1, 0), FALSE), 1)</f>
        <v>0.516426982666222</v>
      </c>
      <c r="S14" s="12">
        <f>$B14 * IFERROR(VLOOKUP(Substitution!$M$6 &amp; $A14, US_national_yearly!$D:$AM, MATCH(S$1, US_national_yearly!$D$1:$AM$1, 0), FALSE) / VLOOKUP(Substitution!$M$6 &amp; $A14, US_national_yearly!$D:$AM, MATCH(Keys!$C$7, US_national_yearly!$D$1:$AM$1, 0), FALSE), 1)</f>
        <v>0.52014216462529272</v>
      </c>
      <c r="T14" s="12">
        <f>$B14 * IFERROR(VLOOKUP(Substitution!$M$6 &amp; $A14, US_national_yearly!$D:$AM, MATCH(T$1, US_national_yearly!$D$1:$AM$1, 0), FALSE) / VLOOKUP(Substitution!$M$6 &amp; $A14, US_national_yearly!$D:$AM, MATCH(Keys!$C$7, US_national_yearly!$D$1:$AM$1, 0), FALSE), 1)</f>
        <v>0.52385734658436323</v>
      </c>
      <c r="U14" s="12">
        <f>$B14 * IFERROR(VLOOKUP(Substitution!$M$6 &amp; $A14, US_national_yearly!$D:$AM, MATCH(U$1, US_national_yearly!$D$1:$AM$1, 0), FALSE) / VLOOKUP(Substitution!$M$6 &amp; $A14, US_national_yearly!$D:$AM, MATCH(Keys!$C$7, US_national_yearly!$D$1:$AM$1, 0), FALSE), 1)</f>
        <v>0.52757252854343395</v>
      </c>
      <c r="V14" s="12">
        <f>$B14 * IFERROR(VLOOKUP(Substitution!$M$6 &amp; $A14, US_national_yearly!$D:$AM, MATCH(V$1, US_national_yearly!$D$1:$AM$1, 0), FALSE) / VLOOKUP(Substitution!$M$6 &amp; $A14, US_national_yearly!$D:$AM, MATCH(Keys!$C$7, US_national_yearly!$D$1:$AM$1, 0), FALSE), 1)</f>
        <v>0.53128771050250456</v>
      </c>
      <c r="W14" s="12">
        <f>$B14 * IFERROR(VLOOKUP(Substitution!$M$6 &amp; $A14, US_national_yearly!$D:$AM, MATCH(W$1, US_national_yearly!$D$1:$AM$1, 0), FALSE) / VLOOKUP(Substitution!$M$6 &amp; $A14, US_national_yearly!$D:$AM, MATCH(Keys!$C$7, US_national_yearly!$D$1:$AM$1, 0), FALSE), 1)</f>
        <v>0.53500289246157517</v>
      </c>
      <c r="X14" s="12">
        <f>$B14 * IFERROR(VLOOKUP(Substitution!$M$6 &amp; $A14, US_national_yearly!$D:$AM, MATCH(X$1, US_national_yearly!$D$1:$AM$1, 0), FALSE) / VLOOKUP(Substitution!$M$6 &amp; $A14, US_national_yearly!$D:$AM, MATCH(Keys!$C$7, US_national_yearly!$D$1:$AM$1, 0), FALSE), 1)</f>
        <v>0.53814393727502952</v>
      </c>
      <c r="Y14" s="12">
        <f>$B14 * IFERROR(VLOOKUP(Substitution!$M$6 &amp; $A14, US_national_yearly!$D:$AM, MATCH(Y$1, US_national_yearly!$D$1:$AM$1, 0), FALSE) / VLOOKUP(Substitution!$M$6 &amp; $A14, US_national_yearly!$D:$AM, MATCH(Keys!$C$7, US_national_yearly!$D$1:$AM$1, 0), FALSE), 1)</f>
        <v>0.54128498208848397</v>
      </c>
      <c r="Z14" s="12">
        <f>$B14 * IFERROR(VLOOKUP(Substitution!$M$6 &amp; $A14, US_national_yearly!$D:$AM, MATCH(Z$1, US_national_yearly!$D$1:$AM$1, 0), FALSE) / VLOOKUP(Substitution!$M$6 &amp; $A14, US_national_yearly!$D:$AM, MATCH(Keys!$C$7, US_national_yearly!$D$1:$AM$1, 0), FALSE), 1)</f>
        <v>0.54442602690193831</v>
      </c>
      <c r="AA14" s="12">
        <f>$B14 * IFERROR(VLOOKUP(Substitution!$M$6 &amp; $A14, US_national_yearly!$D:$AM, MATCH(AA$1, US_national_yearly!$D$1:$AM$1, 0), FALSE) / VLOOKUP(Substitution!$M$6 &amp; $A14, US_national_yearly!$D:$AM, MATCH(Keys!$C$7, US_national_yearly!$D$1:$AM$1, 0), FALSE), 1)</f>
        <v>0.54756707171539276</v>
      </c>
      <c r="AB14" s="12">
        <f>$B14 * IFERROR(VLOOKUP(Substitution!$M$6 &amp; $A14, US_national_yearly!$D:$AM, MATCH(AB$1, US_national_yearly!$D$1:$AM$1, 0), FALSE) / VLOOKUP(Substitution!$M$6 &amp; $A14, US_national_yearly!$D:$AM, MATCH(Keys!$C$7, US_national_yearly!$D$1:$AM$1, 0), FALSE), 1)</f>
        <v>0.5507081165288471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Substitution!$G$6)/IFERROR(SUMIFS(COBRA_aggregated!$W:$W, COBRA_aggregated!$A:$A, About!$B$1, COBRA_aggregated!$B:$B, Substitution!$G$6), 1)</f>
        <v>8.0991487874846807E-2</v>
      </c>
      <c r="C15" s="12">
        <f>$B15 * IFERROR(VLOOKUP(Substitution!$M$6 &amp; $A15, US_national_yearly!$D:$AM, MATCH(C$1, US_national_yearly!$D$1:$AM$1, 0), FALSE) / VLOOKUP(Substitution!$M$6 &amp; $A15, US_national_yearly!$D:$AM, MATCH(Keys!$C$7, US_national_yearly!$D$1:$AM$1, 0), FALSE), 1)</f>
        <v>8.1171649082557584E-2</v>
      </c>
      <c r="D15" s="12">
        <f>$B15 * IFERROR(VLOOKUP(Substitution!$M$6 &amp; $A15, US_national_yearly!$D:$AM, MATCH(D$1, US_national_yearly!$D$1:$AM$1, 0), FALSE) / VLOOKUP(Substitution!$M$6 &amp; $A15, US_national_yearly!$D:$AM, MATCH(Keys!$C$7, US_national_yearly!$D$1:$AM$1, 0), FALSE), 1)</f>
        <v>8.1351810290268375E-2</v>
      </c>
      <c r="E15" s="12">
        <f>$B15 * IFERROR(VLOOKUP(Substitution!$M$6 &amp; $A15, US_national_yearly!$D:$AM, MATCH(E$1, US_national_yearly!$D$1:$AM$1, 0), FALSE) / VLOOKUP(Substitution!$M$6 &amp; $A15, US_national_yearly!$D:$AM, MATCH(Keys!$C$7, US_national_yearly!$D$1:$AM$1, 0), FALSE), 1)</f>
        <v>8.1531971497979153E-2</v>
      </c>
      <c r="F15" s="12">
        <f>$B15 * IFERROR(VLOOKUP(Substitution!$M$6 &amp; $A15, US_national_yearly!$D:$AM, MATCH(F$1, US_national_yearly!$D$1:$AM$1, 0), FALSE) / VLOOKUP(Substitution!$M$6 &amp; $A15, US_national_yearly!$D:$AM, MATCH(Keys!$C$7, US_national_yearly!$D$1:$AM$1, 0), FALSE), 1)</f>
        <v>8.1712132705689958E-2</v>
      </c>
      <c r="G15" s="12">
        <f>$B15 * IFERROR(VLOOKUP(Substitution!$M$6 &amp; $A15, US_national_yearly!$D:$AM, MATCH(G$1, US_national_yearly!$D$1:$AM$1, 0), FALSE) / VLOOKUP(Substitution!$M$6 &amp; $A15, US_national_yearly!$D:$AM, MATCH(Keys!$C$7, US_national_yearly!$D$1:$AM$1, 0), FALSE), 1)</f>
        <v>8.1975169605802783E-2</v>
      </c>
      <c r="H15" s="12">
        <f>$B15 * IFERROR(VLOOKUP(Substitution!$M$6 &amp; $A15, US_national_yearly!$D:$AM, MATCH(H$1, US_national_yearly!$D$1:$AM$1, 0), FALSE) / VLOOKUP(Substitution!$M$6 &amp; $A15, US_national_yearly!$D:$AM, MATCH(Keys!$C$7, US_national_yearly!$D$1:$AM$1, 0), FALSE), 1)</f>
        <v>8.2238206505915637E-2</v>
      </c>
      <c r="I15" s="12">
        <f>$B15 * IFERROR(VLOOKUP(Substitution!$M$6 &amp; $A15, US_national_yearly!$D:$AM, MATCH(I$1, US_national_yearly!$D$1:$AM$1, 0), FALSE) / VLOOKUP(Substitution!$M$6 &amp; $A15, US_national_yearly!$D:$AM, MATCH(Keys!$C$7, US_national_yearly!$D$1:$AM$1, 0), FALSE), 1)</f>
        <v>8.26643120284936E-2</v>
      </c>
      <c r="J15" s="12">
        <f>$B15 * IFERROR(VLOOKUP(Substitution!$M$6 &amp; $A15, US_national_yearly!$D:$AM, MATCH(J$1, US_national_yearly!$D$1:$AM$1, 0), FALSE) / VLOOKUP(Substitution!$M$6 &amp; $A15, US_national_yearly!$D:$AM, MATCH(Keys!$C$7, US_national_yearly!$D$1:$AM$1, 0), FALSE), 1)</f>
        <v>8.3090417551071577E-2</v>
      </c>
      <c r="K15" s="12">
        <f>$B15 * IFERROR(VLOOKUP(Substitution!$M$6 &amp; $A15, US_national_yearly!$D:$AM, MATCH(K$1, US_national_yearly!$D$1:$AM$1, 0), FALSE) / VLOOKUP(Substitution!$M$6 &amp; $A15, US_national_yearly!$D:$AM, MATCH(Keys!$C$7, US_national_yearly!$D$1:$AM$1, 0), FALSE), 1)</f>
        <v>8.351652307364954E-2</v>
      </c>
      <c r="L15" s="12">
        <f>$B15 * IFERROR(VLOOKUP(Substitution!$M$6 &amp; $A15, US_national_yearly!$D:$AM, MATCH(L$1, US_national_yearly!$D$1:$AM$1, 0), FALSE) / VLOOKUP(Substitution!$M$6 &amp; $A15, US_national_yearly!$D:$AM, MATCH(Keys!$C$7, US_national_yearly!$D$1:$AM$1, 0), FALSE), 1)</f>
        <v>8.3942628596227503E-2</v>
      </c>
      <c r="M15" s="12">
        <f>$B15 * IFERROR(VLOOKUP(Substitution!$M$6 &amp; $A15, US_national_yearly!$D:$AM, MATCH(M$1, US_national_yearly!$D$1:$AM$1, 0), FALSE) / VLOOKUP(Substitution!$M$6 &amp; $A15, US_national_yearly!$D:$AM, MATCH(Keys!$C$7, US_national_yearly!$D$1:$AM$1, 0), FALSE), 1)</f>
        <v>8.436873411880548E-2</v>
      </c>
      <c r="N15" s="12">
        <f>$B15 * IFERROR(VLOOKUP(Substitution!$M$6 &amp; $A15, US_national_yearly!$D:$AM, MATCH(N$1, US_national_yearly!$D$1:$AM$1, 0), FALSE) / VLOOKUP(Substitution!$M$6 &amp; $A15, US_national_yearly!$D:$AM, MATCH(Keys!$C$7, US_national_yearly!$D$1:$AM$1, 0), FALSE), 1)</f>
        <v>8.4923284309441169E-2</v>
      </c>
      <c r="O15" s="12">
        <f>$B15 * IFERROR(VLOOKUP(Substitution!$M$6 &amp; $A15, US_national_yearly!$D:$AM, MATCH(O$1, US_national_yearly!$D$1:$AM$1, 0), FALSE) / VLOOKUP(Substitution!$M$6 &amp; $A15, US_national_yearly!$D:$AM, MATCH(Keys!$C$7, US_national_yearly!$D$1:$AM$1, 0), FALSE), 1)</f>
        <v>8.5477834500076857E-2</v>
      </c>
      <c r="P15" s="12">
        <f>$B15 * IFERROR(VLOOKUP(Substitution!$M$6 &amp; $A15, US_national_yearly!$D:$AM, MATCH(P$1, US_national_yearly!$D$1:$AM$1, 0), FALSE) / VLOOKUP(Substitution!$M$6 &amp; $A15, US_national_yearly!$D:$AM, MATCH(Keys!$C$7, US_national_yearly!$D$1:$AM$1, 0), FALSE), 1)</f>
        <v>8.6032384690712546E-2</v>
      </c>
      <c r="Q15" s="12">
        <f>$B15 * IFERROR(VLOOKUP(Substitution!$M$6 &amp; $A15, US_national_yearly!$D:$AM, MATCH(Q$1, US_national_yearly!$D$1:$AM$1, 0), FALSE) / VLOOKUP(Substitution!$M$6 &amp; $A15, US_national_yearly!$D:$AM, MATCH(Keys!$C$7, US_national_yearly!$D$1:$AM$1, 0), FALSE), 1)</f>
        <v>8.6586934881348207E-2</v>
      </c>
      <c r="R15" s="12">
        <f>$B15 * IFERROR(VLOOKUP(Substitution!$M$6 &amp; $A15, US_national_yearly!$D:$AM, MATCH(R$1, US_national_yearly!$D$1:$AM$1, 0), FALSE) / VLOOKUP(Substitution!$M$6 &amp; $A15, US_national_yearly!$D:$AM, MATCH(Keys!$C$7, US_national_yearly!$D$1:$AM$1, 0), FALSE), 1)</f>
        <v>8.7141485071983923E-2</v>
      </c>
      <c r="S15" s="12">
        <f>$B15 * IFERROR(VLOOKUP(Substitution!$M$6 &amp; $A15, US_national_yearly!$D:$AM, MATCH(S$1, US_national_yearly!$D$1:$AM$1, 0), FALSE) / VLOOKUP(Substitution!$M$6 &amp; $A15, US_national_yearly!$D:$AM, MATCH(Keys!$C$7, US_national_yearly!$D$1:$AM$1, 0), FALSE), 1)</f>
        <v>8.7759737628643641E-2</v>
      </c>
      <c r="T15" s="12">
        <f>$B15 * IFERROR(VLOOKUP(Substitution!$M$6 &amp; $A15, US_national_yearly!$D:$AM, MATCH(T$1, US_national_yearly!$D$1:$AM$1, 0), FALSE) / VLOOKUP(Substitution!$M$6 &amp; $A15, US_national_yearly!$D:$AM, MATCH(Keys!$C$7, US_national_yearly!$D$1:$AM$1, 0), FALSE), 1)</f>
        <v>8.8377990185303359E-2</v>
      </c>
      <c r="U15" s="12">
        <f>$B15 * IFERROR(VLOOKUP(Substitution!$M$6 &amp; $A15, US_national_yearly!$D:$AM, MATCH(U$1, US_national_yearly!$D$1:$AM$1, 0), FALSE) / VLOOKUP(Substitution!$M$6 &amp; $A15, US_national_yearly!$D:$AM, MATCH(Keys!$C$7, US_national_yearly!$D$1:$AM$1, 0), FALSE), 1)</f>
        <v>8.899624274196305E-2</v>
      </c>
      <c r="V15" s="12">
        <f>$B15 * IFERROR(VLOOKUP(Substitution!$M$6 &amp; $A15, US_national_yearly!$D:$AM, MATCH(V$1, US_national_yearly!$D$1:$AM$1, 0), FALSE) / VLOOKUP(Substitution!$M$6 &amp; $A15, US_national_yearly!$D:$AM, MATCH(Keys!$C$7, US_national_yearly!$D$1:$AM$1, 0), FALSE), 1)</f>
        <v>8.9614495298622768E-2</v>
      </c>
      <c r="W15" s="12">
        <f>$B15 * IFERROR(VLOOKUP(Substitution!$M$6 &amp; $A15, US_national_yearly!$D:$AM, MATCH(W$1, US_national_yearly!$D$1:$AM$1, 0), FALSE) / VLOOKUP(Substitution!$M$6 &amp; $A15, US_national_yearly!$D:$AM, MATCH(Keys!$C$7, US_national_yearly!$D$1:$AM$1, 0), FALSE), 1)</f>
        <v>9.0232747855282486E-2</v>
      </c>
      <c r="X15" s="12">
        <f>$B15 * IFERROR(VLOOKUP(Substitution!$M$6 &amp; $A15, US_national_yearly!$D:$AM, MATCH(X$1, US_national_yearly!$D$1:$AM$1, 0), FALSE) / VLOOKUP(Substitution!$M$6 &amp; $A15, US_national_yearly!$D:$AM, MATCH(Keys!$C$7, US_national_yearly!$D$1:$AM$1, 0), FALSE), 1)</f>
        <v>9.0769358111251947E-2</v>
      </c>
      <c r="Y15" s="12">
        <f>$B15 * IFERROR(VLOOKUP(Substitution!$M$6 &amp; $A15, US_national_yearly!$D:$AM, MATCH(Y$1, US_national_yearly!$D$1:$AM$1, 0), FALSE) / VLOOKUP(Substitution!$M$6 &amp; $A15, US_national_yearly!$D:$AM, MATCH(Keys!$C$7, US_national_yearly!$D$1:$AM$1, 0), FALSE), 1)</f>
        <v>9.1305968367221407E-2</v>
      </c>
      <c r="Z15" s="12">
        <f>$B15 * IFERROR(VLOOKUP(Substitution!$M$6 &amp; $A15, US_national_yearly!$D:$AM, MATCH(Z$1, US_national_yearly!$D$1:$AM$1, 0), FALSE) / VLOOKUP(Substitution!$M$6 &amp; $A15, US_national_yearly!$D:$AM, MATCH(Keys!$C$7, US_national_yearly!$D$1:$AM$1, 0), FALSE), 1)</f>
        <v>9.1842578623190868E-2</v>
      </c>
      <c r="AA15" s="12">
        <f>$B15 * IFERROR(VLOOKUP(Substitution!$M$6 &amp; $A15, US_national_yearly!$D:$AM, MATCH(AA$1, US_national_yearly!$D$1:$AM$1, 0), FALSE) / VLOOKUP(Substitution!$M$6 &amp; $A15, US_national_yearly!$D:$AM, MATCH(Keys!$C$7, US_national_yearly!$D$1:$AM$1, 0), FALSE), 1)</f>
        <v>9.2379188879160329E-2</v>
      </c>
      <c r="AB15" s="12">
        <f>$B15 * IFERROR(VLOOKUP(Substitution!$M$6 &amp; $A15, US_national_yearly!$D:$AM, MATCH(AB$1, US_national_yearly!$D$1:$AM$1, 0), FALSE) / VLOOKUP(Substitution!$M$6 &amp; $A15, US_national_yearly!$D:$AM, MATCH(Keys!$C$7, US_national_yearly!$D$1:$AM$1, 0), FALSE), 1)</f>
        <v>9.291579913512979E-2</v>
      </c>
    </row>
    <row r="16" spans="1:28" x14ac:dyDescent="0.25">
      <c r="A16" s="4" t="s">
        <v>319</v>
      </c>
      <c r="B16" s="12">
        <f>IFERROR(VLOOKUP(Substitution!$M$6 &amp; $A16, US_national_yearly!$D:$AM, MATCH(Keys!$C$7, US_national_yearly!$D$1:$AM$1, 0), FALSE), 0)</f>
        <v>8.1348821267153792E-5</v>
      </c>
      <c r="C16" s="12">
        <f>$B16 * IFERROR(VLOOKUP(Substitution!$M$6 &amp; $A16, US_national_yearly!$D:$AM, MATCH(C$1, US_national_yearly!$D$1:$AM$1, 0), FALSE) / VLOOKUP(Substitution!$M$6 &amp; $A16, US_national_yearly!$D:$AM, MATCH(Keys!$C$7, US_national_yearly!$D$1:$AM$1, 0), FALSE), 1)</f>
        <v>8.2887455758784602E-5</v>
      </c>
      <c r="D16" s="12">
        <f>$B16 * IFERROR(VLOOKUP(Substitution!$M$6 &amp; $A16, US_national_yearly!$D:$AM, MATCH(D$1, US_national_yearly!$D$1:$AM$1, 0), FALSE) / VLOOKUP(Substitution!$M$6 &amp; $A16, US_national_yearly!$D:$AM, MATCH(Keys!$C$7, US_national_yearly!$D$1:$AM$1, 0), FALSE), 1)</f>
        <v>8.4426090250415398E-5</v>
      </c>
      <c r="E16" s="12">
        <f>$B16 * IFERROR(VLOOKUP(Substitution!$M$6 &amp; $A16, US_national_yearly!$D:$AM, MATCH(E$1, US_national_yearly!$D$1:$AM$1, 0), FALSE) / VLOOKUP(Substitution!$M$6 &amp; $A16, US_national_yearly!$D:$AM, MATCH(Keys!$C$7, US_national_yearly!$D$1:$AM$1, 0), FALSE), 1)</f>
        <v>8.5964724742046208E-5</v>
      </c>
      <c r="F16" s="12">
        <f>$B16 * IFERROR(VLOOKUP(Substitution!$M$6 &amp; $A16, US_national_yearly!$D:$AM, MATCH(F$1, US_national_yearly!$D$1:$AM$1, 0), FALSE) / VLOOKUP(Substitution!$M$6 &amp; $A16, US_national_yearly!$D:$AM, MATCH(Keys!$C$7, US_national_yearly!$D$1:$AM$1, 0), FALSE), 1)</f>
        <v>8.7503359233677004E-5</v>
      </c>
      <c r="G16" s="12">
        <f>$B16 * IFERROR(VLOOKUP(Substitution!$M$6 &amp; $A16, US_national_yearly!$D:$AM, MATCH(G$1, US_national_yearly!$D$1:$AM$1, 0), FALSE) / VLOOKUP(Substitution!$M$6 &amp; $A16, US_national_yearly!$D:$AM, MATCH(Keys!$C$7, US_national_yearly!$D$1:$AM$1, 0), FALSE), 1)</f>
        <v>8.9144266603621299E-5</v>
      </c>
      <c r="H16" s="12">
        <f>$B16 * IFERROR(VLOOKUP(Substitution!$M$6 &amp; $A16, US_national_yearly!$D:$AM, MATCH(H$1, US_national_yearly!$D$1:$AM$1, 0), FALSE) / VLOOKUP(Substitution!$M$6 &amp; $A16, US_national_yearly!$D:$AM, MATCH(Keys!$C$7, US_national_yearly!$D$1:$AM$1, 0), FALSE), 1)</f>
        <v>9.0785173973565594E-5</v>
      </c>
      <c r="I16" s="12">
        <f>$B16 * IFERROR(VLOOKUP(Substitution!$M$6 &amp; $A16, US_national_yearly!$D:$AM, MATCH(I$1, US_national_yearly!$D$1:$AM$1, 0), FALSE) / VLOOKUP(Substitution!$M$6 &amp; $A16, US_national_yearly!$D:$AM, MATCH(Keys!$C$7, US_national_yearly!$D$1:$AM$1, 0), FALSE), 1)</f>
        <v>9.2531801058983956E-5</v>
      </c>
      <c r="J16" s="12">
        <f>$B16 * IFERROR(VLOOKUP(Substitution!$M$6 &amp; $A16, US_national_yearly!$D:$AM, MATCH(J$1, US_national_yearly!$D$1:$AM$1, 0), FALSE) / VLOOKUP(Substitution!$M$6 &amp; $A16, US_national_yearly!$D:$AM, MATCH(Keys!$C$7, US_national_yearly!$D$1:$AM$1, 0), FALSE), 1)</f>
        <v>9.4278428144402358E-5</v>
      </c>
      <c r="K16" s="12">
        <f>$B16 * IFERROR(VLOOKUP(Substitution!$M$6 &amp; $A16, US_national_yearly!$D:$AM, MATCH(K$1, US_national_yearly!$D$1:$AM$1, 0), FALSE) / VLOOKUP(Substitution!$M$6 &amp; $A16, US_national_yearly!$D:$AM, MATCH(Keys!$C$7, US_national_yearly!$D$1:$AM$1, 0), FALSE), 1)</f>
        <v>9.602505522982072E-5</v>
      </c>
      <c r="L16" s="12">
        <f>$B16 * IFERROR(VLOOKUP(Substitution!$M$6 &amp; $A16, US_national_yearly!$D:$AM, MATCH(L$1, US_national_yearly!$D$1:$AM$1, 0), FALSE) / VLOOKUP(Substitution!$M$6 &amp; $A16, US_national_yearly!$D:$AM, MATCH(Keys!$C$7, US_national_yearly!$D$1:$AM$1, 0), FALSE), 1)</f>
        <v>9.7771682315239122E-5</v>
      </c>
      <c r="M16" s="12">
        <f>$B16 * IFERROR(VLOOKUP(Substitution!$M$6 &amp; $A16, US_national_yearly!$D:$AM, MATCH(M$1, US_national_yearly!$D$1:$AM$1, 0), FALSE) / VLOOKUP(Substitution!$M$6 &amp; $A16, US_national_yearly!$D:$AM, MATCH(Keys!$C$7, US_national_yearly!$D$1:$AM$1, 0), FALSE), 1)</f>
        <v>9.9518309400657511E-5</v>
      </c>
      <c r="N16" s="12">
        <f>$B16 * IFERROR(VLOOKUP(Substitution!$M$6 &amp; $A16, US_national_yearly!$D:$AM, MATCH(N$1, US_national_yearly!$D$1:$AM$1, 0), FALSE) / VLOOKUP(Substitution!$M$6 &amp; $A16, US_national_yearly!$D:$AM, MATCH(Keys!$C$7, US_national_yearly!$D$1:$AM$1, 0), FALSE), 1)</f>
        <v>1.0094505661244781E-4</v>
      </c>
      <c r="O16" s="12">
        <f>$B16 * IFERROR(VLOOKUP(Substitution!$M$6 &amp; $A16, US_national_yearly!$D:$AM, MATCH(O$1, US_national_yearly!$D$1:$AM$1, 0), FALSE) / VLOOKUP(Substitution!$M$6 &amp; $A16, US_national_yearly!$D:$AM, MATCH(Keys!$C$7, US_national_yearly!$D$1:$AM$1, 0), FALSE), 1)</f>
        <v>1.023718038242381E-4</v>
      </c>
      <c r="P16" s="12">
        <f>$B16 * IFERROR(VLOOKUP(Substitution!$M$6 &amp; $A16, US_national_yearly!$D:$AM, MATCH(P$1, US_national_yearly!$D$1:$AM$1, 0), FALSE) / VLOOKUP(Substitution!$M$6 &amp; $A16, US_national_yearly!$D:$AM, MATCH(Keys!$C$7, US_national_yearly!$D$1:$AM$1, 0), FALSE), 1)</f>
        <v>1.037985510360284E-4</v>
      </c>
      <c r="Q16" s="12">
        <f>$B16 * IFERROR(VLOOKUP(Substitution!$M$6 &amp; $A16, US_national_yearly!$D:$AM, MATCH(Q$1, US_national_yearly!$D$1:$AM$1, 0), FALSE) / VLOOKUP(Substitution!$M$6 &amp; $A16, US_national_yearly!$D:$AM, MATCH(Keys!$C$7, US_national_yearly!$D$1:$AM$1, 0), FALSE), 1)</f>
        <v>1.052252982478187E-4</v>
      </c>
      <c r="R16" s="12">
        <f>$B16 * IFERROR(VLOOKUP(Substitution!$M$6 &amp; $A16, US_national_yearly!$D:$AM, MATCH(R$1, US_national_yearly!$D$1:$AM$1, 0), FALSE) / VLOOKUP(Substitution!$M$6 &amp; $A16, US_national_yearly!$D:$AM, MATCH(Keys!$C$7, US_national_yearly!$D$1:$AM$1, 0), FALSE), 1)</f>
        <v>1.06652045459609E-4</v>
      </c>
      <c r="S16" s="12">
        <f>$B16 * IFERROR(VLOOKUP(Substitution!$M$6 &amp; $A16, US_national_yearly!$D:$AM, MATCH(S$1, US_national_yearly!$D$1:$AM$1, 0), FALSE) / VLOOKUP(Substitution!$M$6 &amp; $A16, US_national_yearly!$D:$AM, MATCH(Keys!$C$7, US_national_yearly!$D$1:$AM$1, 0), FALSE), 1)</f>
        <v>1.0727782243136801E-4</v>
      </c>
      <c r="T16" s="12">
        <f>$B16 * IFERROR(VLOOKUP(Substitution!$M$6 &amp; $A16, US_national_yearly!$D:$AM, MATCH(T$1, US_national_yearly!$D$1:$AM$1, 0), FALSE) / VLOOKUP(Substitution!$M$6 &amp; $A16, US_national_yearly!$D:$AM, MATCH(Keys!$C$7, US_national_yearly!$D$1:$AM$1, 0), FALSE), 1)</f>
        <v>1.07903599403127E-4</v>
      </c>
      <c r="U16" s="12">
        <f>$B16 * IFERROR(VLOOKUP(Substitution!$M$6 &amp; $A16, US_national_yearly!$D:$AM, MATCH(U$1, US_national_yearly!$D$1:$AM$1, 0), FALSE) / VLOOKUP(Substitution!$M$6 &amp; $A16, US_national_yearly!$D:$AM, MATCH(Keys!$C$7, US_national_yearly!$D$1:$AM$1, 0), FALSE), 1)</f>
        <v>1.08529376374886E-4</v>
      </c>
      <c r="V16" s="12">
        <f>$B16 * IFERROR(VLOOKUP(Substitution!$M$6 &amp; $A16, US_national_yearly!$D:$AM, MATCH(V$1, US_national_yearly!$D$1:$AM$1, 0), FALSE) / VLOOKUP(Substitution!$M$6 &amp; $A16, US_national_yearly!$D:$AM, MATCH(Keys!$C$7, US_national_yearly!$D$1:$AM$1, 0), FALSE), 1)</f>
        <v>1.09155153346645E-4</v>
      </c>
      <c r="W16" s="12">
        <f>$B16 * IFERROR(VLOOKUP(Substitution!$M$6 &amp; $A16, US_national_yearly!$D:$AM, MATCH(W$1, US_national_yearly!$D$1:$AM$1, 0), FALSE) / VLOOKUP(Substitution!$M$6 &amp; $A16, US_national_yearly!$D:$AM, MATCH(Keys!$C$7, US_national_yearly!$D$1:$AM$1, 0), FALSE), 1)</f>
        <v>1.09780930318404E-4</v>
      </c>
      <c r="X16" s="12">
        <f>$B16 * IFERROR(VLOOKUP(Substitution!$M$6 &amp; $A16, US_national_yearly!$D:$AM, MATCH(X$1, US_national_yearly!$D$1:$AM$1, 0), FALSE) / VLOOKUP(Substitution!$M$6 &amp; $A16, US_national_yearly!$D:$AM, MATCH(Keys!$C$7, US_national_yearly!$D$1:$AM$1, 0), FALSE), 1)</f>
        <v>1.100041086816446E-4</v>
      </c>
      <c r="Y16" s="12">
        <f>$B16 * IFERROR(VLOOKUP(Substitution!$M$6 &amp; $A16, US_national_yearly!$D:$AM, MATCH(Y$1, US_national_yearly!$D$1:$AM$1, 0), FALSE) / VLOOKUP(Substitution!$M$6 &amp; $A16, US_national_yearly!$D:$AM, MATCH(Keys!$C$7, US_national_yearly!$D$1:$AM$1, 0), FALSE), 1)</f>
        <v>1.102272870448852E-4</v>
      </c>
      <c r="Z16" s="12">
        <f>$B16 * IFERROR(VLOOKUP(Substitution!$M$6 &amp; $A16, US_national_yearly!$D:$AM, MATCH(Z$1, US_national_yearly!$D$1:$AM$1, 0), FALSE) / VLOOKUP(Substitution!$M$6 &amp; $A16, US_national_yearly!$D:$AM, MATCH(Keys!$C$7, US_national_yearly!$D$1:$AM$1, 0), FALSE), 1)</f>
        <v>1.104504654081258E-4</v>
      </c>
      <c r="AA16" s="12">
        <f>$B16 * IFERROR(VLOOKUP(Substitution!$M$6 &amp; $A16, US_national_yearly!$D:$AM, MATCH(AA$1, US_national_yearly!$D$1:$AM$1, 0), FALSE) / VLOOKUP(Substitution!$M$6 &amp; $A16, US_national_yearly!$D:$AM, MATCH(Keys!$C$7, US_national_yearly!$D$1:$AM$1, 0), FALSE), 1)</f>
        <v>1.1067364377136642E-4</v>
      </c>
      <c r="AB16" s="12">
        <f>$B16 * IFERROR(VLOOKUP(Substitution!$M$6 &amp; $A16, US_national_yearly!$D:$AM, MATCH(AB$1, US_national_yearly!$D$1:$AM$1, 0), FALSE) / VLOOKUP(Substitution!$M$6 &amp; $A16, US_national_yearly!$D:$AM, MATCH(Keys!$C$7, US_national_yearly!$D$1:$AM$1, 0), FALSE), 1)</f>
        <v>1.1089682213460701E-4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Substitution!$G$6)/IFERROR(SUMIFS(COBRA_aggregated!$W:$W, COBRA_aggregated!$A:$A, About!$B$1, COBRA_aggregated!$B:$B, Substitution!$G$6), 1)</f>
        <v>1.933497976650918E-4</v>
      </c>
      <c r="C17" s="12">
        <f>$B17 * IFERROR(VLOOKUP(Substitution!$M$6 &amp; $A17, US_national_yearly!$D:$AM, MATCH(C$1, US_national_yearly!$D$1:$AM$1, 0), FALSE) / VLOOKUP(Substitution!$M$6 &amp; $A17, US_national_yearly!$D:$AM, MATCH(Keys!$C$7, US_national_yearly!$D$1:$AM$1, 0), FALSE), 1)</f>
        <v>1.9903131026194213E-4</v>
      </c>
      <c r="D17" s="12">
        <f>$B17 * IFERROR(VLOOKUP(Substitution!$M$6 &amp; $A17, US_national_yearly!$D:$AM, MATCH(D$1, US_national_yearly!$D$1:$AM$1, 0), FALSE) / VLOOKUP(Substitution!$M$6 &amp; $A17, US_national_yearly!$D:$AM, MATCH(Keys!$C$7, US_national_yearly!$D$1:$AM$1, 0), FALSE), 1)</f>
        <v>2.0471282285879243E-4</v>
      </c>
      <c r="E17" s="12">
        <f>$B17 * IFERROR(VLOOKUP(Substitution!$M$6 &amp; $A17, US_national_yearly!$D:$AM, MATCH(E$1, US_national_yearly!$D$1:$AM$1, 0), FALSE) / VLOOKUP(Substitution!$M$6 &amp; $A17, US_national_yearly!$D:$AM, MATCH(Keys!$C$7, US_national_yearly!$D$1:$AM$1, 0), FALSE), 1)</f>
        <v>2.1039433545564271E-4</v>
      </c>
      <c r="F17" s="12">
        <f>$B17 * IFERROR(VLOOKUP(Substitution!$M$6 &amp; $A17, US_national_yearly!$D:$AM, MATCH(F$1, US_national_yearly!$D$1:$AM$1, 0), FALSE) / VLOOKUP(Substitution!$M$6 &amp; $A17, US_national_yearly!$D:$AM, MATCH(Keys!$C$7, US_national_yearly!$D$1:$AM$1, 0), FALSE), 1)</f>
        <v>2.1607584805249304E-4</v>
      </c>
      <c r="G17" s="12">
        <f>$B17 * IFERROR(VLOOKUP(Substitution!$M$6 &amp; $A17, US_national_yearly!$D:$AM, MATCH(G$1, US_national_yearly!$D$1:$AM$1, 0), FALSE) / VLOOKUP(Substitution!$M$6 &amp; $A17, US_national_yearly!$D:$AM, MATCH(Keys!$C$7, US_national_yearly!$D$1:$AM$1, 0), FALSE), 1)</f>
        <v>2.2147234544163622E-4</v>
      </c>
      <c r="H17" s="12">
        <f>$B17 * IFERROR(VLOOKUP(Substitution!$M$6 &amp; $A17, US_national_yearly!$D:$AM, MATCH(H$1, US_national_yearly!$D$1:$AM$1, 0), FALSE) / VLOOKUP(Substitution!$M$6 &amp; $A17, US_national_yearly!$D:$AM, MATCH(Keys!$C$7, US_national_yearly!$D$1:$AM$1, 0), FALSE), 1)</f>
        <v>2.2686884283077945E-4</v>
      </c>
      <c r="I17" s="12">
        <f>$B17 * IFERROR(VLOOKUP(Substitution!$M$6 &amp; $A17, US_national_yearly!$D:$AM, MATCH(I$1, US_national_yearly!$D$1:$AM$1, 0), FALSE) / VLOOKUP(Substitution!$M$6 &amp; $A17, US_national_yearly!$D:$AM, MATCH(Keys!$C$7, US_national_yearly!$D$1:$AM$1, 0), FALSE), 1)</f>
        <v>2.314068808187735E-4</v>
      </c>
      <c r="J17" s="12">
        <f>$B17 * IFERROR(VLOOKUP(Substitution!$M$6 &amp; $A17, US_national_yearly!$D:$AM, MATCH(J$1, US_national_yearly!$D$1:$AM$1, 0), FALSE) / VLOOKUP(Substitution!$M$6 &amp; $A17, US_national_yearly!$D:$AM, MATCH(Keys!$C$7, US_national_yearly!$D$1:$AM$1, 0), FALSE), 1)</f>
        <v>2.3594491880676754E-4</v>
      </c>
      <c r="K17" s="12">
        <f>$B17 * IFERROR(VLOOKUP(Substitution!$M$6 &amp; $A17, US_national_yearly!$D:$AM, MATCH(K$1, US_national_yearly!$D$1:$AM$1, 0), FALSE) / VLOOKUP(Substitution!$M$6 &amp; $A17, US_national_yearly!$D:$AM, MATCH(Keys!$C$7, US_national_yearly!$D$1:$AM$1, 0), FALSE), 1)</f>
        <v>2.4048295679476162E-4</v>
      </c>
      <c r="L17" s="12">
        <f>$B17 * IFERROR(VLOOKUP(Substitution!$M$6 &amp; $A17, US_national_yearly!$D:$AM, MATCH(L$1, US_national_yearly!$D$1:$AM$1, 0), FALSE) / VLOOKUP(Substitution!$M$6 &amp; $A17, US_national_yearly!$D:$AM, MATCH(Keys!$C$7, US_national_yearly!$D$1:$AM$1, 0), FALSE), 1)</f>
        <v>2.4502099478275566E-4</v>
      </c>
      <c r="M17" s="12">
        <f>$B17 * IFERROR(VLOOKUP(Substitution!$M$6 &amp; $A17, US_national_yearly!$D:$AM, MATCH(M$1, US_national_yearly!$D$1:$AM$1, 0), FALSE) / VLOOKUP(Substitution!$M$6 &amp; $A17, US_national_yearly!$D:$AM, MATCH(Keys!$C$7, US_national_yearly!$D$1:$AM$1, 0), FALSE), 1)</f>
        <v>2.4955903277074976E-4</v>
      </c>
      <c r="N17" s="12">
        <f>$B17 * IFERROR(VLOOKUP(Substitution!$M$6 &amp; $A17, US_national_yearly!$D:$AM, MATCH(N$1, US_national_yearly!$D$1:$AM$1, 0), FALSE) / VLOOKUP(Substitution!$M$6 &amp; $A17, US_national_yearly!$D:$AM, MATCH(Keys!$C$7, US_national_yearly!$D$1:$AM$1, 0), FALSE), 1)</f>
        <v>2.5239681829155924E-4</v>
      </c>
      <c r="O17" s="12">
        <f>$B17 * IFERROR(VLOOKUP(Substitution!$M$6 &amp; $A17, US_national_yearly!$D:$AM, MATCH(O$1, US_national_yearly!$D$1:$AM$1, 0), FALSE) / VLOOKUP(Substitution!$M$6 &amp; $A17, US_national_yearly!$D:$AM, MATCH(Keys!$C$7, US_national_yearly!$D$1:$AM$1, 0), FALSE), 1)</f>
        <v>2.5523460381236872E-4</v>
      </c>
      <c r="P17" s="12">
        <f>$B17 * IFERROR(VLOOKUP(Substitution!$M$6 &amp; $A17, US_national_yearly!$D:$AM, MATCH(P$1, US_national_yearly!$D$1:$AM$1, 0), FALSE) / VLOOKUP(Substitution!$M$6 &amp; $A17, US_national_yearly!$D:$AM, MATCH(Keys!$C$7, US_national_yearly!$D$1:$AM$1, 0), FALSE), 1)</f>
        <v>2.580723893331782E-4</v>
      </c>
      <c r="Q17" s="12">
        <f>$B17 * IFERROR(VLOOKUP(Substitution!$M$6 &amp; $A17, US_national_yearly!$D:$AM, MATCH(Q$1, US_national_yearly!$D$1:$AM$1, 0), FALSE) / VLOOKUP(Substitution!$M$6 &amp; $A17, US_national_yearly!$D:$AM, MATCH(Keys!$C$7, US_national_yearly!$D$1:$AM$1, 0), FALSE), 1)</f>
        <v>2.6091017485398773E-4</v>
      </c>
      <c r="R17" s="12">
        <f>$B17 * IFERROR(VLOOKUP(Substitution!$M$6 &amp; $A17, US_national_yearly!$D:$AM, MATCH(R$1, US_national_yearly!$D$1:$AM$1, 0), FALSE) / VLOOKUP(Substitution!$M$6 &amp; $A17, US_national_yearly!$D:$AM, MATCH(Keys!$C$7, US_national_yearly!$D$1:$AM$1, 0), FALSE), 1)</f>
        <v>2.6374796037479721E-4</v>
      </c>
      <c r="S17" s="12">
        <f>$B17 * IFERROR(VLOOKUP(Substitution!$M$6 &amp; $A17, US_national_yearly!$D:$AM, MATCH(S$1, US_national_yearly!$D$1:$AM$1, 0), FALSE) / VLOOKUP(Substitution!$M$6 &amp; $A17, US_national_yearly!$D:$AM, MATCH(Keys!$C$7, US_national_yearly!$D$1:$AM$1, 0), FALSE), 1)</f>
        <v>2.6504276398098801E-4</v>
      </c>
      <c r="T17" s="12">
        <f>$B17 * IFERROR(VLOOKUP(Substitution!$M$6 &amp; $A17, US_national_yearly!$D:$AM, MATCH(T$1, US_national_yearly!$D$1:$AM$1, 0), FALSE) / VLOOKUP(Substitution!$M$6 &amp; $A17, US_national_yearly!$D:$AM, MATCH(Keys!$C$7, US_national_yearly!$D$1:$AM$1, 0), FALSE), 1)</f>
        <v>2.6633756758717887E-4</v>
      </c>
      <c r="U17" s="12">
        <f>$B17 * IFERROR(VLOOKUP(Substitution!$M$6 &amp; $A17, US_national_yearly!$D:$AM, MATCH(U$1, US_national_yearly!$D$1:$AM$1, 0), FALSE) / VLOOKUP(Substitution!$M$6 &amp; $A17, US_national_yearly!$D:$AM, MATCH(Keys!$C$7, US_national_yearly!$D$1:$AM$1, 0), FALSE), 1)</f>
        <v>2.6763237119336968E-4</v>
      </c>
      <c r="V17" s="12">
        <f>$B17 * IFERROR(VLOOKUP(Substitution!$M$6 &amp; $A17, US_national_yearly!$D:$AM, MATCH(V$1, US_national_yearly!$D$1:$AM$1, 0), FALSE) / VLOOKUP(Substitution!$M$6 &amp; $A17, US_national_yearly!$D:$AM, MATCH(Keys!$C$7, US_national_yearly!$D$1:$AM$1, 0), FALSE), 1)</f>
        <v>2.6892717479956054E-4</v>
      </c>
      <c r="W17" s="12">
        <f>$B17 * IFERROR(VLOOKUP(Substitution!$M$6 &amp; $A17, US_national_yearly!$D:$AM, MATCH(W$1, US_national_yearly!$D$1:$AM$1, 0), FALSE) / VLOOKUP(Substitution!$M$6 &amp; $A17, US_national_yearly!$D:$AM, MATCH(Keys!$C$7, US_national_yearly!$D$1:$AM$1, 0), FALSE), 1)</f>
        <v>2.702219784057514E-4</v>
      </c>
      <c r="X17" s="12">
        <f>$B17 * IFERROR(VLOOKUP(Substitution!$M$6 &amp; $A17, US_national_yearly!$D:$AM, MATCH(X$1, US_national_yearly!$D$1:$AM$1, 0), FALSE) / VLOOKUP(Substitution!$M$6 &amp; $A17, US_national_yearly!$D:$AM, MATCH(Keys!$C$7, US_national_yearly!$D$1:$AM$1, 0), FALSE), 1)</f>
        <v>2.7094258150293894E-4</v>
      </c>
      <c r="Y17" s="12">
        <f>$B17 * IFERROR(VLOOKUP(Substitution!$M$6 &amp; $A17, US_national_yearly!$D:$AM, MATCH(Y$1, US_national_yearly!$D$1:$AM$1, 0), FALSE) / VLOOKUP(Substitution!$M$6 &amp; $A17, US_national_yearly!$D:$AM, MATCH(Keys!$C$7, US_national_yearly!$D$1:$AM$1, 0), FALSE), 1)</f>
        <v>2.7166318460012642E-4</v>
      </c>
      <c r="Z17" s="12">
        <f>$B17 * IFERROR(VLOOKUP(Substitution!$M$6 &amp; $A17, US_national_yearly!$D:$AM, MATCH(Z$1, US_national_yearly!$D$1:$AM$1, 0), FALSE) / VLOOKUP(Substitution!$M$6 &amp; $A17, US_national_yearly!$D:$AM, MATCH(Keys!$C$7, US_national_yearly!$D$1:$AM$1, 0), FALSE), 1)</f>
        <v>2.7238378769731396E-4</v>
      </c>
      <c r="AA17" s="12">
        <f>$B17 * IFERROR(VLOOKUP(Substitution!$M$6 &amp; $A17, US_national_yearly!$D:$AM, MATCH(AA$1, US_national_yearly!$D$1:$AM$1, 0), FALSE) / VLOOKUP(Substitution!$M$6 &amp; $A17, US_national_yearly!$D:$AM, MATCH(Keys!$C$7, US_national_yearly!$D$1:$AM$1, 0), FALSE), 1)</f>
        <v>2.731043907945015E-4</v>
      </c>
      <c r="AB17" s="12">
        <f>$B17 * IFERROR(VLOOKUP(Substitution!$M$6 &amp; $A17, US_national_yearly!$D:$AM, MATCH(AB$1, US_national_yearly!$D$1:$AM$1, 0), FALSE) / VLOOKUP(Substitution!$M$6 &amp; $A17, US_national_yearly!$D:$AM, MATCH(Keys!$C$7, US_national_yearly!$D$1:$AM$1, 0), FALSE), 1)</f>
        <v>2.7382499389168904E-4</v>
      </c>
    </row>
    <row r="18" spans="1:28" x14ac:dyDescent="0.25">
      <c r="A18" s="4" t="s">
        <v>323</v>
      </c>
      <c r="B18" s="12">
        <f>IFERROR(VLOOKUP(Substitution!$M$6 &amp; $A18, US_national_yearly!$D:$AM, MATCH(Keys!$C$7, US_national_yearly!$D$1:$AM$1, 0), FALSE), 0)</f>
        <v>5.887373994742436E-4</v>
      </c>
      <c r="C18" s="12">
        <f>$B18 * IFERROR(VLOOKUP(Substitution!$M$6 &amp; $A18, US_national_yearly!$D:$AM, MATCH(C$1, US_national_yearly!$D$1:$AM$1, 0), FALSE) / VLOOKUP(Substitution!$M$6 &amp; $A18, US_national_yearly!$D:$AM, MATCH(Keys!$C$7, US_national_yearly!$D$1:$AM$1, 0), FALSE), 1)</f>
        <v>6.0777122226172119E-4</v>
      </c>
      <c r="D18" s="12">
        <f>$B18 * IFERROR(VLOOKUP(Substitution!$M$6 &amp; $A18, US_national_yearly!$D:$AM, MATCH(D$1, US_national_yearly!$D$1:$AM$1, 0), FALSE) / VLOOKUP(Substitution!$M$6 &amp; $A18, US_national_yearly!$D:$AM, MATCH(Keys!$C$7, US_national_yearly!$D$1:$AM$1, 0), FALSE), 1)</f>
        <v>6.2680504504919877E-4</v>
      </c>
      <c r="E18" s="12">
        <f>$B18 * IFERROR(VLOOKUP(Substitution!$M$6 &amp; $A18, US_national_yearly!$D:$AM, MATCH(E$1, US_national_yearly!$D$1:$AM$1, 0), FALSE) / VLOOKUP(Substitution!$M$6 &amp; $A18, US_national_yearly!$D:$AM, MATCH(Keys!$C$7, US_national_yearly!$D$1:$AM$1, 0), FALSE), 1)</f>
        <v>6.4583886783667636E-4</v>
      </c>
      <c r="F18" s="12">
        <f>$B18 * IFERROR(VLOOKUP(Substitution!$M$6 &amp; $A18, US_national_yearly!$D:$AM, MATCH(F$1, US_national_yearly!$D$1:$AM$1, 0), FALSE) / VLOOKUP(Substitution!$M$6 &amp; $A18, US_national_yearly!$D:$AM, MATCH(Keys!$C$7, US_national_yearly!$D$1:$AM$1, 0), FALSE), 1)</f>
        <v>6.6487269062415406E-4</v>
      </c>
      <c r="G18" s="12">
        <f>$B18 * IFERROR(VLOOKUP(Substitution!$M$6 &amp; $A18, US_national_yearly!$D:$AM, MATCH(G$1, US_national_yearly!$D$1:$AM$1, 0), FALSE) / VLOOKUP(Substitution!$M$6 &amp; $A18, US_national_yearly!$D:$AM, MATCH(Keys!$C$7, US_national_yearly!$D$1:$AM$1, 0), FALSE), 1)</f>
        <v>6.8499691797475784E-4</v>
      </c>
      <c r="H18" s="12">
        <f>$B18 * IFERROR(VLOOKUP(Substitution!$M$6 &amp; $A18, US_national_yearly!$D:$AM, MATCH(H$1, US_national_yearly!$D$1:$AM$1, 0), FALSE) / VLOOKUP(Substitution!$M$6 &amp; $A18, US_national_yearly!$D:$AM, MATCH(Keys!$C$7, US_national_yearly!$D$1:$AM$1, 0), FALSE), 1)</f>
        <v>7.0512114532536195E-4</v>
      </c>
      <c r="I18" s="12">
        <f>$B18 * IFERROR(VLOOKUP(Substitution!$M$6 &amp; $A18, US_national_yearly!$D:$AM, MATCH(I$1, US_national_yearly!$D$1:$AM$1, 0), FALSE) / VLOOKUP(Substitution!$M$6 &amp; $A18, US_national_yearly!$D:$AM, MATCH(Keys!$C$7, US_national_yearly!$D$1:$AM$1, 0), FALSE), 1)</f>
        <v>7.2505483355470176E-4</v>
      </c>
      <c r="J18" s="12">
        <f>$B18 * IFERROR(VLOOKUP(Substitution!$M$6 &amp; $A18, US_national_yearly!$D:$AM, MATCH(J$1, US_national_yearly!$D$1:$AM$1, 0), FALSE) / VLOOKUP(Substitution!$M$6 &amp; $A18, US_national_yearly!$D:$AM, MATCH(Keys!$C$7, US_national_yearly!$D$1:$AM$1, 0), FALSE), 1)</f>
        <v>7.4498852178404168E-4</v>
      </c>
      <c r="K18" s="12">
        <f>$B18 * IFERROR(VLOOKUP(Substitution!$M$6 &amp; $A18, US_national_yearly!$D:$AM, MATCH(K$1, US_national_yearly!$D$1:$AM$1, 0), FALSE) / VLOOKUP(Substitution!$M$6 &amp; $A18, US_national_yearly!$D:$AM, MATCH(Keys!$C$7, US_national_yearly!$D$1:$AM$1, 0), FALSE), 1)</f>
        <v>7.6492221001338138E-4</v>
      </c>
      <c r="L18" s="12">
        <f>$B18 * IFERROR(VLOOKUP(Substitution!$M$6 &amp; $A18, US_national_yearly!$D:$AM, MATCH(L$1, US_national_yearly!$D$1:$AM$1, 0), FALSE) / VLOOKUP(Substitution!$M$6 &amp; $A18, US_national_yearly!$D:$AM, MATCH(Keys!$C$7, US_national_yearly!$D$1:$AM$1, 0), FALSE), 1)</f>
        <v>7.8485589824272119E-4</v>
      </c>
      <c r="M18" s="12">
        <f>$B18 * IFERROR(VLOOKUP(Substitution!$M$6 &amp; $A18, US_national_yearly!$D:$AM, MATCH(M$1, US_national_yearly!$D$1:$AM$1, 0), FALSE) / VLOOKUP(Substitution!$M$6 &amp; $A18, US_national_yearly!$D:$AM, MATCH(Keys!$C$7, US_national_yearly!$D$1:$AM$1, 0), FALSE), 1)</f>
        <v>8.04789586472061E-4</v>
      </c>
      <c r="N18" s="12">
        <f>$B18 * IFERROR(VLOOKUP(Substitution!$M$6 &amp; $A18, US_national_yearly!$D:$AM, MATCH(N$1, US_national_yearly!$D$1:$AM$1, 0), FALSE) / VLOOKUP(Substitution!$M$6 &amp; $A18, US_national_yearly!$D:$AM, MATCH(Keys!$C$7, US_national_yearly!$D$1:$AM$1, 0), FALSE), 1)</f>
        <v>8.1859877805789353E-4</v>
      </c>
      <c r="O18" s="12">
        <f>$B18 * IFERROR(VLOOKUP(Substitution!$M$6 &amp; $A18, US_national_yearly!$D:$AM, MATCH(O$1, US_national_yearly!$D$1:$AM$1, 0), FALSE) / VLOOKUP(Substitution!$M$6 &amp; $A18, US_national_yearly!$D:$AM, MATCH(Keys!$C$7, US_national_yearly!$D$1:$AM$1, 0), FALSE), 1)</f>
        <v>8.3240796964372617E-4</v>
      </c>
      <c r="P18" s="12">
        <f>$B18 * IFERROR(VLOOKUP(Substitution!$M$6 &amp; $A18, US_national_yearly!$D:$AM, MATCH(P$1, US_national_yearly!$D$1:$AM$1, 0), FALSE) / VLOOKUP(Substitution!$M$6 &amp; $A18, US_national_yearly!$D:$AM, MATCH(Keys!$C$7, US_national_yearly!$D$1:$AM$1, 0), FALSE), 1)</f>
        <v>8.462171612295588E-4</v>
      </c>
      <c r="Q18" s="12">
        <f>$B18 * IFERROR(VLOOKUP(Substitution!$M$6 &amp; $A18, US_national_yearly!$D:$AM, MATCH(Q$1, US_national_yearly!$D$1:$AM$1, 0), FALSE) / VLOOKUP(Substitution!$M$6 &amp; $A18, US_national_yearly!$D:$AM, MATCH(Keys!$C$7, US_national_yearly!$D$1:$AM$1, 0), FALSE), 1)</f>
        <v>8.6002635281539133E-4</v>
      </c>
      <c r="R18" s="12">
        <f>$B18 * IFERROR(VLOOKUP(Substitution!$M$6 &amp; $A18, US_national_yearly!$D:$AM, MATCH(R$1, US_national_yearly!$D$1:$AM$1, 0), FALSE) / VLOOKUP(Substitution!$M$6 &amp; $A18, US_national_yearly!$D:$AM, MATCH(Keys!$C$7, US_national_yearly!$D$1:$AM$1, 0), FALSE), 1)</f>
        <v>8.7383554440122397E-4</v>
      </c>
      <c r="S18" s="12">
        <f>$B18 * IFERROR(VLOOKUP(Substitution!$M$6 &amp; $A18, US_national_yearly!$D:$AM, MATCH(S$1, US_national_yearly!$D$1:$AM$1, 0), FALSE) / VLOOKUP(Substitution!$M$6 &amp; $A18, US_national_yearly!$D:$AM, MATCH(Keys!$C$7, US_national_yearly!$D$1:$AM$1, 0), FALSE), 1)</f>
        <v>8.7979165951300193E-4</v>
      </c>
      <c r="T18" s="12">
        <f>$B18 * IFERROR(VLOOKUP(Substitution!$M$6 &amp; $A18, US_national_yearly!$D:$AM, MATCH(T$1, US_national_yearly!$D$1:$AM$1, 0), FALSE) / VLOOKUP(Substitution!$M$6 &amp; $A18, US_national_yearly!$D:$AM, MATCH(Keys!$C$7, US_national_yearly!$D$1:$AM$1, 0), FALSE), 1)</f>
        <v>8.8574777462477989E-4</v>
      </c>
      <c r="U18" s="12">
        <f>$B18 * IFERROR(VLOOKUP(Substitution!$M$6 &amp; $A18, US_national_yearly!$D:$AM, MATCH(U$1, US_national_yearly!$D$1:$AM$1, 0), FALSE) / VLOOKUP(Substitution!$M$6 &amp; $A18, US_national_yearly!$D:$AM, MATCH(Keys!$C$7, US_national_yearly!$D$1:$AM$1, 0), FALSE), 1)</f>
        <v>8.9170388973655796E-4</v>
      </c>
      <c r="V18" s="12">
        <f>$B18 * IFERROR(VLOOKUP(Substitution!$M$6 &amp; $A18, US_national_yearly!$D:$AM, MATCH(V$1, US_national_yearly!$D$1:$AM$1, 0), FALSE) / VLOOKUP(Substitution!$M$6 &amp; $A18, US_national_yearly!$D:$AM, MATCH(Keys!$C$7, US_national_yearly!$D$1:$AM$1, 0), FALSE), 1)</f>
        <v>8.9766000484833603E-4</v>
      </c>
      <c r="W18" s="12">
        <f>$B18 * IFERROR(VLOOKUP(Substitution!$M$6 &amp; $A18, US_national_yearly!$D:$AM, MATCH(W$1, US_national_yearly!$D$1:$AM$1, 0), FALSE) / VLOOKUP(Substitution!$M$6 &amp; $A18, US_national_yearly!$D:$AM, MATCH(Keys!$C$7, US_national_yearly!$D$1:$AM$1, 0), FALSE), 1)</f>
        <v>9.0361611996011399E-4</v>
      </c>
      <c r="X18" s="12">
        <f>$B18 * IFERROR(VLOOKUP(Substitution!$M$6 &amp; $A18, US_national_yearly!$D:$AM, MATCH(X$1, US_national_yearly!$D$1:$AM$1, 0), FALSE) / VLOOKUP(Substitution!$M$6 &amp; $A18, US_national_yearly!$D:$AM, MATCH(Keys!$C$7, US_national_yearly!$D$1:$AM$1, 0), FALSE), 1)</f>
        <v>9.0460043928977717E-4</v>
      </c>
      <c r="Y18" s="12">
        <f>$B18 * IFERROR(VLOOKUP(Substitution!$M$6 &amp; $A18, US_national_yearly!$D:$AM, MATCH(Y$1, US_national_yearly!$D$1:$AM$1, 0), FALSE) / VLOOKUP(Substitution!$M$6 &amp; $A18, US_national_yearly!$D:$AM, MATCH(Keys!$C$7, US_national_yearly!$D$1:$AM$1, 0), FALSE), 1)</f>
        <v>9.0558475861944035E-4</v>
      </c>
      <c r="Z18" s="12">
        <f>$B18 * IFERROR(VLOOKUP(Substitution!$M$6 &amp; $A18, US_national_yearly!$D:$AM, MATCH(Z$1, US_national_yearly!$D$1:$AM$1, 0), FALSE) / VLOOKUP(Substitution!$M$6 &amp; $A18, US_national_yearly!$D:$AM, MATCH(Keys!$C$7, US_national_yearly!$D$1:$AM$1, 0), FALSE), 1)</f>
        <v>9.0656907794910353E-4</v>
      </c>
      <c r="AA18" s="12">
        <f>$B18 * IFERROR(VLOOKUP(Substitution!$M$6 &amp; $A18, US_national_yearly!$D:$AM, MATCH(AA$1, US_national_yearly!$D$1:$AM$1, 0), FALSE) / VLOOKUP(Substitution!$M$6 &amp; $A18, US_national_yearly!$D:$AM, MATCH(Keys!$C$7, US_national_yearly!$D$1:$AM$1, 0), FALSE), 1)</f>
        <v>9.0755339727876681E-4</v>
      </c>
      <c r="AB18" s="12">
        <f>$B18 * IFERROR(VLOOKUP(Substitution!$M$6 &amp; $A18, US_national_yearly!$D:$AM, MATCH(AB$1, US_national_yearly!$D$1:$AM$1, 0), FALSE) / VLOOKUP(Substitution!$M$6 &amp; $A18, US_national_yearly!$D:$AM, MATCH(Keys!$C$7, US_national_yearly!$D$1:$AM$1, 0), FALSE), 1)</f>
        <v>9.0853771660842999E-4</v>
      </c>
    </row>
    <row r="19" spans="1:28" x14ac:dyDescent="0.25">
      <c r="A19" s="4" t="s">
        <v>325</v>
      </c>
      <c r="B19" s="12">
        <f>IFERROR(VLOOKUP(Substitution!$M$6 &amp; $A19, US_national_yearly!$D:$AM, MATCH(Keys!$C$7, US_national_yearly!$D$1:$AM$1, 0), FALSE), 0)</f>
        <v>7.7666396930083702E-5</v>
      </c>
      <c r="C19" s="12">
        <f>$B19 * IFERROR(VLOOKUP(Substitution!$M$6 &amp; $A19, US_national_yearly!$D:$AM, MATCH(C$1, US_national_yearly!$D$1:$AM$1, 0), FALSE) / VLOOKUP(Substitution!$M$6 &amp; $A19, US_national_yearly!$D:$AM, MATCH(Keys!$C$7, US_national_yearly!$D$1:$AM$1, 0), FALSE), 1)</f>
        <v>7.9659402775907303E-5</v>
      </c>
      <c r="D19" s="12">
        <f>$B19 * IFERROR(VLOOKUP(Substitution!$M$6 &amp; $A19, US_national_yearly!$D:$AM, MATCH(D$1, US_national_yearly!$D$1:$AM$1, 0), FALSE) / VLOOKUP(Substitution!$M$6 &amp; $A19, US_national_yearly!$D:$AM, MATCH(Keys!$C$7, US_national_yearly!$D$1:$AM$1, 0), FALSE), 1)</f>
        <v>8.1652408621730918E-5</v>
      </c>
      <c r="E19" s="12">
        <f>$B19 * IFERROR(VLOOKUP(Substitution!$M$6 &amp; $A19, US_national_yearly!$D:$AM, MATCH(E$1, US_national_yearly!$D$1:$AM$1, 0), FALSE) / VLOOKUP(Substitution!$M$6 &amp; $A19, US_national_yearly!$D:$AM, MATCH(Keys!$C$7, US_national_yearly!$D$1:$AM$1, 0), FALSE), 1)</f>
        <v>8.3645414467554505E-5</v>
      </c>
      <c r="F19" s="12">
        <f>$B19 * IFERROR(VLOOKUP(Substitution!$M$6 &amp; $A19, US_national_yearly!$D:$AM, MATCH(F$1, US_national_yearly!$D$1:$AM$1, 0), FALSE) / VLOOKUP(Substitution!$M$6 &amp; $A19, US_national_yearly!$D:$AM, MATCH(Keys!$C$7, US_national_yearly!$D$1:$AM$1, 0), FALSE), 1)</f>
        <v>8.5638420313378106E-5</v>
      </c>
      <c r="G19" s="12">
        <f>$B19 * IFERROR(VLOOKUP(Substitution!$M$6 &amp; $A19, US_national_yearly!$D:$AM, MATCH(G$1, US_national_yearly!$D$1:$AM$1, 0), FALSE) / VLOOKUP(Substitution!$M$6 &amp; $A19, US_national_yearly!$D:$AM, MATCH(Keys!$C$7, US_national_yearly!$D$1:$AM$1, 0), FALSE), 1)</f>
        <v>8.7277423034707712E-5</v>
      </c>
      <c r="H19" s="12">
        <f>$B19 * IFERROR(VLOOKUP(Substitution!$M$6 &amp; $A19, US_national_yearly!$D:$AM, MATCH(H$1, US_national_yearly!$D$1:$AM$1, 0), FALSE) / VLOOKUP(Substitution!$M$6 &amp; $A19, US_national_yearly!$D:$AM, MATCH(Keys!$C$7, US_national_yearly!$D$1:$AM$1, 0), FALSE), 1)</f>
        <v>8.8916425756037305E-5</v>
      </c>
      <c r="I19" s="12">
        <f>$B19 * IFERROR(VLOOKUP(Substitution!$M$6 &amp; $A19, US_national_yearly!$D:$AM, MATCH(I$1, US_national_yearly!$D$1:$AM$1, 0), FALSE) / VLOOKUP(Substitution!$M$6 &amp; $A19, US_national_yearly!$D:$AM, MATCH(Keys!$C$7, US_national_yearly!$D$1:$AM$1, 0), FALSE), 1)</f>
        <v>8.9950083825264524E-5</v>
      </c>
      <c r="J19" s="12">
        <f>$B19 * IFERROR(VLOOKUP(Substitution!$M$6 &amp; $A19, US_national_yearly!$D:$AM, MATCH(J$1, US_national_yearly!$D$1:$AM$1, 0), FALSE) / VLOOKUP(Substitution!$M$6 &amp; $A19, US_national_yearly!$D:$AM, MATCH(Keys!$C$7, US_national_yearly!$D$1:$AM$1, 0), FALSE), 1)</f>
        <v>9.0983741894491715E-5</v>
      </c>
      <c r="K19" s="12">
        <f>$B19 * IFERROR(VLOOKUP(Substitution!$M$6 &amp; $A19, US_national_yearly!$D:$AM, MATCH(K$1, US_national_yearly!$D$1:$AM$1, 0), FALSE) / VLOOKUP(Substitution!$M$6 &amp; $A19, US_national_yearly!$D:$AM, MATCH(Keys!$C$7, US_national_yearly!$D$1:$AM$1, 0), FALSE), 1)</f>
        <v>9.2017399963718907E-5</v>
      </c>
      <c r="L19" s="12">
        <f>$B19 * IFERROR(VLOOKUP(Substitution!$M$6 &amp; $A19, US_national_yearly!$D:$AM, MATCH(L$1, US_national_yearly!$D$1:$AM$1, 0), FALSE) / VLOOKUP(Substitution!$M$6 &amp; $A19, US_national_yearly!$D:$AM, MATCH(Keys!$C$7, US_national_yearly!$D$1:$AM$1, 0), FALSE), 1)</f>
        <v>9.3051058032946098E-5</v>
      </c>
      <c r="M19" s="12">
        <f>$B19 * IFERROR(VLOOKUP(Substitution!$M$6 &amp; $A19, US_national_yearly!$D:$AM, MATCH(M$1, US_national_yearly!$D$1:$AM$1, 0), FALSE) / VLOOKUP(Substitution!$M$6 &amp; $A19, US_national_yearly!$D:$AM, MATCH(Keys!$C$7, US_national_yearly!$D$1:$AM$1, 0), FALSE), 1)</f>
        <v>9.4084716102173303E-5</v>
      </c>
      <c r="N19" s="12">
        <f>$B19 * IFERROR(VLOOKUP(Substitution!$M$6 &amp; $A19, US_national_yearly!$D:$AM, MATCH(N$1, US_national_yearly!$D$1:$AM$1, 0), FALSE) / VLOOKUP(Substitution!$M$6 &amp; $A19, US_national_yearly!$D:$AM, MATCH(Keys!$C$7, US_national_yearly!$D$1:$AM$1, 0), FALSE), 1)</f>
        <v>9.4521459242841562E-5</v>
      </c>
      <c r="O19" s="12">
        <f>$B19 * IFERROR(VLOOKUP(Substitution!$M$6 &amp; $A19, US_national_yearly!$D:$AM, MATCH(O$1, US_national_yearly!$D$1:$AM$1, 0), FALSE) / VLOOKUP(Substitution!$M$6 &amp; $A19, US_national_yearly!$D:$AM, MATCH(Keys!$C$7, US_national_yearly!$D$1:$AM$1, 0), FALSE), 1)</f>
        <v>9.495820238350982E-5</v>
      </c>
      <c r="P19" s="12">
        <f>$B19 * IFERROR(VLOOKUP(Substitution!$M$6 &amp; $A19, US_national_yearly!$D:$AM, MATCH(P$1, US_national_yearly!$D$1:$AM$1, 0), FALSE) / VLOOKUP(Substitution!$M$6 &amp; $A19, US_national_yearly!$D:$AM, MATCH(Keys!$C$7, US_national_yearly!$D$1:$AM$1, 0), FALSE), 1)</f>
        <v>9.5394945524178079E-5</v>
      </c>
      <c r="Q19" s="12">
        <f>$B19 * IFERROR(VLOOKUP(Substitution!$M$6 &amp; $A19, US_national_yearly!$D:$AM, MATCH(Q$1, US_national_yearly!$D$1:$AM$1, 0), FALSE) / VLOOKUP(Substitution!$M$6 &amp; $A19, US_national_yearly!$D:$AM, MATCH(Keys!$C$7, US_national_yearly!$D$1:$AM$1, 0), FALSE), 1)</f>
        <v>9.5831688664846338E-5</v>
      </c>
      <c r="R19" s="12">
        <f>$B19 * IFERROR(VLOOKUP(Substitution!$M$6 &amp; $A19, US_national_yearly!$D:$AM, MATCH(R$1, US_national_yearly!$D$1:$AM$1, 0), FALSE) / VLOOKUP(Substitution!$M$6 &amp; $A19, US_national_yearly!$D:$AM, MATCH(Keys!$C$7, US_national_yearly!$D$1:$AM$1, 0), FALSE), 1)</f>
        <v>9.6268431805514597E-5</v>
      </c>
      <c r="S19" s="12">
        <f>$B19 * IFERROR(VLOOKUP(Substitution!$M$6 &amp; $A19, US_national_yearly!$D:$AM, MATCH(S$1, US_national_yearly!$D$1:$AM$1, 0), FALSE) / VLOOKUP(Substitution!$M$6 &amp; $A19, US_national_yearly!$D:$AM, MATCH(Keys!$C$7, US_national_yearly!$D$1:$AM$1, 0), FALSE), 1)</f>
        <v>9.6473395445963867E-5</v>
      </c>
      <c r="T19" s="12">
        <f>$B19 * IFERROR(VLOOKUP(Substitution!$M$6 &amp; $A19, US_national_yearly!$D:$AM, MATCH(T$1, US_national_yearly!$D$1:$AM$1, 0), FALSE) / VLOOKUP(Substitution!$M$6 &amp; $A19, US_national_yearly!$D:$AM, MATCH(Keys!$C$7, US_national_yearly!$D$1:$AM$1, 0), FALSE), 1)</f>
        <v>9.6678359086413163E-5</v>
      </c>
      <c r="U19" s="12">
        <f>$B19 * IFERROR(VLOOKUP(Substitution!$M$6 &amp; $A19, US_national_yearly!$D:$AM, MATCH(U$1, US_national_yearly!$D$1:$AM$1, 0), FALSE) / VLOOKUP(Substitution!$M$6 &amp; $A19, US_national_yearly!$D:$AM, MATCH(Keys!$C$7, US_national_yearly!$D$1:$AM$1, 0), FALSE), 1)</f>
        <v>9.6883322726862433E-5</v>
      </c>
      <c r="V19" s="12">
        <f>$B19 * IFERROR(VLOOKUP(Substitution!$M$6 &amp; $A19, US_national_yearly!$D:$AM, MATCH(V$1, US_national_yearly!$D$1:$AM$1, 0), FALSE) / VLOOKUP(Substitution!$M$6 &amp; $A19, US_national_yearly!$D:$AM, MATCH(Keys!$C$7, US_national_yearly!$D$1:$AM$1, 0), FALSE), 1)</f>
        <v>9.7088286367311716E-5</v>
      </c>
      <c r="W19" s="12">
        <f>$B19 * IFERROR(VLOOKUP(Substitution!$M$6 &amp; $A19, US_national_yearly!$D:$AM, MATCH(W$1, US_national_yearly!$D$1:$AM$1, 0), FALSE) / VLOOKUP(Substitution!$M$6 &amp; $A19, US_national_yearly!$D:$AM, MATCH(Keys!$C$7, US_national_yearly!$D$1:$AM$1, 0), FALSE), 1)</f>
        <v>9.7293250007760999E-5</v>
      </c>
      <c r="X19" s="12">
        <f>$B19 * IFERROR(VLOOKUP(Substitution!$M$6 &amp; $A19, US_national_yearly!$D:$AM, MATCH(X$1, US_national_yearly!$D$1:$AM$1, 0), FALSE) / VLOOKUP(Substitution!$M$6 &amp; $A19, US_national_yearly!$D:$AM, MATCH(Keys!$C$7, US_national_yearly!$D$1:$AM$1, 0), FALSE), 1)</f>
        <v>9.7638638567141685E-5</v>
      </c>
      <c r="Y19" s="12">
        <f>$B19 * IFERROR(VLOOKUP(Substitution!$M$6 &amp; $A19, US_national_yearly!$D:$AM, MATCH(Y$1, US_national_yearly!$D$1:$AM$1, 0), FALSE) / VLOOKUP(Substitution!$M$6 &amp; $A19, US_national_yearly!$D:$AM, MATCH(Keys!$C$7, US_national_yearly!$D$1:$AM$1, 0), FALSE), 1)</f>
        <v>9.7984027126522358E-5</v>
      </c>
      <c r="Z19" s="12">
        <f>$B19 * IFERROR(VLOOKUP(Substitution!$M$6 &amp; $A19, US_national_yearly!$D:$AM, MATCH(Z$1, US_national_yearly!$D$1:$AM$1, 0), FALSE) / VLOOKUP(Substitution!$M$6 &amp; $A19, US_national_yearly!$D:$AM, MATCH(Keys!$C$7, US_national_yearly!$D$1:$AM$1, 0), FALSE), 1)</f>
        <v>9.8329415685903044E-5</v>
      </c>
      <c r="AA19" s="12">
        <f>$B19 * IFERROR(VLOOKUP(Substitution!$M$6 &amp; $A19, US_national_yearly!$D:$AM, MATCH(AA$1, US_national_yearly!$D$1:$AM$1, 0), FALSE) / VLOOKUP(Substitution!$M$6 &amp; $A19, US_national_yearly!$D:$AM, MATCH(Keys!$C$7, US_national_yearly!$D$1:$AM$1, 0), FALSE), 1)</f>
        <v>9.8674804245283716E-5</v>
      </c>
      <c r="AB19" s="12">
        <f>$B19 * IFERROR(VLOOKUP(Substitution!$M$6 &amp; $A19, US_national_yearly!$D:$AM, MATCH(AB$1, US_national_yearly!$D$1:$AM$1, 0), FALSE) / VLOOKUP(Substitution!$M$6 &amp; $A19, US_national_yearly!$D:$AM, MATCH(Keys!$C$7, US_national_yearly!$D$1:$AM$1, 0), FALSE), 1)</f>
        <v>9.9020192804664402E-5</v>
      </c>
    </row>
    <row r="20" spans="1:28" x14ac:dyDescent="0.25">
      <c r="A20" s="4" t="s">
        <v>327</v>
      </c>
      <c r="B20" s="12">
        <f>IFERROR(VLOOKUP(Substitution!$M$6 &amp; $A20, US_national_yearly!$D:$AM, MATCH(Keys!$C$7, US_national_yearly!$D$1:$AM$1, 0), FALSE), 0)</f>
        <v>7.0075287244190126E-5</v>
      </c>
      <c r="C20" s="12">
        <f>$B20 * IFERROR(VLOOKUP(Substitution!$M$6 &amp; $A20, US_national_yearly!$D:$AM, MATCH(C$1, US_national_yearly!$D$1:$AM$1, 0), FALSE) / VLOOKUP(Substitution!$M$6 &amp; $A20, US_national_yearly!$D:$AM, MATCH(Keys!$C$7, US_national_yearly!$D$1:$AM$1, 0), FALSE), 1)</f>
        <v>7.1889198031153639E-5</v>
      </c>
      <c r="D20" s="12">
        <f>$B20 * IFERROR(VLOOKUP(Substitution!$M$6 &amp; $A20, US_national_yearly!$D:$AM, MATCH(D$1, US_national_yearly!$D$1:$AM$1, 0), FALSE) / VLOOKUP(Substitution!$M$6 &amp; $A20, US_national_yearly!$D:$AM, MATCH(Keys!$C$7, US_national_yearly!$D$1:$AM$1, 0), FALSE), 1)</f>
        <v>7.3703108818117178E-5</v>
      </c>
      <c r="E20" s="12">
        <f>$B20 * IFERROR(VLOOKUP(Substitution!$M$6 &amp; $A20, US_national_yearly!$D:$AM, MATCH(E$1, US_national_yearly!$D$1:$AM$1, 0), FALSE) / VLOOKUP(Substitution!$M$6 &amp; $A20, US_national_yearly!$D:$AM, MATCH(Keys!$C$7, US_national_yearly!$D$1:$AM$1, 0), FALSE), 1)</f>
        <v>7.5517019605080677E-5</v>
      </c>
      <c r="F20" s="12">
        <f>$B20 * IFERROR(VLOOKUP(Substitution!$M$6 &amp; $A20, US_national_yearly!$D:$AM, MATCH(F$1, US_national_yearly!$D$1:$AM$1, 0), FALSE) / VLOOKUP(Substitution!$M$6 &amp; $A20, US_national_yearly!$D:$AM, MATCH(Keys!$C$7, US_national_yearly!$D$1:$AM$1, 0), FALSE), 1)</f>
        <v>7.7330930392044203E-5</v>
      </c>
      <c r="G20" s="12">
        <f>$B20 * IFERROR(VLOOKUP(Substitution!$M$6 &amp; $A20, US_national_yearly!$D:$AM, MATCH(G$1, US_national_yearly!$D$1:$AM$1, 0), FALSE) / VLOOKUP(Substitution!$M$6 &amp; $A20, US_national_yearly!$D:$AM, MATCH(Keys!$C$7, US_national_yearly!$D$1:$AM$1, 0), FALSE), 1)</f>
        <v>7.8802648357615204E-5</v>
      </c>
      <c r="H20" s="12">
        <f>$B20 * IFERROR(VLOOKUP(Substitution!$M$6 &amp; $A20, US_national_yearly!$D:$AM, MATCH(H$1, US_national_yearly!$D$1:$AM$1, 0), FALSE) / VLOOKUP(Substitution!$M$6 &amp; $A20, US_national_yearly!$D:$AM, MATCH(Keys!$C$7, US_national_yearly!$D$1:$AM$1, 0), FALSE), 1)</f>
        <v>8.0274366323186206E-5</v>
      </c>
      <c r="I20" s="12">
        <f>$B20 * IFERROR(VLOOKUP(Substitution!$M$6 &amp; $A20, US_national_yearly!$D:$AM, MATCH(I$1, US_national_yearly!$D$1:$AM$1, 0), FALSE) / VLOOKUP(Substitution!$M$6 &amp; $A20, US_national_yearly!$D:$AM, MATCH(Keys!$C$7, US_national_yearly!$D$1:$AM$1, 0), FALSE), 1)</f>
        <v>8.1138964846462486E-5</v>
      </c>
      <c r="J20" s="12">
        <f>$B20 * IFERROR(VLOOKUP(Substitution!$M$6 &amp; $A20, US_national_yearly!$D:$AM, MATCH(J$1, US_national_yearly!$D$1:$AM$1, 0), FALSE) / VLOOKUP(Substitution!$M$6 &amp; $A20, US_national_yearly!$D:$AM, MATCH(Keys!$C$7, US_national_yearly!$D$1:$AM$1, 0), FALSE), 1)</f>
        <v>8.2003563369738766E-5</v>
      </c>
      <c r="K20" s="12">
        <f>$B20 * IFERROR(VLOOKUP(Substitution!$M$6 &amp; $A20, US_national_yearly!$D:$AM, MATCH(K$1, US_national_yearly!$D$1:$AM$1, 0), FALSE) / VLOOKUP(Substitution!$M$6 &amp; $A20, US_national_yearly!$D:$AM, MATCH(Keys!$C$7, US_national_yearly!$D$1:$AM$1, 0), FALSE), 1)</f>
        <v>8.2868161893015046E-5</v>
      </c>
      <c r="L20" s="12">
        <f>$B20 * IFERROR(VLOOKUP(Substitution!$M$6 &amp; $A20, US_national_yearly!$D:$AM, MATCH(L$1, US_national_yearly!$D$1:$AM$1, 0), FALSE) / VLOOKUP(Substitution!$M$6 &amp; $A20, US_national_yearly!$D:$AM, MATCH(Keys!$C$7, US_national_yearly!$D$1:$AM$1, 0), FALSE), 1)</f>
        <v>8.3732760416291326E-5</v>
      </c>
      <c r="M20" s="12">
        <f>$B20 * IFERROR(VLOOKUP(Substitution!$M$6 &amp; $A20, US_national_yearly!$D:$AM, MATCH(M$1, US_national_yearly!$D$1:$AM$1, 0), FALSE) / VLOOKUP(Substitution!$M$6 &amp; $A20, US_national_yearly!$D:$AM, MATCH(Keys!$C$7, US_national_yearly!$D$1:$AM$1, 0), FALSE), 1)</f>
        <v>8.4597358939567606E-5</v>
      </c>
      <c r="N20" s="12">
        <f>$B20 * IFERROR(VLOOKUP(Substitution!$M$6 &amp; $A20, US_national_yearly!$D:$AM, MATCH(N$1, US_national_yearly!$D$1:$AM$1, 0), FALSE) / VLOOKUP(Substitution!$M$6 &amp; $A20, US_national_yearly!$D:$AM, MATCH(Keys!$C$7, US_national_yearly!$D$1:$AM$1, 0), FALSE), 1)</f>
        <v>8.4935894269165418E-5</v>
      </c>
      <c r="O20" s="12">
        <f>$B20 * IFERROR(VLOOKUP(Substitution!$M$6 &amp; $A20, US_national_yearly!$D:$AM, MATCH(O$1, US_national_yearly!$D$1:$AM$1, 0), FALSE) / VLOOKUP(Substitution!$M$6 &amp; $A20, US_national_yearly!$D:$AM, MATCH(Keys!$C$7, US_national_yearly!$D$1:$AM$1, 0), FALSE), 1)</f>
        <v>8.5274429598763258E-5</v>
      </c>
      <c r="P20" s="12">
        <f>$B20 * IFERROR(VLOOKUP(Substitution!$M$6 &amp; $A20, US_national_yearly!$D:$AM, MATCH(P$1, US_national_yearly!$D$1:$AM$1, 0), FALSE) / VLOOKUP(Substitution!$M$6 &amp; $A20, US_national_yearly!$D:$AM, MATCH(Keys!$C$7, US_national_yearly!$D$1:$AM$1, 0), FALSE), 1)</f>
        <v>8.5612964928361056E-5</v>
      </c>
      <c r="Q20" s="12">
        <f>$B20 * IFERROR(VLOOKUP(Substitution!$M$6 &amp; $A20, US_national_yearly!$D:$AM, MATCH(Q$1, US_national_yearly!$D$1:$AM$1, 0), FALSE) / VLOOKUP(Substitution!$M$6 &amp; $A20, US_national_yearly!$D:$AM, MATCH(Keys!$C$7, US_national_yearly!$D$1:$AM$1, 0), FALSE), 1)</f>
        <v>8.5951500257958882E-5</v>
      </c>
      <c r="R20" s="12">
        <f>$B20 * IFERROR(VLOOKUP(Substitution!$M$6 &amp; $A20, US_national_yearly!$D:$AM, MATCH(R$1, US_national_yearly!$D$1:$AM$1, 0), FALSE) / VLOOKUP(Substitution!$M$6 &amp; $A20, US_national_yearly!$D:$AM, MATCH(Keys!$C$7, US_national_yearly!$D$1:$AM$1, 0), FALSE), 1)</f>
        <v>8.6290035587556694E-5</v>
      </c>
      <c r="S20" s="12">
        <f>$B20 * IFERROR(VLOOKUP(Substitution!$M$6 &amp; $A20, US_national_yearly!$D:$AM, MATCH(S$1, US_national_yearly!$D$1:$AM$1, 0), FALSE) / VLOOKUP(Substitution!$M$6 &amp; $A20, US_national_yearly!$D:$AM, MATCH(Keys!$C$7, US_national_yearly!$D$1:$AM$1, 0), FALSE), 1)</f>
        <v>8.6426875447422172E-5</v>
      </c>
      <c r="T20" s="12">
        <f>$B20 * IFERROR(VLOOKUP(Substitution!$M$6 &amp; $A20, US_national_yearly!$D:$AM, MATCH(T$1, US_national_yearly!$D$1:$AM$1, 0), FALSE) / VLOOKUP(Substitution!$M$6 &amp; $A20, US_national_yearly!$D:$AM, MATCH(Keys!$C$7, US_national_yearly!$D$1:$AM$1, 0), FALSE), 1)</f>
        <v>8.6563715307287623E-5</v>
      </c>
      <c r="U20" s="12">
        <f>$B20 * IFERROR(VLOOKUP(Substitution!$M$6 &amp; $A20, US_national_yearly!$D:$AM, MATCH(U$1, US_national_yearly!$D$1:$AM$1, 0), FALSE) / VLOOKUP(Substitution!$M$6 &amp; $A20, US_national_yearly!$D:$AM, MATCH(Keys!$C$7, US_national_yearly!$D$1:$AM$1, 0), FALSE), 1)</f>
        <v>8.6700555167153073E-5</v>
      </c>
      <c r="V20" s="12">
        <f>$B20 * IFERROR(VLOOKUP(Substitution!$M$6 &amp; $A20, US_national_yearly!$D:$AM, MATCH(V$1, US_national_yearly!$D$1:$AM$1, 0), FALSE) / VLOOKUP(Substitution!$M$6 &amp; $A20, US_national_yearly!$D:$AM, MATCH(Keys!$C$7, US_national_yearly!$D$1:$AM$1, 0), FALSE), 1)</f>
        <v>8.6837395027018538E-5</v>
      </c>
      <c r="W20" s="12">
        <f>$B20 * IFERROR(VLOOKUP(Substitution!$M$6 &amp; $A20, US_national_yearly!$D:$AM, MATCH(W$1, US_national_yearly!$D$1:$AM$1, 0), FALSE) / VLOOKUP(Substitution!$M$6 &amp; $A20, US_national_yearly!$D:$AM, MATCH(Keys!$C$7, US_national_yearly!$D$1:$AM$1, 0), FALSE), 1)</f>
        <v>8.6974234886884002E-5</v>
      </c>
      <c r="X20" s="12">
        <f>$B20 * IFERROR(VLOOKUP(Substitution!$M$6 &amp; $A20, US_national_yearly!$D:$AM, MATCH(X$1, US_national_yearly!$D$1:$AM$1, 0), FALSE) / VLOOKUP(Substitution!$M$6 &amp; $A20, US_national_yearly!$D:$AM, MATCH(Keys!$C$7, US_national_yearly!$D$1:$AM$1, 0), FALSE), 1)</f>
        <v>8.7293241251107503E-5</v>
      </c>
      <c r="Y20" s="12">
        <f>$B20 * IFERROR(VLOOKUP(Substitution!$M$6 &amp; $A20, US_national_yearly!$D:$AM, MATCH(Y$1, US_national_yearly!$D$1:$AM$1, 0), FALSE) / VLOOKUP(Substitution!$M$6 &amp; $A20, US_national_yearly!$D:$AM, MATCH(Keys!$C$7, US_national_yearly!$D$1:$AM$1, 0), FALSE), 1)</f>
        <v>8.7612247615331004E-5</v>
      </c>
      <c r="Z20" s="12">
        <f>$B20 * IFERROR(VLOOKUP(Substitution!$M$6 &amp; $A20, US_national_yearly!$D:$AM, MATCH(Z$1, US_national_yearly!$D$1:$AM$1, 0), FALSE) / VLOOKUP(Substitution!$M$6 &amp; $A20, US_national_yearly!$D:$AM, MATCH(Keys!$C$7, US_national_yearly!$D$1:$AM$1, 0), FALSE), 1)</f>
        <v>8.7931253979554505E-5</v>
      </c>
      <c r="AA20" s="12">
        <f>$B20 * IFERROR(VLOOKUP(Substitution!$M$6 &amp; $A20, US_national_yearly!$D:$AM, MATCH(AA$1, US_national_yearly!$D$1:$AM$1, 0), FALSE) / VLOOKUP(Substitution!$M$6 &amp; $A20, US_national_yearly!$D:$AM, MATCH(Keys!$C$7, US_national_yearly!$D$1:$AM$1, 0), FALSE), 1)</f>
        <v>8.8250260343777993E-5</v>
      </c>
      <c r="AB20" s="12">
        <f>$B20 * IFERROR(VLOOKUP(Substitution!$M$6 &amp; $A20, US_national_yearly!$D:$AM, MATCH(AB$1, US_national_yearly!$D$1:$AM$1, 0), FALSE) / VLOOKUP(Substitution!$M$6 &amp; $A20, US_national_yearly!$D:$AM, MATCH(Keys!$C$7, US_national_yearly!$D$1:$AM$1, 0), FALSE), 1)</f>
        <v>8.8569266708001494E-5</v>
      </c>
    </row>
    <row r="21" spans="1:28" x14ac:dyDescent="0.25">
      <c r="A21" s="4" t="s">
        <v>329</v>
      </c>
      <c r="B21" s="12">
        <f>IFERROR(VLOOKUP(Substitution!$M$6 &amp; $A21, US_national_yearly!$D:$AM, MATCH(Keys!$C$7, US_national_yearly!$D$1:$AM$1, 0), FALSE), 0)</f>
        <v>1.6490788064464081E-5</v>
      </c>
      <c r="C21" s="12">
        <f>$B21 * IFERROR(VLOOKUP(Substitution!$M$6 &amp; $A21, US_national_yearly!$D:$AM, MATCH(C$1, US_national_yearly!$D$1:$AM$1, 0), FALSE) / VLOOKUP(Substitution!$M$6 &amp; $A21, US_national_yearly!$D:$AM, MATCH(Keys!$C$7, US_national_yearly!$D$1:$AM$1, 0), FALSE), 1)</f>
        <v>1.672442756886756E-5</v>
      </c>
      <c r="D21" s="12">
        <f>$B21 * IFERROR(VLOOKUP(Substitution!$M$6 &amp; $A21, US_national_yearly!$D:$AM, MATCH(D$1, US_national_yearly!$D$1:$AM$1, 0), FALSE) / VLOOKUP(Substitution!$M$6 &amp; $A21, US_national_yearly!$D:$AM, MATCH(Keys!$C$7, US_national_yearly!$D$1:$AM$1, 0), FALSE), 1)</f>
        <v>1.6958067073271039E-5</v>
      </c>
      <c r="E21" s="12">
        <f>$B21 * IFERROR(VLOOKUP(Substitution!$M$6 &amp; $A21, US_national_yearly!$D:$AM, MATCH(E$1, US_national_yearly!$D$1:$AM$1, 0), FALSE) / VLOOKUP(Substitution!$M$6 &amp; $A21, US_national_yearly!$D:$AM, MATCH(Keys!$C$7, US_national_yearly!$D$1:$AM$1, 0), FALSE), 1)</f>
        <v>1.7191706577674522E-5</v>
      </c>
      <c r="F21" s="12">
        <f>$B21 * IFERROR(VLOOKUP(Substitution!$M$6 &amp; $A21, US_national_yearly!$D:$AM, MATCH(F$1, US_national_yearly!$D$1:$AM$1, 0), FALSE) / VLOOKUP(Substitution!$M$6 &amp; $A21, US_national_yearly!$D:$AM, MATCH(Keys!$C$7, US_national_yearly!$D$1:$AM$1, 0), FALSE), 1)</f>
        <v>1.7425346082078001E-5</v>
      </c>
      <c r="G21" s="12">
        <f>$B21 * IFERROR(VLOOKUP(Substitution!$M$6 &amp; $A21, US_national_yearly!$D:$AM, MATCH(G$1, US_national_yearly!$D$1:$AM$1, 0), FALSE) / VLOOKUP(Substitution!$M$6 &amp; $A21, US_national_yearly!$D:$AM, MATCH(Keys!$C$7, US_national_yearly!$D$1:$AM$1, 0), FALSE), 1)</f>
        <v>1.7641257167810301E-5</v>
      </c>
      <c r="H21" s="12">
        <f>$B21 * IFERROR(VLOOKUP(Substitution!$M$6 &amp; $A21, US_national_yearly!$D:$AM, MATCH(H$1, US_national_yearly!$D$1:$AM$1, 0), FALSE) / VLOOKUP(Substitution!$M$6 &amp; $A21, US_national_yearly!$D:$AM, MATCH(Keys!$C$7, US_national_yearly!$D$1:$AM$1, 0), FALSE), 1)</f>
        <v>1.7857168253542601E-5</v>
      </c>
      <c r="I21" s="12">
        <f>$B21 * IFERROR(VLOOKUP(Substitution!$M$6 &amp; $A21, US_national_yearly!$D:$AM, MATCH(I$1, US_national_yearly!$D$1:$AM$1, 0), FALSE) / VLOOKUP(Substitution!$M$6 &amp; $A21, US_national_yearly!$D:$AM, MATCH(Keys!$C$7, US_national_yearly!$D$1:$AM$1, 0), FALSE), 1)</f>
        <v>1.802352514842044E-5</v>
      </c>
      <c r="J21" s="12">
        <f>$B21 * IFERROR(VLOOKUP(Substitution!$M$6 &amp; $A21, US_national_yearly!$D:$AM, MATCH(J$1, US_national_yearly!$D$1:$AM$1, 0), FALSE) / VLOOKUP(Substitution!$M$6 &amp; $A21, US_national_yearly!$D:$AM, MATCH(Keys!$C$7, US_national_yearly!$D$1:$AM$1, 0), FALSE), 1)</f>
        <v>1.8189882043298279E-5</v>
      </c>
      <c r="K21" s="12">
        <f>$B21 * IFERROR(VLOOKUP(Substitution!$M$6 &amp; $A21, US_national_yearly!$D:$AM, MATCH(K$1, US_national_yearly!$D$1:$AM$1, 0), FALSE) / VLOOKUP(Substitution!$M$6 &amp; $A21, US_national_yearly!$D:$AM, MATCH(Keys!$C$7, US_national_yearly!$D$1:$AM$1, 0), FALSE), 1)</f>
        <v>1.8356238938176121E-5</v>
      </c>
      <c r="L21" s="12">
        <f>$B21 * IFERROR(VLOOKUP(Substitution!$M$6 &amp; $A21, US_national_yearly!$D:$AM, MATCH(L$1, US_national_yearly!$D$1:$AM$1, 0), FALSE) / VLOOKUP(Substitution!$M$6 &amp; $A21, US_national_yearly!$D:$AM, MATCH(Keys!$C$7, US_national_yearly!$D$1:$AM$1, 0), FALSE), 1)</f>
        <v>1.852259583305396E-5</v>
      </c>
      <c r="M21" s="12">
        <f>$B21 * IFERROR(VLOOKUP(Substitution!$M$6 &amp; $A21, US_national_yearly!$D:$AM, MATCH(M$1, US_national_yearly!$D$1:$AM$1, 0), FALSE) / VLOOKUP(Substitution!$M$6 &amp; $A21, US_national_yearly!$D:$AM, MATCH(Keys!$C$7, US_national_yearly!$D$1:$AM$1, 0), FALSE), 1)</f>
        <v>1.8688952727931799E-5</v>
      </c>
      <c r="N21" s="12">
        <f>$B21 * IFERROR(VLOOKUP(Substitution!$M$6 &amp; $A21, US_national_yearly!$D:$AM, MATCH(N$1, US_national_yearly!$D$1:$AM$1, 0), FALSE) / VLOOKUP(Substitution!$M$6 &amp; $A21, US_national_yearly!$D:$AM, MATCH(Keys!$C$7, US_national_yearly!$D$1:$AM$1, 0), FALSE), 1)</f>
        <v>1.8794575234062759E-5</v>
      </c>
      <c r="O21" s="12">
        <f>$B21 * IFERROR(VLOOKUP(Substitution!$M$6 &amp; $A21, US_national_yearly!$D:$AM, MATCH(O$1, US_national_yearly!$D$1:$AM$1, 0), FALSE) / VLOOKUP(Substitution!$M$6 &amp; $A21, US_national_yearly!$D:$AM, MATCH(Keys!$C$7, US_national_yearly!$D$1:$AM$1, 0), FALSE), 1)</f>
        <v>1.8900197740193721E-5</v>
      </c>
      <c r="P21" s="12">
        <f>$B21 * IFERROR(VLOOKUP(Substitution!$M$6 &amp; $A21, US_national_yearly!$D:$AM, MATCH(P$1, US_national_yearly!$D$1:$AM$1, 0), FALSE) / VLOOKUP(Substitution!$M$6 &amp; $A21, US_national_yearly!$D:$AM, MATCH(Keys!$C$7, US_national_yearly!$D$1:$AM$1, 0), FALSE), 1)</f>
        <v>1.9005820246324681E-5</v>
      </c>
      <c r="Q21" s="12">
        <f>$B21 * IFERROR(VLOOKUP(Substitution!$M$6 &amp; $A21, US_national_yearly!$D:$AM, MATCH(Q$1, US_national_yearly!$D$1:$AM$1, 0), FALSE) / VLOOKUP(Substitution!$M$6 &amp; $A21, US_national_yearly!$D:$AM, MATCH(Keys!$C$7, US_national_yearly!$D$1:$AM$1, 0), FALSE), 1)</f>
        <v>1.9111442752455643E-5</v>
      </c>
      <c r="R21" s="12">
        <f>$B21 * IFERROR(VLOOKUP(Substitution!$M$6 &amp; $A21, US_national_yearly!$D:$AM, MATCH(R$1, US_national_yearly!$D$1:$AM$1, 0), FALSE) / VLOOKUP(Substitution!$M$6 &amp; $A21, US_national_yearly!$D:$AM, MATCH(Keys!$C$7, US_national_yearly!$D$1:$AM$1, 0), FALSE), 1)</f>
        <v>1.9217065258586599E-5</v>
      </c>
      <c r="S21" s="12">
        <f>$B21 * IFERROR(VLOOKUP(Substitution!$M$6 &amp; $A21, US_national_yearly!$D:$AM, MATCH(S$1, US_national_yearly!$D$1:$AM$1, 0), FALSE) / VLOOKUP(Substitution!$M$6 &amp; $A21, US_national_yearly!$D:$AM, MATCH(Keys!$C$7, US_national_yearly!$D$1:$AM$1, 0), FALSE), 1)</f>
        <v>1.9296495382693342E-5</v>
      </c>
      <c r="T21" s="12">
        <f>$B21 * IFERROR(VLOOKUP(Substitution!$M$6 &amp; $A21, US_national_yearly!$D:$AM, MATCH(T$1, US_national_yearly!$D$1:$AM$1, 0), FALSE) / VLOOKUP(Substitution!$M$6 &amp; $A21, US_national_yearly!$D:$AM, MATCH(Keys!$C$7, US_national_yearly!$D$1:$AM$1, 0), FALSE), 1)</f>
        <v>1.937592550680008E-5</v>
      </c>
      <c r="U21" s="12">
        <f>$B21 * IFERROR(VLOOKUP(Substitution!$M$6 &amp; $A21, US_national_yearly!$D:$AM, MATCH(U$1, US_national_yearly!$D$1:$AM$1, 0), FALSE) / VLOOKUP(Substitution!$M$6 &amp; $A21, US_national_yearly!$D:$AM, MATCH(Keys!$C$7, US_national_yearly!$D$1:$AM$1, 0), FALSE), 1)</f>
        <v>1.9455355630906819E-5</v>
      </c>
      <c r="V21" s="12">
        <f>$B21 * IFERROR(VLOOKUP(Substitution!$M$6 &amp; $A21, US_national_yearly!$D:$AM, MATCH(V$1, US_national_yearly!$D$1:$AM$1, 0), FALSE) / VLOOKUP(Substitution!$M$6 &amp; $A21, US_national_yearly!$D:$AM, MATCH(Keys!$C$7, US_national_yearly!$D$1:$AM$1, 0), FALSE), 1)</f>
        <v>1.9534785755013562E-5</v>
      </c>
      <c r="W21" s="12">
        <f>$B21 * IFERROR(VLOOKUP(Substitution!$M$6 &amp; $A21, US_national_yearly!$D:$AM, MATCH(W$1, US_national_yearly!$D$1:$AM$1, 0), FALSE) / VLOOKUP(Substitution!$M$6 &amp; $A21, US_national_yearly!$D:$AM, MATCH(Keys!$C$7, US_national_yearly!$D$1:$AM$1, 0), FALSE), 1)</f>
        <v>1.9614215879120301E-5</v>
      </c>
      <c r="X21" s="12">
        <f>$B21 * IFERROR(VLOOKUP(Substitution!$M$6 &amp; $A21, US_national_yearly!$D:$AM, MATCH(X$1, US_national_yearly!$D$1:$AM$1, 0), FALSE) / VLOOKUP(Substitution!$M$6 &amp; $A21, US_national_yearly!$D:$AM, MATCH(Keys!$C$7, US_national_yearly!$D$1:$AM$1, 0), FALSE), 1)</f>
        <v>1.970267106683272E-5</v>
      </c>
      <c r="Y21" s="12">
        <f>$B21 * IFERROR(VLOOKUP(Substitution!$M$6 &amp; $A21, US_national_yearly!$D:$AM, MATCH(Y$1, US_national_yearly!$D$1:$AM$1, 0), FALSE) / VLOOKUP(Substitution!$M$6 &amp; $A21, US_national_yearly!$D:$AM, MATCH(Keys!$C$7, US_national_yearly!$D$1:$AM$1, 0), FALSE), 1)</f>
        <v>1.9791126254545139E-5</v>
      </c>
      <c r="Z21" s="12">
        <f>$B21 * IFERROR(VLOOKUP(Substitution!$M$6 &amp; $A21, US_national_yearly!$D:$AM, MATCH(Z$1, US_national_yearly!$D$1:$AM$1, 0), FALSE) / VLOOKUP(Substitution!$M$6 &amp; $A21, US_national_yearly!$D:$AM, MATCH(Keys!$C$7, US_national_yearly!$D$1:$AM$1, 0), FALSE), 1)</f>
        <v>1.9879581442257559E-5</v>
      </c>
      <c r="AA21" s="12">
        <f>$B21 * IFERROR(VLOOKUP(Substitution!$M$6 &amp; $A21, US_national_yearly!$D:$AM, MATCH(AA$1, US_national_yearly!$D$1:$AM$1, 0), FALSE) / VLOOKUP(Substitution!$M$6 &amp; $A21, US_national_yearly!$D:$AM, MATCH(Keys!$C$7, US_national_yearly!$D$1:$AM$1, 0), FALSE), 1)</f>
        <v>1.9968036629969978E-5</v>
      </c>
      <c r="AB21" s="12">
        <f>$B21 * IFERROR(VLOOKUP(Substitution!$M$6 &amp; $A21, US_national_yearly!$D:$AM, MATCH(AB$1, US_national_yearly!$D$1:$AM$1, 0), FALSE) / VLOOKUP(Substitution!$M$6 &amp; $A21, US_national_yearly!$D:$AM, MATCH(Keys!$C$7, US_national_yearly!$D$1:$AM$1, 0), FALSE), 1)</f>
        <v>2.0056491817682401E-5</v>
      </c>
    </row>
    <row r="22" spans="1:28" x14ac:dyDescent="0.25">
      <c r="A22" s="4" t="s">
        <v>331</v>
      </c>
      <c r="B22" s="12">
        <f>IFERROR(VLOOKUP(Substitution!$M$6 &amp; $A22, US_national_yearly!$D:$AM, MATCH(Keys!$C$7, US_national_yearly!$D$1:$AM$1, 0), FALSE), 0)</f>
        <v>3.5249232542265821E-4</v>
      </c>
      <c r="C22" s="12">
        <f>$B22 * IFERROR(VLOOKUP(Substitution!$M$6 &amp; $A22, US_national_yearly!$D:$AM, MATCH(C$1, US_national_yearly!$D$1:$AM$1, 0), FALSE) / VLOOKUP(Substitution!$M$6 &amp; $A22, US_national_yearly!$D:$AM, MATCH(Keys!$C$7, US_national_yearly!$D$1:$AM$1, 0), FALSE), 1)</f>
        <v>3.5871666828731034E-4</v>
      </c>
      <c r="D22" s="12">
        <f>$B22 * IFERROR(VLOOKUP(Substitution!$M$6 &amp; $A22, US_national_yearly!$D:$AM, MATCH(D$1, US_national_yearly!$D$1:$AM$1, 0), FALSE) / VLOOKUP(Substitution!$M$6 &amp; $A22, US_national_yearly!$D:$AM, MATCH(Keys!$C$7, US_national_yearly!$D$1:$AM$1, 0), FALSE), 1)</f>
        <v>3.6494101115196257E-4</v>
      </c>
      <c r="E22" s="12">
        <f>$B22 * IFERROR(VLOOKUP(Substitution!$M$6 &amp; $A22, US_national_yearly!$D:$AM, MATCH(E$1, US_national_yearly!$D$1:$AM$1, 0), FALSE) / VLOOKUP(Substitution!$M$6 &amp; $A22, US_national_yearly!$D:$AM, MATCH(Keys!$C$7, US_national_yearly!$D$1:$AM$1, 0), FALSE), 1)</f>
        <v>3.7116535401661481E-4</v>
      </c>
      <c r="F22" s="12">
        <f>$B22 * IFERROR(VLOOKUP(Substitution!$M$6 &amp; $A22, US_national_yearly!$D:$AM, MATCH(F$1, US_national_yearly!$D$1:$AM$1, 0), FALSE) / VLOOKUP(Substitution!$M$6 &amp; $A22, US_national_yearly!$D:$AM, MATCH(Keys!$C$7, US_national_yearly!$D$1:$AM$1, 0), FALSE), 1)</f>
        <v>3.7738969688126705E-4</v>
      </c>
      <c r="G22" s="12">
        <f>$B22 * IFERROR(VLOOKUP(Substitution!$M$6 &amp; $A22, US_national_yearly!$D:$AM, MATCH(G$1, US_national_yearly!$D$1:$AM$1, 0), FALSE) / VLOOKUP(Substitution!$M$6 &amp; $A22, US_national_yearly!$D:$AM, MATCH(Keys!$C$7, US_national_yearly!$D$1:$AM$1, 0), FALSE), 1)</f>
        <v>3.8344923071142751E-4</v>
      </c>
      <c r="H22" s="12">
        <f>$B22 * IFERROR(VLOOKUP(Substitution!$M$6 &amp; $A22, US_national_yearly!$D:$AM, MATCH(H$1, US_national_yearly!$D$1:$AM$1, 0), FALSE) / VLOOKUP(Substitution!$M$6 &amp; $A22, US_national_yearly!$D:$AM, MATCH(Keys!$C$7, US_national_yearly!$D$1:$AM$1, 0), FALSE), 1)</f>
        <v>3.8950876454158802E-4</v>
      </c>
      <c r="I22" s="12">
        <f>$B22 * IFERROR(VLOOKUP(Substitution!$M$6 &amp; $A22, US_national_yearly!$D:$AM, MATCH(I$1, US_national_yearly!$D$1:$AM$1, 0), FALSE) / VLOOKUP(Substitution!$M$6 &amp; $A22, US_national_yearly!$D:$AM, MATCH(Keys!$C$7, US_national_yearly!$D$1:$AM$1, 0), FALSE), 1)</f>
        <v>3.952921729781104E-4</v>
      </c>
      <c r="J22" s="12">
        <f>$B22 * IFERROR(VLOOKUP(Substitution!$M$6 &amp; $A22, US_national_yearly!$D:$AM, MATCH(J$1, US_national_yearly!$D$1:$AM$1, 0), FALSE) / VLOOKUP(Substitution!$M$6 &amp; $A22, US_national_yearly!$D:$AM, MATCH(Keys!$C$7, US_national_yearly!$D$1:$AM$1, 0), FALSE), 1)</f>
        <v>4.0107558141463283E-4</v>
      </c>
      <c r="K22" s="12">
        <f>$B22 * IFERROR(VLOOKUP(Substitution!$M$6 &amp; $A22, US_national_yearly!$D:$AM, MATCH(K$1, US_national_yearly!$D$1:$AM$1, 0), FALSE) / VLOOKUP(Substitution!$M$6 &amp; $A22, US_national_yearly!$D:$AM, MATCH(Keys!$C$7, US_national_yearly!$D$1:$AM$1, 0), FALSE), 1)</f>
        <v>4.0685898985115521E-4</v>
      </c>
      <c r="L22" s="12">
        <f>$B22 * IFERROR(VLOOKUP(Substitution!$M$6 &amp; $A22, US_national_yearly!$D:$AM, MATCH(L$1, US_national_yearly!$D$1:$AM$1, 0), FALSE) / VLOOKUP(Substitution!$M$6 &amp; $A22, US_national_yearly!$D:$AM, MATCH(Keys!$C$7, US_national_yearly!$D$1:$AM$1, 0), FALSE), 1)</f>
        <v>4.1264239828767759E-4</v>
      </c>
      <c r="M22" s="12">
        <f>$B22 * IFERROR(VLOOKUP(Substitution!$M$6 &amp; $A22, US_national_yearly!$D:$AM, MATCH(M$1, US_national_yearly!$D$1:$AM$1, 0), FALSE) / VLOOKUP(Substitution!$M$6 &amp; $A22, US_national_yearly!$D:$AM, MATCH(Keys!$C$7, US_national_yearly!$D$1:$AM$1, 0), FALSE), 1)</f>
        <v>4.1842580672420002E-4</v>
      </c>
      <c r="N22" s="12">
        <f>$B22 * IFERROR(VLOOKUP(Substitution!$M$6 &amp; $A22, US_national_yearly!$D:$AM, MATCH(N$1, US_national_yearly!$D$1:$AM$1, 0), FALSE) / VLOOKUP(Substitution!$M$6 &amp; $A22, US_national_yearly!$D:$AM, MATCH(Keys!$C$7, US_national_yearly!$D$1:$AM$1, 0), FALSE), 1)</f>
        <v>4.2287782839169953E-4</v>
      </c>
      <c r="O22" s="12">
        <f>$B22 * IFERROR(VLOOKUP(Substitution!$M$6 &amp; $A22, US_national_yearly!$D:$AM, MATCH(O$1, US_national_yearly!$D$1:$AM$1, 0), FALSE) / VLOOKUP(Substitution!$M$6 &amp; $A22, US_national_yearly!$D:$AM, MATCH(Keys!$C$7, US_national_yearly!$D$1:$AM$1, 0), FALSE), 1)</f>
        <v>4.2732985005919914E-4</v>
      </c>
      <c r="P22" s="12">
        <f>$B22 * IFERROR(VLOOKUP(Substitution!$M$6 &amp; $A22, US_national_yearly!$D:$AM, MATCH(P$1, US_national_yearly!$D$1:$AM$1, 0), FALSE) / VLOOKUP(Substitution!$M$6 &amp; $A22, US_national_yearly!$D:$AM, MATCH(Keys!$C$7, US_national_yearly!$D$1:$AM$1, 0), FALSE), 1)</f>
        <v>4.3178187172669886E-4</v>
      </c>
      <c r="Q22" s="12">
        <f>$B22 * IFERROR(VLOOKUP(Substitution!$M$6 &amp; $A22, US_national_yearly!$D:$AM, MATCH(Q$1, US_national_yearly!$D$1:$AM$1, 0), FALSE) / VLOOKUP(Substitution!$M$6 &amp; $A22, US_national_yearly!$D:$AM, MATCH(Keys!$C$7, US_national_yearly!$D$1:$AM$1, 0), FALSE), 1)</f>
        <v>4.3623389339419847E-4</v>
      </c>
      <c r="R22" s="12">
        <f>$B22 * IFERROR(VLOOKUP(Substitution!$M$6 &amp; $A22, US_national_yearly!$D:$AM, MATCH(R$1, US_national_yearly!$D$1:$AM$1, 0), FALSE) / VLOOKUP(Substitution!$M$6 &amp; $A22, US_national_yearly!$D:$AM, MATCH(Keys!$C$7, US_national_yearly!$D$1:$AM$1, 0), FALSE), 1)</f>
        <v>4.4068591506169798E-4</v>
      </c>
      <c r="S22" s="12">
        <f>$B22 * IFERROR(VLOOKUP(Substitution!$M$6 &amp; $A22, US_national_yearly!$D:$AM, MATCH(S$1, US_national_yearly!$D$1:$AM$1, 0), FALSE) / VLOOKUP(Substitution!$M$6 &amp; $A22, US_national_yearly!$D:$AM, MATCH(Keys!$C$7, US_national_yearly!$D$1:$AM$1, 0), FALSE), 1)</f>
        <v>4.4353278346386562E-4</v>
      </c>
      <c r="T22" s="12">
        <f>$B22 * IFERROR(VLOOKUP(Substitution!$M$6 &amp; $A22, US_national_yearly!$D:$AM, MATCH(T$1, US_national_yearly!$D$1:$AM$1, 0), FALSE) / VLOOKUP(Substitution!$M$6 &amp; $A22, US_national_yearly!$D:$AM, MATCH(Keys!$C$7, US_national_yearly!$D$1:$AM$1, 0), FALSE), 1)</f>
        <v>4.4637965186603321E-4</v>
      </c>
      <c r="U22" s="12">
        <f>$B22 * IFERROR(VLOOKUP(Substitution!$M$6 &amp; $A22, US_national_yearly!$D:$AM, MATCH(U$1, US_national_yearly!$D$1:$AM$1, 0), FALSE) / VLOOKUP(Substitution!$M$6 &amp; $A22, US_national_yearly!$D:$AM, MATCH(Keys!$C$7, US_national_yearly!$D$1:$AM$1, 0), FALSE), 1)</f>
        <v>4.4922652026820086E-4</v>
      </c>
      <c r="V22" s="12">
        <f>$B22 * IFERROR(VLOOKUP(Substitution!$M$6 &amp; $A22, US_national_yearly!$D:$AM, MATCH(V$1, US_national_yearly!$D$1:$AM$1, 0), FALSE) / VLOOKUP(Substitution!$M$6 &amp; $A22, US_national_yearly!$D:$AM, MATCH(Keys!$C$7, US_national_yearly!$D$1:$AM$1, 0), FALSE), 1)</f>
        <v>4.520733886703684E-4</v>
      </c>
      <c r="W22" s="12">
        <f>$B22 * IFERROR(VLOOKUP(Substitution!$M$6 &amp; $A22, US_national_yearly!$D:$AM, MATCH(W$1, US_national_yearly!$D$1:$AM$1, 0), FALSE) / VLOOKUP(Substitution!$M$6 &amp; $A22, US_national_yearly!$D:$AM, MATCH(Keys!$C$7, US_national_yearly!$D$1:$AM$1, 0), FALSE), 1)</f>
        <v>4.5492025707253599E-4</v>
      </c>
      <c r="X22" s="12">
        <f>$B22 * IFERROR(VLOOKUP(Substitution!$M$6 &amp; $A22, US_national_yearly!$D:$AM, MATCH(X$1, US_national_yearly!$D$1:$AM$1, 0), FALSE) / VLOOKUP(Substitution!$M$6 &amp; $A22, US_national_yearly!$D:$AM, MATCH(Keys!$C$7, US_national_yearly!$D$1:$AM$1, 0), FALSE), 1)</f>
        <v>4.5687704691316878E-4</v>
      </c>
      <c r="Y22" s="12">
        <f>$B22 * IFERROR(VLOOKUP(Substitution!$M$6 &amp; $A22, US_national_yearly!$D:$AM, MATCH(Y$1, US_national_yearly!$D$1:$AM$1, 0), FALSE) / VLOOKUP(Substitution!$M$6 &amp; $A22, US_national_yearly!$D:$AM, MATCH(Keys!$C$7, US_national_yearly!$D$1:$AM$1, 0), FALSE), 1)</f>
        <v>4.5883383675380163E-4</v>
      </c>
      <c r="Z22" s="12">
        <f>$B22 * IFERROR(VLOOKUP(Substitution!$M$6 &amp; $A22, US_national_yearly!$D:$AM, MATCH(Z$1, US_national_yearly!$D$1:$AM$1, 0), FALSE) / VLOOKUP(Substitution!$M$6 &amp; $A22, US_national_yearly!$D:$AM, MATCH(Keys!$C$7, US_national_yearly!$D$1:$AM$1, 0), FALSE), 1)</f>
        <v>4.6079062659443436E-4</v>
      </c>
      <c r="AA22" s="12">
        <f>$B22 * IFERROR(VLOOKUP(Substitution!$M$6 &amp; $A22, US_national_yearly!$D:$AM, MATCH(AA$1, US_national_yearly!$D$1:$AM$1, 0), FALSE) / VLOOKUP(Substitution!$M$6 &amp; $A22, US_national_yearly!$D:$AM, MATCH(Keys!$C$7, US_national_yearly!$D$1:$AM$1, 0), FALSE), 1)</f>
        <v>4.6274741643506721E-4</v>
      </c>
      <c r="AB22" s="12">
        <f>$B22 * IFERROR(VLOOKUP(Substitution!$M$6 &amp; $A22, US_national_yearly!$D:$AM, MATCH(AB$1, US_national_yearly!$D$1:$AM$1, 0), FALSE) / VLOOKUP(Substitution!$M$6 &amp; $A22, US_national_yearly!$D:$AM, MATCH(Keys!$C$7, US_national_yearly!$D$1:$AM$1, 0), FALSE), 1)</f>
        <v>4.647042062757E-4</v>
      </c>
    </row>
    <row r="23" spans="1:28" x14ac:dyDescent="0.25">
      <c r="A23" s="4" t="s">
        <v>333</v>
      </c>
      <c r="B23" s="12">
        <f>IFERROR(VLOOKUP(Substitution!$M$6 &amp; $A23, US_national_yearly!$D:$AM, MATCH(Keys!$C$7, US_national_yearly!$D$1:$AM$1, 0), FALSE), 0)</f>
        <v>1.9744073031331659</v>
      </c>
      <c r="C23" s="12">
        <f>$B23 * IFERROR(VLOOKUP(Substitution!$M$6 &amp; $A23, US_national_yearly!$D:$AM, MATCH(C$1, US_national_yearly!$D$1:$AM$1, 0), FALSE) / VLOOKUP(Substitution!$M$6 &amp; $A23, US_national_yearly!$D:$AM, MATCH(Keys!$C$7, US_national_yearly!$D$1:$AM$1, 0), FALSE), 1)</f>
        <v>1.9951417554548521</v>
      </c>
      <c r="D23" s="12">
        <f>$B23 * IFERROR(VLOOKUP(Substitution!$M$6 &amp; $A23, US_national_yearly!$D:$AM, MATCH(D$1, US_national_yearly!$D$1:$AM$1, 0), FALSE) / VLOOKUP(Substitution!$M$6 &amp; $A23, US_national_yearly!$D:$AM, MATCH(Keys!$C$7, US_national_yearly!$D$1:$AM$1, 0), FALSE), 1)</f>
        <v>2.0158762077765382</v>
      </c>
      <c r="E23" s="12">
        <f>$B23 * IFERROR(VLOOKUP(Substitution!$M$6 &amp; $A23, US_national_yearly!$D:$AM, MATCH(E$1, US_national_yearly!$D$1:$AM$1, 0), FALSE) / VLOOKUP(Substitution!$M$6 &amp; $A23, US_national_yearly!$D:$AM, MATCH(Keys!$C$7, US_national_yearly!$D$1:$AM$1, 0), FALSE), 1)</f>
        <v>2.0366106600982241</v>
      </c>
      <c r="F23" s="12">
        <f>$B23 * IFERROR(VLOOKUP(Substitution!$M$6 &amp; $A23, US_national_yearly!$D:$AM, MATCH(F$1, US_national_yearly!$D$1:$AM$1, 0), FALSE) / VLOOKUP(Substitution!$M$6 &amp; $A23, US_national_yearly!$D:$AM, MATCH(Keys!$C$7, US_national_yearly!$D$1:$AM$1, 0), FALSE), 1)</f>
        <v>2.05734511241991</v>
      </c>
      <c r="G23" s="12">
        <f>$B23 * IFERROR(VLOOKUP(Substitution!$M$6 &amp; $A23, US_national_yearly!$D:$AM, MATCH(G$1, US_national_yearly!$D$1:$AM$1, 0), FALSE) / VLOOKUP(Substitution!$M$6 &amp; $A23, US_national_yearly!$D:$AM, MATCH(Keys!$C$7, US_national_yearly!$D$1:$AM$1, 0), FALSE), 1)</f>
        <v>2.080508708091295</v>
      </c>
      <c r="H23" s="12">
        <f>$B23 * IFERROR(VLOOKUP(Substitution!$M$6 &amp; $A23, US_national_yearly!$D:$AM, MATCH(H$1, US_national_yearly!$D$1:$AM$1, 0), FALSE) / VLOOKUP(Substitution!$M$6 &amp; $A23, US_national_yearly!$D:$AM, MATCH(Keys!$C$7, US_national_yearly!$D$1:$AM$1, 0), FALSE), 1)</f>
        <v>2.1036723037626799</v>
      </c>
      <c r="I23" s="12">
        <f>$B23 * IFERROR(VLOOKUP(Substitution!$M$6 &amp; $A23, US_national_yearly!$D:$AM, MATCH(I$1, US_national_yearly!$D$1:$AM$1, 0), FALSE) / VLOOKUP(Substitution!$M$6 &amp; $A23, US_national_yearly!$D:$AM, MATCH(Keys!$C$7, US_national_yearly!$D$1:$AM$1, 0), FALSE), 1)</f>
        <v>2.1210036242749539</v>
      </c>
      <c r="J23" s="12">
        <f>$B23 * IFERROR(VLOOKUP(Substitution!$M$6 &amp; $A23, US_national_yearly!$D:$AM, MATCH(J$1, US_national_yearly!$D$1:$AM$1, 0), FALSE) / VLOOKUP(Substitution!$M$6 &amp; $A23, US_national_yearly!$D:$AM, MATCH(Keys!$C$7, US_national_yearly!$D$1:$AM$1, 0), FALSE), 1)</f>
        <v>2.138334944787228</v>
      </c>
      <c r="K23" s="12">
        <f>$B23 * IFERROR(VLOOKUP(Substitution!$M$6 &amp; $A23, US_national_yearly!$D:$AM, MATCH(K$1, US_national_yearly!$D$1:$AM$1, 0), FALSE) / VLOOKUP(Substitution!$M$6 &amp; $A23, US_national_yearly!$D:$AM, MATCH(Keys!$C$7, US_national_yearly!$D$1:$AM$1, 0), FALSE), 1)</f>
        <v>2.155666265299502</v>
      </c>
      <c r="L23" s="12">
        <f>$B23 * IFERROR(VLOOKUP(Substitution!$M$6 &amp; $A23, US_national_yearly!$D:$AM, MATCH(L$1, US_national_yearly!$D$1:$AM$1, 0), FALSE) / VLOOKUP(Substitution!$M$6 &amp; $A23, US_national_yearly!$D:$AM, MATCH(Keys!$C$7, US_national_yearly!$D$1:$AM$1, 0), FALSE), 1)</f>
        <v>2.172997585811776</v>
      </c>
      <c r="M23" s="12">
        <f>$B23 * IFERROR(VLOOKUP(Substitution!$M$6 &amp; $A23, US_national_yearly!$D:$AM, MATCH(M$1, US_national_yearly!$D$1:$AM$1, 0), FALSE) / VLOOKUP(Substitution!$M$6 &amp; $A23, US_national_yearly!$D:$AM, MATCH(Keys!$C$7, US_national_yearly!$D$1:$AM$1, 0), FALSE), 1)</f>
        <v>2.1903289063240501</v>
      </c>
      <c r="N23" s="12">
        <f>$B23 * IFERROR(VLOOKUP(Substitution!$M$6 &amp; $A23, US_national_yearly!$D:$AM, MATCH(N$1, US_national_yearly!$D$1:$AM$1, 0), FALSE) / VLOOKUP(Substitution!$M$6 &amp; $A23, US_national_yearly!$D:$AM, MATCH(Keys!$C$7, US_national_yearly!$D$1:$AM$1, 0), FALSE), 1)</f>
        <v>2.1985971700830098</v>
      </c>
      <c r="O23" s="12">
        <f>$B23 * IFERROR(VLOOKUP(Substitution!$M$6 &amp; $A23, US_national_yearly!$D:$AM, MATCH(O$1, US_national_yearly!$D$1:$AM$1, 0), FALSE) / VLOOKUP(Substitution!$M$6 &amp; $A23, US_national_yearly!$D:$AM, MATCH(Keys!$C$7, US_national_yearly!$D$1:$AM$1, 0), FALSE), 1)</f>
        <v>2.20686543384197</v>
      </c>
      <c r="P23" s="12">
        <f>$B23 * IFERROR(VLOOKUP(Substitution!$M$6 &amp; $A23, US_national_yearly!$D:$AM, MATCH(P$1, US_national_yearly!$D$1:$AM$1, 0), FALSE) / VLOOKUP(Substitution!$M$6 &amp; $A23, US_national_yearly!$D:$AM, MATCH(Keys!$C$7, US_national_yearly!$D$1:$AM$1, 0), FALSE), 1)</f>
        <v>2.2151336976009302</v>
      </c>
      <c r="Q23" s="12">
        <f>$B23 * IFERROR(VLOOKUP(Substitution!$M$6 &amp; $A23, US_national_yearly!$D:$AM, MATCH(Q$1, US_national_yearly!$D$1:$AM$1, 0), FALSE) / VLOOKUP(Substitution!$M$6 &amp; $A23, US_national_yearly!$D:$AM, MATCH(Keys!$C$7, US_national_yearly!$D$1:$AM$1, 0), FALSE), 1)</f>
        <v>2.2234019613598899</v>
      </c>
      <c r="R23" s="12">
        <f>$B23 * IFERROR(VLOOKUP(Substitution!$M$6 &amp; $A23, US_national_yearly!$D:$AM, MATCH(R$1, US_national_yearly!$D$1:$AM$1, 0), FALSE) / VLOOKUP(Substitution!$M$6 &amp; $A23, US_national_yearly!$D:$AM, MATCH(Keys!$C$7, US_national_yearly!$D$1:$AM$1, 0), FALSE), 1)</f>
        <v>2.23167022511885</v>
      </c>
      <c r="S23" s="12">
        <f>$B23 * IFERROR(VLOOKUP(Substitution!$M$6 &amp; $A23, US_national_yearly!$D:$AM, MATCH(S$1, US_national_yearly!$D$1:$AM$1, 0), FALSE) / VLOOKUP(Substitution!$M$6 &amp; $A23, US_national_yearly!$D:$AM, MATCH(Keys!$C$7, US_national_yearly!$D$1:$AM$1, 0), FALSE), 1)</f>
        <v>2.2416742732150041</v>
      </c>
      <c r="T23" s="12">
        <f>$B23 * IFERROR(VLOOKUP(Substitution!$M$6 &amp; $A23, US_national_yearly!$D:$AM, MATCH(T$1, US_national_yearly!$D$1:$AM$1, 0), FALSE) / VLOOKUP(Substitution!$M$6 &amp; $A23, US_national_yearly!$D:$AM, MATCH(Keys!$C$7, US_national_yearly!$D$1:$AM$1, 0), FALSE), 1)</f>
        <v>2.2516783213111582</v>
      </c>
      <c r="U23" s="12">
        <f>$B23 * IFERROR(VLOOKUP(Substitution!$M$6 &amp; $A23, US_national_yearly!$D:$AM, MATCH(U$1, US_national_yearly!$D$1:$AM$1, 0), FALSE) / VLOOKUP(Substitution!$M$6 &amp; $A23, US_national_yearly!$D:$AM, MATCH(Keys!$C$7, US_national_yearly!$D$1:$AM$1, 0), FALSE), 1)</f>
        <v>2.2616823694073118</v>
      </c>
      <c r="V23" s="12">
        <f>$B23 * IFERROR(VLOOKUP(Substitution!$M$6 &amp; $A23, US_national_yearly!$D:$AM, MATCH(V$1, US_national_yearly!$D$1:$AM$1, 0), FALSE) / VLOOKUP(Substitution!$M$6 &amp; $A23, US_national_yearly!$D:$AM, MATCH(Keys!$C$7, US_national_yearly!$D$1:$AM$1, 0), FALSE), 1)</f>
        <v>2.2716864175034659</v>
      </c>
      <c r="W23" s="12">
        <f>$B23 * IFERROR(VLOOKUP(Substitution!$M$6 &amp; $A23, US_national_yearly!$D:$AM, MATCH(W$1, US_national_yearly!$D$1:$AM$1, 0), FALSE) / VLOOKUP(Substitution!$M$6 &amp; $A23, US_national_yearly!$D:$AM, MATCH(Keys!$C$7, US_national_yearly!$D$1:$AM$1, 0), FALSE), 1)</f>
        <v>2.28169046559962</v>
      </c>
      <c r="X23" s="12">
        <f>$B23 * IFERROR(VLOOKUP(Substitution!$M$6 &amp; $A23, US_national_yearly!$D:$AM, MATCH(X$1, US_national_yearly!$D$1:$AM$1, 0), FALSE) / VLOOKUP(Substitution!$M$6 &amp; $A23, US_national_yearly!$D:$AM, MATCH(Keys!$C$7, US_national_yearly!$D$1:$AM$1, 0), FALSE), 1)</f>
        <v>2.2922778018669101</v>
      </c>
      <c r="Y23" s="12">
        <f>$B23 * IFERROR(VLOOKUP(Substitution!$M$6 &amp; $A23, US_national_yearly!$D:$AM, MATCH(Y$1, US_national_yearly!$D$1:$AM$1, 0), FALSE) / VLOOKUP(Substitution!$M$6 &amp; $A23, US_national_yearly!$D:$AM, MATCH(Keys!$C$7, US_national_yearly!$D$1:$AM$1, 0), FALSE), 1)</f>
        <v>2.3028651381341998</v>
      </c>
      <c r="Z23" s="12">
        <f>$B23 * IFERROR(VLOOKUP(Substitution!$M$6 &amp; $A23, US_national_yearly!$D:$AM, MATCH(Z$1, US_national_yearly!$D$1:$AM$1, 0), FALSE) / VLOOKUP(Substitution!$M$6 &amp; $A23, US_national_yearly!$D:$AM, MATCH(Keys!$C$7, US_national_yearly!$D$1:$AM$1, 0), FALSE), 1)</f>
        <v>2.3134524744014899</v>
      </c>
      <c r="AA23" s="12">
        <f>$B23 * IFERROR(VLOOKUP(Substitution!$M$6 &amp; $A23, US_national_yearly!$D:$AM, MATCH(AA$1, US_national_yearly!$D$1:$AM$1, 0), FALSE) / VLOOKUP(Substitution!$M$6 &amp; $A23, US_national_yearly!$D:$AM, MATCH(Keys!$C$7, US_national_yearly!$D$1:$AM$1, 0), FALSE), 1)</f>
        <v>2.3240398106687801</v>
      </c>
      <c r="AB23" s="12">
        <f>$B23 * IFERROR(VLOOKUP(Substitution!$M$6 &amp; $A23, US_national_yearly!$D:$AM, MATCH(AB$1, US_national_yearly!$D$1:$AM$1, 0), FALSE) / VLOOKUP(Substitution!$M$6 &amp; $A23, US_national_yearly!$D:$AM, MATCH(Keys!$C$7, US_national_yearly!$D$1:$AM$1, 0), FALSE), 1)</f>
        <v>2.3346271469360702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Substitution!$G$7)/IFERROR(SUMIFS(COBRA_aggregated!$V:$V, COBRA_aggregated!$A:$A, About!$B$1, COBRA_aggregated!$B:$B, Substitution!$G$7), 1)</f>
        <v>9.3831735735502367E-3</v>
      </c>
      <c r="C2" s="12">
        <f>$B2 * IFERROR(VLOOKUP(Substitution!$M$7 &amp; $A2, US_national_yearly!$D:$AM, MATCH(C$1, US_national_yearly!$D$1:$AM$1, 0), FALSE) / VLOOKUP(Substitution!$M$7 &amp; $A2, US_national_yearly!$D:$AM, MATCH(Keys!$C$7, US_national_yearly!$D$1:$AM$1, 0), FALSE), 1)</f>
        <v>9.5020063899577817E-3</v>
      </c>
      <c r="D2" s="12">
        <f>$B2 * IFERROR(VLOOKUP(Substitution!$M$7 &amp; $A2, US_national_yearly!$D:$AM, MATCH(D$1, US_national_yearly!$D$1:$AM$1, 0), FALSE) / VLOOKUP(Substitution!$M$7 &amp; $A2, US_national_yearly!$D:$AM, MATCH(Keys!$C$7, US_national_yearly!$D$1:$AM$1, 0), FALSE), 1)</f>
        <v>9.6208392063653267E-3</v>
      </c>
      <c r="E2" s="12">
        <f>$B2 * IFERROR(VLOOKUP(Substitution!$M$7 &amp; $A2, US_national_yearly!$D:$AM, MATCH(E$1, US_national_yearly!$D$1:$AM$1, 0), FALSE) / VLOOKUP(Substitution!$M$7 &amp; $A2, US_national_yearly!$D:$AM, MATCH(Keys!$C$7, US_national_yearly!$D$1:$AM$1, 0), FALSE), 1)</f>
        <v>9.7396720227728717E-3</v>
      </c>
      <c r="F2" s="12">
        <f>$B2 * IFERROR(VLOOKUP(Substitution!$M$7 &amp; $A2, US_national_yearly!$D:$AM, MATCH(F$1, US_national_yearly!$D$1:$AM$1, 0), FALSE) / VLOOKUP(Substitution!$M$7 &amp; $A2, US_national_yearly!$D:$AM, MATCH(Keys!$C$7, US_national_yearly!$D$1:$AM$1, 0), FALSE), 1)</f>
        <v>9.858504839180415E-3</v>
      </c>
      <c r="G2" s="12">
        <f>$B2 * IFERROR(VLOOKUP(Substitution!$M$7 &amp; $A2, US_national_yearly!$D:$AM, MATCH(G$1, US_national_yearly!$D$1:$AM$1, 0), FALSE) / VLOOKUP(Substitution!$M$7 &amp; $A2, US_national_yearly!$D:$AM, MATCH(Keys!$C$7, US_national_yearly!$D$1:$AM$1, 0), FALSE), 1)</f>
        <v>1.0087488941684335E-2</v>
      </c>
      <c r="H2" s="12">
        <f>$B2 * IFERROR(VLOOKUP(Substitution!$M$7 &amp; $A2, US_national_yearly!$D:$AM, MATCH(H$1, US_national_yearly!$D$1:$AM$1, 0), FALSE) / VLOOKUP(Substitution!$M$7 &amp; $A2, US_national_yearly!$D:$AM, MATCH(Keys!$C$7, US_national_yearly!$D$1:$AM$1, 0), FALSE), 1)</f>
        <v>1.031647304418825E-2</v>
      </c>
      <c r="I2" s="12">
        <f>$B2 * IFERROR(VLOOKUP(Substitution!$M$7 &amp; $A2, US_national_yearly!$D:$AM, MATCH(I$1, US_national_yearly!$D$1:$AM$1, 0), FALSE) / VLOOKUP(Substitution!$M$7 &amp; $A2, US_national_yearly!$D:$AM, MATCH(Keys!$C$7, US_national_yearly!$D$1:$AM$1, 0), FALSE), 1)</f>
        <v>1.0467799769899184E-2</v>
      </c>
      <c r="J2" s="12">
        <f>$B2 * IFERROR(VLOOKUP(Substitution!$M$7 &amp; $A2, US_national_yearly!$D:$AM, MATCH(J$1, US_national_yearly!$D$1:$AM$1, 0), FALSE) / VLOOKUP(Substitution!$M$7 &amp; $A2, US_national_yearly!$D:$AM, MATCH(Keys!$C$7, US_national_yearly!$D$1:$AM$1, 0), FALSE), 1)</f>
        <v>1.0619126495610118E-2</v>
      </c>
      <c r="K2" s="12">
        <f>$B2 * IFERROR(VLOOKUP(Substitution!$M$7 &amp; $A2, US_national_yearly!$D:$AM, MATCH(K$1, US_national_yearly!$D$1:$AM$1, 0), FALSE) / VLOOKUP(Substitution!$M$7 &amp; $A2, US_national_yearly!$D:$AM, MATCH(Keys!$C$7, US_national_yearly!$D$1:$AM$1, 0), FALSE), 1)</f>
        <v>1.0770453221321051E-2</v>
      </c>
      <c r="L2" s="12">
        <f>$B2 * IFERROR(VLOOKUP(Substitution!$M$7 &amp; $A2, US_national_yearly!$D:$AM, MATCH(L$1, US_national_yearly!$D$1:$AM$1, 0), FALSE) / VLOOKUP(Substitution!$M$7 &amp; $A2, US_national_yearly!$D:$AM, MATCH(Keys!$C$7, US_national_yearly!$D$1:$AM$1, 0), FALSE), 1)</f>
        <v>1.0921779947031985E-2</v>
      </c>
      <c r="M2" s="12">
        <f>$B2 * IFERROR(VLOOKUP(Substitution!$M$7 &amp; $A2, US_national_yearly!$D:$AM, MATCH(M$1, US_national_yearly!$D$1:$AM$1, 0), FALSE) / VLOOKUP(Substitution!$M$7 &amp; $A2, US_national_yearly!$D:$AM, MATCH(Keys!$C$7, US_national_yearly!$D$1:$AM$1, 0), FALSE), 1)</f>
        <v>1.107310667274292E-2</v>
      </c>
      <c r="N2" s="12">
        <f>$B2 * IFERROR(VLOOKUP(Substitution!$M$7 &amp; $A2, US_national_yearly!$D:$AM, MATCH(N$1, US_national_yearly!$D$1:$AM$1, 0), FALSE) / VLOOKUP(Substitution!$M$7 &amp; $A2, US_national_yearly!$D:$AM, MATCH(Keys!$C$7, US_national_yearly!$D$1:$AM$1, 0), FALSE), 1)</f>
        <v>1.1191345167839215E-2</v>
      </c>
      <c r="O2" s="12">
        <f>$B2 * IFERROR(VLOOKUP(Substitution!$M$7 &amp; $A2, US_national_yearly!$D:$AM, MATCH(O$1, US_national_yearly!$D$1:$AM$1, 0), FALSE) / VLOOKUP(Substitution!$M$7 &amp; $A2, US_national_yearly!$D:$AM, MATCH(Keys!$C$7, US_national_yearly!$D$1:$AM$1, 0), FALSE), 1)</f>
        <v>1.130958366293551E-2</v>
      </c>
      <c r="P2" s="12">
        <f>$B2 * IFERROR(VLOOKUP(Substitution!$M$7 &amp; $A2, US_national_yearly!$D:$AM, MATCH(P$1, US_national_yearly!$D$1:$AM$1, 0), FALSE) / VLOOKUP(Substitution!$M$7 &amp; $A2, US_national_yearly!$D:$AM, MATCH(Keys!$C$7, US_national_yearly!$D$1:$AM$1, 0), FALSE), 1)</f>
        <v>1.1427822158031805E-2</v>
      </c>
      <c r="Q2" s="12">
        <f>$B2 * IFERROR(VLOOKUP(Substitution!$M$7 &amp; $A2, US_national_yearly!$D:$AM, MATCH(Q$1, US_national_yearly!$D$1:$AM$1, 0), FALSE) / VLOOKUP(Substitution!$M$7 &amp; $A2, US_national_yearly!$D:$AM, MATCH(Keys!$C$7, US_national_yearly!$D$1:$AM$1, 0), FALSE), 1)</f>
        <v>1.1546060653128101E-2</v>
      </c>
      <c r="R2" s="12">
        <f>$B2 * IFERROR(VLOOKUP(Substitution!$M$7 &amp; $A2, US_national_yearly!$D:$AM, MATCH(R$1, US_national_yearly!$D$1:$AM$1, 0), FALSE) / VLOOKUP(Substitution!$M$7 &amp; $A2, US_national_yearly!$D:$AM, MATCH(Keys!$C$7, US_national_yearly!$D$1:$AM$1, 0), FALSE), 1)</f>
        <v>1.1664299148224394E-2</v>
      </c>
      <c r="S2" s="12">
        <f>$B2 * IFERROR(VLOOKUP(Substitution!$M$7 &amp; $A2, US_national_yearly!$D:$AM, MATCH(S$1, US_national_yearly!$D$1:$AM$1, 0), FALSE) / VLOOKUP(Substitution!$M$7 &amp; $A2, US_national_yearly!$D:$AM, MATCH(Keys!$C$7, US_national_yearly!$D$1:$AM$1, 0), FALSE), 1)</f>
        <v>1.1727617436717581E-2</v>
      </c>
      <c r="T2" s="12">
        <f>$B2 * IFERROR(VLOOKUP(Substitution!$M$7 &amp; $A2, US_national_yearly!$D:$AM, MATCH(T$1, US_national_yearly!$D$1:$AM$1, 0), FALSE) / VLOOKUP(Substitution!$M$7 &amp; $A2, US_national_yearly!$D:$AM, MATCH(Keys!$C$7, US_national_yearly!$D$1:$AM$1, 0), FALSE), 1)</f>
        <v>1.1790935725210765E-2</v>
      </c>
      <c r="U2" s="12">
        <f>$B2 * IFERROR(VLOOKUP(Substitution!$M$7 &amp; $A2, US_national_yearly!$D:$AM, MATCH(U$1, US_national_yearly!$D$1:$AM$1, 0), FALSE) / VLOOKUP(Substitution!$M$7 &amp; $A2, US_national_yearly!$D:$AM, MATCH(Keys!$C$7, US_national_yearly!$D$1:$AM$1, 0), FALSE), 1)</f>
        <v>1.1854254013703951E-2</v>
      </c>
      <c r="V2" s="12">
        <f>$B2 * IFERROR(VLOOKUP(Substitution!$M$7 &amp; $A2, US_national_yearly!$D:$AM, MATCH(V$1, US_national_yearly!$D$1:$AM$1, 0), FALSE) / VLOOKUP(Substitution!$M$7 &amp; $A2, US_national_yearly!$D:$AM, MATCH(Keys!$C$7, US_national_yearly!$D$1:$AM$1, 0), FALSE), 1)</f>
        <v>1.1917572302197137E-2</v>
      </c>
      <c r="W2" s="12">
        <f>$B2 * IFERROR(VLOOKUP(Substitution!$M$7 &amp; $A2, US_national_yearly!$D:$AM, MATCH(W$1, US_national_yearly!$D$1:$AM$1, 0), FALSE) / VLOOKUP(Substitution!$M$7 &amp; $A2, US_national_yearly!$D:$AM, MATCH(Keys!$C$7, US_national_yearly!$D$1:$AM$1, 0), FALSE), 1)</f>
        <v>1.1980890590690324E-2</v>
      </c>
      <c r="X2" s="12">
        <f>$B2 * IFERROR(VLOOKUP(Substitution!$M$7 &amp; $A2, US_national_yearly!$D:$AM, MATCH(X$1, US_national_yearly!$D$1:$AM$1, 0), FALSE) / VLOOKUP(Substitution!$M$7 &amp; $A2, US_national_yearly!$D:$AM, MATCH(Keys!$C$7, US_national_yearly!$D$1:$AM$1, 0), FALSE), 1)</f>
        <v>1.1993753894673794E-2</v>
      </c>
      <c r="Y2" s="12">
        <f>$B2 * IFERROR(VLOOKUP(Substitution!$M$7 &amp; $A2, US_national_yearly!$D:$AM, MATCH(Y$1, US_national_yearly!$D$1:$AM$1, 0), FALSE) / VLOOKUP(Substitution!$M$7 &amp; $A2, US_national_yearly!$D:$AM, MATCH(Keys!$C$7, US_national_yearly!$D$1:$AM$1, 0), FALSE), 1)</f>
        <v>1.2006617198657265E-2</v>
      </c>
      <c r="Z2" s="12">
        <f>$B2 * IFERROR(VLOOKUP(Substitution!$M$7 &amp; $A2, US_national_yearly!$D:$AM, MATCH(Z$1, US_national_yearly!$D$1:$AM$1, 0), FALSE) / VLOOKUP(Substitution!$M$7 &amp; $A2, US_national_yearly!$D:$AM, MATCH(Keys!$C$7, US_national_yearly!$D$1:$AM$1, 0), FALSE), 1)</f>
        <v>1.2019480502640737E-2</v>
      </c>
      <c r="AA2" s="12">
        <f>$B2 * IFERROR(VLOOKUP(Substitution!$M$7 &amp; $A2, US_national_yearly!$D:$AM, MATCH(AA$1, US_national_yearly!$D$1:$AM$1, 0), FALSE) / VLOOKUP(Substitution!$M$7 &amp; $A2, US_national_yearly!$D:$AM, MATCH(Keys!$C$7, US_national_yearly!$D$1:$AM$1, 0), FALSE), 1)</f>
        <v>1.2032343806624209E-2</v>
      </c>
      <c r="AB2" s="12">
        <f>$B2 * IFERROR(VLOOKUP(Substitution!$M$7 &amp; $A2, US_national_yearly!$D:$AM, MATCH(AB$1, US_national_yearly!$D$1:$AM$1, 0), FALSE) / VLOOKUP(Substitution!$M$7 &amp; $A2, US_national_yearly!$D:$AM, MATCH(Keys!$C$7, US_national_yearly!$D$1:$AM$1, 0), FALSE), 1)</f>
        <v>1.2045207110607678E-2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Substitution!$G$7)/IFERROR(SUMIFS(COBRA_aggregated!$V:$V, COBRA_aggregated!$A:$A, About!$B$1, COBRA_aggregated!$B:$B, Substitution!$G$7), 1)</f>
        <v>2.2323332945488141E-5</v>
      </c>
      <c r="C3" s="12">
        <f>$B3 * IFERROR(VLOOKUP(Substitution!$M$7 &amp; $A3, US_national_yearly!$D:$AM, MATCH(C$1, US_national_yearly!$D$1:$AM$1, 0), FALSE) / VLOOKUP(Substitution!$M$7 &amp; $A3, US_national_yearly!$D:$AM, MATCH(Keys!$C$7, US_national_yearly!$D$1:$AM$1, 0), FALSE), 1)</f>
        <v>2.2131571443586107E-5</v>
      </c>
      <c r="D3" s="12">
        <f>$B3 * IFERROR(VLOOKUP(Substitution!$M$7 &amp; $A3, US_national_yearly!$D:$AM, MATCH(D$1, US_national_yearly!$D$1:$AM$1, 0), FALSE) / VLOOKUP(Substitution!$M$7 &amp; $A3, US_national_yearly!$D:$AM, MATCH(Keys!$C$7, US_national_yearly!$D$1:$AM$1, 0), FALSE), 1)</f>
        <v>2.1939809941684076E-5</v>
      </c>
      <c r="E3" s="12">
        <f>$B3 * IFERROR(VLOOKUP(Substitution!$M$7 &amp; $A3, US_national_yearly!$D:$AM, MATCH(E$1, US_national_yearly!$D$1:$AM$1, 0), FALSE) / VLOOKUP(Substitution!$M$7 &amp; $A3, US_national_yearly!$D:$AM, MATCH(Keys!$C$7, US_national_yearly!$D$1:$AM$1, 0), FALSE), 1)</f>
        <v>2.1748048439782038E-5</v>
      </c>
      <c r="F3" s="12">
        <f>$B3 * IFERROR(VLOOKUP(Substitution!$M$7 &amp; $A3, US_national_yearly!$D:$AM, MATCH(F$1, US_national_yearly!$D$1:$AM$1, 0), FALSE) / VLOOKUP(Substitution!$M$7 &amp; $A3, US_national_yearly!$D:$AM, MATCH(Keys!$C$7, US_national_yearly!$D$1:$AM$1, 0), FALSE), 1)</f>
        <v>2.1556286937880003E-5</v>
      </c>
      <c r="G3" s="12">
        <f>$B3 * IFERROR(VLOOKUP(Substitution!$M$7 &amp; $A3, US_national_yearly!$D:$AM, MATCH(G$1, US_national_yearly!$D$1:$AM$1, 0), FALSE) / VLOOKUP(Substitution!$M$7 &amp; $A3, US_national_yearly!$D:$AM, MATCH(Keys!$C$7, US_national_yearly!$D$1:$AM$1, 0), FALSE), 1)</f>
        <v>1.4358223278051888E-5</v>
      </c>
      <c r="H3" s="12">
        <f>$B3 * IFERROR(VLOOKUP(Substitution!$M$7 &amp; $A3, US_national_yearly!$D:$AM, MATCH(H$1, US_national_yearly!$D$1:$AM$1, 0), FALSE) / VLOOKUP(Substitution!$M$7 &amp; $A3, US_national_yearly!$D:$AM, MATCH(Keys!$C$7, US_national_yearly!$D$1:$AM$1, 0), FALSE), 1)</f>
        <v>7.1601596182237814E-6</v>
      </c>
      <c r="I3" s="12">
        <f>$B3 * IFERROR(VLOOKUP(Substitution!$M$7 &amp; $A3, US_national_yearly!$D:$AM, MATCH(I$1, US_national_yearly!$D$1:$AM$1, 0), FALSE) / VLOOKUP(Substitution!$M$7 &amp; $A3, US_national_yearly!$D:$AM, MATCH(Keys!$C$7, US_national_yearly!$D$1:$AM$1, 0), FALSE), 1)</f>
        <v>7.1152417747560982E-6</v>
      </c>
      <c r="J3" s="12">
        <f>$B3 * IFERROR(VLOOKUP(Substitution!$M$7 &amp; $A3, US_national_yearly!$D:$AM, MATCH(J$1, US_national_yearly!$D$1:$AM$1, 0), FALSE) / VLOOKUP(Substitution!$M$7 &amp; $A3, US_national_yearly!$D:$AM, MATCH(Keys!$C$7, US_national_yearly!$D$1:$AM$1, 0), FALSE), 1)</f>
        <v>7.0703239312884151E-6</v>
      </c>
      <c r="K3" s="12">
        <f>$B3 * IFERROR(VLOOKUP(Substitution!$M$7 &amp; $A3, US_national_yearly!$D:$AM, MATCH(K$1, US_national_yearly!$D$1:$AM$1, 0), FALSE) / VLOOKUP(Substitution!$M$7 &amp; $A3, US_national_yearly!$D:$AM, MATCH(Keys!$C$7, US_national_yearly!$D$1:$AM$1, 0), FALSE), 1)</f>
        <v>7.025406087820732E-6</v>
      </c>
      <c r="L3" s="12">
        <f>$B3 * IFERROR(VLOOKUP(Substitution!$M$7 &amp; $A3, US_national_yearly!$D:$AM, MATCH(L$1, US_national_yearly!$D$1:$AM$1, 0), FALSE) / VLOOKUP(Substitution!$M$7 &amp; $A3, US_national_yearly!$D:$AM, MATCH(Keys!$C$7, US_national_yearly!$D$1:$AM$1, 0), FALSE), 1)</f>
        <v>6.9804882443530506E-6</v>
      </c>
      <c r="M3" s="12">
        <f>$B3 * IFERROR(VLOOKUP(Substitution!$M$7 &amp; $A3, US_national_yearly!$D:$AM, MATCH(M$1, US_national_yearly!$D$1:$AM$1, 0), FALSE) / VLOOKUP(Substitution!$M$7 &amp; $A3, US_national_yearly!$D:$AM, MATCH(Keys!$C$7, US_national_yearly!$D$1:$AM$1, 0), FALSE), 1)</f>
        <v>6.9355704008853675E-6</v>
      </c>
      <c r="N3" s="12">
        <f>$B3 * IFERROR(VLOOKUP(Substitution!$M$7 &amp; $A3, US_national_yearly!$D:$AM, MATCH(N$1, US_national_yearly!$D$1:$AM$1, 0), FALSE) / VLOOKUP(Substitution!$M$7 &amp; $A3, US_national_yearly!$D:$AM, MATCH(Keys!$C$7, US_national_yearly!$D$1:$AM$1, 0), FALSE), 1)</f>
        <v>6.907375806825425E-6</v>
      </c>
      <c r="O3" s="12">
        <f>$B3 * IFERROR(VLOOKUP(Substitution!$M$7 &amp; $A3, US_national_yearly!$D:$AM, MATCH(O$1, US_national_yearly!$D$1:$AM$1, 0), FALSE) / VLOOKUP(Substitution!$M$7 &amp; $A3, US_national_yearly!$D:$AM, MATCH(Keys!$C$7, US_national_yearly!$D$1:$AM$1, 0), FALSE), 1)</f>
        <v>6.8791812127654825E-6</v>
      </c>
      <c r="P3" s="12">
        <f>$B3 * IFERROR(VLOOKUP(Substitution!$M$7 &amp; $A3, US_national_yearly!$D:$AM, MATCH(P$1, US_national_yearly!$D$1:$AM$1, 0), FALSE) / VLOOKUP(Substitution!$M$7 &amp; $A3, US_national_yearly!$D:$AM, MATCH(Keys!$C$7, US_national_yearly!$D$1:$AM$1, 0), FALSE), 1)</f>
        <v>6.8509866187055383E-6</v>
      </c>
      <c r="Q3" s="12">
        <f>$B3 * IFERROR(VLOOKUP(Substitution!$M$7 &amp; $A3, US_national_yearly!$D:$AM, MATCH(Q$1, US_national_yearly!$D$1:$AM$1, 0), FALSE) / VLOOKUP(Substitution!$M$7 &amp; $A3, US_national_yearly!$D:$AM, MATCH(Keys!$C$7, US_national_yearly!$D$1:$AM$1, 0), FALSE), 1)</f>
        <v>6.8227920246455958E-6</v>
      </c>
      <c r="R3" s="12">
        <f>$B3 * IFERROR(VLOOKUP(Substitution!$M$7 &amp; $A3, US_national_yearly!$D:$AM, MATCH(R$1, US_national_yearly!$D$1:$AM$1, 0), FALSE) / VLOOKUP(Substitution!$M$7 &amp; $A3, US_national_yearly!$D:$AM, MATCH(Keys!$C$7, US_national_yearly!$D$1:$AM$1, 0), FALSE), 1)</f>
        <v>6.7945974305856516E-6</v>
      </c>
      <c r="S3" s="12">
        <f>$B3 * IFERROR(VLOOKUP(Substitution!$M$7 &amp; $A3, US_national_yearly!$D:$AM, MATCH(S$1, US_national_yearly!$D$1:$AM$1, 0), FALSE) / VLOOKUP(Substitution!$M$7 &amp; $A3, US_national_yearly!$D:$AM, MATCH(Keys!$C$7, US_national_yearly!$D$1:$AM$1, 0), FALSE), 1)</f>
        <v>6.7591974000919559E-6</v>
      </c>
      <c r="T3" s="12">
        <f>$B3 * IFERROR(VLOOKUP(Substitution!$M$7 &amp; $A3, US_national_yearly!$D:$AM, MATCH(T$1, US_national_yearly!$D$1:$AM$1, 0), FALSE) / VLOOKUP(Substitution!$M$7 &amp; $A3, US_national_yearly!$D:$AM, MATCH(Keys!$C$7, US_national_yearly!$D$1:$AM$1, 0), FALSE), 1)</f>
        <v>6.7237973695982602E-6</v>
      </c>
      <c r="U3" s="12">
        <f>$B3 * IFERROR(VLOOKUP(Substitution!$M$7 &amp; $A3, US_national_yearly!$D:$AM, MATCH(U$1, US_national_yearly!$D$1:$AM$1, 0), FALSE) / VLOOKUP(Substitution!$M$7 &amp; $A3, US_national_yearly!$D:$AM, MATCH(Keys!$C$7, US_national_yearly!$D$1:$AM$1, 0), FALSE), 1)</f>
        <v>6.688397339104562E-6</v>
      </c>
      <c r="V3" s="12">
        <f>$B3 * IFERROR(VLOOKUP(Substitution!$M$7 &amp; $A3, US_national_yearly!$D:$AM, MATCH(V$1, US_national_yearly!$D$1:$AM$1, 0), FALSE) / VLOOKUP(Substitution!$M$7 &amp; $A3, US_national_yearly!$D:$AM, MATCH(Keys!$C$7, US_national_yearly!$D$1:$AM$1, 0), FALSE), 1)</f>
        <v>6.6529973086108671E-6</v>
      </c>
      <c r="W3" s="12">
        <f>$B3 * IFERROR(VLOOKUP(Substitution!$M$7 &amp; $A3, US_national_yearly!$D:$AM, MATCH(W$1, US_national_yearly!$D$1:$AM$1, 0), FALSE) / VLOOKUP(Substitution!$M$7 &amp; $A3, US_national_yearly!$D:$AM, MATCH(Keys!$C$7, US_national_yearly!$D$1:$AM$1, 0), FALSE), 1)</f>
        <v>6.6175972781171697E-6</v>
      </c>
      <c r="X3" s="12">
        <f>$B3 * IFERROR(VLOOKUP(Substitution!$M$7 &amp; $A3, US_national_yearly!$D:$AM, MATCH(X$1, US_national_yearly!$D$1:$AM$1, 0), FALSE) / VLOOKUP(Substitution!$M$7 &amp; $A3, US_national_yearly!$D:$AM, MATCH(Keys!$C$7, US_national_yearly!$D$1:$AM$1, 0), FALSE), 1)</f>
        <v>6.5788941177868059E-6</v>
      </c>
      <c r="Y3" s="12">
        <f>$B3 * IFERROR(VLOOKUP(Substitution!$M$7 &amp; $A3, US_national_yearly!$D:$AM, MATCH(Y$1, US_national_yearly!$D$1:$AM$1, 0), FALSE) / VLOOKUP(Substitution!$M$7 &amp; $A3, US_national_yearly!$D:$AM, MATCH(Keys!$C$7, US_national_yearly!$D$1:$AM$1, 0), FALSE), 1)</f>
        <v>6.5401909574564396E-6</v>
      </c>
      <c r="Z3" s="12">
        <f>$B3 * IFERROR(VLOOKUP(Substitution!$M$7 &amp; $A3, US_national_yearly!$D:$AM, MATCH(Z$1, US_national_yearly!$D$1:$AM$1, 0), FALSE) / VLOOKUP(Substitution!$M$7 &amp; $A3, US_national_yearly!$D:$AM, MATCH(Keys!$C$7, US_national_yearly!$D$1:$AM$1, 0), FALSE), 1)</f>
        <v>6.5014877971260758E-6</v>
      </c>
      <c r="AA3" s="12">
        <f>$B3 * IFERROR(VLOOKUP(Substitution!$M$7 &amp; $A3, US_national_yearly!$D:$AM, MATCH(AA$1, US_national_yearly!$D$1:$AM$1, 0), FALSE) / VLOOKUP(Substitution!$M$7 &amp; $A3, US_national_yearly!$D:$AM, MATCH(Keys!$C$7, US_national_yearly!$D$1:$AM$1, 0), FALSE), 1)</f>
        <v>6.4627846367957095E-6</v>
      </c>
      <c r="AB3" s="12">
        <f>$B3 * IFERROR(VLOOKUP(Substitution!$M$7 &amp; $A3, US_national_yearly!$D:$AM, MATCH(AB$1, US_national_yearly!$D$1:$AM$1, 0), FALSE) / VLOOKUP(Substitution!$M$7 &amp; $A3, US_national_yearly!$D:$AM, MATCH(Keys!$C$7, US_national_yearly!$D$1:$AM$1, 0), FALSE), 1)</f>
        <v>6.4240814764653457E-6</v>
      </c>
    </row>
    <row r="4" spans="1:28" x14ac:dyDescent="0.25">
      <c r="A4" s="4" t="s">
        <v>295</v>
      </c>
      <c r="B4" s="12">
        <f>IFERROR(VLOOKUP(Substitution!$M$7 &amp; $A4, US_national_yearly!$D:$AM, MATCH(Keys!$C$7, US_national_yearly!$D$1:$AM$1, 0), FALSE), 0)</f>
        <v>1.114512095510634</v>
      </c>
      <c r="C4" s="12">
        <f>$B4 * IFERROR(VLOOKUP(Substitution!$M$7 &amp; $A4, US_national_yearly!$D:$AM, MATCH(C$1, US_national_yearly!$D$1:$AM$1, 0), FALSE) / VLOOKUP(Substitution!$M$7 &amp; $A4, US_national_yearly!$D:$AM, MATCH(Keys!$C$7, US_national_yearly!$D$1:$AM$1, 0), FALSE), 1)</f>
        <v>1.125999672560418</v>
      </c>
      <c r="D4" s="12">
        <f>$B4 * IFERROR(VLOOKUP(Substitution!$M$7 &amp; $A4, US_national_yearly!$D:$AM, MATCH(D$1, US_national_yearly!$D$1:$AM$1, 0), FALSE) / VLOOKUP(Substitution!$M$7 &amp; $A4, US_national_yearly!$D:$AM, MATCH(Keys!$C$7, US_national_yearly!$D$1:$AM$1, 0), FALSE), 1)</f>
        <v>1.137487249610202</v>
      </c>
      <c r="E4" s="12">
        <f>$B4 * IFERROR(VLOOKUP(Substitution!$M$7 &amp; $A4, US_national_yearly!$D:$AM, MATCH(E$1, US_national_yearly!$D$1:$AM$1, 0), FALSE) / VLOOKUP(Substitution!$M$7 &amp; $A4, US_national_yearly!$D:$AM, MATCH(Keys!$C$7, US_national_yearly!$D$1:$AM$1, 0), FALSE), 1)</f>
        <v>1.148974826659986</v>
      </c>
      <c r="F4" s="12">
        <f>$B4 * IFERROR(VLOOKUP(Substitution!$M$7 &amp; $A4, US_national_yearly!$D:$AM, MATCH(F$1, US_national_yearly!$D$1:$AM$1, 0), FALSE) / VLOOKUP(Substitution!$M$7 &amp; $A4, US_national_yearly!$D:$AM, MATCH(Keys!$C$7, US_national_yearly!$D$1:$AM$1, 0), FALSE), 1)</f>
        <v>1.1604624037097699</v>
      </c>
      <c r="G4" s="12">
        <f>$B4 * IFERROR(VLOOKUP(Substitution!$M$7 &amp; $A4, US_national_yearly!$D:$AM, MATCH(G$1, US_national_yearly!$D$1:$AM$1, 0), FALSE) / VLOOKUP(Substitution!$M$7 &amp; $A4, US_national_yearly!$D:$AM, MATCH(Keys!$C$7, US_national_yearly!$D$1:$AM$1, 0), FALSE), 1)</f>
        <v>1.1738759040130498</v>
      </c>
      <c r="H4" s="12">
        <f>$B4 * IFERROR(VLOOKUP(Substitution!$M$7 &amp; $A4, US_national_yearly!$D:$AM, MATCH(H$1, US_national_yearly!$D$1:$AM$1, 0), FALSE) / VLOOKUP(Substitution!$M$7 &amp; $A4, US_national_yearly!$D:$AM, MATCH(Keys!$C$7, US_national_yearly!$D$1:$AM$1, 0), FALSE), 1)</f>
        <v>1.18728940431633</v>
      </c>
      <c r="I4" s="12">
        <f>$B4 * IFERROR(VLOOKUP(Substitution!$M$7 &amp; $A4, US_national_yearly!$D:$AM, MATCH(I$1, US_national_yearly!$D$1:$AM$1, 0), FALSE) / VLOOKUP(Substitution!$M$7 &amp; $A4, US_national_yearly!$D:$AM, MATCH(Keys!$C$7, US_national_yearly!$D$1:$AM$1, 0), FALSE), 1)</f>
        <v>1.197073157170226</v>
      </c>
      <c r="J4" s="12">
        <f>$B4 * IFERROR(VLOOKUP(Substitution!$M$7 &amp; $A4, US_national_yearly!$D:$AM, MATCH(J$1, US_national_yearly!$D$1:$AM$1, 0), FALSE) / VLOOKUP(Substitution!$M$7 &amp; $A4, US_national_yearly!$D:$AM, MATCH(Keys!$C$7, US_national_yearly!$D$1:$AM$1, 0), FALSE), 1)</f>
        <v>1.206856910024122</v>
      </c>
      <c r="K4" s="12">
        <f>$B4 * IFERROR(VLOOKUP(Substitution!$M$7 &amp; $A4, US_national_yearly!$D:$AM, MATCH(K$1, US_national_yearly!$D$1:$AM$1, 0), FALSE) / VLOOKUP(Substitution!$M$7 &amp; $A4, US_national_yearly!$D:$AM, MATCH(Keys!$C$7, US_national_yearly!$D$1:$AM$1, 0), FALSE), 1)</f>
        <v>1.216640662878018</v>
      </c>
      <c r="L4" s="12">
        <f>$B4 * IFERROR(VLOOKUP(Substitution!$M$7 &amp; $A4, US_national_yearly!$D:$AM, MATCH(L$1, US_national_yearly!$D$1:$AM$1, 0), FALSE) / VLOOKUP(Substitution!$M$7 &amp; $A4, US_national_yearly!$D:$AM, MATCH(Keys!$C$7, US_national_yearly!$D$1:$AM$1, 0), FALSE), 1)</f>
        <v>1.226424415731914</v>
      </c>
      <c r="M4" s="12">
        <f>$B4 * IFERROR(VLOOKUP(Substitution!$M$7 &amp; $A4, US_national_yearly!$D:$AM, MATCH(M$1, US_national_yearly!$D$1:$AM$1, 0), FALSE) / VLOOKUP(Substitution!$M$7 &amp; $A4, US_national_yearly!$D:$AM, MATCH(Keys!$C$7, US_national_yearly!$D$1:$AM$1, 0), FALSE), 1)</f>
        <v>1.23620816858581</v>
      </c>
      <c r="N4" s="12">
        <f>$B4 * IFERROR(VLOOKUP(Substitution!$M$7 &amp; $A4, US_national_yearly!$D:$AM, MATCH(N$1, US_national_yearly!$D$1:$AM$1, 0), FALSE) / VLOOKUP(Substitution!$M$7 &amp; $A4, US_national_yearly!$D:$AM, MATCH(Keys!$C$7, US_national_yearly!$D$1:$AM$1, 0), FALSE), 1)</f>
        <v>1.2403869950056259</v>
      </c>
      <c r="O4" s="12">
        <f>$B4 * IFERROR(VLOOKUP(Substitution!$M$7 &amp; $A4, US_national_yearly!$D:$AM, MATCH(O$1, US_national_yearly!$D$1:$AM$1, 0), FALSE) / VLOOKUP(Substitution!$M$7 &amp; $A4, US_national_yearly!$D:$AM, MATCH(Keys!$C$7, US_national_yearly!$D$1:$AM$1, 0), FALSE), 1)</f>
        <v>1.244565821425442</v>
      </c>
      <c r="P4" s="12">
        <f>$B4 * IFERROR(VLOOKUP(Substitution!$M$7 &amp; $A4, US_national_yearly!$D:$AM, MATCH(P$1, US_national_yearly!$D$1:$AM$1, 0), FALSE) / VLOOKUP(Substitution!$M$7 &amp; $A4, US_national_yearly!$D:$AM, MATCH(Keys!$C$7, US_national_yearly!$D$1:$AM$1, 0), FALSE), 1)</f>
        <v>1.248744647845258</v>
      </c>
      <c r="Q4" s="12">
        <f>$B4 * IFERROR(VLOOKUP(Substitution!$M$7 &amp; $A4, US_national_yearly!$D:$AM, MATCH(Q$1, US_national_yearly!$D$1:$AM$1, 0), FALSE) / VLOOKUP(Substitution!$M$7 &amp; $A4, US_national_yearly!$D:$AM, MATCH(Keys!$C$7, US_national_yearly!$D$1:$AM$1, 0), FALSE), 1)</f>
        <v>1.2529234742650741</v>
      </c>
      <c r="R4" s="12">
        <f>$B4 * IFERROR(VLOOKUP(Substitution!$M$7 &amp; $A4, US_national_yearly!$D:$AM, MATCH(R$1, US_national_yearly!$D$1:$AM$1, 0), FALSE) / VLOOKUP(Substitution!$M$7 &amp; $A4, US_national_yearly!$D:$AM, MATCH(Keys!$C$7, US_national_yearly!$D$1:$AM$1, 0), FALSE), 1)</f>
        <v>1.25710230068489</v>
      </c>
      <c r="S4" s="12">
        <f>$B4 * IFERROR(VLOOKUP(Substitution!$M$7 &amp; $A4, US_national_yearly!$D:$AM, MATCH(S$1, US_national_yearly!$D$1:$AM$1, 0), FALSE) / VLOOKUP(Substitution!$M$7 &amp; $A4, US_national_yearly!$D:$AM, MATCH(Keys!$C$7, US_national_yearly!$D$1:$AM$1, 0), FALSE), 1)</f>
        <v>1.2621876140677379</v>
      </c>
      <c r="T4" s="12">
        <f>$B4 * IFERROR(VLOOKUP(Substitution!$M$7 &amp; $A4, US_national_yearly!$D:$AM, MATCH(T$1, US_national_yearly!$D$1:$AM$1, 0), FALSE) / VLOOKUP(Substitution!$M$7 &amp; $A4, US_national_yearly!$D:$AM, MATCH(Keys!$C$7, US_national_yearly!$D$1:$AM$1, 0), FALSE), 1)</f>
        <v>1.2672729274505861</v>
      </c>
      <c r="U4" s="12">
        <f>$B4 * IFERROR(VLOOKUP(Substitution!$M$7 &amp; $A4, US_national_yearly!$D:$AM, MATCH(U$1, US_national_yearly!$D$1:$AM$1, 0), FALSE) / VLOOKUP(Substitution!$M$7 &amp; $A4, US_national_yearly!$D:$AM, MATCH(Keys!$C$7, US_national_yearly!$D$1:$AM$1, 0), FALSE), 1)</f>
        <v>1.272358240833434</v>
      </c>
      <c r="V4" s="12">
        <f>$B4 * IFERROR(VLOOKUP(Substitution!$M$7 &amp; $A4, US_national_yearly!$D:$AM, MATCH(V$1, US_national_yearly!$D$1:$AM$1, 0), FALSE) / VLOOKUP(Substitution!$M$7 &amp; $A4, US_national_yearly!$D:$AM, MATCH(Keys!$C$7, US_national_yearly!$D$1:$AM$1, 0), FALSE), 1)</f>
        <v>1.2774435542162821</v>
      </c>
      <c r="W4" s="12">
        <f>$B4 * IFERROR(VLOOKUP(Substitution!$M$7 &amp; $A4, US_national_yearly!$D:$AM, MATCH(W$1, US_national_yearly!$D$1:$AM$1, 0), FALSE) / VLOOKUP(Substitution!$M$7 &amp; $A4, US_national_yearly!$D:$AM, MATCH(Keys!$C$7, US_national_yearly!$D$1:$AM$1, 0), FALSE), 1)</f>
        <v>1.28252886759913</v>
      </c>
      <c r="X4" s="12">
        <f>$B4 * IFERROR(VLOOKUP(Substitution!$M$7 &amp; $A4, US_national_yearly!$D:$AM, MATCH(X$1, US_national_yearly!$D$1:$AM$1, 0), FALSE) / VLOOKUP(Substitution!$M$7 &amp; $A4, US_national_yearly!$D:$AM, MATCH(Keys!$C$7, US_national_yearly!$D$1:$AM$1, 0), FALSE), 1)</f>
        <v>1.28814230335299</v>
      </c>
      <c r="Y4" s="12">
        <f>$B4 * IFERROR(VLOOKUP(Substitution!$M$7 &amp; $A4, US_national_yearly!$D:$AM, MATCH(Y$1, US_national_yearly!$D$1:$AM$1, 0), FALSE) / VLOOKUP(Substitution!$M$7 &amp; $A4, US_national_yearly!$D:$AM, MATCH(Keys!$C$7, US_national_yearly!$D$1:$AM$1, 0), FALSE), 1)</f>
        <v>1.2937557391068502</v>
      </c>
      <c r="Z4" s="12">
        <f>$B4 * IFERROR(VLOOKUP(Substitution!$M$7 &amp; $A4, US_national_yearly!$D:$AM, MATCH(Z$1, US_national_yearly!$D$1:$AM$1, 0), FALSE) / VLOOKUP(Substitution!$M$7 &amp; $A4, US_national_yearly!$D:$AM, MATCH(Keys!$C$7, US_national_yearly!$D$1:$AM$1, 0), FALSE), 1)</f>
        <v>1.2993691748607099</v>
      </c>
      <c r="AA4" s="12">
        <f>$B4 * IFERROR(VLOOKUP(Substitution!$M$7 &amp; $A4, US_national_yearly!$D:$AM, MATCH(AA$1, US_national_yearly!$D$1:$AM$1, 0), FALSE) / VLOOKUP(Substitution!$M$7 &amp; $A4, US_national_yearly!$D:$AM, MATCH(Keys!$C$7, US_national_yearly!$D$1:$AM$1, 0), FALSE), 1)</f>
        <v>1.3049826106145701</v>
      </c>
      <c r="AB4" s="12">
        <f>$B4 * IFERROR(VLOOKUP(Substitution!$M$7 &amp; $A4, US_national_yearly!$D:$AM, MATCH(AB$1, US_national_yearly!$D$1:$AM$1, 0), FALSE) / VLOOKUP(Substitution!$M$7 &amp; $A4, US_national_yearly!$D:$AM, MATCH(Keys!$C$7, US_national_yearly!$D$1:$AM$1, 0), FALSE), 1)</f>
        <v>1.3105960463684301</v>
      </c>
    </row>
    <row r="5" spans="1:28" x14ac:dyDescent="0.25">
      <c r="A5" s="4" t="s">
        <v>297</v>
      </c>
      <c r="B5" s="12">
        <f>IFERROR(VLOOKUP(Substitution!$M$7 &amp; $A5, US_national_yearly!$D:$AM, MATCH(Keys!$C$7, US_national_yearly!$D$1:$AM$1, 0), FALSE), 0)</f>
        <v>0</v>
      </c>
      <c r="C5" s="12">
        <f>$B5 * IFERROR(VLOOKUP(Substitution!$M$7 &amp; $A5, US_national_yearly!$D:$AM, MATCH(C$1, US_national_yearly!$D$1:$AM$1, 0), FALSE) / VLOOKUP(Substitution!$M$7 &amp; $A5, US_national_yearly!$D:$AM, MATCH(Keys!$C$7, US_national_yearly!$D$1:$AM$1, 0), FALSE), 1)</f>
        <v>0</v>
      </c>
      <c r="D5" s="12">
        <f>$B5 * IFERROR(VLOOKUP(Substitution!$M$7 &amp; $A5, US_national_yearly!$D:$AM, MATCH(D$1, US_national_yearly!$D$1:$AM$1, 0), FALSE) / VLOOKUP(Substitution!$M$7 &amp; $A5, US_national_yearly!$D:$AM, MATCH(Keys!$C$7, US_national_yearly!$D$1:$AM$1, 0), FALSE), 1)</f>
        <v>0</v>
      </c>
      <c r="E5" s="12">
        <f>$B5 * IFERROR(VLOOKUP(Substitution!$M$7 &amp; $A5, US_national_yearly!$D:$AM, MATCH(E$1, US_national_yearly!$D$1:$AM$1, 0), FALSE) / VLOOKUP(Substitution!$M$7 &amp; $A5, US_national_yearly!$D:$AM, MATCH(Keys!$C$7, US_national_yearly!$D$1:$AM$1, 0), FALSE), 1)</f>
        <v>0</v>
      </c>
      <c r="F5" s="12">
        <f>$B5 * IFERROR(VLOOKUP(Substitution!$M$7 &amp; $A5, US_national_yearly!$D:$AM, MATCH(F$1, US_national_yearly!$D$1:$AM$1, 0), FALSE) / VLOOKUP(Substitution!$M$7 &amp; $A5, US_national_yearly!$D:$AM, MATCH(Keys!$C$7, US_national_yearly!$D$1:$AM$1, 0), FALSE), 1)</f>
        <v>0</v>
      </c>
      <c r="G5" s="12">
        <f>$B5 * IFERROR(VLOOKUP(Substitution!$M$7 &amp; $A5, US_national_yearly!$D:$AM, MATCH(G$1, US_national_yearly!$D$1:$AM$1, 0), FALSE) / VLOOKUP(Substitution!$M$7 &amp; $A5, US_national_yearly!$D:$AM, MATCH(Keys!$C$7, US_national_yearly!$D$1:$AM$1, 0), FALSE), 1)</f>
        <v>0</v>
      </c>
      <c r="H5" s="12">
        <f>$B5 * IFERROR(VLOOKUP(Substitution!$M$7 &amp; $A5, US_national_yearly!$D:$AM, MATCH(H$1, US_national_yearly!$D$1:$AM$1, 0), FALSE) / VLOOKUP(Substitution!$M$7 &amp; $A5, US_national_yearly!$D:$AM, MATCH(Keys!$C$7, US_national_yearly!$D$1:$AM$1, 0), FALSE), 1)</f>
        <v>0</v>
      </c>
      <c r="I5" s="12">
        <f>$B5 * IFERROR(VLOOKUP(Substitution!$M$7 &amp; $A5, US_national_yearly!$D:$AM, MATCH(I$1, US_national_yearly!$D$1:$AM$1, 0), FALSE) / VLOOKUP(Substitution!$M$7 &amp; $A5, US_national_yearly!$D:$AM, MATCH(Keys!$C$7, US_national_yearly!$D$1:$AM$1, 0), FALSE), 1)</f>
        <v>0</v>
      </c>
      <c r="J5" s="12">
        <f>$B5 * IFERROR(VLOOKUP(Substitution!$M$7 &amp; $A5, US_national_yearly!$D:$AM, MATCH(J$1, US_national_yearly!$D$1:$AM$1, 0), FALSE) / VLOOKUP(Substitution!$M$7 &amp; $A5, US_national_yearly!$D:$AM, MATCH(Keys!$C$7, US_national_yearly!$D$1:$AM$1, 0), FALSE), 1)</f>
        <v>0</v>
      </c>
      <c r="K5" s="12">
        <f>$B5 * IFERROR(VLOOKUP(Substitution!$M$7 &amp; $A5, US_national_yearly!$D:$AM, MATCH(K$1, US_national_yearly!$D$1:$AM$1, 0), FALSE) / VLOOKUP(Substitution!$M$7 &amp; $A5, US_national_yearly!$D:$AM, MATCH(Keys!$C$7, US_national_yearly!$D$1:$AM$1, 0), FALSE), 1)</f>
        <v>0</v>
      </c>
      <c r="L5" s="12">
        <f>$B5 * IFERROR(VLOOKUP(Substitution!$M$7 &amp; $A5, US_national_yearly!$D:$AM, MATCH(L$1, US_national_yearly!$D$1:$AM$1, 0), FALSE) / VLOOKUP(Substitution!$M$7 &amp; $A5, US_national_yearly!$D:$AM, MATCH(Keys!$C$7, US_national_yearly!$D$1:$AM$1, 0), FALSE), 1)</f>
        <v>0</v>
      </c>
      <c r="M5" s="12">
        <f>$B5 * IFERROR(VLOOKUP(Substitution!$M$7 &amp; $A5, US_national_yearly!$D:$AM, MATCH(M$1, US_national_yearly!$D$1:$AM$1, 0), FALSE) / VLOOKUP(Substitution!$M$7 &amp; $A5, US_national_yearly!$D:$AM, MATCH(Keys!$C$7, US_national_yearly!$D$1:$AM$1, 0), FALSE), 1)</f>
        <v>0</v>
      </c>
      <c r="N5" s="12">
        <f>$B5 * IFERROR(VLOOKUP(Substitution!$M$7 &amp; $A5, US_national_yearly!$D:$AM, MATCH(N$1, US_national_yearly!$D$1:$AM$1, 0), FALSE) / VLOOKUP(Substitution!$M$7 &amp; $A5, US_national_yearly!$D:$AM, MATCH(Keys!$C$7, US_national_yearly!$D$1:$AM$1, 0), FALSE), 1)</f>
        <v>0</v>
      </c>
      <c r="O5" s="12">
        <f>$B5 * IFERROR(VLOOKUP(Substitution!$M$7 &amp; $A5, US_national_yearly!$D:$AM, MATCH(O$1, US_national_yearly!$D$1:$AM$1, 0), FALSE) / VLOOKUP(Substitution!$M$7 &amp; $A5, US_national_yearly!$D:$AM, MATCH(Keys!$C$7, US_national_yearly!$D$1:$AM$1, 0), FALSE), 1)</f>
        <v>0</v>
      </c>
      <c r="P5" s="12">
        <f>$B5 * IFERROR(VLOOKUP(Substitution!$M$7 &amp; $A5, US_national_yearly!$D:$AM, MATCH(P$1, US_national_yearly!$D$1:$AM$1, 0), FALSE) / VLOOKUP(Substitution!$M$7 &amp; $A5, US_national_yearly!$D:$AM, MATCH(Keys!$C$7, US_national_yearly!$D$1:$AM$1, 0), FALSE), 1)</f>
        <v>0</v>
      </c>
      <c r="Q5" s="12">
        <f>$B5 * IFERROR(VLOOKUP(Substitution!$M$7 &amp; $A5, US_national_yearly!$D:$AM, MATCH(Q$1, US_national_yearly!$D$1:$AM$1, 0), FALSE) / VLOOKUP(Substitution!$M$7 &amp; $A5, US_national_yearly!$D:$AM, MATCH(Keys!$C$7, US_national_yearly!$D$1:$AM$1, 0), FALSE), 1)</f>
        <v>0</v>
      </c>
      <c r="R5" s="12">
        <f>$B5 * IFERROR(VLOOKUP(Substitution!$M$7 &amp; $A5, US_national_yearly!$D:$AM, MATCH(R$1, US_national_yearly!$D$1:$AM$1, 0), FALSE) / VLOOKUP(Substitution!$M$7 &amp; $A5, US_national_yearly!$D:$AM, MATCH(Keys!$C$7, US_national_yearly!$D$1:$AM$1, 0), FALSE), 1)</f>
        <v>0</v>
      </c>
      <c r="S5" s="12">
        <f>$B5 * IFERROR(VLOOKUP(Substitution!$M$7 &amp; $A5, US_national_yearly!$D:$AM, MATCH(S$1, US_national_yearly!$D$1:$AM$1, 0), FALSE) / VLOOKUP(Substitution!$M$7 &amp; $A5, US_national_yearly!$D:$AM, MATCH(Keys!$C$7, US_national_yearly!$D$1:$AM$1, 0), FALSE), 1)</f>
        <v>0</v>
      </c>
      <c r="T5" s="12">
        <f>$B5 * IFERROR(VLOOKUP(Substitution!$M$7 &amp; $A5, US_national_yearly!$D:$AM, MATCH(T$1, US_national_yearly!$D$1:$AM$1, 0), FALSE) / VLOOKUP(Substitution!$M$7 &amp; $A5, US_national_yearly!$D:$AM, MATCH(Keys!$C$7, US_national_yearly!$D$1:$AM$1, 0), FALSE), 1)</f>
        <v>0</v>
      </c>
      <c r="U5" s="12">
        <f>$B5 * IFERROR(VLOOKUP(Substitution!$M$7 &amp; $A5, US_national_yearly!$D:$AM, MATCH(U$1, US_national_yearly!$D$1:$AM$1, 0), FALSE) / VLOOKUP(Substitution!$M$7 &amp; $A5, US_national_yearly!$D:$AM, MATCH(Keys!$C$7, US_national_yearly!$D$1:$AM$1, 0), FALSE), 1)</f>
        <v>0</v>
      </c>
      <c r="V5" s="12">
        <f>$B5 * IFERROR(VLOOKUP(Substitution!$M$7 &amp; $A5, US_national_yearly!$D:$AM, MATCH(V$1, US_national_yearly!$D$1:$AM$1, 0), FALSE) / VLOOKUP(Substitution!$M$7 &amp; $A5, US_national_yearly!$D:$AM, MATCH(Keys!$C$7, US_national_yearly!$D$1:$AM$1, 0), FALSE), 1)</f>
        <v>0</v>
      </c>
      <c r="W5" s="12">
        <f>$B5 * IFERROR(VLOOKUP(Substitution!$M$7 &amp; $A5, US_national_yearly!$D:$AM, MATCH(W$1, US_national_yearly!$D$1:$AM$1, 0), FALSE) / VLOOKUP(Substitution!$M$7 &amp; $A5, US_national_yearly!$D:$AM, MATCH(Keys!$C$7, US_national_yearly!$D$1:$AM$1, 0), FALSE), 1)</f>
        <v>0</v>
      </c>
      <c r="X5" s="12">
        <f>$B5 * IFERROR(VLOOKUP(Substitution!$M$7 &amp; $A5, US_national_yearly!$D:$AM, MATCH(X$1, US_national_yearly!$D$1:$AM$1, 0), FALSE) / VLOOKUP(Substitution!$M$7 &amp; $A5, US_national_yearly!$D:$AM, MATCH(Keys!$C$7, US_national_yearly!$D$1:$AM$1, 0), FALSE), 1)</f>
        <v>0</v>
      </c>
      <c r="Y5" s="12">
        <f>$B5 * IFERROR(VLOOKUP(Substitution!$M$7 &amp; $A5, US_national_yearly!$D:$AM, MATCH(Y$1, US_national_yearly!$D$1:$AM$1, 0), FALSE) / VLOOKUP(Substitution!$M$7 &amp; $A5, US_national_yearly!$D:$AM, MATCH(Keys!$C$7, US_national_yearly!$D$1:$AM$1, 0), FALSE), 1)</f>
        <v>0</v>
      </c>
      <c r="Z5" s="12">
        <f>$B5 * IFERROR(VLOOKUP(Substitution!$M$7 &amp; $A5, US_national_yearly!$D:$AM, MATCH(Z$1, US_national_yearly!$D$1:$AM$1, 0), FALSE) / VLOOKUP(Substitution!$M$7 &amp; $A5, US_national_yearly!$D:$AM, MATCH(Keys!$C$7, US_national_yearly!$D$1:$AM$1, 0), FALSE), 1)</f>
        <v>0</v>
      </c>
      <c r="AA5" s="12">
        <f>$B5 * IFERROR(VLOOKUP(Substitution!$M$7 &amp; $A5, US_national_yearly!$D:$AM, MATCH(AA$1, US_national_yearly!$D$1:$AM$1, 0), FALSE) / VLOOKUP(Substitution!$M$7 &amp; $A5, US_national_yearly!$D:$AM, MATCH(Keys!$C$7, US_national_yearly!$D$1:$AM$1, 0), FALSE), 1)</f>
        <v>0</v>
      </c>
      <c r="AB5" s="12">
        <f>$B5 * IFERROR(VLOOKUP(Substitution!$M$7 &amp; $A5, US_national_yearly!$D:$AM, MATCH(AB$1, US_national_yearly!$D$1:$AM$1, 0), FALSE) / VLOOKUP(Substitution!$M$7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Substitution!$G$7)/IFERROR(SUMIFS(COBRA_aggregated!$V:$V, COBRA_aggregated!$A:$A, About!$B$1, COBRA_aggregated!$B:$B, Substitution!$G$7), 1)</f>
        <v>1.9796890155690427E-2</v>
      </c>
      <c r="C6" s="12">
        <f>$B6 * IFERROR(VLOOKUP(Substitution!$M$7 &amp; $A6, US_national_yearly!$D:$AM, MATCH(C$1, US_national_yearly!$D$1:$AM$1, 0), FALSE) / VLOOKUP(Substitution!$M$7 &amp; $A6, US_national_yearly!$D:$AM, MATCH(Keys!$C$7, US_national_yearly!$D$1:$AM$1, 0), FALSE), 1)</f>
        <v>1.9796890155690427E-2</v>
      </c>
      <c r="D6" s="12">
        <f>$B6 * IFERROR(VLOOKUP(Substitution!$M$7 &amp; $A6, US_national_yearly!$D:$AM, MATCH(D$1, US_national_yearly!$D$1:$AM$1, 0), FALSE) / VLOOKUP(Substitution!$M$7 &amp; $A6, US_national_yearly!$D:$AM, MATCH(Keys!$C$7, US_national_yearly!$D$1:$AM$1, 0), FALSE), 1)</f>
        <v>1.9796890155690427E-2</v>
      </c>
      <c r="E6" s="12">
        <f>$B6 * IFERROR(VLOOKUP(Substitution!$M$7 &amp; $A6, US_national_yearly!$D:$AM, MATCH(E$1, US_national_yearly!$D$1:$AM$1, 0), FALSE) / VLOOKUP(Substitution!$M$7 &amp; $A6, US_national_yearly!$D:$AM, MATCH(Keys!$C$7, US_national_yearly!$D$1:$AM$1, 0), FALSE), 1)</f>
        <v>1.9796890155690427E-2</v>
      </c>
      <c r="F6" s="12">
        <f>$B6 * IFERROR(VLOOKUP(Substitution!$M$7 &amp; $A6, US_national_yearly!$D:$AM, MATCH(F$1, US_national_yearly!$D$1:$AM$1, 0), FALSE) / VLOOKUP(Substitution!$M$7 &amp; $A6, US_national_yearly!$D:$AM, MATCH(Keys!$C$7, US_national_yearly!$D$1:$AM$1, 0), FALSE), 1)</f>
        <v>1.9796890155690427E-2</v>
      </c>
      <c r="G6" s="12">
        <f>$B6 * IFERROR(VLOOKUP(Substitution!$M$7 &amp; $A6, US_national_yearly!$D:$AM, MATCH(G$1, US_national_yearly!$D$1:$AM$1, 0), FALSE) / VLOOKUP(Substitution!$M$7 &amp; $A6, US_national_yearly!$D:$AM, MATCH(Keys!$C$7, US_national_yearly!$D$1:$AM$1, 0), FALSE), 1)</f>
        <v>1.9796890155690427E-2</v>
      </c>
      <c r="H6" s="12">
        <f>$B6 * IFERROR(VLOOKUP(Substitution!$M$7 &amp; $A6, US_national_yearly!$D:$AM, MATCH(H$1, US_national_yearly!$D$1:$AM$1, 0), FALSE) / VLOOKUP(Substitution!$M$7 &amp; $A6, US_national_yearly!$D:$AM, MATCH(Keys!$C$7, US_national_yearly!$D$1:$AM$1, 0), FALSE), 1)</f>
        <v>1.9796890155690427E-2</v>
      </c>
      <c r="I6" s="12">
        <f>$B6 * IFERROR(VLOOKUP(Substitution!$M$7 &amp; $A6, US_national_yearly!$D:$AM, MATCH(I$1, US_national_yearly!$D$1:$AM$1, 0), FALSE) / VLOOKUP(Substitution!$M$7 &amp; $A6, US_national_yearly!$D:$AM, MATCH(Keys!$C$7, US_national_yearly!$D$1:$AM$1, 0), FALSE), 1)</f>
        <v>1.9796890155690427E-2</v>
      </c>
      <c r="J6" s="12">
        <f>$B6 * IFERROR(VLOOKUP(Substitution!$M$7 &amp; $A6, US_national_yearly!$D:$AM, MATCH(J$1, US_national_yearly!$D$1:$AM$1, 0), FALSE) / VLOOKUP(Substitution!$M$7 &amp; $A6, US_national_yearly!$D:$AM, MATCH(Keys!$C$7, US_national_yearly!$D$1:$AM$1, 0), FALSE), 1)</f>
        <v>1.9796890155690427E-2</v>
      </c>
      <c r="K6" s="12">
        <f>$B6 * IFERROR(VLOOKUP(Substitution!$M$7 &amp; $A6, US_national_yearly!$D:$AM, MATCH(K$1, US_national_yearly!$D$1:$AM$1, 0), FALSE) / VLOOKUP(Substitution!$M$7 &amp; $A6, US_national_yearly!$D:$AM, MATCH(Keys!$C$7, US_national_yearly!$D$1:$AM$1, 0), FALSE), 1)</f>
        <v>1.9796890155690427E-2</v>
      </c>
      <c r="L6" s="12">
        <f>$B6 * IFERROR(VLOOKUP(Substitution!$M$7 &amp; $A6, US_national_yearly!$D:$AM, MATCH(L$1, US_national_yearly!$D$1:$AM$1, 0), FALSE) / VLOOKUP(Substitution!$M$7 &amp; $A6, US_national_yearly!$D:$AM, MATCH(Keys!$C$7, US_national_yearly!$D$1:$AM$1, 0), FALSE), 1)</f>
        <v>1.9796890155690427E-2</v>
      </c>
      <c r="M6" s="12">
        <f>$B6 * IFERROR(VLOOKUP(Substitution!$M$7 &amp; $A6, US_national_yearly!$D:$AM, MATCH(M$1, US_national_yearly!$D$1:$AM$1, 0), FALSE) / VLOOKUP(Substitution!$M$7 &amp; $A6, US_national_yearly!$D:$AM, MATCH(Keys!$C$7, US_national_yearly!$D$1:$AM$1, 0), FALSE), 1)</f>
        <v>1.9796890155690427E-2</v>
      </c>
      <c r="N6" s="12">
        <f>$B6 * IFERROR(VLOOKUP(Substitution!$M$7 &amp; $A6, US_national_yearly!$D:$AM, MATCH(N$1, US_national_yearly!$D$1:$AM$1, 0), FALSE) / VLOOKUP(Substitution!$M$7 &amp; $A6, US_national_yearly!$D:$AM, MATCH(Keys!$C$7, US_national_yearly!$D$1:$AM$1, 0), FALSE), 1)</f>
        <v>1.9796890155690427E-2</v>
      </c>
      <c r="O6" s="12">
        <f>$B6 * IFERROR(VLOOKUP(Substitution!$M$7 &amp; $A6, US_national_yearly!$D:$AM, MATCH(O$1, US_national_yearly!$D$1:$AM$1, 0), FALSE) / VLOOKUP(Substitution!$M$7 &amp; $A6, US_national_yearly!$D:$AM, MATCH(Keys!$C$7, US_national_yearly!$D$1:$AM$1, 0), FALSE), 1)</f>
        <v>1.9796890155690427E-2</v>
      </c>
      <c r="P6" s="12">
        <f>$B6 * IFERROR(VLOOKUP(Substitution!$M$7 &amp; $A6, US_national_yearly!$D:$AM, MATCH(P$1, US_national_yearly!$D$1:$AM$1, 0), FALSE) / VLOOKUP(Substitution!$M$7 &amp; $A6, US_national_yearly!$D:$AM, MATCH(Keys!$C$7, US_national_yearly!$D$1:$AM$1, 0), FALSE), 1)</f>
        <v>1.9796890155690427E-2</v>
      </c>
      <c r="Q6" s="12">
        <f>$B6 * IFERROR(VLOOKUP(Substitution!$M$7 &amp; $A6, US_national_yearly!$D:$AM, MATCH(Q$1, US_national_yearly!$D$1:$AM$1, 0), FALSE) / VLOOKUP(Substitution!$M$7 &amp; $A6, US_national_yearly!$D:$AM, MATCH(Keys!$C$7, US_national_yearly!$D$1:$AM$1, 0), FALSE), 1)</f>
        <v>1.9796890155690427E-2</v>
      </c>
      <c r="R6" s="12">
        <f>$B6 * IFERROR(VLOOKUP(Substitution!$M$7 &amp; $A6, US_national_yearly!$D:$AM, MATCH(R$1, US_national_yearly!$D$1:$AM$1, 0), FALSE) / VLOOKUP(Substitution!$M$7 &amp; $A6, US_national_yearly!$D:$AM, MATCH(Keys!$C$7, US_national_yearly!$D$1:$AM$1, 0), FALSE), 1)</f>
        <v>1.9796890155690427E-2</v>
      </c>
      <c r="S6" s="12">
        <f>$B6 * IFERROR(VLOOKUP(Substitution!$M$7 &amp; $A6, US_national_yearly!$D:$AM, MATCH(S$1, US_national_yearly!$D$1:$AM$1, 0), FALSE) / VLOOKUP(Substitution!$M$7 &amp; $A6, US_national_yearly!$D:$AM, MATCH(Keys!$C$7, US_national_yearly!$D$1:$AM$1, 0), FALSE), 1)</f>
        <v>1.9796890155690427E-2</v>
      </c>
      <c r="T6" s="12">
        <f>$B6 * IFERROR(VLOOKUP(Substitution!$M$7 &amp; $A6, US_national_yearly!$D:$AM, MATCH(T$1, US_national_yearly!$D$1:$AM$1, 0), FALSE) / VLOOKUP(Substitution!$M$7 &amp; $A6, US_national_yearly!$D:$AM, MATCH(Keys!$C$7, US_national_yearly!$D$1:$AM$1, 0), FALSE), 1)</f>
        <v>1.9796890155690427E-2</v>
      </c>
      <c r="U6" s="12">
        <f>$B6 * IFERROR(VLOOKUP(Substitution!$M$7 &amp; $A6, US_national_yearly!$D:$AM, MATCH(U$1, US_national_yearly!$D$1:$AM$1, 0), FALSE) / VLOOKUP(Substitution!$M$7 &amp; $A6, US_national_yearly!$D:$AM, MATCH(Keys!$C$7, US_national_yearly!$D$1:$AM$1, 0), FALSE), 1)</f>
        <v>1.9796890155690427E-2</v>
      </c>
      <c r="V6" s="12">
        <f>$B6 * IFERROR(VLOOKUP(Substitution!$M$7 &amp; $A6, US_national_yearly!$D:$AM, MATCH(V$1, US_national_yearly!$D$1:$AM$1, 0), FALSE) / VLOOKUP(Substitution!$M$7 &amp; $A6, US_national_yearly!$D:$AM, MATCH(Keys!$C$7, US_national_yearly!$D$1:$AM$1, 0), FALSE), 1)</f>
        <v>1.9796890155690427E-2</v>
      </c>
      <c r="W6" s="12">
        <f>$B6 * IFERROR(VLOOKUP(Substitution!$M$7 &amp; $A6, US_national_yearly!$D:$AM, MATCH(W$1, US_national_yearly!$D$1:$AM$1, 0), FALSE) / VLOOKUP(Substitution!$M$7 &amp; $A6, US_national_yearly!$D:$AM, MATCH(Keys!$C$7, US_national_yearly!$D$1:$AM$1, 0), FALSE), 1)</f>
        <v>1.9796890155690427E-2</v>
      </c>
      <c r="X6" s="12">
        <f>$B6 * IFERROR(VLOOKUP(Substitution!$M$7 &amp; $A6, US_national_yearly!$D:$AM, MATCH(X$1, US_national_yearly!$D$1:$AM$1, 0), FALSE) / VLOOKUP(Substitution!$M$7 &amp; $A6, US_national_yearly!$D:$AM, MATCH(Keys!$C$7, US_national_yearly!$D$1:$AM$1, 0), FALSE), 1)</f>
        <v>1.9796890155690427E-2</v>
      </c>
      <c r="Y6" s="12">
        <f>$B6 * IFERROR(VLOOKUP(Substitution!$M$7 &amp; $A6, US_national_yearly!$D:$AM, MATCH(Y$1, US_national_yearly!$D$1:$AM$1, 0), FALSE) / VLOOKUP(Substitution!$M$7 &amp; $A6, US_national_yearly!$D:$AM, MATCH(Keys!$C$7, US_national_yearly!$D$1:$AM$1, 0), FALSE), 1)</f>
        <v>1.9796890155690427E-2</v>
      </c>
      <c r="Z6" s="12">
        <f>$B6 * IFERROR(VLOOKUP(Substitution!$M$7 &amp; $A6, US_national_yearly!$D:$AM, MATCH(Z$1, US_national_yearly!$D$1:$AM$1, 0), FALSE) / VLOOKUP(Substitution!$M$7 &amp; $A6, US_national_yearly!$D:$AM, MATCH(Keys!$C$7, US_national_yearly!$D$1:$AM$1, 0), FALSE), 1)</f>
        <v>1.9796890155690427E-2</v>
      </c>
      <c r="AA6" s="12">
        <f>$B6 * IFERROR(VLOOKUP(Substitution!$M$7 &amp; $A6, US_national_yearly!$D:$AM, MATCH(AA$1, US_national_yearly!$D$1:$AM$1, 0), FALSE) / VLOOKUP(Substitution!$M$7 &amp; $A6, US_national_yearly!$D:$AM, MATCH(Keys!$C$7, US_national_yearly!$D$1:$AM$1, 0), FALSE), 1)</f>
        <v>1.9796890155690427E-2</v>
      </c>
      <c r="AB6" s="12">
        <f>$B6 * IFERROR(VLOOKUP(Substitution!$M$7 &amp; $A6, US_national_yearly!$D:$AM, MATCH(AB$1, US_national_yearly!$D$1:$AM$1, 0), FALSE) / VLOOKUP(Substitution!$M$7 &amp; $A6, US_national_yearly!$D:$AM, MATCH(Keys!$C$7, US_national_yearly!$D$1:$AM$1, 0), FALSE), 1)</f>
        <v>1.9796890155690427E-2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Substitution!$G$7)/IFERROR(SUMIFS(COBRA_aggregated!$V:$V, COBRA_aggregated!$A:$A, About!$B$1, COBRA_aggregated!$B:$B, Substitution!$G$7), 1)</f>
        <v>2.665935005782195E-2</v>
      </c>
      <c r="C7" s="12">
        <f>$B7 * IFERROR(VLOOKUP(Substitution!$M$7 &amp; $A7, US_national_yearly!$D:$AM, MATCH(C$1, US_national_yearly!$D$1:$AM$1, 0), FALSE) / VLOOKUP(Substitution!$M$7 &amp; $A7, US_national_yearly!$D:$AM, MATCH(Keys!$C$7, US_national_yearly!$D$1:$AM$1, 0), FALSE), 1)</f>
        <v>2.665935005782195E-2</v>
      </c>
      <c r="D7" s="12">
        <f>$B7 * IFERROR(VLOOKUP(Substitution!$M$7 &amp; $A7, US_national_yearly!$D:$AM, MATCH(D$1, US_national_yearly!$D$1:$AM$1, 0), FALSE) / VLOOKUP(Substitution!$M$7 &amp; $A7, US_national_yearly!$D:$AM, MATCH(Keys!$C$7, US_national_yearly!$D$1:$AM$1, 0), FALSE), 1)</f>
        <v>2.665935005782195E-2</v>
      </c>
      <c r="E7" s="12">
        <f>$B7 * IFERROR(VLOOKUP(Substitution!$M$7 &amp; $A7, US_national_yearly!$D:$AM, MATCH(E$1, US_national_yearly!$D$1:$AM$1, 0), FALSE) / VLOOKUP(Substitution!$M$7 &amp; $A7, US_national_yearly!$D:$AM, MATCH(Keys!$C$7, US_national_yearly!$D$1:$AM$1, 0), FALSE), 1)</f>
        <v>2.665935005782195E-2</v>
      </c>
      <c r="F7" s="12">
        <f>$B7 * IFERROR(VLOOKUP(Substitution!$M$7 &amp; $A7, US_national_yearly!$D:$AM, MATCH(F$1, US_national_yearly!$D$1:$AM$1, 0), FALSE) / VLOOKUP(Substitution!$M$7 &amp; $A7, US_national_yearly!$D:$AM, MATCH(Keys!$C$7, US_national_yearly!$D$1:$AM$1, 0), FALSE), 1)</f>
        <v>2.665935005782195E-2</v>
      </c>
      <c r="G7" s="12">
        <f>$B7 * IFERROR(VLOOKUP(Substitution!$M$7 &amp; $A7, US_national_yearly!$D:$AM, MATCH(G$1, US_national_yearly!$D$1:$AM$1, 0), FALSE) / VLOOKUP(Substitution!$M$7 &amp; $A7, US_national_yearly!$D:$AM, MATCH(Keys!$C$7, US_national_yearly!$D$1:$AM$1, 0), FALSE), 1)</f>
        <v>2.665935005782195E-2</v>
      </c>
      <c r="H7" s="12">
        <f>$B7 * IFERROR(VLOOKUP(Substitution!$M$7 &amp; $A7, US_national_yearly!$D:$AM, MATCH(H$1, US_national_yearly!$D$1:$AM$1, 0), FALSE) / VLOOKUP(Substitution!$M$7 &amp; $A7, US_national_yearly!$D:$AM, MATCH(Keys!$C$7, US_national_yearly!$D$1:$AM$1, 0), FALSE), 1)</f>
        <v>2.665935005782195E-2</v>
      </c>
      <c r="I7" s="12">
        <f>$B7 * IFERROR(VLOOKUP(Substitution!$M$7 &amp; $A7, US_national_yearly!$D:$AM, MATCH(I$1, US_national_yearly!$D$1:$AM$1, 0), FALSE) / VLOOKUP(Substitution!$M$7 &amp; $A7, US_national_yearly!$D:$AM, MATCH(Keys!$C$7, US_national_yearly!$D$1:$AM$1, 0), FALSE), 1)</f>
        <v>2.665935005782195E-2</v>
      </c>
      <c r="J7" s="12">
        <f>$B7 * IFERROR(VLOOKUP(Substitution!$M$7 &amp; $A7, US_national_yearly!$D:$AM, MATCH(J$1, US_national_yearly!$D$1:$AM$1, 0), FALSE) / VLOOKUP(Substitution!$M$7 &amp; $A7, US_national_yearly!$D:$AM, MATCH(Keys!$C$7, US_national_yearly!$D$1:$AM$1, 0), FALSE), 1)</f>
        <v>2.665935005782195E-2</v>
      </c>
      <c r="K7" s="12">
        <f>$B7 * IFERROR(VLOOKUP(Substitution!$M$7 &amp; $A7, US_national_yearly!$D:$AM, MATCH(K$1, US_national_yearly!$D$1:$AM$1, 0), FALSE) / VLOOKUP(Substitution!$M$7 &amp; $A7, US_national_yearly!$D:$AM, MATCH(Keys!$C$7, US_national_yearly!$D$1:$AM$1, 0), FALSE), 1)</f>
        <v>2.665935005782195E-2</v>
      </c>
      <c r="L7" s="12">
        <f>$B7 * IFERROR(VLOOKUP(Substitution!$M$7 &amp; $A7, US_national_yearly!$D:$AM, MATCH(L$1, US_national_yearly!$D$1:$AM$1, 0), FALSE) / VLOOKUP(Substitution!$M$7 &amp; $A7, US_national_yearly!$D:$AM, MATCH(Keys!$C$7, US_national_yearly!$D$1:$AM$1, 0), FALSE), 1)</f>
        <v>2.665935005782195E-2</v>
      </c>
      <c r="M7" s="12">
        <f>$B7 * IFERROR(VLOOKUP(Substitution!$M$7 &amp; $A7, US_national_yearly!$D:$AM, MATCH(M$1, US_national_yearly!$D$1:$AM$1, 0), FALSE) / VLOOKUP(Substitution!$M$7 &amp; $A7, US_national_yearly!$D:$AM, MATCH(Keys!$C$7, US_national_yearly!$D$1:$AM$1, 0), FALSE), 1)</f>
        <v>2.665935005782195E-2</v>
      </c>
      <c r="N7" s="12">
        <f>$B7 * IFERROR(VLOOKUP(Substitution!$M$7 &amp; $A7, US_national_yearly!$D:$AM, MATCH(N$1, US_national_yearly!$D$1:$AM$1, 0), FALSE) / VLOOKUP(Substitution!$M$7 &amp; $A7, US_national_yearly!$D:$AM, MATCH(Keys!$C$7, US_national_yearly!$D$1:$AM$1, 0), FALSE), 1)</f>
        <v>2.665935005782195E-2</v>
      </c>
      <c r="O7" s="12">
        <f>$B7 * IFERROR(VLOOKUP(Substitution!$M$7 &amp; $A7, US_national_yearly!$D:$AM, MATCH(O$1, US_national_yearly!$D$1:$AM$1, 0), FALSE) / VLOOKUP(Substitution!$M$7 &amp; $A7, US_national_yearly!$D:$AM, MATCH(Keys!$C$7, US_national_yearly!$D$1:$AM$1, 0), FALSE), 1)</f>
        <v>2.665935005782195E-2</v>
      </c>
      <c r="P7" s="12">
        <f>$B7 * IFERROR(VLOOKUP(Substitution!$M$7 &amp; $A7, US_national_yearly!$D:$AM, MATCH(P$1, US_national_yearly!$D$1:$AM$1, 0), FALSE) / VLOOKUP(Substitution!$M$7 &amp; $A7, US_national_yearly!$D:$AM, MATCH(Keys!$C$7, US_national_yearly!$D$1:$AM$1, 0), FALSE), 1)</f>
        <v>2.665935005782195E-2</v>
      </c>
      <c r="Q7" s="12">
        <f>$B7 * IFERROR(VLOOKUP(Substitution!$M$7 &amp; $A7, US_national_yearly!$D:$AM, MATCH(Q$1, US_national_yearly!$D$1:$AM$1, 0), FALSE) / VLOOKUP(Substitution!$M$7 &amp; $A7, US_national_yearly!$D:$AM, MATCH(Keys!$C$7, US_national_yearly!$D$1:$AM$1, 0), FALSE), 1)</f>
        <v>2.665935005782195E-2</v>
      </c>
      <c r="R7" s="12">
        <f>$B7 * IFERROR(VLOOKUP(Substitution!$M$7 &amp; $A7, US_national_yearly!$D:$AM, MATCH(R$1, US_national_yearly!$D$1:$AM$1, 0), FALSE) / VLOOKUP(Substitution!$M$7 &amp; $A7, US_national_yearly!$D:$AM, MATCH(Keys!$C$7, US_national_yearly!$D$1:$AM$1, 0), FALSE), 1)</f>
        <v>2.665935005782195E-2</v>
      </c>
      <c r="S7" s="12">
        <f>$B7 * IFERROR(VLOOKUP(Substitution!$M$7 &amp; $A7, US_national_yearly!$D:$AM, MATCH(S$1, US_national_yearly!$D$1:$AM$1, 0), FALSE) / VLOOKUP(Substitution!$M$7 &amp; $A7, US_national_yearly!$D:$AM, MATCH(Keys!$C$7, US_national_yearly!$D$1:$AM$1, 0), FALSE), 1)</f>
        <v>2.665935005782195E-2</v>
      </c>
      <c r="T7" s="12">
        <f>$B7 * IFERROR(VLOOKUP(Substitution!$M$7 &amp; $A7, US_national_yearly!$D:$AM, MATCH(T$1, US_national_yearly!$D$1:$AM$1, 0), FALSE) / VLOOKUP(Substitution!$M$7 &amp; $A7, US_national_yearly!$D:$AM, MATCH(Keys!$C$7, US_national_yearly!$D$1:$AM$1, 0), FALSE), 1)</f>
        <v>2.665935005782195E-2</v>
      </c>
      <c r="U7" s="12">
        <f>$B7 * IFERROR(VLOOKUP(Substitution!$M$7 &amp; $A7, US_national_yearly!$D:$AM, MATCH(U$1, US_national_yearly!$D$1:$AM$1, 0), FALSE) / VLOOKUP(Substitution!$M$7 &amp; $A7, US_national_yearly!$D:$AM, MATCH(Keys!$C$7, US_national_yearly!$D$1:$AM$1, 0), FALSE), 1)</f>
        <v>2.665935005782195E-2</v>
      </c>
      <c r="V7" s="12">
        <f>$B7 * IFERROR(VLOOKUP(Substitution!$M$7 &amp; $A7, US_national_yearly!$D:$AM, MATCH(V$1, US_national_yearly!$D$1:$AM$1, 0), FALSE) / VLOOKUP(Substitution!$M$7 &amp; $A7, US_national_yearly!$D:$AM, MATCH(Keys!$C$7, US_national_yearly!$D$1:$AM$1, 0), FALSE), 1)</f>
        <v>2.665935005782195E-2</v>
      </c>
      <c r="W7" s="12">
        <f>$B7 * IFERROR(VLOOKUP(Substitution!$M$7 &amp; $A7, US_national_yearly!$D:$AM, MATCH(W$1, US_national_yearly!$D$1:$AM$1, 0), FALSE) / VLOOKUP(Substitution!$M$7 &amp; $A7, US_national_yearly!$D:$AM, MATCH(Keys!$C$7, US_national_yearly!$D$1:$AM$1, 0), FALSE), 1)</f>
        <v>2.665935005782195E-2</v>
      </c>
      <c r="X7" s="12">
        <f>$B7 * IFERROR(VLOOKUP(Substitution!$M$7 &amp; $A7, US_national_yearly!$D:$AM, MATCH(X$1, US_national_yearly!$D$1:$AM$1, 0), FALSE) / VLOOKUP(Substitution!$M$7 &amp; $A7, US_national_yearly!$D:$AM, MATCH(Keys!$C$7, US_national_yearly!$D$1:$AM$1, 0), FALSE), 1)</f>
        <v>2.665935005782195E-2</v>
      </c>
      <c r="Y7" s="12">
        <f>$B7 * IFERROR(VLOOKUP(Substitution!$M$7 &amp; $A7, US_national_yearly!$D:$AM, MATCH(Y$1, US_national_yearly!$D$1:$AM$1, 0), FALSE) / VLOOKUP(Substitution!$M$7 &amp; $A7, US_national_yearly!$D:$AM, MATCH(Keys!$C$7, US_national_yearly!$D$1:$AM$1, 0), FALSE), 1)</f>
        <v>2.665935005782195E-2</v>
      </c>
      <c r="Z7" s="12">
        <f>$B7 * IFERROR(VLOOKUP(Substitution!$M$7 &amp; $A7, US_national_yearly!$D:$AM, MATCH(Z$1, US_national_yearly!$D$1:$AM$1, 0), FALSE) / VLOOKUP(Substitution!$M$7 &amp; $A7, US_national_yearly!$D:$AM, MATCH(Keys!$C$7, US_national_yearly!$D$1:$AM$1, 0), FALSE), 1)</f>
        <v>2.665935005782195E-2</v>
      </c>
      <c r="AA7" s="12">
        <f>$B7 * IFERROR(VLOOKUP(Substitution!$M$7 &amp; $A7, US_national_yearly!$D:$AM, MATCH(AA$1, US_national_yearly!$D$1:$AM$1, 0), FALSE) / VLOOKUP(Substitution!$M$7 &amp; $A7, US_national_yearly!$D:$AM, MATCH(Keys!$C$7, US_national_yearly!$D$1:$AM$1, 0), FALSE), 1)</f>
        <v>2.665935005782195E-2</v>
      </c>
      <c r="AB7" s="12">
        <f>$B7 * IFERROR(VLOOKUP(Substitution!$M$7 &amp; $A7, US_national_yearly!$D:$AM, MATCH(AB$1, US_national_yearly!$D$1:$AM$1, 0), FALSE) / VLOOKUP(Substitution!$M$7 &amp; $A7, US_national_yearly!$D:$AM, MATCH(Keys!$C$7, US_national_yearly!$D$1:$AM$1, 0), FALSE), 1)</f>
        <v>2.665935005782195E-2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Substitution!$G$7)/IFERROR(SUMIFS(COBRA_aggregated!$V:$V, COBRA_aggregated!$A:$A, About!$B$1, COBRA_aggregated!$B:$B, Substitution!$G$7), 1)</f>
        <v>4.073109418254011E-2</v>
      </c>
      <c r="C8" s="12">
        <f>$B8 * IFERROR(VLOOKUP(Substitution!$M$7 &amp; $A8, US_national_yearly!$D:$AM, MATCH(C$1, US_national_yearly!$D$1:$AM$1, 0), FALSE) / VLOOKUP(Substitution!$M$7 &amp; $A8, US_national_yearly!$D:$AM, MATCH(Keys!$C$7, US_national_yearly!$D$1:$AM$1, 0), FALSE), 1)</f>
        <v>4.073109418254011E-2</v>
      </c>
      <c r="D8" s="12">
        <f>$B8 * IFERROR(VLOOKUP(Substitution!$M$7 &amp; $A8, US_national_yearly!$D:$AM, MATCH(D$1, US_national_yearly!$D$1:$AM$1, 0), FALSE) / VLOOKUP(Substitution!$M$7 &amp; $A8, US_national_yearly!$D:$AM, MATCH(Keys!$C$7, US_national_yearly!$D$1:$AM$1, 0), FALSE), 1)</f>
        <v>4.073109418254011E-2</v>
      </c>
      <c r="E8" s="12">
        <f>$B8 * IFERROR(VLOOKUP(Substitution!$M$7 &amp; $A8, US_national_yearly!$D:$AM, MATCH(E$1, US_national_yearly!$D$1:$AM$1, 0), FALSE) / VLOOKUP(Substitution!$M$7 &amp; $A8, US_national_yearly!$D:$AM, MATCH(Keys!$C$7, US_national_yearly!$D$1:$AM$1, 0), FALSE), 1)</f>
        <v>4.073109418254011E-2</v>
      </c>
      <c r="F8" s="12">
        <f>$B8 * IFERROR(VLOOKUP(Substitution!$M$7 &amp; $A8, US_national_yearly!$D:$AM, MATCH(F$1, US_national_yearly!$D$1:$AM$1, 0), FALSE) / VLOOKUP(Substitution!$M$7 &amp; $A8, US_national_yearly!$D:$AM, MATCH(Keys!$C$7, US_national_yearly!$D$1:$AM$1, 0), FALSE), 1)</f>
        <v>4.073109418254011E-2</v>
      </c>
      <c r="G8" s="12">
        <f>$B8 * IFERROR(VLOOKUP(Substitution!$M$7 &amp; $A8, US_national_yearly!$D:$AM, MATCH(G$1, US_national_yearly!$D$1:$AM$1, 0), FALSE) / VLOOKUP(Substitution!$M$7 &amp; $A8, US_national_yearly!$D:$AM, MATCH(Keys!$C$7, US_national_yearly!$D$1:$AM$1, 0), FALSE), 1)</f>
        <v>4.073109418254011E-2</v>
      </c>
      <c r="H8" s="12">
        <f>$B8 * IFERROR(VLOOKUP(Substitution!$M$7 &amp; $A8, US_national_yearly!$D:$AM, MATCH(H$1, US_national_yearly!$D$1:$AM$1, 0), FALSE) / VLOOKUP(Substitution!$M$7 &amp; $A8, US_national_yearly!$D:$AM, MATCH(Keys!$C$7, US_national_yearly!$D$1:$AM$1, 0), FALSE), 1)</f>
        <v>4.073109418254011E-2</v>
      </c>
      <c r="I8" s="12">
        <f>$B8 * IFERROR(VLOOKUP(Substitution!$M$7 &amp; $A8, US_national_yearly!$D:$AM, MATCH(I$1, US_national_yearly!$D$1:$AM$1, 0), FALSE) / VLOOKUP(Substitution!$M$7 &amp; $A8, US_national_yearly!$D:$AM, MATCH(Keys!$C$7, US_national_yearly!$D$1:$AM$1, 0), FALSE), 1)</f>
        <v>4.073109418254011E-2</v>
      </c>
      <c r="J8" s="12">
        <f>$B8 * IFERROR(VLOOKUP(Substitution!$M$7 &amp; $A8, US_national_yearly!$D:$AM, MATCH(J$1, US_national_yearly!$D$1:$AM$1, 0), FALSE) / VLOOKUP(Substitution!$M$7 &amp; $A8, US_national_yearly!$D:$AM, MATCH(Keys!$C$7, US_national_yearly!$D$1:$AM$1, 0), FALSE), 1)</f>
        <v>4.073109418254011E-2</v>
      </c>
      <c r="K8" s="12">
        <f>$B8 * IFERROR(VLOOKUP(Substitution!$M$7 &amp; $A8, US_national_yearly!$D:$AM, MATCH(K$1, US_national_yearly!$D$1:$AM$1, 0), FALSE) / VLOOKUP(Substitution!$M$7 &amp; $A8, US_national_yearly!$D:$AM, MATCH(Keys!$C$7, US_national_yearly!$D$1:$AM$1, 0), FALSE), 1)</f>
        <v>4.073109418254011E-2</v>
      </c>
      <c r="L8" s="12">
        <f>$B8 * IFERROR(VLOOKUP(Substitution!$M$7 &amp; $A8, US_national_yearly!$D:$AM, MATCH(L$1, US_national_yearly!$D$1:$AM$1, 0), FALSE) / VLOOKUP(Substitution!$M$7 &amp; $A8, US_national_yearly!$D:$AM, MATCH(Keys!$C$7, US_national_yearly!$D$1:$AM$1, 0), FALSE), 1)</f>
        <v>4.073109418254011E-2</v>
      </c>
      <c r="M8" s="12">
        <f>$B8 * IFERROR(VLOOKUP(Substitution!$M$7 &amp; $A8, US_national_yearly!$D:$AM, MATCH(M$1, US_national_yearly!$D$1:$AM$1, 0), FALSE) / VLOOKUP(Substitution!$M$7 &amp; $A8, US_national_yearly!$D:$AM, MATCH(Keys!$C$7, US_national_yearly!$D$1:$AM$1, 0), FALSE), 1)</f>
        <v>4.073109418254011E-2</v>
      </c>
      <c r="N8" s="12">
        <f>$B8 * IFERROR(VLOOKUP(Substitution!$M$7 &amp; $A8, US_national_yearly!$D:$AM, MATCH(N$1, US_national_yearly!$D$1:$AM$1, 0), FALSE) / VLOOKUP(Substitution!$M$7 &amp; $A8, US_national_yearly!$D:$AM, MATCH(Keys!$C$7, US_national_yearly!$D$1:$AM$1, 0), FALSE), 1)</f>
        <v>4.073109418254011E-2</v>
      </c>
      <c r="O8" s="12">
        <f>$B8 * IFERROR(VLOOKUP(Substitution!$M$7 &amp; $A8, US_national_yearly!$D:$AM, MATCH(O$1, US_national_yearly!$D$1:$AM$1, 0), FALSE) / VLOOKUP(Substitution!$M$7 &amp; $A8, US_national_yearly!$D:$AM, MATCH(Keys!$C$7, US_national_yearly!$D$1:$AM$1, 0), FALSE), 1)</f>
        <v>4.073109418254011E-2</v>
      </c>
      <c r="P8" s="12">
        <f>$B8 * IFERROR(VLOOKUP(Substitution!$M$7 &amp; $A8, US_national_yearly!$D:$AM, MATCH(P$1, US_national_yearly!$D$1:$AM$1, 0), FALSE) / VLOOKUP(Substitution!$M$7 &amp; $A8, US_national_yearly!$D:$AM, MATCH(Keys!$C$7, US_national_yearly!$D$1:$AM$1, 0), FALSE), 1)</f>
        <v>4.073109418254011E-2</v>
      </c>
      <c r="Q8" s="12">
        <f>$B8 * IFERROR(VLOOKUP(Substitution!$M$7 &amp; $A8, US_national_yearly!$D:$AM, MATCH(Q$1, US_national_yearly!$D$1:$AM$1, 0), FALSE) / VLOOKUP(Substitution!$M$7 &amp; $A8, US_national_yearly!$D:$AM, MATCH(Keys!$C$7, US_national_yearly!$D$1:$AM$1, 0), FALSE), 1)</f>
        <v>4.073109418254011E-2</v>
      </c>
      <c r="R8" s="12">
        <f>$B8 * IFERROR(VLOOKUP(Substitution!$M$7 &amp; $A8, US_national_yearly!$D:$AM, MATCH(R$1, US_national_yearly!$D$1:$AM$1, 0), FALSE) / VLOOKUP(Substitution!$M$7 &amp; $A8, US_national_yearly!$D:$AM, MATCH(Keys!$C$7, US_national_yearly!$D$1:$AM$1, 0), FALSE), 1)</f>
        <v>4.073109418254011E-2</v>
      </c>
      <c r="S8" s="12">
        <f>$B8 * IFERROR(VLOOKUP(Substitution!$M$7 &amp; $A8, US_national_yearly!$D:$AM, MATCH(S$1, US_national_yearly!$D$1:$AM$1, 0), FALSE) / VLOOKUP(Substitution!$M$7 &amp; $A8, US_national_yearly!$D:$AM, MATCH(Keys!$C$7, US_national_yearly!$D$1:$AM$1, 0), FALSE), 1)</f>
        <v>4.073109418254011E-2</v>
      </c>
      <c r="T8" s="12">
        <f>$B8 * IFERROR(VLOOKUP(Substitution!$M$7 &amp; $A8, US_national_yearly!$D:$AM, MATCH(T$1, US_national_yearly!$D$1:$AM$1, 0), FALSE) / VLOOKUP(Substitution!$M$7 &amp; $A8, US_national_yearly!$D:$AM, MATCH(Keys!$C$7, US_national_yearly!$D$1:$AM$1, 0), FALSE), 1)</f>
        <v>4.073109418254011E-2</v>
      </c>
      <c r="U8" s="12">
        <f>$B8 * IFERROR(VLOOKUP(Substitution!$M$7 &amp; $A8, US_national_yearly!$D:$AM, MATCH(U$1, US_national_yearly!$D$1:$AM$1, 0), FALSE) / VLOOKUP(Substitution!$M$7 &amp; $A8, US_national_yearly!$D:$AM, MATCH(Keys!$C$7, US_national_yearly!$D$1:$AM$1, 0), FALSE), 1)</f>
        <v>4.073109418254011E-2</v>
      </c>
      <c r="V8" s="12">
        <f>$B8 * IFERROR(VLOOKUP(Substitution!$M$7 &amp; $A8, US_national_yearly!$D:$AM, MATCH(V$1, US_national_yearly!$D$1:$AM$1, 0), FALSE) / VLOOKUP(Substitution!$M$7 &amp; $A8, US_national_yearly!$D:$AM, MATCH(Keys!$C$7, US_national_yearly!$D$1:$AM$1, 0), FALSE), 1)</f>
        <v>4.073109418254011E-2</v>
      </c>
      <c r="W8" s="12">
        <f>$B8 * IFERROR(VLOOKUP(Substitution!$M$7 &amp; $A8, US_national_yearly!$D:$AM, MATCH(W$1, US_national_yearly!$D$1:$AM$1, 0), FALSE) / VLOOKUP(Substitution!$M$7 &amp; $A8, US_national_yearly!$D:$AM, MATCH(Keys!$C$7, US_national_yearly!$D$1:$AM$1, 0), FALSE), 1)</f>
        <v>4.073109418254011E-2</v>
      </c>
      <c r="X8" s="12">
        <f>$B8 * IFERROR(VLOOKUP(Substitution!$M$7 &amp; $A8, US_national_yearly!$D:$AM, MATCH(X$1, US_national_yearly!$D$1:$AM$1, 0), FALSE) / VLOOKUP(Substitution!$M$7 &amp; $A8, US_national_yearly!$D:$AM, MATCH(Keys!$C$7, US_national_yearly!$D$1:$AM$1, 0), FALSE), 1)</f>
        <v>4.073109418254011E-2</v>
      </c>
      <c r="Y8" s="12">
        <f>$B8 * IFERROR(VLOOKUP(Substitution!$M$7 &amp; $A8, US_national_yearly!$D:$AM, MATCH(Y$1, US_national_yearly!$D$1:$AM$1, 0), FALSE) / VLOOKUP(Substitution!$M$7 &amp; $A8, US_national_yearly!$D:$AM, MATCH(Keys!$C$7, US_national_yearly!$D$1:$AM$1, 0), FALSE), 1)</f>
        <v>4.073109418254011E-2</v>
      </c>
      <c r="Z8" s="12">
        <f>$B8 * IFERROR(VLOOKUP(Substitution!$M$7 &amp; $A8, US_national_yearly!$D:$AM, MATCH(Z$1, US_national_yearly!$D$1:$AM$1, 0), FALSE) / VLOOKUP(Substitution!$M$7 &amp; $A8, US_national_yearly!$D:$AM, MATCH(Keys!$C$7, US_national_yearly!$D$1:$AM$1, 0), FALSE), 1)</f>
        <v>4.073109418254011E-2</v>
      </c>
      <c r="AA8" s="12">
        <f>$B8 * IFERROR(VLOOKUP(Substitution!$M$7 &amp; $A8, US_national_yearly!$D:$AM, MATCH(AA$1, US_national_yearly!$D$1:$AM$1, 0), FALSE) / VLOOKUP(Substitution!$M$7 &amp; $A8, US_national_yearly!$D:$AM, MATCH(Keys!$C$7, US_national_yearly!$D$1:$AM$1, 0), FALSE), 1)</f>
        <v>4.073109418254011E-2</v>
      </c>
      <c r="AB8" s="12">
        <f>$B8 * IFERROR(VLOOKUP(Substitution!$M$7 &amp; $A8, US_national_yearly!$D:$AM, MATCH(AB$1, US_national_yearly!$D$1:$AM$1, 0), FALSE) / VLOOKUP(Substitution!$M$7 &amp; $A8, US_national_yearly!$D:$AM, MATCH(Keys!$C$7, US_national_yearly!$D$1:$AM$1, 0), FALSE), 1)</f>
        <v>4.073109418254011E-2</v>
      </c>
    </row>
    <row r="9" spans="1:28" x14ac:dyDescent="0.25">
      <c r="A9" s="4" t="s">
        <v>305</v>
      </c>
      <c r="B9" s="12">
        <f>IFERROR(VLOOKUP(Substitution!$M$7 &amp; $A9, US_national_yearly!$D:$AM, MATCH(Keys!$C$7, US_national_yearly!$D$1:$AM$1, 0), FALSE), 0)</f>
        <v>6.0297405567772419E-3</v>
      </c>
      <c r="C9" s="12">
        <f>$B9 * IFERROR(VLOOKUP(Substitution!$M$7 &amp; $A9, US_national_yearly!$D:$AM, MATCH(C$1, US_national_yearly!$D$1:$AM$1, 0), FALSE) / VLOOKUP(Substitution!$M$7 &amp; $A9, US_national_yearly!$D:$AM, MATCH(Keys!$C$7, US_national_yearly!$D$1:$AM$1, 0), FALSE), 1)</f>
        <v>6.0700067281742242E-3</v>
      </c>
      <c r="D9" s="12">
        <f>$B9 * IFERROR(VLOOKUP(Substitution!$M$7 &amp; $A9, US_national_yearly!$D:$AM, MATCH(D$1, US_national_yearly!$D$1:$AM$1, 0), FALSE) / VLOOKUP(Substitution!$M$7 &amp; $A9, US_national_yearly!$D:$AM, MATCH(Keys!$C$7, US_national_yearly!$D$1:$AM$1, 0), FALSE), 1)</f>
        <v>6.1102728995712056E-3</v>
      </c>
      <c r="E9" s="12">
        <f>$B9 * IFERROR(VLOOKUP(Substitution!$M$7 &amp; $A9, US_national_yearly!$D:$AM, MATCH(E$1, US_national_yearly!$D$1:$AM$1, 0), FALSE) / VLOOKUP(Substitution!$M$7 &amp; $A9, US_national_yearly!$D:$AM, MATCH(Keys!$C$7, US_national_yearly!$D$1:$AM$1, 0), FALSE), 1)</f>
        <v>6.1505390709681879E-3</v>
      </c>
      <c r="F9" s="12">
        <f>$B9 * IFERROR(VLOOKUP(Substitution!$M$7 &amp; $A9, US_national_yearly!$D:$AM, MATCH(F$1, US_national_yearly!$D$1:$AM$1, 0), FALSE) / VLOOKUP(Substitution!$M$7 &amp; $A9, US_national_yearly!$D:$AM, MATCH(Keys!$C$7, US_national_yearly!$D$1:$AM$1, 0), FALSE), 1)</f>
        <v>6.1908052423651711E-3</v>
      </c>
      <c r="G9" s="12">
        <f>$B9 * IFERROR(VLOOKUP(Substitution!$M$7 &amp; $A9, US_national_yearly!$D:$AM, MATCH(G$1, US_national_yearly!$D$1:$AM$1, 0), FALSE) / VLOOKUP(Substitution!$M$7 &amp; $A9, US_national_yearly!$D:$AM, MATCH(Keys!$C$7, US_national_yearly!$D$1:$AM$1, 0), FALSE), 1)</f>
        <v>6.2270806998044447E-3</v>
      </c>
      <c r="H9" s="12">
        <f>$B9 * IFERROR(VLOOKUP(Substitution!$M$7 &amp; $A9, US_national_yearly!$D:$AM, MATCH(H$1, US_national_yearly!$D$1:$AM$1, 0), FALSE) / VLOOKUP(Substitution!$M$7 &amp; $A9, US_national_yearly!$D:$AM, MATCH(Keys!$C$7, US_national_yearly!$D$1:$AM$1, 0), FALSE), 1)</f>
        <v>6.2633561572437201E-3</v>
      </c>
      <c r="I9" s="12">
        <f>$B9 * IFERROR(VLOOKUP(Substitution!$M$7 &amp; $A9, US_national_yearly!$D:$AM, MATCH(I$1, US_national_yearly!$D$1:$AM$1, 0), FALSE) / VLOOKUP(Substitution!$M$7 &amp; $A9, US_national_yearly!$D:$AM, MATCH(Keys!$C$7, US_national_yearly!$D$1:$AM$1, 0), FALSE), 1)</f>
        <v>6.2938418219528718E-3</v>
      </c>
      <c r="J9" s="12">
        <f>$B9 * IFERROR(VLOOKUP(Substitution!$M$7 &amp; $A9, US_national_yearly!$D:$AM, MATCH(J$1, US_national_yearly!$D$1:$AM$1, 0), FALSE) / VLOOKUP(Substitution!$M$7 &amp; $A9, US_national_yearly!$D:$AM, MATCH(Keys!$C$7, US_national_yearly!$D$1:$AM$1, 0), FALSE), 1)</f>
        <v>6.3243274866620243E-3</v>
      </c>
      <c r="K9" s="12">
        <f>$B9 * IFERROR(VLOOKUP(Substitution!$M$7 &amp; $A9, US_national_yearly!$D:$AM, MATCH(K$1, US_national_yearly!$D$1:$AM$1, 0), FALSE) / VLOOKUP(Substitution!$M$7 &amp; $A9, US_national_yearly!$D:$AM, MATCH(Keys!$C$7, US_national_yearly!$D$1:$AM$1, 0), FALSE), 1)</f>
        <v>6.354813151371176E-3</v>
      </c>
      <c r="L9" s="12">
        <f>$B9 * IFERROR(VLOOKUP(Substitution!$M$7 &amp; $A9, US_national_yearly!$D:$AM, MATCH(L$1, US_national_yearly!$D$1:$AM$1, 0), FALSE) / VLOOKUP(Substitution!$M$7 &amp; $A9, US_national_yearly!$D:$AM, MATCH(Keys!$C$7, US_national_yearly!$D$1:$AM$1, 0), FALSE), 1)</f>
        <v>6.3852988160803302E-3</v>
      </c>
      <c r="M9" s="12">
        <f>$B9 * IFERROR(VLOOKUP(Substitution!$M$7 &amp; $A9, US_national_yearly!$D:$AM, MATCH(M$1, US_national_yearly!$D$1:$AM$1, 0), FALSE) / VLOOKUP(Substitution!$M$7 &amp; $A9, US_national_yearly!$D:$AM, MATCH(Keys!$C$7, US_national_yearly!$D$1:$AM$1, 0), FALSE), 1)</f>
        <v>6.4157844807894802E-3</v>
      </c>
      <c r="N9" s="12">
        <f>$B9 * IFERROR(VLOOKUP(Substitution!$M$7 &amp; $A9, US_national_yearly!$D:$AM, MATCH(N$1, US_national_yearly!$D$1:$AM$1, 0), FALSE) / VLOOKUP(Substitution!$M$7 &amp; $A9, US_national_yearly!$D:$AM, MATCH(Keys!$C$7, US_national_yearly!$D$1:$AM$1, 0), FALSE), 1)</f>
        <v>6.4444596976193083E-3</v>
      </c>
      <c r="O9" s="12">
        <f>$B9 * IFERROR(VLOOKUP(Substitution!$M$7 &amp; $A9, US_national_yearly!$D:$AM, MATCH(O$1, US_national_yearly!$D$1:$AM$1, 0), FALSE) / VLOOKUP(Substitution!$M$7 &amp; $A9, US_national_yearly!$D:$AM, MATCH(Keys!$C$7, US_national_yearly!$D$1:$AM$1, 0), FALSE), 1)</f>
        <v>6.473134914449132E-3</v>
      </c>
      <c r="P9" s="12">
        <f>$B9 * IFERROR(VLOOKUP(Substitution!$M$7 &amp; $A9, US_national_yearly!$D:$AM, MATCH(P$1, US_national_yearly!$D$1:$AM$1, 0), FALSE) / VLOOKUP(Substitution!$M$7 &amp; $A9, US_national_yearly!$D:$AM, MATCH(Keys!$C$7, US_national_yearly!$D$1:$AM$1, 0), FALSE), 1)</f>
        <v>6.5018101312789584E-3</v>
      </c>
      <c r="Q9" s="12">
        <f>$B9 * IFERROR(VLOOKUP(Substitution!$M$7 &amp; $A9, US_national_yearly!$D:$AM, MATCH(Q$1, US_national_yearly!$D$1:$AM$1, 0), FALSE) / VLOOKUP(Substitution!$M$7 &amp; $A9, US_national_yearly!$D:$AM, MATCH(Keys!$C$7, US_national_yearly!$D$1:$AM$1, 0), FALSE), 1)</f>
        <v>6.5304853481087831E-3</v>
      </c>
      <c r="R9" s="12">
        <f>$B9 * IFERROR(VLOOKUP(Substitution!$M$7 &amp; $A9, US_national_yearly!$D:$AM, MATCH(R$1, US_national_yearly!$D$1:$AM$1, 0), FALSE) / VLOOKUP(Substitution!$M$7 &amp; $A9, US_national_yearly!$D:$AM, MATCH(Keys!$C$7, US_national_yearly!$D$1:$AM$1, 0), FALSE), 1)</f>
        <v>6.5591605649386103E-3</v>
      </c>
      <c r="S9" s="12">
        <f>$B9 * IFERROR(VLOOKUP(Substitution!$M$7 &amp; $A9, US_national_yearly!$D:$AM, MATCH(S$1, US_national_yearly!$D$1:$AM$1, 0), FALSE) / VLOOKUP(Substitution!$M$7 &amp; $A9, US_national_yearly!$D:$AM, MATCH(Keys!$C$7, US_national_yearly!$D$1:$AM$1, 0), FALSE), 1)</f>
        <v>6.5869078784305422E-3</v>
      </c>
      <c r="T9" s="12">
        <f>$B9 * IFERROR(VLOOKUP(Substitution!$M$7 &amp; $A9, US_national_yearly!$D:$AM, MATCH(T$1, US_national_yearly!$D$1:$AM$1, 0), FALSE) / VLOOKUP(Substitution!$M$7 &amp; $A9, US_national_yearly!$D:$AM, MATCH(Keys!$C$7, US_national_yearly!$D$1:$AM$1, 0), FALSE), 1)</f>
        <v>6.6146551919224741E-3</v>
      </c>
      <c r="U9" s="12">
        <f>$B9 * IFERROR(VLOOKUP(Substitution!$M$7 &amp; $A9, US_national_yearly!$D:$AM, MATCH(U$1, US_national_yearly!$D$1:$AM$1, 0), FALSE) / VLOOKUP(Substitution!$M$7 &amp; $A9, US_national_yearly!$D:$AM, MATCH(Keys!$C$7, US_national_yearly!$D$1:$AM$1, 0), FALSE), 1)</f>
        <v>6.6424025054144069E-3</v>
      </c>
      <c r="V9" s="12">
        <f>$B9 * IFERROR(VLOOKUP(Substitution!$M$7 &amp; $A9, US_national_yearly!$D:$AM, MATCH(V$1, US_national_yearly!$D$1:$AM$1, 0), FALSE) / VLOOKUP(Substitution!$M$7 &amp; $A9, US_national_yearly!$D:$AM, MATCH(Keys!$C$7, US_national_yearly!$D$1:$AM$1, 0), FALSE), 1)</f>
        <v>6.6701498189063379E-3</v>
      </c>
      <c r="W9" s="12">
        <f>$B9 * IFERROR(VLOOKUP(Substitution!$M$7 &amp; $A9, US_national_yearly!$D:$AM, MATCH(W$1, US_national_yearly!$D$1:$AM$1, 0), FALSE) / VLOOKUP(Substitution!$M$7 &amp; $A9, US_national_yearly!$D:$AM, MATCH(Keys!$C$7, US_national_yearly!$D$1:$AM$1, 0), FALSE), 1)</f>
        <v>6.6978971323982698E-3</v>
      </c>
      <c r="X9" s="12">
        <f>$B9 * IFERROR(VLOOKUP(Substitution!$M$7 &amp; $A9, US_national_yearly!$D:$AM, MATCH(X$1, US_national_yearly!$D$1:$AM$1, 0), FALSE) / VLOOKUP(Substitution!$M$7 &amp; $A9, US_national_yearly!$D:$AM, MATCH(Keys!$C$7, US_national_yearly!$D$1:$AM$1, 0), FALSE), 1)</f>
        <v>6.7232579678051328E-3</v>
      </c>
      <c r="Y9" s="12">
        <f>$B9 * IFERROR(VLOOKUP(Substitution!$M$7 &amp; $A9, US_national_yearly!$D:$AM, MATCH(Y$1, US_national_yearly!$D$1:$AM$1, 0), FALSE) / VLOOKUP(Substitution!$M$7 &amp; $A9, US_national_yearly!$D:$AM, MATCH(Keys!$C$7, US_national_yearly!$D$1:$AM$1, 0), FALSE), 1)</f>
        <v>6.7486188032119939E-3</v>
      </c>
      <c r="Z9" s="12">
        <f>$B9 * IFERROR(VLOOKUP(Substitution!$M$7 &amp; $A9, US_national_yearly!$D:$AM, MATCH(Z$1, US_national_yearly!$D$1:$AM$1, 0), FALSE) / VLOOKUP(Substitution!$M$7 &amp; $A9, US_national_yearly!$D:$AM, MATCH(Keys!$C$7, US_national_yearly!$D$1:$AM$1, 0), FALSE), 1)</f>
        <v>6.773979638618856E-3</v>
      </c>
      <c r="AA9" s="12">
        <f>$B9 * IFERROR(VLOOKUP(Substitution!$M$7 &amp; $A9, US_national_yearly!$D:$AM, MATCH(AA$1, US_national_yearly!$D$1:$AM$1, 0), FALSE) / VLOOKUP(Substitution!$M$7 &amp; $A9, US_national_yearly!$D:$AM, MATCH(Keys!$C$7, US_national_yearly!$D$1:$AM$1, 0), FALSE), 1)</f>
        <v>6.7993404740257172E-3</v>
      </c>
      <c r="AB9" s="12">
        <f>$B9 * IFERROR(VLOOKUP(Substitution!$M$7 &amp; $A9, US_national_yearly!$D:$AM, MATCH(AB$1, US_national_yearly!$D$1:$AM$1, 0), FALSE) / VLOOKUP(Substitution!$M$7 &amp; $A9, US_national_yearly!$D:$AM, MATCH(Keys!$C$7, US_national_yearly!$D$1:$AM$1, 0), FALSE), 1)</f>
        <v>6.8247013094325801E-3</v>
      </c>
    </row>
    <row r="10" spans="1:28" x14ac:dyDescent="0.25">
      <c r="A10" s="4" t="s">
        <v>307</v>
      </c>
      <c r="B10" s="12">
        <f>IFERROR(VLOOKUP(Substitution!$M$7 &amp; $A10, US_national_yearly!$D:$AM, MATCH(Keys!$C$7, US_national_yearly!$D$1:$AM$1, 0), FALSE), 0)</f>
        <v>3.84101549799548E-2</v>
      </c>
      <c r="C10" s="12">
        <f>$B10 * IFERROR(VLOOKUP(Substitution!$M$7 &amp; $A10, US_national_yearly!$D:$AM, MATCH(C$1, US_national_yearly!$D$1:$AM$1, 0), FALSE) / VLOOKUP(Substitution!$M$7 &amp; $A10, US_national_yearly!$D:$AM, MATCH(Keys!$C$7, US_national_yearly!$D$1:$AM$1, 0), FALSE), 1)</f>
        <v>3.8767294818997898E-2</v>
      </c>
      <c r="D10" s="12">
        <f>$B10 * IFERROR(VLOOKUP(Substitution!$M$7 &amp; $A10, US_national_yearly!$D:$AM, MATCH(D$1, US_national_yearly!$D$1:$AM$1, 0), FALSE) / VLOOKUP(Substitution!$M$7 &amp; $A10, US_national_yearly!$D:$AM, MATCH(Keys!$C$7, US_national_yearly!$D$1:$AM$1, 0), FALSE), 1)</f>
        <v>3.9124434658041003E-2</v>
      </c>
      <c r="E10" s="12">
        <f>$B10 * IFERROR(VLOOKUP(Substitution!$M$7 &amp; $A10, US_national_yearly!$D:$AM, MATCH(E$1, US_national_yearly!$D$1:$AM$1, 0), FALSE) / VLOOKUP(Substitution!$M$7 &amp; $A10, US_national_yearly!$D:$AM, MATCH(Keys!$C$7, US_national_yearly!$D$1:$AM$1, 0), FALSE), 1)</f>
        <v>3.9481574497084108E-2</v>
      </c>
      <c r="F10" s="12">
        <f>$B10 * IFERROR(VLOOKUP(Substitution!$M$7 &amp; $A10, US_national_yearly!$D:$AM, MATCH(F$1, US_national_yearly!$D$1:$AM$1, 0), FALSE) / VLOOKUP(Substitution!$M$7 &amp; $A10, US_national_yearly!$D:$AM, MATCH(Keys!$C$7, US_national_yearly!$D$1:$AM$1, 0), FALSE), 1)</f>
        <v>3.9838714336127193E-2</v>
      </c>
      <c r="G10" s="12">
        <f>$B10 * IFERROR(VLOOKUP(Substitution!$M$7 &amp; $A10, US_national_yearly!$D:$AM, MATCH(G$1, US_national_yearly!$D$1:$AM$1, 0), FALSE) / VLOOKUP(Substitution!$M$7 &amp; $A10, US_national_yearly!$D:$AM, MATCH(Keys!$C$7, US_national_yearly!$D$1:$AM$1, 0), FALSE), 1)</f>
        <v>4.0228137617406748E-2</v>
      </c>
      <c r="H10" s="12">
        <f>$B10 * IFERROR(VLOOKUP(Substitution!$M$7 &amp; $A10, US_national_yearly!$D:$AM, MATCH(H$1, US_national_yearly!$D$1:$AM$1, 0), FALSE) / VLOOKUP(Substitution!$M$7 &amp; $A10, US_national_yearly!$D:$AM, MATCH(Keys!$C$7, US_national_yearly!$D$1:$AM$1, 0), FALSE), 1)</f>
        <v>4.0617560898686303E-2</v>
      </c>
      <c r="I10" s="12">
        <f>$B10 * IFERROR(VLOOKUP(Substitution!$M$7 &amp; $A10, US_national_yearly!$D:$AM, MATCH(I$1, US_national_yearly!$D$1:$AM$1, 0), FALSE) / VLOOKUP(Substitution!$M$7 &amp; $A10, US_national_yearly!$D:$AM, MATCH(Keys!$C$7, US_national_yearly!$D$1:$AM$1, 0), FALSE), 1)</f>
        <v>4.0914080765830842E-2</v>
      </c>
      <c r="J10" s="12">
        <f>$B10 * IFERROR(VLOOKUP(Substitution!$M$7 &amp; $A10, US_national_yearly!$D:$AM, MATCH(J$1, US_national_yearly!$D$1:$AM$1, 0), FALSE) / VLOOKUP(Substitution!$M$7 &amp; $A10, US_national_yearly!$D:$AM, MATCH(Keys!$C$7, US_national_yearly!$D$1:$AM$1, 0), FALSE), 1)</f>
        <v>4.121060063297538E-2</v>
      </c>
      <c r="K10" s="12">
        <f>$B10 * IFERROR(VLOOKUP(Substitution!$M$7 &amp; $A10, US_national_yearly!$D:$AM, MATCH(K$1, US_national_yearly!$D$1:$AM$1, 0), FALSE) / VLOOKUP(Substitution!$M$7 &amp; $A10, US_national_yearly!$D:$AM, MATCH(Keys!$C$7, US_national_yearly!$D$1:$AM$1, 0), FALSE), 1)</f>
        <v>4.1507120500119919E-2</v>
      </c>
      <c r="L10" s="12">
        <f>$B10 * IFERROR(VLOOKUP(Substitution!$M$7 &amp; $A10, US_national_yearly!$D:$AM, MATCH(L$1, US_national_yearly!$D$1:$AM$1, 0), FALSE) / VLOOKUP(Substitution!$M$7 &amp; $A10, US_national_yearly!$D:$AM, MATCH(Keys!$C$7, US_national_yearly!$D$1:$AM$1, 0), FALSE), 1)</f>
        <v>4.1803640367264458E-2</v>
      </c>
      <c r="M10" s="12">
        <f>$B10 * IFERROR(VLOOKUP(Substitution!$M$7 &amp; $A10, US_national_yearly!$D:$AM, MATCH(M$1, US_national_yearly!$D$1:$AM$1, 0), FALSE) / VLOOKUP(Substitution!$M$7 &amp; $A10, US_national_yearly!$D:$AM, MATCH(Keys!$C$7, US_national_yearly!$D$1:$AM$1, 0), FALSE), 1)</f>
        <v>4.2100160234408997E-2</v>
      </c>
      <c r="N10" s="12">
        <f>$B10 * IFERROR(VLOOKUP(Substitution!$M$7 &amp; $A10, US_national_yearly!$D:$AM, MATCH(N$1, US_national_yearly!$D$1:$AM$1, 0), FALSE) / VLOOKUP(Substitution!$M$7 &amp; $A10, US_national_yearly!$D:$AM, MATCH(Keys!$C$7, US_national_yearly!$D$1:$AM$1, 0), FALSE), 1)</f>
        <v>4.2255037086527322E-2</v>
      </c>
      <c r="O10" s="12">
        <f>$B10 * IFERROR(VLOOKUP(Substitution!$M$7 &amp; $A10, US_national_yearly!$D:$AM, MATCH(O$1, US_national_yearly!$D$1:$AM$1, 0), FALSE) / VLOOKUP(Substitution!$M$7 &amp; $A10, US_national_yearly!$D:$AM, MATCH(Keys!$C$7, US_national_yearly!$D$1:$AM$1, 0), FALSE), 1)</f>
        <v>4.2409913938645627E-2</v>
      </c>
      <c r="P10" s="12">
        <f>$B10 * IFERROR(VLOOKUP(Substitution!$M$7 &amp; $A10, US_national_yearly!$D:$AM, MATCH(P$1, US_national_yearly!$D$1:$AM$1, 0), FALSE) / VLOOKUP(Substitution!$M$7 &amp; $A10, US_national_yearly!$D:$AM, MATCH(Keys!$C$7, US_national_yearly!$D$1:$AM$1, 0), FALSE), 1)</f>
        <v>4.2564790790763959E-2</v>
      </c>
      <c r="Q10" s="12">
        <f>$B10 * IFERROR(VLOOKUP(Substitution!$M$7 &amp; $A10, US_national_yearly!$D:$AM, MATCH(Q$1, US_national_yearly!$D$1:$AM$1, 0), FALSE) / VLOOKUP(Substitution!$M$7 &amp; $A10, US_national_yearly!$D:$AM, MATCH(Keys!$C$7, US_national_yearly!$D$1:$AM$1, 0), FALSE), 1)</f>
        <v>4.2719667642882278E-2</v>
      </c>
      <c r="R10" s="12">
        <f>$B10 * IFERROR(VLOOKUP(Substitution!$M$7 &amp; $A10, US_national_yearly!$D:$AM, MATCH(R$1, US_national_yearly!$D$1:$AM$1, 0), FALSE) / VLOOKUP(Substitution!$M$7 &amp; $A10, US_national_yearly!$D:$AM, MATCH(Keys!$C$7, US_national_yearly!$D$1:$AM$1, 0), FALSE), 1)</f>
        <v>4.287454449500059E-2</v>
      </c>
      <c r="S10" s="12">
        <f>$B10 * IFERROR(VLOOKUP(Substitution!$M$7 &amp; $A10, US_national_yearly!$D:$AM, MATCH(S$1, US_national_yearly!$D$1:$AM$1, 0), FALSE) / VLOOKUP(Substitution!$M$7 &amp; $A10, US_national_yearly!$D:$AM, MATCH(Keys!$C$7, US_national_yearly!$D$1:$AM$1, 0), FALSE), 1)</f>
        <v>4.3051647925138707E-2</v>
      </c>
      <c r="T10" s="12">
        <f>$B10 * IFERROR(VLOOKUP(Substitution!$M$7 &amp; $A10, US_national_yearly!$D:$AM, MATCH(T$1, US_national_yearly!$D$1:$AM$1, 0), FALSE) / VLOOKUP(Substitution!$M$7 &amp; $A10, US_national_yearly!$D:$AM, MATCH(Keys!$C$7, US_national_yearly!$D$1:$AM$1, 0), FALSE), 1)</f>
        <v>4.3228751355276838E-2</v>
      </c>
      <c r="U10" s="12">
        <f>$B10 * IFERROR(VLOOKUP(Substitution!$M$7 &amp; $A10, US_national_yearly!$D:$AM, MATCH(U$1, US_national_yearly!$D$1:$AM$1, 0), FALSE) / VLOOKUP(Substitution!$M$7 &amp; $A10, US_national_yearly!$D:$AM, MATCH(Keys!$C$7, US_national_yearly!$D$1:$AM$1, 0), FALSE), 1)</f>
        <v>4.3405854785414963E-2</v>
      </c>
      <c r="V10" s="12">
        <f>$B10 * IFERROR(VLOOKUP(Substitution!$M$7 &amp; $A10, US_national_yearly!$D:$AM, MATCH(V$1, US_national_yearly!$D$1:$AM$1, 0), FALSE) / VLOOKUP(Substitution!$M$7 &amp; $A10, US_national_yearly!$D:$AM, MATCH(Keys!$C$7, US_national_yearly!$D$1:$AM$1, 0), FALSE), 1)</f>
        <v>4.358295821555308E-2</v>
      </c>
      <c r="W10" s="12">
        <f>$B10 * IFERROR(VLOOKUP(Substitution!$M$7 &amp; $A10, US_national_yearly!$D:$AM, MATCH(W$1, US_national_yearly!$D$1:$AM$1, 0), FALSE) / VLOOKUP(Substitution!$M$7 &amp; $A10, US_national_yearly!$D:$AM, MATCH(Keys!$C$7, US_national_yearly!$D$1:$AM$1, 0), FALSE), 1)</f>
        <v>4.3760061645691198E-2</v>
      </c>
      <c r="X10" s="12">
        <f>$B10 * IFERROR(VLOOKUP(Substitution!$M$7 &amp; $A10, US_national_yearly!$D:$AM, MATCH(X$1, US_national_yearly!$D$1:$AM$1, 0), FALSE) / VLOOKUP(Substitution!$M$7 &amp; $A10, US_national_yearly!$D:$AM, MATCH(Keys!$C$7, US_national_yearly!$D$1:$AM$1, 0), FALSE), 1)</f>
        <v>4.3944875992111783E-2</v>
      </c>
      <c r="Y10" s="12">
        <f>$B10 * IFERROR(VLOOKUP(Substitution!$M$7 &amp; $A10, US_national_yearly!$D:$AM, MATCH(Y$1, US_national_yearly!$D$1:$AM$1, 0), FALSE) / VLOOKUP(Substitution!$M$7 &amp; $A10, US_national_yearly!$D:$AM, MATCH(Keys!$C$7, US_national_yearly!$D$1:$AM$1, 0), FALSE), 1)</f>
        <v>4.4129690338532361E-2</v>
      </c>
      <c r="Z10" s="12">
        <f>$B10 * IFERROR(VLOOKUP(Substitution!$M$7 &amp; $A10, US_national_yearly!$D:$AM, MATCH(Z$1, US_national_yearly!$D$1:$AM$1, 0), FALSE) / VLOOKUP(Substitution!$M$7 &amp; $A10, US_national_yearly!$D:$AM, MATCH(Keys!$C$7, US_national_yearly!$D$1:$AM$1, 0), FALSE), 1)</f>
        <v>4.4314504684952932E-2</v>
      </c>
      <c r="AA10" s="12">
        <f>$B10 * IFERROR(VLOOKUP(Substitution!$M$7 &amp; $A10, US_national_yearly!$D:$AM, MATCH(AA$1, US_national_yearly!$D$1:$AM$1, 0), FALSE) / VLOOKUP(Substitution!$M$7 &amp; $A10, US_national_yearly!$D:$AM, MATCH(Keys!$C$7, US_national_yearly!$D$1:$AM$1, 0), FALSE), 1)</f>
        <v>4.4499319031373517E-2</v>
      </c>
      <c r="AB10" s="12">
        <f>$B10 * IFERROR(VLOOKUP(Substitution!$M$7 &amp; $A10, US_national_yearly!$D:$AM, MATCH(AB$1, US_national_yearly!$D$1:$AM$1, 0), FALSE) / VLOOKUP(Substitution!$M$7 &amp; $A10, US_national_yearly!$D:$AM, MATCH(Keys!$C$7, US_national_yearly!$D$1:$AM$1, 0), FALSE), 1)</f>
        <v>4.4684133377794102E-2</v>
      </c>
    </row>
    <row r="11" spans="1:28" x14ac:dyDescent="0.25">
      <c r="A11" s="4" t="s">
        <v>309</v>
      </c>
      <c r="B11" s="12">
        <f>IFERROR(VLOOKUP(Substitution!$M$7 &amp; $A11, US_national_yearly!$D:$AM, MATCH(Keys!$C$7, US_national_yearly!$D$1:$AM$1, 0), FALSE), 0)</f>
        <v>1.805717261900288E-3</v>
      </c>
      <c r="C11" s="12">
        <f>$B11 * IFERROR(VLOOKUP(Substitution!$M$7 &amp; $A11, US_national_yearly!$D:$AM, MATCH(C$1, US_national_yearly!$D$1:$AM$1, 0), FALSE) / VLOOKUP(Substitution!$M$7 &amp; $A11, US_national_yearly!$D:$AM, MATCH(Keys!$C$7, US_national_yearly!$D$1:$AM$1, 0), FALSE), 1)</f>
        <v>1.823084524635106E-3</v>
      </c>
      <c r="D11" s="12">
        <f>$B11 * IFERROR(VLOOKUP(Substitution!$M$7 &amp; $A11, US_national_yearly!$D:$AM, MATCH(D$1, US_national_yearly!$D$1:$AM$1, 0), FALSE) / VLOOKUP(Substitution!$M$7 &amp; $A11, US_national_yearly!$D:$AM, MATCH(Keys!$C$7, US_national_yearly!$D$1:$AM$1, 0), FALSE), 1)</f>
        <v>1.8404517873699237E-3</v>
      </c>
      <c r="E11" s="12">
        <f>$B11 * IFERROR(VLOOKUP(Substitution!$M$7 &amp; $A11, US_national_yearly!$D:$AM, MATCH(E$1, US_national_yearly!$D$1:$AM$1, 0), FALSE) / VLOOKUP(Substitution!$M$7 &amp; $A11, US_national_yearly!$D:$AM, MATCH(Keys!$C$7, US_national_yearly!$D$1:$AM$1, 0), FALSE), 1)</f>
        <v>1.8578190501047421E-3</v>
      </c>
      <c r="F11" s="12">
        <f>$B11 * IFERROR(VLOOKUP(Substitution!$M$7 &amp; $A11, US_national_yearly!$D:$AM, MATCH(F$1, US_national_yearly!$D$1:$AM$1, 0), FALSE) / VLOOKUP(Substitution!$M$7 &amp; $A11, US_national_yearly!$D:$AM, MATCH(Keys!$C$7, US_national_yearly!$D$1:$AM$1, 0), FALSE), 1)</f>
        <v>1.8751863128395601E-3</v>
      </c>
      <c r="G11" s="12">
        <f>$B11 * IFERROR(VLOOKUP(Substitution!$M$7 &amp; $A11, US_national_yearly!$D:$AM, MATCH(G$1, US_national_yearly!$D$1:$AM$1, 0), FALSE) / VLOOKUP(Substitution!$M$7 &amp; $A11, US_national_yearly!$D:$AM, MATCH(Keys!$C$7, US_national_yearly!$D$1:$AM$1, 0), FALSE), 1)</f>
        <v>1.8931403079101847E-3</v>
      </c>
      <c r="H11" s="12">
        <f>$B11 * IFERROR(VLOOKUP(Substitution!$M$7 &amp; $A11, US_national_yearly!$D:$AM, MATCH(H$1, US_national_yearly!$D$1:$AM$1, 0), FALSE) / VLOOKUP(Substitution!$M$7 &amp; $A11, US_national_yearly!$D:$AM, MATCH(Keys!$C$7, US_national_yearly!$D$1:$AM$1, 0), FALSE), 1)</f>
        <v>1.91109430298081E-3</v>
      </c>
      <c r="I11" s="12">
        <f>$B11 * IFERROR(VLOOKUP(Substitution!$M$7 &amp; $A11, US_national_yearly!$D:$AM, MATCH(I$1, US_national_yearly!$D$1:$AM$1, 0), FALSE) / VLOOKUP(Substitution!$M$7 &amp; $A11, US_national_yearly!$D:$AM, MATCH(Keys!$C$7, US_national_yearly!$D$1:$AM$1, 0), FALSE), 1)</f>
        <v>1.9279580502372358E-3</v>
      </c>
      <c r="J11" s="12">
        <f>$B11 * IFERROR(VLOOKUP(Substitution!$M$7 &amp; $A11, US_national_yearly!$D:$AM, MATCH(J$1, US_national_yearly!$D$1:$AM$1, 0), FALSE) / VLOOKUP(Substitution!$M$7 &amp; $A11, US_national_yearly!$D:$AM, MATCH(Keys!$C$7, US_national_yearly!$D$1:$AM$1, 0), FALSE), 1)</f>
        <v>1.9448217974936623E-3</v>
      </c>
      <c r="K11" s="12">
        <f>$B11 * IFERROR(VLOOKUP(Substitution!$M$7 &amp; $A11, US_national_yearly!$D:$AM, MATCH(K$1, US_national_yearly!$D$1:$AM$1, 0), FALSE) / VLOOKUP(Substitution!$M$7 &amp; $A11, US_national_yearly!$D:$AM, MATCH(Keys!$C$7, US_national_yearly!$D$1:$AM$1, 0), FALSE), 1)</f>
        <v>1.9616855447500878E-3</v>
      </c>
      <c r="L11" s="12">
        <f>$B11 * IFERROR(VLOOKUP(Substitution!$M$7 &amp; $A11, US_national_yearly!$D:$AM, MATCH(L$1, US_national_yearly!$D$1:$AM$1, 0), FALSE) / VLOOKUP(Substitution!$M$7 &amp; $A11, US_national_yearly!$D:$AM, MATCH(Keys!$C$7, US_national_yearly!$D$1:$AM$1, 0), FALSE), 1)</f>
        <v>1.978549292006514E-3</v>
      </c>
      <c r="M11" s="12">
        <f>$B11 * IFERROR(VLOOKUP(Substitution!$M$7 &amp; $A11, US_national_yearly!$D:$AM, MATCH(M$1, US_national_yearly!$D$1:$AM$1, 0), FALSE) / VLOOKUP(Substitution!$M$7 &amp; $A11, US_national_yearly!$D:$AM, MATCH(Keys!$C$7, US_national_yearly!$D$1:$AM$1, 0), FALSE), 1)</f>
        <v>1.9954130392629398E-3</v>
      </c>
      <c r="N11" s="12">
        <f>$B11 * IFERROR(VLOOKUP(Substitution!$M$7 &amp; $A11, US_national_yearly!$D:$AM, MATCH(N$1, US_national_yearly!$D$1:$AM$1, 0), FALSE) / VLOOKUP(Substitution!$M$7 &amp; $A11, US_national_yearly!$D:$AM, MATCH(Keys!$C$7, US_national_yearly!$D$1:$AM$1, 0), FALSE), 1)</f>
        <v>2.009687303232712E-3</v>
      </c>
      <c r="O11" s="12">
        <f>$B11 * IFERROR(VLOOKUP(Substitution!$M$7 &amp; $A11, US_national_yearly!$D:$AM, MATCH(O$1, US_national_yearly!$D$1:$AM$1, 0), FALSE) / VLOOKUP(Substitution!$M$7 &amp; $A11, US_national_yearly!$D:$AM, MATCH(Keys!$C$7, US_national_yearly!$D$1:$AM$1, 0), FALSE), 1)</f>
        <v>2.0239615672024841E-3</v>
      </c>
      <c r="P11" s="12">
        <f>$B11 * IFERROR(VLOOKUP(Substitution!$M$7 &amp; $A11, US_national_yearly!$D:$AM, MATCH(P$1, US_national_yearly!$D$1:$AM$1, 0), FALSE) / VLOOKUP(Substitution!$M$7 &amp; $A11, US_national_yearly!$D:$AM, MATCH(Keys!$C$7, US_national_yearly!$D$1:$AM$1, 0), FALSE), 1)</f>
        <v>2.0382358311722558E-3</v>
      </c>
      <c r="Q11" s="12">
        <f>$B11 * IFERROR(VLOOKUP(Substitution!$M$7 &amp; $A11, US_national_yearly!$D:$AM, MATCH(Q$1, US_national_yearly!$D$1:$AM$1, 0), FALSE) / VLOOKUP(Substitution!$M$7 &amp; $A11, US_national_yearly!$D:$AM, MATCH(Keys!$C$7, US_national_yearly!$D$1:$AM$1, 0), FALSE), 1)</f>
        <v>2.0525100951420279E-3</v>
      </c>
      <c r="R11" s="12">
        <f>$B11 * IFERROR(VLOOKUP(Substitution!$M$7 &amp; $A11, US_national_yearly!$D:$AM, MATCH(R$1, US_national_yearly!$D$1:$AM$1, 0), FALSE) / VLOOKUP(Substitution!$M$7 &amp; $A11, US_national_yearly!$D:$AM, MATCH(Keys!$C$7, US_national_yearly!$D$1:$AM$1, 0), FALSE), 1)</f>
        <v>2.0667843591118001E-3</v>
      </c>
      <c r="S11" s="12">
        <f>$B11 * IFERROR(VLOOKUP(Substitution!$M$7 &amp; $A11, US_national_yearly!$D:$AM, MATCH(S$1, US_national_yearly!$D$1:$AM$1, 0), FALSE) / VLOOKUP(Substitution!$M$7 &amp; $A11, US_national_yearly!$D:$AM, MATCH(Keys!$C$7, US_national_yearly!$D$1:$AM$1, 0), FALSE), 1)</f>
        <v>2.0790583411905159E-3</v>
      </c>
      <c r="T11" s="12">
        <f>$B11 * IFERROR(VLOOKUP(Substitution!$M$7 &amp; $A11, US_national_yearly!$D:$AM, MATCH(T$1, US_national_yearly!$D$1:$AM$1, 0), FALSE) / VLOOKUP(Substitution!$M$7 &amp; $A11, US_national_yearly!$D:$AM, MATCH(Keys!$C$7, US_national_yearly!$D$1:$AM$1, 0), FALSE), 1)</f>
        <v>2.0913323232692321E-3</v>
      </c>
      <c r="U11" s="12">
        <f>$B11 * IFERROR(VLOOKUP(Substitution!$M$7 &amp; $A11, US_national_yearly!$D:$AM, MATCH(U$1, US_national_yearly!$D$1:$AM$1, 0), FALSE) / VLOOKUP(Substitution!$M$7 &amp; $A11, US_national_yearly!$D:$AM, MATCH(Keys!$C$7, US_national_yearly!$D$1:$AM$1, 0), FALSE), 1)</f>
        <v>2.1036063053479479E-3</v>
      </c>
      <c r="V11" s="12">
        <f>$B11 * IFERROR(VLOOKUP(Substitution!$M$7 &amp; $A11, US_national_yearly!$D:$AM, MATCH(V$1, US_national_yearly!$D$1:$AM$1, 0), FALSE) / VLOOKUP(Substitution!$M$7 &amp; $A11, US_national_yearly!$D:$AM, MATCH(Keys!$C$7, US_national_yearly!$D$1:$AM$1, 0), FALSE), 1)</f>
        <v>2.1158802874266642E-3</v>
      </c>
      <c r="W11" s="12">
        <f>$B11 * IFERROR(VLOOKUP(Substitution!$M$7 &amp; $A11, US_national_yearly!$D:$AM, MATCH(W$1, US_national_yearly!$D$1:$AM$1, 0), FALSE) / VLOOKUP(Substitution!$M$7 &amp; $A11, US_national_yearly!$D:$AM, MATCH(Keys!$C$7, US_national_yearly!$D$1:$AM$1, 0), FALSE), 1)</f>
        <v>2.12815426950538E-3</v>
      </c>
      <c r="X11" s="12">
        <f>$B11 * IFERROR(VLOOKUP(Substitution!$M$7 &amp; $A11, US_national_yearly!$D:$AM, MATCH(X$1, US_national_yearly!$D$1:$AM$1, 0), FALSE) / VLOOKUP(Substitution!$M$7 &amp; $A11, US_national_yearly!$D:$AM, MATCH(Keys!$C$7, US_national_yearly!$D$1:$AM$1, 0), FALSE), 1)</f>
        <v>2.1396285573208459E-3</v>
      </c>
      <c r="Y11" s="12">
        <f>$B11 * IFERROR(VLOOKUP(Substitution!$M$7 &amp; $A11, US_national_yearly!$D:$AM, MATCH(Y$1, US_national_yearly!$D$1:$AM$1, 0), FALSE) / VLOOKUP(Substitution!$M$7 &amp; $A11, US_national_yearly!$D:$AM, MATCH(Keys!$C$7, US_national_yearly!$D$1:$AM$1, 0), FALSE), 1)</f>
        <v>2.1511028451363119E-3</v>
      </c>
      <c r="Z11" s="12">
        <f>$B11 * IFERROR(VLOOKUP(Substitution!$M$7 &amp; $A11, US_national_yearly!$D:$AM, MATCH(Z$1, US_national_yearly!$D$1:$AM$1, 0), FALSE) / VLOOKUP(Substitution!$M$7 &amp; $A11, US_national_yearly!$D:$AM, MATCH(Keys!$C$7, US_national_yearly!$D$1:$AM$1, 0), FALSE), 1)</f>
        <v>2.1625771329517778E-3</v>
      </c>
      <c r="AA11" s="12">
        <f>$B11 * IFERROR(VLOOKUP(Substitution!$M$7 &amp; $A11, US_national_yearly!$D:$AM, MATCH(AA$1, US_national_yearly!$D$1:$AM$1, 0), FALSE) / VLOOKUP(Substitution!$M$7 &amp; $A11, US_national_yearly!$D:$AM, MATCH(Keys!$C$7, US_national_yearly!$D$1:$AM$1, 0), FALSE), 1)</f>
        <v>2.1740514207672442E-3</v>
      </c>
      <c r="AB11" s="12">
        <f>$B11 * IFERROR(VLOOKUP(Substitution!$M$7 &amp; $A11, US_national_yearly!$D:$AM, MATCH(AB$1, US_national_yearly!$D$1:$AM$1, 0), FALSE) / VLOOKUP(Substitution!$M$7 &amp; $A11, US_national_yearly!$D:$AM, MATCH(Keys!$C$7, US_national_yearly!$D$1:$AM$1, 0), FALSE), 1)</f>
        <v>2.1855257085827101E-3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Substitution!$G$7)/IFERROR(SUMIFS(COBRA_aggregated!$V:$V, COBRA_aggregated!$A:$A, About!$B$1, COBRA_aggregated!$B:$B, Substitution!$G$7), 1)</f>
        <v>5.6490486111575072E-4</v>
      </c>
      <c r="C12" s="12">
        <f>$B12 * IFERROR(VLOOKUP(Substitution!$M$7 &amp; $A12, US_national_yearly!$D:$AM, MATCH(C$1, US_national_yearly!$D$1:$AM$1, 0), FALSE) / VLOOKUP(Substitution!$M$7 &amp; $A12, US_national_yearly!$D:$AM, MATCH(Keys!$C$7, US_national_yearly!$D$1:$AM$1, 0), FALSE), 1)</f>
        <v>5.6823669805950176E-4</v>
      </c>
      <c r="D12" s="12">
        <f>$B12 * IFERROR(VLOOKUP(Substitution!$M$7 &amp; $A12, US_national_yearly!$D:$AM, MATCH(D$1, US_national_yearly!$D$1:$AM$1, 0), FALSE) / VLOOKUP(Substitution!$M$7 &amp; $A12, US_national_yearly!$D:$AM, MATCH(Keys!$C$7, US_national_yearly!$D$1:$AM$1, 0), FALSE), 1)</f>
        <v>5.7156853500325269E-4</v>
      </c>
      <c r="E12" s="12">
        <f>$B12 * IFERROR(VLOOKUP(Substitution!$M$7 &amp; $A12, US_national_yearly!$D:$AM, MATCH(E$1, US_national_yearly!$D$1:$AM$1, 0), FALSE) / VLOOKUP(Substitution!$M$7 &amp; $A12, US_national_yearly!$D:$AM, MATCH(Keys!$C$7, US_national_yearly!$D$1:$AM$1, 0), FALSE), 1)</f>
        <v>5.7490037194700373E-4</v>
      </c>
      <c r="F12" s="12">
        <f>$B12 * IFERROR(VLOOKUP(Substitution!$M$7 &amp; $A12, US_national_yearly!$D:$AM, MATCH(F$1, US_national_yearly!$D$1:$AM$1, 0), FALSE) / VLOOKUP(Substitution!$M$7 &amp; $A12, US_national_yearly!$D:$AM, MATCH(Keys!$C$7, US_national_yearly!$D$1:$AM$1, 0), FALSE), 1)</f>
        <v>5.7823220889075466E-4</v>
      </c>
      <c r="G12" s="12">
        <f>$B12 * IFERROR(VLOOKUP(Substitution!$M$7 &amp; $A12, US_national_yearly!$D:$AM, MATCH(G$1, US_national_yearly!$D$1:$AM$1, 0), FALSE) / VLOOKUP(Substitution!$M$7 &amp; $A12, US_national_yearly!$D:$AM, MATCH(Keys!$C$7, US_national_yearly!$D$1:$AM$1, 0), FALSE), 1)</f>
        <v>5.8186447314369488E-4</v>
      </c>
      <c r="H12" s="12">
        <f>$B12 * IFERROR(VLOOKUP(Substitution!$M$7 &amp; $A12, US_national_yearly!$D:$AM, MATCH(H$1, US_national_yearly!$D$1:$AM$1, 0), FALSE) / VLOOKUP(Substitution!$M$7 &amp; $A12, US_national_yearly!$D:$AM, MATCH(Keys!$C$7, US_national_yearly!$D$1:$AM$1, 0), FALSE), 1)</f>
        <v>5.8549673739663498E-4</v>
      </c>
      <c r="I12" s="12">
        <f>$B12 * IFERROR(VLOOKUP(Substitution!$M$7 &amp; $A12, US_national_yearly!$D:$AM, MATCH(I$1, US_national_yearly!$D$1:$AM$1, 0), FALSE) / VLOOKUP(Substitution!$M$7 &amp; $A12, US_national_yearly!$D:$AM, MATCH(Keys!$C$7, US_national_yearly!$D$1:$AM$1, 0), FALSE), 1)</f>
        <v>5.8907858242241893E-4</v>
      </c>
      <c r="J12" s="12">
        <f>$B12 * IFERROR(VLOOKUP(Substitution!$M$7 &amp; $A12, US_national_yearly!$D:$AM, MATCH(J$1, US_national_yearly!$D$1:$AM$1, 0), FALSE) / VLOOKUP(Substitution!$M$7 &amp; $A12, US_national_yearly!$D:$AM, MATCH(Keys!$C$7, US_national_yearly!$D$1:$AM$1, 0), FALSE), 1)</f>
        <v>5.9266042744820309E-4</v>
      </c>
      <c r="K12" s="12">
        <f>$B12 * IFERROR(VLOOKUP(Substitution!$M$7 &amp; $A12, US_national_yearly!$D:$AM, MATCH(K$1, US_national_yearly!$D$1:$AM$1, 0), FALSE) / VLOOKUP(Substitution!$M$7 &amp; $A12, US_national_yearly!$D:$AM, MATCH(Keys!$C$7, US_national_yearly!$D$1:$AM$1, 0), FALSE), 1)</f>
        <v>5.9624227247398692E-4</v>
      </c>
      <c r="L12" s="12">
        <f>$B12 * IFERROR(VLOOKUP(Substitution!$M$7 &amp; $A12, US_national_yearly!$D:$AM, MATCH(L$1, US_national_yearly!$D$1:$AM$1, 0), FALSE) / VLOOKUP(Substitution!$M$7 &amp; $A12, US_national_yearly!$D:$AM, MATCH(Keys!$C$7, US_national_yearly!$D$1:$AM$1, 0), FALSE), 1)</f>
        <v>5.9982411749977098E-4</v>
      </c>
      <c r="M12" s="12">
        <f>$B12 * IFERROR(VLOOKUP(Substitution!$M$7 &amp; $A12, US_national_yearly!$D:$AM, MATCH(M$1, US_national_yearly!$D$1:$AM$1, 0), FALSE) / VLOOKUP(Substitution!$M$7 &amp; $A12, US_national_yearly!$D:$AM, MATCH(Keys!$C$7, US_national_yearly!$D$1:$AM$1, 0), FALSE), 1)</f>
        <v>6.0340596252555481E-4</v>
      </c>
      <c r="N12" s="12">
        <f>$B12 * IFERROR(VLOOKUP(Substitution!$M$7 &amp; $A12, US_national_yearly!$D:$AM, MATCH(N$1, US_national_yearly!$D$1:$AM$1, 0), FALSE) / VLOOKUP(Substitution!$M$7 &amp; $A12, US_national_yearly!$D:$AM, MATCH(Keys!$C$7, US_national_yearly!$D$1:$AM$1, 0), FALSE), 1)</f>
        <v>6.0602059882784417E-4</v>
      </c>
      <c r="O12" s="12">
        <f>$B12 * IFERROR(VLOOKUP(Substitution!$M$7 &amp; $A12, US_national_yearly!$D:$AM, MATCH(O$1, US_national_yearly!$D$1:$AM$1, 0), FALSE) / VLOOKUP(Substitution!$M$7 &amp; $A12, US_national_yearly!$D:$AM, MATCH(Keys!$C$7, US_national_yearly!$D$1:$AM$1, 0), FALSE), 1)</f>
        <v>6.0863523513013341E-4</v>
      </c>
      <c r="P12" s="12">
        <f>$B12 * IFERROR(VLOOKUP(Substitution!$M$7 &amp; $A12, US_national_yearly!$D:$AM, MATCH(P$1, US_national_yearly!$D$1:$AM$1, 0), FALSE) / VLOOKUP(Substitution!$M$7 &amp; $A12, US_national_yearly!$D:$AM, MATCH(Keys!$C$7, US_national_yearly!$D$1:$AM$1, 0), FALSE), 1)</f>
        <v>6.1124987143242266E-4</v>
      </c>
      <c r="Q12" s="12">
        <f>$B12 * IFERROR(VLOOKUP(Substitution!$M$7 &amp; $A12, US_national_yearly!$D:$AM, MATCH(Q$1, US_national_yearly!$D$1:$AM$1, 0), FALSE) / VLOOKUP(Substitution!$M$7 &amp; $A12, US_national_yearly!$D:$AM, MATCH(Keys!$C$7, US_national_yearly!$D$1:$AM$1, 0), FALSE), 1)</f>
        <v>6.1386450773471201E-4</v>
      </c>
      <c r="R12" s="12">
        <f>$B12 * IFERROR(VLOOKUP(Substitution!$M$7 &amp; $A12, US_national_yearly!$D:$AM, MATCH(R$1, US_national_yearly!$D$1:$AM$1, 0), FALSE) / VLOOKUP(Substitution!$M$7 &amp; $A12, US_national_yearly!$D:$AM, MATCH(Keys!$C$7, US_national_yearly!$D$1:$AM$1, 0), FALSE), 1)</f>
        <v>6.1647914403700126E-4</v>
      </c>
      <c r="S12" s="12">
        <f>$B12 * IFERROR(VLOOKUP(Substitution!$M$7 &amp; $A12, US_national_yearly!$D:$AM, MATCH(S$1, US_national_yearly!$D$1:$AM$1, 0), FALSE) / VLOOKUP(Substitution!$M$7 &amp; $A12, US_national_yearly!$D:$AM, MATCH(Keys!$C$7, US_national_yearly!$D$1:$AM$1, 0), FALSE), 1)</f>
        <v>6.1897330756700581E-4</v>
      </c>
      <c r="T12" s="12">
        <f>$B12 * IFERROR(VLOOKUP(Substitution!$M$7 &amp; $A12, US_national_yearly!$D:$AM, MATCH(T$1, US_national_yearly!$D$1:$AM$1, 0), FALSE) / VLOOKUP(Substitution!$M$7 &amp; $A12, US_national_yearly!$D:$AM, MATCH(Keys!$C$7, US_national_yearly!$D$1:$AM$1, 0), FALSE), 1)</f>
        <v>6.2146747109701026E-4</v>
      </c>
      <c r="U12" s="12">
        <f>$B12 * IFERROR(VLOOKUP(Substitution!$M$7 &amp; $A12, US_national_yearly!$D:$AM, MATCH(U$1, US_national_yearly!$D$1:$AM$1, 0), FALSE) / VLOOKUP(Substitution!$M$7 &amp; $A12, US_national_yearly!$D:$AM, MATCH(Keys!$C$7, US_national_yearly!$D$1:$AM$1, 0), FALSE), 1)</f>
        <v>6.2396163462701481E-4</v>
      </c>
      <c r="V12" s="12">
        <f>$B12 * IFERROR(VLOOKUP(Substitution!$M$7 &amp; $A12, US_national_yearly!$D:$AM, MATCH(V$1, US_national_yearly!$D$1:$AM$1, 0), FALSE) / VLOOKUP(Substitution!$M$7 &amp; $A12, US_national_yearly!$D:$AM, MATCH(Keys!$C$7, US_national_yearly!$D$1:$AM$1, 0), FALSE), 1)</f>
        <v>6.2645579815701947E-4</v>
      </c>
      <c r="W12" s="12">
        <f>$B12 * IFERROR(VLOOKUP(Substitution!$M$7 &amp; $A12, US_national_yearly!$D:$AM, MATCH(W$1, US_national_yearly!$D$1:$AM$1, 0), FALSE) / VLOOKUP(Substitution!$M$7 &amp; $A12, US_national_yearly!$D:$AM, MATCH(Keys!$C$7, US_national_yearly!$D$1:$AM$1, 0), FALSE), 1)</f>
        <v>6.2894996168702403E-4</v>
      </c>
      <c r="X12" s="12">
        <f>$B12 * IFERROR(VLOOKUP(Substitution!$M$7 &amp; $A12, US_national_yearly!$D:$AM, MATCH(X$1, US_national_yearly!$D$1:$AM$1, 0), FALSE) / VLOOKUP(Substitution!$M$7 &amp; $A12, US_national_yearly!$D:$AM, MATCH(Keys!$C$7, US_national_yearly!$D$1:$AM$1, 0), FALSE), 1)</f>
        <v>6.3131651338401069E-4</v>
      </c>
      <c r="Y12" s="12">
        <f>$B12 * IFERROR(VLOOKUP(Substitution!$M$7 &amp; $A12, US_national_yearly!$D:$AM, MATCH(Y$1, US_national_yearly!$D$1:$AM$1, 0), FALSE) / VLOOKUP(Substitution!$M$7 &amp; $A12, US_national_yearly!$D:$AM, MATCH(Keys!$C$7, US_national_yearly!$D$1:$AM$1, 0), FALSE), 1)</f>
        <v>6.3368306508099735E-4</v>
      </c>
      <c r="Z12" s="12">
        <f>$B12 * IFERROR(VLOOKUP(Substitution!$M$7 &amp; $A12, US_national_yearly!$D:$AM, MATCH(Z$1, US_national_yearly!$D$1:$AM$1, 0), FALSE) / VLOOKUP(Substitution!$M$7 &amp; $A12, US_national_yearly!$D:$AM, MATCH(Keys!$C$7, US_national_yearly!$D$1:$AM$1, 0), FALSE), 1)</f>
        <v>6.3604961677798391E-4</v>
      </c>
      <c r="AA12" s="12">
        <f>$B12 * IFERROR(VLOOKUP(Substitution!$M$7 &amp; $A12, US_national_yearly!$D:$AM, MATCH(AA$1, US_national_yearly!$D$1:$AM$1, 0), FALSE) / VLOOKUP(Substitution!$M$7 &amp; $A12, US_national_yearly!$D:$AM, MATCH(Keys!$C$7, US_national_yearly!$D$1:$AM$1, 0), FALSE), 1)</f>
        <v>6.3841616847497057E-4</v>
      </c>
      <c r="AB12" s="12">
        <f>$B12 * IFERROR(VLOOKUP(Substitution!$M$7 &amp; $A12, US_national_yearly!$D:$AM, MATCH(AB$1, US_national_yearly!$D$1:$AM$1, 0), FALSE) / VLOOKUP(Substitution!$M$7 &amp; $A12, US_national_yearly!$D:$AM, MATCH(Keys!$C$7, US_national_yearly!$D$1:$AM$1, 0), FALSE), 1)</f>
        <v>6.4078272017195734E-4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Substitution!$G$7)/IFERROR(SUMIFS(COBRA_aggregated!$V:$V, COBRA_aggregated!$A:$A, About!$B$1, COBRA_aggregated!$B:$B, Substitution!$G$7), 1)</f>
        <v>3.6044352640570054E-3</v>
      </c>
      <c r="C13" s="12">
        <f>$B13 * IFERROR(VLOOKUP(Substitution!$M$7 &amp; $A13, US_national_yearly!$D:$AM, MATCH(C$1, US_national_yearly!$D$1:$AM$1, 0), FALSE) / VLOOKUP(Substitution!$M$7 &amp; $A13, US_national_yearly!$D:$AM, MATCH(Keys!$C$7, US_national_yearly!$D$1:$AM$1, 0), FALSE), 1)</f>
        <v>3.7102483913829943E-3</v>
      </c>
      <c r="D13" s="12">
        <f>$B13 * IFERROR(VLOOKUP(Substitution!$M$7 &amp; $A13, US_national_yearly!$D:$AM, MATCH(D$1, US_national_yearly!$D$1:$AM$1, 0), FALSE) / VLOOKUP(Substitution!$M$7 &amp; $A13, US_national_yearly!$D:$AM, MATCH(Keys!$C$7, US_national_yearly!$D$1:$AM$1, 0), FALSE), 1)</f>
        <v>3.8160615187089828E-3</v>
      </c>
      <c r="E13" s="12">
        <f>$B13 * IFERROR(VLOOKUP(Substitution!$M$7 &amp; $A13, US_national_yearly!$D:$AM, MATCH(E$1, US_national_yearly!$D$1:$AM$1, 0), FALSE) / VLOOKUP(Substitution!$M$7 &amp; $A13, US_national_yearly!$D:$AM, MATCH(Keys!$C$7, US_national_yearly!$D$1:$AM$1, 0), FALSE), 1)</f>
        <v>3.9218746460349717E-3</v>
      </c>
      <c r="F13" s="12">
        <f>$B13 * IFERROR(VLOOKUP(Substitution!$M$7 &amp; $A13, US_national_yearly!$D:$AM, MATCH(F$1, US_national_yearly!$D$1:$AM$1, 0), FALSE) / VLOOKUP(Substitution!$M$7 &amp; $A13, US_national_yearly!$D:$AM, MATCH(Keys!$C$7, US_national_yearly!$D$1:$AM$1, 0), FALSE), 1)</f>
        <v>4.0276877733609598E-3</v>
      </c>
      <c r="G13" s="12">
        <f>$B13 * IFERROR(VLOOKUP(Substitution!$M$7 &amp; $A13, US_national_yearly!$D:$AM, MATCH(G$1, US_national_yearly!$D$1:$AM$1, 0), FALSE) / VLOOKUP(Substitution!$M$7 &amp; $A13, US_national_yearly!$D:$AM, MATCH(Keys!$C$7, US_national_yearly!$D$1:$AM$1, 0), FALSE), 1)</f>
        <v>4.1274793671965092E-3</v>
      </c>
      <c r="H13" s="12">
        <f>$B13 * IFERROR(VLOOKUP(Substitution!$M$7 &amp; $A13, US_national_yearly!$D:$AM, MATCH(H$1, US_national_yearly!$D$1:$AM$1, 0), FALSE) / VLOOKUP(Substitution!$M$7 &amp; $A13, US_national_yearly!$D:$AM, MATCH(Keys!$C$7, US_national_yearly!$D$1:$AM$1, 0), FALSE), 1)</f>
        <v>4.2272709610320586E-3</v>
      </c>
      <c r="I13" s="12">
        <f>$B13 * IFERROR(VLOOKUP(Substitution!$M$7 &amp; $A13, US_national_yearly!$D:$AM, MATCH(I$1, US_national_yearly!$D$1:$AM$1, 0), FALSE) / VLOOKUP(Substitution!$M$7 &amp; $A13, US_national_yearly!$D:$AM, MATCH(Keys!$C$7, US_national_yearly!$D$1:$AM$1, 0), FALSE), 1)</f>
        <v>4.3075719108518267E-3</v>
      </c>
      <c r="J13" s="12">
        <f>$B13 * IFERROR(VLOOKUP(Substitution!$M$7 &amp; $A13, US_national_yearly!$D:$AM, MATCH(J$1, US_national_yearly!$D$1:$AM$1, 0), FALSE) / VLOOKUP(Substitution!$M$7 &amp; $A13, US_national_yearly!$D:$AM, MATCH(Keys!$C$7, US_national_yearly!$D$1:$AM$1, 0), FALSE), 1)</f>
        <v>4.3878728606715966E-3</v>
      </c>
      <c r="K13" s="12">
        <f>$B13 * IFERROR(VLOOKUP(Substitution!$M$7 &amp; $A13, US_national_yearly!$D:$AM, MATCH(K$1, US_national_yearly!$D$1:$AM$1, 0), FALSE) / VLOOKUP(Substitution!$M$7 &amp; $A13, US_national_yearly!$D:$AM, MATCH(Keys!$C$7, US_national_yearly!$D$1:$AM$1, 0), FALSE), 1)</f>
        <v>4.4681738104913648E-3</v>
      </c>
      <c r="L13" s="12">
        <f>$B13 * IFERROR(VLOOKUP(Substitution!$M$7 &amp; $A13, US_national_yearly!$D:$AM, MATCH(L$1, US_national_yearly!$D$1:$AM$1, 0), FALSE) / VLOOKUP(Substitution!$M$7 &amp; $A13, US_national_yearly!$D:$AM, MATCH(Keys!$C$7, US_national_yearly!$D$1:$AM$1, 0), FALSE), 1)</f>
        <v>4.5484747603111355E-3</v>
      </c>
      <c r="M13" s="12">
        <f>$B13 * IFERROR(VLOOKUP(Substitution!$M$7 &amp; $A13, US_national_yearly!$D:$AM, MATCH(M$1, US_national_yearly!$D$1:$AM$1, 0), FALSE) / VLOOKUP(Substitution!$M$7 &amp; $A13, US_national_yearly!$D:$AM, MATCH(Keys!$C$7, US_national_yearly!$D$1:$AM$1, 0), FALSE), 1)</f>
        <v>4.6287757101309045E-3</v>
      </c>
      <c r="N13" s="12">
        <f>$B13 * IFERROR(VLOOKUP(Substitution!$M$7 &amp; $A13, US_national_yearly!$D:$AM, MATCH(N$1, US_national_yearly!$D$1:$AM$1, 0), FALSE) / VLOOKUP(Substitution!$M$7 &amp; $A13, US_national_yearly!$D:$AM, MATCH(Keys!$C$7, US_national_yearly!$D$1:$AM$1, 0), FALSE), 1)</f>
        <v>4.6809160870130706E-3</v>
      </c>
      <c r="O13" s="12">
        <f>$B13 * IFERROR(VLOOKUP(Substitution!$M$7 &amp; $A13, US_national_yearly!$D:$AM, MATCH(O$1, US_national_yearly!$D$1:$AM$1, 0), FALSE) / VLOOKUP(Substitution!$M$7 &amp; $A13, US_national_yearly!$D:$AM, MATCH(Keys!$C$7, US_national_yearly!$D$1:$AM$1, 0), FALSE), 1)</f>
        <v>4.7330564638952376E-3</v>
      </c>
      <c r="P13" s="12">
        <f>$B13 * IFERROR(VLOOKUP(Substitution!$M$7 &amp; $A13, US_national_yearly!$D:$AM, MATCH(P$1, US_national_yearly!$D$1:$AM$1, 0), FALSE) / VLOOKUP(Substitution!$M$7 &amp; $A13, US_national_yearly!$D:$AM, MATCH(Keys!$C$7, US_national_yearly!$D$1:$AM$1, 0), FALSE), 1)</f>
        <v>4.7851968407774045E-3</v>
      </c>
      <c r="Q13" s="12">
        <f>$B13 * IFERROR(VLOOKUP(Substitution!$M$7 &amp; $A13, US_national_yearly!$D:$AM, MATCH(Q$1, US_national_yearly!$D$1:$AM$1, 0), FALSE) / VLOOKUP(Substitution!$M$7 &amp; $A13, US_national_yearly!$D:$AM, MATCH(Keys!$C$7, US_national_yearly!$D$1:$AM$1, 0), FALSE), 1)</f>
        <v>4.8373372176595715E-3</v>
      </c>
      <c r="R13" s="12">
        <f>$B13 * IFERROR(VLOOKUP(Substitution!$M$7 &amp; $A13, US_national_yearly!$D:$AM, MATCH(R$1, US_national_yearly!$D$1:$AM$1, 0), FALSE) / VLOOKUP(Substitution!$M$7 &amp; $A13, US_national_yearly!$D:$AM, MATCH(Keys!$C$7, US_national_yearly!$D$1:$AM$1, 0), FALSE), 1)</f>
        <v>4.8894775945417376E-3</v>
      </c>
      <c r="S13" s="12">
        <f>$B13 * IFERROR(VLOOKUP(Substitution!$M$7 &amp; $A13, US_national_yearly!$D:$AM, MATCH(S$1, US_national_yearly!$D$1:$AM$1, 0), FALSE) / VLOOKUP(Substitution!$M$7 &amp; $A13, US_national_yearly!$D:$AM, MATCH(Keys!$C$7, US_national_yearly!$D$1:$AM$1, 0), FALSE), 1)</f>
        <v>4.9166997920332967E-3</v>
      </c>
      <c r="T13" s="12">
        <f>$B13 * IFERROR(VLOOKUP(Substitution!$M$7 &amp; $A13, US_national_yearly!$D:$AM, MATCH(T$1, US_national_yearly!$D$1:$AM$1, 0), FALSE) / VLOOKUP(Substitution!$M$7 &amp; $A13, US_national_yearly!$D:$AM, MATCH(Keys!$C$7, US_national_yearly!$D$1:$AM$1, 0), FALSE), 1)</f>
        <v>4.9439219895248548E-3</v>
      </c>
      <c r="U13" s="12">
        <f>$B13 * IFERROR(VLOOKUP(Substitution!$M$7 &amp; $A13, US_national_yearly!$D:$AM, MATCH(U$1, US_national_yearly!$D$1:$AM$1, 0), FALSE) / VLOOKUP(Substitution!$M$7 &amp; $A13, US_national_yearly!$D:$AM, MATCH(Keys!$C$7, US_national_yearly!$D$1:$AM$1, 0), FALSE), 1)</f>
        <v>4.971144187016413E-3</v>
      </c>
      <c r="V13" s="12">
        <f>$B13 * IFERROR(VLOOKUP(Substitution!$M$7 &amp; $A13, US_national_yearly!$D:$AM, MATCH(V$1, US_national_yearly!$D$1:$AM$1, 0), FALSE) / VLOOKUP(Substitution!$M$7 &amp; $A13, US_national_yearly!$D:$AM, MATCH(Keys!$C$7, US_national_yearly!$D$1:$AM$1, 0), FALSE), 1)</f>
        <v>4.9983663845079712E-3</v>
      </c>
      <c r="W13" s="12">
        <f>$B13 * IFERROR(VLOOKUP(Substitution!$M$7 &amp; $A13, US_national_yearly!$D:$AM, MATCH(W$1, US_national_yearly!$D$1:$AM$1, 0), FALSE) / VLOOKUP(Substitution!$M$7 &amp; $A13, US_national_yearly!$D:$AM, MATCH(Keys!$C$7, US_national_yearly!$D$1:$AM$1, 0), FALSE), 1)</f>
        <v>5.0255885819995303E-3</v>
      </c>
      <c r="X13" s="12">
        <f>$B13 * IFERROR(VLOOKUP(Substitution!$M$7 &amp; $A13, US_national_yearly!$D:$AM, MATCH(X$1, US_national_yearly!$D$1:$AM$1, 0), FALSE) / VLOOKUP(Substitution!$M$7 &amp; $A13, US_national_yearly!$D:$AM, MATCH(Keys!$C$7, US_national_yearly!$D$1:$AM$1, 0), FALSE), 1)</f>
        <v>5.0461389598752049E-3</v>
      </c>
      <c r="Y13" s="12">
        <f>$B13 * IFERROR(VLOOKUP(Substitution!$M$7 &amp; $A13, US_national_yearly!$D:$AM, MATCH(Y$1, US_national_yearly!$D$1:$AM$1, 0), FALSE) / VLOOKUP(Substitution!$M$7 &amp; $A13, US_national_yearly!$D:$AM, MATCH(Keys!$C$7, US_national_yearly!$D$1:$AM$1, 0), FALSE), 1)</f>
        <v>5.0666893377508786E-3</v>
      </c>
      <c r="Z13" s="12">
        <f>$B13 * IFERROR(VLOOKUP(Substitution!$M$7 &amp; $A13, US_national_yearly!$D:$AM, MATCH(Z$1, US_national_yearly!$D$1:$AM$1, 0), FALSE) / VLOOKUP(Substitution!$M$7 &amp; $A13, US_national_yearly!$D:$AM, MATCH(Keys!$C$7, US_national_yearly!$D$1:$AM$1, 0), FALSE), 1)</f>
        <v>5.0872397156265532E-3</v>
      </c>
      <c r="AA13" s="12">
        <f>$B13 * IFERROR(VLOOKUP(Substitution!$M$7 &amp; $A13, US_national_yearly!$D:$AM, MATCH(AA$1, US_national_yearly!$D$1:$AM$1, 0), FALSE) / VLOOKUP(Substitution!$M$7 &amp; $A13, US_national_yearly!$D:$AM, MATCH(Keys!$C$7, US_national_yearly!$D$1:$AM$1, 0), FALSE), 1)</f>
        <v>5.1077900935022277E-3</v>
      </c>
      <c r="AB13" s="12">
        <f>$B13 * IFERROR(VLOOKUP(Substitution!$M$7 &amp; $A13, US_national_yearly!$D:$AM, MATCH(AB$1, US_national_yearly!$D$1:$AM$1, 0), FALSE) / VLOOKUP(Substitution!$M$7 &amp; $A13, US_national_yearly!$D:$AM, MATCH(Keys!$C$7, US_national_yearly!$D$1:$AM$1, 0), FALSE), 1)</f>
        <v>5.1283404713779015E-3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Substitution!$G$7)/IFERROR(SUMIFS(COBRA_aggregated!$V:$V, COBRA_aggregated!$A:$A, About!$B$1, COBRA_aggregated!$B:$B, Substitution!$G$7), 1)</f>
        <v>2.5314938812036396</v>
      </c>
      <c r="C14" s="12">
        <f>$B14 * IFERROR(VLOOKUP(Substitution!$M$7 &amp; $A14, US_national_yearly!$D:$AM, MATCH(C$1, US_national_yearly!$D$1:$AM$1, 0), FALSE) / VLOOKUP(Substitution!$M$7 &amp; $A14, US_national_yearly!$D:$AM, MATCH(Keys!$C$7, US_national_yearly!$D$1:$AM$1, 0), FALSE), 1)</f>
        <v>2.5378749338038284</v>
      </c>
      <c r="D14" s="12">
        <f>$B14 * IFERROR(VLOOKUP(Substitution!$M$7 &amp; $A14, US_national_yearly!$D:$AM, MATCH(D$1, US_national_yearly!$D$1:$AM$1, 0), FALSE) / VLOOKUP(Substitution!$M$7 &amp; $A14, US_national_yearly!$D:$AM, MATCH(Keys!$C$7, US_national_yearly!$D$1:$AM$1, 0), FALSE), 1)</f>
        <v>2.5442559864040168</v>
      </c>
      <c r="E14" s="12">
        <f>$B14 * IFERROR(VLOOKUP(Substitution!$M$7 &amp; $A14, US_national_yearly!$D:$AM, MATCH(E$1, US_national_yearly!$D$1:$AM$1, 0), FALSE) / VLOOKUP(Substitution!$M$7 &amp; $A14, US_national_yearly!$D:$AM, MATCH(Keys!$C$7, US_national_yearly!$D$1:$AM$1, 0), FALSE), 1)</f>
        <v>2.5506370390042057</v>
      </c>
      <c r="F14" s="12">
        <f>$B14 * IFERROR(VLOOKUP(Substitution!$M$7 &amp; $A14, US_national_yearly!$D:$AM, MATCH(F$1, US_national_yearly!$D$1:$AM$1, 0), FALSE) / VLOOKUP(Substitution!$M$7 &amp; $A14, US_national_yearly!$D:$AM, MATCH(Keys!$C$7, US_national_yearly!$D$1:$AM$1, 0), FALSE), 1)</f>
        <v>2.5570180916043941</v>
      </c>
      <c r="G14" s="12">
        <f>$B14 * IFERROR(VLOOKUP(Substitution!$M$7 &amp; $A14, US_national_yearly!$D:$AM, MATCH(G$1, US_national_yearly!$D$1:$AM$1, 0), FALSE) / VLOOKUP(Substitution!$M$7 &amp; $A14, US_national_yearly!$D:$AM, MATCH(Keys!$C$7, US_national_yearly!$D$1:$AM$1, 0), FALSE), 1)</f>
        <v>2.5664103741537643</v>
      </c>
      <c r="H14" s="12">
        <f>$B14 * IFERROR(VLOOKUP(Substitution!$M$7 &amp; $A14, US_national_yearly!$D:$AM, MATCH(H$1, US_national_yearly!$D$1:$AM$1, 0), FALSE) / VLOOKUP(Substitution!$M$7 &amp; $A14, US_national_yearly!$D:$AM, MATCH(Keys!$C$7, US_national_yearly!$D$1:$AM$1, 0), FALSE), 1)</f>
        <v>2.575802656703134</v>
      </c>
      <c r="I14" s="12">
        <f>$B14 * IFERROR(VLOOKUP(Substitution!$M$7 &amp; $A14, US_national_yearly!$D:$AM, MATCH(I$1, US_national_yearly!$D$1:$AM$1, 0), FALSE) / VLOOKUP(Substitution!$M$7 &amp; $A14, US_national_yearly!$D:$AM, MATCH(Keys!$C$7, US_national_yearly!$D$1:$AM$1, 0), FALSE), 1)</f>
        <v>2.5918203191277787</v>
      </c>
      <c r="J14" s="12">
        <f>$B14 * IFERROR(VLOOKUP(Substitution!$M$7 &amp; $A14, US_national_yearly!$D:$AM, MATCH(J$1, US_national_yearly!$D$1:$AM$1, 0), FALSE) / VLOOKUP(Substitution!$M$7 &amp; $A14, US_national_yearly!$D:$AM, MATCH(Keys!$C$7, US_national_yearly!$D$1:$AM$1, 0), FALSE), 1)</f>
        <v>2.6078379815524233</v>
      </c>
      <c r="K14" s="12">
        <f>$B14 * IFERROR(VLOOKUP(Substitution!$M$7 &amp; $A14, US_national_yearly!$D:$AM, MATCH(K$1, US_national_yearly!$D$1:$AM$1, 0), FALSE) / VLOOKUP(Substitution!$M$7 &amp; $A14, US_national_yearly!$D:$AM, MATCH(Keys!$C$7, US_national_yearly!$D$1:$AM$1, 0), FALSE), 1)</f>
        <v>2.6238556439770684</v>
      </c>
      <c r="L14" s="12">
        <f>$B14 * IFERROR(VLOOKUP(Substitution!$M$7 &amp; $A14, US_national_yearly!$D:$AM, MATCH(L$1, US_national_yearly!$D$1:$AM$1, 0), FALSE) / VLOOKUP(Substitution!$M$7 &amp; $A14, US_national_yearly!$D:$AM, MATCH(Keys!$C$7, US_national_yearly!$D$1:$AM$1, 0), FALSE), 1)</f>
        <v>2.6398733064017126</v>
      </c>
      <c r="M14" s="12">
        <f>$B14 * IFERROR(VLOOKUP(Substitution!$M$7 &amp; $A14, US_national_yearly!$D:$AM, MATCH(M$1, US_national_yearly!$D$1:$AM$1, 0), FALSE) / VLOOKUP(Substitution!$M$7 &amp; $A14, US_national_yearly!$D:$AM, MATCH(Keys!$C$7, US_national_yearly!$D$1:$AM$1, 0), FALSE), 1)</f>
        <v>2.6558909688263572</v>
      </c>
      <c r="N14" s="12">
        <f>$B14 * IFERROR(VLOOKUP(Substitution!$M$7 &amp; $A14, US_national_yearly!$D:$AM, MATCH(N$1, US_national_yearly!$D$1:$AM$1, 0), FALSE) / VLOOKUP(Substitution!$M$7 &amp; $A14, US_national_yearly!$D:$AM, MATCH(Keys!$C$7, US_national_yearly!$D$1:$AM$1, 0), FALSE), 1)</f>
        <v>2.677800560845522</v>
      </c>
      <c r="O14" s="12">
        <f>$B14 * IFERROR(VLOOKUP(Substitution!$M$7 &amp; $A14, US_national_yearly!$D:$AM, MATCH(O$1, US_national_yearly!$D$1:$AM$1, 0), FALSE) / VLOOKUP(Substitution!$M$7 &amp; $A14, US_national_yearly!$D:$AM, MATCH(Keys!$C$7, US_national_yearly!$D$1:$AM$1, 0), FALSE), 1)</f>
        <v>2.6997101528646867</v>
      </c>
      <c r="P14" s="12">
        <f>$B14 * IFERROR(VLOOKUP(Substitution!$M$7 &amp; $A14, US_national_yearly!$D:$AM, MATCH(P$1, US_national_yearly!$D$1:$AM$1, 0), FALSE) / VLOOKUP(Substitution!$M$7 &amp; $A14, US_national_yearly!$D:$AM, MATCH(Keys!$C$7, US_national_yearly!$D$1:$AM$1, 0), FALSE), 1)</f>
        <v>2.7216197448838515</v>
      </c>
      <c r="Q14" s="12">
        <f>$B14 * IFERROR(VLOOKUP(Substitution!$M$7 &amp; $A14, US_national_yearly!$D:$AM, MATCH(Q$1, US_national_yearly!$D$1:$AM$1, 0), FALSE) / VLOOKUP(Substitution!$M$7 &amp; $A14, US_national_yearly!$D:$AM, MATCH(Keys!$C$7, US_national_yearly!$D$1:$AM$1, 0), FALSE), 1)</f>
        <v>2.7435293369030163</v>
      </c>
      <c r="R14" s="12">
        <f>$B14 * IFERROR(VLOOKUP(Substitution!$M$7 &amp; $A14, US_national_yearly!$D:$AM, MATCH(R$1, US_national_yearly!$D$1:$AM$1, 0), FALSE) / VLOOKUP(Substitution!$M$7 &amp; $A14, US_national_yearly!$D:$AM, MATCH(Keys!$C$7, US_national_yearly!$D$1:$AM$1, 0), FALSE), 1)</f>
        <v>2.765438928922181</v>
      </c>
      <c r="S14" s="12">
        <f>$B14 * IFERROR(VLOOKUP(Substitution!$M$7 &amp; $A14, US_national_yearly!$D:$AM, MATCH(S$1, US_national_yearly!$D$1:$AM$1, 0), FALSE) / VLOOKUP(Substitution!$M$7 &amp; $A14, US_national_yearly!$D:$AM, MATCH(Keys!$C$7, US_national_yearly!$D$1:$AM$1, 0), FALSE), 1)</f>
        <v>2.7877779023634828</v>
      </c>
      <c r="T14" s="12">
        <f>$B14 * IFERROR(VLOOKUP(Substitution!$M$7 &amp; $A14, US_national_yearly!$D:$AM, MATCH(T$1, US_national_yearly!$D$1:$AM$1, 0), FALSE) / VLOOKUP(Substitution!$M$7 &amp; $A14, US_national_yearly!$D:$AM, MATCH(Keys!$C$7, US_national_yearly!$D$1:$AM$1, 0), FALSE), 1)</f>
        <v>2.8101168758047845</v>
      </c>
      <c r="U14" s="12">
        <f>$B14 * IFERROR(VLOOKUP(Substitution!$M$7 &amp; $A14, US_national_yearly!$D:$AM, MATCH(U$1, US_national_yearly!$D$1:$AM$1, 0), FALSE) / VLOOKUP(Substitution!$M$7 &amp; $A14, US_national_yearly!$D:$AM, MATCH(Keys!$C$7, US_national_yearly!$D$1:$AM$1, 0), FALSE), 1)</f>
        <v>2.8324558492460867</v>
      </c>
      <c r="V14" s="12">
        <f>$B14 * IFERROR(VLOOKUP(Substitution!$M$7 &amp; $A14, US_national_yearly!$D:$AM, MATCH(V$1, US_national_yearly!$D$1:$AM$1, 0), FALSE) / VLOOKUP(Substitution!$M$7 &amp; $A14, US_national_yearly!$D:$AM, MATCH(Keys!$C$7, US_national_yearly!$D$1:$AM$1, 0), FALSE), 1)</f>
        <v>2.8547948226873885</v>
      </c>
      <c r="W14" s="12">
        <f>$B14 * IFERROR(VLOOKUP(Substitution!$M$7 &amp; $A14, US_national_yearly!$D:$AM, MATCH(W$1, US_national_yearly!$D$1:$AM$1, 0), FALSE) / VLOOKUP(Substitution!$M$7 &amp; $A14, US_national_yearly!$D:$AM, MATCH(Keys!$C$7, US_national_yearly!$D$1:$AM$1, 0), FALSE), 1)</f>
        <v>2.8771337961286911</v>
      </c>
      <c r="X14" s="12">
        <f>$B14 * IFERROR(VLOOKUP(Substitution!$M$7 &amp; $A14, US_national_yearly!$D:$AM, MATCH(X$1, US_national_yearly!$D$1:$AM$1, 0), FALSE) / VLOOKUP(Substitution!$M$7 &amp; $A14, US_national_yearly!$D:$AM, MATCH(Keys!$C$7, US_national_yearly!$D$1:$AM$1, 0), FALSE), 1)</f>
        <v>2.8967791431039625</v>
      </c>
      <c r="Y14" s="12">
        <f>$B14 * IFERROR(VLOOKUP(Substitution!$M$7 &amp; $A14, US_national_yearly!$D:$AM, MATCH(Y$1, US_national_yearly!$D$1:$AM$1, 0), FALSE) / VLOOKUP(Substitution!$M$7 &amp; $A14, US_national_yearly!$D:$AM, MATCH(Keys!$C$7, US_national_yearly!$D$1:$AM$1, 0), FALSE), 1)</f>
        <v>2.9164244900792342</v>
      </c>
      <c r="Z14" s="12">
        <f>$B14 * IFERROR(VLOOKUP(Substitution!$M$7 &amp; $A14, US_national_yearly!$D:$AM, MATCH(Z$1, US_national_yearly!$D$1:$AM$1, 0), FALSE) / VLOOKUP(Substitution!$M$7 &amp; $A14, US_national_yearly!$D:$AM, MATCH(Keys!$C$7, US_national_yearly!$D$1:$AM$1, 0), FALSE), 1)</f>
        <v>2.9360698370545064</v>
      </c>
      <c r="AA14" s="12">
        <f>$B14 * IFERROR(VLOOKUP(Substitution!$M$7 &amp; $A14, US_national_yearly!$D:$AM, MATCH(AA$1, US_national_yearly!$D$1:$AM$1, 0), FALSE) / VLOOKUP(Substitution!$M$7 &amp; $A14, US_national_yearly!$D:$AM, MATCH(Keys!$C$7, US_national_yearly!$D$1:$AM$1, 0), FALSE), 1)</f>
        <v>2.9557151840297782</v>
      </c>
      <c r="AB14" s="12">
        <f>$B14 * IFERROR(VLOOKUP(Substitution!$M$7 &amp; $A14, US_national_yearly!$D:$AM, MATCH(AB$1, US_national_yearly!$D$1:$AM$1, 0), FALSE) / VLOOKUP(Substitution!$M$7 &amp; $A14, US_national_yearly!$D:$AM, MATCH(Keys!$C$7, US_national_yearly!$D$1:$AM$1, 0), FALSE), 1)</f>
        <v>2.9753605310050504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Substitution!$G$7)/IFERROR(SUMIFS(COBRA_aggregated!$V:$V, COBRA_aggregated!$A:$A, About!$B$1, COBRA_aggregated!$B:$B, Substitution!$G$7), 1)</f>
        <v>0.42870029543593013</v>
      </c>
      <c r="C15" s="12">
        <f>$B15 * IFERROR(VLOOKUP(Substitution!$M$7 &amp; $A15, US_national_yearly!$D:$AM, MATCH(C$1, US_national_yearly!$D$1:$AM$1, 0), FALSE) / VLOOKUP(Substitution!$M$7 &amp; $A15, US_national_yearly!$D:$AM, MATCH(Keys!$C$7, US_national_yearly!$D$1:$AM$1, 0), FALSE), 1)</f>
        <v>0.43008921625725755</v>
      </c>
      <c r="D15" s="12">
        <f>$B15 * IFERROR(VLOOKUP(Substitution!$M$7 &amp; $A15, US_national_yearly!$D:$AM, MATCH(D$1, US_national_yearly!$D$1:$AM$1, 0), FALSE) / VLOOKUP(Substitution!$M$7 &amp; $A15, US_national_yearly!$D:$AM, MATCH(Keys!$C$7, US_national_yearly!$D$1:$AM$1, 0), FALSE), 1)</f>
        <v>0.4314781370785849</v>
      </c>
      <c r="E15" s="12">
        <f>$B15 * IFERROR(VLOOKUP(Substitution!$M$7 &amp; $A15, US_national_yearly!$D:$AM, MATCH(E$1, US_national_yearly!$D$1:$AM$1, 0), FALSE) / VLOOKUP(Substitution!$M$7 &amp; $A15, US_national_yearly!$D:$AM, MATCH(Keys!$C$7, US_national_yearly!$D$1:$AM$1, 0), FALSE), 1)</f>
        <v>0.43286705789991231</v>
      </c>
      <c r="F15" s="12">
        <f>$B15 * IFERROR(VLOOKUP(Substitution!$M$7 &amp; $A15, US_national_yearly!$D:$AM, MATCH(F$1, US_national_yearly!$D$1:$AM$1, 0), FALSE) / VLOOKUP(Substitution!$M$7 &amp; $A15, US_national_yearly!$D:$AM, MATCH(Keys!$C$7, US_national_yearly!$D$1:$AM$1, 0), FALSE), 1)</f>
        <v>0.43425597872123967</v>
      </c>
      <c r="G15" s="12">
        <f>$B15 * IFERROR(VLOOKUP(Substitution!$M$7 &amp; $A15, US_national_yearly!$D:$AM, MATCH(G$1, US_national_yearly!$D$1:$AM$1, 0), FALSE) / VLOOKUP(Substitution!$M$7 &amp; $A15, US_national_yearly!$D:$AM, MATCH(Keys!$C$7, US_national_yearly!$D$1:$AM$1, 0), FALSE), 1)</f>
        <v>0.4360707737196286</v>
      </c>
      <c r="H15" s="12">
        <f>$B15 * IFERROR(VLOOKUP(Substitution!$M$7 &amp; $A15, US_national_yearly!$D:$AM, MATCH(H$1, US_national_yearly!$D$1:$AM$1, 0), FALSE) / VLOOKUP(Substitution!$M$7 &amp; $A15, US_national_yearly!$D:$AM, MATCH(Keys!$C$7, US_national_yearly!$D$1:$AM$1, 0), FALSE), 1)</f>
        <v>0.43788556871801737</v>
      </c>
      <c r="I15" s="12">
        <f>$B15 * IFERROR(VLOOKUP(Substitution!$M$7 &amp; $A15, US_national_yearly!$D:$AM, MATCH(I$1, US_national_yearly!$D$1:$AM$1, 0), FALSE) / VLOOKUP(Substitution!$M$7 &amp; $A15, US_national_yearly!$D:$AM, MATCH(Keys!$C$7, US_national_yearly!$D$1:$AM$1, 0), FALSE), 1)</f>
        <v>0.44054037018200748</v>
      </c>
      <c r="J15" s="12">
        <f>$B15 * IFERROR(VLOOKUP(Substitution!$M$7 &amp; $A15, US_national_yearly!$D:$AM, MATCH(J$1, US_national_yearly!$D$1:$AM$1, 0), FALSE) / VLOOKUP(Substitution!$M$7 &amp; $A15, US_national_yearly!$D:$AM, MATCH(Keys!$C$7, US_national_yearly!$D$1:$AM$1, 0), FALSE), 1)</f>
        <v>0.44319517164599753</v>
      </c>
      <c r="K15" s="12">
        <f>$B15 * IFERROR(VLOOKUP(Substitution!$M$7 &amp; $A15, US_national_yearly!$D:$AM, MATCH(K$1, US_national_yearly!$D$1:$AM$1, 0), FALSE) / VLOOKUP(Substitution!$M$7 &amp; $A15, US_national_yearly!$D:$AM, MATCH(Keys!$C$7, US_national_yearly!$D$1:$AM$1, 0), FALSE), 1)</f>
        <v>0.44584997310998764</v>
      </c>
      <c r="L15" s="12">
        <f>$B15 * IFERROR(VLOOKUP(Substitution!$M$7 &amp; $A15, US_national_yearly!$D:$AM, MATCH(L$1, US_national_yearly!$D$1:$AM$1, 0), FALSE) / VLOOKUP(Substitution!$M$7 &amp; $A15, US_national_yearly!$D:$AM, MATCH(Keys!$C$7, US_national_yearly!$D$1:$AM$1, 0), FALSE), 1)</f>
        <v>0.44850477457397775</v>
      </c>
      <c r="M15" s="12">
        <f>$B15 * IFERROR(VLOOKUP(Substitution!$M$7 &amp; $A15, US_national_yearly!$D:$AM, MATCH(M$1, US_national_yearly!$D$1:$AM$1, 0), FALSE) / VLOOKUP(Substitution!$M$7 &amp; $A15, US_national_yearly!$D:$AM, MATCH(Keys!$C$7, US_national_yearly!$D$1:$AM$1, 0), FALSE), 1)</f>
        <v>0.45115957603796786</v>
      </c>
      <c r="N15" s="12">
        <f>$B15 * IFERROR(VLOOKUP(Substitution!$M$7 &amp; $A15, US_national_yearly!$D:$AM, MATCH(N$1, US_national_yearly!$D$1:$AM$1, 0), FALSE) / VLOOKUP(Substitution!$M$7 &amp; $A15, US_national_yearly!$D:$AM, MATCH(Keys!$C$7, US_national_yearly!$D$1:$AM$1, 0), FALSE), 1)</f>
        <v>0.4544882668616993</v>
      </c>
      <c r="O15" s="12">
        <f>$B15 * IFERROR(VLOOKUP(Substitution!$M$7 &amp; $A15, US_national_yearly!$D:$AM, MATCH(O$1, US_national_yearly!$D$1:$AM$1, 0), FALSE) / VLOOKUP(Substitution!$M$7 &amp; $A15, US_national_yearly!$D:$AM, MATCH(Keys!$C$7, US_national_yearly!$D$1:$AM$1, 0), FALSE), 1)</f>
        <v>0.45781695768543079</v>
      </c>
      <c r="P15" s="12">
        <f>$B15 * IFERROR(VLOOKUP(Substitution!$M$7 &amp; $A15, US_national_yearly!$D:$AM, MATCH(P$1, US_national_yearly!$D$1:$AM$1, 0), FALSE) / VLOOKUP(Substitution!$M$7 &amp; $A15, US_national_yearly!$D:$AM, MATCH(Keys!$C$7, US_national_yearly!$D$1:$AM$1, 0), FALSE), 1)</f>
        <v>0.46114564850916218</v>
      </c>
      <c r="Q15" s="12">
        <f>$B15 * IFERROR(VLOOKUP(Substitution!$M$7 &amp; $A15, US_national_yearly!$D:$AM, MATCH(Q$1, US_national_yearly!$D$1:$AM$1, 0), FALSE) / VLOOKUP(Substitution!$M$7 &amp; $A15, US_national_yearly!$D:$AM, MATCH(Keys!$C$7, US_national_yearly!$D$1:$AM$1, 0), FALSE), 1)</f>
        <v>0.46447433933289362</v>
      </c>
      <c r="R15" s="12">
        <f>$B15 * IFERROR(VLOOKUP(Substitution!$M$7 &amp; $A15, US_national_yearly!$D:$AM, MATCH(R$1, US_national_yearly!$D$1:$AM$1, 0), FALSE) / VLOOKUP(Substitution!$M$7 &amp; $A15, US_national_yearly!$D:$AM, MATCH(Keys!$C$7, US_national_yearly!$D$1:$AM$1, 0), FALSE), 1)</f>
        <v>0.46780303015662511</v>
      </c>
      <c r="S15" s="12">
        <f>$B15 * IFERROR(VLOOKUP(Substitution!$M$7 &amp; $A15, US_national_yearly!$D:$AM, MATCH(S$1, US_national_yearly!$D$1:$AM$1, 0), FALSE) / VLOOKUP(Substitution!$M$7 &amp; $A15, US_national_yearly!$D:$AM, MATCH(Keys!$C$7, US_national_yearly!$D$1:$AM$1, 0), FALSE), 1)</f>
        <v>0.47152283117759153</v>
      </c>
      <c r="T15" s="12">
        <f>$B15 * IFERROR(VLOOKUP(Substitution!$M$7 &amp; $A15, US_national_yearly!$D:$AM, MATCH(T$1, US_national_yearly!$D$1:$AM$1, 0), FALSE) / VLOOKUP(Substitution!$M$7 &amp; $A15, US_national_yearly!$D:$AM, MATCH(Keys!$C$7, US_national_yearly!$D$1:$AM$1, 0), FALSE), 1)</f>
        <v>0.47524263219855806</v>
      </c>
      <c r="U15" s="12">
        <f>$B15 * IFERROR(VLOOKUP(Substitution!$M$7 &amp; $A15, US_national_yearly!$D:$AM, MATCH(U$1, US_national_yearly!$D$1:$AM$1, 0), FALSE) / VLOOKUP(Substitution!$M$7 &amp; $A15, US_national_yearly!$D:$AM, MATCH(Keys!$C$7, US_national_yearly!$D$1:$AM$1, 0), FALSE), 1)</f>
        <v>0.47896243321952447</v>
      </c>
      <c r="V15" s="12">
        <f>$B15 * IFERROR(VLOOKUP(Substitution!$M$7 &amp; $A15, US_national_yearly!$D:$AM, MATCH(V$1, US_national_yearly!$D$1:$AM$1, 0), FALSE) / VLOOKUP(Substitution!$M$7 &amp; $A15, US_national_yearly!$D:$AM, MATCH(Keys!$C$7, US_national_yearly!$D$1:$AM$1, 0), FALSE), 1)</f>
        <v>0.48268223424049089</v>
      </c>
      <c r="W15" s="12">
        <f>$B15 * IFERROR(VLOOKUP(Substitution!$M$7 &amp; $A15, US_national_yearly!$D:$AM, MATCH(W$1, US_national_yearly!$D$1:$AM$1, 0), FALSE) / VLOOKUP(Substitution!$M$7 &amp; $A15, US_national_yearly!$D:$AM, MATCH(Keys!$C$7, US_national_yearly!$D$1:$AM$1, 0), FALSE), 1)</f>
        <v>0.48640203526145742</v>
      </c>
      <c r="X15" s="12">
        <f>$B15 * IFERROR(VLOOKUP(Substitution!$M$7 &amp; $A15, US_national_yearly!$D:$AM, MATCH(X$1, US_national_yearly!$D$1:$AM$1, 0), FALSE) / VLOOKUP(Substitution!$M$7 &amp; $A15, US_national_yearly!$D:$AM, MATCH(Keys!$C$7, US_national_yearly!$D$1:$AM$1, 0), FALSE), 1)</f>
        <v>0.48974190385350269</v>
      </c>
      <c r="Y15" s="12">
        <f>$B15 * IFERROR(VLOOKUP(Substitution!$M$7 &amp; $A15, US_national_yearly!$D:$AM, MATCH(Y$1, US_national_yearly!$D$1:$AM$1, 0), FALSE) / VLOOKUP(Substitution!$M$7 &amp; $A15, US_national_yearly!$D:$AM, MATCH(Keys!$C$7, US_national_yearly!$D$1:$AM$1, 0), FALSE), 1)</f>
        <v>0.49308177244554802</v>
      </c>
      <c r="Z15" s="12">
        <f>$B15 * IFERROR(VLOOKUP(Substitution!$M$7 &amp; $A15, US_national_yearly!$D:$AM, MATCH(Z$1, US_national_yearly!$D$1:$AM$1, 0), FALSE) / VLOOKUP(Substitution!$M$7 &amp; $A15, US_national_yearly!$D:$AM, MATCH(Keys!$C$7, US_national_yearly!$D$1:$AM$1, 0), FALSE), 1)</f>
        <v>0.4964216410375934</v>
      </c>
      <c r="AA15" s="12">
        <f>$B15 * IFERROR(VLOOKUP(Substitution!$M$7 &amp; $A15, US_national_yearly!$D:$AM, MATCH(AA$1, US_national_yearly!$D$1:$AM$1, 0), FALSE) / VLOOKUP(Substitution!$M$7 &amp; $A15, US_national_yearly!$D:$AM, MATCH(Keys!$C$7, US_national_yearly!$D$1:$AM$1, 0), FALSE), 1)</f>
        <v>0.49976150962963872</v>
      </c>
      <c r="AB15" s="12">
        <f>$B15 * IFERROR(VLOOKUP(Substitution!$M$7 &amp; $A15, US_national_yearly!$D:$AM, MATCH(AB$1, US_national_yearly!$D$1:$AM$1, 0), FALSE) / VLOOKUP(Substitution!$M$7 &amp; $A15, US_national_yearly!$D:$AM, MATCH(Keys!$C$7, US_national_yearly!$D$1:$AM$1, 0), FALSE), 1)</f>
        <v>0.5031013782216841</v>
      </c>
    </row>
    <row r="16" spans="1:28" x14ac:dyDescent="0.25">
      <c r="A16" s="4" t="s">
        <v>319</v>
      </c>
      <c r="B16" s="12">
        <f>IFERROR(VLOOKUP(Substitution!$M$7 &amp; $A16, US_national_yearly!$D:$AM, MATCH(Keys!$C$7, US_national_yearly!$D$1:$AM$1, 0), FALSE), 0)</f>
        <v>1.6897250982670999E-4</v>
      </c>
      <c r="C16" s="12">
        <f>$B16 * IFERROR(VLOOKUP(Substitution!$M$7 &amp; $A16, US_national_yearly!$D:$AM, MATCH(C$1, US_national_yearly!$D$1:$AM$1, 0), FALSE) / VLOOKUP(Substitution!$M$7 &amp; $A16, US_national_yearly!$D:$AM, MATCH(Keys!$C$7, US_national_yearly!$D$1:$AM$1, 0), FALSE), 1)</f>
        <v>1.7232483174793801E-4</v>
      </c>
      <c r="D16" s="12">
        <f>$B16 * IFERROR(VLOOKUP(Substitution!$M$7 &amp; $A16, US_national_yearly!$D:$AM, MATCH(D$1, US_national_yearly!$D$1:$AM$1, 0), FALSE) / VLOOKUP(Substitution!$M$7 &amp; $A16, US_national_yearly!$D:$AM, MATCH(Keys!$C$7, US_national_yearly!$D$1:$AM$1, 0), FALSE), 1)</f>
        <v>1.7567715366916599E-4</v>
      </c>
      <c r="E16" s="12">
        <f>$B16 * IFERROR(VLOOKUP(Substitution!$M$7 &amp; $A16, US_national_yearly!$D:$AM, MATCH(E$1, US_national_yearly!$D$1:$AM$1, 0), FALSE) / VLOOKUP(Substitution!$M$7 &amp; $A16, US_national_yearly!$D:$AM, MATCH(Keys!$C$7, US_national_yearly!$D$1:$AM$1, 0), FALSE), 1)</f>
        <v>1.7902947559039401E-4</v>
      </c>
      <c r="F16" s="12">
        <f>$B16 * IFERROR(VLOOKUP(Substitution!$M$7 &amp; $A16, US_national_yearly!$D:$AM, MATCH(F$1, US_national_yearly!$D$1:$AM$1, 0), FALSE) / VLOOKUP(Substitution!$M$7 &amp; $A16, US_national_yearly!$D:$AM, MATCH(Keys!$C$7, US_national_yearly!$D$1:$AM$1, 0), FALSE), 1)</f>
        <v>1.82381797511622E-4</v>
      </c>
      <c r="G16" s="12">
        <f>$B16 * IFERROR(VLOOKUP(Substitution!$M$7 &amp; $A16, US_national_yearly!$D:$AM, MATCH(G$1, US_national_yearly!$D$1:$AM$1, 0), FALSE) / VLOOKUP(Substitution!$M$7 &amp; $A16, US_national_yearly!$D:$AM, MATCH(Keys!$C$7, US_national_yearly!$D$1:$AM$1, 0), FALSE), 1)</f>
        <v>1.8592917737929451E-4</v>
      </c>
      <c r="H16" s="12">
        <f>$B16 * IFERROR(VLOOKUP(Substitution!$M$7 &amp; $A16, US_national_yearly!$D:$AM, MATCH(H$1, US_national_yearly!$D$1:$AM$1, 0), FALSE) / VLOOKUP(Substitution!$M$7 &amp; $A16, US_national_yearly!$D:$AM, MATCH(Keys!$C$7, US_national_yearly!$D$1:$AM$1, 0), FALSE), 1)</f>
        <v>1.8947655724696699E-4</v>
      </c>
      <c r="I16" s="12">
        <f>$B16 * IFERROR(VLOOKUP(Substitution!$M$7 &amp; $A16, US_national_yearly!$D:$AM, MATCH(I$1, US_national_yearly!$D$1:$AM$1, 0), FALSE) / VLOOKUP(Substitution!$M$7 &amp; $A16, US_national_yearly!$D:$AM, MATCH(Keys!$C$7, US_national_yearly!$D$1:$AM$1, 0), FALSE), 1)</f>
        <v>1.9328083329093481E-4</v>
      </c>
      <c r="J16" s="12">
        <f>$B16 * IFERROR(VLOOKUP(Substitution!$M$7 &amp; $A16, US_national_yearly!$D:$AM, MATCH(J$1, US_national_yearly!$D$1:$AM$1, 0), FALSE) / VLOOKUP(Substitution!$M$7 &amp; $A16, US_national_yearly!$D:$AM, MATCH(Keys!$C$7, US_national_yearly!$D$1:$AM$1, 0), FALSE), 1)</f>
        <v>1.970851093349026E-4</v>
      </c>
      <c r="K16" s="12">
        <f>$B16 * IFERROR(VLOOKUP(Substitution!$M$7 &amp; $A16, US_national_yearly!$D:$AM, MATCH(K$1, US_national_yearly!$D$1:$AM$1, 0), FALSE) / VLOOKUP(Substitution!$M$7 &amp; $A16, US_national_yearly!$D:$AM, MATCH(Keys!$C$7, US_national_yearly!$D$1:$AM$1, 0), FALSE), 1)</f>
        <v>2.0088938537887041E-4</v>
      </c>
      <c r="L16" s="12">
        <f>$B16 * IFERROR(VLOOKUP(Substitution!$M$7 &amp; $A16, US_national_yearly!$D:$AM, MATCH(L$1, US_national_yearly!$D$1:$AM$1, 0), FALSE) / VLOOKUP(Substitution!$M$7 &amp; $A16, US_national_yearly!$D:$AM, MATCH(Keys!$C$7, US_national_yearly!$D$1:$AM$1, 0), FALSE), 1)</f>
        <v>2.046936614228382E-4</v>
      </c>
      <c r="M16" s="12">
        <f>$B16 * IFERROR(VLOOKUP(Substitution!$M$7 &amp; $A16, US_national_yearly!$D:$AM, MATCH(M$1, US_national_yearly!$D$1:$AM$1, 0), FALSE) / VLOOKUP(Substitution!$M$7 &amp; $A16, US_national_yearly!$D:$AM, MATCH(Keys!$C$7, US_national_yearly!$D$1:$AM$1, 0), FALSE), 1)</f>
        <v>2.0849793746680599E-4</v>
      </c>
      <c r="N16" s="12">
        <f>$B16 * IFERROR(VLOOKUP(Substitution!$M$7 &amp; $A16, US_national_yearly!$D:$AM, MATCH(N$1, US_national_yearly!$D$1:$AM$1, 0), FALSE) / VLOOKUP(Substitution!$M$7 &amp; $A16, US_national_yearly!$D:$AM, MATCH(Keys!$C$7, US_national_yearly!$D$1:$AM$1, 0), FALSE), 1)</f>
        <v>2.1172215544807603E-4</v>
      </c>
      <c r="O16" s="12">
        <f>$B16 * IFERROR(VLOOKUP(Substitution!$M$7 &amp; $A16, US_national_yearly!$D:$AM, MATCH(O$1, US_national_yearly!$D$1:$AM$1, 0), FALSE) / VLOOKUP(Substitution!$M$7 &amp; $A16, US_national_yearly!$D:$AM, MATCH(Keys!$C$7, US_national_yearly!$D$1:$AM$1, 0), FALSE), 1)</f>
        <v>2.14946373429346E-4</v>
      </c>
      <c r="P16" s="12">
        <f>$B16 * IFERROR(VLOOKUP(Substitution!$M$7 &amp; $A16, US_national_yearly!$D:$AM, MATCH(P$1, US_national_yearly!$D$1:$AM$1, 0), FALSE) / VLOOKUP(Substitution!$M$7 &amp; $A16, US_national_yearly!$D:$AM, MATCH(Keys!$C$7, US_national_yearly!$D$1:$AM$1, 0), FALSE), 1)</f>
        <v>2.1817059141061599E-4</v>
      </c>
      <c r="Q16" s="12">
        <f>$B16 * IFERROR(VLOOKUP(Substitution!$M$7 &amp; $A16, US_national_yearly!$D:$AM, MATCH(Q$1, US_national_yearly!$D$1:$AM$1, 0), FALSE) / VLOOKUP(Substitution!$M$7 &amp; $A16, US_national_yearly!$D:$AM, MATCH(Keys!$C$7, US_national_yearly!$D$1:$AM$1, 0), FALSE), 1)</f>
        <v>2.2139480939188601E-4</v>
      </c>
      <c r="R16" s="12">
        <f>$B16 * IFERROR(VLOOKUP(Substitution!$M$7 &amp; $A16, US_national_yearly!$D:$AM, MATCH(R$1, US_national_yearly!$D$1:$AM$1, 0), FALSE) / VLOOKUP(Substitution!$M$7 &amp; $A16, US_national_yearly!$D:$AM, MATCH(Keys!$C$7, US_national_yearly!$D$1:$AM$1, 0), FALSE), 1)</f>
        <v>2.24619027373156E-4</v>
      </c>
      <c r="S16" s="12">
        <f>$B16 * IFERROR(VLOOKUP(Substitution!$M$7 &amp; $A16, US_national_yearly!$D:$AM, MATCH(S$1, US_national_yearly!$D$1:$AM$1, 0), FALSE) / VLOOKUP(Substitution!$M$7 &amp; $A16, US_national_yearly!$D:$AM, MATCH(Keys!$C$7, US_national_yearly!$D$1:$AM$1, 0), FALSE), 1)</f>
        <v>2.26266573091165E-4</v>
      </c>
      <c r="T16" s="12">
        <f>$B16 * IFERROR(VLOOKUP(Substitution!$M$7 &amp; $A16, US_national_yearly!$D:$AM, MATCH(T$1, US_national_yearly!$D$1:$AM$1, 0), FALSE) / VLOOKUP(Substitution!$M$7 &amp; $A16, US_national_yearly!$D:$AM, MATCH(Keys!$C$7, US_national_yearly!$D$1:$AM$1, 0), FALSE), 1)</f>
        <v>2.2791411880917399E-4</v>
      </c>
      <c r="U16" s="12">
        <f>$B16 * IFERROR(VLOOKUP(Substitution!$M$7 &amp; $A16, US_national_yearly!$D:$AM, MATCH(U$1, US_national_yearly!$D$1:$AM$1, 0), FALSE) / VLOOKUP(Substitution!$M$7 &amp; $A16, US_national_yearly!$D:$AM, MATCH(Keys!$C$7, US_national_yearly!$D$1:$AM$1, 0), FALSE), 1)</f>
        <v>2.2956166452718296E-4</v>
      </c>
      <c r="V16" s="12">
        <f>$B16 * IFERROR(VLOOKUP(Substitution!$M$7 &amp; $A16, US_national_yearly!$D:$AM, MATCH(V$1, US_national_yearly!$D$1:$AM$1, 0), FALSE) / VLOOKUP(Substitution!$M$7 &amp; $A16, US_national_yearly!$D:$AM, MATCH(Keys!$C$7, US_national_yearly!$D$1:$AM$1, 0), FALSE), 1)</f>
        <v>2.3120921024519201E-4</v>
      </c>
      <c r="W16" s="12">
        <f>$B16 * IFERROR(VLOOKUP(Substitution!$M$7 &amp; $A16, US_national_yearly!$D:$AM, MATCH(W$1, US_national_yearly!$D$1:$AM$1, 0), FALSE) / VLOOKUP(Substitution!$M$7 &amp; $A16, US_national_yearly!$D:$AM, MATCH(Keys!$C$7, US_national_yearly!$D$1:$AM$1, 0), FALSE), 1)</f>
        <v>2.3285675596320098E-4</v>
      </c>
      <c r="X16" s="12">
        <f>$B16 * IFERROR(VLOOKUP(Substitution!$M$7 &amp; $A16, US_national_yearly!$D:$AM, MATCH(X$1, US_national_yearly!$D$1:$AM$1, 0), FALSE) / VLOOKUP(Substitution!$M$7 &amp; $A16, US_national_yearly!$D:$AM, MATCH(Keys!$C$7, US_national_yearly!$D$1:$AM$1, 0), FALSE), 1)</f>
        <v>2.3368868162727837E-4</v>
      </c>
      <c r="Y16" s="12">
        <f>$B16 * IFERROR(VLOOKUP(Substitution!$M$7 &amp; $A16, US_national_yearly!$D:$AM, MATCH(Y$1, US_national_yearly!$D$1:$AM$1, 0), FALSE) / VLOOKUP(Substitution!$M$7 &amp; $A16, US_national_yearly!$D:$AM, MATCH(Keys!$C$7, US_national_yearly!$D$1:$AM$1, 0), FALSE), 1)</f>
        <v>2.3452060729135576E-4</v>
      </c>
      <c r="Z16" s="12">
        <f>$B16 * IFERROR(VLOOKUP(Substitution!$M$7 &amp; $A16, US_national_yearly!$D:$AM, MATCH(Z$1, US_national_yearly!$D$1:$AM$1, 0), FALSE) / VLOOKUP(Substitution!$M$7 &amp; $A16, US_national_yearly!$D:$AM, MATCH(Keys!$C$7, US_national_yearly!$D$1:$AM$1, 0), FALSE), 1)</f>
        <v>2.3535253295543321E-4</v>
      </c>
      <c r="AA16" s="12">
        <f>$B16 * IFERROR(VLOOKUP(Substitution!$M$7 &amp; $A16, US_national_yearly!$D:$AM, MATCH(AA$1, US_national_yearly!$D$1:$AM$1, 0), FALSE) / VLOOKUP(Substitution!$M$7 &amp; $A16, US_national_yearly!$D:$AM, MATCH(Keys!$C$7, US_national_yearly!$D$1:$AM$1, 0), FALSE), 1)</f>
        <v>2.361844586195106E-4</v>
      </c>
      <c r="AB16" s="12">
        <f>$B16 * IFERROR(VLOOKUP(Substitution!$M$7 &amp; $A16, US_national_yearly!$D:$AM, MATCH(AB$1, US_national_yearly!$D$1:$AM$1, 0), FALSE) / VLOOKUP(Substitution!$M$7 &amp; $A16, US_national_yearly!$D:$AM, MATCH(Keys!$C$7, US_national_yearly!$D$1:$AM$1, 0), FALSE), 1)</f>
        <v>2.3701638428358799E-4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Substitution!$G$7)/IFERROR(SUMIFS(COBRA_aggregated!$V:$V, COBRA_aggregated!$A:$A, About!$B$1, COBRA_aggregated!$B:$B, Substitution!$G$7), 1)</f>
        <v>9.8103562966342307E-4</v>
      </c>
      <c r="C17" s="12">
        <f>$B17 * IFERROR(VLOOKUP(Substitution!$M$7 &amp; $A17, US_national_yearly!$D:$AM, MATCH(C$1, US_national_yearly!$D$1:$AM$1, 0), FALSE) / VLOOKUP(Substitution!$M$7 &amp; $A17, US_national_yearly!$D:$AM, MATCH(Keys!$C$7, US_national_yearly!$D$1:$AM$1, 0), FALSE), 1)</f>
        <v>1.0107059039036435E-3</v>
      </c>
      <c r="D17" s="12">
        <f>$B17 * IFERROR(VLOOKUP(Substitution!$M$7 &amp; $A17, US_national_yearly!$D:$AM, MATCH(D$1, US_national_yearly!$D$1:$AM$1, 0), FALSE) / VLOOKUP(Substitution!$M$7 &amp; $A17, US_national_yearly!$D:$AM, MATCH(Keys!$C$7, US_national_yearly!$D$1:$AM$1, 0), FALSE), 1)</f>
        <v>1.0403761781438642E-3</v>
      </c>
      <c r="E17" s="12">
        <f>$B17 * IFERROR(VLOOKUP(Substitution!$M$7 &amp; $A17, US_national_yearly!$D:$AM, MATCH(E$1, US_national_yearly!$D$1:$AM$1, 0), FALSE) / VLOOKUP(Substitution!$M$7 &amp; $A17, US_national_yearly!$D:$AM, MATCH(Keys!$C$7, US_national_yearly!$D$1:$AM$1, 0), FALSE), 1)</f>
        <v>1.0700464523840847E-3</v>
      </c>
      <c r="F17" s="12">
        <f>$B17 * IFERROR(VLOOKUP(Substitution!$M$7 &amp; $A17, US_national_yearly!$D:$AM, MATCH(F$1, US_national_yearly!$D$1:$AM$1, 0), FALSE) / VLOOKUP(Substitution!$M$7 &amp; $A17, US_national_yearly!$D:$AM, MATCH(Keys!$C$7, US_national_yearly!$D$1:$AM$1, 0), FALSE), 1)</f>
        <v>1.0997167266243056E-3</v>
      </c>
      <c r="G17" s="12">
        <f>$B17 * IFERROR(VLOOKUP(Substitution!$M$7 &amp; $A17, US_national_yearly!$D:$AM, MATCH(G$1, US_national_yearly!$D$1:$AM$1, 0), FALSE) / VLOOKUP(Substitution!$M$7 &amp; $A17, US_national_yearly!$D:$AM, MATCH(Keys!$C$7, US_national_yearly!$D$1:$AM$1, 0), FALSE), 1)</f>
        <v>1.1281380281443251E-3</v>
      </c>
      <c r="H17" s="12">
        <f>$B17 * IFERROR(VLOOKUP(Substitution!$M$7 &amp; $A17, US_national_yearly!$D:$AM, MATCH(H$1, US_national_yearly!$D$1:$AM$1, 0), FALSE) / VLOOKUP(Substitution!$M$7 &amp; $A17, US_national_yearly!$D:$AM, MATCH(Keys!$C$7, US_national_yearly!$D$1:$AM$1, 0), FALSE), 1)</f>
        <v>1.1565593296643448E-3</v>
      </c>
      <c r="I17" s="12">
        <f>$B17 * IFERROR(VLOOKUP(Substitution!$M$7 &amp; $A17, US_national_yearly!$D:$AM, MATCH(I$1, US_national_yearly!$D$1:$AM$1, 0), FALSE) / VLOOKUP(Substitution!$M$7 &amp; $A17, US_national_yearly!$D:$AM, MATCH(Keys!$C$7, US_national_yearly!$D$1:$AM$1, 0), FALSE), 1)</f>
        <v>1.1809108386984274E-3</v>
      </c>
      <c r="J17" s="12">
        <f>$B17 * IFERROR(VLOOKUP(Substitution!$M$7 &amp; $A17, US_national_yearly!$D:$AM, MATCH(J$1, US_national_yearly!$D$1:$AM$1, 0), FALSE) / VLOOKUP(Substitution!$M$7 &amp; $A17, US_national_yearly!$D:$AM, MATCH(Keys!$C$7, US_national_yearly!$D$1:$AM$1, 0), FALSE), 1)</f>
        <v>1.20526234773251E-3</v>
      </c>
      <c r="K17" s="12">
        <f>$B17 * IFERROR(VLOOKUP(Substitution!$M$7 &amp; $A17, US_national_yearly!$D:$AM, MATCH(K$1, US_national_yearly!$D$1:$AM$1, 0), FALSE) / VLOOKUP(Substitution!$M$7 &amp; $A17, US_national_yearly!$D:$AM, MATCH(Keys!$C$7, US_national_yearly!$D$1:$AM$1, 0), FALSE), 1)</f>
        <v>1.2296138567665926E-3</v>
      </c>
      <c r="L17" s="12">
        <f>$B17 * IFERROR(VLOOKUP(Substitution!$M$7 &amp; $A17, US_national_yearly!$D:$AM, MATCH(L$1, US_national_yearly!$D$1:$AM$1, 0), FALSE) / VLOOKUP(Substitution!$M$7 &amp; $A17, US_national_yearly!$D:$AM, MATCH(Keys!$C$7, US_national_yearly!$D$1:$AM$1, 0), FALSE), 1)</f>
        <v>1.2539653658006752E-3</v>
      </c>
      <c r="M17" s="12">
        <f>$B17 * IFERROR(VLOOKUP(Substitution!$M$7 &amp; $A17, US_national_yearly!$D:$AM, MATCH(M$1, US_national_yearly!$D$1:$AM$1, 0), FALSE) / VLOOKUP(Substitution!$M$7 &amp; $A17, US_national_yearly!$D:$AM, MATCH(Keys!$C$7, US_national_yearly!$D$1:$AM$1, 0), FALSE), 1)</f>
        <v>1.2783168748347578E-3</v>
      </c>
      <c r="N17" s="12">
        <f>$B17 * IFERROR(VLOOKUP(Substitution!$M$7 &amp; $A17, US_national_yearly!$D:$AM, MATCH(N$1, US_national_yearly!$D$1:$AM$1, 0), FALSE) / VLOOKUP(Substitution!$M$7 &amp; $A17, US_national_yearly!$D:$AM, MATCH(Keys!$C$7, US_national_yearly!$D$1:$AM$1, 0), FALSE), 1)</f>
        <v>1.2946755418809818E-3</v>
      </c>
      <c r="O17" s="12">
        <f>$B17 * IFERROR(VLOOKUP(Substitution!$M$7 &amp; $A17, US_national_yearly!$D:$AM, MATCH(O$1, US_national_yearly!$D$1:$AM$1, 0), FALSE) / VLOOKUP(Substitution!$M$7 &amp; $A17, US_national_yearly!$D:$AM, MATCH(Keys!$C$7, US_national_yearly!$D$1:$AM$1, 0), FALSE), 1)</f>
        <v>1.3110342089272058E-3</v>
      </c>
      <c r="P17" s="12">
        <f>$B17 * IFERROR(VLOOKUP(Substitution!$M$7 &amp; $A17, US_national_yearly!$D:$AM, MATCH(P$1, US_national_yearly!$D$1:$AM$1, 0), FALSE) / VLOOKUP(Substitution!$M$7 &amp; $A17, US_national_yearly!$D:$AM, MATCH(Keys!$C$7, US_national_yearly!$D$1:$AM$1, 0), FALSE), 1)</f>
        <v>1.3273928759734298E-3</v>
      </c>
      <c r="Q17" s="12">
        <f>$B17 * IFERROR(VLOOKUP(Substitution!$M$7 &amp; $A17, US_national_yearly!$D:$AM, MATCH(Q$1, US_national_yearly!$D$1:$AM$1, 0), FALSE) / VLOOKUP(Substitution!$M$7 &amp; $A17, US_national_yearly!$D:$AM, MATCH(Keys!$C$7, US_national_yearly!$D$1:$AM$1, 0), FALSE), 1)</f>
        <v>1.3437515430196538E-3</v>
      </c>
      <c r="R17" s="12">
        <f>$B17 * IFERROR(VLOOKUP(Substitution!$M$7 &amp; $A17, US_national_yearly!$D:$AM, MATCH(R$1, US_national_yearly!$D$1:$AM$1, 0), FALSE) / VLOOKUP(Substitution!$M$7 &amp; $A17, US_national_yearly!$D:$AM, MATCH(Keys!$C$7, US_national_yearly!$D$1:$AM$1, 0), FALSE), 1)</f>
        <v>1.360110210065878E-3</v>
      </c>
      <c r="S17" s="12">
        <f>$B17 * IFERROR(VLOOKUP(Substitution!$M$7 &amp; $A17, US_national_yearly!$D:$AM, MATCH(S$1, US_national_yearly!$D$1:$AM$1, 0), FALSE) / VLOOKUP(Substitution!$M$7 &amp; $A17, US_national_yearly!$D:$AM, MATCH(Keys!$C$7, US_national_yearly!$D$1:$AM$1, 0), FALSE), 1)</f>
        <v>1.3687137041940101E-3</v>
      </c>
      <c r="T17" s="12">
        <f>$B17 * IFERROR(VLOOKUP(Substitution!$M$7 &amp; $A17, US_national_yearly!$D:$AM, MATCH(T$1, US_national_yearly!$D$1:$AM$1, 0), FALSE) / VLOOKUP(Substitution!$M$7 &amp; $A17, US_national_yearly!$D:$AM, MATCH(Keys!$C$7, US_national_yearly!$D$1:$AM$1, 0), FALSE), 1)</f>
        <v>1.3773171983221424E-3</v>
      </c>
      <c r="U17" s="12">
        <f>$B17 * IFERROR(VLOOKUP(Substitution!$M$7 &amp; $A17, US_national_yearly!$D:$AM, MATCH(U$1, US_national_yearly!$D$1:$AM$1, 0), FALSE) / VLOOKUP(Substitution!$M$7 &amp; $A17, US_national_yearly!$D:$AM, MATCH(Keys!$C$7, US_national_yearly!$D$1:$AM$1, 0), FALSE), 1)</f>
        <v>1.3859206924502748E-3</v>
      </c>
      <c r="V17" s="12">
        <f>$B17 * IFERROR(VLOOKUP(Substitution!$M$7 &amp; $A17, US_national_yearly!$D:$AM, MATCH(V$1, US_national_yearly!$D$1:$AM$1, 0), FALSE) / VLOOKUP(Substitution!$M$7 &amp; $A17, US_national_yearly!$D:$AM, MATCH(Keys!$C$7, US_national_yearly!$D$1:$AM$1, 0), FALSE), 1)</f>
        <v>1.3945241865784069E-3</v>
      </c>
      <c r="W17" s="12">
        <f>$B17 * IFERROR(VLOOKUP(Substitution!$M$7 &amp; $A17, US_national_yearly!$D:$AM, MATCH(W$1, US_national_yearly!$D$1:$AM$1, 0), FALSE) / VLOOKUP(Substitution!$M$7 &amp; $A17, US_national_yearly!$D:$AM, MATCH(Keys!$C$7, US_national_yearly!$D$1:$AM$1, 0), FALSE), 1)</f>
        <v>1.4031276807065392E-3</v>
      </c>
      <c r="X17" s="12">
        <f>$B17 * IFERROR(VLOOKUP(Substitution!$M$7 &amp; $A17, US_national_yearly!$D:$AM, MATCH(X$1, US_national_yearly!$D$1:$AM$1, 0), FALSE) / VLOOKUP(Substitution!$M$7 &amp; $A17, US_national_yearly!$D:$AM, MATCH(Keys!$C$7, US_national_yearly!$D$1:$AM$1, 0), FALSE), 1)</f>
        <v>1.4089034907245411E-3</v>
      </c>
      <c r="Y17" s="12">
        <f>$B17 * IFERROR(VLOOKUP(Substitution!$M$7 &amp; $A17, US_national_yearly!$D:$AM, MATCH(Y$1, US_national_yearly!$D$1:$AM$1, 0), FALSE) / VLOOKUP(Substitution!$M$7 &amp; $A17, US_national_yearly!$D:$AM, MATCH(Keys!$C$7, US_national_yearly!$D$1:$AM$1, 0), FALSE), 1)</f>
        <v>1.4146793007425429E-3</v>
      </c>
      <c r="Z17" s="12">
        <f>$B17 * IFERROR(VLOOKUP(Substitution!$M$7 &amp; $A17, US_national_yearly!$D:$AM, MATCH(Z$1, US_national_yearly!$D$1:$AM$1, 0), FALSE) / VLOOKUP(Substitution!$M$7 &amp; $A17, US_national_yearly!$D:$AM, MATCH(Keys!$C$7, US_national_yearly!$D$1:$AM$1, 0), FALSE), 1)</f>
        <v>1.4204551107605448E-3</v>
      </c>
      <c r="AA17" s="12">
        <f>$B17 * IFERROR(VLOOKUP(Substitution!$M$7 &amp; $A17, US_national_yearly!$D:$AM, MATCH(AA$1, US_national_yearly!$D$1:$AM$1, 0), FALSE) / VLOOKUP(Substitution!$M$7 &amp; $A17, US_national_yearly!$D:$AM, MATCH(Keys!$C$7, US_national_yearly!$D$1:$AM$1, 0), FALSE), 1)</f>
        <v>1.4262309207785468E-3</v>
      </c>
      <c r="AB17" s="12">
        <f>$B17 * IFERROR(VLOOKUP(Substitution!$M$7 &amp; $A17, US_national_yearly!$D:$AM, MATCH(AB$1, US_national_yearly!$D$1:$AM$1, 0), FALSE) / VLOOKUP(Substitution!$M$7 &amp; $A17, US_national_yearly!$D:$AM, MATCH(Keys!$C$7, US_national_yearly!$D$1:$AM$1, 0), FALSE), 1)</f>
        <v>1.4320067307965485E-3</v>
      </c>
    </row>
    <row r="18" spans="1:28" x14ac:dyDescent="0.25">
      <c r="A18" s="4" t="s">
        <v>323</v>
      </c>
      <c r="B18" s="12">
        <f>IFERROR(VLOOKUP(Substitution!$M$7 &amp; $A18, US_national_yearly!$D:$AM, MATCH(Keys!$C$7, US_national_yearly!$D$1:$AM$1, 0), FALSE), 0)</f>
        <v>1.220170578267064E-3</v>
      </c>
      <c r="C18" s="12">
        <f>$B18 * IFERROR(VLOOKUP(Substitution!$M$7 &amp; $A18, US_national_yearly!$D:$AM, MATCH(C$1, US_national_yearly!$D$1:$AM$1, 0), FALSE) / VLOOKUP(Substitution!$M$7 &amp; $A18, US_national_yearly!$D:$AM, MATCH(Keys!$C$7, US_national_yearly!$D$1:$AM$1, 0), FALSE), 1)</f>
        <v>1.260304078353578E-3</v>
      </c>
      <c r="D18" s="12">
        <f>$B18 * IFERROR(VLOOKUP(Substitution!$M$7 &amp; $A18, US_national_yearly!$D:$AM, MATCH(D$1, US_national_yearly!$D$1:$AM$1, 0), FALSE) / VLOOKUP(Substitution!$M$7 &amp; $A18, US_national_yearly!$D:$AM, MATCH(Keys!$C$7, US_national_yearly!$D$1:$AM$1, 0), FALSE), 1)</f>
        <v>1.300437578440092E-3</v>
      </c>
      <c r="E18" s="12">
        <f>$B18 * IFERROR(VLOOKUP(Substitution!$M$7 &amp; $A18, US_national_yearly!$D:$AM, MATCH(E$1, US_national_yearly!$D$1:$AM$1, 0), FALSE) / VLOOKUP(Substitution!$M$7 &amp; $A18, US_national_yearly!$D:$AM, MATCH(Keys!$C$7, US_national_yearly!$D$1:$AM$1, 0), FALSE), 1)</f>
        <v>1.340571078526606E-3</v>
      </c>
      <c r="F18" s="12">
        <f>$B18 * IFERROR(VLOOKUP(Substitution!$M$7 &amp; $A18, US_national_yearly!$D:$AM, MATCH(F$1, US_national_yearly!$D$1:$AM$1, 0), FALSE) / VLOOKUP(Substitution!$M$7 &amp; $A18, US_national_yearly!$D:$AM, MATCH(Keys!$C$7, US_national_yearly!$D$1:$AM$1, 0), FALSE), 1)</f>
        <v>1.38070457861312E-3</v>
      </c>
      <c r="G18" s="12">
        <f>$B18 * IFERROR(VLOOKUP(Substitution!$M$7 &amp; $A18, US_national_yearly!$D:$AM, MATCH(G$1, US_national_yearly!$D$1:$AM$1, 0), FALSE) / VLOOKUP(Substitution!$M$7 &amp; $A18, US_national_yearly!$D:$AM, MATCH(Keys!$C$7, US_national_yearly!$D$1:$AM$1, 0), FALSE), 1)</f>
        <v>1.423291953252635E-3</v>
      </c>
      <c r="H18" s="12">
        <f>$B18 * IFERROR(VLOOKUP(Substitution!$M$7 &amp; $A18, US_national_yearly!$D:$AM, MATCH(H$1, US_national_yearly!$D$1:$AM$1, 0), FALSE) / VLOOKUP(Substitution!$M$7 &amp; $A18, US_national_yearly!$D:$AM, MATCH(Keys!$C$7, US_national_yearly!$D$1:$AM$1, 0), FALSE), 1)</f>
        <v>1.4658793278921499E-3</v>
      </c>
      <c r="I18" s="12">
        <f>$B18 * IFERROR(VLOOKUP(Substitution!$M$7 &amp; $A18, US_national_yearly!$D:$AM, MATCH(I$1, US_national_yearly!$D$1:$AM$1, 0), FALSE) / VLOOKUP(Substitution!$M$7 &amp; $A18, US_national_yearly!$D:$AM, MATCH(Keys!$C$7, US_national_yearly!$D$1:$AM$1, 0), FALSE), 1)</f>
        <v>1.5084462934230861E-3</v>
      </c>
      <c r="J18" s="12">
        <f>$B18 * IFERROR(VLOOKUP(Substitution!$M$7 &amp; $A18, US_national_yearly!$D:$AM, MATCH(J$1, US_national_yearly!$D$1:$AM$1, 0), FALSE) / VLOOKUP(Substitution!$M$7 &amp; $A18, US_national_yearly!$D:$AM, MATCH(Keys!$C$7, US_national_yearly!$D$1:$AM$1, 0), FALSE), 1)</f>
        <v>1.5510132589540222E-3</v>
      </c>
      <c r="K18" s="12">
        <f>$B18 * IFERROR(VLOOKUP(Substitution!$M$7 &amp; $A18, US_national_yearly!$D:$AM, MATCH(K$1, US_national_yearly!$D$1:$AM$1, 0), FALSE) / VLOOKUP(Substitution!$M$7 &amp; $A18, US_national_yearly!$D:$AM, MATCH(Keys!$C$7, US_national_yearly!$D$1:$AM$1, 0), FALSE), 1)</f>
        <v>1.593580224484958E-3</v>
      </c>
      <c r="L18" s="12">
        <f>$B18 * IFERROR(VLOOKUP(Substitution!$M$7 &amp; $A18, US_national_yearly!$D:$AM, MATCH(L$1, US_national_yearly!$D$1:$AM$1, 0), FALSE) / VLOOKUP(Substitution!$M$7 &amp; $A18, US_national_yearly!$D:$AM, MATCH(Keys!$C$7, US_national_yearly!$D$1:$AM$1, 0), FALSE), 1)</f>
        <v>1.6361471900158942E-3</v>
      </c>
      <c r="M18" s="12">
        <f>$B18 * IFERROR(VLOOKUP(Substitution!$M$7 &amp; $A18, US_national_yearly!$D:$AM, MATCH(M$1, US_national_yearly!$D$1:$AM$1, 0), FALSE) / VLOOKUP(Substitution!$M$7 &amp; $A18, US_national_yearly!$D:$AM, MATCH(Keys!$C$7, US_national_yearly!$D$1:$AM$1, 0), FALSE), 1)</f>
        <v>1.67871415554683E-3</v>
      </c>
      <c r="N18" s="12">
        <f>$B18 * IFERROR(VLOOKUP(Substitution!$M$7 &amp; $A18, US_national_yearly!$D:$AM, MATCH(N$1, US_national_yearly!$D$1:$AM$1, 0), FALSE) / VLOOKUP(Substitution!$M$7 &amp; $A18, US_national_yearly!$D:$AM, MATCH(Keys!$C$7, US_national_yearly!$D$1:$AM$1, 0), FALSE), 1)</f>
        <v>1.7095054746462781E-3</v>
      </c>
      <c r="O18" s="12">
        <f>$B18 * IFERROR(VLOOKUP(Substitution!$M$7 &amp; $A18, US_national_yearly!$D:$AM, MATCH(O$1, US_national_yearly!$D$1:$AM$1, 0), FALSE) / VLOOKUP(Substitution!$M$7 &amp; $A18, US_national_yearly!$D:$AM, MATCH(Keys!$C$7, US_national_yearly!$D$1:$AM$1, 0), FALSE), 1)</f>
        <v>1.7402967937457259E-3</v>
      </c>
      <c r="P18" s="12">
        <f>$B18 * IFERROR(VLOOKUP(Substitution!$M$7 &amp; $A18, US_national_yearly!$D:$AM, MATCH(P$1, US_national_yearly!$D$1:$AM$1, 0), FALSE) / VLOOKUP(Substitution!$M$7 &amp; $A18, US_national_yearly!$D:$AM, MATCH(Keys!$C$7, US_national_yearly!$D$1:$AM$1, 0), FALSE), 1)</f>
        <v>1.771088112845174E-3</v>
      </c>
      <c r="Q18" s="12">
        <f>$B18 * IFERROR(VLOOKUP(Substitution!$M$7 &amp; $A18, US_national_yearly!$D:$AM, MATCH(Q$1, US_national_yearly!$D$1:$AM$1, 0), FALSE) / VLOOKUP(Substitution!$M$7 &amp; $A18, US_national_yearly!$D:$AM, MATCH(Keys!$C$7, US_national_yearly!$D$1:$AM$1, 0), FALSE), 1)</f>
        <v>1.8018794319446219E-3</v>
      </c>
      <c r="R18" s="12">
        <f>$B18 * IFERROR(VLOOKUP(Substitution!$M$7 &amp; $A18, US_national_yearly!$D:$AM, MATCH(R$1, US_national_yearly!$D$1:$AM$1, 0), FALSE) / VLOOKUP(Substitution!$M$7 &amp; $A18, US_national_yearly!$D:$AM, MATCH(Keys!$C$7, US_national_yearly!$D$1:$AM$1, 0), FALSE), 1)</f>
        <v>1.83267075104407E-3</v>
      </c>
      <c r="S18" s="12">
        <f>$B18 * IFERROR(VLOOKUP(Substitution!$M$7 &amp; $A18, US_national_yearly!$D:$AM, MATCH(S$1, US_national_yearly!$D$1:$AM$1, 0), FALSE) / VLOOKUP(Substitution!$M$7 &amp; $A18, US_national_yearly!$D:$AM, MATCH(Keys!$C$7, US_national_yearly!$D$1:$AM$1, 0), FALSE), 1)</f>
        <v>1.8475030956021303E-3</v>
      </c>
      <c r="T18" s="12">
        <f>$B18 * IFERROR(VLOOKUP(Substitution!$M$7 &amp; $A18, US_national_yearly!$D:$AM, MATCH(T$1, US_national_yearly!$D$1:$AM$1, 0), FALSE) / VLOOKUP(Substitution!$M$7 &amp; $A18, US_national_yearly!$D:$AM, MATCH(Keys!$C$7, US_national_yearly!$D$1:$AM$1, 0), FALSE), 1)</f>
        <v>1.8623354401601901E-3</v>
      </c>
      <c r="U18" s="12">
        <f>$B18 * IFERROR(VLOOKUP(Substitution!$M$7 &amp; $A18, US_national_yearly!$D:$AM, MATCH(U$1, US_national_yearly!$D$1:$AM$1, 0), FALSE) / VLOOKUP(Substitution!$M$7 &amp; $A18, US_national_yearly!$D:$AM, MATCH(Keys!$C$7, US_national_yearly!$D$1:$AM$1, 0), FALSE), 1)</f>
        <v>1.8771677847182499E-3</v>
      </c>
      <c r="V18" s="12">
        <f>$B18 * IFERROR(VLOOKUP(Substitution!$M$7 &amp; $A18, US_national_yearly!$D:$AM, MATCH(V$1, US_national_yearly!$D$1:$AM$1, 0), FALSE) / VLOOKUP(Substitution!$M$7 &amp; $A18, US_national_yearly!$D:$AM, MATCH(Keys!$C$7, US_national_yearly!$D$1:$AM$1, 0), FALSE), 1)</f>
        <v>1.8920001292763099E-3</v>
      </c>
      <c r="W18" s="12">
        <f>$B18 * IFERROR(VLOOKUP(Substitution!$M$7 &amp; $A18, US_national_yearly!$D:$AM, MATCH(W$1, US_national_yearly!$D$1:$AM$1, 0), FALSE) / VLOOKUP(Substitution!$M$7 &amp; $A18, US_national_yearly!$D:$AM, MATCH(Keys!$C$7, US_national_yearly!$D$1:$AM$1, 0), FALSE), 1)</f>
        <v>1.90683247383437E-3</v>
      </c>
      <c r="X18" s="12">
        <f>$B18 * IFERROR(VLOOKUP(Substitution!$M$7 &amp; $A18, US_national_yearly!$D:$AM, MATCH(X$1, US_national_yearly!$D$1:$AM$1, 0), FALSE) / VLOOKUP(Substitution!$M$7 &amp; $A18, US_national_yearly!$D:$AM, MATCH(Keys!$C$7, US_national_yearly!$D$1:$AM$1, 0), FALSE), 1)</f>
        <v>1.9114427952746601E-3</v>
      </c>
      <c r="Y18" s="12">
        <f>$B18 * IFERROR(VLOOKUP(Substitution!$M$7 &amp; $A18, US_national_yearly!$D:$AM, MATCH(Y$1, US_national_yearly!$D$1:$AM$1, 0), FALSE) / VLOOKUP(Substitution!$M$7 &amp; $A18, US_national_yearly!$D:$AM, MATCH(Keys!$C$7, US_national_yearly!$D$1:$AM$1, 0), FALSE), 1)</f>
        <v>1.91605311671495E-3</v>
      </c>
      <c r="Z18" s="12">
        <f>$B18 * IFERROR(VLOOKUP(Substitution!$M$7 &amp; $A18, US_national_yearly!$D:$AM, MATCH(Z$1, US_national_yearly!$D$1:$AM$1, 0), FALSE) / VLOOKUP(Substitution!$M$7 &amp; $A18, US_national_yearly!$D:$AM, MATCH(Keys!$C$7, US_national_yearly!$D$1:$AM$1, 0), FALSE), 1)</f>
        <v>1.9206634381552399E-3</v>
      </c>
      <c r="AA18" s="12">
        <f>$B18 * IFERROR(VLOOKUP(Substitution!$M$7 &amp; $A18, US_national_yearly!$D:$AM, MATCH(AA$1, US_national_yearly!$D$1:$AM$1, 0), FALSE) / VLOOKUP(Substitution!$M$7 &amp; $A18, US_national_yearly!$D:$AM, MATCH(Keys!$C$7, US_national_yearly!$D$1:$AM$1, 0), FALSE), 1)</f>
        <v>1.9252737595955301E-3</v>
      </c>
      <c r="AB18" s="12">
        <f>$B18 * IFERROR(VLOOKUP(Substitution!$M$7 &amp; $A18, US_national_yearly!$D:$AM, MATCH(AB$1, US_national_yearly!$D$1:$AM$1, 0), FALSE) / VLOOKUP(Substitution!$M$7 &amp; $A18, US_national_yearly!$D:$AM, MATCH(Keys!$C$7, US_national_yearly!$D$1:$AM$1, 0), FALSE), 1)</f>
        <v>1.92988408103582E-3</v>
      </c>
    </row>
    <row r="19" spans="1:28" x14ac:dyDescent="0.25">
      <c r="A19" s="4" t="s">
        <v>325</v>
      </c>
      <c r="B19" s="12">
        <f>IFERROR(VLOOKUP(Substitution!$M$7 &amp; $A19, US_national_yearly!$D:$AM, MATCH(Keys!$C$7, US_national_yearly!$D$1:$AM$1, 0), FALSE), 0)</f>
        <v>1.5711764483594939E-4</v>
      </c>
      <c r="C19" s="12">
        <f>$B19 * IFERROR(VLOOKUP(Substitution!$M$7 &amp; $A19, US_national_yearly!$D:$AM, MATCH(C$1, US_national_yearly!$D$1:$AM$1, 0), FALSE) / VLOOKUP(Substitution!$M$7 &amp; $A19, US_national_yearly!$D:$AM, MATCH(Keys!$C$7, US_national_yearly!$D$1:$AM$1, 0), FALSE), 1)</f>
        <v>1.612698313266438E-4</v>
      </c>
      <c r="D19" s="12">
        <f>$B19 * IFERROR(VLOOKUP(Substitution!$M$7 &amp; $A19, US_national_yearly!$D:$AM, MATCH(D$1, US_national_yearly!$D$1:$AM$1, 0), FALSE) / VLOOKUP(Substitution!$M$7 &amp; $A19, US_national_yearly!$D:$AM, MATCH(Keys!$C$7, US_national_yearly!$D$1:$AM$1, 0), FALSE), 1)</f>
        <v>1.6542201781733821E-4</v>
      </c>
      <c r="E19" s="12">
        <f>$B19 * IFERROR(VLOOKUP(Substitution!$M$7 &amp; $A19, US_national_yearly!$D:$AM, MATCH(E$1, US_national_yearly!$D$1:$AM$1, 0), FALSE) / VLOOKUP(Substitution!$M$7 &amp; $A19, US_national_yearly!$D:$AM, MATCH(Keys!$C$7, US_national_yearly!$D$1:$AM$1, 0), FALSE), 1)</f>
        <v>1.695742043080326E-4</v>
      </c>
      <c r="F19" s="12">
        <f>$B19 * IFERROR(VLOOKUP(Substitution!$M$7 &amp; $A19, US_national_yearly!$D:$AM, MATCH(F$1, US_national_yearly!$D$1:$AM$1, 0), FALSE) / VLOOKUP(Substitution!$M$7 &amp; $A19, US_national_yearly!$D:$AM, MATCH(Keys!$C$7, US_national_yearly!$D$1:$AM$1, 0), FALSE), 1)</f>
        <v>1.7372639079872701E-4</v>
      </c>
      <c r="G19" s="12">
        <f>$B19 * IFERROR(VLOOKUP(Substitution!$M$7 &amp; $A19, US_national_yearly!$D:$AM, MATCH(G$1, US_national_yearly!$D$1:$AM$1, 0), FALSE) / VLOOKUP(Substitution!$M$7 &amp; $A19, US_national_yearly!$D:$AM, MATCH(Keys!$C$7, US_national_yearly!$D$1:$AM$1, 0), FALSE), 1)</f>
        <v>1.77201871352805E-4</v>
      </c>
      <c r="H19" s="12">
        <f>$B19 * IFERROR(VLOOKUP(Substitution!$M$7 &amp; $A19, US_national_yearly!$D:$AM, MATCH(H$1, US_national_yearly!$D$1:$AM$1, 0), FALSE) / VLOOKUP(Substitution!$M$7 &amp; $A19, US_national_yearly!$D:$AM, MATCH(Keys!$C$7, US_national_yearly!$D$1:$AM$1, 0), FALSE), 1)</f>
        <v>1.8067735190688297E-4</v>
      </c>
      <c r="I19" s="12">
        <f>$B19 * IFERROR(VLOOKUP(Substitution!$M$7 &amp; $A19, US_national_yearly!$D:$AM, MATCH(I$1, US_national_yearly!$D$1:$AM$1, 0), FALSE) / VLOOKUP(Substitution!$M$7 &amp; $A19, US_national_yearly!$D:$AM, MATCH(Keys!$C$7, US_national_yearly!$D$1:$AM$1, 0), FALSE), 1)</f>
        <v>1.8296058179380817E-4</v>
      </c>
      <c r="J19" s="12">
        <f>$B19 * IFERROR(VLOOKUP(Substitution!$M$7 &amp; $A19, US_national_yearly!$D:$AM, MATCH(J$1, US_national_yearly!$D$1:$AM$1, 0), FALSE) / VLOOKUP(Substitution!$M$7 &amp; $A19, US_national_yearly!$D:$AM, MATCH(Keys!$C$7, US_national_yearly!$D$1:$AM$1, 0), FALSE), 1)</f>
        <v>1.8524381168073337E-4</v>
      </c>
      <c r="K19" s="12">
        <f>$B19 * IFERROR(VLOOKUP(Substitution!$M$7 &amp; $A19, US_national_yearly!$D:$AM, MATCH(K$1, US_national_yearly!$D$1:$AM$1, 0), FALSE) / VLOOKUP(Substitution!$M$7 &amp; $A19, US_national_yearly!$D:$AM, MATCH(Keys!$C$7, US_national_yearly!$D$1:$AM$1, 0), FALSE), 1)</f>
        <v>1.8752704156765857E-4</v>
      </c>
      <c r="L19" s="12">
        <f>$B19 * IFERROR(VLOOKUP(Substitution!$M$7 &amp; $A19, US_national_yearly!$D:$AM, MATCH(L$1, US_national_yearly!$D$1:$AM$1, 0), FALSE) / VLOOKUP(Substitution!$M$7 &amp; $A19, US_national_yearly!$D:$AM, MATCH(Keys!$C$7, US_national_yearly!$D$1:$AM$1, 0), FALSE), 1)</f>
        <v>1.8981027145458383E-4</v>
      </c>
      <c r="M19" s="12">
        <f>$B19 * IFERROR(VLOOKUP(Substitution!$M$7 &amp; $A19, US_national_yearly!$D:$AM, MATCH(M$1, US_national_yearly!$D$1:$AM$1, 0), FALSE) / VLOOKUP(Substitution!$M$7 &amp; $A19, US_national_yearly!$D:$AM, MATCH(Keys!$C$7, US_national_yearly!$D$1:$AM$1, 0), FALSE), 1)</f>
        <v>1.9209350134150903E-4</v>
      </c>
      <c r="N19" s="12">
        <f>$B19 * IFERROR(VLOOKUP(Substitution!$M$7 &amp; $A19, US_national_yearly!$D:$AM, MATCH(N$1, US_national_yearly!$D$1:$AM$1, 0), FALSE) / VLOOKUP(Substitution!$M$7 &amp; $A19, US_national_yearly!$D:$AM, MATCH(Keys!$C$7, US_national_yearly!$D$1:$AM$1, 0), FALSE), 1)</f>
        <v>1.9323369845586477E-4</v>
      </c>
      <c r="O19" s="12">
        <f>$B19 * IFERROR(VLOOKUP(Substitution!$M$7 &amp; $A19, US_national_yearly!$D:$AM, MATCH(O$1, US_national_yearly!$D$1:$AM$1, 0), FALSE) / VLOOKUP(Substitution!$M$7 &amp; $A19, US_national_yearly!$D:$AM, MATCH(Keys!$C$7, US_national_yearly!$D$1:$AM$1, 0), FALSE), 1)</f>
        <v>1.9437389557022059E-4</v>
      </c>
      <c r="P19" s="12">
        <f>$B19 * IFERROR(VLOOKUP(Substitution!$M$7 &amp; $A19, US_national_yearly!$D:$AM, MATCH(P$1, US_national_yearly!$D$1:$AM$1, 0), FALSE) / VLOOKUP(Substitution!$M$7 &amp; $A19, US_national_yearly!$D:$AM, MATCH(Keys!$C$7, US_national_yearly!$D$1:$AM$1, 0), FALSE), 1)</f>
        <v>1.9551409268457639E-4</v>
      </c>
      <c r="Q19" s="12">
        <f>$B19 * IFERROR(VLOOKUP(Substitution!$M$7 &amp; $A19, US_national_yearly!$D:$AM, MATCH(Q$1, US_national_yearly!$D$1:$AM$1, 0), FALSE) / VLOOKUP(Substitution!$M$7 &amp; $A19, US_national_yearly!$D:$AM, MATCH(Keys!$C$7, US_national_yearly!$D$1:$AM$1, 0), FALSE), 1)</f>
        <v>1.9665428979893221E-4</v>
      </c>
      <c r="R19" s="12">
        <f>$B19 * IFERROR(VLOOKUP(Substitution!$M$7 &amp; $A19, US_national_yearly!$D:$AM, MATCH(R$1, US_national_yearly!$D$1:$AM$1, 0), FALSE) / VLOOKUP(Substitution!$M$7 &amp; $A19, US_national_yearly!$D:$AM, MATCH(Keys!$C$7, US_national_yearly!$D$1:$AM$1, 0), FALSE), 1)</f>
        <v>1.9779448691328801E-4</v>
      </c>
      <c r="S19" s="12">
        <f>$B19 * IFERROR(VLOOKUP(Substitution!$M$7 &amp; $A19, US_national_yearly!$D:$AM, MATCH(S$1, US_national_yearly!$D$1:$AM$1, 0), FALSE) / VLOOKUP(Substitution!$M$7 &amp; $A19, US_national_yearly!$D:$AM, MATCH(Keys!$C$7, US_national_yearly!$D$1:$AM$1, 0), FALSE), 1)</f>
        <v>1.9844306617380599E-4</v>
      </c>
      <c r="T19" s="12">
        <f>$B19 * IFERROR(VLOOKUP(Substitution!$M$7 &amp; $A19, US_national_yearly!$D:$AM, MATCH(T$1, US_national_yearly!$D$1:$AM$1, 0), FALSE) / VLOOKUP(Substitution!$M$7 &amp; $A19, US_national_yearly!$D:$AM, MATCH(Keys!$C$7, US_national_yearly!$D$1:$AM$1, 0), FALSE), 1)</f>
        <v>1.99091645434324E-4</v>
      </c>
      <c r="U19" s="12">
        <f>$B19 * IFERROR(VLOOKUP(Substitution!$M$7 &amp; $A19, US_national_yearly!$D:$AM, MATCH(U$1, US_national_yearly!$D$1:$AM$1, 0), FALSE) / VLOOKUP(Substitution!$M$7 &amp; $A19, US_national_yearly!$D:$AM, MATCH(Keys!$C$7, US_national_yearly!$D$1:$AM$1, 0), FALSE), 1)</f>
        <v>1.9974022469484201E-4</v>
      </c>
      <c r="V19" s="12">
        <f>$B19 * IFERROR(VLOOKUP(Substitution!$M$7 &amp; $A19, US_national_yearly!$D:$AM, MATCH(V$1, US_national_yearly!$D$1:$AM$1, 0), FALSE) / VLOOKUP(Substitution!$M$7 &amp; $A19, US_national_yearly!$D:$AM, MATCH(Keys!$C$7, US_national_yearly!$D$1:$AM$1, 0), FALSE), 1)</f>
        <v>2.0038880395535999E-4</v>
      </c>
      <c r="W19" s="12">
        <f>$B19 * IFERROR(VLOOKUP(Substitution!$M$7 &amp; $A19, US_national_yearly!$D:$AM, MATCH(W$1, US_national_yearly!$D$1:$AM$1, 0), FALSE) / VLOOKUP(Substitution!$M$7 &amp; $A19, US_national_yearly!$D:$AM, MATCH(Keys!$C$7, US_national_yearly!$D$1:$AM$1, 0), FALSE), 1)</f>
        <v>2.01037383215878E-4</v>
      </c>
      <c r="X19" s="12">
        <f>$B19 * IFERROR(VLOOKUP(Substitution!$M$7 &amp; $A19, US_national_yearly!$D:$AM, MATCH(X$1, US_national_yearly!$D$1:$AM$1, 0), FALSE) / VLOOKUP(Substitution!$M$7 &amp; $A19, US_national_yearly!$D:$AM, MATCH(Keys!$C$7, US_national_yearly!$D$1:$AM$1, 0), FALSE), 1)</f>
        <v>2.019684349855084E-4</v>
      </c>
      <c r="Y19" s="12">
        <f>$B19 * IFERROR(VLOOKUP(Substitution!$M$7 &amp; $A19, US_national_yearly!$D:$AM, MATCH(Y$1, US_national_yearly!$D$1:$AM$1, 0), FALSE) / VLOOKUP(Substitution!$M$7 &amp; $A19, US_national_yearly!$D:$AM, MATCH(Keys!$C$7, US_national_yearly!$D$1:$AM$1, 0), FALSE), 1)</f>
        <v>2.0289948675513881E-4</v>
      </c>
      <c r="Z19" s="12">
        <f>$B19 * IFERROR(VLOOKUP(Substitution!$M$7 &amp; $A19, US_national_yearly!$D:$AM, MATCH(Z$1, US_national_yearly!$D$1:$AM$1, 0), FALSE) / VLOOKUP(Substitution!$M$7 &amp; $A19, US_national_yearly!$D:$AM, MATCH(Keys!$C$7, US_national_yearly!$D$1:$AM$1, 0), FALSE), 1)</f>
        <v>2.0383053852476919E-4</v>
      </c>
      <c r="AA19" s="12">
        <f>$B19 * IFERROR(VLOOKUP(Substitution!$M$7 &amp; $A19, US_national_yearly!$D:$AM, MATCH(AA$1, US_national_yearly!$D$1:$AM$1, 0), FALSE) / VLOOKUP(Substitution!$M$7 &amp; $A19, US_national_yearly!$D:$AM, MATCH(Keys!$C$7, US_national_yearly!$D$1:$AM$1, 0), FALSE), 1)</f>
        <v>2.047615902943996E-4</v>
      </c>
      <c r="AB19" s="12">
        <f>$B19 * IFERROR(VLOOKUP(Substitution!$M$7 &amp; $A19, US_national_yearly!$D:$AM, MATCH(AB$1, US_national_yearly!$D$1:$AM$1, 0), FALSE) / VLOOKUP(Substitution!$M$7 &amp; $A19, US_national_yearly!$D:$AM, MATCH(Keys!$C$7, US_national_yearly!$D$1:$AM$1, 0), FALSE), 1)</f>
        <v>2.0569264206402998E-4</v>
      </c>
    </row>
    <row r="20" spans="1:28" x14ac:dyDescent="0.25">
      <c r="A20" s="4" t="s">
        <v>327</v>
      </c>
      <c r="B20" s="12">
        <f>IFERROR(VLOOKUP(Substitution!$M$7 &amp; $A20, US_national_yearly!$D:$AM, MATCH(Keys!$C$7, US_national_yearly!$D$1:$AM$1, 0), FALSE), 0)</f>
        <v>1.4579796394150241E-4</v>
      </c>
      <c r="C20" s="12">
        <f>$B20 * IFERROR(VLOOKUP(Substitution!$M$7 &amp; $A20, US_national_yearly!$D:$AM, MATCH(C$1, US_national_yearly!$D$1:$AM$1, 0), FALSE) / VLOOKUP(Substitution!$M$7 &amp; $A20, US_national_yearly!$D:$AM, MATCH(Keys!$C$7, US_national_yearly!$D$1:$AM$1, 0), FALSE), 1)</f>
        <v>1.4969093812789084E-4</v>
      </c>
      <c r="D20" s="12">
        <f>$B20 * IFERROR(VLOOKUP(Substitution!$M$7 &amp; $A20, US_national_yearly!$D:$AM, MATCH(D$1, US_national_yearly!$D$1:$AM$1, 0), FALSE) / VLOOKUP(Substitution!$M$7 &amp; $A20, US_national_yearly!$D:$AM, MATCH(Keys!$C$7, US_national_yearly!$D$1:$AM$1, 0), FALSE), 1)</f>
        <v>1.5358391231427921E-4</v>
      </c>
      <c r="E20" s="12">
        <f>$B20 * IFERROR(VLOOKUP(Substitution!$M$7 &amp; $A20, US_national_yearly!$D:$AM, MATCH(E$1, US_national_yearly!$D$1:$AM$1, 0), FALSE) / VLOOKUP(Substitution!$M$7 &amp; $A20, US_national_yearly!$D:$AM, MATCH(Keys!$C$7, US_national_yearly!$D$1:$AM$1, 0), FALSE), 1)</f>
        <v>1.5747688650066759E-4</v>
      </c>
      <c r="F20" s="12">
        <f>$B20 * IFERROR(VLOOKUP(Substitution!$M$7 &amp; $A20, US_national_yearly!$D:$AM, MATCH(F$1, US_national_yearly!$D$1:$AM$1, 0), FALSE) / VLOOKUP(Substitution!$M$7 &amp; $A20, US_national_yearly!$D:$AM, MATCH(Keys!$C$7, US_national_yearly!$D$1:$AM$1, 0), FALSE), 1)</f>
        <v>1.6136986068705599E-4</v>
      </c>
      <c r="G20" s="12">
        <f>$B20 * IFERROR(VLOOKUP(Substitution!$M$7 &amp; $A20, US_national_yearly!$D:$AM, MATCH(G$1, US_national_yearly!$D$1:$AM$1, 0), FALSE) / VLOOKUP(Substitution!$M$7 &amp; $A20, US_national_yearly!$D:$AM, MATCH(Keys!$C$7, US_national_yearly!$D$1:$AM$1, 0), FALSE), 1)</f>
        <v>1.6458988720323054E-4</v>
      </c>
      <c r="H20" s="12">
        <f>$B20 * IFERROR(VLOOKUP(Substitution!$M$7 &amp; $A20, US_national_yearly!$D:$AM, MATCH(H$1, US_national_yearly!$D$1:$AM$1, 0), FALSE) / VLOOKUP(Substitution!$M$7 &amp; $A20, US_national_yearly!$D:$AM, MATCH(Keys!$C$7, US_national_yearly!$D$1:$AM$1, 0), FALSE), 1)</f>
        <v>1.6780991371940501E-4</v>
      </c>
      <c r="I20" s="12">
        <f>$B20 * IFERROR(VLOOKUP(Substitution!$M$7 &amp; $A20, US_national_yearly!$D:$AM, MATCH(I$1, US_national_yearly!$D$1:$AM$1, 0), FALSE) / VLOOKUP(Substitution!$M$7 &amp; $A20, US_national_yearly!$D:$AM, MATCH(Keys!$C$7, US_national_yearly!$D$1:$AM$1, 0), FALSE), 1)</f>
        <v>1.69798932070436E-4</v>
      </c>
      <c r="J20" s="12">
        <f>$B20 * IFERROR(VLOOKUP(Substitution!$M$7 &amp; $A20, US_national_yearly!$D:$AM, MATCH(J$1, US_national_yearly!$D$1:$AM$1, 0), FALSE) / VLOOKUP(Substitution!$M$7 &amp; $A20, US_national_yearly!$D:$AM, MATCH(Keys!$C$7, US_national_yearly!$D$1:$AM$1, 0), FALSE), 1)</f>
        <v>1.7178795042146699E-4</v>
      </c>
      <c r="K20" s="12">
        <f>$B20 * IFERROR(VLOOKUP(Substitution!$M$7 &amp; $A20, US_national_yearly!$D:$AM, MATCH(K$1, US_national_yearly!$D$1:$AM$1, 0), FALSE) / VLOOKUP(Substitution!$M$7 &amp; $A20, US_national_yearly!$D:$AM, MATCH(Keys!$C$7, US_national_yearly!$D$1:$AM$1, 0), FALSE), 1)</f>
        <v>1.7377696877249801E-4</v>
      </c>
      <c r="L20" s="12">
        <f>$B20 * IFERROR(VLOOKUP(Substitution!$M$7 &amp; $A20, US_national_yearly!$D:$AM, MATCH(L$1, US_national_yearly!$D$1:$AM$1, 0), FALSE) / VLOOKUP(Substitution!$M$7 &amp; $A20, US_national_yearly!$D:$AM, MATCH(Keys!$C$7, US_national_yearly!$D$1:$AM$1, 0), FALSE), 1)</f>
        <v>1.75765987123529E-4</v>
      </c>
      <c r="M20" s="12">
        <f>$B20 * IFERROR(VLOOKUP(Substitution!$M$7 &amp; $A20, US_national_yearly!$D:$AM, MATCH(M$1, US_national_yearly!$D$1:$AM$1, 0), FALSE) / VLOOKUP(Substitution!$M$7 &amp; $A20, US_national_yearly!$D:$AM, MATCH(Keys!$C$7, US_national_yearly!$D$1:$AM$1, 0), FALSE), 1)</f>
        <v>1.7775500547456E-4</v>
      </c>
      <c r="N20" s="12">
        <f>$B20 * IFERROR(VLOOKUP(Substitution!$M$7 &amp; $A20, US_national_yearly!$D:$AM, MATCH(N$1, US_national_yearly!$D$1:$AM$1, 0), FALSE) / VLOOKUP(Substitution!$M$7 &amp; $A20, US_national_yearly!$D:$AM, MATCH(Keys!$C$7, US_national_yearly!$D$1:$AM$1, 0), FALSE), 1)</f>
        <v>1.787108647919134E-4</v>
      </c>
      <c r="O20" s="12">
        <f>$B20 * IFERROR(VLOOKUP(Substitution!$M$7 &amp; $A20, US_national_yearly!$D:$AM, MATCH(O$1, US_national_yearly!$D$1:$AM$1, 0), FALSE) / VLOOKUP(Substitution!$M$7 &amp; $A20, US_national_yearly!$D:$AM, MATCH(Keys!$C$7, US_national_yearly!$D$1:$AM$1, 0), FALSE), 1)</f>
        <v>1.7966672410926681E-4</v>
      </c>
      <c r="P20" s="12">
        <f>$B20 * IFERROR(VLOOKUP(Substitution!$M$7 &amp; $A20, US_national_yearly!$D:$AM, MATCH(P$1, US_national_yearly!$D$1:$AM$1, 0), FALSE) / VLOOKUP(Substitution!$M$7 &amp; $A20, US_national_yearly!$D:$AM, MATCH(Keys!$C$7, US_national_yearly!$D$1:$AM$1, 0), FALSE), 1)</f>
        <v>1.8062258342662021E-4</v>
      </c>
      <c r="Q20" s="12">
        <f>$B20 * IFERROR(VLOOKUP(Substitution!$M$7 &amp; $A20, US_national_yearly!$D:$AM, MATCH(Q$1, US_national_yearly!$D$1:$AM$1, 0), FALSE) / VLOOKUP(Substitution!$M$7 &amp; $A20, US_national_yearly!$D:$AM, MATCH(Keys!$C$7, US_national_yearly!$D$1:$AM$1, 0), FALSE), 1)</f>
        <v>1.8157844274397359E-4</v>
      </c>
      <c r="R20" s="12">
        <f>$B20 * IFERROR(VLOOKUP(Substitution!$M$7 &amp; $A20, US_national_yearly!$D:$AM, MATCH(R$1, US_national_yearly!$D$1:$AM$1, 0), FALSE) / VLOOKUP(Substitution!$M$7 &amp; $A20, US_national_yearly!$D:$AM, MATCH(Keys!$C$7, US_national_yearly!$D$1:$AM$1, 0), FALSE), 1)</f>
        <v>1.82534302061327E-4</v>
      </c>
      <c r="S20" s="12">
        <f>$B20 * IFERROR(VLOOKUP(Substitution!$M$7 &amp; $A20, US_national_yearly!$D:$AM, MATCH(S$1, US_national_yearly!$D$1:$AM$1, 0), FALSE) / VLOOKUP(Substitution!$M$7 &amp; $A20, US_national_yearly!$D:$AM, MATCH(Keys!$C$7, US_national_yearly!$D$1:$AM$1, 0), FALSE), 1)</f>
        <v>1.8304195558638481E-4</v>
      </c>
      <c r="T20" s="12">
        <f>$B20 * IFERROR(VLOOKUP(Substitution!$M$7 &amp; $A20, US_national_yearly!$D:$AM, MATCH(T$1, US_national_yearly!$D$1:$AM$1, 0), FALSE) / VLOOKUP(Substitution!$M$7 &amp; $A20, US_national_yearly!$D:$AM, MATCH(Keys!$C$7, US_national_yearly!$D$1:$AM$1, 0), FALSE), 1)</f>
        <v>1.835496091114426E-4</v>
      </c>
      <c r="U20" s="12">
        <f>$B20 * IFERROR(VLOOKUP(Substitution!$M$7 &amp; $A20, US_national_yearly!$D:$AM, MATCH(U$1, US_national_yearly!$D$1:$AM$1, 0), FALSE) / VLOOKUP(Substitution!$M$7 &amp; $A20, US_national_yearly!$D:$AM, MATCH(Keys!$C$7, US_national_yearly!$D$1:$AM$1, 0), FALSE), 1)</f>
        <v>1.8405726263650039E-4</v>
      </c>
      <c r="V20" s="12">
        <f>$B20 * IFERROR(VLOOKUP(Substitution!$M$7 &amp; $A20, US_national_yearly!$D:$AM, MATCH(V$1, US_national_yearly!$D$1:$AM$1, 0), FALSE) / VLOOKUP(Substitution!$M$7 &amp; $A20, US_national_yearly!$D:$AM, MATCH(Keys!$C$7, US_national_yearly!$D$1:$AM$1, 0), FALSE), 1)</f>
        <v>1.8456491616155817E-4</v>
      </c>
      <c r="W20" s="12">
        <f>$B20 * IFERROR(VLOOKUP(Substitution!$M$7 &amp; $A20, US_national_yearly!$D:$AM, MATCH(W$1, US_national_yearly!$D$1:$AM$1, 0), FALSE) / VLOOKUP(Substitution!$M$7 &amp; $A20, US_national_yearly!$D:$AM, MATCH(Keys!$C$7, US_national_yearly!$D$1:$AM$1, 0), FALSE), 1)</f>
        <v>1.8507256968661599E-4</v>
      </c>
      <c r="X20" s="12">
        <f>$B20 * IFERROR(VLOOKUP(Substitution!$M$7 &amp; $A20, US_national_yearly!$D:$AM, MATCH(X$1, US_national_yearly!$D$1:$AM$1, 0), FALSE) / VLOOKUP(Substitution!$M$7 &amp; $A20, US_national_yearly!$D:$AM, MATCH(Keys!$C$7, US_national_yearly!$D$1:$AM$1, 0), FALSE), 1)</f>
        <v>1.8595377338068137E-4</v>
      </c>
      <c r="Y20" s="12">
        <f>$B20 * IFERROR(VLOOKUP(Substitution!$M$7 &amp; $A20, US_national_yearly!$D:$AM, MATCH(Y$1, US_national_yearly!$D$1:$AM$1, 0), FALSE) / VLOOKUP(Substitution!$M$7 &amp; $A20, US_national_yearly!$D:$AM, MATCH(Keys!$C$7, US_national_yearly!$D$1:$AM$1, 0), FALSE), 1)</f>
        <v>1.8683497707474677E-4</v>
      </c>
      <c r="Z20" s="12">
        <f>$B20 * IFERROR(VLOOKUP(Substitution!$M$7 &amp; $A20, US_national_yearly!$D:$AM, MATCH(Z$1, US_national_yearly!$D$1:$AM$1, 0), FALSE) / VLOOKUP(Substitution!$M$7 &amp; $A20, US_national_yearly!$D:$AM, MATCH(Keys!$C$7, US_national_yearly!$D$1:$AM$1, 0), FALSE), 1)</f>
        <v>1.8771618076881224E-4</v>
      </c>
      <c r="AA20" s="12">
        <f>$B20 * IFERROR(VLOOKUP(Substitution!$M$7 &amp; $A20, US_national_yearly!$D:$AM, MATCH(AA$1, US_national_yearly!$D$1:$AM$1, 0), FALSE) / VLOOKUP(Substitution!$M$7 &amp; $A20, US_national_yearly!$D:$AM, MATCH(Keys!$C$7, US_national_yearly!$D$1:$AM$1, 0), FALSE), 1)</f>
        <v>1.8859738446287759E-4</v>
      </c>
      <c r="AB20" s="12">
        <f>$B20 * IFERROR(VLOOKUP(Substitution!$M$7 &amp; $A20, US_national_yearly!$D:$AM, MATCH(AB$1, US_national_yearly!$D$1:$AM$1, 0), FALSE) / VLOOKUP(Substitution!$M$7 &amp; $A20, US_national_yearly!$D:$AM, MATCH(Keys!$C$7, US_national_yearly!$D$1:$AM$1, 0), FALSE), 1)</f>
        <v>1.8947858815694299E-4</v>
      </c>
    </row>
    <row r="21" spans="1:28" x14ac:dyDescent="0.25">
      <c r="A21" s="4" t="s">
        <v>329</v>
      </c>
      <c r="B21" s="12">
        <f>IFERROR(VLOOKUP(Substitution!$M$7 &amp; $A21, US_national_yearly!$D:$AM, MATCH(Keys!$C$7, US_national_yearly!$D$1:$AM$1, 0), FALSE), 0)</f>
        <v>3.4296004601689802E-5</v>
      </c>
      <c r="C21" s="12">
        <f>$B21 * IFERROR(VLOOKUP(Substitution!$M$7 &amp; $A21, US_national_yearly!$D:$AM, MATCH(C$1, US_national_yearly!$D$1:$AM$1, 0), FALSE) / VLOOKUP(Substitution!$M$7 &amp; $A21, US_national_yearly!$D:$AM, MATCH(Keys!$C$7, US_national_yearly!$D$1:$AM$1, 0), FALSE), 1)</f>
        <v>3.48117247679576E-5</v>
      </c>
      <c r="D21" s="12">
        <f>$B21 * IFERROR(VLOOKUP(Substitution!$M$7 &amp; $A21, US_national_yearly!$D:$AM, MATCH(D$1, US_national_yearly!$D$1:$AM$1, 0), FALSE) / VLOOKUP(Substitution!$M$7 &amp; $A21, US_national_yearly!$D:$AM, MATCH(Keys!$C$7, US_national_yearly!$D$1:$AM$1, 0), FALSE), 1)</f>
        <v>3.5327444934225398E-5</v>
      </c>
      <c r="E21" s="12">
        <f>$B21 * IFERROR(VLOOKUP(Substitution!$M$7 &amp; $A21, US_national_yearly!$D:$AM, MATCH(E$1, US_national_yearly!$D$1:$AM$1, 0), FALSE) / VLOOKUP(Substitution!$M$7 &amp; $A21, US_national_yearly!$D:$AM, MATCH(Keys!$C$7, US_national_yearly!$D$1:$AM$1, 0), FALSE), 1)</f>
        <v>3.5843165100493202E-5</v>
      </c>
      <c r="F21" s="12">
        <f>$B21 * IFERROR(VLOOKUP(Substitution!$M$7 &amp; $A21, US_national_yearly!$D:$AM, MATCH(F$1, US_national_yearly!$D$1:$AM$1, 0), FALSE) / VLOOKUP(Substitution!$M$7 &amp; $A21, US_national_yearly!$D:$AM, MATCH(Keys!$C$7, US_national_yearly!$D$1:$AM$1, 0), FALSE), 1)</f>
        <v>3.6358885266761E-5</v>
      </c>
      <c r="G21" s="12">
        <f>$B21 * IFERROR(VLOOKUP(Substitution!$M$7 &amp; $A21, US_national_yearly!$D:$AM, MATCH(G$1, US_national_yearly!$D$1:$AM$1, 0), FALSE) / VLOOKUP(Substitution!$M$7 &amp; $A21, US_national_yearly!$D:$AM, MATCH(Keys!$C$7, US_national_yearly!$D$1:$AM$1, 0), FALSE), 1)</f>
        <v>3.6845259967857351E-5</v>
      </c>
      <c r="H21" s="12">
        <f>$B21 * IFERROR(VLOOKUP(Substitution!$M$7 &amp; $A21, US_national_yearly!$D:$AM, MATCH(H$1, US_national_yearly!$D$1:$AM$1, 0), FALSE) / VLOOKUP(Substitution!$M$7 &amp; $A21, US_national_yearly!$D:$AM, MATCH(Keys!$C$7, US_national_yearly!$D$1:$AM$1, 0), FALSE), 1)</f>
        <v>3.7331634668953702E-5</v>
      </c>
      <c r="I21" s="12">
        <f>$B21 * IFERROR(VLOOKUP(Substitution!$M$7 &amp; $A21, US_national_yearly!$D:$AM, MATCH(I$1, US_national_yearly!$D$1:$AM$1, 0), FALSE) / VLOOKUP(Substitution!$M$7 &amp; $A21, US_national_yearly!$D:$AM, MATCH(Keys!$C$7, US_national_yearly!$D$1:$AM$1, 0), FALSE), 1)</f>
        <v>3.7715867981778812E-5</v>
      </c>
      <c r="J21" s="12">
        <f>$B21 * IFERROR(VLOOKUP(Substitution!$M$7 &amp; $A21, US_national_yearly!$D:$AM, MATCH(J$1, US_national_yearly!$D$1:$AM$1, 0), FALSE) / VLOOKUP(Substitution!$M$7 &amp; $A21, US_national_yearly!$D:$AM, MATCH(Keys!$C$7, US_national_yearly!$D$1:$AM$1, 0), FALSE), 1)</f>
        <v>3.8100101294603901E-5</v>
      </c>
      <c r="K21" s="12">
        <f>$B21 * IFERROR(VLOOKUP(Substitution!$M$7 &amp; $A21, US_national_yearly!$D:$AM, MATCH(K$1, US_national_yearly!$D$1:$AM$1, 0), FALSE) / VLOOKUP(Substitution!$M$7 &amp; $A21, US_national_yearly!$D:$AM, MATCH(Keys!$C$7, US_national_yearly!$D$1:$AM$1, 0), FALSE), 1)</f>
        <v>3.848433460742899E-5</v>
      </c>
      <c r="L21" s="12">
        <f>$B21 * IFERROR(VLOOKUP(Substitution!$M$7 &amp; $A21, US_national_yearly!$D:$AM, MATCH(L$1, US_national_yearly!$D$1:$AM$1, 0), FALSE) / VLOOKUP(Substitution!$M$7 &amp; $A21, US_national_yearly!$D:$AM, MATCH(Keys!$C$7, US_national_yearly!$D$1:$AM$1, 0), FALSE), 1)</f>
        <v>3.8868567920254099E-5</v>
      </c>
      <c r="M21" s="12">
        <f>$B21 * IFERROR(VLOOKUP(Substitution!$M$7 &amp; $A21, US_national_yearly!$D:$AM, MATCH(M$1, US_national_yearly!$D$1:$AM$1, 0), FALSE) / VLOOKUP(Substitution!$M$7 &amp; $A21, US_national_yearly!$D:$AM, MATCH(Keys!$C$7, US_national_yearly!$D$1:$AM$1, 0), FALSE), 1)</f>
        <v>3.9252801233079202E-5</v>
      </c>
      <c r="N21" s="12">
        <f>$B21 * IFERROR(VLOOKUP(Substitution!$M$7 &amp; $A21, US_national_yearly!$D:$AM, MATCH(N$1, US_national_yearly!$D$1:$AM$1, 0), FALSE) / VLOOKUP(Substitution!$M$7 &amp; $A21, US_national_yearly!$D:$AM, MATCH(Keys!$C$7, US_national_yearly!$D$1:$AM$1, 0), FALSE), 1)</f>
        <v>3.9520245154883957E-5</v>
      </c>
      <c r="O21" s="12">
        <f>$B21 * IFERROR(VLOOKUP(Substitution!$M$7 &amp; $A21, US_national_yearly!$D:$AM, MATCH(O$1, US_national_yearly!$D$1:$AM$1, 0), FALSE) / VLOOKUP(Substitution!$M$7 &amp; $A21, US_national_yearly!$D:$AM, MATCH(Keys!$C$7, US_national_yearly!$D$1:$AM$1, 0), FALSE), 1)</f>
        <v>3.9787689076688732E-5</v>
      </c>
      <c r="P21" s="12">
        <f>$B21 * IFERROR(VLOOKUP(Substitution!$M$7 &amp; $A21, US_national_yearly!$D:$AM, MATCH(P$1, US_national_yearly!$D$1:$AM$1, 0), FALSE) / VLOOKUP(Substitution!$M$7 &amp; $A21, US_national_yearly!$D:$AM, MATCH(Keys!$C$7, US_national_yearly!$D$1:$AM$1, 0), FALSE), 1)</f>
        <v>4.005513299849348E-5</v>
      </c>
      <c r="Q21" s="12">
        <f>$B21 * IFERROR(VLOOKUP(Substitution!$M$7 &amp; $A21, US_national_yearly!$D:$AM, MATCH(Q$1, US_national_yearly!$D$1:$AM$1, 0), FALSE) / VLOOKUP(Substitution!$M$7 &amp; $A21, US_national_yearly!$D:$AM, MATCH(Keys!$C$7, US_national_yearly!$D$1:$AM$1, 0), FALSE), 1)</f>
        <v>4.0322576920298241E-5</v>
      </c>
      <c r="R21" s="12">
        <f>$B21 * IFERROR(VLOOKUP(Substitution!$M$7 &amp; $A21, US_national_yearly!$D:$AM, MATCH(R$1, US_national_yearly!$D$1:$AM$1, 0), FALSE) / VLOOKUP(Substitution!$M$7 &amp; $A21, US_national_yearly!$D:$AM, MATCH(Keys!$C$7, US_national_yearly!$D$1:$AM$1, 0), FALSE), 1)</f>
        <v>4.0590020842103003E-5</v>
      </c>
      <c r="S21" s="12">
        <f>$B21 * IFERROR(VLOOKUP(Substitution!$M$7 &amp; $A21, US_national_yearly!$D:$AM, MATCH(S$1, US_national_yearly!$D$1:$AM$1, 0), FALSE) / VLOOKUP(Substitution!$M$7 &amp; $A21, US_national_yearly!$D:$AM, MATCH(Keys!$C$7, US_national_yearly!$D$1:$AM$1, 0), FALSE), 1)</f>
        <v>4.0803352243198099E-5</v>
      </c>
      <c r="T21" s="12">
        <f>$B21 * IFERROR(VLOOKUP(Substitution!$M$7 &amp; $A21, US_national_yearly!$D:$AM, MATCH(T$1, US_national_yearly!$D$1:$AM$1, 0), FALSE) / VLOOKUP(Substitution!$M$7 &amp; $A21, US_national_yearly!$D:$AM, MATCH(Keys!$C$7, US_national_yearly!$D$1:$AM$1, 0), FALSE), 1)</f>
        <v>4.1016683644293202E-5</v>
      </c>
      <c r="U21" s="12">
        <f>$B21 * IFERROR(VLOOKUP(Substitution!$M$7 &amp; $A21, US_national_yearly!$D:$AM, MATCH(U$1, US_national_yearly!$D$1:$AM$1, 0), FALSE) / VLOOKUP(Substitution!$M$7 &amp; $A21, US_national_yearly!$D:$AM, MATCH(Keys!$C$7, US_national_yearly!$D$1:$AM$1, 0), FALSE), 1)</f>
        <v>4.1230015045388299E-5</v>
      </c>
      <c r="V21" s="12">
        <f>$B21 * IFERROR(VLOOKUP(Substitution!$M$7 &amp; $A21, US_national_yearly!$D:$AM, MATCH(V$1, US_national_yearly!$D$1:$AM$1, 0), FALSE) / VLOOKUP(Substitution!$M$7 &amp; $A21, US_national_yearly!$D:$AM, MATCH(Keys!$C$7, US_national_yearly!$D$1:$AM$1, 0), FALSE), 1)</f>
        <v>4.1443346446483402E-5</v>
      </c>
      <c r="W21" s="12">
        <f>$B21 * IFERROR(VLOOKUP(Substitution!$M$7 &amp; $A21, US_national_yearly!$D:$AM, MATCH(W$1, US_national_yearly!$D$1:$AM$1, 0), FALSE) / VLOOKUP(Substitution!$M$7 &amp; $A21, US_national_yearly!$D:$AM, MATCH(Keys!$C$7, US_national_yearly!$D$1:$AM$1, 0), FALSE), 1)</f>
        <v>4.1656677847578498E-5</v>
      </c>
      <c r="X21" s="12">
        <f>$B21 * IFERROR(VLOOKUP(Substitution!$M$7 &amp; $A21, US_national_yearly!$D:$AM, MATCH(X$1, US_national_yearly!$D$1:$AM$1, 0), FALSE) / VLOOKUP(Substitution!$M$7 &amp; $A21, US_national_yearly!$D:$AM, MATCH(Keys!$C$7, US_national_yearly!$D$1:$AM$1, 0), FALSE), 1)</f>
        <v>4.1890318021728398E-5</v>
      </c>
      <c r="Y21" s="12">
        <f>$B21 * IFERROR(VLOOKUP(Substitution!$M$7 &amp; $A21, US_national_yearly!$D:$AM, MATCH(Y$1, US_national_yearly!$D$1:$AM$1, 0), FALSE) / VLOOKUP(Substitution!$M$7 &amp; $A21, US_national_yearly!$D:$AM, MATCH(Keys!$C$7, US_national_yearly!$D$1:$AM$1, 0), FALSE), 1)</f>
        <v>4.2123958195878297E-5</v>
      </c>
      <c r="Z21" s="12">
        <f>$B21 * IFERROR(VLOOKUP(Substitution!$M$7 &amp; $A21, US_national_yearly!$D:$AM, MATCH(Z$1, US_national_yearly!$D$1:$AM$1, 0), FALSE) / VLOOKUP(Substitution!$M$7 &amp; $A21, US_national_yearly!$D:$AM, MATCH(Keys!$C$7, US_national_yearly!$D$1:$AM$1, 0), FALSE), 1)</f>
        <v>4.2357598370028197E-5</v>
      </c>
      <c r="AA21" s="12">
        <f>$B21 * IFERROR(VLOOKUP(Substitution!$M$7 &amp; $A21, US_national_yearly!$D:$AM, MATCH(AA$1, US_national_yearly!$D$1:$AM$1, 0), FALSE) / VLOOKUP(Substitution!$M$7 &amp; $A21, US_national_yearly!$D:$AM, MATCH(Keys!$C$7, US_national_yearly!$D$1:$AM$1, 0), FALSE), 1)</f>
        <v>4.2591238544178103E-5</v>
      </c>
      <c r="AB21" s="12">
        <f>$B21 * IFERROR(VLOOKUP(Substitution!$M$7 &amp; $A21, US_national_yearly!$D:$AM, MATCH(AB$1, US_national_yearly!$D$1:$AM$1, 0), FALSE) / VLOOKUP(Substitution!$M$7 &amp; $A21, US_national_yearly!$D:$AM, MATCH(Keys!$C$7, US_national_yearly!$D$1:$AM$1, 0), FALSE), 1)</f>
        <v>4.2824878718328002E-5</v>
      </c>
    </row>
    <row r="22" spans="1:28" x14ac:dyDescent="0.25">
      <c r="A22" s="4" t="s">
        <v>331</v>
      </c>
      <c r="B22" s="12">
        <f>IFERROR(VLOOKUP(Substitution!$M$7 &amp; $A22, US_national_yearly!$D:$AM, MATCH(Keys!$C$7, US_national_yearly!$D$1:$AM$1, 0), FALSE), 0)</f>
        <v>7.4153794408693342E-4</v>
      </c>
      <c r="C22" s="12">
        <f>$B22 * IFERROR(VLOOKUP(Substitution!$M$7 &amp; $A22, US_national_yearly!$D:$AM, MATCH(C$1, US_national_yearly!$D$1:$AM$1, 0), FALSE) / VLOOKUP(Substitution!$M$7 &amp; $A22, US_national_yearly!$D:$AM, MATCH(Keys!$C$7, US_national_yearly!$D$1:$AM$1, 0), FALSE), 1)</f>
        <v>7.5526880531834567E-4</v>
      </c>
      <c r="D22" s="12">
        <f>$B22 * IFERROR(VLOOKUP(Substitution!$M$7 &amp; $A22, US_national_yearly!$D:$AM, MATCH(D$1, US_national_yearly!$D$1:$AM$1, 0), FALSE) / VLOOKUP(Substitution!$M$7 &amp; $A22, US_national_yearly!$D:$AM, MATCH(Keys!$C$7, US_national_yearly!$D$1:$AM$1, 0), FALSE), 1)</f>
        <v>7.6899966654975812E-4</v>
      </c>
      <c r="E22" s="12">
        <f>$B22 * IFERROR(VLOOKUP(Substitution!$M$7 &amp; $A22, US_national_yearly!$D:$AM, MATCH(E$1, US_national_yearly!$D$1:$AM$1, 0), FALSE) / VLOOKUP(Substitution!$M$7 &amp; $A22, US_national_yearly!$D:$AM, MATCH(Keys!$C$7, US_national_yearly!$D$1:$AM$1, 0), FALSE), 1)</f>
        <v>7.8273052778117058E-4</v>
      </c>
      <c r="F22" s="12">
        <f>$B22 * IFERROR(VLOOKUP(Substitution!$M$7 &amp; $A22, US_national_yearly!$D:$AM, MATCH(F$1, US_national_yearly!$D$1:$AM$1, 0), FALSE) / VLOOKUP(Substitution!$M$7 &amp; $A22, US_national_yearly!$D:$AM, MATCH(Keys!$C$7, US_national_yearly!$D$1:$AM$1, 0), FALSE), 1)</f>
        <v>7.9646138901258304E-4</v>
      </c>
      <c r="G22" s="12">
        <f>$B22 * IFERROR(VLOOKUP(Substitution!$M$7 &amp; $A22, US_national_yearly!$D:$AM, MATCH(G$1, US_national_yearly!$D$1:$AM$1, 0), FALSE) / VLOOKUP(Substitution!$M$7 &amp; $A22, US_national_yearly!$D:$AM, MATCH(Keys!$C$7, US_national_yearly!$D$1:$AM$1, 0), FALSE), 1)</f>
        <v>8.0990135343731308E-4</v>
      </c>
      <c r="H22" s="12">
        <f>$B22 * IFERROR(VLOOKUP(Substitution!$M$7 &amp; $A22, US_national_yearly!$D:$AM, MATCH(H$1, US_national_yearly!$D$1:$AM$1, 0), FALSE) / VLOOKUP(Substitution!$M$7 &amp; $A22, US_national_yearly!$D:$AM, MATCH(Keys!$C$7, US_national_yearly!$D$1:$AM$1, 0), FALSE), 1)</f>
        <v>8.2334131786204301E-4</v>
      </c>
      <c r="I22" s="12">
        <f>$B22 * IFERROR(VLOOKUP(Substitution!$M$7 &amp; $A22, US_national_yearly!$D:$AM, MATCH(I$1, US_national_yearly!$D$1:$AM$1, 0), FALSE) / VLOOKUP(Substitution!$M$7 &amp; $A22, US_national_yearly!$D:$AM, MATCH(Keys!$C$7, US_national_yearly!$D$1:$AM$1, 0), FALSE), 1)</f>
        <v>8.3638752551711264E-4</v>
      </c>
      <c r="J22" s="12">
        <f>$B22 * IFERROR(VLOOKUP(Substitution!$M$7 &amp; $A22, US_national_yearly!$D:$AM, MATCH(J$1, US_national_yearly!$D$1:$AM$1, 0), FALSE) / VLOOKUP(Substitution!$M$7 &amp; $A22, US_national_yearly!$D:$AM, MATCH(Keys!$C$7, US_national_yearly!$D$1:$AM$1, 0), FALSE), 1)</f>
        <v>8.4943373317218217E-4</v>
      </c>
      <c r="K22" s="12">
        <f>$B22 * IFERROR(VLOOKUP(Substitution!$M$7 &amp; $A22, US_national_yearly!$D:$AM, MATCH(K$1, US_national_yearly!$D$1:$AM$1, 0), FALSE) / VLOOKUP(Substitution!$M$7 &amp; $A22, US_national_yearly!$D:$AM, MATCH(Keys!$C$7, US_national_yearly!$D$1:$AM$1, 0), FALSE), 1)</f>
        <v>8.6247994082725181E-4</v>
      </c>
      <c r="L22" s="12">
        <f>$B22 * IFERROR(VLOOKUP(Substitution!$M$7 &amp; $A22, US_national_yearly!$D:$AM, MATCH(L$1, US_national_yearly!$D$1:$AM$1, 0), FALSE) / VLOOKUP(Substitution!$M$7 &amp; $A22, US_national_yearly!$D:$AM, MATCH(Keys!$C$7, US_national_yearly!$D$1:$AM$1, 0), FALSE), 1)</f>
        <v>8.7552614848232144E-4</v>
      </c>
      <c r="M22" s="12">
        <f>$B22 * IFERROR(VLOOKUP(Substitution!$M$7 &amp; $A22, US_national_yearly!$D:$AM, MATCH(M$1, US_national_yearly!$D$1:$AM$1, 0), FALSE) / VLOOKUP(Substitution!$M$7 &amp; $A22, US_national_yearly!$D:$AM, MATCH(Keys!$C$7, US_national_yearly!$D$1:$AM$1, 0), FALSE), 1)</f>
        <v>8.8857235613739086E-4</v>
      </c>
      <c r="N22" s="12">
        <f>$B22 * IFERROR(VLOOKUP(Substitution!$M$7 &amp; $A22, US_national_yearly!$D:$AM, MATCH(N$1, US_national_yearly!$D$1:$AM$1, 0), FALSE) / VLOOKUP(Substitution!$M$7 &amp; $A22, US_national_yearly!$D:$AM, MATCH(Keys!$C$7, US_national_yearly!$D$1:$AM$1, 0), FALSE), 1)</f>
        <v>8.9911555761807685E-4</v>
      </c>
      <c r="O22" s="12">
        <f>$B22 * IFERROR(VLOOKUP(Substitution!$M$7 &amp; $A22, US_national_yearly!$D:$AM, MATCH(O$1, US_national_yearly!$D$1:$AM$1, 0), FALSE) / VLOOKUP(Substitution!$M$7 &amp; $A22, US_national_yearly!$D:$AM, MATCH(Keys!$C$7, US_national_yearly!$D$1:$AM$1, 0), FALSE), 1)</f>
        <v>9.0965875909876262E-4</v>
      </c>
      <c r="P22" s="12">
        <f>$B22 * IFERROR(VLOOKUP(Substitution!$M$7 &amp; $A22, US_national_yearly!$D:$AM, MATCH(P$1, US_national_yearly!$D$1:$AM$1, 0), FALSE) / VLOOKUP(Substitution!$M$7 &amp; $A22, US_national_yearly!$D:$AM, MATCH(Keys!$C$7, US_national_yearly!$D$1:$AM$1, 0), FALSE), 1)</f>
        <v>9.2020196057944828E-4</v>
      </c>
      <c r="Q22" s="12">
        <f>$B22 * IFERROR(VLOOKUP(Substitution!$M$7 &amp; $A22, US_national_yearly!$D:$AM, MATCH(Q$1, US_national_yearly!$D$1:$AM$1, 0), FALSE) / VLOOKUP(Substitution!$M$7 &amp; $A22, US_national_yearly!$D:$AM, MATCH(Keys!$C$7, US_national_yearly!$D$1:$AM$1, 0), FALSE), 1)</f>
        <v>9.3074516206013427E-4</v>
      </c>
      <c r="R22" s="12">
        <f>$B22 * IFERROR(VLOOKUP(Substitution!$M$7 &amp; $A22, US_national_yearly!$D:$AM, MATCH(R$1, US_national_yearly!$D$1:$AM$1, 0), FALSE) / VLOOKUP(Substitution!$M$7 &amp; $A22, US_national_yearly!$D:$AM, MATCH(Keys!$C$7, US_national_yearly!$D$1:$AM$1, 0), FALSE), 1)</f>
        <v>9.4128836354082004E-4</v>
      </c>
      <c r="S22" s="12">
        <f>$B22 * IFERROR(VLOOKUP(Substitution!$M$7 &amp; $A22, US_national_yearly!$D:$AM, MATCH(S$1, US_national_yearly!$D$1:$AM$1, 0), FALSE) / VLOOKUP(Substitution!$M$7 &amp; $A22, US_national_yearly!$D:$AM, MATCH(Keys!$C$7, US_national_yearly!$D$1:$AM$1, 0), FALSE), 1)</f>
        <v>9.4864200951294E-4</v>
      </c>
      <c r="T22" s="12">
        <f>$B22 * IFERROR(VLOOKUP(Substitution!$M$7 &amp; $A22, US_national_yearly!$D:$AM, MATCH(T$1, US_national_yearly!$D$1:$AM$1, 0), FALSE) / VLOOKUP(Substitution!$M$7 &amp; $A22, US_national_yearly!$D:$AM, MATCH(Keys!$C$7, US_national_yearly!$D$1:$AM$1, 0), FALSE), 1)</f>
        <v>9.5599565548505996E-4</v>
      </c>
      <c r="U22" s="12">
        <f>$B22 * IFERROR(VLOOKUP(Substitution!$M$7 &amp; $A22, US_national_yearly!$D:$AM, MATCH(U$1, US_national_yearly!$D$1:$AM$1, 0), FALSE) / VLOOKUP(Substitution!$M$7 &amp; $A22, US_national_yearly!$D:$AM, MATCH(Keys!$C$7, US_national_yearly!$D$1:$AM$1, 0), FALSE), 1)</f>
        <v>9.6334930145718003E-4</v>
      </c>
      <c r="V22" s="12">
        <f>$B22 * IFERROR(VLOOKUP(Substitution!$M$7 &amp; $A22, US_national_yearly!$D:$AM, MATCH(V$1, US_national_yearly!$D$1:$AM$1, 0), FALSE) / VLOOKUP(Substitution!$M$7 &amp; $A22, US_national_yearly!$D:$AM, MATCH(Keys!$C$7, US_national_yearly!$D$1:$AM$1, 0), FALSE), 1)</f>
        <v>9.7070294742929999E-4</v>
      </c>
      <c r="W22" s="12">
        <f>$B22 * IFERROR(VLOOKUP(Substitution!$M$7 &amp; $A22, US_national_yearly!$D:$AM, MATCH(W$1, US_national_yearly!$D$1:$AM$1, 0), FALSE) / VLOOKUP(Substitution!$M$7 &amp; $A22, US_national_yearly!$D:$AM, MATCH(Keys!$C$7, US_national_yearly!$D$1:$AM$1, 0), FALSE), 1)</f>
        <v>9.7805659340141995E-4</v>
      </c>
      <c r="X22" s="12">
        <f>$B22 * IFERROR(VLOOKUP(Substitution!$M$7 &amp; $A22, US_national_yearly!$D:$AM, MATCH(X$1, US_national_yearly!$D$1:$AM$1, 0), FALSE) / VLOOKUP(Substitution!$M$7 &amp; $A22, US_national_yearly!$D:$AM, MATCH(Keys!$C$7, US_national_yearly!$D$1:$AM$1, 0), FALSE), 1)</f>
        <v>9.8360896390043795E-4</v>
      </c>
      <c r="Y22" s="12">
        <f>$B22 * IFERROR(VLOOKUP(Substitution!$M$7 &amp; $A22, US_national_yearly!$D:$AM, MATCH(Y$1, US_national_yearly!$D$1:$AM$1, 0), FALSE) / VLOOKUP(Substitution!$M$7 &amp; $A22, US_national_yearly!$D:$AM, MATCH(Keys!$C$7, US_national_yearly!$D$1:$AM$1, 0), FALSE), 1)</f>
        <v>9.8916133439945595E-4</v>
      </c>
      <c r="Z22" s="12">
        <f>$B22 * IFERROR(VLOOKUP(Substitution!$M$7 &amp; $A22, US_national_yearly!$D:$AM, MATCH(Z$1, US_national_yearly!$D$1:$AM$1, 0), FALSE) / VLOOKUP(Substitution!$M$7 &amp; $A22, US_national_yearly!$D:$AM, MATCH(Keys!$C$7, US_national_yearly!$D$1:$AM$1, 0), FALSE), 1)</f>
        <v>9.9471370489847394E-4</v>
      </c>
      <c r="AA22" s="12">
        <f>$B22 * IFERROR(VLOOKUP(Substitution!$M$7 &amp; $A22, US_national_yearly!$D:$AM, MATCH(AA$1, US_national_yearly!$D$1:$AM$1, 0), FALSE) / VLOOKUP(Substitution!$M$7 &amp; $A22, US_national_yearly!$D:$AM, MATCH(Keys!$C$7, US_national_yearly!$D$1:$AM$1, 0), FALSE), 1)</f>
        <v>1.0002660753974919E-3</v>
      </c>
      <c r="AB22" s="12">
        <f>$B22 * IFERROR(VLOOKUP(Substitution!$M$7 &amp; $A22, US_national_yearly!$D:$AM, MATCH(AB$1, US_national_yearly!$D$1:$AM$1, 0), FALSE) / VLOOKUP(Substitution!$M$7 &amp; $A22, US_national_yearly!$D:$AM, MATCH(Keys!$C$7, US_national_yearly!$D$1:$AM$1, 0), FALSE), 1)</f>
        <v>1.0058184458965099E-3</v>
      </c>
    </row>
    <row r="23" spans="1:28" x14ac:dyDescent="0.25">
      <c r="A23" s="4" t="s">
        <v>333</v>
      </c>
      <c r="B23" s="12">
        <f>IFERROR(VLOOKUP(Substitution!$M$7 &amp; $A23, US_national_yearly!$D:$AM, MATCH(Keys!$C$7, US_national_yearly!$D$1:$AM$1, 0), FALSE), 0)</f>
        <v>0</v>
      </c>
      <c r="C23" s="12">
        <f>$B23 * IFERROR(VLOOKUP(Substitution!$M$7 &amp; $A23, US_national_yearly!$D:$AM, MATCH(C$1, US_national_yearly!$D$1:$AM$1, 0), FALSE) / VLOOKUP(Substitution!$M$7 &amp; $A23, US_national_yearly!$D:$AM, MATCH(Keys!$C$7, US_national_yearly!$D$1:$AM$1, 0), FALSE), 1)</f>
        <v>0</v>
      </c>
      <c r="D23" s="12">
        <f>$B23 * IFERROR(VLOOKUP(Substitution!$M$7 &amp; $A23, US_national_yearly!$D:$AM, MATCH(D$1, US_national_yearly!$D$1:$AM$1, 0), FALSE) / VLOOKUP(Substitution!$M$7 &amp; $A23, US_national_yearly!$D:$AM, MATCH(Keys!$C$7, US_national_yearly!$D$1:$AM$1, 0), FALSE), 1)</f>
        <v>0</v>
      </c>
      <c r="E23" s="12">
        <f>$B23 * IFERROR(VLOOKUP(Substitution!$M$7 &amp; $A23, US_national_yearly!$D:$AM, MATCH(E$1, US_national_yearly!$D$1:$AM$1, 0), FALSE) / VLOOKUP(Substitution!$M$7 &amp; $A23, US_national_yearly!$D:$AM, MATCH(Keys!$C$7, US_national_yearly!$D$1:$AM$1, 0), FALSE), 1)</f>
        <v>0</v>
      </c>
      <c r="F23" s="12">
        <f>$B23 * IFERROR(VLOOKUP(Substitution!$M$7 &amp; $A23, US_national_yearly!$D:$AM, MATCH(F$1, US_national_yearly!$D$1:$AM$1, 0), FALSE) / VLOOKUP(Substitution!$M$7 &amp; $A23, US_national_yearly!$D:$AM, MATCH(Keys!$C$7, US_national_yearly!$D$1:$AM$1, 0), FALSE), 1)</f>
        <v>0</v>
      </c>
      <c r="G23" s="12">
        <f>$B23 * IFERROR(VLOOKUP(Substitution!$M$7 &amp; $A23, US_national_yearly!$D:$AM, MATCH(G$1, US_national_yearly!$D$1:$AM$1, 0), FALSE) / VLOOKUP(Substitution!$M$7 &amp; $A23, US_national_yearly!$D:$AM, MATCH(Keys!$C$7, US_national_yearly!$D$1:$AM$1, 0), FALSE), 1)</f>
        <v>0</v>
      </c>
      <c r="H23" s="12">
        <f>$B23 * IFERROR(VLOOKUP(Substitution!$M$7 &amp; $A23, US_national_yearly!$D:$AM, MATCH(H$1, US_national_yearly!$D$1:$AM$1, 0), FALSE) / VLOOKUP(Substitution!$M$7 &amp; $A23, US_national_yearly!$D:$AM, MATCH(Keys!$C$7, US_national_yearly!$D$1:$AM$1, 0), FALSE), 1)</f>
        <v>0</v>
      </c>
      <c r="I23" s="12">
        <f>$B23 * IFERROR(VLOOKUP(Substitution!$M$7 &amp; $A23, US_national_yearly!$D:$AM, MATCH(I$1, US_national_yearly!$D$1:$AM$1, 0), FALSE) / VLOOKUP(Substitution!$M$7 &amp; $A23, US_national_yearly!$D:$AM, MATCH(Keys!$C$7, US_national_yearly!$D$1:$AM$1, 0), FALSE), 1)</f>
        <v>0</v>
      </c>
      <c r="J23" s="12">
        <f>$B23 * IFERROR(VLOOKUP(Substitution!$M$7 &amp; $A23, US_national_yearly!$D:$AM, MATCH(J$1, US_national_yearly!$D$1:$AM$1, 0), FALSE) / VLOOKUP(Substitution!$M$7 &amp; $A23, US_national_yearly!$D:$AM, MATCH(Keys!$C$7, US_national_yearly!$D$1:$AM$1, 0), FALSE), 1)</f>
        <v>0</v>
      </c>
      <c r="K23" s="12">
        <f>$B23 * IFERROR(VLOOKUP(Substitution!$M$7 &amp; $A23, US_national_yearly!$D:$AM, MATCH(K$1, US_national_yearly!$D$1:$AM$1, 0), FALSE) / VLOOKUP(Substitution!$M$7 &amp; $A23, US_national_yearly!$D:$AM, MATCH(Keys!$C$7, US_national_yearly!$D$1:$AM$1, 0), FALSE), 1)</f>
        <v>0</v>
      </c>
      <c r="L23" s="12">
        <f>$B23 * IFERROR(VLOOKUP(Substitution!$M$7 &amp; $A23, US_national_yearly!$D:$AM, MATCH(L$1, US_national_yearly!$D$1:$AM$1, 0), FALSE) / VLOOKUP(Substitution!$M$7 &amp; $A23, US_national_yearly!$D:$AM, MATCH(Keys!$C$7, US_national_yearly!$D$1:$AM$1, 0), FALSE), 1)</f>
        <v>0</v>
      </c>
      <c r="M23" s="12">
        <f>$B23 * IFERROR(VLOOKUP(Substitution!$M$7 &amp; $A23, US_national_yearly!$D:$AM, MATCH(M$1, US_national_yearly!$D$1:$AM$1, 0), FALSE) / VLOOKUP(Substitution!$M$7 &amp; $A23, US_national_yearly!$D:$AM, MATCH(Keys!$C$7, US_national_yearly!$D$1:$AM$1, 0), FALSE), 1)</f>
        <v>0</v>
      </c>
      <c r="N23" s="12">
        <f>$B23 * IFERROR(VLOOKUP(Substitution!$M$7 &amp; $A23, US_national_yearly!$D:$AM, MATCH(N$1, US_national_yearly!$D$1:$AM$1, 0), FALSE) / VLOOKUP(Substitution!$M$7 &amp; $A23, US_national_yearly!$D:$AM, MATCH(Keys!$C$7, US_national_yearly!$D$1:$AM$1, 0), FALSE), 1)</f>
        <v>0</v>
      </c>
      <c r="O23" s="12">
        <f>$B23 * IFERROR(VLOOKUP(Substitution!$M$7 &amp; $A23, US_national_yearly!$D:$AM, MATCH(O$1, US_national_yearly!$D$1:$AM$1, 0), FALSE) / VLOOKUP(Substitution!$M$7 &amp; $A23, US_national_yearly!$D:$AM, MATCH(Keys!$C$7, US_national_yearly!$D$1:$AM$1, 0), FALSE), 1)</f>
        <v>0</v>
      </c>
      <c r="P23" s="12">
        <f>$B23 * IFERROR(VLOOKUP(Substitution!$M$7 &amp; $A23, US_national_yearly!$D:$AM, MATCH(P$1, US_national_yearly!$D$1:$AM$1, 0), FALSE) / VLOOKUP(Substitution!$M$7 &amp; $A23, US_national_yearly!$D:$AM, MATCH(Keys!$C$7, US_national_yearly!$D$1:$AM$1, 0), FALSE), 1)</f>
        <v>0</v>
      </c>
      <c r="Q23" s="12">
        <f>$B23 * IFERROR(VLOOKUP(Substitution!$M$7 &amp; $A23, US_national_yearly!$D:$AM, MATCH(Q$1, US_national_yearly!$D$1:$AM$1, 0), FALSE) / VLOOKUP(Substitution!$M$7 &amp; $A23, US_national_yearly!$D:$AM, MATCH(Keys!$C$7, US_national_yearly!$D$1:$AM$1, 0), FALSE), 1)</f>
        <v>0</v>
      </c>
      <c r="R23" s="12">
        <f>$B23 * IFERROR(VLOOKUP(Substitution!$M$7 &amp; $A23, US_national_yearly!$D:$AM, MATCH(R$1, US_national_yearly!$D$1:$AM$1, 0), FALSE) / VLOOKUP(Substitution!$M$7 &amp; $A23, US_national_yearly!$D:$AM, MATCH(Keys!$C$7, US_national_yearly!$D$1:$AM$1, 0), FALSE), 1)</f>
        <v>0</v>
      </c>
      <c r="S23" s="12">
        <f>$B23 * IFERROR(VLOOKUP(Substitution!$M$7 &amp; $A23, US_national_yearly!$D:$AM, MATCH(S$1, US_national_yearly!$D$1:$AM$1, 0), FALSE) / VLOOKUP(Substitution!$M$7 &amp; $A23, US_national_yearly!$D:$AM, MATCH(Keys!$C$7, US_national_yearly!$D$1:$AM$1, 0), FALSE), 1)</f>
        <v>0</v>
      </c>
      <c r="T23" s="12">
        <f>$B23 * IFERROR(VLOOKUP(Substitution!$M$7 &amp; $A23, US_national_yearly!$D:$AM, MATCH(T$1, US_national_yearly!$D$1:$AM$1, 0), FALSE) / VLOOKUP(Substitution!$M$7 &amp; $A23, US_national_yearly!$D:$AM, MATCH(Keys!$C$7, US_national_yearly!$D$1:$AM$1, 0), FALSE), 1)</f>
        <v>0</v>
      </c>
      <c r="U23" s="12">
        <f>$B23 * IFERROR(VLOOKUP(Substitution!$M$7 &amp; $A23, US_national_yearly!$D:$AM, MATCH(U$1, US_national_yearly!$D$1:$AM$1, 0), FALSE) / VLOOKUP(Substitution!$M$7 &amp; $A23, US_national_yearly!$D:$AM, MATCH(Keys!$C$7, US_national_yearly!$D$1:$AM$1, 0), FALSE), 1)</f>
        <v>0</v>
      </c>
      <c r="V23" s="12">
        <f>$B23 * IFERROR(VLOOKUP(Substitution!$M$7 &amp; $A23, US_national_yearly!$D:$AM, MATCH(V$1, US_national_yearly!$D$1:$AM$1, 0), FALSE) / VLOOKUP(Substitution!$M$7 &amp; $A23, US_national_yearly!$D:$AM, MATCH(Keys!$C$7, US_national_yearly!$D$1:$AM$1, 0), FALSE), 1)</f>
        <v>0</v>
      </c>
      <c r="W23" s="12">
        <f>$B23 * IFERROR(VLOOKUP(Substitution!$M$7 &amp; $A23, US_national_yearly!$D:$AM, MATCH(W$1, US_national_yearly!$D$1:$AM$1, 0), FALSE) / VLOOKUP(Substitution!$M$7 &amp; $A23, US_national_yearly!$D:$AM, MATCH(Keys!$C$7, US_national_yearly!$D$1:$AM$1, 0), FALSE), 1)</f>
        <v>0</v>
      </c>
      <c r="X23" s="12">
        <f>$B23 * IFERROR(VLOOKUP(Substitution!$M$7 &amp; $A23, US_national_yearly!$D:$AM, MATCH(X$1, US_national_yearly!$D$1:$AM$1, 0), FALSE) / VLOOKUP(Substitution!$M$7 &amp; $A23, US_national_yearly!$D:$AM, MATCH(Keys!$C$7, US_national_yearly!$D$1:$AM$1, 0), FALSE), 1)</f>
        <v>0</v>
      </c>
      <c r="Y23" s="12">
        <f>$B23 * IFERROR(VLOOKUP(Substitution!$M$7 &amp; $A23, US_national_yearly!$D:$AM, MATCH(Y$1, US_national_yearly!$D$1:$AM$1, 0), FALSE) / VLOOKUP(Substitution!$M$7 &amp; $A23, US_national_yearly!$D:$AM, MATCH(Keys!$C$7, US_national_yearly!$D$1:$AM$1, 0), FALSE), 1)</f>
        <v>0</v>
      </c>
      <c r="Z23" s="12">
        <f>$B23 * IFERROR(VLOOKUP(Substitution!$M$7 &amp; $A23, US_national_yearly!$D:$AM, MATCH(Z$1, US_national_yearly!$D$1:$AM$1, 0), FALSE) / VLOOKUP(Substitution!$M$7 &amp; $A23, US_national_yearly!$D:$AM, MATCH(Keys!$C$7, US_national_yearly!$D$1:$AM$1, 0), FALSE), 1)</f>
        <v>0</v>
      </c>
      <c r="AA23" s="12">
        <f>$B23 * IFERROR(VLOOKUP(Substitution!$M$7 &amp; $A23, US_national_yearly!$D:$AM, MATCH(AA$1, US_national_yearly!$D$1:$AM$1, 0), FALSE) / VLOOKUP(Substitution!$M$7 &amp; $A23, US_national_yearly!$D:$AM, MATCH(Keys!$C$7, US_national_yearly!$D$1:$AM$1, 0), FALSE), 1)</f>
        <v>0</v>
      </c>
      <c r="AB23" s="12">
        <f>$B23 * IFERROR(VLOOKUP(Substitution!$M$7 &amp; $A23, US_national_yearly!$D:$AM, MATCH(AB$1, US_national_yearly!$D$1:$AM$1, 0), FALSE) / VLOOKUP(Substitution!$M$7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Substitution!$G$8)/IFERROR(SUMIFS(COBRA_aggregated!$U:$U, COBRA_aggregated!$A:$A, About!$B$1, COBRA_aggregated!$B:$B, Substitution!$G$8), 1)</f>
        <v>1.8578796885388427E-2</v>
      </c>
      <c r="C2" s="12">
        <f>$B2 * IFERROR(VLOOKUP(Substitution!$M$8 &amp; $A2, US_national_yearly!$D:$AM, MATCH(C$1, US_national_yearly!$D$1:$AM$1, 0), FALSE) / VLOOKUP(Substitution!$M$8 &amp; $A2, US_national_yearly!$D:$AM, MATCH(Keys!$C$7, US_national_yearly!$D$1:$AM$1, 0), FALSE), 1)</f>
        <v>1.8808918280492717E-2</v>
      </c>
      <c r="D2" s="12">
        <f>$B2 * IFERROR(VLOOKUP(Substitution!$M$8 &amp; $A2, US_national_yearly!$D:$AM, MATCH(D$1, US_national_yearly!$D$1:$AM$1, 0), FALSE) / VLOOKUP(Substitution!$M$8 &amp; $A2, US_national_yearly!$D:$AM, MATCH(Keys!$C$7, US_national_yearly!$D$1:$AM$1, 0), FALSE), 1)</f>
        <v>1.9039039675597003E-2</v>
      </c>
      <c r="E2" s="12">
        <f>$B2 * IFERROR(VLOOKUP(Substitution!$M$8 &amp; $A2, US_national_yearly!$D:$AM, MATCH(E$1, US_national_yearly!$D$1:$AM$1, 0), FALSE) / VLOOKUP(Substitution!$M$8 &amp; $A2, US_national_yearly!$D:$AM, MATCH(Keys!$C$7, US_national_yearly!$D$1:$AM$1, 0), FALSE), 1)</f>
        <v>1.9269161070701292E-2</v>
      </c>
      <c r="F2" s="12">
        <f>$B2 * IFERROR(VLOOKUP(Substitution!$M$8 &amp; $A2, US_national_yearly!$D:$AM, MATCH(F$1, US_national_yearly!$D$1:$AM$1, 0), FALSE) / VLOOKUP(Substitution!$M$8 &amp; $A2, US_national_yearly!$D:$AM, MATCH(Keys!$C$7, US_national_yearly!$D$1:$AM$1, 0), FALSE), 1)</f>
        <v>1.9499282465805585E-2</v>
      </c>
      <c r="G2" s="12">
        <f>$B2 * IFERROR(VLOOKUP(Substitution!$M$8 &amp; $A2, US_national_yearly!$D:$AM, MATCH(G$1, US_national_yearly!$D$1:$AM$1, 0), FALSE) / VLOOKUP(Substitution!$M$8 &amp; $A2, US_national_yearly!$D:$AM, MATCH(Keys!$C$7, US_national_yearly!$D$1:$AM$1, 0), FALSE), 1)</f>
        <v>1.9951253124031662E-2</v>
      </c>
      <c r="H2" s="12">
        <f>$B2 * IFERROR(VLOOKUP(Substitution!$M$8 &amp; $A2, US_national_yearly!$D:$AM, MATCH(H$1, US_national_yearly!$D$1:$AM$1, 0), FALSE) / VLOOKUP(Substitution!$M$8 &amp; $A2, US_national_yearly!$D:$AM, MATCH(Keys!$C$7, US_national_yearly!$D$1:$AM$1, 0), FALSE), 1)</f>
        <v>2.0403223782257743E-2</v>
      </c>
      <c r="I2" s="12">
        <f>$B2 * IFERROR(VLOOKUP(Substitution!$M$8 &amp; $A2, US_national_yearly!$D:$AM, MATCH(I$1, US_national_yearly!$D$1:$AM$1, 0), FALSE) / VLOOKUP(Substitution!$M$8 &amp; $A2, US_national_yearly!$D:$AM, MATCH(Keys!$C$7, US_national_yearly!$D$1:$AM$1, 0), FALSE), 1)</f>
        <v>2.0706906706727098E-2</v>
      </c>
      <c r="J2" s="12">
        <f>$B2 * IFERROR(VLOOKUP(Substitution!$M$8 &amp; $A2, US_national_yearly!$D:$AM, MATCH(J$1, US_national_yearly!$D$1:$AM$1, 0), FALSE) / VLOOKUP(Substitution!$M$8 &amp; $A2, US_national_yearly!$D:$AM, MATCH(Keys!$C$7, US_national_yearly!$D$1:$AM$1, 0), FALSE), 1)</f>
        <v>2.1010589631196452E-2</v>
      </c>
      <c r="K2" s="12">
        <f>$B2 * IFERROR(VLOOKUP(Substitution!$M$8 &amp; $A2, US_national_yearly!$D:$AM, MATCH(K$1, US_national_yearly!$D$1:$AM$1, 0), FALSE) / VLOOKUP(Substitution!$M$8 &amp; $A2, US_national_yearly!$D:$AM, MATCH(Keys!$C$7, US_national_yearly!$D$1:$AM$1, 0), FALSE), 1)</f>
        <v>2.1314272555665807E-2</v>
      </c>
      <c r="L2" s="12">
        <f>$B2 * IFERROR(VLOOKUP(Substitution!$M$8 &amp; $A2, US_national_yearly!$D:$AM, MATCH(L$1, US_national_yearly!$D$1:$AM$1, 0), FALSE) / VLOOKUP(Substitution!$M$8 &amp; $A2, US_national_yearly!$D:$AM, MATCH(Keys!$C$7, US_national_yearly!$D$1:$AM$1, 0), FALSE), 1)</f>
        <v>2.1617955480135162E-2</v>
      </c>
      <c r="M2" s="12">
        <f>$B2 * IFERROR(VLOOKUP(Substitution!$M$8 &amp; $A2, US_national_yearly!$D:$AM, MATCH(M$1, US_national_yearly!$D$1:$AM$1, 0), FALSE) / VLOOKUP(Substitution!$M$8 &amp; $A2, US_national_yearly!$D:$AM, MATCH(Keys!$C$7, US_national_yearly!$D$1:$AM$1, 0), FALSE), 1)</f>
        <v>2.1921638404604513E-2</v>
      </c>
      <c r="N2" s="12">
        <f>$B2 * IFERROR(VLOOKUP(Substitution!$M$8 &amp; $A2, US_national_yearly!$D:$AM, MATCH(N$1, US_national_yearly!$D$1:$AM$1, 0), FALSE) / VLOOKUP(Substitution!$M$8 &amp; $A2, US_national_yearly!$D:$AM, MATCH(Keys!$C$7, US_national_yearly!$D$1:$AM$1, 0), FALSE), 1)</f>
        <v>2.2163708077324606E-2</v>
      </c>
      <c r="O2" s="12">
        <f>$B2 * IFERROR(VLOOKUP(Substitution!$M$8 &amp; $A2, US_national_yearly!$D:$AM, MATCH(O$1, US_national_yearly!$D$1:$AM$1, 0), FALSE) / VLOOKUP(Substitution!$M$8 &amp; $A2, US_national_yearly!$D:$AM, MATCH(Keys!$C$7, US_national_yearly!$D$1:$AM$1, 0), FALSE), 1)</f>
        <v>2.2405777750044695E-2</v>
      </c>
      <c r="P2" s="12">
        <f>$B2 * IFERROR(VLOOKUP(Substitution!$M$8 &amp; $A2, US_national_yearly!$D:$AM, MATCH(P$1, US_national_yearly!$D$1:$AM$1, 0), FALSE) / VLOOKUP(Substitution!$M$8 &amp; $A2, US_national_yearly!$D:$AM, MATCH(Keys!$C$7, US_national_yearly!$D$1:$AM$1, 0), FALSE), 1)</f>
        <v>2.2647847422764784E-2</v>
      </c>
      <c r="Q2" s="12">
        <f>$B2 * IFERROR(VLOOKUP(Substitution!$M$8 &amp; $A2, US_national_yearly!$D:$AM, MATCH(Q$1, US_national_yearly!$D$1:$AM$1, 0), FALSE) / VLOOKUP(Substitution!$M$8 &amp; $A2, US_national_yearly!$D:$AM, MATCH(Keys!$C$7, US_national_yearly!$D$1:$AM$1, 0), FALSE), 1)</f>
        <v>2.2889917095484873E-2</v>
      </c>
      <c r="R2" s="12">
        <f>$B2 * IFERROR(VLOOKUP(Substitution!$M$8 &amp; $A2, US_national_yearly!$D:$AM, MATCH(R$1, US_national_yearly!$D$1:$AM$1, 0), FALSE) / VLOOKUP(Substitution!$M$8 &amp; $A2, US_national_yearly!$D:$AM, MATCH(Keys!$C$7, US_national_yearly!$D$1:$AM$1, 0), FALSE), 1)</f>
        <v>2.3131986768204965E-2</v>
      </c>
      <c r="S2" s="12">
        <f>$B2 * IFERROR(VLOOKUP(Substitution!$M$8 &amp; $A2, US_national_yearly!$D:$AM, MATCH(S$1, US_national_yearly!$D$1:$AM$1, 0), FALSE) / VLOOKUP(Substitution!$M$8 &amp; $A2, US_national_yearly!$D:$AM, MATCH(Keys!$C$7, US_national_yearly!$D$1:$AM$1, 0), FALSE), 1)</f>
        <v>2.3270500332367879E-2</v>
      </c>
      <c r="T2" s="12">
        <f>$B2 * IFERROR(VLOOKUP(Substitution!$M$8 &amp; $A2, US_national_yearly!$D:$AM, MATCH(T$1, US_national_yearly!$D$1:$AM$1, 0), FALSE) / VLOOKUP(Substitution!$M$8 &amp; $A2, US_national_yearly!$D:$AM, MATCH(Keys!$C$7, US_national_yearly!$D$1:$AM$1, 0), FALSE), 1)</f>
        <v>2.3409013896530793E-2</v>
      </c>
      <c r="U2" s="12">
        <f>$B2 * IFERROR(VLOOKUP(Substitution!$M$8 &amp; $A2, US_national_yearly!$D:$AM, MATCH(U$1, US_national_yearly!$D$1:$AM$1, 0), FALSE) / VLOOKUP(Substitution!$M$8 &amp; $A2, US_national_yearly!$D:$AM, MATCH(Keys!$C$7, US_national_yearly!$D$1:$AM$1, 0), FALSE), 1)</f>
        <v>2.3547527460693714E-2</v>
      </c>
      <c r="V2" s="12">
        <f>$B2 * IFERROR(VLOOKUP(Substitution!$M$8 &amp; $A2, US_national_yearly!$D:$AM, MATCH(V$1, US_national_yearly!$D$1:$AM$1, 0), FALSE) / VLOOKUP(Substitution!$M$8 &amp; $A2, US_national_yearly!$D:$AM, MATCH(Keys!$C$7, US_national_yearly!$D$1:$AM$1, 0), FALSE), 1)</f>
        <v>2.3686041024856629E-2</v>
      </c>
      <c r="W2" s="12">
        <f>$B2 * IFERROR(VLOOKUP(Substitution!$M$8 &amp; $A2, US_national_yearly!$D:$AM, MATCH(W$1, US_national_yearly!$D$1:$AM$1, 0), FALSE) / VLOOKUP(Substitution!$M$8 &amp; $A2, US_national_yearly!$D:$AM, MATCH(Keys!$C$7, US_national_yearly!$D$1:$AM$1, 0), FALSE), 1)</f>
        <v>2.3824554589019543E-2</v>
      </c>
      <c r="X2" s="12">
        <f>$B2 * IFERROR(VLOOKUP(Substitution!$M$8 &amp; $A2, US_national_yearly!$D:$AM, MATCH(X$1, US_national_yearly!$D$1:$AM$1, 0), FALSE) / VLOOKUP(Substitution!$M$8 &amp; $A2, US_national_yearly!$D:$AM, MATCH(Keys!$C$7, US_national_yearly!$D$1:$AM$1, 0), FALSE), 1)</f>
        <v>2.3863032761571708E-2</v>
      </c>
      <c r="Y2" s="12">
        <f>$B2 * IFERROR(VLOOKUP(Substitution!$M$8 &amp; $A2, US_national_yearly!$D:$AM, MATCH(Y$1, US_national_yearly!$D$1:$AM$1, 0), FALSE) / VLOOKUP(Substitution!$M$8 &amp; $A2, US_national_yearly!$D:$AM, MATCH(Keys!$C$7, US_national_yearly!$D$1:$AM$1, 0), FALSE), 1)</f>
        <v>2.3901510934123873E-2</v>
      </c>
      <c r="Z2" s="12">
        <f>$B2 * IFERROR(VLOOKUP(Substitution!$M$8 &amp; $A2, US_national_yearly!$D:$AM, MATCH(Z$1, US_national_yearly!$D$1:$AM$1, 0), FALSE) / VLOOKUP(Substitution!$M$8 &amp; $A2, US_national_yearly!$D:$AM, MATCH(Keys!$C$7, US_national_yearly!$D$1:$AM$1, 0), FALSE), 1)</f>
        <v>2.3939989106676034E-2</v>
      </c>
      <c r="AA2" s="12">
        <f>$B2 * IFERROR(VLOOKUP(Substitution!$M$8 &amp; $A2, US_national_yearly!$D:$AM, MATCH(AA$1, US_national_yearly!$D$1:$AM$1, 0), FALSE) / VLOOKUP(Substitution!$M$8 &amp; $A2, US_national_yearly!$D:$AM, MATCH(Keys!$C$7, US_national_yearly!$D$1:$AM$1, 0), FALSE), 1)</f>
        <v>2.3978467279228203E-2</v>
      </c>
      <c r="AB2" s="12">
        <f>$B2 * IFERROR(VLOOKUP(Substitution!$M$8 &amp; $A2, US_national_yearly!$D:$AM, MATCH(AB$1, US_national_yearly!$D$1:$AM$1, 0), FALSE) / VLOOKUP(Substitution!$M$8 &amp; $A2, US_national_yearly!$D:$AM, MATCH(Keys!$C$7, US_national_yearly!$D$1:$AM$1, 0), FALSE), 1)</f>
        <v>2.4016945451780368E-2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Substitution!$G$8)/IFERROR(SUMIFS(COBRA_aggregated!$U:$U, COBRA_aggregated!$A:$A, About!$B$1, COBRA_aggregated!$B:$B, Substitution!$G$8), 1)</f>
        <v>3.5397603104301851E-5</v>
      </c>
      <c r="C3" s="12">
        <f>$B3 * IFERROR(VLOOKUP(Substitution!$M$8 &amp; $A3, US_national_yearly!$D:$AM, MATCH(C$1, US_national_yearly!$D$1:$AM$1, 0), FALSE) / VLOOKUP(Substitution!$M$8 &amp; $A3, US_national_yearly!$D:$AM, MATCH(Keys!$C$7, US_national_yearly!$D$1:$AM$1, 0), FALSE), 1)</f>
        <v>3.5089183877616776E-5</v>
      </c>
      <c r="D3" s="12">
        <f>$B3 * IFERROR(VLOOKUP(Substitution!$M$8 &amp; $A3, US_national_yearly!$D:$AM, MATCH(D$1, US_national_yearly!$D$1:$AM$1, 0), FALSE) / VLOOKUP(Substitution!$M$8 &amp; $A3, US_national_yearly!$D:$AM, MATCH(Keys!$C$7, US_national_yearly!$D$1:$AM$1, 0), FALSE), 1)</f>
        <v>3.4780764650931714E-5</v>
      </c>
      <c r="E3" s="12">
        <f>$B3 * IFERROR(VLOOKUP(Substitution!$M$8 &amp; $A3, US_national_yearly!$D:$AM, MATCH(E$1, US_national_yearly!$D$1:$AM$1, 0), FALSE) / VLOOKUP(Substitution!$M$8 &amp; $A3, US_national_yearly!$D:$AM, MATCH(Keys!$C$7, US_national_yearly!$D$1:$AM$1, 0), FALSE), 1)</f>
        <v>3.4472345424246638E-5</v>
      </c>
      <c r="F3" s="12">
        <f>$B3 * IFERROR(VLOOKUP(Substitution!$M$8 &amp; $A3, US_national_yearly!$D:$AM, MATCH(F$1, US_national_yearly!$D$1:$AM$1, 0), FALSE) / VLOOKUP(Substitution!$M$8 &amp; $A3, US_national_yearly!$D:$AM, MATCH(Keys!$C$7, US_national_yearly!$D$1:$AM$1, 0), FALSE), 1)</f>
        <v>3.4163926197561563E-5</v>
      </c>
      <c r="G3" s="12">
        <f>$B3 * IFERROR(VLOOKUP(Substitution!$M$8 &amp; $A3, US_national_yearly!$D:$AM, MATCH(G$1, US_national_yearly!$D$1:$AM$1, 0), FALSE) / VLOOKUP(Substitution!$M$8 &amp; $A3, US_national_yearly!$D:$AM, MATCH(Keys!$C$7, US_national_yearly!$D$1:$AM$1, 0), FALSE), 1)</f>
        <v>2.2656451018769652E-5</v>
      </c>
      <c r="H3" s="12">
        <f>$B3 * IFERROR(VLOOKUP(Substitution!$M$8 &amp; $A3, US_national_yearly!$D:$AM, MATCH(H$1, US_national_yearly!$D$1:$AM$1, 0), FALSE) / VLOOKUP(Substitution!$M$8 &amp; $A3, US_national_yearly!$D:$AM, MATCH(Keys!$C$7, US_national_yearly!$D$1:$AM$1, 0), FALSE), 1)</f>
        <v>1.1148975839977738E-5</v>
      </c>
      <c r="I3" s="12">
        <f>$B3 * IFERROR(VLOOKUP(Substitution!$M$8 &amp; $A3, US_national_yearly!$D:$AM, MATCH(I$1, US_national_yearly!$D$1:$AM$1, 0), FALSE) / VLOOKUP(Substitution!$M$8 &amp; $A3, US_national_yearly!$D:$AM, MATCH(Keys!$C$7, US_national_yearly!$D$1:$AM$1, 0), FALSE), 1)</f>
        <v>1.1070258961815444E-5</v>
      </c>
      <c r="J3" s="12">
        <f>$B3 * IFERROR(VLOOKUP(Substitution!$M$8 &amp; $A3, US_national_yearly!$D:$AM, MATCH(J$1, US_national_yearly!$D$1:$AM$1, 0), FALSE) / VLOOKUP(Substitution!$M$8 &amp; $A3, US_national_yearly!$D:$AM, MATCH(Keys!$C$7, US_national_yearly!$D$1:$AM$1, 0), FALSE), 1)</f>
        <v>1.0991542083653153E-5</v>
      </c>
      <c r="K3" s="12">
        <f>$B3 * IFERROR(VLOOKUP(Substitution!$M$8 &amp; $A3, US_national_yearly!$D:$AM, MATCH(K$1, US_national_yearly!$D$1:$AM$1, 0), FALSE) / VLOOKUP(Substitution!$M$8 &amp; $A3, US_national_yearly!$D:$AM, MATCH(Keys!$C$7, US_national_yearly!$D$1:$AM$1, 0), FALSE), 1)</f>
        <v>1.0912825205490857E-5</v>
      </c>
      <c r="L3" s="12">
        <f>$B3 * IFERROR(VLOOKUP(Substitution!$M$8 &amp; $A3, US_national_yearly!$D:$AM, MATCH(L$1, US_national_yearly!$D$1:$AM$1, 0), FALSE) / VLOOKUP(Substitution!$M$8 &amp; $A3, US_national_yearly!$D:$AM, MATCH(Keys!$C$7, US_national_yearly!$D$1:$AM$1, 0), FALSE), 1)</f>
        <v>1.0834108327328564E-5</v>
      </c>
      <c r="M3" s="12">
        <f>$B3 * IFERROR(VLOOKUP(Substitution!$M$8 &amp; $A3, US_national_yearly!$D:$AM, MATCH(M$1, US_national_yearly!$D$1:$AM$1, 0), FALSE) / VLOOKUP(Substitution!$M$8 &amp; $A3, US_national_yearly!$D:$AM, MATCH(Keys!$C$7, US_national_yearly!$D$1:$AM$1, 0), FALSE), 1)</f>
        <v>1.0755391449166272E-5</v>
      </c>
      <c r="N3" s="12">
        <f>$B3 * IFERROR(VLOOKUP(Substitution!$M$8 &amp; $A3, US_national_yearly!$D:$AM, MATCH(N$1, US_national_yearly!$D$1:$AM$1, 0), FALSE) / VLOOKUP(Substitution!$M$8 &amp; $A3, US_national_yearly!$D:$AM, MATCH(Keys!$C$7, US_national_yearly!$D$1:$AM$1, 0), FALSE), 1)</f>
        <v>1.0704766045449525E-5</v>
      </c>
      <c r="O3" s="12">
        <f>$B3 * IFERROR(VLOOKUP(Substitution!$M$8 &amp; $A3, US_national_yearly!$D:$AM, MATCH(O$1, US_national_yearly!$D$1:$AM$1, 0), FALSE) / VLOOKUP(Substitution!$M$8 &amp; $A3, US_national_yearly!$D:$AM, MATCH(Keys!$C$7, US_national_yearly!$D$1:$AM$1, 0), FALSE), 1)</f>
        <v>1.0654140641732779E-5</v>
      </c>
      <c r="P3" s="12">
        <f>$B3 * IFERROR(VLOOKUP(Substitution!$M$8 &amp; $A3, US_national_yearly!$D:$AM, MATCH(P$1, US_national_yearly!$D$1:$AM$1, 0), FALSE) / VLOOKUP(Substitution!$M$8 &amp; $A3, US_national_yearly!$D:$AM, MATCH(Keys!$C$7, US_national_yearly!$D$1:$AM$1, 0), FALSE), 1)</f>
        <v>1.060351523801603E-5</v>
      </c>
      <c r="Q3" s="12">
        <f>$B3 * IFERROR(VLOOKUP(Substitution!$M$8 &amp; $A3, US_national_yearly!$D:$AM, MATCH(Q$1, US_national_yearly!$D$1:$AM$1, 0), FALSE) / VLOOKUP(Substitution!$M$8 &amp; $A3, US_national_yearly!$D:$AM, MATCH(Keys!$C$7, US_national_yearly!$D$1:$AM$1, 0), FALSE), 1)</f>
        <v>1.0552889834299283E-5</v>
      </c>
      <c r="R3" s="12">
        <f>$B3 * IFERROR(VLOOKUP(Substitution!$M$8 &amp; $A3, US_national_yearly!$D:$AM, MATCH(R$1, US_national_yearly!$D$1:$AM$1, 0), FALSE) / VLOOKUP(Substitution!$M$8 &amp; $A3, US_national_yearly!$D:$AM, MATCH(Keys!$C$7, US_national_yearly!$D$1:$AM$1, 0), FALSE), 1)</f>
        <v>1.0502264430582535E-5</v>
      </c>
      <c r="S3" s="12">
        <f>$B3 * IFERROR(VLOOKUP(Substitution!$M$8 &amp; $A3, US_national_yearly!$D:$AM, MATCH(S$1, US_national_yearly!$D$1:$AM$1, 0), FALSE) / VLOOKUP(Substitution!$M$8 &amp; $A3, US_national_yearly!$D:$AM, MATCH(Keys!$C$7, US_national_yearly!$D$1:$AM$1, 0), FALSE), 1)</f>
        <v>1.0441614065628419E-5</v>
      </c>
      <c r="T3" s="12">
        <f>$B3 * IFERROR(VLOOKUP(Substitution!$M$8 &amp; $A3, US_national_yearly!$D:$AM, MATCH(T$1, US_national_yearly!$D$1:$AM$1, 0), FALSE) / VLOOKUP(Substitution!$M$8 &amp; $A3, US_national_yearly!$D:$AM, MATCH(Keys!$C$7, US_national_yearly!$D$1:$AM$1, 0), FALSE), 1)</f>
        <v>1.0380963700674305E-5</v>
      </c>
      <c r="U3" s="12">
        <f>$B3 * IFERROR(VLOOKUP(Substitution!$M$8 &amp; $A3, US_national_yearly!$D:$AM, MATCH(U$1, US_national_yearly!$D$1:$AM$1, 0), FALSE) / VLOOKUP(Substitution!$M$8 &amp; $A3, US_national_yearly!$D:$AM, MATCH(Keys!$C$7, US_national_yearly!$D$1:$AM$1, 0), FALSE), 1)</f>
        <v>1.0320313335720193E-5</v>
      </c>
      <c r="V3" s="12">
        <f>$B3 * IFERROR(VLOOKUP(Substitution!$M$8 &amp; $A3, US_national_yearly!$D:$AM, MATCH(V$1, US_national_yearly!$D$1:$AM$1, 0), FALSE) / VLOOKUP(Substitution!$M$8 &amp; $A3, US_national_yearly!$D:$AM, MATCH(Keys!$C$7, US_national_yearly!$D$1:$AM$1, 0), FALSE), 1)</f>
        <v>1.0259662970766077E-5</v>
      </c>
      <c r="W3" s="12">
        <f>$B3 * IFERROR(VLOOKUP(Substitution!$M$8 &amp; $A3, US_national_yearly!$D:$AM, MATCH(W$1, US_national_yearly!$D$1:$AM$1, 0), FALSE) / VLOOKUP(Substitution!$M$8 &amp; $A3, US_national_yearly!$D:$AM, MATCH(Keys!$C$7, US_national_yearly!$D$1:$AM$1, 0), FALSE), 1)</f>
        <v>1.0199012605811963E-5</v>
      </c>
      <c r="X3" s="12">
        <f>$B3 * IFERROR(VLOOKUP(Substitution!$M$8 &amp; $A3, US_national_yearly!$D:$AM, MATCH(X$1, US_national_yearly!$D$1:$AM$1, 0), FALSE) / VLOOKUP(Substitution!$M$8 &amp; $A3, US_national_yearly!$D:$AM, MATCH(Keys!$C$7, US_national_yearly!$D$1:$AM$1, 0), FALSE), 1)</f>
        <v>1.013633802617608E-5</v>
      </c>
      <c r="Y3" s="12">
        <f>$B3 * IFERROR(VLOOKUP(Substitution!$M$8 &amp; $A3, US_national_yearly!$D:$AM, MATCH(Y$1, US_national_yearly!$D$1:$AM$1, 0), FALSE) / VLOOKUP(Substitution!$M$8 &amp; $A3, US_national_yearly!$D:$AM, MATCH(Keys!$C$7, US_national_yearly!$D$1:$AM$1, 0), FALSE), 1)</f>
        <v>1.0073663446540196E-5</v>
      </c>
      <c r="Z3" s="12">
        <f>$B3 * IFERROR(VLOOKUP(Substitution!$M$8 &amp; $A3, US_national_yearly!$D:$AM, MATCH(Z$1, US_national_yearly!$D$1:$AM$1, 0), FALSE) / VLOOKUP(Substitution!$M$8 &amp; $A3, US_national_yearly!$D:$AM, MATCH(Keys!$C$7, US_national_yearly!$D$1:$AM$1, 0), FALSE), 1)</f>
        <v>1.0010988866904313E-5</v>
      </c>
      <c r="AA3" s="12">
        <f>$B3 * IFERROR(VLOOKUP(Substitution!$M$8 &amp; $A3, US_national_yearly!$D:$AM, MATCH(AA$1, US_national_yearly!$D$1:$AM$1, 0), FALSE) / VLOOKUP(Substitution!$M$8 &amp; $A3, US_national_yearly!$D:$AM, MATCH(Keys!$C$7, US_national_yearly!$D$1:$AM$1, 0), FALSE), 1)</f>
        <v>9.9483142872684298E-6</v>
      </c>
      <c r="AB3" s="12">
        <f>$B3 * IFERROR(VLOOKUP(Substitution!$M$8 &amp; $A3, US_national_yearly!$D:$AM, MATCH(AB$1, US_national_yearly!$D$1:$AM$1, 0), FALSE) / VLOOKUP(Substitution!$M$8 &amp; $A3, US_national_yearly!$D:$AM, MATCH(Keys!$C$7, US_national_yearly!$D$1:$AM$1, 0), FALSE), 1)</f>
        <v>9.8856397076325464E-6</v>
      </c>
    </row>
    <row r="4" spans="1:28" x14ac:dyDescent="0.25">
      <c r="A4" s="4" t="s">
        <v>295</v>
      </c>
      <c r="B4" s="12">
        <f>IFERROR(VLOOKUP(Substitution!$M$8 &amp; $A4, US_national_yearly!$D:$AM, MATCH(Keys!$C$7, US_national_yearly!$D$1:$AM$1, 0), FALSE), 0)</f>
        <v>5.3859294649521079</v>
      </c>
      <c r="C4" s="12">
        <f>$B4 * IFERROR(VLOOKUP(Substitution!$M$8 &amp; $A4, US_national_yearly!$D:$AM, MATCH(C$1, US_national_yearly!$D$1:$AM$1, 0), FALSE) / VLOOKUP(Substitution!$M$8 &amp; $A4, US_national_yearly!$D:$AM, MATCH(Keys!$C$7, US_national_yearly!$D$1:$AM$1, 0), FALSE), 1)</f>
        <v>5.4391535168593261</v>
      </c>
      <c r="D4" s="12">
        <f>$B4 * IFERROR(VLOOKUP(Substitution!$M$8 &amp; $A4, US_national_yearly!$D:$AM, MATCH(D$1, US_national_yearly!$D$1:$AM$1, 0), FALSE) / VLOOKUP(Substitution!$M$8 &amp; $A4, US_national_yearly!$D:$AM, MATCH(Keys!$C$7, US_national_yearly!$D$1:$AM$1, 0), FALSE), 1)</f>
        <v>5.4923775687665417</v>
      </c>
      <c r="E4" s="12">
        <f>$B4 * IFERROR(VLOOKUP(Substitution!$M$8 &amp; $A4, US_national_yearly!$D:$AM, MATCH(E$1, US_national_yearly!$D$1:$AM$1, 0), FALSE) / VLOOKUP(Substitution!$M$8 &amp; $A4, US_national_yearly!$D:$AM, MATCH(Keys!$C$7, US_national_yearly!$D$1:$AM$1, 0), FALSE), 1)</f>
        <v>5.5456016206737617</v>
      </c>
      <c r="F4" s="12">
        <f>$B4 * IFERROR(VLOOKUP(Substitution!$M$8 &amp; $A4, US_national_yearly!$D:$AM, MATCH(F$1, US_national_yearly!$D$1:$AM$1, 0), FALSE) / VLOOKUP(Substitution!$M$8 &amp; $A4, US_national_yearly!$D:$AM, MATCH(Keys!$C$7, US_national_yearly!$D$1:$AM$1, 0), FALSE), 1)</f>
        <v>5.59882567258098</v>
      </c>
      <c r="G4" s="12">
        <f>$B4 * IFERROR(VLOOKUP(Substitution!$M$8 &amp; $A4, US_national_yearly!$D:$AM, MATCH(G$1, US_national_yearly!$D$1:$AM$1, 0), FALSE) / VLOOKUP(Substitution!$M$8 &amp; $A4, US_national_yearly!$D:$AM, MATCH(Keys!$C$7, US_national_yearly!$D$1:$AM$1, 0), FALSE), 1)</f>
        <v>5.6605801955687998</v>
      </c>
      <c r="H4" s="12">
        <f>$B4 * IFERROR(VLOOKUP(Substitution!$M$8 &amp; $A4, US_national_yearly!$D:$AM, MATCH(H$1, US_national_yearly!$D$1:$AM$1, 0), FALSE) / VLOOKUP(Substitution!$M$8 &amp; $A4, US_national_yearly!$D:$AM, MATCH(Keys!$C$7, US_national_yearly!$D$1:$AM$1, 0), FALSE), 1)</f>
        <v>5.7223347185566196</v>
      </c>
      <c r="I4" s="12">
        <f>$B4 * IFERROR(VLOOKUP(Substitution!$M$8 &amp; $A4, US_national_yearly!$D:$AM, MATCH(I$1, US_national_yearly!$D$1:$AM$1, 0), FALSE) / VLOOKUP(Substitution!$M$8 &amp; $A4, US_national_yearly!$D:$AM, MATCH(Keys!$C$7, US_national_yearly!$D$1:$AM$1, 0), FALSE), 1)</f>
        <v>5.7659132612200761</v>
      </c>
      <c r="J4" s="12">
        <f>$B4 * IFERROR(VLOOKUP(Substitution!$M$8 &amp; $A4, US_national_yearly!$D:$AM, MATCH(J$1, US_national_yearly!$D$1:$AM$1, 0), FALSE) / VLOOKUP(Substitution!$M$8 &amp; $A4, US_national_yearly!$D:$AM, MATCH(Keys!$C$7, US_national_yearly!$D$1:$AM$1, 0), FALSE), 1)</f>
        <v>5.8094918038835317</v>
      </c>
      <c r="K4" s="12">
        <f>$B4 * IFERROR(VLOOKUP(Substitution!$M$8 &amp; $A4, US_national_yearly!$D:$AM, MATCH(K$1, US_national_yearly!$D$1:$AM$1, 0), FALSE) / VLOOKUP(Substitution!$M$8 &amp; $A4, US_national_yearly!$D:$AM, MATCH(Keys!$C$7, US_national_yearly!$D$1:$AM$1, 0), FALSE), 1)</f>
        <v>5.8530703465469882</v>
      </c>
      <c r="L4" s="12">
        <f>$B4 * IFERROR(VLOOKUP(Substitution!$M$8 &amp; $A4, US_national_yearly!$D:$AM, MATCH(L$1, US_national_yearly!$D$1:$AM$1, 0), FALSE) / VLOOKUP(Substitution!$M$8 &amp; $A4, US_national_yearly!$D:$AM, MATCH(Keys!$C$7, US_national_yearly!$D$1:$AM$1, 0), FALSE), 1)</f>
        <v>5.8966488892104447</v>
      </c>
      <c r="M4" s="12">
        <f>$B4 * IFERROR(VLOOKUP(Substitution!$M$8 &amp; $A4, US_national_yearly!$D:$AM, MATCH(M$1, US_national_yearly!$D$1:$AM$1, 0), FALSE) / VLOOKUP(Substitution!$M$8 &amp; $A4, US_national_yearly!$D:$AM, MATCH(Keys!$C$7, US_national_yearly!$D$1:$AM$1, 0), FALSE), 1)</f>
        <v>5.9402274318739003</v>
      </c>
      <c r="N4" s="12">
        <f>$B4 * IFERROR(VLOOKUP(Substitution!$M$8 &amp; $A4, US_national_yearly!$D:$AM, MATCH(N$1, US_national_yearly!$D$1:$AM$1, 0), FALSE) / VLOOKUP(Substitution!$M$8 &amp; $A4, US_national_yearly!$D:$AM, MATCH(Keys!$C$7, US_national_yearly!$D$1:$AM$1, 0), FALSE), 1)</f>
        <v>5.9578269585697763</v>
      </c>
      <c r="O4" s="12">
        <f>$B4 * IFERROR(VLOOKUP(Substitution!$M$8 &amp; $A4, US_national_yearly!$D:$AM, MATCH(O$1, US_national_yearly!$D$1:$AM$1, 0), FALSE) / VLOOKUP(Substitution!$M$8 &amp; $A4, US_national_yearly!$D:$AM, MATCH(Keys!$C$7, US_national_yearly!$D$1:$AM$1, 0), FALSE), 1)</f>
        <v>5.9754264852656522</v>
      </c>
      <c r="P4" s="12">
        <f>$B4 * IFERROR(VLOOKUP(Substitution!$M$8 &amp; $A4, US_national_yearly!$D:$AM, MATCH(P$1, US_national_yearly!$D$1:$AM$1, 0), FALSE) / VLOOKUP(Substitution!$M$8 &amp; $A4, US_national_yearly!$D:$AM, MATCH(Keys!$C$7, US_national_yearly!$D$1:$AM$1, 0), FALSE), 1)</f>
        <v>5.9930260119615291</v>
      </c>
      <c r="Q4" s="12">
        <f>$B4 * IFERROR(VLOOKUP(Substitution!$M$8 &amp; $A4, US_national_yearly!$D:$AM, MATCH(Q$1, US_national_yearly!$D$1:$AM$1, 0), FALSE) / VLOOKUP(Substitution!$M$8 &amp; $A4, US_national_yearly!$D:$AM, MATCH(Keys!$C$7, US_national_yearly!$D$1:$AM$1, 0), FALSE), 1)</f>
        <v>6.0106255386574032</v>
      </c>
      <c r="R4" s="12">
        <f>$B4 * IFERROR(VLOOKUP(Substitution!$M$8 &amp; $A4, US_national_yearly!$D:$AM, MATCH(R$1, US_national_yearly!$D$1:$AM$1, 0), FALSE) / VLOOKUP(Substitution!$M$8 &amp; $A4, US_national_yearly!$D:$AM, MATCH(Keys!$C$7, US_national_yearly!$D$1:$AM$1, 0), FALSE), 1)</f>
        <v>6.0282250653532801</v>
      </c>
      <c r="S4" s="12">
        <f>$B4 * IFERROR(VLOOKUP(Substitution!$M$8 &amp; $A4, US_national_yearly!$D:$AM, MATCH(S$1, US_national_yearly!$D$1:$AM$1, 0), FALSE) / VLOOKUP(Substitution!$M$8 &amp; $A4, US_national_yearly!$D:$AM, MATCH(Keys!$C$7, US_national_yearly!$D$1:$AM$1, 0), FALSE), 1)</f>
        <v>6.0488053244626263</v>
      </c>
      <c r="T4" s="12">
        <f>$B4 * IFERROR(VLOOKUP(Substitution!$M$8 &amp; $A4, US_national_yearly!$D:$AM, MATCH(T$1, US_national_yearly!$D$1:$AM$1, 0), FALSE) / VLOOKUP(Substitution!$M$8 &amp; $A4, US_national_yearly!$D:$AM, MATCH(Keys!$C$7, US_national_yearly!$D$1:$AM$1, 0), FALSE), 1)</f>
        <v>6.0693855835719734</v>
      </c>
      <c r="U4" s="12">
        <f>$B4 * IFERROR(VLOOKUP(Substitution!$M$8 &amp; $A4, US_national_yearly!$D:$AM, MATCH(U$1, US_national_yearly!$D$1:$AM$1, 0), FALSE) / VLOOKUP(Substitution!$M$8 &amp; $A4, US_national_yearly!$D:$AM, MATCH(Keys!$C$7, US_national_yearly!$D$1:$AM$1, 0), FALSE), 1)</f>
        <v>6.0899658426813179</v>
      </c>
      <c r="V4" s="12">
        <f>$B4 * IFERROR(VLOOKUP(Substitution!$M$8 &amp; $A4, US_national_yearly!$D:$AM, MATCH(V$1, US_national_yearly!$D$1:$AM$1, 0), FALSE) / VLOOKUP(Substitution!$M$8 &amp; $A4, US_national_yearly!$D:$AM, MATCH(Keys!$C$7, US_national_yearly!$D$1:$AM$1, 0), FALSE), 1)</f>
        <v>6.1105461017906642</v>
      </c>
      <c r="W4" s="12">
        <f>$B4 * IFERROR(VLOOKUP(Substitution!$M$8 &amp; $A4, US_national_yearly!$D:$AM, MATCH(W$1, US_national_yearly!$D$1:$AM$1, 0), FALSE) / VLOOKUP(Substitution!$M$8 &amp; $A4, US_national_yearly!$D:$AM, MATCH(Keys!$C$7, US_national_yearly!$D$1:$AM$1, 0), FALSE), 1)</f>
        <v>6.1311263609000095</v>
      </c>
      <c r="X4" s="12">
        <f>$B4 * IFERROR(VLOOKUP(Substitution!$M$8 &amp; $A4, US_national_yearly!$D:$AM, MATCH(X$1, US_national_yearly!$D$1:$AM$1, 0), FALSE) / VLOOKUP(Substitution!$M$8 &amp; $A4, US_national_yearly!$D:$AM, MATCH(Keys!$C$7, US_national_yearly!$D$1:$AM$1, 0), FALSE), 1)</f>
        <v>6.153453172327862</v>
      </c>
      <c r="Y4" s="12">
        <f>$B4 * IFERROR(VLOOKUP(Substitution!$M$8 &amp; $A4, US_national_yearly!$D:$AM, MATCH(Y$1, US_national_yearly!$D$1:$AM$1, 0), FALSE) / VLOOKUP(Substitution!$M$8 &amp; $A4, US_national_yearly!$D:$AM, MATCH(Keys!$C$7, US_national_yearly!$D$1:$AM$1, 0), FALSE), 1)</f>
        <v>6.1757799837557146</v>
      </c>
      <c r="Z4" s="12">
        <f>$B4 * IFERROR(VLOOKUP(Substitution!$M$8 &amp; $A4, US_national_yearly!$D:$AM, MATCH(Z$1, US_national_yearly!$D$1:$AM$1, 0), FALSE) / VLOOKUP(Substitution!$M$8 &amp; $A4, US_national_yearly!$D:$AM, MATCH(Keys!$C$7, US_national_yearly!$D$1:$AM$1, 0), FALSE), 1)</f>
        <v>6.1981067951835653</v>
      </c>
      <c r="AA4" s="12">
        <f>$B4 * IFERROR(VLOOKUP(Substitution!$M$8 &amp; $A4, US_national_yearly!$D:$AM, MATCH(AA$1, US_national_yearly!$D$1:$AM$1, 0), FALSE) / VLOOKUP(Substitution!$M$8 &amp; $A4, US_national_yearly!$D:$AM, MATCH(Keys!$C$7, US_national_yearly!$D$1:$AM$1, 0), FALSE), 1)</f>
        <v>6.2204336066114188</v>
      </c>
      <c r="AB4" s="12">
        <f>$B4 * IFERROR(VLOOKUP(Substitution!$M$8 &amp; $A4, US_national_yearly!$D:$AM, MATCH(AB$1, US_national_yearly!$D$1:$AM$1, 0), FALSE) / VLOOKUP(Substitution!$M$8 &amp; $A4, US_national_yearly!$D:$AM, MATCH(Keys!$C$7, US_national_yearly!$D$1:$AM$1, 0), FALSE), 1)</f>
        <v>6.2427604180392704</v>
      </c>
    </row>
    <row r="5" spans="1:28" x14ac:dyDescent="0.25">
      <c r="A5" s="4" t="s">
        <v>297</v>
      </c>
      <c r="B5" s="12">
        <f>IFERROR(VLOOKUP(Substitution!$M$8 &amp; $A5, US_national_yearly!$D:$AM, MATCH(Keys!$C$7, US_national_yearly!$D$1:$AM$1, 0), FALSE), 0)</f>
        <v>0</v>
      </c>
      <c r="C5" s="12">
        <f>$B5 * IFERROR(VLOOKUP(Substitution!$M$8 &amp; $A5, US_national_yearly!$D:$AM, MATCH(C$1, US_national_yearly!$D$1:$AM$1, 0), FALSE) / VLOOKUP(Substitution!$M$8 &amp; $A5, US_national_yearly!$D:$AM, MATCH(Keys!$C$7, US_national_yearly!$D$1:$AM$1, 0), FALSE), 1)</f>
        <v>0</v>
      </c>
      <c r="D5" s="12">
        <f>$B5 * IFERROR(VLOOKUP(Substitution!$M$8 &amp; $A5, US_national_yearly!$D:$AM, MATCH(D$1, US_national_yearly!$D$1:$AM$1, 0), FALSE) / VLOOKUP(Substitution!$M$8 &amp; $A5, US_national_yearly!$D:$AM, MATCH(Keys!$C$7, US_national_yearly!$D$1:$AM$1, 0), FALSE), 1)</f>
        <v>0</v>
      </c>
      <c r="E5" s="12">
        <f>$B5 * IFERROR(VLOOKUP(Substitution!$M$8 &amp; $A5, US_national_yearly!$D:$AM, MATCH(E$1, US_national_yearly!$D$1:$AM$1, 0), FALSE) / VLOOKUP(Substitution!$M$8 &amp; $A5, US_national_yearly!$D:$AM, MATCH(Keys!$C$7, US_national_yearly!$D$1:$AM$1, 0), FALSE), 1)</f>
        <v>0</v>
      </c>
      <c r="F5" s="12">
        <f>$B5 * IFERROR(VLOOKUP(Substitution!$M$8 &amp; $A5, US_national_yearly!$D:$AM, MATCH(F$1, US_national_yearly!$D$1:$AM$1, 0), FALSE) / VLOOKUP(Substitution!$M$8 &amp; $A5, US_national_yearly!$D:$AM, MATCH(Keys!$C$7, US_national_yearly!$D$1:$AM$1, 0), FALSE), 1)</f>
        <v>0</v>
      </c>
      <c r="G5" s="12">
        <f>$B5 * IFERROR(VLOOKUP(Substitution!$M$8 &amp; $A5, US_national_yearly!$D:$AM, MATCH(G$1, US_national_yearly!$D$1:$AM$1, 0), FALSE) / VLOOKUP(Substitution!$M$8 &amp; $A5, US_national_yearly!$D:$AM, MATCH(Keys!$C$7, US_national_yearly!$D$1:$AM$1, 0), FALSE), 1)</f>
        <v>0</v>
      </c>
      <c r="H5" s="12">
        <f>$B5 * IFERROR(VLOOKUP(Substitution!$M$8 &amp; $A5, US_national_yearly!$D:$AM, MATCH(H$1, US_national_yearly!$D$1:$AM$1, 0), FALSE) / VLOOKUP(Substitution!$M$8 &amp; $A5, US_national_yearly!$D:$AM, MATCH(Keys!$C$7, US_national_yearly!$D$1:$AM$1, 0), FALSE), 1)</f>
        <v>0</v>
      </c>
      <c r="I5" s="12">
        <f>$B5 * IFERROR(VLOOKUP(Substitution!$M$8 &amp; $A5, US_national_yearly!$D:$AM, MATCH(I$1, US_national_yearly!$D$1:$AM$1, 0), FALSE) / VLOOKUP(Substitution!$M$8 &amp; $A5, US_national_yearly!$D:$AM, MATCH(Keys!$C$7, US_national_yearly!$D$1:$AM$1, 0), FALSE), 1)</f>
        <v>0</v>
      </c>
      <c r="J5" s="12">
        <f>$B5 * IFERROR(VLOOKUP(Substitution!$M$8 &amp; $A5, US_national_yearly!$D:$AM, MATCH(J$1, US_national_yearly!$D$1:$AM$1, 0), FALSE) / VLOOKUP(Substitution!$M$8 &amp; $A5, US_national_yearly!$D:$AM, MATCH(Keys!$C$7, US_national_yearly!$D$1:$AM$1, 0), FALSE), 1)</f>
        <v>0</v>
      </c>
      <c r="K5" s="12">
        <f>$B5 * IFERROR(VLOOKUP(Substitution!$M$8 &amp; $A5, US_national_yearly!$D:$AM, MATCH(K$1, US_national_yearly!$D$1:$AM$1, 0), FALSE) / VLOOKUP(Substitution!$M$8 &amp; $A5, US_national_yearly!$D:$AM, MATCH(Keys!$C$7, US_national_yearly!$D$1:$AM$1, 0), FALSE), 1)</f>
        <v>0</v>
      </c>
      <c r="L5" s="12">
        <f>$B5 * IFERROR(VLOOKUP(Substitution!$M$8 &amp; $A5, US_national_yearly!$D:$AM, MATCH(L$1, US_national_yearly!$D$1:$AM$1, 0), FALSE) / VLOOKUP(Substitution!$M$8 &amp; $A5, US_national_yearly!$D:$AM, MATCH(Keys!$C$7, US_national_yearly!$D$1:$AM$1, 0), FALSE), 1)</f>
        <v>0</v>
      </c>
      <c r="M5" s="12">
        <f>$B5 * IFERROR(VLOOKUP(Substitution!$M$8 &amp; $A5, US_national_yearly!$D:$AM, MATCH(M$1, US_national_yearly!$D$1:$AM$1, 0), FALSE) / VLOOKUP(Substitution!$M$8 &amp; $A5, US_national_yearly!$D:$AM, MATCH(Keys!$C$7, US_national_yearly!$D$1:$AM$1, 0), FALSE), 1)</f>
        <v>0</v>
      </c>
      <c r="N5" s="12">
        <f>$B5 * IFERROR(VLOOKUP(Substitution!$M$8 &amp; $A5, US_national_yearly!$D:$AM, MATCH(N$1, US_national_yearly!$D$1:$AM$1, 0), FALSE) / VLOOKUP(Substitution!$M$8 &amp; $A5, US_national_yearly!$D:$AM, MATCH(Keys!$C$7, US_national_yearly!$D$1:$AM$1, 0), FALSE), 1)</f>
        <v>0</v>
      </c>
      <c r="O5" s="12">
        <f>$B5 * IFERROR(VLOOKUP(Substitution!$M$8 &amp; $A5, US_national_yearly!$D:$AM, MATCH(O$1, US_national_yearly!$D$1:$AM$1, 0), FALSE) / VLOOKUP(Substitution!$M$8 &amp; $A5, US_national_yearly!$D:$AM, MATCH(Keys!$C$7, US_national_yearly!$D$1:$AM$1, 0), FALSE), 1)</f>
        <v>0</v>
      </c>
      <c r="P5" s="12">
        <f>$B5 * IFERROR(VLOOKUP(Substitution!$M$8 &amp; $A5, US_national_yearly!$D:$AM, MATCH(P$1, US_national_yearly!$D$1:$AM$1, 0), FALSE) / VLOOKUP(Substitution!$M$8 &amp; $A5, US_national_yearly!$D:$AM, MATCH(Keys!$C$7, US_national_yearly!$D$1:$AM$1, 0), FALSE), 1)</f>
        <v>0</v>
      </c>
      <c r="Q5" s="12">
        <f>$B5 * IFERROR(VLOOKUP(Substitution!$M$8 &amp; $A5, US_national_yearly!$D:$AM, MATCH(Q$1, US_national_yearly!$D$1:$AM$1, 0), FALSE) / VLOOKUP(Substitution!$M$8 &amp; $A5, US_national_yearly!$D:$AM, MATCH(Keys!$C$7, US_national_yearly!$D$1:$AM$1, 0), FALSE), 1)</f>
        <v>0</v>
      </c>
      <c r="R5" s="12">
        <f>$B5 * IFERROR(VLOOKUP(Substitution!$M$8 &amp; $A5, US_national_yearly!$D:$AM, MATCH(R$1, US_national_yearly!$D$1:$AM$1, 0), FALSE) / VLOOKUP(Substitution!$M$8 &amp; $A5, US_national_yearly!$D:$AM, MATCH(Keys!$C$7, US_national_yearly!$D$1:$AM$1, 0), FALSE), 1)</f>
        <v>0</v>
      </c>
      <c r="S5" s="12">
        <f>$B5 * IFERROR(VLOOKUP(Substitution!$M$8 &amp; $A5, US_national_yearly!$D:$AM, MATCH(S$1, US_national_yearly!$D$1:$AM$1, 0), FALSE) / VLOOKUP(Substitution!$M$8 &amp; $A5, US_national_yearly!$D:$AM, MATCH(Keys!$C$7, US_national_yearly!$D$1:$AM$1, 0), FALSE), 1)</f>
        <v>0</v>
      </c>
      <c r="T5" s="12">
        <f>$B5 * IFERROR(VLOOKUP(Substitution!$M$8 &amp; $A5, US_national_yearly!$D:$AM, MATCH(T$1, US_national_yearly!$D$1:$AM$1, 0), FALSE) / VLOOKUP(Substitution!$M$8 &amp; $A5, US_national_yearly!$D:$AM, MATCH(Keys!$C$7, US_national_yearly!$D$1:$AM$1, 0), FALSE), 1)</f>
        <v>0</v>
      </c>
      <c r="U5" s="12">
        <f>$B5 * IFERROR(VLOOKUP(Substitution!$M$8 &amp; $A5, US_national_yearly!$D:$AM, MATCH(U$1, US_national_yearly!$D$1:$AM$1, 0), FALSE) / VLOOKUP(Substitution!$M$8 &amp; $A5, US_national_yearly!$D:$AM, MATCH(Keys!$C$7, US_national_yearly!$D$1:$AM$1, 0), FALSE), 1)</f>
        <v>0</v>
      </c>
      <c r="V5" s="12">
        <f>$B5 * IFERROR(VLOOKUP(Substitution!$M$8 &amp; $A5, US_national_yearly!$D:$AM, MATCH(V$1, US_national_yearly!$D$1:$AM$1, 0), FALSE) / VLOOKUP(Substitution!$M$8 &amp; $A5, US_national_yearly!$D:$AM, MATCH(Keys!$C$7, US_national_yearly!$D$1:$AM$1, 0), FALSE), 1)</f>
        <v>0</v>
      </c>
      <c r="W5" s="12">
        <f>$B5 * IFERROR(VLOOKUP(Substitution!$M$8 &amp; $A5, US_national_yearly!$D:$AM, MATCH(W$1, US_national_yearly!$D$1:$AM$1, 0), FALSE) / VLOOKUP(Substitution!$M$8 &amp; $A5, US_national_yearly!$D:$AM, MATCH(Keys!$C$7, US_national_yearly!$D$1:$AM$1, 0), FALSE), 1)</f>
        <v>0</v>
      </c>
      <c r="X5" s="12">
        <f>$B5 * IFERROR(VLOOKUP(Substitution!$M$8 &amp; $A5, US_national_yearly!$D:$AM, MATCH(X$1, US_national_yearly!$D$1:$AM$1, 0), FALSE) / VLOOKUP(Substitution!$M$8 &amp; $A5, US_national_yearly!$D:$AM, MATCH(Keys!$C$7, US_national_yearly!$D$1:$AM$1, 0), FALSE), 1)</f>
        <v>0</v>
      </c>
      <c r="Y5" s="12">
        <f>$B5 * IFERROR(VLOOKUP(Substitution!$M$8 &amp; $A5, US_national_yearly!$D:$AM, MATCH(Y$1, US_national_yearly!$D$1:$AM$1, 0), FALSE) / VLOOKUP(Substitution!$M$8 &amp; $A5, US_national_yearly!$D:$AM, MATCH(Keys!$C$7, US_national_yearly!$D$1:$AM$1, 0), FALSE), 1)</f>
        <v>0</v>
      </c>
      <c r="Z5" s="12">
        <f>$B5 * IFERROR(VLOOKUP(Substitution!$M$8 &amp; $A5, US_national_yearly!$D:$AM, MATCH(Z$1, US_national_yearly!$D$1:$AM$1, 0), FALSE) / VLOOKUP(Substitution!$M$8 &amp; $A5, US_national_yearly!$D:$AM, MATCH(Keys!$C$7, US_national_yearly!$D$1:$AM$1, 0), FALSE), 1)</f>
        <v>0</v>
      </c>
      <c r="AA5" s="12">
        <f>$B5 * IFERROR(VLOOKUP(Substitution!$M$8 &amp; $A5, US_national_yearly!$D:$AM, MATCH(AA$1, US_national_yearly!$D$1:$AM$1, 0), FALSE) / VLOOKUP(Substitution!$M$8 &amp; $A5, US_national_yearly!$D:$AM, MATCH(Keys!$C$7, US_national_yearly!$D$1:$AM$1, 0), FALSE), 1)</f>
        <v>0</v>
      </c>
      <c r="AB5" s="12">
        <f>$B5 * IFERROR(VLOOKUP(Substitution!$M$8 &amp; $A5, US_national_yearly!$D:$AM, MATCH(AB$1, US_national_yearly!$D$1:$AM$1, 0), FALSE) / VLOOKUP(Substitution!$M$8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Substitution!$G$8)/IFERROR(SUMIFS(COBRA_aggregated!$U:$U, COBRA_aggregated!$A:$A, About!$B$1, COBRA_aggregated!$B:$B, Substitution!$G$8), 1)</f>
        <v>3.6490192974916E-2</v>
      </c>
      <c r="C6" s="12">
        <f>$B6 * IFERROR(VLOOKUP(Substitution!$M$8 &amp; $A6, US_national_yearly!$D:$AM, MATCH(C$1, US_national_yearly!$D$1:$AM$1, 0), FALSE) / VLOOKUP(Substitution!$M$8 &amp; $A6, US_national_yearly!$D:$AM, MATCH(Keys!$C$7, US_national_yearly!$D$1:$AM$1, 0), FALSE), 1)</f>
        <v>3.6490192974916E-2</v>
      </c>
      <c r="D6" s="12">
        <f>$B6 * IFERROR(VLOOKUP(Substitution!$M$8 &amp; $A6, US_national_yearly!$D:$AM, MATCH(D$1, US_national_yearly!$D$1:$AM$1, 0), FALSE) / VLOOKUP(Substitution!$M$8 &amp; $A6, US_national_yearly!$D:$AM, MATCH(Keys!$C$7, US_national_yearly!$D$1:$AM$1, 0), FALSE), 1)</f>
        <v>3.6490192974916E-2</v>
      </c>
      <c r="E6" s="12">
        <f>$B6 * IFERROR(VLOOKUP(Substitution!$M$8 &amp; $A6, US_national_yearly!$D:$AM, MATCH(E$1, US_national_yearly!$D$1:$AM$1, 0), FALSE) / VLOOKUP(Substitution!$M$8 &amp; $A6, US_national_yearly!$D:$AM, MATCH(Keys!$C$7, US_national_yearly!$D$1:$AM$1, 0), FALSE), 1)</f>
        <v>3.6490192974916E-2</v>
      </c>
      <c r="F6" s="12">
        <f>$B6 * IFERROR(VLOOKUP(Substitution!$M$8 &amp; $A6, US_national_yearly!$D:$AM, MATCH(F$1, US_national_yearly!$D$1:$AM$1, 0), FALSE) / VLOOKUP(Substitution!$M$8 &amp; $A6, US_national_yearly!$D:$AM, MATCH(Keys!$C$7, US_national_yearly!$D$1:$AM$1, 0), FALSE), 1)</f>
        <v>3.6490192974916E-2</v>
      </c>
      <c r="G6" s="12">
        <f>$B6 * IFERROR(VLOOKUP(Substitution!$M$8 &amp; $A6, US_national_yearly!$D:$AM, MATCH(G$1, US_national_yearly!$D$1:$AM$1, 0), FALSE) / VLOOKUP(Substitution!$M$8 &amp; $A6, US_national_yearly!$D:$AM, MATCH(Keys!$C$7, US_national_yearly!$D$1:$AM$1, 0), FALSE), 1)</f>
        <v>3.6490192974916E-2</v>
      </c>
      <c r="H6" s="12">
        <f>$B6 * IFERROR(VLOOKUP(Substitution!$M$8 &amp; $A6, US_national_yearly!$D:$AM, MATCH(H$1, US_national_yearly!$D$1:$AM$1, 0), FALSE) / VLOOKUP(Substitution!$M$8 &amp; $A6, US_national_yearly!$D:$AM, MATCH(Keys!$C$7, US_national_yearly!$D$1:$AM$1, 0), FALSE), 1)</f>
        <v>3.6490192974916E-2</v>
      </c>
      <c r="I6" s="12">
        <f>$B6 * IFERROR(VLOOKUP(Substitution!$M$8 &amp; $A6, US_national_yearly!$D:$AM, MATCH(I$1, US_national_yearly!$D$1:$AM$1, 0), FALSE) / VLOOKUP(Substitution!$M$8 &amp; $A6, US_national_yearly!$D:$AM, MATCH(Keys!$C$7, US_national_yearly!$D$1:$AM$1, 0), FALSE), 1)</f>
        <v>3.6490192974916E-2</v>
      </c>
      <c r="J6" s="12">
        <f>$B6 * IFERROR(VLOOKUP(Substitution!$M$8 &amp; $A6, US_national_yearly!$D:$AM, MATCH(J$1, US_national_yearly!$D$1:$AM$1, 0), FALSE) / VLOOKUP(Substitution!$M$8 &amp; $A6, US_national_yearly!$D:$AM, MATCH(Keys!$C$7, US_national_yearly!$D$1:$AM$1, 0), FALSE), 1)</f>
        <v>3.6490192974916E-2</v>
      </c>
      <c r="K6" s="12">
        <f>$B6 * IFERROR(VLOOKUP(Substitution!$M$8 &amp; $A6, US_national_yearly!$D:$AM, MATCH(K$1, US_national_yearly!$D$1:$AM$1, 0), FALSE) / VLOOKUP(Substitution!$M$8 &amp; $A6, US_national_yearly!$D:$AM, MATCH(Keys!$C$7, US_national_yearly!$D$1:$AM$1, 0), FALSE), 1)</f>
        <v>3.6490192974916E-2</v>
      </c>
      <c r="L6" s="12">
        <f>$B6 * IFERROR(VLOOKUP(Substitution!$M$8 &amp; $A6, US_national_yearly!$D:$AM, MATCH(L$1, US_national_yearly!$D$1:$AM$1, 0), FALSE) / VLOOKUP(Substitution!$M$8 &amp; $A6, US_national_yearly!$D:$AM, MATCH(Keys!$C$7, US_national_yearly!$D$1:$AM$1, 0), FALSE), 1)</f>
        <v>3.6490192974916E-2</v>
      </c>
      <c r="M6" s="12">
        <f>$B6 * IFERROR(VLOOKUP(Substitution!$M$8 &amp; $A6, US_national_yearly!$D:$AM, MATCH(M$1, US_national_yearly!$D$1:$AM$1, 0), FALSE) / VLOOKUP(Substitution!$M$8 &amp; $A6, US_national_yearly!$D:$AM, MATCH(Keys!$C$7, US_national_yearly!$D$1:$AM$1, 0), FALSE), 1)</f>
        <v>3.6490192974916E-2</v>
      </c>
      <c r="N6" s="12">
        <f>$B6 * IFERROR(VLOOKUP(Substitution!$M$8 &amp; $A6, US_national_yearly!$D:$AM, MATCH(N$1, US_national_yearly!$D$1:$AM$1, 0), FALSE) / VLOOKUP(Substitution!$M$8 &amp; $A6, US_national_yearly!$D:$AM, MATCH(Keys!$C$7, US_national_yearly!$D$1:$AM$1, 0), FALSE), 1)</f>
        <v>3.6490192974916E-2</v>
      </c>
      <c r="O6" s="12">
        <f>$B6 * IFERROR(VLOOKUP(Substitution!$M$8 &amp; $A6, US_national_yearly!$D:$AM, MATCH(O$1, US_national_yearly!$D$1:$AM$1, 0), FALSE) / VLOOKUP(Substitution!$M$8 &amp; $A6, US_national_yearly!$D:$AM, MATCH(Keys!$C$7, US_national_yearly!$D$1:$AM$1, 0), FALSE), 1)</f>
        <v>3.6490192974916E-2</v>
      </c>
      <c r="P6" s="12">
        <f>$B6 * IFERROR(VLOOKUP(Substitution!$M$8 &amp; $A6, US_national_yearly!$D:$AM, MATCH(P$1, US_national_yearly!$D$1:$AM$1, 0), FALSE) / VLOOKUP(Substitution!$M$8 &amp; $A6, US_national_yearly!$D:$AM, MATCH(Keys!$C$7, US_national_yearly!$D$1:$AM$1, 0), FALSE), 1)</f>
        <v>3.6490192974916E-2</v>
      </c>
      <c r="Q6" s="12">
        <f>$B6 * IFERROR(VLOOKUP(Substitution!$M$8 &amp; $A6, US_national_yearly!$D:$AM, MATCH(Q$1, US_national_yearly!$D$1:$AM$1, 0), FALSE) / VLOOKUP(Substitution!$M$8 &amp; $A6, US_national_yearly!$D:$AM, MATCH(Keys!$C$7, US_national_yearly!$D$1:$AM$1, 0), FALSE), 1)</f>
        <v>3.6490192974916E-2</v>
      </c>
      <c r="R6" s="12">
        <f>$B6 * IFERROR(VLOOKUP(Substitution!$M$8 &amp; $A6, US_national_yearly!$D:$AM, MATCH(R$1, US_national_yearly!$D$1:$AM$1, 0), FALSE) / VLOOKUP(Substitution!$M$8 &amp; $A6, US_national_yearly!$D:$AM, MATCH(Keys!$C$7, US_national_yearly!$D$1:$AM$1, 0), FALSE), 1)</f>
        <v>3.6490192974916E-2</v>
      </c>
      <c r="S6" s="12">
        <f>$B6 * IFERROR(VLOOKUP(Substitution!$M$8 &amp; $A6, US_national_yearly!$D:$AM, MATCH(S$1, US_national_yearly!$D$1:$AM$1, 0), FALSE) / VLOOKUP(Substitution!$M$8 &amp; $A6, US_national_yearly!$D:$AM, MATCH(Keys!$C$7, US_national_yearly!$D$1:$AM$1, 0), FALSE), 1)</f>
        <v>3.6490192974916E-2</v>
      </c>
      <c r="T6" s="12">
        <f>$B6 * IFERROR(VLOOKUP(Substitution!$M$8 &amp; $A6, US_national_yearly!$D:$AM, MATCH(T$1, US_national_yearly!$D$1:$AM$1, 0), FALSE) / VLOOKUP(Substitution!$M$8 &amp; $A6, US_national_yearly!$D:$AM, MATCH(Keys!$C$7, US_national_yearly!$D$1:$AM$1, 0), FALSE), 1)</f>
        <v>3.6490192974916E-2</v>
      </c>
      <c r="U6" s="12">
        <f>$B6 * IFERROR(VLOOKUP(Substitution!$M$8 &amp; $A6, US_national_yearly!$D:$AM, MATCH(U$1, US_national_yearly!$D$1:$AM$1, 0), FALSE) / VLOOKUP(Substitution!$M$8 &amp; $A6, US_national_yearly!$D:$AM, MATCH(Keys!$C$7, US_national_yearly!$D$1:$AM$1, 0), FALSE), 1)</f>
        <v>3.6490192974916E-2</v>
      </c>
      <c r="V6" s="12">
        <f>$B6 * IFERROR(VLOOKUP(Substitution!$M$8 &amp; $A6, US_national_yearly!$D:$AM, MATCH(V$1, US_national_yearly!$D$1:$AM$1, 0), FALSE) / VLOOKUP(Substitution!$M$8 &amp; $A6, US_national_yearly!$D:$AM, MATCH(Keys!$C$7, US_national_yearly!$D$1:$AM$1, 0), FALSE), 1)</f>
        <v>3.6490192974916E-2</v>
      </c>
      <c r="W6" s="12">
        <f>$B6 * IFERROR(VLOOKUP(Substitution!$M$8 &amp; $A6, US_national_yearly!$D:$AM, MATCH(W$1, US_national_yearly!$D$1:$AM$1, 0), FALSE) / VLOOKUP(Substitution!$M$8 &amp; $A6, US_national_yearly!$D:$AM, MATCH(Keys!$C$7, US_national_yearly!$D$1:$AM$1, 0), FALSE), 1)</f>
        <v>3.6490192974916E-2</v>
      </c>
      <c r="X6" s="12">
        <f>$B6 * IFERROR(VLOOKUP(Substitution!$M$8 &amp; $A6, US_national_yearly!$D:$AM, MATCH(X$1, US_national_yearly!$D$1:$AM$1, 0), FALSE) / VLOOKUP(Substitution!$M$8 &amp; $A6, US_national_yearly!$D:$AM, MATCH(Keys!$C$7, US_national_yearly!$D$1:$AM$1, 0), FALSE), 1)</f>
        <v>3.6490192974916E-2</v>
      </c>
      <c r="Y6" s="12">
        <f>$B6 * IFERROR(VLOOKUP(Substitution!$M$8 &amp; $A6, US_national_yearly!$D:$AM, MATCH(Y$1, US_national_yearly!$D$1:$AM$1, 0), FALSE) / VLOOKUP(Substitution!$M$8 &amp; $A6, US_national_yearly!$D:$AM, MATCH(Keys!$C$7, US_national_yearly!$D$1:$AM$1, 0), FALSE), 1)</f>
        <v>3.6490192974916E-2</v>
      </c>
      <c r="Z6" s="12">
        <f>$B6 * IFERROR(VLOOKUP(Substitution!$M$8 &amp; $A6, US_national_yearly!$D:$AM, MATCH(Z$1, US_national_yearly!$D$1:$AM$1, 0), FALSE) / VLOOKUP(Substitution!$M$8 &amp; $A6, US_national_yearly!$D:$AM, MATCH(Keys!$C$7, US_national_yearly!$D$1:$AM$1, 0), FALSE), 1)</f>
        <v>3.6490192974916E-2</v>
      </c>
      <c r="AA6" s="12">
        <f>$B6 * IFERROR(VLOOKUP(Substitution!$M$8 &amp; $A6, US_national_yearly!$D:$AM, MATCH(AA$1, US_national_yearly!$D$1:$AM$1, 0), FALSE) / VLOOKUP(Substitution!$M$8 &amp; $A6, US_national_yearly!$D:$AM, MATCH(Keys!$C$7, US_national_yearly!$D$1:$AM$1, 0), FALSE), 1)</f>
        <v>3.6490192974916E-2</v>
      </c>
      <c r="AB6" s="12">
        <f>$B6 * IFERROR(VLOOKUP(Substitution!$M$8 &amp; $A6, US_national_yearly!$D:$AM, MATCH(AB$1, US_national_yearly!$D$1:$AM$1, 0), FALSE) / VLOOKUP(Substitution!$M$8 &amp; $A6, US_national_yearly!$D:$AM, MATCH(Keys!$C$7, US_national_yearly!$D$1:$AM$1, 0), FALSE), 1)</f>
        <v>3.6490192974916E-2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Substitution!$G$8)/IFERROR(SUMIFS(COBRA_aggregated!$U:$U, COBRA_aggregated!$A:$A, About!$B$1, COBRA_aggregated!$B:$B, Substitution!$G$8), 1)</f>
        <v>4.9138607461742312E-2</v>
      </c>
      <c r="C7" s="12">
        <f>$B7 * IFERROR(VLOOKUP(Substitution!$M$8 &amp; $A7, US_national_yearly!$D:$AM, MATCH(C$1, US_national_yearly!$D$1:$AM$1, 0), FALSE) / VLOOKUP(Substitution!$M$8 &amp; $A7, US_national_yearly!$D:$AM, MATCH(Keys!$C$7, US_national_yearly!$D$1:$AM$1, 0), FALSE), 1)</f>
        <v>4.9138607461742312E-2</v>
      </c>
      <c r="D7" s="12">
        <f>$B7 * IFERROR(VLOOKUP(Substitution!$M$8 &amp; $A7, US_national_yearly!$D:$AM, MATCH(D$1, US_national_yearly!$D$1:$AM$1, 0), FALSE) / VLOOKUP(Substitution!$M$8 &amp; $A7, US_national_yearly!$D:$AM, MATCH(Keys!$C$7, US_national_yearly!$D$1:$AM$1, 0), FALSE), 1)</f>
        <v>4.9138607461742312E-2</v>
      </c>
      <c r="E7" s="12">
        <f>$B7 * IFERROR(VLOOKUP(Substitution!$M$8 &amp; $A7, US_national_yearly!$D:$AM, MATCH(E$1, US_national_yearly!$D$1:$AM$1, 0), FALSE) / VLOOKUP(Substitution!$M$8 &amp; $A7, US_national_yearly!$D:$AM, MATCH(Keys!$C$7, US_national_yearly!$D$1:$AM$1, 0), FALSE), 1)</f>
        <v>4.9138607461742312E-2</v>
      </c>
      <c r="F7" s="12">
        <f>$B7 * IFERROR(VLOOKUP(Substitution!$M$8 &amp; $A7, US_national_yearly!$D:$AM, MATCH(F$1, US_national_yearly!$D$1:$AM$1, 0), FALSE) / VLOOKUP(Substitution!$M$8 &amp; $A7, US_national_yearly!$D:$AM, MATCH(Keys!$C$7, US_national_yearly!$D$1:$AM$1, 0), FALSE), 1)</f>
        <v>4.9138607461742312E-2</v>
      </c>
      <c r="G7" s="12">
        <f>$B7 * IFERROR(VLOOKUP(Substitution!$M$8 &amp; $A7, US_national_yearly!$D:$AM, MATCH(G$1, US_national_yearly!$D$1:$AM$1, 0), FALSE) / VLOOKUP(Substitution!$M$8 &amp; $A7, US_national_yearly!$D:$AM, MATCH(Keys!$C$7, US_national_yearly!$D$1:$AM$1, 0), FALSE), 1)</f>
        <v>4.9138607461742312E-2</v>
      </c>
      <c r="H7" s="12">
        <f>$B7 * IFERROR(VLOOKUP(Substitution!$M$8 &amp; $A7, US_national_yearly!$D:$AM, MATCH(H$1, US_national_yearly!$D$1:$AM$1, 0), FALSE) / VLOOKUP(Substitution!$M$8 &amp; $A7, US_national_yearly!$D:$AM, MATCH(Keys!$C$7, US_national_yearly!$D$1:$AM$1, 0), FALSE), 1)</f>
        <v>4.9138607461742312E-2</v>
      </c>
      <c r="I7" s="12">
        <f>$B7 * IFERROR(VLOOKUP(Substitution!$M$8 &amp; $A7, US_national_yearly!$D:$AM, MATCH(I$1, US_national_yearly!$D$1:$AM$1, 0), FALSE) / VLOOKUP(Substitution!$M$8 &amp; $A7, US_national_yearly!$D:$AM, MATCH(Keys!$C$7, US_national_yearly!$D$1:$AM$1, 0), FALSE), 1)</f>
        <v>4.9138607461742312E-2</v>
      </c>
      <c r="J7" s="12">
        <f>$B7 * IFERROR(VLOOKUP(Substitution!$M$8 &amp; $A7, US_national_yearly!$D:$AM, MATCH(J$1, US_national_yearly!$D$1:$AM$1, 0), FALSE) / VLOOKUP(Substitution!$M$8 &amp; $A7, US_national_yearly!$D:$AM, MATCH(Keys!$C$7, US_national_yearly!$D$1:$AM$1, 0), FALSE), 1)</f>
        <v>4.9138607461742312E-2</v>
      </c>
      <c r="K7" s="12">
        <f>$B7 * IFERROR(VLOOKUP(Substitution!$M$8 &amp; $A7, US_national_yearly!$D:$AM, MATCH(K$1, US_national_yearly!$D$1:$AM$1, 0), FALSE) / VLOOKUP(Substitution!$M$8 &amp; $A7, US_national_yearly!$D:$AM, MATCH(Keys!$C$7, US_national_yearly!$D$1:$AM$1, 0), FALSE), 1)</f>
        <v>4.9138607461742312E-2</v>
      </c>
      <c r="L7" s="12">
        <f>$B7 * IFERROR(VLOOKUP(Substitution!$M$8 &amp; $A7, US_national_yearly!$D:$AM, MATCH(L$1, US_national_yearly!$D$1:$AM$1, 0), FALSE) / VLOOKUP(Substitution!$M$8 &amp; $A7, US_national_yearly!$D:$AM, MATCH(Keys!$C$7, US_national_yearly!$D$1:$AM$1, 0), FALSE), 1)</f>
        <v>4.9138607461742312E-2</v>
      </c>
      <c r="M7" s="12">
        <f>$B7 * IFERROR(VLOOKUP(Substitution!$M$8 &amp; $A7, US_national_yearly!$D:$AM, MATCH(M$1, US_national_yearly!$D$1:$AM$1, 0), FALSE) / VLOOKUP(Substitution!$M$8 &amp; $A7, US_national_yearly!$D:$AM, MATCH(Keys!$C$7, US_national_yearly!$D$1:$AM$1, 0), FALSE), 1)</f>
        <v>4.9138607461742312E-2</v>
      </c>
      <c r="N7" s="12">
        <f>$B7 * IFERROR(VLOOKUP(Substitution!$M$8 &amp; $A7, US_national_yearly!$D:$AM, MATCH(N$1, US_national_yearly!$D$1:$AM$1, 0), FALSE) / VLOOKUP(Substitution!$M$8 &amp; $A7, US_national_yearly!$D:$AM, MATCH(Keys!$C$7, US_national_yearly!$D$1:$AM$1, 0), FALSE), 1)</f>
        <v>4.9138607461742312E-2</v>
      </c>
      <c r="O7" s="12">
        <f>$B7 * IFERROR(VLOOKUP(Substitution!$M$8 &amp; $A7, US_national_yearly!$D:$AM, MATCH(O$1, US_national_yearly!$D$1:$AM$1, 0), FALSE) / VLOOKUP(Substitution!$M$8 &amp; $A7, US_national_yearly!$D:$AM, MATCH(Keys!$C$7, US_national_yearly!$D$1:$AM$1, 0), FALSE), 1)</f>
        <v>4.9138607461742312E-2</v>
      </c>
      <c r="P7" s="12">
        <f>$B7 * IFERROR(VLOOKUP(Substitution!$M$8 &amp; $A7, US_national_yearly!$D:$AM, MATCH(P$1, US_national_yearly!$D$1:$AM$1, 0), FALSE) / VLOOKUP(Substitution!$M$8 &amp; $A7, US_national_yearly!$D:$AM, MATCH(Keys!$C$7, US_national_yearly!$D$1:$AM$1, 0), FALSE), 1)</f>
        <v>4.9138607461742312E-2</v>
      </c>
      <c r="Q7" s="12">
        <f>$B7 * IFERROR(VLOOKUP(Substitution!$M$8 &amp; $A7, US_national_yearly!$D:$AM, MATCH(Q$1, US_national_yearly!$D$1:$AM$1, 0), FALSE) / VLOOKUP(Substitution!$M$8 &amp; $A7, US_national_yearly!$D:$AM, MATCH(Keys!$C$7, US_national_yearly!$D$1:$AM$1, 0), FALSE), 1)</f>
        <v>4.9138607461742312E-2</v>
      </c>
      <c r="R7" s="12">
        <f>$B7 * IFERROR(VLOOKUP(Substitution!$M$8 &amp; $A7, US_national_yearly!$D:$AM, MATCH(R$1, US_national_yearly!$D$1:$AM$1, 0), FALSE) / VLOOKUP(Substitution!$M$8 &amp; $A7, US_national_yearly!$D:$AM, MATCH(Keys!$C$7, US_national_yearly!$D$1:$AM$1, 0), FALSE), 1)</f>
        <v>4.9138607461742312E-2</v>
      </c>
      <c r="S7" s="12">
        <f>$B7 * IFERROR(VLOOKUP(Substitution!$M$8 &amp; $A7, US_national_yearly!$D:$AM, MATCH(S$1, US_national_yearly!$D$1:$AM$1, 0), FALSE) / VLOOKUP(Substitution!$M$8 &amp; $A7, US_national_yearly!$D:$AM, MATCH(Keys!$C$7, US_national_yearly!$D$1:$AM$1, 0), FALSE), 1)</f>
        <v>4.9138607461742312E-2</v>
      </c>
      <c r="T7" s="12">
        <f>$B7 * IFERROR(VLOOKUP(Substitution!$M$8 &amp; $A7, US_national_yearly!$D:$AM, MATCH(T$1, US_national_yearly!$D$1:$AM$1, 0), FALSE) / VLOOKUP(Substitution!$M$8 &amp; $A7, US_national_yearly!$D:$AM, MATCH(Keys!$C$7, US_national_yearly!$D$1:$AM$1, 0), FALSE), 1)</f>
        <v>4.9138607461742312E-2</v>
      </c>
      <c r="U7" s="12">
        <f>$B7 * IFERROR(VLOOKUP(Substitution!$M$8 &amp; $A7, US_national_yearly!$D:$AM, MATCH(U$1, US_national_yearly!$D$1:$AM$1, 0), FALSE) / VLOOKUP(Substitution!$M$8 &amp; $A7, US_national_yearly!$D:$AM, MATCH(Keys!$C$7, US_national_yearly!$D$1:$AM$1, 0), FALSE), 1)</f>
        <v>4.9138607461742312E-2</v>
      </c>
      <c r="V7" s="12">
        <f>$B7 * IFERROR(VLOOKUP(Substitution!$M$8 &amp; $A7, US_national_yearly!$D:$AM, MATCH(V$1, US_national_yearly!$D$1:$AM$1, 0), FALSE) / VLOOKUP(Substitution!$M$8 &amp; $A7, US_national_yearly!$D:$AM, MATCH(Keys!$C$7, US_national_yearly!$D$1:$AM$1, 0), FALSE), 1)</f>
        <v>4.9138607461742312E-2</v>
      </c>
      <c r="W7" s="12">
        <f>$B7 * IFERROR(VLOOKUP(Substitution!$M$8 &amp; $A7, US_national_yearly!$D:$AM, MATCH(W$1, US_national_yearly!$D$1:$AM$1, 0), FALSE) / VLOOKUP(Substitution!$M$8 &amp; $A7, US_national_yearly!$D:$AM, MATCH(Keys!$C$7, US_national_yearly!$D$1:$AM$1, 0), FALSE), 1)</f>
        <v>4.9138607461742312E-2</v>
      </c>
      <c r="X7" s="12">
        <f>$B7 * IFERROR(VLOOKUP(Substitution!$M$8 &amp; $A7, US_national_yearly!$D:$AM, MATCH(X$1, US_national_yearly!$D$1:$AM$1, 0), FALSE) / VLOOKUP(Substitution!$M$8 &amp; $A7, US_national_yearly!$D:$AM, MATCH(Keys!$C$7, US_national_yearly!$D$1:$AM$1, 0), FALSE), 1)</f>
        <v>4.9138607461742312E-2</v>
      </c>
      <c r="Y7" s="12">
        <f>$B7 * IFERROR(VLOOKUP(Substitution!$M$8 &amp; $A7, US_national_yearly!$D:$AM, MATCH(Y$1, US_national_yearly!$D$1:$AM$1, 0), FALSE) / VLOOKUP(Substitution!$M$8 &amp; $A7, US_national_yearly!$D:$AM, MATCH(Keys!$C$7, US_national_yearly!$D$1:$AM$1, 0), FALSE), 1)</f>
        <v>4.9138607461742312E-2</v>
      </c>
      <c r="Z7" s="12">
        <f>$B7 * IFERROR(VLOOKUP(Substitution!$M$8 &amp; $A7, US_national_yearly!$D:$AM, MATCH(Z$1, US_national_yearly!$D$1:$AM$1, 0), FALSE) / VLOOKUP(Substitution!$M$8 &amp; $A7, US_national_yearly!$D:$AM, MATCH(Keys!$C$7, US_national_yearly!$D$1:$AM$1, 0), FALSE), 1)</f>
        <v>4.9138607461742312E-2</v>
      </c>
      <c r="AA7" s="12">
        <f>$B7 * IFERROR(VLOOKUP(Substitution!$M$8 &amp; $A7, US_national_yearly!$D:$AM, MATCH(AA$1, US_national_yearly!$D$1:$AM$1, 0), FALSE) / VLOOKUP(Substitution!$M$8 &amp; $A7, US_national_yearly!$D:$AM, MATCH(Keys!$C$7, US_national_yearly!$D$1:$AM$1, 0), FALSE), 1)</f>
        <v>4.9138607461742312E-2</v>
      </c>
      <c r="AB7" s="12">
        <f>$B7 * IFERROR(VLOOKUP(Substitution!$M$8 &amp; $A7, US_national_yearly!$D:$AM, MATCH(AB$1, US_national_yearly!$D$1:$AM$1, 0), FALSE) / VLOOKUP(Substitution!$M$8 &amp; $A7, US_national_yearly!$D:$AM, MATCH(Keys!$C$7, US_national_yearly!$D$1:$AM$1, 0), FALSE), 1)</f>
        <v>4.9138607461742312E-2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Substitution!$G$8)/IFERROR(SUMIFS(COBRA_aggregated!$U:$U, COBRA_aggregated!$A:$A, About!$B$1, COBRA_aggregated!$B:$B, Substitution!$G$8), 1)</f>
        <v>7.5078075816571319E-2</v>
      </c>
      <c r="C8" s="12">
        <f>$B8 * IFERROR(VLOOKUP(Substitution!$M$8 &amp; $A8, US_national_yearly!$D:$AM, MATCH(C$1, US_national_yearly!$D$1:$AM$1, 0), FALSE) / VLOOKUP(Substitution!$M$8 &amp; $A8, US_national_yearly!$D:$AM, MATCH(Keys!$C$7, US_national_yearly!$D$1:$AM$1, 0), FALSE), 1)</f>
        <v>7.5078075816571319E-2</v>
      </c>
      <c r="D8" s="12">
        <f>$B8 * IFERROR(VLOOKUP(Substitution!$M$8 &amp; $A8, US_national_yearly!$D:$AM, MATCH(D$1, US_national_yearly!$D$1:$AM$1, 0), FALSE) / VLOOKUP(Substitution!$M$8 &amp; $A8, US_national_yearly!$D:$AM, MATCH(Keys!$C$7, US_national_yearly!$D$1:$AM$1, 0), FALSE), 1)</f>
        <v>7.5078075816571319E-2</v>
      </c>
      <c r="E8" s="12">
        <f>$B8 * IFERROR(VLOOKUP(Substitution!$M$8 &amp; $A8, US_national_yearly!$D:$AM, MATCH(E$1, US_national_yearly!$D$1:$AM$1, 0), FALSE) / VLOOKUP(Substitution!$M$8 &amp; $A8, US_national_yearly!$D:$AM, MATCH(Keys!$C$7, US_national_yearly!$D$1:$AM$1, 0), FALSE), 1)</f>
        <v>7.5078075816571319E-2</v>
      </c>
      <c r="F8" s="12">
        <f>$B8 * IFERROR(VLOOKUP(Substitution!$M$8 &amp; $A8, US_national_yearly!$D:$AM, MATCH(F$1, US_national_yearly!$D$1:$AM$1, 0), FALSE) / VLOOKUP(Substitution!$M$8 &amp; $A8, US_national_yearly!$D:$AM, MATCH(Keys!$C$7, US_national_yearly!$D$1:$AM$1, 0), FALSE), 1)</f>
        <v>7.5078075816571319E-2</v>
      </c>
      <c r="G8" s="12">
        <f>$B8 * IFERROR(VLOOKUP(Substitution!$M$8 &amp; $A8, US_national_yearly!$D:$AM, MATCH(G$1, US_national_yearly!$D$1:$AM$1, 0), FALSE) / VLOOKUP(Substitution!$M$8 &amp; $A8, US_national_yearly!$D:$AM, MATCH(Keys!$C$7, US_national_yearly!$D$1:$AM$1, 0), FALSE), 1)</f>
        <v>7.5078075816571319E-2</v>
      </c>
      <c r="H8" s="12">
        <f>$B8 * IFERROR(VLOOKUP(Substitution!$M$8 &amp; $A8, US_national_yearly!$D:$AM, MATCH(H$1, US_national_yearly!$D$1:$AM$1, 0), FALSE) / VLOOKUP(Substitution!$M$8 &amp; $A8, US_national_yearly!$D:$AM, MATCH(Keys!$C$7, US_national_yearly!$D$1:$AM$1, 0), FALSE), 1)</f>
        <v>7.5078075816571319E-2</v>
      </c>
      <c r="I8" s="12">
        <f>$B8 * IFERROR(VLOOKUP(Substitution!$M$8 &amp; $A8, US_national_yearly!$D:$AM, MATCH(I$1, US_national_yearly!$D$1:$AM$1, 0), FALSE) / VLOOKUP(Substitution!$M$8 &amp; $A8, US_national_yearly!$D:$AM, MATCH(Keys!$C$7, US_national_yearly!$D$1:$AM$1, 0), FALSE), 1)</f>
        <v>7.5078075816571319E-2</v>
      </c>
      <c r="J8" s="12">
        <f>$B8 * IFERROR(VLOOKUP(Substitution!$M$8 &amp; $A8, US_national_yearly!$D:$AM, MATCH(J$1, US_national_yearly!$D$1:$AM$1, 0), FALSE) / VLOOKUP(Substitution!$M$8 &amp; $A8, US_national_yearly!$D:$AM, MATCH(Keys!$C$7, US_national_yearly!$D$1:$AM$1, 0), FALSE), 1)</f>
        <v>7.5078075816571319E-2</v>
      </c>
      <c r="K8" s="12">
        <f>$B8 * IFERROR(VLOOKUP(Substitution!$M$8 &amp; $A8, US_national_yearly!$D:$AM, MATCH(K$1, US_national_yearly!$D$1:$AM$1, 0), FALSE) / VLOOKUP(Substitution!$M$8 &amp; $A8, US_national_yearly!$D:$AM, MATCH(Keys!$C$7, US_national_yearly!$D$1:$AM$1, 0), FALSE), 1)</f>
        <v>7.5078075816571319E-2</v>
      </c>
      <c r="L8" s="12">
        <f>$B8 * IFERROR(VLOOKUP(Substitution!$M$8 &amp; $A8, US_national_yearly!$D:$AM, MATCH(L$1, US_national_yearly!$D$1:$AM$1, 0), FALSE) / VLOOKUP(Substitution!$M$8 &amp; $A8, US_national_yearly!$D:$AM, MATCH(Keys!$C$7, US_national_yearly!$D$1:$AM$1, 0), FALSE), 1)</f>
        <v>7.5078075816571319E-2</v>
      </c>
      <c r="M8" s="12">
        <f>$B8 * IFERROR(VLOOKUP(Substitution!$M$8 &amp; $A8, US_national_yearly!$D:$AM, MATCH(M$1, US_national_yearly!$D$1:$AM$1, 0), FALSE) / VLOOKUP(Substitution!$M$8 &amp; $A8, US_national_yearly!$D:$AM, MATCH(Keys!$C$7, US_national_yearly!$D$1:$AM$1, 0), FALSE), 1)</f>
        <v>7.5078075816571319E-2</v>
      </c>
      <c r="N8" s="12">
        <f>$B8 * IFERROR(VLOOKUP(Substitution!$M$8 &amp; $A8, US_national_yearly!$D:$AM, MATCH(N$1, US_national_yearly!$D$1:$AM$1, 0), FALSE) / VLOOKUP(Substitution!$M$8 &amp; $A8, US_national_yearly!$D:$AM, MATCH(Keys!$C$7, US_national_yearly!$D$1:$AM$1, 0), FALSE), 1)</f>
        <v>7.5078075816571319E-2</v>
      </c>
      <c r="O8" s="12">
        <f>$B8 * IFERROR(VLOOKUP(Substitution!$M$8 &amp; $A8, US_national_yearly!$D:$AM, MATCH(O$1, US_national_yearly!$D$1:$AM$1, 0), FALSE) / VLOOKUP(Substitution!$M$8 &amp; $A8, US_national_yearly!$D:$AM, MATCH(Keys!$C$7, US_national_yearly!$D$1:$AM$1, 0), FALSE), 1)</f>
        <v>7.5078075816571319E-2</v>
      </c>
      <c r="P8" s="12">
        <f>$B8 * IFERROR(VLOOKUP(Substitution!$M$8 &amp; $A8, US_national_yearly!$D:$AM, MATCH(P$1, US_national_yearly!$D$1:$AM$1, 0), FALSE) / VLOOKUP(Substitution!$M$8 &amp; $A8, US_national_yearly!$D:$AM, MATCH(Keys!$C$7, US_national_yearly!$D$1:$AM$1, 0), FALSE), 1)</f>
        <v>7.5078075816571319E-2</v>
      </c>
      <c r="Q8" s="12">
        <f>$B8 * IFERROR(VLOOKUP(Substitution!$M$8 &amp; $A8, US_national_yearly!$D:$AM, MATCH(Q$1, US_national_yearly!$D$1:$AM$1, 0), FALSE) / VLOOKUP(Substitution!$M$8 &amp; $A8, US_national_yearly!$D:$AM, MATCH(Keys!$C$7, US_national_yearly!$D$1:$AM$1, 0), FALSE), 1)</f>
        <v>7.5078075816571319E-2</v>
      </c>
      <c r="R8" s="12">
        <f>$B8 * IFERROR(VLOOKUP(Substitution!$M$8 &amp; $A8, US_national_yearly!$D:$AM, MATCH(R$1, US_national_yearly!$D$1:$AM$1, 0), FALSE) / VLOOKUP(Substitution!$M$8 &amp; $A8, US_national_yearly!$D:$AM, MATCH(Keys!$C$7, US_national_yearly!$D$1:$AM$1, 0), FALSE), 1)</f>
        <v>7.5078075816571319E-2</v>
      </c>
      <c r="S8" s="12">
        <f>$B8 * IFERROR(VLOOKUP(Substitution!$M$8 &amp; $A8, US_national_yearly!$D:$AM, MATCH(S$1, US_national_yearly!$D$1:$AM$1, 0), FALSE) / VLOOKUP(Substitution!$M$8 &amp; $A8, US_national_yearly!$D:$AM, MATCH(Keys!$C$7, US_national_yearly!$D$1:$AM$1, 0), FALSE), 1)</f>
        <v>7.5078075816571319E-2</v>
      </c>
      <c r="T8" s="12">
        <f>$B8 * IFERROR(VLOOKUP(Substitution!$M$8 &amp; $A8, US_national_yearly!$D:$AM, MATCH(T$1, US_national_yearly!$D$1:$AM$1, 0), FALSE) / VLOOKUP(Substitution!$M$8 &amp; $A8, US_national_yearly!$D:$AM, MATCH(Keys!$C$7, US_national_yearly!$D$1:$AM$1, 0), FALSE), 1)</f>
        <v>7.5078075816571319E-2</v>
      </c>
      <c r="U8" s="12">
        <f>$B8 * IFERROR(VLOOKUP(Substitution!$M$8 &amp; $A8, US_national_yearly!$D:$AM, MATCH(U$1, US_national_yearly!$D$1:$AM$1, 0), FALSE) / VLOOKUP(Substitution!$M$8 &amp; $A8, US_national_yearly!$D:$AM, MATCH(Keys!$C$7, US_national_yearly!$D$1:$AM$1, 0), FALSE), 1)</f>
        <v>7.5078075816571319E-2</v>
      </c>
      <c r="V8" s="12">
        <f>$B8 * IFERROR(VLOOKUP(Substitution!$M$8 &amp; $A8, US_national_yearly!$D:$AM, MATCH(V$1, US_national_yearly!$D$1:$AM$1, 0), FALSE) / VLOOKUP(Substitution!$M$8 &amp; $A8, US_national_yearly!$D:$AM, MATCH(Keys!$C$7, US_national_yearly!$D$1:$AM$1, 0), FALSE), 1)</f>
        <v>7.5078075816571319E-2</v>
      </c>
      <c r="W8" s="12">
        <f>$B8 * IFERROR(VLOOKUP(Substitution!$M$8 &amp; $A8, US_national_yearly!$D:$AM, MATCH(W$1, US_national_yearly!$D$1:$AM$1, 0), FALSE) / VLOOKUP(Substitution!$M$8 &amp; $A8, US_national_yearly!$D:$AM, MATCH(Keys!$C$7, US_national_yearly!$D$1:$AM$1, 0), FALSE), 1)</f>
        <v>7.5078075816571319E-2</v>
      </c>
      <c r="X8" s="12">
        <f>$B8 * IFERROR(VLOOKUP(Substitution!$M$8 &amp; $A8, US_national_yearly!$D:$AM, MATCH(X$1, US_national_yearly!$D$1:$AM$1, 0), FALSE) / VLOOKUP(Substitution!$M$8 &amp; $A8, US_national_yearly!$D:$AM, MATCH(Keys!$C$7, US_national_yearly!$D$1:$AM$1, 0), FALSE), 1)</f>
        <v>7.5078075816571319E-2</v>
      </c>
      <c r="Y8" s="12">
        <f>$B8 * IFERROR(VLOOKUP(Substitution!$M$8 &amp; $A8, US_national_yearly!$D:$AM, MATCH(Y$1, US_national_yearly!$D$1:$AM$1, 0), FALSE) / VLOOKUP(Substitution!$M$8 &amp; $A8, US_national_yearly!$D:$AM, MATCH(Keys!$C$7, US_national_yearly!$D$1:$AM$1, 0), FALSE), 1)</f>
        <v>7.5078075816571319E-2</v>
      </c>
      <c r="Z8" s="12">
        <f>$B8 * IFERROR(VLOOKUP(Substitution!$M$8 &amp; $A8, US_national_yearly!$D:$AM, MATCH(Z$1, US_national_yearly!$D$1:$AM$1, 0), FALSE) / VLOOKUP(Substitution!$M$8 &amp; $A8, US_national_yearly!$D:$AM, MATCH(Keys!$C$7, US_national_yearly!$D$1:$AM$1, 0), FALSE), 1)</f>
        <v>7.5078075816571319E-2</v>
      </c>
      <c r="AA8" s="12">
        <f>$B8 * IFERROR(VLOOKUP(Substitution!$M$8 &amp; $A8, US_national_yearly!$D:$AM, MATCH(AA$1, US_national_yearly!$D$1:$AM$1, 0), FALSE) / VLOOKUP(Substitution!$M$8 &amp; $A8, US_national_yearly!$D:$AM, MATCH(Keys!$C$7, US_national_yearly!$D$1:$AM$1, 0), FALSE), 1)</f>
        <v>7.5078075816571319E-2</v>
      </c>
      <c r="AB8" s="12">
        <f>$B8 * IFERROR(VLOOKUP(Substitution!$M$8 &amp; $A8, US_national_yearly!$D:$AM, MATCH(AB$1, US_national_yearly!$D$1:$AM$1, 0), FALSE) / VLOOKUP(Substitution!$M$8 &amp; $A8, US_national_yearly!$D:$AM, MATCH(Keys!$C$7, US_national_yearly!$D$1:$AM$1, 0), FALSE), 1)</f>
        <v>7.5078075816571319E-2</v>
      </c>
    </row>
    <row r="9" spans="1:28" x14ac:dyDescent="0.25">
      <c r="A9" s="4" t="s">
        <v>305</v>
      </c>
      <c r="B9" s="12">
        <f>IFERROR(VLOOKUP(Substitution!$M$8 &amp; $A9, US_national_yearly!$D:$AM, MATCH(Keys!$C$7, US_national_yearly!$D$1:$AM$1, 0), FALSE), 0)</f>
        <v>2.9159914309205899E-2</v>
      </c>
      <c r="C9" s="12">
        <f>$B9 * IFERROR(VLOOKUP(Substitution!$M$8 &amp; $A9, US_national_yearly!$D:$AM, MATCH(C$1, US_national_yearly!$D$1:$AM$1, 0), FALSE) / VLOOKUP(Substitution!$M$8 &amp; $A9, US_national_yearly!$D:$AM, MATCH(Keys!$C$7, US_national_yearly!$D$1:$AM$1, 0), FALSE), 1)</f>
        <v>2.9342973268994502E-2</v>
      </c>
      <c r="D9" s="12">
        <f>$B9 * IFERROR(VLOOKUP(Substitution!$M$8 &amp; $A9, US_national_yearly!$D:$AM, MATCH(D$1, US_national_yearly!$D$1:$AM$1, 0), FALSE) / VLOOKUP(Substitution!$M$8 &amp; $A9, US_national_yearly!$D:$AM, MATCH(Keys!$C$7, US_national_yearly!$D$1:$AM$1, 0), FALSE), 1)</f>
        <v>2.9526032228783101E-2</v>
      </c>
      <c r="E9" s="12">
        <f>$B9 * IFERROR(VLOOKUP(Substitution!$M$8 &amp; $A9, US_national_yearly!$D:$AM, MATCH(E$1, US_national_yearly!$D$1:$AM$1, 0), FALSE) / VLOOKUP(Substitution!$M$8 &amp; $A9, US_national_yearly!$D:$AM, MATCH(Keys!$C$7, US_national_yearly!$D$1:$AM$1, 0), FALSE), 1)</f>
        <v>2.9709091188571703E-2</v>
      </c>
      <c r="F9" s="12">
        <f>$B9 * IFERROR(VLOOKUP(Substitution!$M$8 &amp; $A9, US_national_yearly!$D:$AM, MATCH(F$1, US_national_yearly!$D$1:$AM$1, 0), FALSE) / VLOOKUP(Substitution!$M$8 &amp; $A9, US_national_yearly!$D:$AM, MATCH(Keys!$C$7, US_national_yearly!$D$1:$AM$1, 0), FALSE), 1)</f>
        <v>2.9892150148360296E-2</v>
      </c>
      <c r="G9" s="12">
        <f>$B9 * IFERROR(VLOOKUP(Substitution!$M$8 &amp; $A9, US_national_yearly!$D:$AM, MATCH(G$1, US_national_yearly!$D$1:$AM$1, 0), FALSE) / VLOOKUP(Substitution!$M$8 &amp; $A9, US_national_yearly!$D:$AM, MATCH(Keys!$C$7, US_national_yearly!$D$1:$AM$1, 0), FALSE), 1)</f>
        <v>3.0055190559166899E-2</v>
      </c>
      <c r="H9" s="12">
        <f>$B9 * IFERROR(VLOOKUP(Substitution!$M$8 &amp; $A9, US_national_yearly!$D:$AM, MATCH(H$1, US_national_yearly!$D$1:$AM$1, 0), FALSE) / VLOOKUP(Substitution!$M$8 &amp; $A9, US_national_yearly!$D:$AM, MATCH(Keys!$C$7, US_national_yearly!$D$1:$AM$1, 0), FALSE), 1)</f>
        <v>3.02182309699735E-2</v>
      </c>
      <c r="I9" s="12">
        <f>$B9 * IFERROR(VLOOKUP(Substitution!$M$8 &amp; $A9, US_national_yearly!$D:$AM, MATCH(I$1, US_national_yearly!$D$1:$AM$1, 0), FALSE) / VLOOKUP(Substitution!$M$8 &amp; $A9, US_national_yearly!$D:$AM, MATCH(Keys!$C$7, US_national_yearly!$D$1:$AM$1, 0), FALSE), 1)</f>
        <v>3.0346953171637783E-2</v>
      </c>
      <c r="J9" s="12">
        <f>$B9 * IFERROR(VLOOKUP(Substitution!$M$8 &amp; $A9, US_national_yearly!$D:$AM, MATCH(J$1, US_national_yearly!$D$1:$AM$1, 0), FALSE) / VLOOKUP(Substitution!$M$8 &amp; $A9, US_national_yearly!$D:$AM, MATCH(Keys!$C$7, US_national_yearly!$D$1:$AM$1, 0), FALSE), 1)</f>
        <v>3.047567537330206E-2</v>
      </c>
      <c r="K9" s="12">
        <f>$B9 * IFERROR(VLOOKUP(Substitution!$M$8 &amp; $A9, US_national_yearly!$D:$AM, MATCH(K$1, US_national_yearly!$D$1:$AM$1, 0), FALSE) / VLOOKUP(Substitution!$M$8 &amp; $A9, US_national_yearly!$D:$AM, MATCH(Keys!$C$7, US_national_yearly!$D$1:$AM$1, 0), FALSE), 1)</f>
        <v>3.060439757496634E-2</v>
      </c>
      <c r="L9" s="12">
        <f>$B9 * IFERROR(VLOOKUP(Substitution!$M$8 &amp; $A9, US_national_yearly!$D:$AM, MATCH(L$1, US_national_yearly!$D$1:$AM$1, 0), FALSE) / VLOOKUP(Substitution!$M$8 &amp; $A9, US_national_yearly!$D:$AM, MATCH(Keys!$C$7, US_national_yearly!$D$1:$AM$1, 0), FALSE), 1)</f>
        <v>3.0733119776630617E-2</v>
      </c>
      <c r="M9" s="12">
        <f>$B9 * IFERROR(VLOOKUP(Substitution!$M$8 &amp; $A9, US_national_yearly!$D:$AM, MATCH(M$1, US_national_yearly!$D$1:$AM$1, 0), FALSE) / VLOOKUP(Substitution!$M$8 &amp; $A9, US_national_yearly!$D:$AM, MATCH(Keys!$C$7, US_national_yearly!$D$1:$AM$1, 0), FALSE), 1)</f>
        <v>3.0861841978294901E-2</v>
      </c>
      <c r="N9" s="12">
        <f>$B9 * IFERROR(VLOOKUP(Substitution!$M$8 &amp; $A9, US_national_yearly!$D:$AM, MATCH(N$1, US_national_yearly!$D$1:$AM$1, 0), FALSE) / VLOOKUP(Substitution!$M$8 &amp; $A9, US_national_yearly!$D:$AM, MATCH(Keys!$C$7, US_national_yearly!$D$1:$AM$1, 0), FALSE), 1)</f>
        <v>3.0976779758838825E-2</v>
      </c>
      <c r="O9" s="12">
        <f>$B9 * IFERROR(VLOOKUP(Substitution!$M$8 &amp; $A9, US_national_yearly!$D:$AM, MATCH(O$1, US_national_yearly!$D$1:$AM$1, 0), FALSE) / VLOOKUP(Substitution!$M$8 &amp; $A9, US_national_yearly!$D:$AM, MATCH(Keys!$C$7, US_national_yearly!$D$1:$AM$1, 0), FALSE), 1)</f>
        <v>3.1091717539382738E-2</v>
      </c>
      <c r="P9" s="12">
        <f>$B9 * IFERROR(VLOOKUP(Substitution!$M$8 &amp; $A9, US_national_yearly!$D:$AM, MATCH(P$1, US_national_yearly!$D$1:$AM$1, 0), FALSE) / VLOOKUP(Substitution!$M$8 &amp; $A9, US_national_yearly!$D:$AM, MATCH(Keys!$C$7, US_national_yearly!$D$1:$AM$1, 0), FALSE), 1)</f>
        <v>3.1206655319926661E-2</v>
      </c>
      <c r="Q9" s="12">
        <f>$B9 * IFERROR(VLOOKUP(Substitution!$M$8 &amp; $A9, US_national_yearly!$D:$AM, MATCH(Q$1, US_national_yearly!$D$1:$AM$1, 0), FALSE) / VLOOKUP(Substitution!$M$8 &amp; $A9, US_national_yearly!$D:$AM, MATCH(Keys!$C$7, US_national_yearly!$D$1:$AM$1, 0), FALSE), 1)</f>
        <v>3.1321593100470578E-2</v>
      </c>
      <c r="R9" s="12">
        <f>$B9 * IFERROR(VLOOKUP(Substitution!$M$8 &amp; $A9, US_national_yearly!$D:$AM, MATCH(R$1, US_national_yearly!$D$1:$AM$1, 0), FALSE) / VLOOKUP(Substitution!$M$8 &amp; $A9, US_national_yearly!$D:$AM, MATCH(Keys!$C$7, US_national_yearly!$D$1:$AM$1, 0), FALSE), 1)</f>
        <v>3.1436530881014502E-2</v>
      </c>
      <c r="S9" s="12">
        <f>$B9 * IFERROR(VLOOKUP(Substitution!$M$8 &amp; $A9, US_national_yearly!$D:$AM, MATCH(S$1, US_national_yearly!$D$1:$AM$1, 0), FALSE) / VLOOKUP(Substitution!$M$8 &amp; $A9, US_national_yearly!$D:$AM, MATCH(Keys!$C$7, US_national_yearly!$D$1:$AM$1, 0), FALSE), 1)</f>
        <v>3.1544943964267477E-2</v>
      </c>
      <c r="T9" s="12">
        <f>$B9 * IFERROR(VLOOKUP(Substitution!$M$8 &amp; $A9, US_national_yearly!$D:$AM, MATCH(T$1, US_national_yearly!$D$1:$AM$1, 0), FALSE) / VLOOKUP(Substitution!$M$8 &amp; $A9, US_national_yearly!$D:$AM, MATCH(Keys!$C$7, US_national_yearly!$D$1:$AM$1, 0), FALSE), 1)</f>
        <v>3.165335704752046E-2</v>
      </c>
      <c r="U9" s="12">
        <f>$B9 * IFERROR(VLOOKUP(Substitution!$M$8 &amp; $A9, US_national_yearly!$D:$AM, MATCH(U$1, US_national_yearly!$D$1:$AM$1, 0), FALSE) / VLOOKUP(Substitution!$M$8 &amp; $A9, US_national_yearly!$D:$AM, MATCH(Keys!$C$7, US_national_yearly!$D$1:$AM$1, 0), FALSE), 1)</f>
        <v>3.1761770130773442E-2</v>
      </c>
      <c r="V9" s="12">
        <f>$B9 * IFERROR(VLOOKUP(Substitution!$M$8 &amp; $A9, US_national_yearly!$D:$AM, MATCH(V$1, US_national_yearly!$D$1:$AM$1, 0), FALSE) / VLOOKUP(Substitution!$M$8 &amp; $A9, US_national_yearly!$D:$AM, MATCH(Keys!$C$7, US_national_yearly!$D$1:$AM$1, 0), FALSE), 1)</f>
        <v>3.1870183214026418E-2</v>
      </c>
      <c r="W9" s="12">
        <f>$B9 * IFERROR(VLOOKUP(Substitution!$M$8 &amp; $A9, US_national_yearly!$D:$AM, MATCH(W$1, US_national_yearly!$D$1:$AM$1, 0), FALSE) / VLOOKUP(Substitution!$M$8 &amp; $A9, US_national_yearly!$D:$AM, MATCH(Keys!$C$7, US_national_yearly!$D$1:$AM$1, 0), FALSE), 1)</f>
        <v>3.1978596297279401E-2</v>
      </c>
      <c r="X9" s="12">
        <f>$B9 * IFERROR(VLOOKUP(Substitution!$M$8 &amp; $A9, US_national_yearly!$D:$AM, MATCH(X$1, US_national_yearly!$D$1:$AM$1, 0), FALSE) / VLOOKUP(Substitution!$M$8 &amp; $A9, US_national_yearly!$D:$AM, MATCH(Keys!$C$7, US_national_yearly!$D$1:$AM$1, 0), FALSE), 1)</f>
        <v>3.2080454965179063E-2</v>
      </c>
      <c r="Y9" s="12">
        <f>$B9 * IFERROR(VLOOKUP(Substitution!$M$8 &amp; $A9, US_national_yearly!$D:$AM, MATCH(Y$1, US_national_yearly!$D$1:$AM$1, 0), FALSE) / VLOOKUP(Substitution!$M$8 &amp; $A9, US_national_yearly!$D:$AM, MATCH(Keys!$C$7, US_national_yearly!$D$1:$AM$1, 0), FALSE), 1)</f>
        <v>3.2182313633078719E-2</v>
      </c>
      <c r="Z9" s="12">
        <f>$B9 * IFERROR(VLOOKUP(Substitution!$M$8 &amp; $A9, US_national_yearly!$D:$AM, MATCH(Z$1, US_national_yearly!$D$1:$AM$1, 0), FALSE) / VLOOKUP(Substitution!$M$8 &amp; $A9, US_national_yearly!$D:$AM, MATCH(Keys!$C$7, US_national_yearly!$D$1:$AM$1, 0), FALSE), 1)</f>
        <v>3.2284172300978381E-2</v>
      </c>
      <c r="AA9" s="12">
        <f>$B9 * IFERROR(VLOOKUP(Substitution!$M$8 &amp; $A9, US_national_yearly!$D:$AM, MATCH(AA$1, US_national_yearly!$D$1:$AM$1, 0), FALSE) / VLOOKUP(Substitution!$M$8 &amp; $A9, US_national_yearly!$D:$AM, MATCH(Keys!$C$7, US_national_yearly!$D$1:$AM$1, 0), FALSE), 1)</f>
        <v>3.2386030968878043E-2</v>
      </c>
      <c r="AB9" s="12">
        <f>$B9 * IFERROR(VLOOKUP(Substitution!$M$8 &amp; $A9, US_national_yearly!$D:$AM, MATCH(AB$1, US_national_yearly!$D$1:$AM$1, 0), FALSE) / VLOOKUP(Substitution!$M$8 &amp; $A9, US_national_yearly!$D:$AM, MATCH(Keys!$C$7, US_national_yearly!$D$1:$AM$1, 0), FALSE), 1)</f>
        <v>3.2487889636777699E-2</v>
      </c>
    </row>
    <row r="10" spans="1:28" x14ac:dyDescent="0.25">
      <c r="A10" s="4" t="s">
        <v>307</v>
      </c>
      <c r="B10" s="12">
        <f>IFERROR(VLOOKUP(Substitution!$M$8 &amp; $A10, US_national_yearly!$D:$AM, MATCH(Keys!$C$7, US_national_yearly!$D$1:$AM$1, 0), FALSE), 0)</f>
        <v>0.185636524019754</v>
      </c>
      <c r="C10" s="12">
        <f>$B10 * IFERROR(VLOOKUP(Substitution!$M$8 &amp; $A10, US_national_yearly!$D:$AM, MATCH(C$1, US_national_yearly!$D$1:$AM$1, 0), FALSE) / VLOOKUP(Substitution!$M$8 &amp; $A10, US_national_yearly!$D:$AM, MATCH(Keys!$C$7, US_national_yearly!$D$1:$AM$1, 0), FALSE), 1)</f>
        <v>0.18728552008149899</v>
      </c>
      <c r="D10" s="12">
        <f>$B10 * IFERROR(VLOOKUP(Substitution!$M$8 &amp; $A10, US_national_yearly!$D:$AM, MATCH(D$1, US_national_yearly!$D$1:$AM$1, 0), FALSE) / VLOOKUP(Substitution!$M$8 &amp; $A10, US_national_yearly!$D:$AM, MATCH(Keys!$C$7, US_national_yearly!$D$1:$AM$1, 0), FALSE), 1)</f>
        <v>0.188934516143244</v>
      </c>
      <c r="E10" s="12">
        <f>$B10 * IFERROR(VLOOKUP(Substitution!$M$8 &amp; $A10, US_national_yearly!$D:$AM, MATCH(E$1, US_national_yearly!$D$1:$AM$1, 0), FALSE) / VLOOKUP(Substitution!$M$8 &amp; $A10, US_national_yearly!$D:$AM, MATCH(Keys!$C$7, US_national_yearly!$D$1:$AM$1, 0), FALSE), 1)</f>
        <v>0.19058351220498901</v>
      </c>
      <c r="F10" s="12">
        <f>$B10 * IFERROR(VLOOKUP(Substitution!$M$8 &amp; $A10, US_national_yearly!$D:$AM, MATCH(F$1, US_national_yearly!$D$1:$AM$1, 0), FALSE) / VLOOKUP(Substitution!$M$8 &amp; $A10, US_national_yearly!$D:$AM, MATCH(Keys!$C$7, US_national_yearly!$D$1:$AM$1, 0), FALSE), 1)</f>
        <v>0.19223250826673402</v>
      </c>
      <c r="G10" s="12">
        <f>$B10 * IFERROR(VLOOKUP(Substitution!$M$8 &amp; $A10, US_national_yearly!$D:$AM, MATCH(G$1, US_national_yearly!$D$1:$AM$1, 0), FALSE) / VLOOKUP(Substitution!$M$8 &amp; $A10, US_national_yearly!$D:$AM, MATCH(Keys!$C$7, US_national_yearly!$D$1:$AM$1, 0), FALSE), 1)</f>
        <v>0.19401935416072646</v>
      </c>
      <c r="H10" s="12">
        <f>$B10 * IFERROR(VLOOKUP(Substitution!$M$8 &amp; $A10, US_national_yearly!$D:$AM, MATCH(H$1, US_national_yearly!$D$1:$AM$1, 0), FALSE) / VLOOKUP(Substitution!$M$8 &amp; $A10, US_national_yearly!$D:$AM, MATCH(Keys!$C$7, US_national_yearly!$D$1:$AM$1, 0), FALSE), 1)</f>
        <v>0.19580620005471899</v>
      </c>
      <c r="I10" s="12">
        <f>$B10 * IFERROR(VLOOKUP(Substitution!$M$8 &amp; $A10, US_national_yearly!$D:$AM, MATCH(I$1, US_national_yearly!$D$1:$AM$1, 0), FALSE) / VLOOKUP(Substitution!$M$8 &amp; $A10, US_national_yearly!$D:$AM, MATCH(Keys!$C$7, US_national_yearly!$D$1:$AM$1, 0), FALSE), 1)</f>
        <v>0.19711645682026557</v>
      </c>
      <c r="J10" s="12">
        <f>$B10 * IFERROR(VLOOKUP(Substitution!$M$8 &amp; $A10, US_national_yearly!$D:$AM, MATCH(J$1, US_national_yearly!$D$1:$AM$1, 0), FALSE) / VLOOKUP(Substitution!$M$8 &amp; $A10, US_national_yearly!$D:$AM, MATCH(Keys!$C$7, US_national_yearly!$D$1:$AM$1, 0), FALSE), 1)</f>
        <v>0.19842671358581224</v>
      </c>
      <c r="K10" s="12">
        <f>$B10 * IFERROR(VLOOKUP(Substitution!$M$8 &amp; $A10, US_national_yearly!$D:$AM, MATCH(K$1, US_national_yearly!$D$1:$AM$1, 0), FALSE) / VLOOKUP(Substitution!$M$8 &amp; $A10, US_national_yearly!$D:$AM, MATCH(Keys!$C$7, US_national_yearly!$D$1:$AM$1, 0), FALSE), 1)</f>
        <v>0.19973697035135879</v>
      </c>
      <c r="L10" s="12">
        <f>$B10 * IFERROR(VLOOKUP(Substitution!$M$8 &amp; $A10, US_national_yearly!$D:$AM, MATCH(L$1, US_national_yearly!$D$1:$AM$1, 0), FALSE) / VLOOKUP(Substitution!$M$8 &amp; $A10, US_national_yearly!$D:$AM, MATCH(Keys!$C$7, US_national_yearly!$D$1:$AM$1, 0), FALSE), 1)</f>
        <v>0.2010472271169054</v>
      </c>
      <c r="M10" s="12">
        <f>$B10 * IFERROR(VLOOKUP(Substitution!$M$8 &amp; $A10, US_national_yearly!$D:$AM, MATCH(M$1, US_national_yearly!$D$1:$AM$1, 0), FALSE) / VLOOKUP(Substitution!$M$8 &amp; $A10, US_national_yearly!$D:$AM, MATCH(Keys!$C$7, US_national_yearly!$D$1:$AM$1, 0), FALSE), 1)</f>
        <v>0.20235748388245198</v>
      </c>
      <c r="N10" s="12">
        <f>$B10 * IFERROR(VLOOKUP(Substitution!$M$8 &amp; $A10, US_national_yearly!$D:$AM, MATCH(N$1, US_national_yearly!$D$1:$AM$1, 0), FALSE) / VLOOKUP(Substitution!$M$8 &amp; $A10, US_national_yearly!$D:$AM, MATCH(Keys!$C$7, US_national_yearly!$D$1:$AM$1, 0), FALSE), 1)</f>
        <v>0.20299870434493478</v>
      </c>
      <c r="O10" s="12">
        <f>$B10 * IFERROR(VLOOKUP(Substitution!$M$8 &amp; $A10, US_national_yearly!$D:$AM, MATCH(O$1, US_national_yearly!$D$1:$AM$1, 0), FALSE) / VLOOKUP(Substitution!$M$8 &amp; $A10, US_national_yearly!$D:$AM, MATCH(Keys!$C$7, US_national_yearly!$D$1:$AM$1, 0), FALSE), 1)</f>
        <v>0.20363992480741763</v>
      </c>
      <c r="P10" s="12">
        <f>$B10 * IFERROR(VLOOKUP(Substitution!$M$8 &amp; $A10, US_national_yearly!$D:$AM, MATCH(P$1, US_national_yearly!$D$1:$AM$1, 0), FALSE) / VLOOKUP(Substitution!$M$8 &amp; $A10, US_national_yearly!$D:$AM, MATCH(Keys!$C$7, US_national_yearly!$D$1:$AM$1, 0), FALSE), 1)</f>
        <v>0.2042811452699004</v>
      </c>
      <c r="Q10" s="12">
        <f>$B10 * IFERROR(VLOOKUP(Substitution!$M$8 &amp; $A10, US_national_yearly!$D:$AM, MATCH(Q$1, US_national_yearly!$D$1:$AM$1, 0), FALSE) / VLOOKUP(Substitution!$M$8 &amp; $A10, US_national_yearly!$D:$AM, MATCH(Keys!$C$7, US_national_yearly!$D$1:$AM$1, 0), FALSE), 1)</f>
        <v>0.2049223657323832</v>
      </c>
      <c r="R10" s="12">
        <f>$B10 * IFERROR(VLOOKUP(Substitution!$M$8 &amp; $A10, US_national_yearly!$D:$AM, MATCH(R$1, US_national_yearly!$D$1:$AM$1, 0), FALSE) / VLOOKUP(Substitution!$M$8 &amp; $A10, US_national_yearly!$D:$AM, MATCH(Keys!$C$7, US_national_yearly!$D$1:$AM$1, 0), FALSE), 1)</f>
        <v>0.205563586194866</v>
      </c>
      <c r="S10" s="12">
        <f>$B10 * IFERROR(VLOOKUP(Substitution!$M$8 &amp; $A10, US_national_yearly!$D:$AM, MATCH(S$1, US_national_yearly!$D$1:$AM$1, 0), FALSE) / VLOOKUP(Substitution!$M$8 &amp; $A10, US_national_yearly!$D:$AM, MATCH(Keys!$C$7, US_national_yearly!$D$1:$AM$1, 0), FALSE), 1)</f>
        <v>0.20627380134131698</v>
      </c>
      <c r="T10" s="12">
        <f>$B10 * IFERROR(VLOOKUP(Substitution!$M$8 &amp; $A10, US_national_yearly!$D:$AM, MATCH(T$1, US_national_yearly!$D$1:$AM$1, 0), FALSE) / VLOOKUP(Substitution!$M$8 &amp; $A10, US_national_yearly!$D:$AM, MATCH(Keys!$C$7, US_national_yearly!$D$1:$AM$1, 0), FALSE), 1)</f>
        <v>0.20698401648776801</v>
      </c>
      <c r="U10" s="12">
        <f>$B10 * IFERROR(VLOOKUP(Substitution!$M$8 &amp; $A10, US_national_yearly!$D:$AM, MATCH(U$1, US_national_yearly!$D$1:$AM$1, 0), FALSE) / VLOOKUP(Substitution!$M$8 &amp; $A10, US_national_yearly!$D:$AM, MATCH(Keys!$C$7, US_national_yearly!$D$1:$AM$1, 0), FALSE), 1)</f>
        <v>0.20769423163421899</v>
      </c>
      <c r="V10" s="12">
        <f>$B10 * IFERROR(VLOOKUP(Substitution!$M$8 &amp; $A10, US_national_yearly!$D:$AM, MATCH(V$1, US_national_yearly!$D$1:$AM$1, 0), FALSE) / VLOOKUP(Substitution!$M$8 &amp; $A10, US_national_yearly!$D:$AM, MATCH(Keys!$C$7, US_national_yearly!$D$1:$AM$1, 0), FALSE), 1)</f>
        <v>0.20840444678066999</v>
      </c>
      <c r="W10" s="12">
        <f>$B10 * IFERROR(VLOOKUP(Substitution!$M$8 &amp; $A10, US_national_yearly!$D:$AM, MATCH(W$1, US_national_yearly!$D$1:$AM$1, 0), FALSE) / VLOOKUP(Substitution!$M$8 &amp; $A10, US_national_yearly!$D:$AM, MATCH(Keys!$C$7, US_national_yearly!$D$1:$AM$1, 0), FALSE), 1)</f>
        <v>0.209114661927121</v>
      </c>
      <c r="X10" s="12">
        <f>$B10 * IFERROR(VLOOKUP(Substitution!$M$8 &amp; $A10, US_national_yearly!$D:$AM, MATCH(X$1, US_national_yearly!$D$1:$AM$1, 0), FALSE) / VLOOKUP(Substitution!$M$8 &amp; $A10, US_national_yearly!$D:$AM, MATCH(Keys!$C$7, US_national_yearly!$D$1:$AM$1, 0), FALSE), 1)</f>
        <v>0.20985083993982401</v>
      </c>
      <c r="Y10" s="12">
        <f>$B10 * IFERROR(VLOOKUP(Substitution!$M$8 &amp; $A10, US_national_yearly!$D:$AM, MATCH(Y$1, US_national_yearly!$D$1:$AM$1, 0), FALSE) / VLOOKUP(Substitution!$M$8 &amp; $A10, US_national_yearly!$D:$AM, MATCH(Keys!$C$7, US_national_yearly!$D$1:$AM$1, 0), FALSE), 1)</f>
        <v>0.21058701795252699</v>
      </c>
      <c r="Z10" s="12">
        <f>$B10 * IFERROR(VLOOKUP(Substitution!$M$8 &amp; $A10, US_national_yearly!$D:$AM, MATCH(Z$1, US_national_yearly!$D$1:$AM$1, 0), FALSE) / VLOOKUP(Substitution!$M$8 &amp; $A10, US_national_yearly!$D:$AM, MATCH(Keys!$C$7, US_national_yearly!$D$1:$AM$1, 0), FALSE), 1)</f>
        <v>0.21132319596523</v>
      </c>
      <c r="AA10" s="12">
        <f>$B10 * IFERROR(VLOOKUP(Substitution!$M$8 &amp; $A10, US_national_yearly!$D:$AM, MATCH(AA$1, US_national_yearly!$D$1:$AM$1, 0), FALSE) / VLOOKUP(Substitution!$M$8 &amp; $A10, US_national_yearly!$D:$AM, MATCH(Keys!$C$7, US_national_yearly!$D$1:$AM$1, 0), FALSE), 1)</f>
        <v>0.21205937397793301</v>
      </c>
      <c r="AB10" s="12">
        <f>$B10 * IFERROR(VLOOKUP(Substitution!$M$8 &amp; $A10, US_national_yearly!$D:$AM, MATCH(AB$1, US_national_yearly!$D$1:$AM$1, 0), FALSE) / VLOOKUP(Substitution!$M$8 &amp; $A10, US_national_yearly!$D:$AM, MATCH(Keys!$C$7, US_national_yearly!$D$1:$AM$1, 0), FALSE), 1)</f>
        <v>0.21279555199063599</v>
      </c>
    </row>
    <row r="11" spans="1:28" x14ac:dyDescent="0.25">
      <c r="A11" s="4" t="s">
        <v>309</v>
      </c>
      <c r="B11" s="12">
        <f>IFERROR(VLOOKUP(Substitution!$M$8 &amp; $A11, US_national_yearly!$D:$AM, MATCH(Keys!$C$7, US_national_yearly!$D$1:$AM$1, 0), FALSE), 0)</f>
        <v>8.717371676413772E-3</v>
      </c>
      <c r="C11" s="12">
        <f>$B11 * IFERROR(VLOOKUP(Substitution!$M$8 &amp; $A11, US_national_yearly!$D:$AM, MATCH(C$1, US_national_yearly!$D$1:$AM$1, 0), FALSE) / VLOOKUP(Substitution!$M$8 &amp; $A11, US_national_yearly!$D:$AM, MATCH(Keys!$C$7, US_national_yearly!$D$1:$AM$1, 0), FALSE), 1)</f>
        <v>8.7975653613220454E-3</v>
      </c>
      <c r="D11" s="12">
        <f>$B11 * IFERROR(VLOOKUP(Substitution!$M$8 &amp; $A11, US_national_yearly!$D:$AM, MATCH(D$1, US_national_yearly!$D$1:$AM$1, 0), FALSE) / VLOOKUP(Substitution!$M$8 &amp; $A11, US_national_yearly!$D:$AM, MATCH(Keys!$C$7, US_national_yearly!$D$1:$AM$1, 0), FALSE), 1)</f>
        <v>8.8777590462303171E-3</v>
      </c>
      <c r="E11" s="12">
        <f>$B11 * IFERROR(VLOOKUP(Substitution!$M$8 &amp; $A11, US_national_yearly!$D:$AM, MATCH(E$1, US_national_yearly!$D$1:$AM$1, 0), FALSE) / VLOOKUP(Substitution!$M$8 &amp; $A11, US_national_yearly!$D:$AM, MATCH(Keys!$C$7, US_national_yearly!$D$1:$AM$1, 0), FALSE), 1)</f>
        <v>8.9579527311385888E-3</v>
      </c>
      <c r="F11" s="12">
        <f>$B11 * IFERROR(VLOOKUP(Substitution!$M$8 &amp; $A11, US_national_yearly!$D:$AM, MATCH(F$1, US_national_yearly!$D$1:$AM$1, 0), FALSE) / VLOOKUP(Substitution!$M$8 &amp; $A11, US_national_yearly!$D:$AM, MATCH(Keys!$C$7, US_national_yearly!$D$1:$AM$1, 0), FALSE), 1)</f>
        <v>9.0381464160468605E-3</v>
      </c>
      <c r="G11" s="12">
        <f>$B11 * IFERROR(VLOOKUP(Substitution!$M$8 &amp; $A11, US_national_yearly!$D:$AM, MATCH(G$1, US_national_yearly!$D$1:$AM$1, 0), FALSE) / VLOOKUP(Substitution!$M$8 &amp; $A11, US_national_yearly!$D:$AM, MATCH(Keys!$C$7, US_national_yearly!$D$1:$AM$1, 0), FALSE), 1)</f>
        <v>9.1207564164285659E-3</v>
      </c>
      <c r="H11" s="12">
        <f>$B11 * IFERROR(VLOOKUP(Substitution!$M$8 &amp; $A11, US_national_yearly!$D:$AM, MATCH(H$1, US_national_yearly!$D$1:$AM$1, 0), FALSE) / VLOOKUP(Substitution!$M$8 &amp; $A11, US_national_yearly!$D:$AM, MATCH(Keys!$C$7, US_national_yearly!$D$1:$AM$1, 0), FALSE), 1)</f>
        <v>9.2033664168102696E-3</v>
      </c>
      <c r="I11" s="12">
        <f>$B11 * IFERROR(VLOOKUP(Substitution!$M$8 &amp; $A11, US_national_yearly!$D:$AM, MATCH(I$1, US_national_yearly!$D$1:$AM$1, 0), FALSE) / VLOOKUP(Substitution!$M$8 &amp; $A11, US_national_yearly!$D:$AM, MATCH(Keys!$C$7, US_national_yearly!$D$1:$AM$1, 0), FALSE), 1)</f>
        <v>9.280183908302906E-3</v>
      </c>
      <c r="J11" s="12">
        <f>$B11 * IFERROR(VLOOKUP(Substitution!$M$8 &amp; $A11, US_national_yearly!$D:$AM, MATCH(J$1, US_national_yearly!$D$1:$AM$1, 0), FALSE) / VLOOKUP(Substitution!$M$8 &amp; $A11, US_national_yearly!$D:$AM, MATCH(Keys!$C$7, US_national_yearly!$D$1:$AM$1, 0), FALSE), 1)</f>
        <v>9.3570013997955424E-3</v>
      </c>
      <c r="K11" s="12">
        <f>$B11 * IFERROR(VLOOKUP(Substitution!$M$8 &amp; $A11, US_national_yearly!$D:$AM, MATCH(K$1, US_national_yearly!$D$1:$AM$1, 0), FALSE) / VLOOKUP(Substitution!$M$8 &amp; $A11, US_national_yearly!$D:$AM, MATCH(Keys!$C$7, US_national_yearly!$D$1:$AM$1, 0), FALSE), 1)</f>
        <v>9.433818891288177E-3</v>
      </c>
      <c r="L11" s="12">
        <f>$B11 * IFERROR(VLOOKUP(Substitution!$M$8 &amp; $A11, US_national_yearly!$D:$AM, MATCH(L$1, US_national_yearly!$D$1:$AM$1, 0), FALSE) / VLOOKUP(Substitution!$M$8 &amp; $A11, US_national_yearly!$D:$AM, MATCH(Keys!$C$7, US_national_yearly!$D$1:$AM$1, 0), FALSE), 1)</f>
        <v>9.5106363827808134E-3</v>
      </c>
      <c r="M11" s="12">
        <f>$B11 * IFERROR(VLOOKUP(Substitution!$M$8 &amp; $A11, US_national_yearly!$D:$AM, MATCH(M$1, US_national_yearly!$D$1:$AM$1, 0), FALSE) / VLOOKUP(Substitution!$M$8 &amp; $A11, US_national_yearly!$D:$AM, MATCH(Keys!$C$7, US_national_yearly!$D$1:$AM$1, 0), FALSE), 1)</f>
        <v>9.5874538742734498E-3</v>
      </c>
      <c r="N11" s="12">
        <f>$B11 * IFERROR(VLOOKUP(Substitution!$M$8 &amp; $A11, US_national_yearly!$D:$AM, MATCH(N$1, US_national_yearly!$D$1:$AM$1, 0), FALSE) / VLOOKUP(Substitution!$M$8 &amp; $A11, US_national_yearly!$D:$AM, MATCH(Keys!$C$7, US_national_yearly!$D$1:$AM$1, 0), FALSE), 1)</f>
        <v>9.6512602578074785E-3</v>
      </c>
      <c r="O11" s="12">
        <f>$B11 * IFERROR(VLOOKUP(Substitution!$M$8 &amp; $A11, US_national_yearly!$D:$AM, MATCH(O$1, US_national_yearly!$D$1:$AM$1, 0), FALSE) / VLOOKUP(Substitution!$M$8 &amp; $A11, US_national_yearly!$D:$AM, MATCH(Keys!$C$7, US_national_yearly!$D$1:$AM$1, 0), FALSE), 1)</f>
        <v>9.7150666413415108E-3</v>
      </c>
      <c r="P11" s="12">
        <f>$B11 * IFERROR(VLOOKUP(Substitution!$M$8 &amp; $A11, US_national_yearly!$D:$AM, MATCH(P$1, US_national_yearly!$D$1:$AM$1, 0), FALSE) / VLOOKUP(Substitution!$M$8 &amp; $A11, US_national_yearly!$D:$AM, MATCH(Keys!$C$7, US_national_yearly!$D$1:$AM$1, 0), FALSE), 1)</f>
        <v>9.7788730248755396E-3</v>
      </c>
      <c r="Q11" s="12">
        <f>$B11 * IFERROR(VLOOKUP(Substitution!$M$8 &amp; $A11, US_national_yearly!$D:$AM, MATCH(Q$1, US_national_yearly!$D$1:$AM$1, 0), FALSE) / VLOOKUP(Substitution!$M$8 &amp; $A11, US_national_yearly!$D:$AM, MATCH(Keys!$C$7, US_national_yearly!$D$1:$AM$1, 0), FALSE), 1)</f>
        <v>9.8426794084095701E-3</v>
      </c>
      <c r="R11" s="12">
        <f>$B11 * IFERROR(VLOOKUP(Substitution!$M$8 &amp; $A11, US_national_yearly!$D:$AM, MATCH(R$1, US_national_yearly!$D$1:$AM$1, 0), FALSE) / VLOOKUP(Substitution!$M$8 &amp; $A11, US_national_yearly!$D:$AM, MATCH(Keys!$C$7, US_national_yearly!$D$1:$AM$1, 0), FALSE), 1)</f>
        <v>9.9064857919436006E-3</v>
      </c>
      <c r="S11" s="12">
        <f>$B11 * IFERROR(VLOOKUP(Substitution!$M$8 &amp; $A11, US_national_yearly!$D:$AM, MATCH(S$1, US_national_yearly!$D$1:$AM$1, 0), FALSE) / VLOOKUP(Substitution!$M$8 &amp; $A11, US_national_yearly!$D:$AM, MATCH(Keys!$C$7, US_national_yearly!$D$1:$AM$1, 0), FALSE), 1)</f>
        <v>9.9606861858037004E-3</v>
      </c>
      <c r="T11" s="12">
        <f>$B11 * IFERROR(VLOOKUP(Substitution!$M$8 &amp; $A11, US_national_yearly!$D:$AM, MATCH(T$1, US_national_yearly!$D$1:$AM$1, 0), FALSE) / VLOOKUP(Substitution!$M$8 &amp; $A11, US_national_yearly!$D:$AM, MATCH(Keys!$C$7, US_national_yearly!$D$1:$AM$1, 0), FALSE), 1)</f>
        <v>1.00148865796638E-2</v>
      </c>
      <c r="U11" s="12">
        <f>$B11 * IFERROR(VLOOKUP(Substitution!$M$8 &amp; $A11, US_national_yearly!$D:$AM, MATCH(U$1, US_national_yearly!$D$1:$AM$1, 0), FALSE) / VLOOKUP(Substitution!$M$8 &amp; $A11, US_national_yearly!$D:$AM, MATCH(Keys!$C$7, US_national_yearly!$D$1:$AM$1, 0), FALSE), 1)</f>
        <v>1.00690869735239E-2</v>
      </c>
      <c r="V11" s="12">
        <f>$B11 * IFERROR(VLOOKUP(Substitution!$M$8 &amp; $A11, US_national_yearly!$D:$AM, MATCH(V$1, US_national_yearly!$D$1:$AM$1, 0), FALSE) / VLOOKUP(Substitution!$M$8 &amp; $A11, US_national_yearly!$D:$AM, MATCH(Keys!$C$7, US_national_yearly!$D$1:$AM$1, 0), FALSE), 1)</f>
        <v>1.0123287367384E-2</v>
      </c>
      <c r="W11" s="12">
        <f>$B11 * IFERROR(VLOOKUP(Substitution!$M$8 &amp; $A11, US_national_yearly!$D:$AM, MATCH(W$1, US_national_yearly!$D$1:$AM$1, 0), FALSE) / VLOOKUP(Substitution!$M$8 &amp; $A11, US_national_yearly!$D:$AM, MATCH(Keys!$C$7, US_national_yearly!$D$1:$AM$1, 0), FALSE), 1)</f>
        <v>1.01774877612441E-2</v>
      </c>
      <c r="X11" s="12">
        <f>$B11 * IFERROR(VLOOKUP(Substitution!$M$8 &amp; $A11, US_national_yearly!$D:$AM, MATCH(X$1, US_national_yearly!$D$1:$AM$1, 0), FALSE) / VLOOKUP(Substitution!$M$8 &amp; $A11, US_national_yearly!$D:$AM, MATCH(Keys!$C$7, US_national_yearly!$D$1:$AM$1, 0), FALSE), 1)</f>
        <v>1.0227852775804741E-2</v>
      </c>
      <c r="Y11" s="12">
        <f>$B11 * IFERROR(VLOOKUP(Substitution!$M$8 &amp; $A11, US_national_yearly!$D:$AM, MATCH(Y$1, US_national_yearly!$D$1:$AM$1, 0), FALSE) / VLOOKUP(Substitution!$M$8 &amp; $A11, US_national_yearly!$D:$AM, MATCH(Keys!$C$7, US_national_yearly!$D$1:$AM$1, 0), FALSE), 1)</f>
        <v>1.027821779036538E-2</v>
      </c>
      <c r="Z11" s="12">
        <f>$B11 * IFERROR(VLOOKUP(Substitution!$M$8 &amp; $A11, US_national_yearly!$D:$AM, MATCH(Z$1, US_national_yearly!$D$1:$AM$1, 0), FALSE) / VLOOKUP(Substitution!$M$8 &amp; $A11, US_national_yearly!$D:$AM, MATCH(Keys!$C$7, US_national_yearly!$D$1:$AM$1, 0), FALSE), 1)</f>
        <v>1.0328582804926019E-2</v>
      </c>
      <c r="AA11" s="12">
        <f>$B11 * IFERROR(VLOOKUP(Substitution!$M$8 &amp; $A11, US_national_yearly!$D:$AM, MATCH(AA$1, US_national_yearly!$D$1:$AM$1, 0), FALSE) / VLOOKUP(Substitution!$M$8 &amp; $A11, US_national_yearly!$D:$AM, MATCH(Keys!$C$7, US_national_yearly!$D$1:$AM$1, 0), FALSE), 1)</f>
        <v>1.037894781948666E-2</v>
      </c>
      <c r="AB11" s="12">
        <f>$B11 * IFERROR(VLOOKUP(Substitution!$M$8 &amp; $A11, US_national_yearly!$D:$AM, MATCH(AB$1, US_national_yearly!$D$1:$AM$1, 0), FALSE) / VLOOKUP(Substitution!$M$8 &amp; $A11, US_national_yearly!$D:$AM, MATCH(Keys!$C$7, US_national_yearly!$D$1:$AM$1, 0), FALSE), 1)</f>
        <v>1.04293128340473E-2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Substitution!$G$8)/IFERROR(SUMIFS(COBRA_aggregated!$U:$U, COBRA_aggregated!$A:$A, About!$B$1, COBRA_aggregated!$B:$B, Substitution!$G$8), 1)</f>
        <v>1.1909817195861633E-3</v>
      </c>
      <c r="C12" s="12">
        <f>$B12 * IFERROR(VLOOKUP(Substitution!$M$8 &amp; $A12, US_national_yearly!$D:$AM, MATCH(C$1, US_national_yearly!$D$1:$AM$1, 0), FALSE) / VLOOKUP(Substitution!$M$8 &amp; $A12, US_national_yearly!$D:$AM, MATCH(Keys!$C$7, US_national_yearly!$D$1:$AM$1, 0), FALSE), 1)</f>
        <v>1.197527210125052E-3</v>
      </c>
      <c r="D12" s="12">
        <f>$B12 * IFERROR(VLOOKUP(Substitution!$M$8 &amp; $A12, US_national_yearly!$D:$AM, MATCH(D$1, US_national_yearly!$D$1:$AM$1, 0), FALSE) / VLOOKUP(Substitution!$M$8 &amp; $A12, US_national_yearly!$D:$AM, MATCH(Keys!$C$7, US_national_yearly!$D$1:$AM$1, 0), FALSE), 1)</f>
        <v>1.2040727006639403E-3</v>
      </c>
      <c r="E12" s="12">
        <f>$B12 * IFERROR(VLOOKUP(Substitution!$M$8 &amp; $A12, US_national_yearly!$D:$AM, MATCH(E$1, US_national_yearly!$D$1:$AM$1, 0), FALSE) / VLOOKUP(Substitution!$M$8 &amp; $A12, US_national_yearly!$D:$AM, MATCH(Keys!$C$7, US_national_yearly!$D$1:$AM$1, 0), FALSE), 1)</f>
        <v>1.2106181912028293E-3</v>
      </c>
      <c r="F12" s="12">
        <f>$B12 * IFERROR(VLOOKUP(Substitution!$M$8 &amp; $A12, US_national_yearly!$D:$AM, MATCH(F$1, US_national_yearly!$D$1:$AM$1, 0), FALSE) / VLOOKUP(Substitution!$M$8 &amp; $A12, US_national_yearly!$D:$AM, MATCH(Keys!$C$7, US_national_yearly!$D$1:$AM$1, 0), FALSE), 1)</f>
        <v>1.2171636817417178E-3</v>
      </c>
      <c r="G12" s="12">
        <f>$B12 * IFERROR(VLOOKUP(Substitution!$M$8 &amp; $A12, US_national_yearly!$D:$AM, MATCH(G$1, US_national_yearly!$D$1:$AM$1, 0), FALSE) / VLOOKUP(Substitution!$M$8 &amp; $A12, US_national_yearly!$D:$AM, MATCH(Keys!$C$7, US_national_yearly!$D$1:$AM$1, 0), FALSE), 1)</f>
        <v>1.2241802867065349E-3</v>
      </c>
      <c r="H12" s="12">
        <f>$B12 * IFERROR(VLOOKUP(Substitution!$M$8 &amp; $A12, US_national_yearly!$D:$AM, MATCH(H$1, US_national_yearly!$D$1:$AM$1, 0), FALSE) / VLOOKUP(Substitution!$M$8 &amp; $A12, US_national_yearly!$D:$AM, MATCH(Keys!$C$7, US_national_yearly!$D$1:$AM$1, 0), FALSE), 1)</f>
        <v>1.2311968916713521E-3</v>
      </c>
      <c r="I12" s="12">
        <f>$B12 * IFERROR(VLOOKUP(Substitution!$M$8 &amp; $A12, US_national_yearly!$D:$AM, MATCH(I$1, US_national_yearly!$D$1:$AM$1, 0), FALSE) / VLOOKUP(Substitution!$M$8 &amp; $A12, US_national_yearly!$D:$AM, MATCH(Keys!$C$7, US_national_yearly!$D$1:$AM$1, 0), FALSE), 1)</f>
        <v>1.2374655113986256E-3</v>
      </c>
      <c r="J12" s="12">
        <f>$B12 * IFERROR(VLOOKUP(Substitution!$M$8 &amp; $A12, US_national_yearly!$D:$AM, MATCH(J$1, US_national_yearly!$D$1:$AM$1, 0), FALSE) / VLOOKUP(Substitution!$M$8 &amp; $A12, US_national_yearly!$D:$AM, MATCH(Keys!$C$7, US_national_yearly!$D$1:$AM$1, 0), FALSE), 1)</f>
        <v>1.2437341311258988E-3</v>
      </c>
      <c r="K12" s="12">
        <f>$B12 * IFERROR(VLOOKUP(Substitution!$M$8 &amp; $A12, US_national_yearly!$D:$AM, MATCH(K$1, US_national_yearly!$D$1:$AM$1, 0), FALSE) / VLOOKUP(Substitution!$M$8 &amp; $A12, US_national_yearly!$D:$AM, MATCH(Keys!$C$7, US_national_yearly!$D$1:$AM$1, 0), FALSE), 1)</f>
        <v>1.2500027508531718E-3</v>
      </c>
      <c r="L12" s="12">
        <f>$B12 * IFERROR(VLOOKUP(Substitution!$M$8 &amp; $A12, US_national_yearly!$D:$AM, MATCH(L$1, US_national_yearly!$D$1:$AM$1, 0), FALSE) / VLOOKUP(Substitution!$M$8 &amp; $A12, US_national_yearly!$D:$AM, MATCH(Keys!$C$7, US_national_yearly!$D$1:$AM$1, 0), FALSE), 1)</f>
        <v>1.256271370580445E-3</v>
      </c>
      <c r="M12" s="12">
        <f>$B12 * IFERROR(VLOOKUP(Substitution!$M$8 &amp; $A12, US_national_yearly!$D:$AM, MATCH(M$1, US_national_yearly!$D$1:$AM$1, 0), FALSE) / VLOOKUP(Substitution!$M$8 &amp; $A12, US_national_yearly!$D:$AM, MATCH(Keys!$C$7, US_national_yearly!$D$1:$AM$1, 0), FALSE), 1)</f>
        <v>1.2625399903077184E-3</v>
      </c>
      <c r="N12" s="12">
        <f>$B12 * IFERROR(VLOOKUP(Substitution!$M$8 &amp; $A12, US_national_yearly!$D:$AM, MATCH(N$1, US_national_yearly!$D$1:$AM$1, 0), FALSE) / VLOOKUP(Substitution!$M$8 &amp; $A12, US_national_yearly!$D:$AM, MATCH(Keys!$C$7, US_national_yearly!$D$1:$AM$1, 0), FALSE), 1)</f>
        <v>1.2667683969082497E-3</v>
      </c>
      <c r="O12" s="12">
        <f>$B12 * IFERROR(VLOOKUP(Substitution!$M$8 &amp; $A12, US_national_yearly!$D:$AM, MATCH(O$1, US_national_yearly!$D$1:$AM$1, 0), FALSE) / VLOOKUP(Substitution!$M$8 &amp; $A12, US_national_yearly!$D:$AM, MATCH(Keys!$C$7, US_national_yearly!$D$1:$AM$1, 0), FALSE), 1)</f>
        <v>1.2709968035087811E-3</v>
      </c>
      <c r="P12" s="12">
        <f>$B12 * IFERROR(VLOOKUP(Substitution!$M$8 &amp; $A12, US_national_yearly!$D:$AM, MATCH(P$1, US_national_yearly!$D$1:$AM$1, 0), FALSE) / VLOOKUP(Substitution!$M$8 &amp; $A12, US_national_yearly!$D:$AM, MATCH(Keys!$C$7, US_national_yearly!$D$1:$AM$1, 0), FALSE), 1)</f>
        <v>1.2752252101093128E-3</v>
      </c>
      <c r="Q12" s="12">
        <f>$B12 * IFERROR(VLOOKUP(Substitution!$M$8 &amp; $A12, US_national_yearly!$D:$AM, MATCH(Q$1, US_national_yearly!$D$1:$AM$1, 0), FALSE) / VLOOKUP(Substitution!$M$8 &amp; $A12, US_national_yearly!$D:$AM, MATCH(Keys!$C$7, US_national_yearly!$D$1:$AM$1, 0), FALSE), 1)</f>
        <v>1.2794536167098441E-3</v>
      </c>
      <c r="R12" s="12">
        <f>$B12 * IFERROR(VLOOKUP(Substitution!$M$8 &amp; $A12, US_national_yearly!$D:$AM, MATCH(R$1, US_national_yearly!$D$1:$AM$1, 0), FALSE) / VLOOKUP(Substitution!$M$8 &amp; $A12, US_national_yearly!$D:$AM, MATCH(Keys!$C$7, US_national_yearly!$D$1:$AM$1, 0), FALSE), 1)</f>
        <v>1.2836820233103755E-3</v>
      </c>
      <c r="S12" s="12">
        <f>$B12 * IFERROR(VLOOKUP(Substitution!$M$8 &amp; $A12, US_national_yearly!$D:$AM, MATCH(S$1, US_national_yearly!$D$1:$AM$1, 0), FALSE) / VLOOKUP(Substitution!$M$8 &amp; $A12, US_national_yearly!$D:$AM, MATCH(Keys!$C$7, US_national_yearly!$D$1:$AM$1, 0), FALSE), 1)</f>
        <v>1.2876223069116074E-3</v>
      </c>
      <c r="T12" s="12">
        <f>$B12 * IFERROR(VLOOKUP(Substitution!$M$8 &amp; $A12, US_national_yearly!$D:$AM, MATCH(T$1, US_national_yearly!$D$1:$AM$1, 0), FALSE) / VLOOKUP(Substitution!$M$8 &amp; $A12, US_national_yearly!$D:$AM, MATCH(Keys!$C$7, US_national_yearly!$D$1:$AM$1, 0), FALSE), 1)</f>
        <v>1.2915625905128389E-3</v>
      </c>
      <c r="U12" s="12">
        <f>$B12 * IFERROR(VLOOKUP(Substitution!$M$8 &amp; $A12, US_national_yearly!$D:$AM, MATCH(U$1, US_national_yearly!$D$1:$AM$1, 0), FALSE) / VLOOKUP(Substitution!$M$8 &amp; $A12, US_national_yearly!$D:$AM, MATCH(Keys!$C$7, US_national_yearly!$D$1:$AM$1, 0), FALSE), 1)</f>
        <v>1.2955028741140706E-3</v>
      </c>
      <c r="V12" s="12">
        <f>$B12 * IFERROR(VLOOKUP(Substitution!$M$8 &amp; $A12, US_national_yearly!$D:$AM, MATCH(V$1, US_national_yearly!$D$1:$AM$1, 0), FALSE) / VLOOKUP(Substitution!$M$8 &amp; $A12, US_national_yearly!$D:$AM, MATCH(Keys!$C$7, US_national_yearly!$D$1:$AM$1, 0), FALSE), 1)</f>
        <v>1.2994431577153024E-3</v>
      </c>
      <c r="W12" s="12">
        <f>$B12 * IFERROR(VLOOKUP(Substitution!$M$8 &amp; $A12, US_national_yearly!$D:$AM, MATCH(W$1, US_national_yearly!$D$1:$AM$1, 0), FALSE) / VLOOKUP(Substitution!$M$8 &amp; $A12, US_national_yearly!$D:$AM, MATCH(Keys!$C$7, US_national_yearly!$D$1:$AM$1, 0), FALSE), 1)</f>
        <v>1.3033834413165339E-3</v>
      </c>
      <c r="X12" s="12">
        <f>$B12 * IFERROR(VLOOKUP(Substitution!$M$8 &amp; $A12, US_national_yearly!$D:$AM, MATCH(X$1, US_national_yearly!$D$1:$AM$1, 0), FALSE) / VLOOKUP(Substitution!$M$8 &amp; $A12, US_national_yearly!$D:$AM, MATCH(Keys!$C$7, US_national_yearly!$D$1:$AM$1, 0), FALSE), 1)</f>
        <v>1.3072796314282714E-3</v>
      </c>
      <c r="Y12" s="12">
        <f>$B12 * IFERROR(VLOOKUP(Substitution!$M$8 &amp; $A12, US_national_yearly!$D:$AM, MATCH(Y$1, US_national_yearly!$D$1:$AM$1, 0), FALSE) / VLOOKUP(Substitution!$M$8 &amp; $A12, US_national_yearly!$D:$AM, MATCH(Keys!$C$7, US_national_yearly!$D$1:$AM$1, 0), FALSE), 1)</f>
        <v>1.3111758215400085E-3</v>
      </c>
      <c r="Z12" s="12">
        <f>$B12 * IFERROR(VLOOKUP(Substitution!$M$8 &amp; $A12, US_national_yearly!$D:$AM, MATCH(Z$1, US_national_yearly!$D$1:$AM$1, 0), FALSE) / VLOOKUP(Substitution!$M$8 &amp; $A12, US_national_yearly!$D:$AM, MATCH(Keys!$C$7, US_national_yearly!$D$1:$AM$1, 0), FALSE), 1)</f>
        <v>1.3150720116517458E-3</v>
      </c>
      <c r="AA12" s="12">
        <f>$B12 * IFERROR(VLOOKUP(Substitution!$M$8 &amp; $A12, US_national_yearly!$D:$AM, MATCH(AA$1, US_national_yearly!$D$1:$AM$1, 0), FALSE) / VLOOKUP(Substitution!$M$8 &amp; $A12, US_national_yearly!$D:$AM, MATCH(Keys!$C$7, US_national_yearly!$D$1:$AM$1, 0), FALSE), 1)</f>
        <v>1.3189682017634829E-3</v>
      </c>
      <c r="AB12" s="12">
        <f>$B12 * IFERROR(VLOOKUP(Substitution!$M$8 &amp; $A12, US_national_yearly!$D:$AM, MATCH(AB$1, US_national_yearly!$D$1:$AM$1, 0), FALSE) / VLOOKUP(Substitution!$M$8 &amp; $A12, US_national_yearly!$D:$AM, MATCH(Keys!$C$7, US_national_yearly!$D$1:$AM$1, 0), FALSE), 1)</f>
        <v>1.3228643918752204E-3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Substitution!$G$8)/IFERROR(SUMIFS(COBRA_aggregated!$U:$U, COBRA_aggregated!$A:$A, About!$B$1, COBRA_aggregated!$B:$B, Substitution!$G$8), 1)</f>
        <v>7.2783903158017364E-3</v>
      </c>
      <c r="C13" s="12">
        <f>$B13 * IFERROR(VLOOKUP(Substitution!$M$8 &amp; $A13, US_national_yearly!$D:$AM, MATCH(C$1, US_national_yearly!$D$1:$AM$1, 0), FALSE) / VLOOKUP(Substitution!$M$8 &amp; $A13, US_national_yearly!$D:$AM, MATCH(Keys!$C$7, US_national_yearly!$D$1:$AM$1, 0), FALSE), 1)</f>
        <v>7.489207594453067E-3</v>
      </c>
      <c r="D13" s="12">
        <f>$B13 * IFERROR(VLOOKUP(Substitution!$M$8 &amp; $A13, US_national_yearly!$D:$AM, MATCH(D$1, US_national_yearly!$D$1:$AM$1, 0), FALSE) / VLOOKUP(Substitution!$M$8 &amp; $A13, US_national_yearly!$D:$AM, MATCH(Keys!$C$7, US_national_yearly!$D$1:$AM$1, 0), FALSE), 1)</f>
        <v>7.7000248731043967E-3</v>
      </c>
      <c r="E13" s="12">
        <f>$B13 * IFERROR(VLOOKUP(Substitution!$M$8 &amp; $A13, US_national_yearly!$D:$AM, MATCH(E$1, US_national_yearly!$D$1:$AM$1, 0), FALSE) / VLOOKUP(Substitution!$M$8 &amp; $A13, US_national_yearly!$D:$AM, MATCH(Keys!$C$7, US_national_yearly!$D$1:$AM$1, 0), FALSE), 1)</f>
        <v>7.9108421517557256E-3</v>
      </c>
      <c r="F13" s="12">
        <f>$B13 * IFERROR(VLOOKUP(Substitution!$M$8 &amp; $A13, US_national_yearly!$D:$AM, MATCH(F$1, US_national_yearly!$D$1:$AM$1, 0), FALSE) / VLOOKUP(Substitution!$M$8 &amp; $A13, US_national_yearly!$D:$AM, MATCH(Keys!$C$7, US_national_yearly!$D$1:$AM$1, 0), FALSE), 1)</f>
        <v>8.1216594304070553E-3</v>
      </c>
      <c r="G13" s="12">
        <f>$B13 * IFERROR(VLOOKUP(Substitution!$M$8 &amp; $A13, US_national_yearly!$D:$AM, MATCH(G$1, US_national_yearly!$D$1:$AM$1, 0), FALSE) / VLOOKUP(Substitution!$M$8 &amp; $A13, US_national_yearly!$D:$AM, MATCH(Keys!$C$7, US_national_yearly!$D$1:$AM$1, 0), FALSE), 1)</f>
        <v>8.3217602334527147E-3</v>
      </c>
      <c r="H13" s="12">
        <f>$B13 * IFERROR(VLOOKUP(Substitution!$M$8 &amp; $A13, US_national_yearly!$D:$AM, MATCH(H$1, US_national_yearly!$D$1:$AM$1, 0), FALSE) / VLOOKUP(Substitution!$M$8 &amp; $A13, US_national_yearly!$D:$AM, MATCH(Keys!$C$7, US_national_yearly!$D$1:$AM$1, 0), FALSE), 1)</f>
        <v>8.5218610364983724E-3</v>
      </c>
      <c r="I13" s="12">
        <f>$B13 * IFERROR(VLOOKUP(Substitution!$M$8 &amp; $A13, US_national_yearly!$D:$AM, MATCH(I$1, US_national_yearly!$D$1:$AM$1, 0), FALSE) / VLOOKUP(Substitution!$M$8 &amp; $A13, US_national_yearly!$D:$AM, MATCH(Keys!$C$7, US_national_yearly!$D$1:$AM$1, 0), FALSE), 1)</f>
        <v>8.685119668765064E-3</v>
      </c>
      <c r="J13" s="12">
        <f>$B13 * IFERROR(VLOOKUP(Substitution!$M$8 &amp; $A13, US_national_yearly!$D:$AM, MATCH(J$1, US_national_yearly!$D$1:$AM$1, 0), FALSE) / VLOOKUP(Substitution!$M$8 &amp; $A13, US_national_yearly!$D:$AM, MATCH(Keys!$C$7, US_national_yearly!$D$1:$AM$1, 0), FALSE), 1)</f>
        <v>8.8483783010317556E-3</v>
      </c>
      <c r="K13" s="12">
        <f>$B13 * IFERROR(VLOOKUP(Substitution!$M$8 &amp; $A13, US_national_yearly!$D:$AM, MATCH(K$1, US_national_yearly!$D$1:$AM$1, 0), FALSE) / VLOOKUP(Substitution!$M$8 &amp; $A13, US_national_yearly!$D:$AM, MATCH(Keys!$C$7, US_national_yearly!$D$1:$AM$1, 0), FALSE), 1)</f>
        <v>9.0116369332984454E-3</v>
      </c>
      <c r="L13" s="12">
        <f>$B13 * IFERROR(VLOOKUP(Substitution!$M$8 &amp; $A13, US_national_yearly!$D:$AM, MATCH(L$1, US_national_yearly!$D$1:$AM$1, 0), FALSE) / VLOOKUP(Substitution!$M$8 &amp; $A13, US_national_yearly!$D:$AM, MATCH(Keys!$C$7, US_national_yearly!$D$1:$AM$1, 0), FALSE), 1)</f>
        <v>9.174895565565137E-3</v>
      </c>
      <c r="M13" s="12">
        <f>$B13 * IFERROR(VLOOKUP(Substitution!$M$8 &amp; $A13, US_national_yearly!$D:$AM, MATCH(M$1, US_national_yearly!$D$1:$AM$1, 0), FALSE) / VLOOKUP(Substitution!$M$8 &amp; $A13, US_national_yearly!$D:$AM, MATCH(Keys!$C$7, US_national_yearly!$D$1:$AM$1, 0), FALSE), 1)</f>
        <v>9.3381541978318303E-3</v>
      </c>
      <c r="N13" s="12">
        <f>$B13 * IFERROR(VLOOKUP(Substitution!$M$8 &amp; $A13, US_national_yearly!$D:$AM, MATCH(N$1, US_national_yearly!$D$1:$AM$1, 0), FALSE) / VLOOKUP(Substitution!$M$8 &amp; $A13, US_national_yearly!$D:$AM, MATCH(Keys!$C$7, US_national_yearly!$D$1:$AM$1, 0), FALSE), 1)</f>
        <v>9.4440879746534277E-3</v>
      </c>
      <c r="O13" s="12">
        <f>$B13 * IFERROR(VLOOKUP(Substitution!$M$8 &amp; $A13, US_national_yearly!$D:$AM, MATCH(O$1, US_national_yearly!$D$1:$AM$1, 0), FALSE) / VLOOKUP(Substitution!$M$8 &amp; $A13, US_national_yearly!$D:$AM, MATCH(Keys!$C$7, US_national_yearly!$D$1:$AM$1, 0), FALSE), 1)</f>
        <v>9.5500217514750251E-3</v>
      </c>
      <c r="P13" s="12">
        <f>$B13 * IFERROR(VLOOKUP(Substitution!$M$8 &amp; $A13, US_national_yearly!$D:$AM, MATCH(P$1, US_national_yearly!$D$1:$AM$1, 0), FALSE) / VLOOKUP(Substitution!$M$8 &amp; $A13, US_national_yearly!$D:$AM, MATCH(Keys!$C$7, US_national_yearly!$D$1:$AM$1, 0), FALSE), 1)</f>
        <v>9.6559555282966225E-3</v>
      </c>
      <c r="Q13" s="12">
        <f>$B13 * IFERROR(VLOOKUP(Substitution!$M$8 &amp; $A13, US_national_yearly!$D:$AM, MATCH(Q$1, US_national_yearly!$D$1:$AM$1, 0), FALSE) / VLOOKUP(Substitution!$M$8 &amp; $A13, US_national_yearly!$D:$AM, MATCH(Keys!$C$7, US_national_yearly!$D$1:$AM$1, 0), FALSE), 1)</f>
        <v>9.7618893051182199E-3</v>
      </c>
      <c r="R13" s="12">
        <f>$B13 * IFERROR(VLOOKUP(Substitution!$M$8 &amp; $A13, US_national_yearly!$D:$AM, MATCH(R$1, US_national_yearly!$D$1:$AM$1, 0), FALSE) / VLOOKUP(Substitution!$M$8 &amp; $A13, US_national_yearly!$D:$AM, MATCH(Keys!$C$7, US_national_yearly!$D$1:$AM$1, 0), FALSE), 1)</f>
        <v>9.8678230819398173E-3</v>
      </c>
      <c r="S13" s="12">
        <f>$B13 * IFERROR(VLOOKUP(Substitution!$M$8 &amp; $A13, US_national_yearly!$D:$AM, MATCH(S$1, US_national_yearly!$D$1:$AM$1, 0), FALSE) / VLOOKUP(Substitution!$M$8 &amp; $A13, US_national_yearly!$D:$AM, MATCH(Keys!$C$7, US_national_yearly!$D$1:$AM$1, 0), FALSE), 1)</f>
        <v>9.9261423475401084E-3</v>
      </c>
      <c r="T13" s="12">
        <f>$B13 * IFERROR(VLOOKUP(Substitution!$M$8 &amp; $A13, US_national_yearly!$D:$AM, MATCH(T$1, US_national_yearly!$D$1:$AM$1, 0), FALSE) / VLOOKUP(Substitution!$M$8 &amp; $A13, US_national_yearly!$D:$AM, MATCH(Keys!$C$7, US_national_yearly!$D$1:$AM$1, 0), FALSE), 1)</f>
        <v>9.9844616131404013E-3</v>
      </c>
      <c r="U13" s="12">
        <f>$B13 * IFERROR(VLOOKUP(Substitution!$M$8 &amp; $A13, US_national_yearly!$D:$AM, MATCH(U$1, US_national_yearly!$D$1:$AM$1, 0), FALSE) / VLOOKUP(Substitution!$M$8 &amp; $A13, US_national_yearly!$D:$AM, MATCH(Keys!$C$7, US_national_yearly!$D$1:$AM$1, 0), FALSE), 1)</f>
        <v>1.0042780878740691E-2</v>
      </c>
      <c r="V13" s="12">
        <f>$B13 * IFERROR(VLOOKUP(Substitution!$M$8 &amp; $A13, US_national_yearly!$D:$AM, MATCH(V$1, US_national_yearly!$D$1:$AM$1, 0), FALSE) / VLOOKUP(Substitution!$M$8 &amp; $A13, US_national_yearly!$D:$AM, MATCH(Keys!$C$7, US_national_yearly!$D$1:$AM$1, 0), FALSE), 1)</f>
        <v>1.0101100144340982E-2</v>
      </c>
      <c r="W13" s="12">
        <f>$B13 * IFERROR(VLOOKUP(Substitution!$M$8 &amp; $A13, US_national_yearly!$D:$AM, MATCH(W$1, US_national_yearly!$D$1:$AM$1, 0), FALSE) / VLOOKUP(Substitution!$M$8 &amp; $A13, US_national_yearly!$D:$AM, MATCH(Keys!$C$7, US_national_yearly!$D$1:$AM$1, 0), FALSE), 1)</f>
        <v>1.0159419409941275E-2</v>
      </c>
      <c r="X13" s="12">
        <f>$B13 * IFERROR(VLOOKUP(Substitution!$M$8 &amp; $A13, US_national_yearly!$D:$AM, MATCH(X$1, US_national_yearly!$D$1:$AM$1, 0), FALSE) / VLOOKUP(Substitution!$M$8 &amp; $A13, US_national_yearly!$D:$AM, MATCH(Keys!$C$7, US_national_yearly!$D$1:$AM$1, 0), FALSE), 1)</f>
        <v>1.0205043492023601E-2</v>
      </c>
      <c r="Y13" s="12">
        <f>$B13 * IFERROR(VLOOKUP(Substitution!$M$8 &amp; $A13, US_national_yearly!$D:$AM, MATCH(Y$1, US_national_yearly!$D$1:$AM$1, 0), FALSE) / VLOOKUP(Substitution!$M$8 &amp; $A13, US_national_yearly!$D:$AM, MATCH(Keys!$C$7, US_national_yearly!$D$1:$AM$1, 0), FALSE), 1)</f>
        <v>1.0250667574105929E-2</v>
      </c>
      <c r="Z13" s="12">
        <f>$B13 * IFERROR(VLOOKUP(Substitution!$M$8 &amp; $A13, US_national_yearly!$D:$AM, MATCH(Z$1, US_national_yearly!$D$1:$AM$1, 0), FALSE) / VLOOKUP(Substitution!$M$8 &amp; $A13, US_national_yearly!$D:$AM, MATCH(Keys!$C$7, US_national_yearly!$D$1:$AM$1, 0), FALSE), 1)</f>
        <v>1.0296291656188256E-2</v>
      </c>
      <c r="AA13" s="12">
        <f>$B13 * IFERROR(VLOOKUP(Substitution!$M$8 &amp; $A13, US_national_yearly!$D:$AM, MATCH(AA$1, US_national_yearly!$D$1:$AM$1, 0), FALSE) / VLOOKUP(Substitution!$M$8 &amp; $A13, US_national_yearly!$D:$AM, MATCH(Keys!$C$7, US_national_yearly!$D$1:$AM$1, 0), FALSE), 1)</f>
        <v>1.0341915738270585E-2</v>
      </c>
      <c r="AB13" s="12">
        <f>$B13 * IFERROR(VLOOKUP(Substitution!$M$8 &amp; $A13, US_national_yearly!$D:$AM, MATCH(AB$1, US_national_yearly!$D$1:$AM$1, 0), FALSE) / VLOOKUP(Substitution!$M$8 &amp; $A13, US_national_yearly!$D:$AM, MATCH(Keys!$C$7, US_national_yearly!$D$1:$AM$1, 0), FALSE), 1)</f>
        <v>1.0387539820352912E-2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Substitution!$G$8)/IFERROR(SUMIFS(COBRA_aggregated!$U:$U, COBRA_aggregated!$A:$A, About!$B$1, COBRA_aggregated!$B:$B, Substitution!$G$8), 1)</f>
        <v>4.7340793164733403</v>
      </c>
      <c r="C14" s="12">
        <f>$B14 * IFERROR(VLOOKUP(Substitution!$M$8 &amp; $A14, US_national_yearly!$D:$AM, MATCH(C$1, US_national_yearly!$D$1:$AM$1, 0), FALSE) / VLOOKUP(Substitution!$M$8 &amp; $A14, US_national_yearly!$D:$AM, MATCH(Keys!$C$7, US_national_yearly!$D$1:$AM$1, 0), FALSE), 1)</f>
        <v>4.7445886543424463</v>
      </c>
      <c r="D14" s="12">
        <f>$B14 * IFERROR(VLOOKUP(Substitution!$M$8 &amp; $A14, US_national_yearly!$D:$AM, MATCH(D$1, US_national_yearly!$D$1:$AM$1, 0), FALSE) / VLOOKUP(Substitution!$M$8 &amp; $A14, US_national_yearly!$D:$AM, MATCH(Keys!$C$7, US_national_yearly!$D$1:$AM$1, 0), FALSE), 1)</f>
        <v>4.755097992211553</v>
      </c>
      <c r="E14" s="12">
        <f>$B14 * IFERROR(VLOOKUP(Substitution!$M$8 &amp; $A14, US_national_yearly!$D:$AM, MATCH(E$1, US_national_yearly!$D$1:$AM$1, 0), FALSE) / VLOOKUP(Substitution!$M$8 &amp; $A14, US_national_yearly!$D:$AM, MATCH(Keys!$C$7, US_national_yearly!$D$1:$AM$1, 0), FALSE), 1)</f>
        <v>4.7656073300806598</v>
      </c>
      <c r="F14" s="12">
        <f>$B14 * IFERROR(VLOOKUP(Substitution!$M$8 &amp; $A14, US_national_yearly!$D:$AM, MATCH(F$1, US_national_yearly!$D$1:$AM$1, 0), FALSE) / VLOOKUP(Substitution!$M$8 &amp; $A14, US_national_yearly!$D:$AM, MATCH(Keys!$C$7, US_national_yearly!$D$1:$AM$1, 0), FALSE), 1)</f>
        <v>4.7761166679497666</v>
      </c>
      <c r="G14" s="12">
        <f>$B14 * IFERROR(VLOOKUP(Substitution!$M$8 &amp; $A14, US_national_yearly!$D:$AM, MATCH(G$1, US_national_yearly!$D$1:$AM$1, 0), FALSE) / VLOOKUP(Substitution!$M$8 &amp; $A14, US_national_yearly!$D:$AM, MATCH(Keys!$C$7, US_national_yearly!$D$1:$AM$1, 0), FALSE), 1)</f>
        <v>4.7917113075901225</v>
      </c>
      <c r="H14" s="12">
        <f>$B14 * IFERROR(VLOOKUP(Substitution!$M$8 &amp; $A14, US_national_yearly!$D:$AM, MATCH(H$1, US_national_yearly!$D$1:$AM$1, 0), FALSE) / VLOOKUP(Substitution!$M$8 &amp; $A14, US_national_yearly!$D:$AM, MATCH(Keys!$C$7, US_national_yearly!$D$1:$AM$1, 0), FALSE), 1)</f>
        <v>4.8073059472304784</v>
      </c>
      <c r="I14" s="12">
        <f>$B14 * IFERROR(VLOOKUP(Substitution!$M$8 &amp; $A14, US_national_yearly!$D:$AM, MATCH(I$1, US_national_yearly!$D$1:$AM$1, 0), FALSE) / VLOOKUP(Substitution!$M$8 &amp; $A14, US_national_yearly!$D:$AM, MATCH(Keys!$C$7, US_national_yearly!$D$1:$AM$1, 0), FALSE), 1)</f>
        <v>4.8348418343689952</v>
      </c>
      <c r="J14" s="12">
        <f>$B14 * IFERROR(VLOOKUP(Substitution!$M$8 &amp; $A14, US_national_yearly!$D:$AM, MATCH(J$1, US_national_yearly!$D$1:$AM$1, 0), FALSE) / VLOOKUP(Substitution!$M$8 &amp; $A14, US_national_yearly!$D:$AM, MATCH(Keys!$C$7, US_national_yearly!$D$1:$AM$1, 0), FALSE), 1)</f>
        <v>4.8623777215075137</v>
      </c>
      <c r="K14" s="12">
        <f>$B14 * IFERROR(VLOOKUP(Substitution!$M$8 &amp; $A14, US_national_yearly!$D:$AM, MATCH(K$1, US_national_yearly!$D$1:$AM$1, 0), FALSE) / VLOOKUP(Substitution!$M$8 &amp; $A14, US_national_yearly!$D:$AM, MATCH(Keys!$C$7, US_national_yearly!$D$1:$AM$1, 0), FALSE), 1)</f>
        <v>4.8899136086460304</v>
      </c>
      <c r="L14" s="12">
        <f>$B14 * IFERROR(VLOOKUP(Substitution!$M$8 &amp; $A14, US_national_yearly!$D:$AM, MATCH(L$1, US_national_yearly!$D$1:$AM$1, 0), FALSE) / VLOOKUP(Substitution!$M$8 &amp; $A14, US_national_yearly!$D:$AM, MATCH(Keys!$C$7, US_national_yearly!$D$1:$AM$1, 0), FALSE), 1)</f>
        <v>4.917449495784548</v>
      </c>
      <c r="M14" s="12">
        <f>$B14 * IFERROR(VLOOKUP(Substitution!$M$8 &amp; $A14, US_national_yearly!$D:$AM, MATCH(M$1, US_national_yearly!$D$1:$AM$1, 0), FALSE) / VLOOKUP(Substitution!$M$8 &amp; $A14, US_national_yearly!$D:$AM, MATCH(Keys!$C$7, US_national_yearly!$D$1:$AM$1, 0), FALSE), 1)</f>
        <v>4.9449853829230657</v>
      </c>
      <c r="N14" s="12">
        <f>$B14 * IFERROR(VLOOKUP(Substitution!$M$8 &amp; $A14, US_national_yearly!$D:$AM, MATCH(N$1, US_national_yearly!$D$1:$AM$1, 0), FALSE) / VLOOKUP(Substitution!$M$8 &amp; $A14, US_national_yearly!$D:$AM, MATCH(Keys!$C$7, US_national_yearly!$D$1:$AM$1, 0), FALSE), 1)</f>
        <v>4.9831855998420531</v>
      </c>
      <c r="O14" s="12">
        <f>$B14 * IFERROR(VLOOKUP(Substitution!$M$8 &amp; $A14, US_national_yearly!$D:$AM, MATCH(O$1, US_national_yearly!$D$1:$AM$1, 0), FALSE) / VLOOKUP(Substitution!$M$8 &amp; $A14, US_national_yearly!$D:$AM, MATCH(Keys!$C$7, US_national_yearly!$D$1:$AM$1, 0), FALSE), 1)</f>
        <v>5.0213858167610415</v>
      </c>
      <c r="P14" s="12">
        <f>$B14 * IFERROR(VLOOKUP(Substitution!$M$8 &amp; $A14, US_national_yearly!$D:$AM, MATCH(P$1, US_national_yearly!$D$1:$AM$1, 0), FALSE) / VLOOKUP(Substitution!$M$8 &amp; $A14, US_national_yearly!$D:$AM, MATCH(Keys!$C$7, US_national_yearly!$D$1:$AM$1, 0), FALSE), 1)</f>
        <v>5.0595860336800307</v>
      </c>
      <c r="Q14" s="12">
        <f>$B14 * IFERROR(VLOOKUP(Substitution!$M$8 &amp; $A14, US_national_yearly!$D:$AM, MATCH(Q$1, US_national_yearly!$D$1:$AM$1, 0), FALSE) / VLOOKUP(Substitution!$M$8 &amp; $A14, US_national_yearly!$D:$AM, MATCH(Keys!$C$7, US_national_yearly!$D$1:$AM$1, 0), FALSE), 1)</f>
        <v>5.097786250599019</v>
      </c>
      <c r="R14" s="12">
        <f>$B14 * IFERROR(VLOOKUP(Substitution!$M$8 &amp; $A14, US_national_yearly!$D:$AM, MATCH(R$1, US_national_yearly!$D$1:$AM$1, 0), FALSE) / VLOOKUP(Substitution!$M$8 &amp; $A14, US_national_yearly!$D:$AM, MATCH(Keys!$C$7, US_national_yearly!$D$1:$AM$1, 0), FALSE), 1)</f>
        <v>5.1359864675180074</v>
      </c>
      <c r="S14" s="12">
        <f>$B14 * IFERROR(VLOOKUP(Substitution!$M$8 &amp; $A14, US_national_yearly!$D:$AM, MATCH(S$1, US_national_yearly!$D$1:$AM$1, 0), FALSE) / VLOOKUP(Substitution!$M$8 &amp; $A14, US_national_yearly!$D:$AM, MATCH(Keys!$C$7, US_national_yearly!$D$1:$AM$1, 0), FALSE), 1)</f>
        <v>5.1745161806777284</v>
      </c>
      <c r="T14" s="12">
        <f>$B14 * IFERROR(VLOOKUP(Substitution!$M$8 &amp; $A14, US_national_yearly!$D:$AM, MATCH(T$1, US_national_yearly!$D$1:$AM$1, 0), FALSE) / VLOOKUP(Substitution!$M$8 &amp; $A14, US_national_yearly!$D:$AM, MATCH(Keys!$C$7, US_national_yearly!$D$1:$AM$1, 0), FALSE), 1)</f>
        <v>5.2130458938374487</v>
      </c>
      <c r="U14" s="12">
        <f>$B14 * IFERROR(VLOOKUP(Substitution!$M$8 &amp; $A14, US_national_yearly!$D:$AM, MATCH(U$1, US_national_yearly!$D$1:$AM$1, 0), FALSE) / VLOOKUP(Substitution!$M$8 &amp; $A14, US_national_yearly!$D:$AM, MATCH(Keys!$C$7, US_national_yearly!$D$1:$AM$1, 0), FALSE), 1)</f>
        <v>5.2515756069971689</v>
      </c>
      <c r="V14" s="12">
        <f>$B14 * IFERROR(VLOOKUP(Substitution!$M$8 &amp; $A14, US_national_yearly!$D:$AM, MATCH(V$1, US_national_yearly!$D$1:$AM$1, 0), FALSE) / VLOOKUP(Substitution!$M$8 &amp; $A14, US_national_yearly!$D:$AM, MATCH(Keys!$C$7, US_national_yearly!$D$1:$AM$1, 0), FALSE), 1)</f>
        <v>5.2901053201568899</v>
      </c>
      <c r="W14" s="12">
        <f>$B14 * IFERROR(VLOOKUP(Substitution!$M$8 &amp; $A14, US_national_yearly!$D:$AM, MATCH(W$1, US_national_yearly!$D$1:$AM$1, 0), FALSE) / VLOOKUP(Substitution!$M$8 &amp; $A14, US_national_yearly!$D:$AM, MATCH(Keys!$C$7, US_national_yearly!$D$1:$AM$1, 0), FALSE), 1)</f>
        <v>5.328635033316611</v>
      </c>
      <c r="X14" s="12">
        <f>$B14 * IFERROR(VLOOKUP(Substitution!$M$8 &amp; $A14, US_national_yearly!$D:$AM, MATCH(X$1, US_national_yearly!$D$1:$AM$1, 0), FALSE) / VLOOKUP(Substitution!$M$8 &amp; $A14, US_national_yearly!$D:$AM, MATCH(Keys!$C$7, US_national_yearly!$D$1:$AM$1, 0), FALSE), 1)</f>
        <v>5.3616630398021687</v>
      </c>
      <c r="Y14" s="12">
        <f>$B14 * IFERROR(VLOOKUP(Substitution!$M$8 &amp; $A14, US_national_yearly!$D:$AM, MATCH(Y$1, US_national_yearly!$D$1:$AM$1, 0), FALSE) / VLOOKUP(Substitution!$M$8 &amp; $A14, US_national_yearly!$D:$AM, MATCH(Keys!$C$7, US_national_yearly!$D$1:$AM$1, 0), FALSE), 1)</f>
        <v>5.3946910462877291</v>
      </c>
      <c r="Z14" s="12">
        <f>$B14 * IFERROR(VLOOKUP(Substitution!$M$8 &amp; $A14, US_national_yearly!$D:$AM, MATCH(Z$1, US_national_yearly!$D$1:$AM$1, 0), FALSE) / VLOOKUP(Substitution!$M$8 &amp; $A14, US_national_yearly!$D:$AM, MATCH(Keys!$C$7, US_national_yearly!$D$1:$AM$1, 0), FALSE), 1)</f>
        <v>5.4277190527732886</v>
      </c>
      <c r="AA14" s="12">
        <f>$B14 * IFERROR(VLOOKUP(Substitution!$M$8 &amp; $A14, US_national_yearly!$D:$AM, MATCH(AA$1, US_national_yearly!$D$1:$AM$1, 0), FALSE) / VLOOKUP(Substitution!$M$8 &amp; $A14, US_national_yearly!$D:$AM, MATCH(Keys!$C$7, US_national_yearly!$D$1:$AM$1, 0), FALSE), 1)</f>
        <v>5.4607470592588463</v>
      </c>
      <c r="AB14" s="12">
        <f>$B14 * IFERROR(VLOOKUP(Substitution!$M$8 &amp; $A14, US_national_yearly!$D:$AM, MATCH(AB$1, US_national_yearly!$D$1:$AM$1, 0), FALSE) / VLOOKUP(Substitution!$M$8 &amp; $A14, US_national_yearly!$D:$AM, MATCH(Keys!$C$7, US_national_yearly!$D$1:$AM$1, 0), FALSE), 1)</f>
        <v>5.4937750657444067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Substitution!$G$8)/IFERROR(SUMIFS(COBRA_aggregated!$U:$U, COBRA_aggregated!$A:$A, About!$B$1, COBRA_aggregated!$B:$B, Substitution!$G$8), 1)</f>
        <v>0.79732367736702681</v>
      </c>
      <c r="C15" s="12">
        <f>$B15 * IFERROR(VLOOKUP(Substitution!$M$8 &amp; $A15, US_national_yearly!$D:$AM, MATCH(C$1, US_national_yearly!$D$1:$AM$1, 0), FALSE) / VLOOKUP(Substitution!$M$8 &amp; $A15, US_national_yearly!$D:$AM, MATCH(Keys!$C$7, US_national_yearly!$D$1:$AM$1, 0), FALSE), 1)</f>
        <v>0.79960526515901087</v>
      </c>
      <c r="D15" s="12">
        <f>$B15 * IFERROR(VLOOKUP(Substitution!$M$8 &amp; $A15, US_national_yearly!$D:$AM, MATCH(D$1, US_national_yearly!$D$1:$AM$1, 0), FALSE) / VLOOKUP(Substitution!$M$8 &amp; $A15, US_national_yearly!$D:$AM, MATCH(Keys!$C$7, US_national_yearly!$D$1:$AM$1, 0), FALSE), 1)</f>
        <v>0.80188685295099504</v>
      </c>
      <c r="E15" s="12">
        <f>$B15 * IFERROR(VLOOKUP(Substitution!$M$8 &amp; $A15, US_national_yearly!$D:$AM, MATCH(E$1, US_national_yearly!$D$1:$AM$1, 0), FALSE) / VLOOKUP(Substitution!$M$8 &amp; $A15, US_national_yearly!$D:$AM, MATCH(Keys!$C$7, US_national_yearly!$D$1:$AM$1, 0), FALSE), 1)</f>
        <v>0.80416844074297911</v>
      </c>
      <c r="F15" s="12">
        <f>$B15 * IFERROR(VLOOKUP(Substitution!$M$8 &amp; $A15, US_national_yearly!$D:$AM, MATCH(F$1, US_national_yearly!$D$1:$AM$1, 0), FALSE) / VLOOKUP(Substitution!$M$8 &amp; $A15, US_national_yearly!$D:$AM, MATCH(Keys!$C$7, US_national_yearly!$D$1:$AM$1, 0), FALSE), 1)</f>
        <v>0.80645002853496317</v>
      </c>
      <c r="G15" s="12">
        <f>$B15 * IFERROR(VLOOKUP(Substitution!$M$8 &amp; $A15, US_national_yearly!$D:$AM, MATCH(G$1, US_national_yearly!$D$1:$AM$1, 0), FALSE) / VLOOKUP(Substitution!$M$8 &amp; $A15, US_national_yearly!$D:$AM, MATCH(Keys!$C$7, US_national_yearly!$D$1:$AM$1, 0), FALSE), 1)</f>
        <v>0.80940570839452064</v>
      </c>
      <c r="H15" s="12">
        <f>$B15 * IFERROR(VLOOKUP(Substitution!$M$8 &amp; $A15, US_national_yearly!$D:$AM, MATCH(H$1, US_national_yearly!$D$1:$AM$1, 0), FALSE) / VLOOKUP(Substitution!$M$8 &amp; $A15, US_national_yearly!$D:$AM, MATCH(Keys!$C$7, US_national_yearly!$D$1:$AM$1, 0), FALSE), 1)</f>
        <v>0.81236138825407822</v>
      </c>
      <c r="I15" s="12">
        <f>$B15 * IFERROR(VLOOKUP(Substitution!$M$8 &amp; $A15, US_national_yearly!$D:$AM, MATCH(I$1, US_national_yearly!$D$1:$AM$1, 0), FALSE) / VLOOKUP(Substitution!$M$8 &amp; $A15, US_national_yearly!$D:$AM, MATCH(Keys!$C$7, US_national_yearly!$D$1:$AM$1, 0), FALSE), 1)</f>
        <v>0.81680474821362248</v>
      </c>
      <c r="J15" s="12">
        <f>$B15 * IFERROR(VLOOKUP(Substitution!$M$8 &amp; $A15, US_national_yearly!$D:$AM, MATCH(J$1, US_national_yearly!$D$1:$AM$1, 0), FALSE) / VLOOKUP(Substitution!$M$8 &amp; $A15, US_national_yearly!$D:$AM, MATCH(Keys!$C$7, US_national_yearly!$D$1:$AM$1, 0), FALSE), 1)</f>
        <v>0.82124810817316651</v>
      </c>
      <c r="K15" s="12">
        <f>$B15 * IFERROR(VLOOKUP(Substitution!$M$8 &amp; $A15, US_national_yearly!$D:$AM, MATCH(K$1, US_national_yearly!$D$1:$AM$1, 0), FALSE) / VLOOKUP(Substitution!$M$8 &amp; $A15, US_national_yearly!$D:$AM, MATCH(Keys!$C$7, US_national_yearly!$D$1:$AM$1, 0), FALSE), 1)</f>
        <v>0.82569146813271077</v>
      </c>
      <c r="L15" s="12">
        <f>$B15 * IFERROR(VLOOKUP(Substitution!$M$8 &amp; $A15, US_national_yearly!$D:$AM, MATCH(L$1, US_national_yearly!$D$1:$AM$1, 0), FALSE) / VLOOKUP(Substitution!$M$8 &amp; $A15, US_national_yearly!$D:$AM, MATCH(Keys!$C$7, US_national_yearly!$D$1:$AM$1, 0), FALSE), 1)</f>
        <v>0.83013482809225503</v>
      </c>
      <c r="M15" s="12">
        <f>$B15 * IFERROR(VLOOKUP(Substitution!$M$8 &amp; $A15, US_national_yearly!$D:$AM, MATCH(M$1, US_national_yearly!$D$1:$AM$1, 0), FALSE) / VLOOKUP(Substitution!$M$8 &amp; $A15, US_national_yearly!$D:$AM, MATCH(Keys!$C$7, US_national_yearly!$D$1:$AM$1, 0), FALSE), 1)</f>
        <v>0.83457818805179929</v>
      </c>
      <c r="N15" s="12">
        <f>$B15 * IFERROR(VLOOKUP(Substitution!$M$8 &amp; $A15, US_national_yearly!$D:$AM, MATCH(N$1, US_national_yearly!$D$1:$AM$1, 0), FALSE) / VLOOKUP(Substitution!$M$8 &amp; $A15, US_national_yearly!$D:$AM, MATCH(Keys!$C$7, US_national_yearly!$D$1:$AM$1, 0), FALSE), 1)</f>
        <v>0.84031487422861995</v>
      </c>
      <c r="O15" s="12">
        <f>$B15 * IFERROR(VLOOKUP(Substitution!$M$8 &amp; $A15, US_national_yearly!$D:$AM, MATCH(O$1, US_national_yearly!$D$1:$AM$1, 0), FALSE) / VLOOKUP(Substitution!$M$8 &amp; $A15, US_national_yearly!$D:$AM, MATCH(Keys!$C$7, US_national_yearly!$D$1:$AM$1, 0), FALSE), 1)</f>
        <v>0.84605156040544072</v>
      </c>
      <c r="P15" s="12">
        <f>$B15 * IFERROR(VLOOKUP(Substitution!$M$8 &amp; $A15, US_national_yearly!$D:$AM, MATCH(P$1, US_national_yearly!$D$1:$AM$1, 0), FALSE) / VLOOKUP(Substitution!$M$8 &amp; $A15, US_national_yearly!$D:$AM, MATCH(Keys!$C$7, US_national_yearly!$D$1:$AM$1, 0), FALSE), 1)</f>
        <v>0.85178824658226127</v>
      </c>
      <c r="Q15" s="12">
        <f>$B15 * IFERROR(VLOOKUP(Substitution!$M$8 &amp; $A15, US_national_yearly!$D:$AM, MATCH(Q$1, US_national_yearly!$D$1:$AM$1, 0), FALSE) / VLOOKUP(Substitution!$M$8 &amp; $A15, US_national_yearly!$D:$AM, MATCH(Keys!$C$7, US_national_yearly!$D$1:$AM$1, 0), FALSE), 1)</f>
        <v>0.85752493275908181</v>
      </c>
      <c r="R15" s="12">
        <f>$B15 * IFERROR(VLOOKUP(Substitution!$M$8 &amp; $A15, US_national_yearly!$D:$AM, MATCH(R$1, US_national_yearly!$D$1:$AM$1, 0), FALSE) / VLOOKUP(Substitution!$M$8 &amp; $A15, US_national_yearly!$D:$AM, MATCH(Keys!$C$7, US_national_yearly!$D$1:$AM$1, 0), FALSE), 1)</f>
        <v>0.86326161893590259</v>
      </c>
      <c r="S15" s="12">
        <f>$B15 * IFERROR(VLOOKUP(Substitution!$M$8 &amp; $A15, US_national_yearly!$D:$AM, MATCH(S$1, US_national_yearly!$D$1:$AM$1, 0), FALSE) / VLOOKUP(Substitution!$M$8 &amp; $A15, US_national_yearly!$D:$AM, MATCH(Keys!$C$7, US_national_yearly!$D$1:$AM$1, 0), FALSE), 1)</f>
        <v>0.86962731488198119</v>
      </c>
      <c r="T15" s="12">
        <f>$B15 * IFERROR(VLOOKUP(Substitution!$M$8 &amp; $A15, US_national_yearly!$D:$AM, MATCH(T$1, US_national_yearly!$D$1:$AM$1, 0), FALSE) / VLOOKUP(Substitution!$M$8 &amp; $A15, US_national_yearly!$D:$AM, MATCH(Keys!$C$7, US_national_yearly!$D$1:$AM$1, 0), FALSE), 1)</f>
        <v>0.87599301082806003</v>
      </c>
      <c r="U15" s="12">
        <f>$B15 * IFERROR(VLOOKUP(Substitution!$M$8 &amp; $A15, US_national_yearly!$D:$AM, MATCH(U$1, US_national_yearly!$D$1:$AM$1, 0), FALSE) / VLOOKUP(Substitution!$M$8 &amp; $A15, US_national_yearly!$D:$AM, MATCH(Keys!$C$7, US_national_yearly!$D$1:$AM$1, 0), FALSE), 1)</f>
        <v>0.88235870677413897</v>
      </c>
      <c r="V15" s="12">
        <f>$B15 * IFERROR(VLOOKUP(Substitution!$M$8 &amp; $A15, US_national_yearly!$D:$AM, MATCH(V$1, US_national_yearly!$D$1:$AM$1, 0), FALSE) / VLOOKUP(Substitution!$M$8 &amp; $A15, US_national_yearly!$D:$AM, MATCH(Keys!$C$7, US_national_yearly!$D$1:$AM$1, 0), FALSE), 1)</f>
        <v>0.8887244027202178</v>
      </c>
      <c r="W15" s="12">
        <f>$B15 * IFERROR(VLOOKUP(Substitution!$M$8 &amp; $A15, US_national_yearly!$D:$AM, MATCH(W$1, US_national_yearly!$D$1:$AM$1, 0), FALSE) / VLOOKUP(Substitution!$M$8 &amp; $A15, US_national_yearly!$D:$AM, MATCH(Keys!$C$7, US_national_yearly!$D$1:$AM$1, 0), FALSE), 1)</f>
        <v>0.89509009866629641</v>
      </c>
      <c r="X15" s="12">
        <f>$B15 * IFERROR(VLOOKUP(Substitution!$M$8 &amp; $A15, US_national_yearly!$D:$AM, MATCH(X$1, US_national_yearly!$D$1:$AM$1, 0), FALSE) / VLOOKUP(Substitution!$M$8 &amp; $A15, US_national_yearly!$D:$AM, MATCH(Keys!$C$7, US_national_yearly!$D$1:$AM$1, 0), FALSE), 1)</f>
        <v>0.90070568700900522</v>
      </c>
      <c r="Y15" s="12">
        <f>$B15 * IFERROR(VLOOKUP(Substitution!$M$8 &amp; $A15, US_national_yearly!$D:$AM, MATCH(Y$1, US_national_yearly!$D$1:$AM$1, 0), FALSE) / VLOOKUP(Substitution!$M$8 &amp; $A15, US_national_yearly!$D:$AM, MATCH(Keys!$C$7, US_national_yearly!$D$1:$AM$1, 0), FALSE), 1)</f>
        <v>0.9063212753517137</v>
      </c>
      <c r="Z15" s="12">
        <f>$B15 * IFERROR(VLOOKUP(Substitution!$M$8 &amp; $A15, US_national_yearly!$D:$AM, MATCH(Z$1, US_national_yearly!$D$1:$AM$1, 0), FALSE) / VLOOKUP(Substitution!$M$8 &amp; $A15, US_national_yearly!$D:$AM, MATCH(Keys!$C$7, US_national_yearly!$D$1:$AM$1, 0), FALSE), 1)</f>
        <v>0.91193686369442239</v>
      </c>
      <c r="AA15" s="12">
        <f>$B15 * IFERROR(VLOOKUP(Substitution!$M$8 &amp; $A15, US_national_yearly!$D:$AM, MATCH(AA$1, US_national_yearly!$D$1:$AM$1, 0), FALSE) / VLOOKUP(Substitution!$M$8 &amp; $A15, US_national_yearly!$D:$AM, MATCH(Keys!$C$7, US_national_yearly!$D$1:$AM$1, 0), FALSE), 1)</f>
        <v>0.91755245203713121</v>
      </c>
      <c r="AB15" s="12">
        <f>$B15 * IFERROR(VLOOKUP(Substitution!$M$8 &amp; $A15, US_national_yearly!$D:$AM, MATCH(AB$1, US_national_yearly!$D$1:$AM$1, 0), FALSE) / VLOOKUP(Substitution!$M$8 &amp; $A15, US_national_yearly!$D:$AM, MATCH(Keys!$C$7, US_national_yearly!$D$1:$AM$1, 0), FALSE), 1)</f>
        <v>0.92316804037983979</v>
      </c>
    </row>
    <row r="16" spans="1:28" x14ac:dyDescent="0.25">
      <c r="A16" s="4" t="s">
        <v>319</v>
      </c>
      <c r="B16" s="12">
        <f>IFERROR(VLOOKUP(Substitution!$M$8 &amp; $A16, US_national_yearly!$D:$AM, MATCH(Keys!$C$7, US_national_yearly!$D$1:$AM$1, 0), FALSE), 0)</f>
        <v>8.1455322578154025E-4</v>
      </c>
      <c r="C16" s="12">
        <f>$B16 * IFERROR(VLOOKUP(Substitution!$M$8 &amp; $A16, US_national_yearly!$D:$AM, MATCH(C$1, US_national_yearly!$D$1:$AM$1, 0), FALSE) / VLOOKUP(Substitution!$M$8 &amp; $A16, US_national_yearly!$D:$AM, MATCH(Keys!$C$7, US_national_yearly!$D$1:$AM$1, 0), FALSE), 1)</f>
        <v>8.3011205588965546E-4</v>
      </c>
      <c r="D16" s="12">
        <f>$B16 * IFERROR(VLOOKUP(Substitution!$M$8 &amp; $A16, US_national_yearly!$D:$AM, MATCH(D$1, US_national_yearly!$D$1:$AM$1, 0), FALSE) / VLOOKUP(Substitution!$M$8 &amp; $A16, US_national_yearly!$D:$AM, MATCH(Keys!$C$7, US_national_yearly!$D$1:$AM$1, 0), FALSE), 1)</f>
        <v>8.4567088599777056E-4</v>
      </c>
      <c r="E16" s="12">
        <f>$B16 * IFERROR(VLOOKUP(Substitution!$M$8 &amp; $A16, US_national_yearly!$D:$AM, MATCH(E$1, US_national_yearly!$D$1:$AM$1, 0), FALSE) / VLOOKUP(Substitution!$M$8 &amp; $A16, US_national_yearly!$D:$AM, MATCH(Keys!$C$7, US_national_yearly!$D$1:$AM$1, 0), FALSE), 1)</f>
        <v>8.6122971610588578E-4</v>
      </c>
      <c r="F16" s="12">
        <f>$B16 * IFERROR(VLOOKUP(Substitution!$M$8 &amp; $A16, US_national_yearly!$D:$AM, MATCH(F$1, US_national_yearly!$D$1:$AM$1, 0), FALSE) / VLOOKUP(Substitution!$M$8 &amp; $A16, US_national_yearly!$D:$AM, MATCH(Keys!$C$7, US_national_yearly!$D$1:$AM$1, 0), FALSE), 1)</f>
        <v>8.7678854621400109E-4</v>
      </c>
      <c r="G16" s="12">
        <f>$B16 * IFERROR(VLOOKUP(Substitution!$M$8 &amp; $A16, US_national_yearly!$D:$AM, MATCH(G$1, US_national_yearly!$D$1:$AM$1, 0), FALSE) / VLOOKUP(Substitution!$M$8 &amp; $A16, US_national_yearly!$D:$AM, MATCH(Keys!$C$7, US_national_yearly!$D$1:$AM$1, 0), FALSE), 1)</f>
        <v>8.9336449618918849E-4</v>
      </c>
      <c r="H16" s="12">
        <f>$B16 * IFERROR(VLOOKUP(Substitution!$M$8 &amp; $A16, US_national_yearly!$D:$AM, MATCH(H$1, US_national_yearly!$D$1:$AM$1, 0), FALSE) / VLOOKUP(Substitution!$M$8 &amp; $A16, US_national_yearly!$D:$AM, MATCH(Keys!$C$7, US_national_yearly!$D$1:$AM$1, 0), FALSE), 1)</f>
        <v>9.0994044616437599E-4</v>
      </c>
      <c r="I16" s="12">
        <f>$B16 * IFERROR(VLOOKUP(Substitution!$M$8 &amp; $A16, US_national_yearly!$D:$AM, MATCH(I$1, US_national_yearly!$D$1:$AM$1, 0), FALSE) / VLOOKUP(Substitution!$M$8 &amp; $A16, US_national_yearly!$D:$AM, MATCH(Keys!$C$7, US_national_yearly!$D$1:$AM$1, 0), FALSE), 1)</f>
        <v>9.2794798255043504E-4</v>
      </c>
      <c r="J16" s="12">
        <f>$B16 * IFERROR(VLOOKUP(Substitution!$M$8 &amp; $A16, US_national_yearly!$D:$AM, MATCH(J$1, US_national_yearly!$D$1:$AM$1, 0), FALSE) / VLOOKUP(Substitution!$M$8 &amp; $A16, US_national_yearly!$D:$AM, MATCH(Keys!$C$7, US_national_yearly!$D$1:$AM$1, 0), FALSE), 1)</f>
        <v>9.4595551893649399E-4</v>
      </c>
      <c r="K16" s="12">
        <f>$B16 * IFERROR(VLOOKUP(Substitution!$M$8 &amp; $A16, US_national_yearly!$D:$AM, MATCH(K$1, US_national_yearly!$D$1:$AM$1, 0), FALSE) / VLOOKUP(Substitution!$M$8 &amp; $A16, US_national_yearly!$D:$AM, MATCH(Keys!$C$7, US_national_yearly!$D$1:$AM$1, 0), FALSE), 1)</f>
        <v>9.6396305532255304E-4</v>
      </c>
      <c r="L16" s="12">
        <f>$B16 * IFERROR(VLOOKUP(Substitution!$M$8 &amp; $A16, US_national_yearly!$D:$AM, MATCH(L$1, US_national_yearly!$D$1:$AM$1, 0), FALSE) / VLOOKUP(Substitution!$M$8 &amp; $A16, US_national_yearly!$D:$AM, MATCH(Keys!$C$7, US_national_yearly!$D$1:$AM$1, 0), FALSE), 1)</f>
        <v>9.8197059170861199E-4</v>
      </c>
      <c r="M16" s="12">
        <f>$B16 * IFERROR(VLOOKUP(Substitution!$M$8 &amp; $A16, US_national_yearly!$D:$AM, MATCH(M$1, US_national_yearly!$D$1:$AM$1, 0), FALSE) / VLOOKUP(Substitution!$M$8 &amp; $A16, US_national_yearly!$D:$AM, MATCH(Keys!$C$7, US_national_yearly!$D$1:$AM$1, 0), FALSE), 1)</f>
        <v>9.9997812809467105E-4</v>
      </c>
      <c r="N16" s="12">
        <f>$B16 * IFERROR(VLOOKUP(Substitution!$M$8 &amp; $A16, US_national_yearly!$D:$AM, MATCH(N$1, US_national_yearly!$D$1:$AM$1, 0), FALSE) / VLOOKUP(Substitution!$M$8 &amp; $A16, US_national_yearly!$D:$AM, MATCH(Keys!$C$7, US_national_yearly!$D$1:$AM$1, 0), FALSE), 1)</f>
        <v>1.0154676433230131E-3</v>
      </c>
      <c r="O16" s="12">
        <f>$B16 * IFERROR(VLOOKUP(Substitution!$M$8 &amp; $A16, US_national_yearly!$D:$AM, MATCH(O$1, US_national_yearly!$D$1:$AM$1, 0), FALSE) / VLOOKUP(Substitution!$M$8 &amp; $A16, US_national_yearly!$D:$AM, MATCH(Keys!$C$7, US_national_yearly!$D$1:$AM$1, 0), FALSE), 1)</f>
        <v>1.0309571585513551E-3</v>
      </c>
      <c r="P16" s="12">
        <f>$B16 * IFERROR(VLOOKUP(Substitution!$M$8 &amp; $A16, US_national_yearly!$D:$AM, MATCH(P$1, US_national_yearly!$D$1:$AM$1, 0), FALSE) / VLOOKUP(Substitution!$M$8 &amp; $A16, US_national_yearly!$D:$AM, MATCH(Keys!$C$7, US_national_yearly!$D$1:$AM$1, 0), FALSE), 1)</f>
        <v>1.046446673779696E-3</v>
      </c>
      <c r="Q16" s="12">
        <f>$B16 * IFERROR(VLOOKUP(Substitution!$M$8 &amp; $A16, US_national_yearly!$D:$AM, MATCH(Q$1, US_national_yearly!$D$1:$AM$1, 0), FALSE) / VLOOKUP(Substitution!$M$8 &amp; $A16, US_national_yearly!$D:$AM, MATCH(Keys!$C$7, US_national_yearly!$D$1:$AM$1, 0), FALSE), 1)</f>
        <v>1.061936189008038E-3</v>
      </c>
      <c r="R16" s="12">
        <f>$B16 * IFERROR(VLOOKUP(Substitution!$M$8 &amp; $A16, US_national_yearly!$D:$AM, MATCH(R$1, US_national_yearly!$D$1:$AM$1, 0), FALSE) / VLOOKUP(Substitution!$M$8 &amp; $A16, US_national_yearly!$D:$AM, MATCH(Keys!$C$7, US_national_yearly!$D$1:$AM$1, 0), FALSE), 1)</f>
        <v>1.0774257042363801E-3</v>
      </c>
      <c r="S16" s="12">
        <f>$B16 * IFERROR(VLOOKUP(Substitution!$M$8 &amp; $A16, US_national_yearly!$D:$AM, MATCH(S$1, US_national_yearly!$D$1:$AM$1, 0), FALSE) / VLOOKUP(Substitution!$M$8 &amp; $A16, US_national_yearly!$D:$AM, MATCH(Keys!$C$7, US_national_yearly!$D$1:$AM$1, 0), FALSE), 1)</f>
        <v>1.0855722523537799E-3</v>
      </c>
      <c r="T16" s="12">
        <f>$B16 * IFERROR(VLOOKUP(Substitution!$M$8 &amp; $A16, US_national_yearly!$D:$AM, MATCH(T$1, US_national_yearly!$D$1:$AM$1, 0), FALSE) / VLOOKUP(Substitution!$M$8 &amp; $A16, US_national_yearly!$D:$AM, MATCH(Keys!$C$7, US_national_yearly!$D$1:$AM$1, 0), FALSE), 1)</f>
        <v>1.09371880047118E-3</v>
      </c>
      <c r="U16" s="12">
        <f>$B16 * IFERROR(VLOOKUP(Substitution!$M$8 &amp; $A16, US_national_yearly!$D:$AM, MATCH(U$1, US_national_yearly!$D$1:$AM$1, 0), FALSE) / VLOOKUP(Substitution!$M$8 &amp; $A16, US_national_yearly!$D:$AM, MATCH(Keys!$C$7, US_national_yearly!$D$1:$AM$1, 0), FALSE), 1)</f>
        <v>1.1018653485885799E-3</v>
      </c>
      <c r="V16" s="12">
        <f>$B16 * IFERROR(VLOOKUP(Substitution!$M$8 &amp; $A16, US_national_yearly!$D:$AM, MATCH(V$1, US_national_yearly!$D$1:$AM$1, 0), FALSE) / VLOOKUP(Substitution!$M$8 &amp; $A16, US_national_yearly!$D:$AM, MATCH(Keys!$C$7, US_national_yearly!$D$1:$AM$1, 0), FALSE), 1)</f>
        <v>1.11001189670598E-3</v>
      </c>
      <c r="W16" s="12">
        <f>$B16 * IFERROR(VLOOKUP(Substitution!$M$8 &amp; $A16, US_national_yearly!$D:$AM, MATCH(W$1, US_national_yearly!$D$1:$AM$1, 0), FALSE) / VLOOKUP(Substitution!$M$8 &amp; $A16, US_national_yearly!$D:$AM, MATCH(Keys!$C$7, US_national_yearly!$D$1:$AM$1, 0), FALSE), 1)</f>
        <v>1.1181584448233799E-3</v>
      </c>
      <c r="X16" s="12">
        <f>$B16 * IFERROR(VLOOKUP(Substitution!$M$8 &amp; $A16, US_national_yearly!$D:$AM, MATCH(X$1, US_national_yearly!$D$1:$AM$1, 0), FALSE) / VLOOKUP(Substitution!$M$8 &amp; $A16, US_national_yearly!$D:$AM, MATCH(Keys!$C$7, US_national_yearly!$D$1:$AM$1, 0), FALSE), 1)</f>
        <v>1.121950345312946E-3</v>
      </c>
      <c r="Y16" s="12">
        <f>$B16 * IFERROR(VLOOKUP(Substitution!$M$8 &amp; $A16, US_national_yearly!$D:$AM, MATCH(Y$1, US_national_yearly!$D$1:$AM$1, 0), FALSE) / VLOOKUP(Substitution!$M$8 &amp; $A16, US_national_yearly!$D:$AM, MATCH(Keys!$C$7, US_national_yearly!$D$1:$AM$1, 0), FALSE), 1)</f>
        <v>1.1257422458025119E-3</v>
      </c>
      <c r="Z16" s="12">
        <f>$B16 * IFERROR(VLOOKUP(Substitution!$M$8 &amp; $A16, US_national_yearly!$D:$AM, MATCH(Z$1, US_national_yearly!$D$1:$AM$1, 0), FALSE) / VLOOKUP(Substitution!$M$8 &amp; $A16, US_national_yearly!$D:$AM, MATCH(Keys!$C$7, US_national_yearly!$D$1:$AM$1, 0), FALSE), 1)</f>
        <v>1.129534146292078E-3</v>
      </c>
      <c r="AA16" s="12">
        <f>$B16 * IFERROR(VLOOKUP(Substitution!$M$8 &amp; $A16, US_national_yearly!$D:$AM, MATCH(AA$1, US_national_yearly!$D$1:$AM$1, 0), FALSE) / VLOOKUP(Substitution!$M$8 &amp; $A16, US_national_yearly!$D:$AM, MATCH(Keys!$C$7, US_national_yearly!$D$1:$AM$1, 0), FALSE), 1)</f>
        <v>1.1333260467816439E-3</v>
      </c>
      <c r="AB16" s="12">
        <f>$B16 * IFERROR(VLOOKUP(Substitution!$M$8 &amp; $A16, US_national_yearly!$D:$AM, MATCH(AB$1, US_national_yearly!$D$1:$AM$1, 0), FALSE) / VLOOKUP(Substitution!$M$8 &amp; $A16, US_national_yearly!$D:$AM, MATCH(Keys!$C$7, US_national_yearly!$D$1:$AM$1, 0), FALSE), 1)</f>
        <v>1.13711794727121E-3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Substitution!$G$8)/IFERROR(SUMIFS(COBRA_aggregated!$U:$U, COBRA_aggregated!$A:$A, About!$B$1, COBRA_aggregated!$B:$B, Substitution!$G$8), 1)</f>
        <v>1.98705906781599E-3</v>
      </c>
      <c r="C17" s="12">
        <f>$B17 * IFERROR(VLOOKUP(Substitution!$M$8 &amp; $A17, US_national_yearly!$D:$AM, MATCH(C$1, US_national_yearly!$D$1:$AM$1, 0), FALSE) / VLOOKUP(Substitution!$M$8 &amp; $A17, US_national_yearly!$D:$AM, MATCH(Keys!$C$7, US_national_yearly!$D$1:$AM$1, 0), FALSE), 1)</f>
        <v>2.0460248651608072E-3</v>
      </c>
      <c r="D17" s="12">
        <f>$B17 * IFERROR(VLOOKUP(Substitution!$M$8 &amp; $A17, US_national_yearly!$D:$AM, MATCH(D$1, US_national_yearly!$D$1:$AM$1, 0), FALSE) / VLOOKUP(Substitution!$M$8 &amp; $A17, US_national_yearly!$D:$AM, MATCH(Keys!$C$7, US_national_yearly!$D$1:$AM$1, 0), FALSE), 1)</f>
        <v>2.1049906625056247E-3</v>
      </c>
      <c r="E17" s="12">
        <f>$B17 * IFERROR(VLOOKUP(Substitution!$M$8 &amp; $A17, US_national_yearly!$D:$AM, MATCH(E$1, US_national_yearly!$D$1:$AM$1, 0), FALSE) / VLOOKUP(Substitution!$M$8 &amp; $A17, US_national_yearly!$D:$AM, MATCH(Keys!$C$7, US_national_yearly!$D$1:$AM$1, 0), FALSE), 1)</f>
        <v>2.1639564598504419E-3</v>
      </c>
      <c r="F17" s="12">
        <f>$B17 * IFERROR(VLOOKUP(Substitution!$M$8 &amp; $A17, US_national_yearly!$D:$AM, MATCH(F$1, US_national_yearly!$D$1:$AM$1, 0), FALSE) / VLOOKUP(Substitution!$M$8 &amp; $A17, US_national_yearly!$D:$AM, MATCH(Keys!$C$7, US_national_yearly!$D$1:$AM$1, 0), FALSE), 1)</f>
        <v>2.2229222571952595E-3</v>
      </c>
      <c r="G17" s="12">
        <f>$B17 * IFERROR(VLOOKUP(Substitution!$M$8 &amp; $A17, US_national_yearly!$D:$AM, MATCH(G$1, US_national_yearly!$D$1:$AM$1, 0), FALSE) / VLOOKUP(Substitution!$M$8 &amp; $A17, US_national_yearly!$D:$AM, MATCH(Keys!$C$7, US_national_yearly!$D$1:$AM$1, 0), FALSE), 1)</f>
        <v>2.2797946772552592E-3</v>
      </c>
      <c r="H17" s="12">
        <f>$B17 * IFERROR(VLOOKUP(Substitution!$M$8 &amp; $A17, US_national_yearly!$D:$AM, MATCH(H$1, US_national_yearly!$D$1:$AM$1, 0), FALSE) / VLOOKUP(Substitution!$M$8 &amp; $A17, US_national_yearly!$D:$AM, MATCH(Keys!$C$7, US_national_yearly!$D$1:$AM$1, 0), FALSE), 1)</f>
        <v>2.3366670973152589E-3</v>
      </c>
      <c r="I17" s="12">
        <f>$B17 * IFERROR(VLOOKUP(Substitution!$M$8 &amp; $A17, US_national_yearly!$D:$AM, MATCH(I$1, US_national_yearly!$D$1:$AM$1, 0), FALSE) / VLOOKUP(Substitution!$M$8 &amp; $A17, US_national_yearly!$D:$AM, MATCH(Keys!$C$7, US_national_yearly!$D$1:$AM$1, 0), FALSE), 1)</f>
        <v>2.3859345075597695E-3</v>
      </c>
      <c r="J17" s="12">
        <f>$B17 * IFERROR(VLOOKUP(Substitution!$M$8 &amp; $A17, US_national_yearly!$D:$AM, MATCH(J$1, US_national_yearly!$D$1:$AM$1, 0), FALSE) / VLOOKUP(Substitution!$M$8 &amp; $A17, US_national_yearly!$D:$AM, MATCH(Keys!$C$7, US_national_yearly!$D$1:$AM$1, 0), FALSE), 1)</f>
        <v>2.4352019178042802E-3</v>
      </c>
      <c r="K17" s="12">
        <f>$B17 * IFERROR(VLOOKUP(Substitution!$M$8 &amp; $A17, US_national_yearly!$D:$AM, MATCH(K$1, US_national_yearly!$D$1:$AM$1, 0), FALSE) / VLOOKUP(Substitution!$M$8 &amp; $A17, US_national_yearly!$D:$AM, MATCH(Keys!$C$7, US_national_yearly!$D$1:$AM$1, 0), FALSE), 1)</f>
        <v>2.4844693280487908E-3</v>
      </c>
      <c r="L17" s="12">
        <f>$B17 * IFERROR(VLOOKUP(Substitution!$M$8 &amp; $A17, US_national_yearly!$D:$AM, MATCH(L$1, US_national_yearly!$D$1:$AM$1, 0), FALSE) / VLOOKUP(Substitution!$M$8 &amp; $A17, US_national_yearly!$D:$AM, MATCH(Keys!$C$7, US_national_yearly!$D$1:$AM$1, 0), FALSE), 1)</f>
        <v>2.5337367382933015E-3</v>
      </c>
      <c r="M17" s="12">
        <f>$B17 * IFERROR(VLOOKUP(Substitution!$M$8 &amp; $A17, US_national_yearly!$D:$AM, MATCH(M$1, US_national_yearly!$D$1:$AM$1, 0), FALSE) / VLOOKUP(Substitution!$M$8 &amp; $A17, US_national_yearly!$D:$AM, MATCH(Keys!$C$7, US_national_yearly!$D$1:$AM$1, 0), FALSE), 1)</f>
        <v>2.5830041485378117E-3</v>
      </c>
      <c r="N17" s="12">
        <f>$B17 * IFERROR(VLOOKUP(Substitution!$M$8 &amp; $A17, US_national_yearly!$D:$AM, MATCH(N$1, US_national_yearly!$D$1:$AM$1, 0), FALSE) / VLOOKUP(Substitution!$M$8 &amp; $A17, US_national_yearly!$D:$AM, MATCH(Keys!$C$7, US_national_yearly!$D$1:$AM$1, 0), FALSE), 1)</f>
        <v>2.6161228309473732E-3</v>
      </c>
      <c r="O17" s="12">
        <f>$B17 * IFERROR(VLOOKUP(Substitution!$M$8 &amp; $A17, US_national_yearly!$D:$AM, MATCH(O$1, US_national_yearly!$D$1:$AM$1, 0), FALSE) / VLOOKUP(Substitution!$M$8 &amp; $A17, US_national_yearly!$D:$AM, MATCH(Keys!$C$7, US_national_yearly!$D$1:$AM$1, 0), FALSE), 1)</f>
        <v>2.6492415133569339E-3</v>
      </c>
      <c r="P17" s="12">
        <f>$B17 * IFERROR(VLOOKUP(Substitution!$M$8 &amp; $A17, US_national_yearly!$D:$AM, MATCH(P$1, US_national_yearly!$D$1:$AM$1, 0), FALSE) / VLOOKUP(Substitution!$M$8 &amp; $A17, US_national_yearly!$D:$AM, MATCH(Keys!$C$7, US_national_yearly!$D$1:$AM$1, 0), FALSE), 1)</f>
        <v>2.682360195766495E-3</v>
      </c>
      <c r="Q17" s="12">
        <f>$B17 * IFERROR(VLOOKUP(Substitution!$M$8 &amp; $A17, US_national_yearly!$D:$AM, MATCH(Q$1, US_national_yearly!$D$1:$AM$1, 0), FALSE) / VLOOKUP(Substitution!$M$8 &amp; $A17, US_national_yearly!$D:$AM, MATCH(Keys!$C$7, US_national_yearly!$D$1:$AM$1, 0), FALSE), 1)</f>
        <v>2.7154788781760561E-3</v>
      </c>
      <c r="R17" s="12">
        <f>$B17 * IFERROR(VLOOKUP(Substitution!$M$8 &amp; $A17, US_national_yearly!$D:$AM, MATCH(R$1, US_national_yearly!$D$1:$AM$1, 0), FALSE) / VLOOKUP(Substitution!$M$8 &amp; $A17, US_national_yearly!$D:$AM, MATCH(Keys!$C$7, US_national_yearly!$D$1:$AM$1, 0), FALSE), 1)</f>
        <v>2.7485975605856172E-3</v>
      </c>
      <c r="S17" s="12">
        <f>$B17 * IFERROR(VLOOKUP(Substitution!$M$8 &amp; $A17, US_national_yearly!$D:$AM, MATCH(S$1, US_national_yearly!$D$1:$AM$1, 0), FALSE) / VLOOKUP(Substitution!$M$8 &amp; $A17, US_national_yearly!$D:$AM, MATCH(Keys!$C$7, US_national_yearly!$D$1:$AM$1, 0), FALSE), 1)</f>
        <v>2.7668758056148442E-3</v>
      </c>
      <c r="T17" s="12">
        <f>$B17 * IFERROR(VLOOKUP(Substitution!$M$8 &amp; $A17, US_national_yearly!$D:$AM, MATCH(T$1, US_national_yearly!$D$1:$AM$1, 0), FALSE) / VLOOKUP(Substitution!$M$8 &amp; $A17, US_national_yearly!$D:$AM, MATCH(Keys!$C$7, US_national_yearly!$D$1:$AM$1, 0), FALSE), 1)</f>
        <v>2.7851540506440699E-3</v>
      </c>
      <c r="U17" s="12">
        <f>$B17 * IFERROR(VLOOKUP(Substitution!$M$8 &amp; $A17, US_national_yearly!$D:$AM, MATCH(U$1, US_national_yearly!$D$1:$AM$1, 0), FALSE) / VLOOKUP(Substitution!$M$8 &amp; $A17, US_national_yearly!$D:$AM, MATCH(Keys!$C$7, US_national_yearly!$D$1:$AM$1, 0), FALSE), 1)</f>
        <v>2.8034322956732968E-3</v>
      </c>
      <c r="V17" s="12">
        <f>$B17 * IFERROR(VLOOKUP(Substitution!$M$8 &amp; $A17, US_national_yearly!$D:$AM, MATCH(V$1, US_national_yearly!$D$1:$AM$1, 0), FALSE) / VLOOKUP(Substitution!$M$8 &amp; $A17, US_national_yearly!$D:$AM, MATCH(Keys!$C$7, US_national_yearly!$D$1:$AM$1, 0), FALSE), 1)</f>
        <v>2.8217105407025234E-3</v>
      </c>
      <c r="W17" s="12">
        <f>$B17 * IFERROR(VLOOKUP(Substitution!$M$8 &amp; $A17, US_national_yearly!$D:$AM, MATCH(W$1, US_national_yearly!$D$1:$AM$1, 0), FALSE) / VLOOKUP(Substitution!$M$8 &amp; $A17, US_national_yearly!$D:$AM, MATCH(Keys!$C$7, US_national_yearly!$D$1:$AM$1, 0), FALSE), 1)</f>
        <v>2.83998878573175E-3</v>
      </c>
      <c r="X17" s="12">
        <f>$B17 * IFERROR(VLOOKUP(Substitution!$M$8 &amp; $A17, US_national_yearly!$D:$AM, MATCH(X$1, US_national_yearly!$D$1:$AM$1, 0), FALSE) / VLOOKUP(Substitution!$M$8 &amp; $A17, US_national_yearly!$D:$AM, MATCH(Keys!$C$7, US_national_yearly!$D$1:$AM$1, 0), FALSE), 1)</f>
        <v>2.8527406793300565E-3</v>
      </c>
      <c r="Y17" s="12">
        <f>$B17 * IFERROR(VLOOKUP(Substitution!$M$8 &amp; $A17, US_national_yearly!$D:$AM, MATCH(Y$1, US_national_yearly!$D$1:$AM$1, 0), FALSE) / VLOOKUP(Substitution!$M$8 &amp; $A17, US_national_yearly!$D:$AM, MATCH(Keys!$C$7, US_national_yearly!$D$1:$AM$1, 0), FALSE), 1)</f>
        <v>2.8654925729283622E-3</v>
      </c>
      <c r="Z17" s="12">
        <f>$B17 * IFERROR(VLOOKUP(Substitution!$M$8 &amp; $A17, US_national_yearly!$D:$AM, MATCH(Z$1, US_national_yearly!$D$1:$AM$1, 0), FALSE) / VLOOKUP(Substitution!$M$8 &amp; $A17, US_national_yearly!$D:$AM, MATCH(Keys!$C$7, US_national_yearly!$D$1:$AM$1, 0), FALSE), 1)</f>
        <v>2.8782444665266687E-3</v>
      </c>
      <c r="AA17" s="12">
        <f>$B17 * IFERROR(VLOOKUP(Substitution!$M$8 &amp; $A17, US_national_yearly!$D:$AM, MATCH(AA$1, US_national_yearly!$D$1:$AM$1, 0), FALSE) / VLOOKUP(Substitution!$M$8 &amp; $A17, US_national_yearly!$D:$AM, MATCH(Keys!$C$7, US_national_yearly!$D$1:$AM$1, 0), FALSE), 1)</f>
        <v>2.8909963601249757E-3</v>
      </c>
      <c r="AB17" s="12">
        <f>$B17 * IFERROR(VLOOKUP(Substitution!$M$8 &amp; $A17, US_national_yearly!$D:$AM, MATCH(AB$1, US_national_yearly!$D$1:$AM$1, 0), FALSE) / VLOOKUP(Substitution!$M$8 &amp; $A17, US_national_yearly!$D:$AM, MATCH(Keys!$C$7, US_national_yearly!$D$1:$AM$1, 0), FALSE), 1)</f>
        <v>2.9037482537232822E-3</v>
      </c>
    </row>
    <row r="18" spans="1:28" x14ac:dyDescent="0.25">
      <c r="A18" s="4" t="s">
        <v>323</v>
      </c>
      <c r="B18" s="12">
        <f>IFERROR(VLOOKUP(Substitution!$M$8 &amp; $A18, US_national_yearly!$D:$AM, MATCH(Keys!$C$7, US_national_yearly!$D$1:$AM$1, 0), FALSE), 0)</f>
        <v>5.6277128401843084E-3</v>
      </c>
      <c r="C18" s="12">
        <f>$B18 * IFERROR(VLOOKUP(Substitution!$M$8 &amp; $A18, US_national_yearly!$D:$AM, MATCH(C$1, US_national_yearly!$D$1:$AM$1, 0), FALSE) / VLOOKUP(Substitution!$M$8 &amp; $A18, US_national_yearly!$D:$AM, MATCH(Keys!$C$7, US_national_yearly!$D$1:$AM$1, 0), FALSE), 1)</f>
        <v>5.8097319397002068E-3</v>
      </c>
      <c r="D18" s="12">
        <f>$B18 * IFERROR(VLOOKUP(Substitution!$M$8 &amp; $A18, US_national_yearly!$D:$AM, MATCH(D$1, US_national_yearly!$D$1:$AM$1, 0), FALSE) / VLOOKUP(Substitution!$M$8 &amp; $A18, US_national_yearly!$D:$AM, MATCH(Keys!$C$7, US_national_yearly!$D$1:$AM$1, 0), FALSE), 1)</f>
        <v>5.9917510392161043E-3</v>
      </c>
      <c r="E18" s="12">
        <f>$B18 * IFERROR(VLOOKUP(Substitution!$M$8 &amp; $A18, US_national_yearly!$D:$AM, MATCH(E$1, US_national_yearly!$D$1:$AM$1, 0), FALSE) / VLOOKUP(Substitution!$M$8 &amp; $A18, US_national_yearly!$D:$AM, MATCH(Keys!$C$7, US_national_yearly!$D$1:$AM$1, 0), FALSE), 1)</f>
        <v>6.1737701387320019E-3</v>
      </c>
      <c r="F18" s="12">
        <f>$B18 * IFERROR(VLOOKUP(Substitution!$M$8 &amp; $A18, US_national_yearly!$D:$AM, MATCH(F$1, US_national_yearly!$D$1:$AM$1, 0), FALSE) / VLOOKUP(Substitution!$M$8 &amp; $A18, US_national_yearly!$D:$AM, MATCH(Keys!$C$7, US_national_yearly!$D$1:$AM$1, 0), FALSE), 1)</f>
        <v>6.3557892382478994E-3</v>
      </c>
      <c r="G18" s="12">
        <f>$B18 * IFERROR(VLOOKUP(Substitution!$M$8 &amp; $A18, US_national_yearly!$D:$AM, MATCH(G$1, US_national_yearly!$D$1:$AM$1, 0), FALSE) / VLOOKUP(Substitution!$M$8 &amp; $A18, US_national_yearly!$D:$AM, MATCH(Keys!$C$7, US_national_yearly!$D$1:$AM$1, 0), FALSE), 1)</f>
        <v>6.549964457632825E-3</v>
      </c>
      <c r="H18" s="12">
        <f>$B18 * IFERROR(VLOOKUP(Substitution!$M$8 &amp; $A18, US_national_yearly!$D:$AM, MATCH(H$1, US_national_yearly!$D$1:$AM$1, 0), FALSE) / VLOOKUP(Substitution!$M$8 &amp; $A18, US_national_yearly!$D:$AM, MATCH(Keys!$C$7, US_national_yearly!$D$1:$AM$1, 0), FALSE), 1)</f>
        <v>6.7441396770177497E-3</v>
      </c>
      <c r="I18" s="12">
        <f>$B18 * IFERROR(VLOOKUP(Substitution!$M$8 &amp; $A18, US_national_yearly!$D:$AM, MATCH(I$1, US_national_yearly!$D$1:$AM$1, 0), FALSE) / VLOOKUP(Substitution!$M$8 &amp; $A18, US_national_yearly!$D:$AM, MATCH(Keys!$C$7, US_national_yearly!$D$1:$AM$1, 0), FALSE), 1)</f>
        <v>6.9404883601862548E-3</v>
      </c>
      <c r="J18" s="12">
        <f>$B18 * IFERROR(VLOOKUP(Substitution!$M$8 &amp; $A18, US_national_yearly!$D:$AM, MATCH(J$1, US_national_yearly!$D$1:$AM$1, 0), FALSE) / VLOOKUP(Substitution!$M$8 &amp; $A18, US_national_yearly!$D:$AM, MATCH(Keys!$C$7, US_national_yearly!$D$1:$AM$1, 0), FALSE), 1)</f>
        <v>7.1368370433547617E-3</v>
      </c>
      <c r="K18" s="12">
        <f>$B18 * IFERROR(VLOOKUP(Substitution!$M$8 &amp; $A18, US_national_yearly!$D:$AM, MATCH(K$1, US_national_yearly!$D$1:$AM$1, 0), FALSE) / VLOOKUP(Substitution!$M$8 &amp; $A18, US_national_yearly!$D:$AM, MATCH(Keys!$C$7, US_national_yearly!$D$1:$AM$1, 0), FALSE), 1)</f>
        <v>7.3331857265232676E-3</v>
      </c>
      <c r="L18" s="12">
        <f>$B18 * IFERROR(VLOOKUP(Substitution!$M$8 &amp; $A18, US_national_yearly!$D:$AM, MATCH(L$1, US_national_yearly!$D$1:$AM$1, 0), FALSE) / VLOOKUP(Substitution!$M$8 &amp; $A18, US_national_yearly!$D:$AM, MATCH(Keys!$C$7, US_national_yearly!$D$1:$AM$1, 0), FALSE), 1)</f>
        <v>7.5295344096917736E-3</v>
      </c>
      <c r="M18" s="12">
        <f>$B18 * IFERROR(VLOOKUP(Substitution!$M$8 &amp; $A18, US_national_yearly!$D:$AM, MATCH(M$1, US_national_yearly!$D$1:$AM$1, 0), FALSE) / VLOOKUP(Substitution!$M$8 &amp; $A18, US_national_yearly!$D:$AM, MATCH(Keys!$C$7, US_national_yearly!$D$1:$AM$1, 0), FALSE), 1)</f>
        <v>7.7258830928602796E-3</v>
      </c>
      <c r="N18" s="12">
        <f>$B18 * IFERROR(VLOOKUP(Substitution!$M$8 &amp; $A18, US_national_yearly!$D:$AM, MATCH(N$1, US_national_yearly!$D$1:$AM$1, 0), FALSE) / VLOOKUP(Substitution!$M$8 &amp; $A18, US_national_yearly!$D:$AM, MATCH(Keys!$C$7, US_national_yearly!$D$1:$AM$1, 0), FALSE), 1)</f>
        <v>7.869004940604888E-3</v>
      </c>
      <c r="O18" s="12">
        <f>$B18 * IFERROR(VLOOKUP(Substitution!$M$8 &amp; $A18, US_national_yearly!$D:$AM, MATCH(O$1, US_national_yearly!$D$1:$AM$1, 0), FALSE) / VLOOKUP(Substitution!$M$8 &amp; $A18, US_national_yearly!$D:$AM, MATCH(Keys!$C$7, US_national_yearly!$D$1:$AM$1, 0), FALSE), 1)</f>
        <v>8.0121267883494964E-3</v>
      </c>
      <c r="P18" s="12">
        <f>$B18 * IFERROR(VLOOKUP(Substitution!$M$8 &amp; $A18, US_national_yearly!$D:$AM, MATCH(P$1, US_national_yearly!$D$1:$AM$1, 0), FALSE) / VLOOKUP(Substitution!$M$8 &amp; $A18, US_national_yearly!$D:$AM, MATCH(Keys!$C$7, US_national_yearly!$D$1:$AM$1, 0), FALSE), 1)</f>
        <v>8.1552486360941031E-3</v>
      </c>
      <c r="Q18" s="12">
        <f>$B18 * IFERROR(VLOOKUP(Substitution!$M$8 &amp; $A18, US_national_yearly!$D:$AM, MATCH(Q$1, US_national_yearly!$D$1:$AM$1, 0), FALSE) / VLOOKUP(Substitution!$M$8 &amp; $A18, US_national_yearly!$D:$AM, MATCH(Keys!$C$7, US_national_yearly!$D$1:$AM$1, 0), FALSE), 1)</f>
        <v>8.2983704838387115E-3</v>
      </c>
      <c r="R18" s="12">
        <f>$B18 * IFERROR(VLOOKUP(Substitution!$M$8 &amp; $A18, US_national_yearly!$D:$AM, MATCH(R$1, US_national_yearly!$D$1:$AM$1, 0), FALSE) / VLOOKUP(Substitution!$M$8 &amp; $A18, US_national_yearly!$D:$AM, MATCH(Keys!$C$7, US_national_yearly!$D$1:$AM$1, 0), FALSE), 1)</f>
        <v>8.4414923315833199E-3</v>
      </c>
      <c r="S18" s="12">
        <f>$B18 * IFERROR(VLOOKUP(Substitution!$M$8 &amp; $A18, US_national_yearly!$D:$AM, MATCH(S$1, US_national_yearly!$D$1:$AM$1, 0), FALSE) / VLOOKUP(Substitution!$M$8 &amp; $A18, US_national_yearly!$D:$AM, MATCH(Keys!$C$7, US_national_yearly!$D$1:$AM$1, 0), FALSE), 1)</f>
        <v>8.5144595662756759E-3</v>
      </c>
      <c r="T18" s="12">
        <f>$B18 * IFERROR(VLOOKUP(Substitution!$M$8 &amp; $A18, US_national_yearly!$D:$AM, MATCH(T$1, US_national_yearly!$D$1:$AM$1, 0), FALSE) / VLOOKUP(Substitution!$M$8 &amp; $A18, US_national_yearly!$D:$AM, MATCH(Keys!$C$7, US_national_yearly!$D$1:$AM$1, 0), FALSE), 1)</f>
        <v>8.5874268009680319E-3</v>
      </c>
      <c r="U18" s="12">
        <f>$B18 * IFERROR(VLOOKUP(Substitution!$M$8 &amp; $A18, US_national_yearly!$D:$AM, MATCH(U$1, US_national_yearly!$D$1:$AM$1, 0), FALSE) / VLOOKUP(Substitution!$M$8 &amp; $A18, US_national_yearly!$D:$AM, MATCH(Keys!$C$7, US_national_yearly!$D$1:$AM$1, 0), FALSE), 1)</f>
        <v>8.6603940356603879E-3</v>
      </c>
      <c r="V18" s="12">
        <f>$B18 * IFERROR(VLOOKUP(Substitution!$M$8 &amp; $A18, US_national_yearly!$D:$AM, MATCH(V$1, US_national_yearly!$D$1:$AM$1, 0), FALSE) / VLOOKUP(Substitution!$M$8 &amp; $A18, US_national_yearly!$D:$AM, MATCH(Keys!$C$7, US_national_yearly!$D$1:$AM$1, 0), FALSE), 1)</f>
        <v>8.7333612703527439E-3</v>
      </c>
      <c r="W18" s="12">
        <f>$B18 * IFERROR(VLOOKUP(Substitution!$M$8 &amp; $A18, US_national_yearly!$D:$AM, MATCH(W$1, US_national_yearly!$D$1:$AM$1, 0), FALSE) / VLOOKUP(Substitution!$M$8 &amp; $A18, US_national_yearly!$D:$AM, MATCH(Keys!$C$7, US_national_yearly!$D$1:$AM$1, 0), FALSE), 1)</f>
        <v>8.8063285050450999E-3</v>
      </c>
      <c r="X18" s="12">
        <f>$B18 * IFERROR(VLOOKUP(Substitution!$M$8 &amp; $A18, US_national_yearly!$D:$AM, MATCH(X$1, US_national_yearly!$D$1:$AM$1, 0), FALSE) / VLOOKUP(Substitution!$M$8 &amp; $A18, US_national_yearly!$D:$AM, MATCH(Keys!$C$7, US_national_yearly!$D$1:$AM$1, 0), FALSE), 1)</f>
        <v>8.8313768795037495E-3</v>
      </c>
      <c r="Y18" s="12">
        <f>$B18 * IFERROR(VLOOKUP(Substitution!$M$8 &amp; $A18, US_national_yearly!$D:$AM, MATCH(Y$1, US_national_yearly!$D$1:$AM$1, 0), FALSE) / VLOOKUP(Substitution!$M$8 &amp; $A18, US_national_yearly!$D:$AM, MATCH(Keys!$C$7, US_national_yearly!$D$1:$AM$1, 0), FALSE), 1)</f>
        <v>8.8564252539623991E-3</v>
      </c>
      <c r="Z18" s="12">
        <f>$B18 * IFERROR(VLOOKUP(Substitution!$M$8 &amp; $A18, US_national_yearly!$D:$AM, MATCH(Z$1, US_national_yearly!$D$1:$AM$1, 0), FALSE) / VLOOKUP(Substitution!$M$8 &amp; $A18, US_national_yearly!$D:$AM, MATCH(Keys!$C$7, US_national_yearly!$D$1:$AM$1, 0), FALSE), 1)</f>
        <v>8.8814736284210504E-3</v>
      </c>
      <c r="AA18" s="12">
        <f>$B18 * IFERROR(VLOOKUP(Substitution!$M$8 &amp; $A18, US_national_yearly!$D:$AM, MATCH(AA$1, US_national_yearly!$D$1:$AM$1, 0), FALSE) / VLOOKUP(Substitution!$M$8 &amp; $A18, US_national_yearly!$D:$AM, MATCH(Keys!$C$7, US_national_yearly!$D$1:$AM$1, 0), FALSE), 1)</f>
        <v>8.9065220028797E-3</v>
      </c>
      <c r="AB18" s="12">
        <f>$B18 * IFERROR(VLOOKUP(Substitution!$M$8 &amp; $A18, US_national_yearly!$D:$AM, MATCH(AB$1, US_national_yearly!$D$1:$AM$1, 0), FALSE) / VLOOKUP(Substitution!$M$8 &amp; $A18, US_national_yearly!$D:$AM, MATCH(Keys!$C$7, US_national_yearly!$D$1:$AM$1, 0), FALSE), 1)</f>
        <v>8.9315703773383496E-3</v>
      </c>
    </row>
    <row r="19" spans="1:28" x14ac:dyDescent="0.25">
      <c r="A19" s="4" t="s">
        <v>325</v>
      </c>
      <c r="B19" s="12">
        <f>IFERROR(VLOOKUP(Substitution!$M$8 &amp; $A19, US_national_yearly!$D:$AM, MATCH(Keys!$C$7, US_national_yearly!$D$1:$AM$1, 0), FALSE), 0)</f>
        <v>7.7240502742308419E-4</v>
      </c>
      <c r="C19" s="12">
        <f>$B19 * IFERROR(VLOOKUP(Substitution!$M$8 &amp; $A19, US_national_yearly!$D:$AM, MATCH(C$1, US_national_yearly!$D$1:$AM$1, 0), FALSE) / VLOOKUP(Substitution!$M$8 &amp; $A19, US_national_yearly!$D:$AM, MATCH(Keys!$C$7, US_national_yearly!$D$1:$AM$1, 0), FALSE), 1)</f>
        <v>7.9237340412051643E-4</v>
      </c>
      <c r="D19" s="12">
        <f>$B19 * IFERROR(VLOOKUP(Substitution!$M$8 &amp; $A19, US_national_yearly!$D:$AM, MATCH(D$1, US_national_yearly!$D$1:$AM$1, 0), FALSE) / VLOOKUP(Substitution!$M$8 &amp; $A19, US_national_yearly!$D:$AM, MATCH(Keys!$C$7, US_national_yearly!$D$1:$AM$1, 0), FALSE), 1)</f>
        <v>8.1234178081794845E-4</v>
      </c>
      <c r="E19" s="12">
        <f>$B19 * IFERROR(VLOOKUP(Substitution!$M$8 &amp; $A19, US_national_yearly!$D:$AM, MATCH(E$1, US_national_yearly!$D$1:$AM$1, 0), FALSE) / VLOOKUP(Substitution!$M$8 &amp; $A19, US_national_yearly!$D:$AM, MATCH(Keys!$C$7, US_national_yearly!$D$1:$AM$1, 0), FALSE), 1)</f>
        <v>8.3231015751538068E-4</v>
      </c>
      <c r="F19" s="12">
        <f>$B19 * IFERROR(VLOOKUP(Substitution!$M$8 &amp; $A19, US_national_yearly!$D:$AM, MATCH(F$1, US_national_yearly!$D$1:$AM$1, 0), FALSE) / VLOOKUP(Substitution!$M$8 &amp; $A19, US_national_yearly!$D:$AM, MATCH(Keys!$C$7, US_national_yearly!$D$1:$AM$1, 0), FALSE), 1)</f>
        <v>8.5227853421281313E-4</v>
      </c>
      <c r="G19" s="12">
        <f>$B19 * IFERROR(VLOOKUP(Substitution!$M$8 &amp; $A19, US_national_yearly!$D:$AM, MATCH(G$1, US_national_yearly!$D$1:$AM$1, 0), FALSE) / VLOOKUP(Substitution!$M$8 &amp; $A19, US_national_yearly!$D:$AM, MATCH(Keys!$C$7, US_national_yearly!$D$1:$AM$1, 0), FALSE), 1)</f>
        <v>8.6916416076644547E-4</v>
      </c>
      <c r="H19" s="12">
        <f>$B19 * IFERROR(VLOOKUP(Substitution!$M$8 &amp; $A19, US_national_yearly!$D:$AM, MATCH(H$1, US_national_yearly!$D$1:$AM$1, 0), FALSE) / VLOOKUP(Substitution!$M$8 &amp; $A19, US_national_yearly!$D:$AM, MATCH(Keys!$C$7, US_national_yearly!$D$1:$AM$1, 0), FALSE), 1)</f>
        <v>8.8604978732007803E-4</v>
      </c>
      <c r="I19" s="12">
        <f>$B19 * IFERROR(VLOOKUP(Substitution!$M$8 &amp; $A19, US_national_yearly!$D:$AM, MATCH(I$1, US_national_yearly!$D$1:$AM$1, 0), FALSE) / VLOOKUP(Substitution!$M$8 &amp; $A19, US_national_yearly!$D:$AM, MATCH(Keys!$C$7, US_national_yearly!$D$1:$AM$1, 0), FALSE), 1)</f>
        <v>8.9725930740036002E-4</v>
      </c>
      <c r="J19" s="12">
        <f>$B19 * IFERROR(VLOOKUP(Substitution!$M$8 &amp; $A19, US_national_yearly!$D:$AM, MATCH(J$1, US_national_yearly!$D$1:$AM$1, 0), FALSE) / VLOOKUP(Substitution!$M$8 &amp; $A19, US_national_yearly!$D:$AM, MATCH(Keys!$C$7, US_national_yearly!$D$1:$AM$1, 0), FALSE), 1)</f>
        <v>9.084688274806419E-4</v>
      </c>
      <c r="K19" s="12">
        <f>$B19 * IFERROR(VLOOKUP(Substitution!$M$8 &amp; $A19, US_national_yearly!$D:$AM, MATCH(K$1, US_national_yearly!$D$1:$AM$1, 0), FALSE) / VLOOKUP(Substitution!$M$8 &amp; $A19, US_national_yearly!$D:$AM, MATCH(Keys!$C$7, US_national_yearly!$D$1:$AM$1, 0), FALSE), 1)</f>
        <v>9.19678347560924E-4</v>
      </c>
      <c r="L19" s="12">
        <f>$B19 * IFERROR(VLOOKUP(Substitution!$M$8 &amp; $A19, US_national_yearly!$D:$AM, MATCH(L$1, US_national_yearly!$D$1:$AM$1, 0), FALSE) / VLOOKUP(Substitution!$M$8 &amp; $A19, US_national_yearly!$D:$AM, MATCH(Keys!$C$7, US_national_yearly!$D$1:$AM$1, 0), FALSE), 1)</f>
        <v>9.3088786764120588E-4</v>
      </c>
      <c r="M19" s="12">
        <f>$B19 * IFERROR(VLOOKUP(Substitution!$M$8 &amp; $A19, US_national_yearly!$D:$AM, MATCH(M$1, US_national_yearly!$D$1:$AM$1, 0), FALSE) / VLOOKUP(Substitution!$M$8 &amp; $A19, US_national_yearly!$D:$AM, MATCH(Keys!$C$7, US_national_yearly!$D$1:$AM$1, 0), FALSE), 1)</f>
        <v>9.4209738772148797E-4</v>
      </c>
      <c r="N19" s="12">
        <f>$B19 * IFERROR(VLOOKUP(Substitution!$M$8 &amp; $A19, US_national_yearly!$D:$AM, MATCH(N$1, US_national_yearly!$D$1:$AM$1, 0), FALSE) / VLOOKUP(Substitution!$M$8 &amp; $A19, US_national_yearly!$D:$AM, MATCH(Keys!$C$7, US_national_yearly!$D$1:$AM$1, 0), FALSE), 1)</f>
        <v>9.4758988914381184E-4</v>
      </c>
      <c r="O19" s="12">
        <f>$B19 * IFERROR(VLOOKUP(Substitution!$M$8 &amp; $A19, US_national_yearly!$D:$AM, MATCH(O$1, US_national_yearly!$D$1:$AM$1, 0), FALSE) / VLOOKUP(Substitution!$M$8 &amp; $A19, US_national_yearly!$D:$AM, MATCH(Keys!$C$7, US_national_yearly!$D$1:$AM$1, 0), FALSE), 1)</f>
        <v>9.5308239056613592E-4</v>
      </c>
      <c r="P19" s="12">
        <f>$B19 * IFERROR(VLOOKUP(Substitution!$M$8 &amp; $A19, US_national_yearly!$D:$AM, MATCH(P$1, US_national_yearly!$D$1:$AM$1, 0), FALSE) / VLOOKUP(Substitution!$M$8 &amp; $A19, US_national_yearly!$D:$AM, MATCH(Keys!$C$7, US_national_yearly!$D$1:$AM$1, 0), FALSE), 1)</f>
        <v>9.5857489198846E-4</v>
      </c>
      <c r="Q19" s="12">
        <f>$B19 * IFERROR(VLOOKUP(Substitution!$M$8 &amp; $A19, US_national_yearly!$D:$AM, MATCH(Q$1, US_national_yearly!$D$1:$AM$1, 0), FALSE) / VLOOKUP(Substitution!$M$8 &amp; $A19, US_national_yearly!$D:$AM, MATCH(Keys!$C$7, US_national_yearly!$D$1:$AM$1, 0), FALSE), 1)</f>
        <v>9.6406739341078408E-4</v>
      </c>
      <c r="R19" s="12">
        <f>$B19 * IFERROR(VLOOKUP(Substitution!$M$8 &amp; $A19, US_national_yearly!$D:$AM, MATCH(R$1, US_national_yearly!$D$1:$AM$1, 0), FALSE) / VLOOKUP(Substitution!$M$8 &amp; $A19, US_national_yearly!$D:$AM, MATCH(Keys!$C$7, US_national_yearly!$D$1:$AM$1, 0), FALSE), 1)</f>
        <v>9.6955989483310805E-4</v>
      </c>
      <c r="S19" s="12">
        <f>$B19 * IFERROR(VLOOKUP(Substitution!$M$8 &amp; $A19, US_national_yearly!$D:$AM, MATCH(S$1, US_national_yearly!$D$1:$AM$1, 0), FALSE) / VLOOKUP(Substitution!$M$8 &amp; $A19, US_national_yearly!$D:$AM, MATCH(Keys!$C$7, US_national_yearly!$D$1:$AM$1, 0), FALSE), 1)</f>
        <v>9.7289384407424091E-4</v>
      </c>
      <c r="T19" s="12">
        <f>$B19 * IFERROR(VLOOKUP(Substitution!$M$8 &amp; $A19, US_national_yearly!$D:$AM, MATCH(T$1, US_national_yearly!$D$1:$AM$1, 0), FALSE) / VLOOKUP(Substitution!$M$8 &amp; $A19, US_national_yearly!$D:$AM, MATCH(Keys!$C$7, US_national_yearly!$D$1:$AM$1, 0), FALSE), 1)</f>
        <v>9.7622779331537398E-4</v>
      </c>
      <c r="U19" s="12">
        <f>$B19 * IFERROR(VLOOKUP(Substitution!$M$8 &amp; $A19, US_national_yearly!$D:$AM, MATCH(U$1, US_national_yearly!$D$1:$AM$1, 0), FALSE) / VLOOKUP(Substitution!$M$8 &amp; $A19, US_national_yearly!$D:$AM, MATCH(Keys!$C$7, US_national_yearly!$D$1:$AM$1, 0), FALSE), 1)</f>
        <v>9.7956174255650705E-4</v>
      </c>
      <c r="V19" s="12">
        <f>$B19 * IFERROR(VLOOKUP(Substitution!$M$8 &amp; $A19, US_national_yearly!$D:$AM, MATCH(V$1, US_national_yearly!$D$1:$AM$1, 0), FALSE) / VLOOKUP(Substitution!$M$8 &amp; $A19, US_national_yearly!$D:$AM, MATCH(Keys!$C$7, US_national_yearly!$D$1:$AM$1, 0), FALSE), 1)</f>
        <v>9.8289569179763991E-4</v>
      </c>
      <c r="W19" s="12">
        <f>$B19 * IFERROR(VLOOKUP(Substitution!$M$8 &amp; $A19, US_national_yearly!$D:$AM, MATCH(W$1, US_national_yearly!$D$1:$AM$1, 0), FALSE) / VLOOKUP(Substitution!$M$8 &amp; $A19, US_national_yearly!$D:$AM, MATCH(Keys!$C$7, US_national_yearly!$D$1:$AM$1, 0), FALSE), 1)</f>
        <v>9.8622964103877299E-4</v>
      </c>
      <c r="X19" s="12">
        <f>$B19 * IFERROR(VLOOKUP(Substitution!$M$8 &amp; $A19, US_national_yearly!$D:$AM, MATCH(X$1, US_national_yearly!$D$1:$AM$1, 0), FALSE) / VLOOKUP(Substitution!$M$8 &amp; $A19, US_national_yearly!$D:$AM, MATCH(Keys!$C$7, US_national_yearly!$D$1:$AM$1, 0), FALSE), 1)</f>
        <v>9.9113495763099237E-4</v>
      </c>
      <c r="Y19" s="12">
        <f>$B19 * IFERROR(VLOOKUP(Substitution!$M$8 &amp; $A19, US_national_yearly!$D:$AM, MATCH(Y$1, US_national_yearly!$D$1:$AM$1, 0), FALSE) / VLOOKUP(Substitution!$M$8 &amp; $A19, US_national_yearly!$D:$AM, MATCH(Keys!$C$7, US_national_yearly!$D$1:$AM$1, 0), FALSE), 1)</f>
        <v>9.9604027422321175E-4</v>
      </c>
      <c r="Z19" s="12">
        <f>$B19 * IFERROR(VLOOKUP(Substitution!$M$8 &amp; $A19, US_national_yearly!$D:$AM, MATCH(Z$1, US_national_yearly!$D$1:$AM$1, 0), FALSE) / VLOOKUP(Substitution!$M$8 &amp; $A19, US_national_yearly!$D:$AM, MATCH(Keys!$C$7, US_national_yearly!$D$1:$AM$1, 0), FALSE), 1)</f>
        <v>1.0009455908154309E-3</v>
      </c>
      <c r="AA19" s="12">
        <f>$B19 * IFERROR(VLOOKUP(Substitution!$M$8 &amp; $A19, US_national_yearly!$D:$AM, MATCH(AA$1, US_national_yearly!$D$1:$AM$1, 0), FALSE) / VLOOKUP(Substitution!$M$8 &amp; $A19, US_national_yearly!$D:$AM, MATCH(Keys!$C$7, US_national_yearly!$D$1:$AM$1, 0), FALSE), 1)</f>
        <v>1.0058509074076509E-3</v>
      </c>
      <c r="AB19" s="12">
        <f>$B19 * IFERROR(VLOOKUP(Substitution!$M$8 &amp; $A19, US_national_yearly!$D:$AM, MATCH(AB$1, US_national_yearly!$D$1:$AM$1, 0), FALSE) / VLOOKUP(Substitution!$M$8 &amp; $A19, US_national_yearly!$D:$AM, MATCH(Keys!$C$7, US_national_yearly!$D$1:$AM$1, 0), FALSE), 1)</f>
        <v>1.0107562239998699E-3</v>
      </c>
    </row>
    <row r="20" spans="1:28" x14ac:dyDescent="0.25">
      <c r="A20" s="4" t="s">
        <v>327</v>
      </c>
      <c r="B20" s="12">
        <f>IFERROR(VLOOKUP(Substitution!$M$8 &amp; $A20, US_national_yearly!$D:$AM, MATCH(Keys!$C$7, US_national_yearly!$D$1:$AM$1, 0), FALSE), 0)</f>
        <v>6.9591274172394195E-4</v>
      </c>
      <c r="C20" s="12">
        <f>$B20 * IFERROR(VLOOKUP(Substitution!$M$8 &amp; $A20, US_national_yearly!$D:$AM, MATCH(C$1, US_national_yearly!$D$1:$AM$1, 0), FALSE) / VLOOKUP(Substitution!$M$8 &amp; $A20, US_national_yearly!$D:$AM, MATCH(Keys!$C$7, US_national_yearly!$D$1:$AM$1, 0), FALSE), 1)</f>
        <v>7.1417711269420594E-4</v>
      </c>
      <c r="D20" s="12">
        <f>$B20 * IFERROR(VLOOKUP(Substitution!$M$8 &amp; $A20, US_national_yearly!$D:$AM, MATCH(D$1, US_national_yearly!$D$1:$AM$1, 0), FALSE) / VLOOKUP(Substitution!$M$8 &amp; $A20, US_national_yearly!$D:$AM, MATCH(Keys!$C$7, US_national_yearly!$D$1:$AM$1, 0), FALSE), 1)</f>
        <v>7.3244148366447004E-4</v>
      </c>
      <c r="E20" s="12">
        <f>$B20 * IFERROR(VLOOKUP(Substitution!$M$8 &amp; $A20, US_national_yearly!$D:$AM, MATCH(E$1, US_national_yearly!$D$1:$AM$1, 0), FALSE) / VLOOKUP(Substitution!$M$8 &amp; $A20, US_national_yearly!$D:$AM, MATCH(Keys!$C$7, US_national_yearly!$D$1:$AM$1, 0), FALSE), 1)</f>
        <v>7.5070585463473402E-4</v>
      </c>
      <c r="F20" s="12">
        <f>$B20 * IFERROR(VLOOKUP(Substitution!$M$8 &amp; $A20, US_national_yearly!$D:$AM, MATCH(F$1, US_national_yearly!$D$1:$AM$1, 0), FALSE) / VLOOKUP(Substitution!$M$8 &amp; $A20, US_national_yearly!$D:$AM, MATCH(Keys!$C$7, US_national_yearly!$D$1:$AM$1, 0), FALSE), 1)</f>
        <v>7.6897022560499801E-4</v>
      </c>
      <c r="G20" s="12">
        <f>$B20 * IFERROR(VLOOKUP(Substitution!$M$8 &amp; $A20, US_national_yearly!$D:$AM, MATCH(G$1, US_national_yearly!$D$1:$AM$1, 0), FALSE) / VLOOKUP(Substitution!$M$8 &amp; $A20, US_national_yearly!$D:$AM, MATCH(Keys!$C$7, US_national_yearly!$D$1:$AM$1, 0), FALSE), 1)</f>
        <v>7.8421250720732882E-4</v>
      </c>
      <c r="H20" s="12">
        <f>$B20 * IFERROR(VLOOKUP(Substitution!$M$8 &amp; $A20, US_national_yearly!$D:$AM, MATCH(H$1, US_national_yearly!$D$1:$AM$1, 0), FALSE) / VLOOKUP(Substitution!$M$8 &amp; $A20, US_national_yearly!$D:$AM, MATCH(Keys!$C$7, US_national_yearly!$D$1:$AM$1, 0), FALSE), 1)</f>
        <v>7.9945478880965996E-4</v>
      </c>
      <c r="I20" s="12">
        <f>$B20 * IFERROR(VLOOKUP(Substitution!$M$8 &amp; $A20, US_national_yearly!$D:$AM, MATCH(I$1, US_national_yearly!$D$1:$AM$1, 0), FALSE) / VLOOKUP(Substitution!$M$8 &amp; $A20, US_national_yearly!$D:$AM, MATCH(Keys!$C$7, US_national_yearly!$D$1:$AM$1, 0), FALSE), 1)</f>
        <v>8.0896465155507759E-4</v>
      </c>
      <c r="J20" s="12">
        <f>$B20 * IFERROR(VLOOKUP(Substitution!$M$8 &amp; $A20, US_national_yearly!$D:$AM, MATCH(J$1, US_national_yearly!$D$1:$AM$1, 0), FALSE) / VLOOKUP(Substitution!$M$8 &amp; $A20, US_national_yearly!$D:$AM, MATCH(Keys!$C$7, US_national_yearly!$D$1:$AM$1, 0), FALSE), 1)</f>
        <v>8.1847451430049523E-4</v>
      </c>
      <c r="K20" s="12">
        <f>$B20 * IFERROR(VLOOKUP(Substitution!$M$8 &amp; $A20, US_national_yearly!$D:$AM, MATCH(K$1, US_national_yearly!$D$1:$AM$1, 0), FALSE) / VLOOKUP(Substitution!$M$8 &amp; $A20, US_national_yearly!$D:$AM, MATCH(Keys!$C$7, US_national_yearly!$D$1:$AM$1, 0), FALSE), 1)</f>
        <v>8.2798437704591275E-4</v>
      </c>
      <c r="L20" s="12">
        <f>$B20 * IFERROR(VLOOKUP(Substitution!$M$8 &amp; $A20, US_national_yearly!$D:$AM, MATCH(L$1, US_national_yearly!$D$1:$AM$1, 0), FALSE) / VLOOKUP(Substitution!$M$8 &amp; $A20, US_national_yearly!$D:$AM, MATCH(Keys!$C$7, US_national_yearly!$D$1:$AM$1, 0), FALSE), 1)</f>
        <v>8.3749423979133039E-4</v>
      </c>
      <c r="M20" s="12">
        <f>$B20 * IFERROR(VLOOKUP(Substitution!$M$8 &amp; $A20, US_national_yearly!$D:$AM, MATCH(M$1, US_national_yearly!$D$1:$AM$1, 0), FALSE) / VLOOKUP(Substitution!$M$8 &amp; $A20, US_national_yearly!$D:$AM, MATCH(Keys!$C$7, US_national_yearly!$D$1:$AM$1, 0), FALSE), 1)</f>
        <v>8.4700410253674802E-4</v>
      </c>
      <c r="N20" s="12">
        <f>$B20 * IFERROR(VLOOKUP(Substitution!$M$8 &amp; $A20, US_national_yearly!$D:$AM, MATCH(N$1, US_national_yearly!$D$1:$AM$1, 0), FALSE) / VLOOKUP(Substitution!$M$8 &amp; $A20, US_national_yearly!$D:$AM, MATCH(Keys!$C$7, US_national_yearly!$D$1:$AM$1, 0), FALSE), 1)</f>
        <v>8.5147431891902342E-4</v>
      </c>
      <c r="O20" s="12">
        <f>$B20 * IFERROR(VLOOKUP(Substitution!$M$8 &amp; $A20, US_national_yearly!$D:$AM, MATCH(O$1, US_national_yearly!$D$1:$AM$1, 0), FALSE) / VLOOKUP(Substitution!$M$8 &amp; $A20, US_national_yearly!$D:$AM, MATCH(Keys!$C$7, US_national_yearly!$D$1:$AM$1, 0), FALSE), 1)</f>
        <v>8.5594453530129881E-4</v>
      </c>
      <c r="P20" s="12">
        <f>$B20 * IFERROR(VLOOKUP(Substitution!$M$8 &amp; $A20, US_national_yearly!$D:$AM, MATCH(P$1, US_national_yearly!$D$1:$AM$1, 0), FALSE) / VLOOKUP(Substitution!$M$8 &amp; $A20, US_national_yearly!$D:$AM, MATCH(Keys!$C$7, US_national_yearly!$D$1:$AM$1, 0), FALSE), 1)</f>
        <v>8.6041475168357421E-4</v>
      </c>
      <c r="Q20" s="12">
        <f>$B20 * IFERROR(VLOOKUP(Substitution!$M$8 &amp; $A20, US_national_yearly!$D:$AM, MATCH(Q$1, US_national_yearly!$D$1:$AM$1, 0), FALSE) / VLOOKUP(Substitution!$M$8 &amp; $A20, US_national_yearly!$D:$AM, MATCH(Keys!$C$7, US_national_yearly!$D$1:$AM$1, 0), FALSE), 1)</f>
        <v>8.648849680658495E-4</v>
      </c>
      <c r="R20" s="12">
        <f>$B20 * IFERROR(VLOOKUP(Substitution!$M$8 &amp; $A20, US_national_yearly!$D:$AM, MATCH(R$1, US_national_yearly!$D$1:$AM$1, 0), FALSE) / VLOOKUP(Substitution!$M$8 &amp; $A20, US_national_yearly!$D:$AM, MATCH(Keys!$C$7, US_national_yearly!$D$1:$AM$1, 0), FALSE), 1)</f>
        <v>8.6935518444812489E-4</v>
      </c>
      <c r="S20" s="12">
        <f>$B20 * IFERROR(VLOOKUP(Substitution!$M$8 &amp; $A20, US_national_yearly!$D:$AM, MATCH(S$1, US_national_yearly!$D$1:$AM$1, 0), FALSE) / VLOOKUP(Substitution!$M$8 &amp; $A20, US_national_yearly!$D:$AM, MATCH(Keys!$C$7, US_national_yearly!$D$1:$AM$1, 0), FALSE), 1)</f>
        <v>8.7190707920225565E-4</v>
      </c>
      <c r="T20" s="12">
        <f>$B20 * IFERROR(VLOOKUP(Substitution!$M$8 &amp; $A20, US_national_yearly!$D:$AM, MATCH(T$1, US_national_yearly!$D$1:$AM$1, 0), FALSE) / VLOOKUP(Substitution!$M$8 &amp; $A20, US_national_yearly!$D:$AM, MATCH(Keys!$C$7, US_national_yearly!$D$1:$AM$1, 0), FALSE), 1)</f>
        <v>8.7445897395638608E-4</v>
      </c>
      <c r="U20" s="12">
        <f>$B20 * IFERROR(VLOOKUP(Substitution!$M$8 &amp; $A20, US_national_yearly!$D:$AM, MATCH(U$1, US_national_yearly!$D$1:$AM$1, 0), FALSE) / VLOOKUP(Substitution!$M$8 &amp; $A20, US_national_yearly!$D:$AM, MATCH(Keys!$C$7, US_national_yearly!$D$1:$AM$1, 0), FALSE), 1)</f>
        <v>8.7701086871051683E-4</v>
      </c>
      <c r="V20" s="12">
        <f>$B20 * IFERROR(VLOOKUP(Substitution!$M$8 &amp; $A20, US_national_yearly!$D:$AM, MATCH(V$1, US_national_yearly!$D$1:$AM$1, 0), FALSE) / VLOOKUP(Substitution!$M$8 &amp; $A20, US_national_yearly!$D:$AM, MATCH(Keys!$C$7, US_national_yearly!$D$1:$AM$1, 0), FALSE), 1)</f>
        <v>8.7956276346464726E-4</v>
      </c>
      <c r="W20" s="12">
        <f>$B20 * IFERROR(VLOOKUP(Substitution!$M$8 &amp; $A20, US_national_yearly!$D:$AM, MATCH(W$1, US_national_yearly!$D$1:$AM$1, 0), FALSE) / VLOOKUP(Substitution!$M$8 &amp; $A20, US_national_yearly!$D:$AM, MATCH(Keys!$C$7, US_national_yearly!$D$1:$AM$1, 0), FALSE), 1)</f>
        <v>8.8211465821877802E-4</v>
      </c>
      <c r="X20" s="12">
        <f>$B20 * IFERROR(VLOOKUP(Substitution!$M$8 &amp; $A20, US_national_yearly!$D:$AM, MATCH(X$1, US_national_yearly!$D$1:$AM$1, 0), FALSE) / VLOOKUP(Substitution!$M$8 &amp; $A20, US_national_yearly!$D:$AM, MATCH(Keys!$C$7, US_national_yearly!$D$1:$AM$1, 0), FALSE), 1)</f>
        <v>8.8663146755601965E-4</v>
      </c>
      <c r="Y20" s="12">
        <f>$B20 * IFERROR(VLOOKUP(Substitution!$M$8 &amp; $A20, US_national_yearly!$D:$AM, MATCH(Y$1, US_national_yearly!$D$1:$AM$1, 0), FALSE) / VLOOKUP(Substitution!$M$8 &amp; $A20, US_national_yearly!$D:$AM, MATCH(Keys!$C$7, US_national_yearly!$D$1:$AM$1, 0), FALSE), 1)</f>
        <v>8.9114827689326106E-4</v>
      </c>
      <c r="Z20" s="12">
        <f>$B20 * IFERROR(VLOOKUP(Substitution!$M$8 &amp; $A20, US_national_yearly!$D:$AM, MATCH(Z$1, US_national_yearly!$D$1:$AM$1, 0), FALSE) / VLOOKUP(Substitution!$M$8 &amp; $A20, US_national_yearly!$D:$AM, MATCH(Keys!$C$7, US_national_yearly!$D$1:$AM$1, 0), FALSE), 1)</f>
        <v>8.956650862305028E-4</v>
      </c>
      <c r="AA20" s="12">
        <f>$B20 * IFERROR(VLOOKUP(Substitution!$M$8 &amp; $A20, US_national_yearly!$D:$AM, MATCH(AA$1, US_national_yearly!$D$1:$AM$1, 0), FALSE) / VLOOKUP(Substitution!$M$8 &amp; $A20, US_national_yearly!$D:$AM, MATCH(Keys!$C$7, US_national_yearly!$D$1:$AM$1, 0), FALSE), 1)</f>
        <v>9.0018189556774432E-4</v>
      </c>
      <c r="AB20" s="12">
        <f>$B20 * IFERROR(VLOOKUP(Substitution!$M$8 &amp; $A20, US_national_yearly!$D:$AM, MATCH(AB$1, US_national_yearly!$D$1:$AM$1, 0), FALSE) / VLOOKUP(Substitution!$M$8 &amp; $A20, US_national_yearly!$D:$AM, MATCH(Keys!$C$7, US_national_yearly!$D$1:$AM$1, 0), FALSE), 1)</f>
        <v>9.0469870490498584E-4</v>
      </c>
    </row>
    <row r="21" spans="1:28" x14ac:dyDescent="0.25">
      <c r="A21" s="4" t="s">
        <v>329</v>
      </c>
      <c r="B21" s="12">
        <f>IFERROR(VLOOKUP(Substitution!$M$8 &amp; $A21, US_national_yearly!$D:$AM, MATCH(Keys!$C$7, US_national_yearly!$D$1:$AM$1, 0), FALSE), 0)</f>
        <v>1.654401700389126E-4</v>
      </c>
      <c r="C21" s="12">
        <f>$B21 * IFERROR(VLOOKUP(Substitution!$M$8 &amp; $A21, US_national_yearly!$D:$AM, MATCH(C$1, US_national_yearly!$D$1:$AM$1, 0), FALSE) / VLOOKUP(Substitution!$M$8 &amp; $A21, US_national_yearly!$D:$AM, MATCH(Keys!$C$7, US_national_yearly!$D$1:$AM$1, 0), FALSE), 1)</f>
        <v>1.6787640940995019E-4</v>
      </c>
      <c r="D21" s="12">
        <f>$B21 * IFERROR(VLOOKUP(Substitution!$M$8 &amp; $A21, US_national_yearly!$D:$AM, MATCH(D$1, US_national_yearly!$D$1:$AM$1, 0), FALSE) / VLOOKUP(Substitution!$M$8 &amp; $A21, US_national_yearly!$D:$AM, MATCH(Keys!$C$7, US_national_yearly!$D$1:$AM$1, 0), FALSE), 1)</f>
        <v>1.703126487809878E-4</v>
      </c>
      <c r="E21" s="12">
        <f>$B21 * IFERROR(VLOOKUP(Substitution!$M$8 &amp; $A21, US_national_yearly!$D:$AM, MATCH(E$1, US_national_yearly!$D$1:$AM$1, 0), FALSE) / VLOOKUP(Substitution!$M$8 &amp; $A21, US_national_yearly!$D:$AM, MATCH(Keys!$C$7, US_national_yearly!$D$1:$AM$1, 0), FALSE), 1)</f>
        <v>1.7274888815202539E-4</v>
      </c>
      <c r="F21" s="12">
        <f>$B21 * IFERROR(VLOOKUP(Substitution!$M$8 &amp; $A21, US_national_yearly!$D:$AM, MATCH(F$1, US_national_yearly!$D$1:$AM$1, 0), FALSE) / VLOOKUP(Substitution!$M$8 &amp; $A21, US_national_yearly!$D:$AM, MATCH(Keys!$C$7, US_national_yearly!$D$1:$AM$1, 0), FALSE), 1)</f>
        <v>1.7518512752306298E-4</v>
      </c>
      <c r="G21" s="12">
        <f>$B21 * IFERROR(VLOOKUP(Substitution!$M$8 &amp; $A21, US_national_yearly!$D:$AM, MATCH(G$1, US_national_yearly!$D$1:$AM$1, 0), FALSE) / VLOOKUP(Substitution!$M$8 &amp; $A21, US_national_yearly!$D:$AM, MATCH(Keys!$C$7, US_national_yearly!$D$1:$AM$1, 0), FALSE), 1)</f>
        <v>1.7748101052768647E-4</v>
      </c>
      <c r="H21" s="12">
        <f>$B21 * IFERROR(VLOOKUP(Substitution!$M$8 &amp; $A21, US_national_yearly!$D:$AM, MATCH(H$1, US_national_yearly!$D$1:$AM$1, 0), FALSE) / VLOOKUP(Substitution!$M$8 &amp; $A21, US_national_yearly!$D:$AM, MATCH(Keys!$C$7, US_national_yearly!$D$1:$AM$1, 0), FALSE), 1)</f>
        <v>1.7977689353230997E-4</v>
      </c>
      <c r="I21" s="12">
        <f>$B21 * IFERROR(VLOOKUP(Substitution!$M$8 &amp; $A21, US_national_yearly!$D:$AM, MATCH(I$1, US_national_yearly!$D$1:$AM$1, 0), FALSE) / VLOOKUP(Substitution!$M$8 &amp; $A21, US_national_yearly!$D:$AM, MATCH(Keys!$C$7, US_national_yearly!$D$1:$AM$1, 0), FALSE), 1)</f>
        <v>1.8158812125634581E-4</v>
      </c>
      <c r="J21" s="12">
        <f>$B21 * IFERROR(VLOOKUP(Substitution!$M$8 &amp; $A21, US_national_yearly!$D:$AM, MATCH(J$1, US_national_yearly!$D$1:$AM$1, 0), FALSE) / VLOOKUP(Substitution!$M$8 &amp; $A21, US_national_yearly!$D:$AM, MATCH(Keys!$C$7, US_national_yearly!$D$1:$AM$1, 0), FALSE), 1)</f>
        <v>1.8339934898038162E-4</v>
      </c>
      <c r="K21" s="12">
        <f>$B21 * IFERROR(VLOOKUP(Substitution!$M$8 &amp; $A21, US_national_yearly!$D:$AM, MATCH(K$1, US_national_yearly!$D$1:$AM$1, 0), FALSE) / VLOOKUP(Substitution!$M$8 &amp; $A21, US_national_yearly!$D:$AM, MATCH(Keys!$C$7, US_national_yearly!$D$1:$AM$1, 0), FALSE), 1)</f>
        <v>1.852105767044174E-4</v>
      </c>
      <c r="L21" s="12">
        <f>$B21 * IFERROR(VLOOKUP(Substitution!$M$8 &amp; $A21, US_national_yearly!$D:$AM, MATCH(L$1, US_national_yearly!$D$1:$AM$1, 0), FALSE) / VLOOKUP(Substitution!$M$8 &amp; $A21, US_national_yearly!$D:$AM, MATCH(Keys!$C$7, US_national_yearly!$D$1:$AM$1, 0), FALSE), 1)</f>
        <v>1.8702180442845321E-4</v>
      </c>
      <c r="M21" s="12">
        <f>$B21 * IFERROR(VLOOKUP(Substitution!$M$8 &amp; $A21, US_national_yearly!$D:$AM, MATCH(M$1, US_national_yearly!$D$1:$AM$1, 0), FALSE) / VLOOKUP(Substitution!$M$8 &amp; $A21, US_national_yearly!$D:$AM, MATCH(Keys!$C$7, US_national_yearly!$D$1:$AM$1, 0), FALSE), 1)</f>
        <v>1.8883303215248899E-4</v>
      </c>
      <c r="N21" s="12">
        <f>$B21 * IFERROR(VLOOKUP(Substitution!$M$8 &amp; $A21, US_national_yearly!$D:$AM, MATCH(N$1, US_national_yearly!$D$1:$AM$1, 0), FALSE) / VLOOKUP(Substitution!$M$8 &amp; $A21, US_national_yearly!$D:$AM, MATCH(Keys!$C$7, US_national_yearly!$D$1:$AM$1, 0), FALSE), 1)</f>
        <v>1.9007002119114099E-4</v>
      </c>
      <c r="O21" s="12">
        <f>$B21 * IFERROR(VLOOKUP(Substitution!$M$8 &amp; $A21, US_national_yearly!$D:$AM, MATCH(O$1, US_national_yearly!$D$1:$AM$1, 0), FALSE) / VLOOKUP(Substitution!$M$8 &amp; $A21, US_national_yearly!$D:$AM, MATCH(Keys!$C$7, US_national_yearly!$D$1:$AM$1, 0), FALSE), 1)</f>
        <v>1.91307010229793E-4</v>
      </c>
      <c r="P21" s="12">
        <f>$B21 * IFERROR(VLOOKUP(Substitution!$M$8 &amp; $A21, US_national_yearly!$D:$AM, MATCH(P$1, US_national_yearly!$D$1:$AM$1, 0), FALSE) / VLOOKUP(Substitution!$M$8 &amp; $A21, US_national_yearly!$D:$AM, MATCH(Keys!$C$7, US_national_yearly!$D$1:$AM$1, 0), FALSE), 1)</f>
        <v>1.92543999268445E-4</v>
      </c>
      <c r="Q21" s="12">
        <f>$B21 * IFERROR(VLOOKUP(Substitution!$M$8 &amp; $A21, US_national_yearly!$D:$AM, MATCH(Q$1, US_national_yearly!$D$1:$AM$1, 0), FALSE) / VLOOKUP(Substitution!$M$8 &amp; $A21, US_national_yearly!$D:$AM, MATCH(Keys!$C$7, US_national_yearly!$D$1:$AM$1, 0), FALSE), 1)</f>
        <v>1.93780988307097E-4</v>
      </c>
      <c r="R21" s="12">
        <f>$B21 * IFERROR(VLOOKUP(Substitution!$M$8 &amp; $A21, US_national_yearly!$D:$AM, MATCH(R$1, US_national_yearly!$D$1:$AM$1, 0), FALSE) / VLOOKUP(Substitution!$M$8 &amp; $A21, US_national_yearly!$D:$AM, MATCH(Keys!$C$7, US_national_yearly!$D$1:$AM$1, 0), FALSE), 1)</f>
        <v>1.95017977345749E-4</v>
      </c>
      <c r="S21" s="12">
        <f>$B21 * IFERROR(VLOOKUP(Substitution!$M$8 &amp; $A21, US_national_yearly!$D:$AM, MATCH(S$1, US_national_yearly!$D$1:$AM$1, 0), FALSE) / VLOOKUP(Substitution!$M$8 &amp; $A21, US_national_yearly!$D:$AM, MATCH(Keys!$C$7, US_national_yearly!$D$1:$AM$1, 0), FALSE), 1)</f>
        <v>1.9600209015788178E-4</v>
      </c>
      <c r="T21" s="12">
        <f>$B21 * IFERROR(VLOOKUP(Substitution!$M$8 &amp; $A21, US_national_yearly!$D:$AM, MATCH(T$1, US_national_yearly!$D$1:$AM$1, 0), FALSE) / VLOOKUP(Substitution!$M$8 &amp; $A21, US_national_yearly!$D:$AM, MATCH(Keys!$C$7, US_national_yearly!$D$1:$AM$1, 0), FALSE), 1)</f>
        <v>1.9698620297001459E-4</v>
      </c>
      <c r="U21" s="12">
        <f>$B21 * IFERROR(VLOOKUP(Substitution!$M$8 &amp; $A21, US_national_yearly!$D:$AM, MATCH(U$1, US_national_yearly!$D$1:$AM$1, 0), FALSE) / VLOOKUP(Substitution!$M$8 &amp; $A21, US_national_yearly!$D:$AM, MATCH(Keys!$C$7, US_national_yearly!$D$1:$AM$1, 0), FALSE), 1)</f>
        <v>1.9797031578214737E-4</v>
      </c>
      <c r="V21" s="12">
        <f>$B21 * IFERROR(VLOOKUP(Substitution!$M$8 &amp; $A21, US_national_yearly!$D:$AM, MATCH(V$1, US_national_yearly!$D$1:$AM$1, 0), FALSE) / VLOOKUP(Substitution!$M$8 &amp; $A21, US_national_yearly!$D:$AM, MATCH(Keys!$C$7, US_national_yearly!$D$1:$AM$1, 0), FALSE), 1)</f>
        <v>1.989544285942802E-4</v>
      </c>
      <c r="W21" s="12">
        <f>$B21 * IFERROR(VLOOKUP(Substitution!$M$8 &amp; $A21, US_national_yearly!$D:$AM, MATCH(W$1, US_national_yearly!$D$1:$AM$1, 0), FALSE) / VLOOKUP(Substitution!$M$8 &amp; $A21, US_national_yearly!$D:$AM, MATCH(Keys!$C$7, US_national_yearly!$D$1:$AM$1, 0), FALSE), 1)</f>
        <v>1.9993854140641301E-4</v>
      </c>
      <c r="X21" s="12">
        <f>$B21 * IFERROR(VLOOKUP(Substitution!$M$8 &amp; $A21, US_national_yearly!$D:$AM, MATCH(X$1, US_national_yearly!$D$1:$AM$1, 0), FALSE) / VLOOKUP(Substitution!$M$8 &amp; $A21, US_national_yearly!$D:$AM, MATCH(Keys!$C$7, US_national_yearly!$D$1:$AM$1, 0), FALSE), 1)</f>
        <v>2.0103200578004021E-4</v>
      </c>
      <c r="Y21" s="12">
        <f>$B21 * IFERROR(VLOOKUP(Substitution!$M$8 &amp; $A21, US_national_yearly!$D:$AM, MATCH(Y$1, US_national_yearly!$D$1:$AM$1, 0), FALSE) / VLOOKUP(Substitution!$M$8 &amp; $A21, US_national_yearly!$D:$AM, MATCH(Keys!$C$7, US_national_yearly!$D$1:$AM$1, 0), FALSE), 1)</f>
        <v>2.021254701536674E-4</v>
      </c>
      <c r="Z21" s="12">
        <f>$B21 * IFERROR(VLOOKUP(Substitution!$M$8 &amp; $A21, US_national_yearly!$D:$AM, MATCH(Z$1, US_national_yearly!$D$1:$AM$1, 0), FALSE) / VLOOKUP(Substitution!$M$8 &amp; $A21, US_national_yearly!$D:$AM, MATCH(Keys!$C$7, US_national_yearly!$D$1:$AM$1, 0), FALSE), 1)</f>
        <v>2.032189345272946E-4</v>
      </c>
      <c r="AA21" s="12">
        <f>$B21 * IFERROR(VLOOKUP(Substitution!$M$8 &amp; $A21, US_national_yearly!$D:$AM, MATCH(AA$1, US_national_yearly!$D$1:$AM$1, 0), FALSE) / VLOOKUP(Substitution!$M$8 &amp; $A21, US_national_yearly!$D:$AM, MATCH(Keys!$C$7, US_national_yearly!$D$1:$AM$1, 0), FALSE), 1)</f>
        <v>2.0431239890092177E-4</v>
      </c>
      <c r="AB21" s="12">
        <f>$B21 * IFERROR(VLOOKUP(Substitution!$M$8 &amp; $A21, US_national_yearly!$D:$AM, MATCH(AB$1, US_national_yearly!$D$1:$AM$1, 0), FALSE) / VLOOKUP(Substitution!$M$8 &amp; $A21, US_national_yearly!$D:$AM, MATCH(Keys!$C$7, US_national_yearly!$D$1:$AM$1, 0), FALSE), 1)</f>
        <v>2.0540586327454899E-4</v>
      </c>
    </row>
    <row r="22" spans="1:28" x14ac:dyDescent="0.25">
      <c r="A22" s="4" t="s">
        <v>331</v>
      </c>
      <c r="B22" s="12">
        <f>IFERROR(VLOOKUP(Substitution!$M$8 &amp; $A22, US_national_yearly!$D:$AM, MATCH(Keys!$C$7, US_national_yearly!$D$1:$AM$1, 0), FALSE), 0)</f>
        <v>3.5156495313752238E-3</v>
      </c>
      <c r="C22" s="12">
        <f>$B22 * IFERROR(VLOOKUP(Substitution!$M$8 &amp; $A22, US_national_yearly!$D:$AM, MATCH(C$1, US_national_yearly!$D$1:$AM$1, 0), FALSE) / VLOOKUP(Substitution!$M$8 &amp; $A22, US_national_yearly!$D:$AM, MATCH(Keys!$C$7, US_national_yearly!$D$1:$AM$1, 0), FALSE), 1)</f>
        <v>3.5793848562338279E-3</v>
      </c>
      <c r="D22" s="12">
        <f>$B22 * IFERROR(VLOOKUP(Substitution!$M$8 &amp; $A22, US_national_yearly!$D:$AM, MATCH(D$1, US_national_yearly!$D$1:$AM$1, 0), FALSE) / VLOOKUP(Substitution!$M$8 &amp; $A22, US_national_yearly!$D:$AM, MATCH(Keys!$C$7, US_national_yearly!$D$1:$AM$1, 0), FALSE), 1)</f>
        <v>3.643120181092432E-3</v>
      </c>
      <c r="E22" s="12">
        <f>$B22 * IFERROR(VLOOKUP(Substitution!$M$8 &amp; $A22, US_national_yearly!$D:$AM, MATCH(E$1, US_national_yearly!$D$1:$AM$1, 0), FALSE) / VLOOKUP(Substitution!$M$8 &amp; $A22, US_national_yearly!$D:$AM, MATCH(Keys!$C$7, US_national_yearly!$D$1:$AM$1, 0), FALSE), 1)</f>
        <v>3.7068555059510365E-3</v>
      </c>
      <c r="F22" s="12">
        <f>$B22 * IFERROR(VLOOKUP(Substitution!$M$8 &amp; $A22, US_national_yearly!$D:$AM, MATCH(F$1, US_national_yearly!$D$1:$AM$1, 0), FALSE) / VLOOKUP(Substitution!$M$8 &amp; $A22, US_national_yearly!$D:$AM, MATCH(Keys!$C$7, US_national_yearly!$D$1:$AM$1, 0), FALSE), 1)</f>
        <v>3.7705908308096397E-3</v>
      </c>
      <c r="G22" s="12">
        <f>$B22 * IFERROR(VLOOKUP(Substitution!$M$8 &amp; $A22, US_national_yearly!$D:$AM, MATCH(G$1, US_national_yearly!$D$1:$AM$1, 0), FALSE) / VLOOKUP(Substitution!$M$8 &amp; $A22, US_national_yearly!$D:$AM, MATCH(Keys!$C$7, US_national_yearly!$D$1:$AM$1, 0), FALSE), 1)</f>
        <v>3.8333716665088745E-3</v>
      </c>
      <c r="H22" s="12">
        <f>$B22 * IFERROR(VLOOKUP(Substitution!$M$8 &amp; $A22, US_national_yearly!$D:$AM, MATCH(H$1, US_national_yearly!$D$1:$AM$1, 0), FALSE) / VLOOKUP(Substitution!$M$8 &amp; $A22, US_national_yearly!$D:$AM, MATCH(Keys!$C$7, US_national_yearly!$D$1:$AM$1, 0), FALSE), 1)</f>
        <v>3.8961525022081101E-3</v>
      </c>
      <c r="I22" s="12">
        <f>$B22 * IFERROR(VLOOKUP(Substitution!$M$8 &amp; $A22, US_national_yearly!$D:$AM, MATCH(I$1, US_national_yearly!$D$1:$AM$1, 0), FALSE) / VLOOKUP(Substitution!$M$8 &amp; $A22, US_national_yearly!$D:$AM, MATCH(Keys!$C$7, US_national_yearly!$D$1:$AM$1, 0), FALSE), 1)</f>
        <v>3.9576291427528701E-3</v>
      </c>
      <c r="J22" s="12">
        <f>$B22 * IFERROR(VLOOKUP(Substitution!$M$8 &amp; $A22, US_national_yearly!$D:$AM, MATCH(J$1, US_national_yearly!$D$1:$AM$1, 0), FALSE) / VLOOKUP(Substitution!$M$8 &amp; $A22, US_national_yearly!$D:$AM, MATCH(Keys!$C$7, US_national_yearly!$D$1:$AM$1, 0), FALSE), 1)</f>
        <v>4.0191057832976301E-3</v>
      </c>
      <c r="K22" s="12">
        <f>$B22 * IFERROR(VLOOKUP(Substitution!$M$8 &amp; $A22, US_national_yearly!$D:$AM, MATCH(K$1, US_national_yearly!$D$1:$AM$1, 0), FALSE) / VLOOKUP(Substitution!$M$8 &amp; $A22, US_national_yearly!$D:$AM, MATCH(Keys!$C$7, US_national_yearly!$D$1:$AM$1, 0), FALSE), 1)</f>
        <v>4.0805824238423901E-3</v>
      </c>
      <c r="L22" s="12">
        <f>$B22 * IFERROR(VLOOKUP(Substitution!$M$8 &amp; $A22, US_national_yearly!$D:$AM, MATCH(L$1, US_national_yearly!$D$1:$AM$1, 0), FALSE) / VLOOKUP(Substitution!$M$8 &amp; $A22, US_national_yearly!$D:$AM, MATCH(Keys!$C$7, US_national_yearly!$D$1:$AM$1, 0), FALSE), 1)</f>
        <v>4.1420590643871501E-3</v>
      </c>
      <c r="M22" s="12">
        <f>$B22 * IFERROR(VLOOKUP(Substitution!$M$8 &amp; $A22, US_national_yearly!$D:$AM, MATCH(M$1, US_national_yearly!$D$1:$AM$1, 0), FALSE) / VLOOKUP(Substitution!$M$8 &amp; $A22, US_national_yearly!$D:$AM, MATCH(Keys!$C$7, US_national_yearly!$D$1:$AM$1, 0), FALSE), 1)</f>
        <v>4.2035357049319102E-3</v>
      </c>
      <c r="N22" s="12">
        <f>$B22 * IFERROR(VLOOKUP(Substitution!$M$8 &amp; $A22, US_national_yearly!$D:$AM, MATCH(N$1, US_national_yearly!$D$1:$AM$1, 0), FALSE) / VLOOKUP(Substitution!$M$8 &amp; $A22, US_national_yearly!$D:$AM, MATCH(Keys!$C$7, US_national_yearly!$D$1:$AM$1, 0), FALSE), 1)</f>
        <v>4.2531817139812517E-3</v>
      </c>
      <c r="O22" s="12">
        <f>$B22 * IFERROR(VLOOKUP(Substitution!$M$8 &amp; $A22, US_national_yearly!$D:$AM, MATCH(O$1, US_national_yearly!$D$1:$AM$1, 0), FALSE) / VLOOKUP(Substitution!$M$8 &amp; $A22, US_national_yearly!$D:$AM, MATCH(Keys!$C$7, US_national_yearly!$D$1:$AM$1, 0), FALSE), 1)</f>
        <v>4.3028277230305941E-3</v>
      </c>
      <c r="P22" s="12">
        <f>$B22 * IFERROR(VLOOKUP(Substitution!$M$8 &amp; $A22, US_national_yearly!$D:$AM, MATCH(P$1, US_national_yearly!$D$1:$AM$1, 0), FALSE) / VLOOKUP(Substitution!$M$8 &amp; $A22, US_national_yearly!$D:$AM, MATCH(Keys!$C$7, US_national_yearly!$D$1:$AM$1, 0), FALSE), 1)</f>
        <v>4.3524737320799357E-3</v>
      </c>
      <c r="Q22" s="12">
        <f>$B22 * IFERROR(VLOOKUP(Substitution!$M$8 &amp; $A22, US_national_yearly!$D:$AM, MATCH(Q$1, US_national_yearly!$D$1:$AM$1, 0), FALSE) / VLOOKUP(Substitution!$M$8 &amp; $A22, US_national_yearly!$D:$AM, MATCH(Keys!$C$7, US_national_yearly!$D$1:$AM$1, 0), FALSE), 1)</f>
        <v>4.4021197411292781E-3</v>
      </c>
      <c r="R22" s="12">
        <f>$B22 * IFERROR(VLOOKUP(Substitution!$M$8 &amp; $A22, US_national_yearly!$D:$AM, MATCH(R$1, US_national_yearly!$D$1:$AM$1, 0), FALSE) / VLOOKUP(Substitution!$M$8 &amp; $A22, US_national_yearly!$D:$AM, MATCH(Keys!$C$7, US_national_yearly!$D$1:$AM$1, 0), FALSE), 1)</f>
        <v>4.4517657501786196E-3</v>
      </c>
      <c r="S22" s="12">
        <f>$B22 * IFERROR(VLOOKUP(Substitution!$M$8 &amp; $A22, US_national_yearly!$D:$AM, MATCH(S$1, US_national_yearly!$D$1:$AM$1, 0), FALSE) / VLOOKUP(Substitution!$M$8 &amp; $A22, US_national_yearly!$D:$AM, MATCH(Keys!$C$7, US_national_yearly!$D$1:$AM$1, 0), FALSE), 1)</f>
        <v>4.4869084076857024E-3</v>
      </c>
      <c r="T22" s="12">
        <f>$B22 * IFERROR(VLOOKUP(Substitution!$M$8 &amp; $A22, US_national_yearly!$D:$AM, MATCH(T$1, US_national_yearly!$D$1:$AM$1, 0), FALSE) / VLOOKUP(Substitution!$M$8 &amp; $A22, US_national_yearly!$D:$AM, MATCH(Keys!$C$7, US_national_yearly!$D$1:$AM$1, 0), FALSE), 1)</f>
        <v>4.5220510651927826E-3</v>
      </c>
      <c r="U22" s="12">
        <f>$B22 * IFERROR(VLOOKUP(Substitution!$M$8 &amp; $A22, US_national_yearly!$D:$AM, MATCH(U$1, US_national_yearly!$D$1:$AM$1, 0), FALSE) / VLOOKUP(Substitution!$M$8 &amp; $A22, US_national_yearly!$D:$AM, MATCH(Keys!$C$7, US_national_yearly!$D$1:$AM$1, 0), FALSE), 1)</f>
        <v>4.5571937226998663E-3</v>
      </c>
      <c r="V22" s="12">
        <f>$B22 * IFERROR(VLOOKUP(Substitution!$M$8 &amp; $A22, US_national_yearly!$D:$AM, MATCH(V$1, US_national_yearly!$D$1:$AM$1, 0), FALSE) / VLOOKUP(Substitution!$M$8 &amp; $A22, US_national_yearly!$D:$AM, MATCH(Keys!$C$7, US_national_yearly!$D$1:$AM$1, 0), FALSE), 1)</f>
        <v>4.5923363802069482E-3</v>
      </c>
      <c r="W22" s="12">
        <f>$B22 * IFERROR(VLOOKUP(Substitution!$M$8 &amp; $A22, US_national_yearly!$D:$AM, MATCH(W$1, US_national_yearly!$D$1:$AM$1, 0), FALSE) / VLOOKUP(Substitution!$M$8 &amp; $A22, US_national_yearly!$D:$AM, MATCH(Keys!$C$7, US_national_yearly!$D$1:$AM$1, 0), FALSE), 1)</f>
        <v>4.6274790377140301E-3</v>
      </c>
      <c r="X22" s="12">
        <f>$B22 * IFERROR(VLOOKUP(Substitution!$M$8 &amp; $A22, US_national_yearly!$D:$AM, MATCH(X$1, US_national_yearly!$D$1:$AM$1, 0), FALSE) / VLOOKUP(Substitution!$M$8 &amp; $A22, US_national_yearly!$D:$AM, MATCH(Keys!$C$7, US_national_yearly!$D$1:$AM$1, 0), FALSE), 1)</f>
        <v>4.6538792470997101E-3</v>
      </c>
      <c r="Y22" s="12">
        <f>$B22 * IFERROR(VLOOKUP(Substitution!$M$8 &amp; $A22, US_national_yearly!$D:$AM, MATCH(Y$1, US_national_yearly!$D$1:$AM$1, 0), FALSE) / VLOOKUP(Substitution!$M$8 &amp; $A22, US_national_yearly!$D:$AM, MATCH(Keys!$C$7, US_national_yearly!$D$1:$AM$1, 0), FALSE), 1)</f>
        <v>4.6802794564853901E-3</v>
      </c>
      <c r="Z22" s="12">
        <f>$B22 * IFERROR(VLOOKUP(Substitution!$M$8 &amp; $A22, US_national_yearly!$D:$AM, MATCH(Z$1, US_national_yearly!$D$1:$AM$1, 0), FALSE) / VLOOKUP(Substitution!$M$8 &amp; $A22, US_national_yearly!$D:$AM, MATCH(Keys!$C$7, US_national_yearly!$D$1:$AM$1, 0), FALSE), 1)</f>
        <v>4.7066796658710702E-3</v>
      </c>
      <c r="AA22" s="12">
        <f>$B22 * IFERROR(VLOOKUP(Substitution!$M$8 &amp; $A22, US_national_yearly!$D:$AM, MATCH(AA$1, US_national_yearly!$D$1:$AM$1, 0), FALSE) / VLOOKUP(Substitution!$M$8 &amp; $A22, US_national_yearly!$D:$AM, MATCH(Keys!$C$7, US_national_yearly!$D$1:$AM$1, 0), FALSE), 1)</f>
        <v>4.7330798752567502E-3</v>
      </c>
      <c r="AB22" s="12">
        <f>$B22 * IFERROR(VLOOKUP(Substitution!$M$8 &amp; $A22, US_national_yearly!$D:$AM, MATCH(AB$1, US_national_yearly!$D$1:$AM$1, 0), FALSE) / VLOOKUP(Substitution!$M$8 &amp; $A22, US_national_yearly!$D:$AM, MATCH(Keys!$C$7, US_national_yearly!$D$1:$AM$1, 0), FALSE), 1)</f>
        <v>4.7594800846424302E-3</v>
      </c>
    </row>
    <row r="23" spans="1:28" x14ac:dyDescent="0.25">
      <c r="A23" s="4" t="s">
        <v>333</v>
      </c>
      <c r="B23" s="12">
        <f>IFERROR(VLOOKUP(Substitution!$M$8 &amp; $A23, US_national_yearly!$D:$AM, MATCH(Keys!$C$7, US_national_yearly!$D$1:$AM$1, 0), FALSE), 0)</f>
        <v>0</v>
      </c>
      <c r="C23" s="12">
        <f>$B23 * IFERROR(VLOOKUP(Substitution!$M$8 &amp; $A23, US_national_yearly!$D:$AM, MATCH(C$1, US_national_yearly!$D$1:$AM$1, 0), FALSE) / VLOOKUP(Substitution!$M$8 &amp; $A23, US_national_yearly!$D:$AM, MATCH(Keys!$C$7, US_national_yearly!$D$1:$AM$1, 0), FALSE), 1)</f>
        <v>0</v>
      </c>
      <c r="D23" s="12">
        <f>$B23 * IFERROR(VLOOKUP(Substitution!$M$8 &amp; $A23, US_national_yearly!$D:$AM, MATCH(D$1, US_national_yearly!$D$1:$AM$1, 0), FALSE) / VLOOKUP(Substitution!$M$8 &amp; $A23, US_national_yearly!$D:$AM, MATCH(Keys!$C$7, US_national_yearly!$D$1:$AM$1, 0), FALSE), 1)</f>
        <v>0</v>
      </c>
      <c r="E23" s="12">
        <f>$B23 * IFERROR(VLOOKUP(Substitution!$M$8 &amp; $A23, US_national_yearly!$D:$AM, MATCH(E$1, US_national_yearly!$D$1:$AM$1, 0), FALSE) / VLOOKUP(Substitution!$M$8 &amp; $A23, US_national_yearly!$D:$AM, MATCH(Keys!$C$7, US_national_yearly!$D$1:$AM$1, 0), FALSE), 1)</f>
        <v>0</v>
      </c>
      <c r="F23" s="12">
        <f>$B23 * IFERROR(VLOOKUP(Substitution!$M$8 &amp; $A23, US_national_yearly!$D:$AM, MATCH(F$1, US_national_yearly!$D$1:$AM$1, 0), FALSE) / VLOOKUP(Substitution!$M$8 &amp; $A23, US_national_yearly!$D:$AM, MATCH(Keys!$C$7, US_national_yearly!$D$1:$AM$1, 0), FALSE), 1)</f>
        <v>0</v>
      </c>
      <c r="G23" s="12">
        <f>$B23 * IFERROR(VLOOKUP(Substitution!$M$8 &amp; $A23, US_national_yearly!$D:$AM, MATCH(G$1, US_national_yearly!$D$1:$AM$1, 0), FALSE) / VLOOKUP(Substitution!$M$8 &amp; $A23, US_national_yearly!$D:$AM, MATCH(Keys!$C$7, US_national_yearly!$D$1:$AM$1, 0), FALSE), 1)</f>
        <v>0</v>
      </c>
      <c r="H23" s="12">
        <f>$B23 * IFERROR(VLOOKUP(Substitution!$M$8 &amp; $A23, US_national_yearly!$D:$AM, MATCH(H$1, US_national_yearly!$D$1:$AM$1, 0), FALSE) / VLOOKUP(Substitution!$M$8 &amp; $A23, US_national_yearly!$D:$AM, MATCH(Keys!$C$7, US_national_yearly!$D$1:$AM$1, 0), FALSE), 1)</f>
        <v>0</v>
      </c>
      <c r="I23" s="12">
        <f>$B23 * IFERROR(VLOOKUP(Substitution!$M$8 &amp; $A23, US_national_yearly!$D:$AM, MATCH(I$1, US_national_yearly!$D$1:$AM$1, 0), FALSE) / VLOOKUP(Substitution!$M$8 &amp; $A23, US_national_yearly!$D:$AM, MATCH(Keys!$C$7, US_national_yearly!$D$1:$AM$1, 0), FALSE), 1)</f>
        <v>0</v>
      </c>
      <c r="J23" s="12">
        <f>$B23 * IFERROR(VLOOKUP(Substitution!$M$8 &amp; $A23, US_national_yearly!$D:$AM, MATCH(J$1, US_national_yearly!$D$1:$AM$1, 0), FALSE) / VLOOKUP(Substitution!$M$8 &amp; $A23, US_national_yearly!$D:$AM, MATCH(Keys!$C$7, US_national_yearly!$D$1:$AM$1, 0), FALSE), 1)</f>
        <v>0</v>
      </c>
      <c r="K23" s="12">
        <f>$B23 * IFERROR(VLOOKUP(Substitution!$M$8 &amp; $A23, US_national_yearly!$D:$AM, MATCH(K$1, US_national_yearly!$D$1:$AM$1, 0), FALSE) / VLOOKUP(Substitution!$M$8 &amp; $A23, US_national_yearly!$D:$AM, MATCH(Keys!$C$7, US_national_yearly!$D$1:$AM$1, 0), FALSE), 1)</f>
        <v>0</v>
      </c>
      <c r="L23" s="12">
        <f>$B23 * IFERROR(VLOOKUP(Substitution!$M$8 &amp; $A23, US_national_yearly!$D:$AM, MATCH(L$1, US_national_yearly!$D$1:$AM$1, 0), FALSE) / VLOOKUP(Substitution!$M$8 &amp; $A23, US_national_yearly!$D:$AM, MATCH(Keys!$C$7, US_national_yearly!$D$1:$AM$1, 0), FALSE), 1)</f>
        <v>0</v>
      </c>
      <c r="M23" s="12">
        <f>$B23 * IFERROR(VLOOKUP(Substitution!$M$8 &amp; $A23, US_national_yearly!$D:$AM, MATCH(M$1, US_national_yearly!$D$1:$AM$1, 0), FALSE) / VLOOKUP(Substitution!$M$8 &amp; $A23, US_national_yearly!$D:$AM, MATCH(Keys!$C$7, US_national_yearly!$D$1:$AM$1, 0), FALSE), 1)</f>
        <v>0</v>
      </c>
      <c r="N23" s="12">
        <f>$B23 * IFERROR(VLOOKUP(Substitution!$M$8 &amp; $A23, US_national_yearly!$D:$AM, MATCH(N$1, US_national_yearly!$D$1:$AM$1, 0), FALSE) / VLOOKUP(Substitution!$M$8 &amp; $A23, US_national_yearly!$D:$AM, MATCH(Keys!$C$7, US_national_yearly!$D$1:$AM$1, 0), FALSE), 1)</f>
        <v>0</v>
      </c>
      <c r="O23" s="12">
        <f>$B23 * IFERROR(VLOOKUP(Substitution!$M$8 &amp; $A23, US_national_yearly!$D:$AM, MATCH(O$1, US_national_yearly!$D$1:$AM$1, 0), FALSE) / VLOOKUP(Substitution!$M$8 &amp; $A23, US_national_yearly!$D:$AM, MATCH(Keys!$C$7, US_national_yearly!$D$1:$AM$1, 0), FALSE), 1)</f>
        <v>0</v>
      </c>
      <c r="P23" s="12">
        <f>$B23 * IFERROR(VLOOKUP(Substitution!$M$8 &amp; $A23, US_national_yearly!$D:$AM, MATCH(P$1, US_national_yearly!$D$1:$AM$1, 0), FALSE) / VLOOKUP(Substitution!$M$8 &amp; $A23, US_national_yearly!$D:$AM, MATCH(Keys!$C$7, US_national_yearly!$D$1:$AM$1, 0), FALSE), 1)</f>
        <v>0</v>
      </c>
      <c r="Q23" s="12">
        <f>$B23 * IFERROR(VLOOKUP(Substitution!$M$8 &amp; $A23, US_national_yearly!$D:$AM, MATCH(Q$1, US_national_yearly!$D$1:$AM$1, 0), FALSE) / VLOOKUP(Substitution!$M$8 &amp; $A23, US_national_yearly!$D:$AM, MATCH(Keys!$C$7, US_national_yearly!$D$1:$AM$1, 0), FALSE), 1)</f>
        <v>0</v>
      </c>
      <c r="R23" s="12">
        <f>$B23 * IFERROR(VLOOKUP(Substitution!$M$8 &amp; $A23, US_national_yearly!$D:$AM, MATCH(R$1, US_national_yearly!$D$1:$AM$1, 0), FALSE) / VLOOKUP(Substitution!$M$8 &amp; $A23, US_national_yearly!$D:$AM, MATCH(Keys!$C$7, US_national_yearly!$D$1:$AM$1, 0), FALSE), 1)</f>
        <v>0</v>
      </c>
      <c r="S23" s="12">
        <f>$B23 * IFERROR(VLOOKUP(Substitution!$M$8 &amp; $A23, US_national_yearly!$D:$AM, MATCH(S$1, US_national_yearly!$D$1:$AM$1, 0), FALSE) / VLOOKUP(Substitution!$M$8 &amp; $A23, US_national_yearly!$D:$AM, MATCH(Keys!$C$7, US_national_yearly!$D$1:$AM$1, 0), FALSE), 1)</f>
        <v>0</v>
      </c>
      <c r="T23" s="12">
        <f>$B23 * IFERROR(VLOOKUP(Substitution!$M$8 &amp; $A23, US_national_yearly!$D:$AM, MATCH(T$1, US_national_yearly!$D$1:$AM$1, 0), FALSE) / VLOOKUP(Substitution!$M$8 &amp; $A23, US_national_yearly!$D:$AM, MATCH(Keys!$C$7, US_national_yearly!$D$1:$AM$1, 0), FALSE), 1)</f>
        <v>0</v>
      </c>
      <c r="U23" s="12">
        <f>$B23 * IFERROR(VLOOKUP(Substitution!$M$8 &amp; $A23, US_national_yearly!$D:$AM, MATCH(U$1, US_national_yearly!$D$1:$AM$1, 0), FALSE) / VLOOKUP(Substitution!$M$8 &amp; $A23, US_national_yearly!$D:$AM, MATCH(Keys!$C$7, US_national_yearly!$D$1:$AM$1, 0), FALSE), 1)</f>
        <v>0</v>
      </c>
      <c r="V23" s="12">
        <f>$B23 * IFERROR(VLOOKUP(Substitution!$M$8 &amp; $A23, US_national_yearly!$D:$AM, MATCH(V$1, US_national_yearly!$D$1:$AM$1, 0), FALSE) / VLOOKUP(Substitution!$M$8 &amp; $A23, US_national_yearly!$D:$AM, MATCH(Keys!$C$7, US_national_yearly!$D$1:$AM$1, 0), FALSE), 1)</f>
        <v>0</v>
      </c>
      <c r="W23" s="12">
        <f>$B23 * IFERROR(VLOOKUP(Substitution!$M$8 &amp; $A23, US_national_yearly!$D:$AM, MATCH(W$1, US_national_yearly!$D$1:$AM$1, 0), FALSE) / VLOOKUP(Substitution!$M$8 &amp; $A23, US_national_yearly!$D:$AM, MATCH(Keys!$C$7, US_national_yearly!$D$1:$AM$1, 0), FALSE), 1)</f>
        <v>0</v>
      </c>
      <c r="X23" s="12">
        <f>$B23 * IFERROR(VLOOKUP(Substitution!$M$8 &amp; $A23, US_national_yearly!$D:$AM, MATCH(X$1, US_national_yearly!$D$1:$AM$1, 0), FALSE) / VLOOKUP(Substitution!$M$8 &amp; $A23, US_national_yearly!$D:$AM, MATCH(Keys!$C$7, US_national_yearly!$D$1:$AM$1, 0), FALSE), 1)</f>
        <v>0</v>
      </c>
      <c r="Y23" s="12">
        <f>$B23 * IFERROR(VLOOKUP(Substitution!$M$8 &amp; $A23, US_national_yearly!$D:$AM, MATCH(Y$1, US_national_yearly!$D$1:$AM$1, 0), FALSE) / VLOOKUP(Substitution!$M$8 &amp; $A23, US_national_yearly!$D:$AM, MATCH(Keys!$C$7, US_national_yearly!$D$1:$AM$1, 0), FALSE), 1)</f>
        <v>0</v>
      </c>
      <c r="Z23" s="12">
        <f>$B23 * IFERROR(VLOOKUP(Substitution!$M$8 &amp; $A23, US_national_yearly!$D:$AM, MATCH(Z$1, US_national_yearly!$D$1:$AM$1, 0), FALSE) / VLOOKUP(Substitution!$M$8 &amp; $A23, US_national_yearly!$D:$AM, MATCH(Keys!$C$7, US_national_yearly!$D$1:$AM$1, 0), FALSE), 1)</f>
        <v>0</v>
      </c>
      <c r="AA23" s="12">
        <f>$B23 * IFERROR(VLOOKUP(Substitution!$M$8 &amp; $A23, US_national_yearly!$D:$AM, MATCH(AA$1, US_national_yearly!$D$1:$AM$1, 0), FALSE) / VLOOKUP(Substitution!$M$8 &amp; $A23, US_national_yearly!$D:$AM, MATCH(Keys!$C$7, US_national_yearly!$D$1:$AM$1, 0), FALSE), 1)</f>
        <v>0</v>
      </c>
      <c r="AB23" s="12">
        <f>$B23 * IFERROR(VLOOKUP(Substitution!$M$8 &amp; $A23, US_national_yearly!$D:$AM, MATCH(AB$1, US_national_yearly!$D$1:$AM$1, 0), FALSE) / VLOOKUP(Substitution!$M$8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Substitution!$G$9)/IFERROR(SUMIFS(COBRA_aggregated!$W:$W, COBRA_aggregated!$A:$A, About!$B$1, COBRA_aggregated!$B:$B, Substitution!$G$9), 1)</f>
        <v>4.2371712042948615E-4</v>
      </c>
      <c r="C2" s="12">
        <f>$B2 * IFERROR(VLOOKUP(Substitution!$M$9 &amp; $A2, US_national_yearly!$D:$AM, MATCH(C$1, US_national_yearly!$D$1:$AM$1, 0), FALSE) / VLOOKUP(Substitution!$M$9 &amp; $A2, US_national_yearly!$D:$AM, MATCH(Keys!$C$7, US_national_yearly!$D$1:$AM$1, 0), FALSE), 1)</f>
        <v>4.3012822897430208E-4</v>
      </c>
      <c r="D2" s="12">
        <f>$B2 * IFERROR(VLOOKUP(Substitution!$M$9 &amp; $A2, US_national_yearly!$D:$AM, MATCH(D$1, US_national_yearly!$D$1:$AM$1, 0), FALSE) / VLOOKUP(Substitution!$M$9 &amp; $A2, US_national_yearly!$D:$AM, MATCH(Keys!$C$7, US_national_yearly!$D$1:$AM$1, 0), FALSE), 1)</f>
        <v>4.3653933751911813E-4</v>
      </c>
      <c r="E2" s="12">
        <f>$B2 * IFERROR(VLOOKUP(Substitution!$M$9 &amp; $A2, US_national_yearly!$D:$AM, MATCH(E$1, US_national_yearly!$D$1:$AM$1, 0), FALSE) / VLOOKUP(Substitution!$M$9 &amp; $A2, US_national_yearly!$D:$AM, MATCH(Keys!$C$7, US_national_yearly!$D$1:$AM$1, 0), FALSE), 1)</f>
        <v>4.4295044606393401E-4</v>
      </c>
      <c r="F2" s="12">
        <f>$B2 * IFERROR(VLOOKUP(Substitution!$M$9 &amp; $A2, US_national_yearly!$D:$AM, MATCH(F$1, US_national_yearly!$D$1:$AM$1, 0), FALSE) / VLOOKUP(Substitution!$M$9 &amp; $A2, US_national_yearly!$D:$AM, MATCH(Keys!$C$7, US_national_yearly!$D$1:$AM$1, 0), FALSE), 1)</f>
        <v>4.4936155460874994E-4</v>
      </c>
      <c r="G2" s="12">
        <f>$B2 * IFERROR(VLOOKUP(Substitution!$M$9 &amp; $A2, US_national_yearly!$D:$AM, MATCH(G$1, US_national_yearly!$D$1:$AM$1, 0), FALSE) / VLOOKUP(Substitution!$M$9 &amp; $A2, US_national_yearly!$D:$AM, MATCH(Keys!$C$7, US_national_yearly!$D$1:$AM$1, 0), FALSE), 1)</f>
        <v>4.6081415562616564E-4</v>
      </c>
      <c r="H2" s="12">
        <f>$B2 * IFERROR(VLOOKUP(Substitution!$M$9 &amp; $A2, US_national_yearly!$D:$AM, MATCH(H$1, US_national_yearly!$D$1:$AM$1, 0), FALSE) / VLOOKUP(Substitution!$M$9 &amp; $A2, US_national_yearly!$D:$AM, MATCH(Keys!$C$7, US_national_yearly!$D$1:$AM$1, 0), FALSE), 1)</f>
        <v>4.7226675664358117E-4</v>
      </c>
      <c r="I2" s="12">
        <f>$B2 * IFERROR(VLOOKUP(Substitution!$M$9 &amp; $A2, US_national_yearly!$D:$AM, MATCH(I$1, US_national_yearly!$D$1:$AM$1, 0), FALSE) / VLOOKUP(Substitution!$M$9 &amp; $A2, US_national_yearly!$D:$AM, MATCH(Keys!$C$7, US_national_yearly!$D$1:$AM$1, 0), FALSE), 1)</f>
        <v>4.7987748043297782E-4</v>
      </c>
      <c r="J2" s="12">
        <f>$B2 * IFERROR(VLOOKUP(Substitution!$M$9 &amp; $A2, US_national_yearly!$D:$AM, MATCH(J$1, US_national_yearly!$D$1:$AM$1, 0), FALSE) / VLOOKUP(Substitution!$M$9 &amp; $A2, US_national_yearly!$D:$AM, MATCH(Keys!$C$7, US_national_yearly!$D$1:$AM$1, 0), FALSE), 1)</f>
        <v>4.8748820422237464E-4</v>
      </c>
      <c r="K2" s="12">
        <f>$B2 * IFERROR(VLOOKUP(Substitution!$M$9 &amp; $A2, US_national_yearly!$D:$AM, MATCH(K$1, US_national_yearly!$D$1:$AM$1, 0), FALSE) / VLOOKUP(Substitution!$M$9 &amp; $A2, US_national_yearly!$D:$AM, MATCH(Keys!$C$7, US_national_yearly!$D$1:$AM$1, 0), FALSE), 1)</f>
        <v>4.9509892801177129E-4</v>
      </c>
      <c r="L2" s="12">
        <f>$B2 * IFERROR(VLOOKUP(Substitution!$M$9 &amp; $A2, US_national_yearly!$D:$AM, MATCH(L$1, US_national_yearly!$D$1:$AM$1, 0), FALSE) / VLOOKUP(Substitution!$M$9 &amp; $A2, US_national_yearly!$D:$AM, MATCH(Keys!$C$7, US_national_yearly!$D$1:$AM$1, 0), FALSE), 1)</f>
        <v>5.02709651801168E-4</v>
      </c>
      <c r="M2" s="12">
        <f>$B2 * IFERROR(VLOOKUP(Substitution!$M$9 &amp; $A2, US_national_yearly!$D:$AM, MATCH(M$1, US_national_yearly!$D$1:$AM$1, 0), FALSE) / VLOOKUP(Substitution!$M$9 &amp; $A2, US_national_yearly!$D:$AM, MATCH(Keys!$C$7, US_national_yearly!$D$1:$AM$1, 0), FALSE), 1)</f>
        <v>5.1032037559056471E-4</v>
      </c>
      <c r="N2" s="12">
        <f>$B2 * IFERROR(VLOOKUP(Substitution!$M$9 &amp; $A2, US_national_yearly!$D:$AM, MATCH(N$1, US_national_yearly!$D$1:$AM$1, 0), FALSE) / VLOOKUP(Substitution!$M$9 &amp; $A2, US_national_yearly!$D:$AM, MATCH(Keys!$C$7, US_national_yearly!$D$1:$AM$1, 0), FALSE), 1)</f>
        <v>5.1619292883093985E-4</v>
      </c>
      <c r="O2" s="12">
        <f>$B2 * IFERROR(VLOOKUP(Substitution!$M$9 &amp; $A2, US_national_yearly!$D:$AM, MATCH(O$1, US_national_yearly!$D$1:$AM$1, 0), FALSE) / VLOOKUP(Substitution!$M$9 &amp; $A2, US_national_yearly!$D:$AM, MATCH(Keys!$C$7, US_national_yearly!$D$1:$AM$1, 0), FALSE), 1)</f>
        <v>5.2206548207131521E-4</v>
      </c>
      <c r="P2" s="12">
        <f>$B2 * IFERROR(VLOOKUP(Substitution!$M$9 &amp; $A2, US_national_yearly!$D:$AM, MATCH(P$1, US_national_yearly!$D$1:$AM$1, 0), FALSE) / VLOOKUP(Substitution!$M$9 &amp; $A2, US_national_yearly!$D:$AM, MATCH(Keys!$C$7, US_national_yearly!$D$1:$AM$1, 0), FALSE), 1)</f>
        <v>5.2793803531169035E-4</v>
      </c>
      <c r="Q2" s="12">
        <f>$B2 * IFERROR(VLOOKUP(Substitution!$M$9 &amp; $A2, US_national_yearly!$D:$AM, MATCH(Q$1, US_national_yearly!$D$1:$AM$1, 0), FALSE) / VLOOKUP(Substitution!$M$9 &amp; $A2, US_national_yearly!$D:$AM, MATCH(Keys!$C$7, US_national_yearly!$D$1:$AM$1, 0), FALSE), 1)</f>
        <v>5.3381058855206571E-4</v>
      </c>
      <c r="R2" s="12">
        <f>$B2 * IFERROR(VLOOKUP(Substitution!$M$9 &amp; $A2, US_national_yearly!$D:$AM, MATCH(R$1, US_national_yearly!$D$1:$AM$1, 0), FALSE) / VLOOKUP(Substitution!$M$9 &amp; $A2, US_national_yearly!$D:$AM, MATCH(Keys!$C$7, US_national_yearly!$D$1:$AM$1, 0), FALSE), 1)</f>
        <v>5.3968314179244086E-4</v>
      </c>
      <c r="S2" s="12">
        <f>$B2 * IFERROR(VLOOKUP(Substitution!$M$9 &amp; $A2, US_national_yearly!$D:$AM, MATCH(S$1, US_national_yearly!$D$1:$AM$1, 0), FALSE) / VLOOKUP(Substitution!$M$9 &amp; $A2, US_national_yearly!$D:$AM, MATCH(Keys!$C$7, US_national_yearly!$D$1:$AM$1, 0), FALSE), 1)</f>
        <v>5.4271773593968914E-4</v>
      </c>
      <c r="T2" s="12">
        <f>$B2 * IFERROR(VLOOKUP(Substitution!$M$9 &amp; $A2, US_national_yearly!$D:$AM, MATCH(T$1, US_national_yearly!$D$1:$AM$1, 0), FALSE) / VLOOKUP(Substitution!$M$9 &amp; $A2, US_national_yearly!$D:$AM, MATCH(Keys!$C$7, US_national_yearly!$D$1:$AM$1, 0), FALSE), 1)</f>
        <v>5.4575233008693743E-4</v>
      </c>
      <c r="U2" s="12">
        <f>$B2 * IFERROR(VLOOKUP(Substitution!$M$9 &amp; $A2, US_national_yearly!$D:$AM, MATCH(U$1, US_national_yearly!$D$1:$AM$1, 0), FALSE) / VLOOKUP(Substitution!$M$9 &amp; $A2, US_national_yearly!$D:$AM, MATCH(Keys!$C$7, US_national_yearly!$D$1:$AM$1, 0), FALSE), 1)</f>
        <v>5.4878692423418582E-4</v>
      </c>
      <c r="V2" s="12">
        <f>$B2 * IFERROR(VLOOKUP(Substitution!$M$9 &amp; $A2, US_national_yearly!$D:$AM, MATCH(V$1, US_national_yearly!$D$1:$AM$1, 0), FALSE) / VLOOKUP(Substitution!$M$9 &amp; $A2, US_national_yearly!$D:$AM, MATCH(Keys!$C$7, US_national_yearly!$D$1:$AM$1, 0), FALSE), 1)</f>
        <v>5.5182151838143411E-4</v>
      </c>
      <c r="W2" s="12">
        <f>$B2 * IFERROR(VLOOKUP(Substitution!$M$9 &amp; $A2, US_national_yearly!$D:$AM, MATCH(W$1, US_national_yearly!$D$1:$AM$1, 0), FALSE) / VLOOKUP(Substitution!$M$9 &amp; $A2, US_national_yearly!$D:$AM, MATCH(Keys!$C$7, US_national_yearly!$D$1:$AM$1, 0), FALSE), 1)</f>
        <v>5.5485611252868239E-4</v>
      </c>
      <c r="X2" s="12">
        <f>$B2 * IFERROR(VLOOKUP(Substitution!$M$9 &amp; $A2, US_national_yearly!$D:$AM, MATCH(X$1, US_national_yearly!$D$1:$AM$1, 0), FALSE) / VLOOKUP(Substitution!$M$9 &amp; $A2, US_national_yearly!$D:$AM, MATCH(Keys!$C$7, US_national_yearly!$D$1:$AM$1, 0), FALSE), 1)</f>
        <v>5.5554263199827404E-4</v>
      </c>
      <c r="Y2" s="12">
        <f>$B2 * IFERROR(VLOOKUP(Substitution!$M$9 &amp; $A2, US_national_yearly!$D:$AM, MATCH(Y$1, US_national_yearly!$D$1:$AM$1, 0), FALSE) / VLOOKUP(Substitution!$M$9 &amp; $A2, US_national_yearly!$D:$AM, MATCH(Keys!$C$7, US_national_yearly!$D$1:$AM$1, 0), FALSE), 1)</f>
        <v>5.5622915146786558E-4</v>
      </c>
      <c r="Z2" s="12">
        <f>$B2 * IFERROR(VLOOKUP(Substitution!$M$9 &amp; $A2, US_national_yearly!$D:$AM, MATCH(Z$1, US_national_yearly!$D$1:$AM$1, 0), FALSE) / VLOOKUP(Substitution!$M$9 &amp; $A2, US_national_yearly!$D:$AM, MATCH(Keys!$C$7, US_national_yearly!$D$1:$AM$1, 0), FALSE), 1)</f>
        <v>5.5691567093745723E-4</v>
      </c>
      <c r="AA2" s="12">
        <f>$B2 * IFERROR(VLOOKUP(Substitution!$M$9 &amp; $A2, US_national_yearly!$D:$AM, MATCH(AA$1, US_national_yearly!$D$1:$AM$1, 0), FALSE) / VLOOKUP(Substitution!$M$9 &amp; $A2, US_national_yearly!$D:$AM, MATCH(Keys!$C$7, US_national_yearly!$D$1:$AM$1, 0), FALSE), 1)</f>
        <v>5.5760219040704878E-4</v>
      </c>
      <c r="AB2" s="12">
        <f>$B2 * IFERROR(VLOOKUP(Substitution!$M$9 &amp; $A2, US_national_yearly!$D:$AM, MATCH(AB$1, US_national_yearly!$D$1:$AM$1, 0), FALSE) / VLOOKUP(Substitution!$M$9 &amp; $A2, US_national_yearly!$D:$AM, MATCH(Keys!$C$7, US_national_yearly!$D$1:$AM$1, 0), FALSE), 1)</f>
        <v>5.5828870987664043E-4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Substitution!$G$9)/IFERROR(SUMIFS(COBRA_aggregated!$W:$W, COBRA_aggregated!$A:$A, About!$B$1, COBRA_aggregated!$B:$B, Substitution!$G$9), 1)</f>
        <v>7.5399895251448221E-7</v>
      </c>
      <c r="C3" s="12">
        <f>$B3 * IFERROR(VLOOKUP(Substitution!$M$9 &amp; $A3, US_national_yearly!$D:$AM, MATCH(C$1, US_national_yearly!$D$1:$AM$1, 0), FALSE) / VLOOKUP(Substitution!$M$9 &amp; $A3, US_national_yearly!$D:$AM, MATCH(Keys!$C$7, US_national_yearly!$D$1:$AM$1, 0), FALSE), 1)</f>
        <v>7.4694486151527343E-7</v>
      </c>
      <c r="D3" s="12">
        <f>$B3 * IFERROR(VLOOKUP(Substitution!$M$9 &amp; $A3, US_national_yearly!$D:$AM, MATCH(D$1, US_national_yearly!$D$1:$AM$1, 0), FALSE) / VLOOKUP(Substitution!$M$9 &amp; $A3, US_national_yearly!$D:$AM, MATCH(Keys!$C$7, US_national_yearly!$D$1:$AM$1, 0), FALSE), 1)</f>
        <v>7.3989077051606454E-7</v>
      </c>
      <c r="E3" s="12">
        <f>$B3 * IFERROR(VLOOKUP(Substitution!$M$9 &amp; $A3, US_national_yearly!$D:$AM, MATCH(E$1, US_national_yearly!$D$1:$AM$1, 0), FALSE) / VLOOKUP(Substitution!$M$9 &amp; $A3, US_national_yearly!$D:$AM, MATCH(Keys!$C$7, US_national_yearly!$D$1:$AM$1, 0), FALSE), 1)</f>
        <v>7.3283667951685576E-7</v>
      </c>
      <c r="F3" s="12">
        <f>$B3 * IFERROR(VLOOKUP(Substitution!$M$9 &amp; $A3, US_national_yearly!$D:$AM, MATCH(F$1, US_national_yearly!$D$1:$AM$1, 0), FALSE) / VLOOKUP(Substitution!$M$9 &amp; $A3, US_national_yearly!$D:$AM, MATCH(Keys!$C$7, US_national_yearly!$D$1:$AM$1, 0), FALSE), 1)</f>
        <v>7.2578258851764676E-7</v>
      </c>
      <c r="G3" s="12">
        <f>$B3 * IFERROR(VLOOKUP(Substitution!$M$9 &amp; $A3, US_national_yearly!$D:$AM, MATCH(G$1, US_national_yearly!$D$1:$AM$1, 0), FALSE) / VLOOKUP(Substitution!$M$9 &amp; $A3, US_national_yearly!$D:$AM, MATCH(Keys!$C$7, US_national_yearly!$D$1:$AM$1, 0), FALSE), 1)</f>
        <v>4.8086692278581226E-7</v>
      </c>
      <c r="H3" s="12">
        <f>$B3 * IFERROR(VLOOKUP(Substitution!$M$9 &amp; $A3, US_national_yearly!$D:$AM, MATCH(H$1, US_national_yearly!$D$1:$AM$1, 0), FALSE) / VLOOKUP(Substitution!$M$9 &amp; $A3, US_national_yearly!$D:$AM, MATCH(Keys!$C$7, US_national_yearly!$D$1:$AM$1, 0), FALSE), 1)</f>
        <v>2.3595125705397776E-7</v>
      </c>
      <c r="I3" s="12">
        <f>$B3 * IFERROR(VLOOKUP(Substitution!$M$9 &amp; $A3, US_national_yearly!$D:$AM, MATCH(I$1, US_national_yearly!$D$1:$AM$1, 0), FALSE) / VLOOKUP(Substitution!$M$9 &amp; $A3, US_national_yearly!$D:$AM, MATCH(Keys!$C$7, US_national_yearly!$D$1:$AM$1, 0), FALSE), 1)</f>
        <v>2.3423529057518458E-7</v>
      </c>
      <c r="J3" s="12">
        <f>$B3 * IFERROR(VLOOKUP(Substitution!$M$9 &amp; $A3, US_national_yearly!$D:$AM, MATCH(J$1, US_national_yearly!$D$1:$AM$1, 0), FALSE) / VLOOKUP(Substitution!$M$9 &amp; $A3, US_national_yearly!$D:$AM, MATCH(Keys!$C$7, US_national_yearly!$D$1:$AM$1, 0), FALSE), 1)</f>
        <v>2.325193240963914E-7</v>
      </c>
      <c r="K3" s="12">
        <f>$B3 * IFERROR(VLOOKUP(Substitution!$M$9 &amp; $A3, US_national_yearly!$D:$AM, MATCH(K$1, US_national_yearly!$D$1:$AM$1, 0), FALSE) / VLOOKUP(Substitution!$M$9 &amp; $A3, US_national_yearly!$D:$AM, MATCH(Keys!$C$7, US_national_yearly!$D$1:$AM$1, 0), FALSE), 1)</f>
        <v>2.3080335761759822E-7</v>
      </c>
      <c r="L3" s="12">
        <f>$B3 * IFERROR(VLOOKUP(Substitution!$M$9 &amp; $A3, US_national_yearly!$D:$AM, MATCH(L$1, US_national_yearly!$D$1:$AM$1, 0), FALSE) / VLOOKUP(Substitution!$M$9 &amp; $A3, US_national_yearly!$D:$AM, MATCH(Keys!$C$7, US_national_yearly!$D$1:$AM$1, 0), FALSE), 1)</f>
        <v>2.2908739113880504E-7</v>
      </c>
      <c r="M3" s="12">
        <f>$B3 * IFERROR(VLOOKUP(Substitution!$M$9 &amp; $A3, US_national_yearly!$D:$AM, MATCH(M$1, US_national_yearly!$D$1:$AM$1, 0), FALSE) / VLOOKUP(Substitution!$M$9 &amp; $A3, US_national_yearly!$D:$AM, MATCH(Keys!$C$7, US_national_yearly!$D$1:$AM$1, 0), FALSE), 1)</f>
        <v>2.2737142466001184E-7</v>
      </c>
      <c r="N3" s="12">
        <f>$B3 * IFERROR(VLOOKUP(Substitution!$M$9 &amp; $A3, US_national_yearly!$D:$AM, MATCH(N$1, US_national_yearly!$D$1:$AM$1, 0), FALSE) / VLOOKUP(Substitution!$M$9 &amp; $A3, US_national_yearly!$D:$AM, MATCH(Keys!$C$7, US_national_yearly!$D$1:$AM$1, 0), FALSE), 1)</f>
        <v>2.2621914084301221E-7</v>
      </c>
      <c r="O3" s="12">
        <f>$B3 * IFERROR(VLOOKUP(Substitution!$M$9 &amp; $A3, US_national_yearly!$D:$AM, MATCH(O$1, US_national_yearly!$D$1:$AM$1, 0), FALSE) / VLOOKUP(Substitution!$M$9 &amp; $A3, US_national_yearly!$D:$AM, MATCH(Keys!$C$7, US_national_yearly!$D$1:$AM$1, 0), FALSE), 1)</f>
        <v>2.2506685702601254E-7</v>
      </c>
      <c r="P3" s="12">
        <f>$B3 * IFERROR(VLOOKUP(Substitution!$M$9 &amp; $A3, US_national_yearly!$D:$AM, MATCH(P$1, US_national_yearly!$D$1:$AM$1, 0), FALSE) / VLOOKUP(Substitution!$M$9 &amp; $A3, US_national_yearly!$D:$AM, MATCH(Keys!$C$7, US_national_yearly!$D$1:$AM$1, 0), FALSE), 1)</f>
        <v>2.2391457320901286E-7</v>
      </c>
      <c r="Q3" s="12">
        <f>$B3 * IFERROR(VLOOKUP(Substitution!$M$9 &amp; $A3, US_national_yearly!$D:$AM, MATCH(Q$1, US_national_yearly!$D$1:$AM$1, 0), FALSE) / VLOOKUP(Substitution!$M$9 &amp; $A3, US_national_yearly!$D:$AM, MATCH(Keys!$C$7, US_national_yearly!$D$1:$AM$1, 0), FALSE), 1)</f>
        <v>2.2276228939201318E-7</v>
      </c>
      <c r="R3" s="12">
        <f>$B3 * IFERROR(VLOOKUP(Substitution!$M$9 &amp; $A3, US_national_yearly!$D:$AM, MATCH(R$1, US_national_yearly!$D$1:$AM$1, 0), FALSE) / VLOOKUP(Substitution!$M$9 &amp; $A3, US_national_yearly!$D:$AM, MATCH(Keys!$C$7, US_national_yearly!$D$1:$AM$1, 0), FALSE), 1)</f>
        <v>2.2161000557501356E-7</v>
      </c>
      <c r="S3" s="12">
        <f>$B3 * IFERROR(VLOOKUP(Substitution!$M$9 &amp; $A3, US_national_yearly!$D:$AM, MATCH(S$1, US_national_yearly!$D$1:$AM$1, 0), FALSE) / VLOOKUP(Substitution!$M$9 &amp; $A3, US_national_yearly!$D:$AM, MATCH(Keys!$C$7, US_national_yearly!$D$1:$AM$1, 0), FALSE), 1)</f>
        <v>2.2024204402037799E-7</v>
      </c>
      <c r="T3" s="12">
        <f>$B3 * IFERROR(VLOOKUP(Substitution!$M$9 &amp; $A3, US_national_yearly!$D:$AM, MATCH(T$1, US_national_yearly!$D$1:$AM$1, 0), FALSE) / VLOOKUP(Substitution!$M$9 &amp; $A3, US_national_yearly!$D:$AM, MATCH(Keys!$C$7, US_national_yearly!$D$1:$AM$1, 0), FALSE), 1)</f>
        <v>2.1887408246574243E-7</v>
      </c>
      <c r="U3" s="12">
        <f>$B3 * IFERROR(VLOOKUP(Substitution!$M$9 &amp; $A3, US_national_yearly!$D:$AM, MATCH(U$1, US_national_yearly!$D$1:$AM$1, 0), FALSE) / VLOOKUP(Substitution!$M$9 &amp; $A3, US_national_yearly!$D:$AM, MATCH(Keys!$C$7, US_national_yearly!$D$1:$AM$1, 0), FALSE), 1)</f>
        <v>2.1750612091110691E-7</v>
      </c>
      <c r="V3" s="12">
        <f>$B3 * IFERROR(VLOOKUP(Substitution!$M$9 &amp; $A3, US_national_yearly!$D:$AM, MATCH(V$1, US_national_yearly!$D$1:$AM$1, 0), FALSE) / VLOOKUP(Substitution!$M$9 &amp; $A3, US_national_yearly!$D:$AM, MATCH(Keys!$C$7, US_national_yearly!$D$1:$AM$1, 0), FALSE), 1)</f>
        <v>2.1613815935647137E-7</v>
      </c>
      <c r="W3" s="12">
        <f>$B3 * IFERROR(VLOOKUP(Substitution!$M$9 &amp; $A3, US_national_yearly!$D:$AM, MATCH(W$1, US_national_yearly!$D$1:$AM$1, 0), FALSE) / VLOOKUP(Substitution!$M$9 &amp; $A3, US_national_yearly!$D:$AM, MATCH(Keys!$C$7, US_national_yearly!$D$1:$AM$1, 0), FALSE), 1)</f>
        <v>2.1477019780183584E-7</v>
      </c>
      <c r="X3" s="12">
        <f>$B3 * IFERROR(VLOOKUP(Substitution!$M$9 &amp; $A3, US_national_yearly!$D:$AM, MATCH(X$1, US_national_yearly!$D$1:$AM$1, 0), FALSE) / VLOOKUP(Substitution!$M$9 &amp; $A3, US_national_yearly!$D:$AM, MATCH(Keys!$C$7, US_national_yearly!$D$1:$AM$1, 0), FALSE), 1)</f>
        <v>2.1336164284698234E-7</v>
      </c>
      <c r="Y3" s="12">
        <f>$B3 * IFERROR(VLOOKUP(Substitution!$M$9 &amp; $A3, US_national_yearly!$D:$AM, MATCH(Y$1, US_national_yearly!$D$1:$AM$1, 0), FALSE) / VLOOKUP(Substitution!$M$9 &amp; $A3, US_national_yearly!$D:$AM, MATCH(Keys!$C$7, US_national_yearly!$D$1:$AM$1, 0), FALSE), 1)</f>
        <v>2.1195308789212884E-7</v>
      </c>
      <c r="Z3" s="12">
        <f>$B3 * IFERROR(VLOOKUP(Substitution!$M$9 &amp; $A3, US_national_yearly!$D:$AM, MATCH(Z$1, US_national_yearly!$D$1:$AM$1, 0), FALSE) / VLOOKUP(Substitution!$M$9 &amp; $A3, US_national_yearly!$D:$AM, MATCH(Keys!$C$7, US_national_yearly!$D$1:$AM$1, 0), FALSE), 1)</f>
        <v>2.1054453293727534E-7</v>
      </c>
      <c r="AA3" s="12">
        <f>$B3 * IFERROR(VLOOKUP(Substitution!$M$9 &amp; $A3, US_national_yearly!$D:$AM, MATCH(AA$1, US_national_yearly!$D$1:$AM$1, 0), FALSE) / VLOOKUP(Substitution!$M$9 &amp; $A3, US_national_yearly!$D:$AM, MATCH(Keys!$C$7, US_national_yearly!$D$1:$AM$1, 0), FALSE), 1)</f>
        <v>2.0913597798242184E-7</v>
      </c>
      <c r="AB3" s="12">
        <f>$B3 * IFERROR(VLOOKUP(Substitution!$M$9 &amp; $A3, US_national_yearly!$D:$AM, MATCH(AB$1, US_national_yearly!$D$1:$AM$1, 0), FALSE) / VLOOKUP(Substitution!$M$9 &amp; $A3, US_national_yearly!$D:$AM, MATCH(Keys!$C$7, US_national_yearly!$D$1:$AM$1, 0), FALSE), 1)</f>
        <v>2.0772742302756832E-7</v>
      </c>
    </row>
    <row r="4" spans="1:28" x14ac:dyDescent="0.25">
      <c r="A4" s="4" t="s">
        <v>295</v>
      </c>
      <c r="B4" s="12">
        <f>IFERROR(VLOOKUP(Substitution!$M$9 &amp; $A4, US_national_yearly!$D:$AM, MATCH(Keys!$C$7, US_national_yearly!$D$1:$AM$1, 0), FALSE), 0)</f>
        <v>0.55331939567188504</v>
      </c>
      <c r="C4" s="12">
        <f>$B4 * IFERROR(VLOOKUP(Substitution!$M$9 &amp; $A4, US_national_yearly!$D:$AM, MATCH(C$1, US_national_yearly!$D$1:$AM$1, 0), FALSE) / VLOOKUP(Substitution!$M$9 &amp; $A4, US_national_yearly!$D:$AM, MATCH(Keys!$C$7, US_national_yearly!$D$1:$AM$1, 0), FALSE), 1)</f>
        <v>0.55862129336723898</v>
      </c>
      <c r="D4" s="12">
        <f>$B4 * IFERROR(VLOOKUP(Substitution!$M$9 &amp; $A4, US_national_yearly!$D:$AM, MATCH(D$1, US_national_yearly!$D$1:$AM$1, 0), FALSE) / VLOOKUP(Substitution!$M$9 &amp; $A4, US_national_yearly!$D:$AM, MATCH(Keys!$C$7, US_national_yearly!$D$1:$AM$1, 0), FALSE), 1)</f>
        <v>0.56392319106259303</v>
      </c>
      <c r="E4" s="12">
        <f>$B4 * IFERROR(VLOOKUP(Substitution!$M$9 &amp; $A4, US_national_yearly!$D:$AM, MATCH(E$1, US_national_yearly!$D$1:$AM$1, 0), FALSE) / VLOOKUP(Substitution!$M$9 &amp; $A4, US_national_yearly!$D:$AM, MATCH(Keys!$C$7, US_national_yearly!$D$1:$AM$1, 0), FALSE), 1)</f>
        <v>0.56922508875794697</v>
      </c>
      <c r="F4" s="12">
        <f>$B4 * IFERROR(VLOOKUP(Substitution!$M$9 &amp; $A4, US_national_yearly!$D:$AM, MATCH(F$1, US_national_yearly!$D$1:$AM$1, 0), FALSE) / VLOOKUP(Substitution!$M$9 &amp; $A4, US_national_yearly!$D:$AM, MATCH(Keys!$C$7, US_national_yearly!$D$1:$AM$1, 0), FALSE), 1)</f>
        <v>0.57452698645330103</v>
      </c>
      <c r="G4" s="12">
        <f>$B4 * IFERROR(VLOOKUP(Substitution!$M$9 &amp; $A4, US_national_yearly!$D:$AM, MATCH(G$1, US_national_yearly!$D$1:$AM$1, 0), FALSE) / VLOOKUP(Substitution!$M$9 &amp; $A4, US_national_yearly!$D:$AM, MATCH(Keys!$C$7, US_national_yearly!$D$1:$AM$1, 0), FALSE), 1)</f>
        <v>0.58071371048493159</v>
      </c>
      <c r="H4" s="12">
        <f>$B4 * IFERROR(VLOOKUP(Substitution!$M$9 &amp; $A4, US_national_yearly!$D:$AM, MATCH(H$1, US_national_yearly!$D$1:$AM$1, 0), FALSE) / VLOOKUP(Substitution!$M$9 &amp; $A4, US_national_yearly!$D:$AM, MATCH(Keys!$C$7, US_national_yearly!$D$1:$AM$1, 0), FALSE), 1)</f>
        <v>0.58690043451656204</v>
      </c>
      <c r="I4" s="12">
        <f>$B4 * IFERROR(VLOOKUP(Substitution!$M$9 &amp; $A4, US_national_yearly!$D:$AM, MATCH(I$1, US_national_yearly!$D$1:$AM$1, 0), FALSE) / VLOOKUP(Substitution!$M$9 &amp; $A4, US_national_yearly!$D:$AM, MATCH(Keys!$C$7, US_national_yearly!$D$1:$AM$1, 0), FALSE), 1)</f>
        <v>0.59116656556717539</v>
      </c>
      <c r="J4" s="12">
        <f>$B4 * IFERROR(VLOOKUP(Substitution!$M$9 &amp; $A4, US_national_yearly!$D:$AM, MATCH(J$1, US_national_yearly!$D$1:$AM$1, 0), FALSE) / VLOOKUP(Substitution!$M$9 &amp; $A4, US_national_yearly!$D:$AM, MATCH(Keys!$C$7, US_national_yearly!$D$1:$AM$1, 0), FALSE), 1)</f>
        <v>0.59543269661778886</v>
      </c>
      <c r="K4" s="12">
        <f>$B4 * IFERROR(VLOOKUP(Substitution!$M$9 &amp; $A4, US_national_yearly!$D:$AM, MATCH(K$1, US_national_yearly!$D$1:$AM$1, 0), FALSE) / VLOOKUP(Substitution!$M$9 &amp; $A4, US_national_yearly!$D:$AM, MATCH(Keys!$C$7, US_national_yearly!$D$1:$AM$1, 0), FALSE), 1)</f>
        <v>0.59969882766840221</v>
      </c>
      <c r="L4" s="12">
        <f>$B4 * IFERROR(VLOOKUP(Substitution!$M$9 &amp; $A4, US_national_yearly!$D:$AM, MATCH(L$1, US_national_yearly!$D$1:$AM$1, 0), FALSE) / VLOOKUP(Substitution!$M$9 &amp; $A4, US_national_yearly!$D:$AM, MATCH(Keys!$C$7, US_national_yearly!$D$1:$AM$1, 0), FALSE), 1)</f>
        <v>0.60396495871901568</v>
      </c>
      <c r="M4" s="12">
        <f>$B4 * IFERROR(VLOOKUP(Substitution!$M$9 &amp; $A4, US_national_yearly!$D:$AM, MATCH(M$1, US_national_yearly!$D$1:$AM$1, 0), FALSE) / VLOOKUP(Substitution!$M$9 &amp; $A4, US_national_yearly!$D:$AM, MATCH(Keys!$C$7, US_national_yearly!$D$1:$AM$1, 0), FALSE), 1)</f>
        <v>0.60823108976962903</v>
      </c>
      <c r="N4" s="12">
        <f>$B4 * IFERROR(VLOOKUP(Substitution!$M$9 &amp; $A4, US_national_yearly!$D:$AM, MATCH(N$1, US_national_yearly!$D$1:$AM$1, 0), FALSE) / VLOOKUP(Substitution!$M$9 &amp; $A4, US_national_yearly!$D:$AM, MATCH(Keys!$C$7, US_national_yearly!$D$1:$AM$1, 0), FALSE), 1)</f>
        <v>0.60974744637648481</v>
      </c>
      <c r="O4" s="12">
        <f>$B4 * IFERROR(VLOOKUP(Substitution!$M$9 &amp; $A4, US_national_yearly!$D:$AM, MATCH(O$1, US_national_yearly!$D$1:$AM$1, 0), FALSE) / VLOOKUP(Substitution!$M$9 &amp; $A4, US_national_yearly!$D:$AM, MATCH(Keys!$C$7, US_national_yearly!$D$1:$AM$1, 0), FALSE), 1)</f>
        <v>0.6112638029833406</v>
      </c>
      <c r="P4" s="12">
        <f>$B4 * IFERROR(VLOOKUP(Substitution!$M$9 &amp; $A4, US_national_yearly!$D:$AM, MATCH(P$1, US_national_yearly!$D$1:$AM$1, 0), FALSE) / VLOOKUP(Substitution!$M$9 &amp; $A4, US_national_yearly!$D:$AM, MATCH(Keys!$C$7, US_national_yearly!$D$1:$AM$1, 0), FALSE), 1)</f>
        <v>0.61278015959019638</v>
      </c>
      <c r="Q4" s="12">
        <f>$B4 * IFERROR(VLOOKUP(Substitution!$M$9 &amp; $A4, US_national_yearly!$D:$AM, MATCH(Q$1, US_national_yearly!$D$1:$AM$1, 0), FALSE) / VLOOKUP(Substitution!$M$9 &amp; $A4, US_national_yearly!$D:$AM, MATCH(Keys!$C$7, US_national_yearly!$D$1:$AM$1, 0), FALSE), 1)</f>
        <v>0.61429651619705217</v>
      </c>
      <c r="R4" s="12">
        <f>$B4 * IFERROR(VLOOKUP(Substitution!$M$9 &amp; $A4, US_national_yearly!$D:$AM, MATCH(R$1, US_national_yearly!$D$1:$AM$1, 0), FALSE) / VLOOKUP(Substitution!$M$9 &amp; $A4, US_national_yearly!$D:$AM, MATCH(Keys!$C$7, US_national_yearly!$D$1:$AM$1, 0), FALSE), 1)</f>
        <v>0.61581287280390795</v>
      </c>
      <c r="S4" s="12">
        <f>$B4 * IFERROR(VLOOKUP(Substitution!$M$9 &amp; $A4, US_national_yearly!$D:$AM, MATCH(S$1, US_national_yearly!$D$1:$AM$1, 0), FALSE) / VLOOKUP(Substitution!$M$9 &amp; $A4, US_national_yearly!$D:$AM, MATCH(Keys!$C$7, US_national_yearly!$D$1:$AM$1, 0), FALSE), 1)</f>
        <v>0.61770796518931559</v>
      </c>
      <c r="T4" s="12">
        <f>$B4 * IFERROR(VLOOKUP(Substitution!$M$9 &amp; $A4, US_national_yearly!$D:$AM, MATCH(T$1, US_national_yearly!$D$1:$AM$1, 0), FALSE) / VLOOKUP(Substitution!$M$9 &amp; $A4, US_national_yearly!$D:$AM, MATCH(Keys!$C$7, US_national_yearly!$D$1:$AM$1, 0), FALSE), 1)</f>
        <v>0.61960305757472323</v>
      </c>
      <c r="U4" s="12">
        <f>$B4 * IFERROR(VLOOKUP(Substitution!$M$9 &amp; $A4, US_national_yearly!$D:$AM, MATCH(U$1, US_national_yearly!$D$1:$AM$1, 0), FALSE) / VLOOKUP(Substitution!$M$9 &amp; $A4, US_national_yearly!$D:$AM, MATCH(Keys!$C$7, US_national_yearly!$D$1:$AM$1, 0), FALSE), 1)</f>
        <v>0.62149814996013075</v>
      </c>
      <c r="V4" s="12">
        <f>$B4 * IFERROR(VLOOKUP(Substitution!$M$9 &amp; $A4, US_national_yearly!$D:$AM, MATCH(V$1, US_national_yearly!$D$1:$AM$1, 0), FALSE) / VLOOKUP(Substitution!$M$9 &amp; $A4, US_national_yearly!$D:$AM, MATCH(Keys!$C$7, US_national_yearly!$D$1:$AM$1, 0), FALSE), 1)</f>
        <v>0.62339324234553839</v>
      </c>
      <c r="W4" s="12">
        <f>$B4 * IFERROR(VLOOKUP(Substitution!$M$9 &amp; $A4, US_national_yearly!$D:$AM, MATCH(W$1, US_national_yearly!$D$1:$AM$1, 0), FALSE) / VLOOKUP(Substitution!$M$9 &amp; $A4, US_national_yearly!$D:$AM, MATCH(Keys!$C$7, US_national_yearly!$D$1:$AM$1, 0), FALSE), 1)</f>
        <v>0.62528833473094603</v>
      </c>
      <c r="X4" s="12">
        <f>$B4 * IFERROR(VLOOKUP(Substitution!$M$9 &amp; $A4, US_national_yearly!$D:$AM, MATCH(X$1, US_national_yearly!$D$1:$AM$1, 0), FALSE) / VLOOKUP(Substitution!$M$9 &amp; $A4, US_national_yearly!$D:$AM, MATCH(Keys!$C$7, US_national_yearly!$D$1:$AM$1, 0), FALSE), 1)</f>
        <v>0.62736172076368546</v>
      </c>
      <c r="Y4" s="12">
        <f>$B4 * IFERROR(VLOOKUP(Substitution!$M$9 &amp; $A4, US_national_yearly!$D:$AM, MATCH(Y$1, US_national_yearly!$D$1:$AM$1, 0), FALSE) / VLOOKUP(Substitution!$M$9 &amp; $A4, US_national_yearly!$D:$AM, MATCH(Keys!$C$7, US_national_yearly!$D$1:$AM$1, 0), FALSE), 1)</f>
        <v>0.62943510679642478</v>
      </c>
      <c r="Z4" s="12">
        <f>$B4 * IFERROR(VLOOKUP(Substitution!$M$9 &amp; $A4, US_national_yearly!$D:$AM, MATCH(Z$1, US_national_yearly!$D$1:$AM$1, 0), FALSE) / VLOOKUP(Substitution!$M$9 &amp; $A4, US_national_yearly!$D:$AM, MATCH(Keys!$C$7, US_national_yearly!$D$1:$AM$1, 0), FALSE), 1)</f>
        <v>0.63150849282916421</v>
      </c>
      <c r="AA4" s="12">
        <f>$B4 * IFERROR(VLOOKUP(Substitution!$M$9 &amp; $A4, US_national_yearly!$D:$AM, MATCH(AA$1, US_national_yearly!$D$1:$AM$1, 0), FALSE) / VLOOKUP(Substitution!$M$9 &amp; $A4, US_national_yearly!$D:$AM, MATCH(Keys!$C$7, US_national_yearly!$D$1:$AM$1, 0), FALSE), 1)</f>
        <v>0.63358187886190354</v>
      </c>
      <c r="AB4" s="12">
        <f>$B4 * IFERROR(VLOOKUP(Substitution!$M$9 &amp; $A4, US_national_yearly!$D:$AM, MATCH(AB$1, US_national_yearly!$D$1:$AM$1, 0), FALSE) / VLOOKUP(Substitution!$M$9 &amp; $A4, US_national_yearly!$D:$AM, MATCH(Keys!$C$7, US_national_yearly!$D$1:$AM$1, 0), FALSE), 1)</f>
        <v>0.63565526489464297</v>
      </c>
    </row>
    <row r="5" spans="1:28" x14ac:dyDescent="0.25">
      <c r="A5" s="4" t="s">
        <v>297</v>
      </c>
      <c r="B5" s="12">
        <f>IFERROR(VLOOKUP(Substitution!$M$9 &amp; $A5, US_national_yearly!$D:$AM, MATCH(Keys!$C$7, US_national_yearly!$D$1:$AM$1, 0), FALSE), 0)</f>
        <v>0.99232706517366953</v>
      </c>
      <c r="C5" s="12">
        <f>$B5 * IFERROR(VLOOKUP(Substitution!$M$9 &amp; $A5, US_national_yearly!$D:$AM, MATCH(C$1, US_national_yearly!$D$1:$AM$1, 0), FALSE) / VLOOKUP(Substitution!$M$9 &amp; $A5, US_national_yearly!$D:$AM, MATCH(Keys!$C$7, US_national_yearly!$D$1:$AM$1, 0), FALSE), 1)</f>
        <v>1.005950456445927</v>
      </c>
      <c r="D5" s="12">
        <f>$B5 * IFERROR(VLOOKUP(Substitution!$M$9 &amp; $A5, US_national_yearly!$D:$AM, MATCH(D$1, US_national_yearly!$D$1:$AM$1, 0), FALSE) / VLOOKUP(Substitution!$M$9 &amp; $A5, US_national_yearly!$D:$AM, MATCH(Keys!$C$7, US_national_yearly!$D$1:$AM$1, 0), FALSE), 1)</f>
        <v>1.019573847718185</v>
      </c>
      <c r="E5" s="12">
        <f>$B5 * IFERROR(VLOOKUP(Substitution!$M$9 &amp; $A5, US_national_yearly!$D:$AM, MATCH(E$1, US_national_yearly!$D$1:$AM$1, 0), FALSE) / VLOOKUP(Substitution!$M$9 &amp; $A5, US_national_yearly!$D:$AM, MATCH(Keys!$C$7, US_national_yearly!$D$1:$AM$1, 0), FALSE), 1)</f>
        <v>1.033197238990442</v>
      </c>
      <c r="F5" s="12">
        <f>$B5 * IFERROR(VLOOKUP(Substitution!$M$9 &amp; $A5, US_national_yearly!$D:$AM, MATCH(F$1, US_national_yearly!$D$1:$AM$1, 0), FALSE) / VLOOKUP(Substitution!$M$9 &amp; $A5, US_national_yearly!$D:$AM, MATCH(Keys!$C$7, US_national_yearly!$D$1:$AM$1, 0), FALSE), 1)</f>
        <v>1.0468206302626999</v>
      </c>
      <c r="G5" s="12">
        <f>$B5 * IFERROR(VLOOKUP(Substitution!$M$9 &amp; $A5, US_national_yearly!$D:$AM, MATCH(G$1, US_national_yearly!$D$1:$AM$1, 0), FALSE) / VLOOKUP(Substitution!$M$9 &amp; $A5, US_national_yearly!$D:$AM, MATCH(Keys!$C$7, US_national_yearly!$D$1:$AM$1, 0), FALSE), 1)</f>
        <v>1.0578971697016351</v>
      </c>
      <c r="H5" s="12">
        <f>$B5 * IFERROR(VLOOKUP(Substitution!$M$9 &amp; $A5, US_national_yearly!$D:$AM, MATCH(H$1, US_national_yearly!$D$1:$AM$1, 0), FALSE) / VLOOKUP(Substitution!$M$9 &amp; $A5, US_national_yearly!$D:$AM, MATCH(Keys!$C$7, US_national_yearly!$D$1:$AM$1, 0), FALSE), 1)</f>
        <v>1.06897370914057</v>
      </c>
      <c r="I5" s="12">
        <f>$B5 * IFERROR(VLOOKUP(Substitution!$M$9 &amp; $A5, US_national_yearly!$D:$AM, MATCH(I$1, US_national_yearly!$D$1:$AM$1, 0), FALSE) / VLOOKUP(Substitution!$M$9 &amp; $A5, US_national_yearly!$D:$AM, MATCH(Keys!$C$7, US_national_yearly!$D$1:$AM$1, 0), FALSE), 1)</f>
        <v>1.0730912802149259</v>
      </c>
      <c r="J5" s="12">
        <f>$B5 * IFERROR(VLOOKUP(Substitution!$M$9 &amp; $A5, US_national_yearly!$D:$AM, MATCH(J$1, US_national_yearly!$D$1:$AM$1, 0), FALSE) / VLOOKUP(Substitution!$M$9 &amp; $A5, US_national_yearly!$D:$AM, MATCH(Keys!$C$7, US_national_yearly!$D$1:$AM$1, 0), FALSE), 1)</f>
        <v>1.0772088512892819</v>
      </c>
      <c r="K5" s="12">
        <f>$B5 * IFERROR(VLOOKUP(Substitution!$M$9 &amp; $A5, US_national_yearly!$D:$AM, MATCH(K$1, US_national_yearly!$D$1:$AM$1, 0), FALSE) / VLOOKUP(Substitution!$M$9 &amp; $A5, US_national_yearly!$D:$AM, MATCH(Keys!$C$7, US_national_yearly!$D$1:$AM$1, 0), FALSE), 1)</f>
        <v>1.0813264223636381</v>
      </c>
      <c r="L5" s="12">
        <f>$B5 * IFERROR(VLOOKUP(Substitution!$M$9 &amp; $A5, US_national_yearly!$D:$AM, MATCH(L$1, US_national_yearly!$D$1:$AM$1, 0), FALSE) / VLOOKUP(Substitution!$M$9 &amp; $A5, US_national_yearly!$D:$AM, MATCH(Keys!$C$7, US_national_yearly!$D$1:$AM$1, 0), FALSE), 1)</f>
        <v>1.085443993437994</v>
      </c>
      <c r="M5" s="12">
        <f>$B5 * IFERROR(VLOOKUP(Substitution!$M$9 &amp; $A5, US_national_yearly!$D:$AM, MATCH(M$1, US_national_yearly!$D$1:$AM$1, 0), FALSE) / VLOOKUP(Substitution!$M$9 &amp; $A5, US_national_yearly!$D:$AM, MATCH(Keys!$C$7, US_national_yearly!$D$1:$AM$1, 0), FALSE), 1)</f>
        <v>1.08956156451235</v>
      </c>
      <c r="N5" s="12">
        <f>$B5 * IFERROR(VLOOKUP(Substitution!$M$9 &amp; $A5, US_national_yearly!$D:$AM, MATCH(N$1, US_national_yearly!$D$1:$AM$1, 0), FALSE) / VLOOKUP(Substitution!$M$9 &amp; $A5, US_national_yearly!$D:$AM, MATCH(Keys!$C$7, US_national_yearly!$D$1:$AM$1, 0), FALSE), 1)</f>
        <v>1.0941237989695261</v>
      </c>
      <c r="O5" s="12">
        <f>$B5 * IFERROR(VLOOKUP(Substitution!$M$9 &amp; $A5, US_national_yearly!$D:$AM, MATCH(O$1, US_national_yearly!$D$1:$AM$1, 0), FALSE) / VLOOKUP(Substitution!$M$9 &amp; $A5, US_national_yearly!$D:$AM, MATCH(Keys!$C$7, US_national_yearly!$D$1:$AM$1, 0), FALSE), 1)</f>
        <v>1.0986860334267019</v>
      </c>
      <c r="P5" s="12">
        <f>$B5 * IFERROR(VLOOKUP(Substitution!$M$9 &amp; $A5, US_national_yearly!$D:$AM, MATCH(P$1, US_national_yearly!$D$1:$AM$1, 0), FALSE) / VLOOKUP(Substitution!$M$9 &amp; $A5, US_national_yearly!$D:$AM, MATCH(Keys!$C$7, US_national_yearly!$D$1:$AM$1, 0), FALSE), 1)</f>
        <v>1.103248267883878</v>
      </c>
      <c r="Q5" s="12">
        <f>$B5 * IFERROR(VLOOKUP(Substitution!$M$9 &amp; $A5, US_national_yearly!$D:$AM, MATCH(Q$1, US_national_yearly!$D$1:$AM$1, 0), FALSE) / VLOOKUP(Substitution!$M$9 &amp; $A5, US_national_yearly!$D:$AM, MATCH(Keys!$C$7, US_national_yearly!$D$1:$AM$1, 0), FALSE), 1)</f>
        <v>1.107810502341054</v>
      </c>
      <c r="R5" s="12">
        <f>$B5 * IFERROR(VLOOKUP(Substitution!$M$9 &amp; $A5, US_national_yearly!$D:$AM, MATCH(R$1, US_national_yearly!$D$1:$AM$1, 0), FALSE) / VLOOKUP(Substitution!$M$9 &amp; $A5, US_national_yearly!$D:$AM, MATCH(Keys!$C$7, US_national_yearly!$D$1:$AM$1, 0), FALSE), 1)</f>
        <v>1.1123727367982299</v>
      </c>
      <c r="S5" s="12">
        <f>$B5 * IFERROR(VLOOKUP(Substitution!$M$9 &amp; $A5, US_national_yearly!$D:$AM, MATCH(S$1, US_national_yearly!$D$1:$AM$1, 0), FALSE) / VLOOKUP(Substitution!$M$9 &amp; $A5, US_national_yearly!$D:$AM, MATCH(Keys!$C$7, US_national_yearly!$D$1:$AM$1, 0), FALSE), 1)</f>
        <v>1.1180645444169299</v>
      </c>
      <c r="T5" s="12">
        <f>$B5 * IFERROR(VLOOKUP(Substitution!$M$9 &amp; $A5, US_national_yearly!$D:$AM, MATCH(T$1, US_national_yearly!$D$1:$AM$1, 0), FALSE) / VLOOKUP(Substitution!$M$9 &amp; $A5, US_national_yearly!$D:$AM, MATCH(Keys!$C$7, US_national_yearly!$D$1:$AM$1, 0), FALSE), 1)</f>
        <v>1.12375635203563</v>
      </c>
      <c r="U5" s="12">
        <f>$B5 * IFERROR(VLOOKUP(Substitution!$M$9 &amp; $A5, US_national_yearly!$D:$AM, MATCH(U$1, US_national_yearly!$D$1:$AM$1, 0), FALSE) / VLOOKUP(Substitution!$M$9 &amp; $A5, US_national_yearly!$D:$AM, MATCH(Keys!$C$7, US_national_yearly!$D$1:$AM$1, 0), FALSE), 1)</f>
        <v>1.12944815965433</v>
      </c>
      <c r="V5" s="12">
        <f>$B5 * IFERROR(VLOOKUP(Substitution!$M$9 &amp; $A5, US_national_yearly!$D:$AM, MATCH(V$1, US_national_yearly!$D$1:$AM$1, 0), FALSE) / VLOOKUP(Substitution!$M$9 &amp; $A5, US_national_yearly!$D:$AM, MATCH(Keys!$C$7, US_national_yearly!$D$1:$AM$1, 0), FALSE), 1)</f>
        <v>1.13513996727303</v>
      </c>
      <c r="W5" s="12">
        <f>$B5 * IFERROR(VLOOKUP(Substitution!$M$9 &amp; $A5, US_national_yearly!$D:$AM, MATCH(W$1, US_national_yearly!$D$1:$AM$1, 0), FALSE) / VLOOKUP(Substitution!$M$9 &amp; $A5, US_national_yearly!$D:$AM, MATCH(Keys!$C$7, US_national_yearly!$D$1:$AM$1, 0), FALSE), 1)</f>
        <v>1.14083177489173</v>
      </c>
      <c r="X5" s="12">
        <f>$B5 * IFERROR(VLOOKUP(Substitution!$M$9 &amp; $A5, US_national_yearly!$D:$AM, MATCH(X$1, US_national_yearly!$D$1:$AM$1, 0), FALSE) / VLOOKUP(Substitution!$M$9 &amp; $A5, US_national_yearly!$D:$AM, MATCH(Keys!$C$7, US_national_yearly!$D$1:$AM$1, 0), FALSE), 1)</f>
        <v>1.146075675243158</v>
      </c>
      <c r="Y5" s="12">
        <f>$B5 * IFERROR(VLOOKUP(Substitution!$M$9 &amp; $A5, US_national_yearly!$D:$AM, MATCH(Y$1, US_national_yearly!$D$1:$AM$1, 0), FALSE) / VLOOKUP(Substitution!$M$9 &amp; $A5, US_national_yearly!$D:$AM, MATCH(Keys!$C$7, US_national_yearly!$D$1:$AM$1, 0), FALSE), 1)</f>
        <v>1.151319575594586</v>
      </c>
      <c r="Z5" s="12">
        <f>$B5 * IFERROR(VLOOKUP(Substitution!$M$9 &amp; $A5, US_national_yearly!$D:$AM, MATCH(Z$1, US_national_yearly!$D$1:$AM$1, 0), FALSE) / VLOOKUP(Substitution!$M$9 &amp; $A5, US_national_yearly!$D:$AM, MATCH(Keys!$C$7, US_national_yearly!$D$1:$AM$1, 0), FALSE), 1)</f>
        <v>1.1565634759460139</v>
      </c>
      <c r="AA5" s="12">
        <f>$B5 * IFERROR(VLOOKUP(Substitution!$M$9 &amp; $A5, US_national_yearly!$D:$AM, MATCH(AA$1, US_national_yearly!$D$1:$AM$1, 0), FALSE) / VLOOKUP(Substitution!$M$9 &amp; $A5, US_national_yearly!$D:$AM, MATCH(Keys!$C$7, US_national_yearly!$D$1:$AM$1, 0), FALSE), 1)</f>
        <v>1.1618073762974419</v>
      </c>
      <c r="AB5" s="12">
        <f>$B5 * IFERROR(VLOOKUP(Substitution!$M$9 &amp; $A5, US_national_yearly!$D:$AM, MATCH(AB$1, US_national_yearly!$D$1:$AM$1, 0), FALSE) / VLOOKUP(Substitution!$M$9 &amp; $A5, US_national_yearly!$D:$AM, MATCH(Keys!$C$7, US_national_yearly!$D$1:$AM$1, 0), FALSE), 1)</f>
        <v>1.1670512766488701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Substitution!$G$9)/IFERROR(SUMIFS(COBRA_aggregated!$W:$W, COBRA_aggregated!$A:$A, About!$B$1, COBRA_aggregated!$B:$B, Substitution!$G$9), 1)</f>
        <v>7.9345462617048999E-4</v>
      </c>
      <c r="C6" s="12">
        <f>$B6 * IFERROR(VLOOKUP(Substitution!$M$9 &amp; $A6, US_national_yearly!$D:$AM, MATCH(C$1, US_national_yearly!$D$1:$AM$1, 0), FALSE) / VLOOKUP(Substitution!$M$9 &amp; $A6, US_national_yearly!$D:$AM, MATCH(Keys!$C$7, US_national_yearly!$D$1:$AM$1, 0), FALSE), 1)</f>
        <v>8.0434775125108745E-4</v>
      </c>
      <c r="D6" s="12">
        <f>$B6 * IFERROR(VLOOKUP(Substitution!$M$9 &amp; $A6, US_national_yearly!$D:$AM, MATCH(D$1, US_national_yearly!$D$1:$AM$1, 0), FALSE) / VLOOKUP(Substitution!$M$9 &amp; $A6, US_national_yearly!$D:$AM, MATCH(Keys!$C$7, US_national_yearly!$D$1:$AM$1, 0), FALSE), 1)</f>
        <v>8.1524087633168512E-4</v>
      </c>
      <c r="E6" s="12">
        <f>$B6 * IFERROR(VLOOKUP(Substitution!$M$9 &amp; $A6, US_national_yearly!$D:$AM, MATCH(E$1, US_national_yearly!$D$1:$AM$1, 0), FALSE) / VLOOKUP(Substitution!$M$9 &amp; $A6, US_national_yearly!$D:$AM, MATCH(Keys!$C$7, US_national_yearly!$D$1:$AM$1, 0), FALSE), 1)</f>
        <v>8.2613400141228258E-4</v>
      </c>
      <c r="F6" s="12">
        <f>$B6 * IFERROR(VLOOKUP(Substitution!$M$9 &amp; $A6, US_national_yearly!$D:$AM, MATCH(F$1, US_national_yearly!$D$1:$AM$1, 0), FALSE) / VLOOKUP(Substitution!$M$9 &amp; $A6, US_national_yearly!$D:$AM, MATCH(Keys!$C$7, US_national_yearly!$D$1:$AM$1, 0), FALSE), 1)</f>
        <v>8.3702712649288003E-4</v>
      </c>
      <c r="G6" s="12">
        <f>$B6 * IFERROR(VLOOKUP(Substitution!$M$9 &amp; $A6, US_national_yearly!$D:$AM, MATCH(G$1, US_national_yearly!$D$1:$AM$1, 0), FALSE) / VLOOKUP(Substitution!$M$9 &amp; $A6, US_national_yearly!$D:$AM, MATCH(Keys!$C$7, US_national_yearly!$D$1:$AM$1, 0), FALSE), 1)</f>
        <v>8.4588381476130429E-4</v>
      </c>
      <c r="H6" s="12">
        <f>$B6 * IFERROR(VLOOKUP(Substitution!$M$9 &amp; $A6, US_national_yearly!$D:$AM, MATCH(H$1, US_national_yearly!$D$1:$AM$1, 0), FALSE) / VLOOKUP(Substitution!$M$9 &amp; $A6, US_national_yearly!$D:$AM, MATCH(Keys!$C$7, US_national_yearly!$D$1:$AM$1, 0), FALSE), 1)</f>
        <v>8.5474050302972854E-4</v>
      </c>
      <c r="I6" s="12">
        <f>$B6 * IFERROR(VLOOKUP(Substitution!$M$9 &amp; $A6, US_national_yearly!$D:$AM, MATCH(I$1, US_national_yearly!$D$1:$AM$1, 0), FALSE) / VLOOKUP(Substitution!$M$9 &amp; $A6, US_national_yearly!$D:$AM, MATCH(Keys!$C$7, US_national_yearly!$D$1:$AM$1, 0), FALSE), 1)</f>
        <v>8.5803287098959306E-4</v>
      </c>
      <c r="J6" s="12">
        <f>$B6 * IFERROR(VLOOKUP(Substitution!$M$9 &amp; $A6, US_national_yearly!$D:$AM, MATCH(J$1, US_national_yearly!$D$1:$AM$1, 0), FALSE) / VLOOKUP(Substitution!$M$9 &amp; $A6, US_national_yearly!$D:$AM, MATCH(Keys!$C$7, US_national_yearly!$D$1:$AM$1, 0), FALSE), 1)</f>
        <v>8.6132523894945747E-4</v>
      </c>
      <c r="K6" s="12">
        <f>$B6 * IFERROR(VLOOKUP(Substitution!$M$9 &amp; $A6, US_national_yearly!$D:$AM, MATCH(K$1, US_national_yearly!$D$1:$AM$1, 0), FALSE) / VLOOKUP(Substitution!$M$9 &amp; $A6, US_national_yearly!$D:$AM, MATCH(Keys!$C$7, US_national_yearly!$D$1:$AM$1, 0), FALSE), 1)</f>
        <v>8.646176069093222E-4</v>
      </c>
      <c r="L6" s="12">
        <f>$B6 * IFERROR(VLOOKUP(Substitution!$M$9 &amp; $A6, US_national_yearly!$D:$AM, MATCH(L$1, US_national_yearly!$D$1:$AM$1, 0), FALSE) / VLOOKUP(Substitution!$M$9 &amp; $A6, US_national_yearly!$D:$AM, MATCH(Keys!$C$7, US_national_yearly!$D$1:$AM$1, 0), FALSE), 1)</f>
        <v>8.6790997486918661E-4</v>
      </c>
      <c r="M6" s="12">
        <f>$B6 * IFERROR(VLOOKUP(Substitution!$M$9 &amp; $A6, US_national_yearly!$D:$AM, MATCH(M$1, US_national_yearly!$D$1:$AM$1, 0), FALSE) / VLOOKUP(Substitution!$M$9 &amp; $A6, US_national_yearly!$D:$AM, MATCH(Keys!$C$7, US_national_yearly!$D$1:$AM$1, 0), FALSE), 1)</f>
        <v>8.7120234282905124E-4</v>
      </c>
      <c r="N6" s="12">
        <f>$B6 * IFERROR(VLOOKUP(Substitution!$M$9 &amp; $A6, US_national_yearly!$D:$AM, MATCH(N$1, US_national_yearly!$D$1:$AM$1, 0), FALSE) / VLOOKUP(Substitution!$M$9 &amp; $A6, US_national_yearly!$D:$AM, MATCH(Keys!$C$7, US_national_yearly!$D$1:$AM$1, 0), FALSE), 1)</f>
        <v>8.7485025910471472E-4</v>
      </c>
      <c r="O6" s="12">
        <f>$B6 * IFERROR(VLOOKUP(Substitution!$M$9 &amp; $A6, US_national_yearly!$D:$AM, MATCH(O$1, US_national_yearly!$D$1:$AM$1, 0), FALSE) / VLOOKUP(Substitution!$M$9 &amp; $A6, US_national_yearly!$D:$AM, MATCH(Keys!$C$7, US_national_yearly!$D$1:$AM$1, 0), FALSE), 1)</f>
        <v>8.7849817538037842E-4</v>
      </c>
      <c r="P6" s="12">
        <f>$B6 * IFERROR(VLOOKUP(Substitution!$M$9 &amp; $A6, US_national_yearly!$D:$AM, MATCH(P$1, US_national_yearly!$D$1:$AM$1, 0), FALSE) / VLOOKUP(Substitution!$M$9 &amp; $A6, US_national_yearly!$D:$AM, MATCH(Keys!$C$7, US_national_yearly!$D$1:$AM$1, 0), FALSE), 1)</f>
        <v>8.8214609165604191E-4</v>
      </c>
      <c r="Q6" s="12">
        <f>$B6 * IFERROR(VLOOKUP(Substitution!$M$9 &amp; $A6, US_national_yearly!$D:$AM, MATCH(Q$1, US_national_yearly!$D$1:$AM$1, 0), FALSE) / VLOOKUP(Substitution!$M$9 &amp; $A6, US_national_yearly!$D:$AM, MATCH(Keys!$C$7, US_national_yearly!$D$1:$AM$1, 0), FALSE), 1)</f>
        <v>8.8579400793170561E-4</v>
      </c>
      <c r="R6" s="12">
        <f>$B6 * IFERROR(VLOOKUP(Substitution!$M$9 &amp; $A6, US_national_yearly!$D:$AM, MATCH(R$1, US_national_yearly!$D$1:$AM$1, 0), FALSE) / VLOOKUP(Substitution!$M$9 &amp; $A6, US_national_yearly!$D:$AM, MATCH(Keys!$C$7, US_national_yearly!$D$1:$AM$1, 0), FALSE), 1)</f>
        <v>8.8944192420736909E-4</v>
      </c>
      <c r="S6" s="12">
        <f>$B6 * IFERROR(VLOOKUP(Substitution!$M$9 &amp; $A6, US_national_yearly!$D:$AM, MATCH(S$1, US_national_yearly!$D$1:$AM$1, 0), FALSE) / VLOOKUP(Substitution!$M$9 &amp; $A6, US_national_yearly!$D:$AM, MATCH(Keys!$C$7, US_national_yearly!$D$1:$AM$1, 0), FALSE), 1)</f>
        <v>8.9399303569020713E-4</v>
      </c>
      <c r="T6" s="12">
        <f>$B6 * IFERROR(VLOOKUP(Substitution!$M$9 &amp; $A6, US_national_yearly!$D:$AM, MATCH(T$1, US_national_yearly!$D$1:$AM$1, 0), FALSE) / VLOOKUP(Substitution!$M$9 &amp; $A6, US_national_yearly!$D:$AM, MATCH(Keys!$C$7, US_national_yearly!$D$1:$AM$1, 0), FALSE), 1)</f>
        <v>8.9854414717304495E-4</v>
      </c>
      <c r="U6" s="12">
        <f>$B6 * IFERROR(VLOOKUP(Substitution!$M$9 &amp; $A6, US_national_yearly!$D:$AM, MATCH(U$1, US_national_yearly!$D$1:$AM$1, 0), FALSE) / VLOOKUP(Substitution!$M$9 &amp; $A6, US_national_yearly!$D:$AM, MATCH(Keys!$C$7, US_national_yearly!$D$1:$AM$1, 0), FALSE), 1)</f>
        <v>9.0309525865588309E-4</v>
      </c>
      <c r="V6" s="12">
        <f>$B6 * IFERROR(VLOOKUP(Substitution!$M$9 &amp; $A6, US_national_yearly!$D:$AM, MATCH(V$1, US_national_yearly!$D$1:$AM$1, 0), FALSE) / VLOOKUP(Substitution!$M$9 &amp; $A6, US_national_yearly!$D:$AM, MATCH(Keys!$C$7, US_national_yearly!$D$1:$AM$1, 0), FALSE), 1)</f>
        <v>9.0764637013872091E-4</v>
      </c>
      <c r="W6" s="12">
        <f>$B6 * IFERROR(VLOOKUP(Substitution!$M$9 &amp; $A6, US_national_yearly!$D:$AM, MATCH(W$1, US_national_yearly!$D$1:$AM$1, 0), FALSE) / VLOOKUP(Substitution!$M$9 &amp; $A6, US_national_yearly!$D:$AM, MATCH(Keys!$C$7, US_national_yearly!$D$1:$AM$1, 0), FALSE), 1)</f>
        <v>9.1219748162155894E-4</v>
      </c>
      <c r="X6" s="12">
        <f>$B6 * IFERROR(VLOOKUP(Substitution!$M$9 &amp; $A6, US_national_yearly!$D:$AM, MATCH(X$1, US_national_yearly!$D$1:$AM$1, 0), FALSE) / VLOOKUP(Substitution!$M$9 &amp; $A6, US_national_yearly!$D:$AM, MATCH(Keys!$C$7, US_national_yearly!$D$1:$AM$1, 0), FALSE), 1)</f>
        <v>9.1639045101016183E-4</v>
      </c>
      <c r="Y6" s="12">
        <f>$B6 * IFERROR(VLOOKUP(Substitution!$M$9 &amp; $A6, US_national_yearly!$D:$AM, MATCH(Y$1, US_national_yearly!$D$1:$AM$1, 0), FALSE) / VLOOKUP(Substitution!$M$9 &amp; $A6, US_national_yearly!$D:$AM, MATCH(Keys!$C$7, US_national_yearly!$D$1:$AM$1, 0), FALSE), 1)</f>
        <v>9.2058342039876484E-4</v>
      </c>
      <c r="Z6" s="12">
        <f>$B6 * IFERROR(VLOOKUP(Substitution!$M$9 &amp; $A6, US_national_yearly!$D:$AM, MATCH(Z$1, US_national_yearly!$D$1:$AM$1, 0), FALSE) / VLOOKUP(Substitution!$M$9 &amp; $A6, US_national_yearly!$D:$AM, MATCH(Keys!$C$7, US_national_yearly!$D$1:$AM$1, 0), FALSE), 1)</f>
        <v>9.2477638978736795E-4</v>
      </c>
      <c r="AA6" s="12">
        <f>$B6 * IFERROR(VLOOKUP(Substitution!$M$9 &amp; $A6, US_national_yearly!$D:$AM, MATCH(AA$1, US_national_yearly!$D$1:$AM$1, 0), FALSE) / VLOOKUP(Substitution!$M$9 &amp; $A6, US_national_yearly!$D:$AM, MATCH(Keys!$C$7, US_national_yearly!$D$1:$AM$1, 0), FALSE), 1)</f>
        <v>9.2896935917597073E-4</v>
      </c>
      <c r="AB6" s="12">
        <f>$B6 * IFERROR(VLOOKUP(Substitution!$M$9 &amp; $A6, US_national_yearly!$D:$AM, MATCH(AB$1, US_national_yearly!$D$1:$AM$1, 0), FALSE) / VLOOKUP(Substitution!$M$9 &amp; $A6, US_national_yearly!$D:$AM, MATCH(Keys!$C$7, US_national_yearly!$D$1:$AM$1, 0), FALSE), 1)</f>
        <v>9.3316232856457384E-4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Substitution!$G$9)/IFERROR(SUMIFS(COBRA_aggregated!$W:$W, COBRA_aggregated!$A:$A, About!$B$1, COBRA_aggregated!$B:$B, Substitution!$G$9), 1)</f>
        <v>1.0685009060140563E-3</v>
      </c>
      <c r="C7" s="12">
        <f>$B7 * IFERROR(VLOOKUP(Substitution!$M$9 &amp; $A7, US_national_yearly!$D:$AM, MATCH(C$1, US_national_yearly!$D$1:$AM$1, 0), FALSE) / VLOOKUP(Substitution!$M$9 &amp; $A7, US_national_yearly!$D:$AM, MATCH(Keys!$C$7, US_national_yearly!$D$1:$AM$1, 0), FALSE), 1)</f>
        <v>1.0831700674409758E-3</v>
      </c>
      <c r="D7" s="12">
        <f>$B7 * IFERROR(VLOOKUP(Substitution!$M$9 &amp; $A7, US_national_yearly!$D:$AM, MATCH(D$1, US_national_yearly!$D$1:$AM$1, 0), FALSE) / VLOOKUP(Substitution!$M$9 &amp; $A7, US_national_yearly!$D:$AM, MATCH(Keys!$C$7, US_national_yearly!$D$1:$AM$1, 0), FALSE), 1)</f>
        <v>1.0978392288678953E-3</v>
      </c>
      <c r="E7" s="12">
        <f>$B7 * IFERROR(VLOOKUP(Substitution!$M$9 &amp; $A7, US_national_yearly!$D:$AM, MATCH(E$1, US_national_yearly!$D$1:$AM$1, 0), FALSE) / VLOOKUP(Substitution!$M$9 &amp; $A7, US_national_yearly!$D:$AM, MATCH(Keys!$C$7, US_national_yearly!$D$1:$AM$1, 0), FALSE), 1)</f>
        <v>1.1125083902948148E-3</v>
      </c>
      <c r="F7" s="12">
        <f>$B7 * IFERROR(VLOOKUP(Substitution!$M$9 &amp; $A7, US_national_yearly!$D:$AM, MATCH(F$1, US_national_yearly!$D$1:$AM$1, 0), FALSE) / VLOOKUP(Substitution!$M$9 &amp; $A7, US_national_yearly!$D:$AM, MATCH(Keys!$C$7, US_national_yearly!$D$1:$AM$1, 0), FALSE), 1)</f>
        <v>1.1271775517217341E-3</v>
      </c>
      <c r="G7" s="12">
        <f>$B7 * IFERROR(VLOOKUP(Substitution!$M$9 &amp; $A7, US_national_yearly!$D:$AM, MATCH(G$1, US_national_yearly!$D$1:$AM$1, 0), FALSE) / VLOOKUP(Substitution!$M$9 &amp; $A7, US_national_yearly!$D:$AM, MATCH(Keys!$C$7, US_national_yearly!$D$1:$AM$1, 0), FALSE), 1)</f>
        <v>1.139104357738436E-3</v>
      </c>
      <c r="H7" s="12">
        <f>$B7 * IFERROR(VLOOKUP(Substitution!$M$9 &amp; $A7, US_national_yearly!$D:$AM, MATCH(H$1, US_national_yearly!$D$1:$AM$1, 0), FALSE) / VLOOKUP(Substitution!$M$9 &amp; $A7, US_national_yearly!$D:$AM, MATCH(Keys!$C$7, US_national_yearly!$D$1:$AM$1, 0), FALSE), 1)</f>
        <v>1.1510311637551378E-3</v>
      </c>
      <c r="I7" s="12">
        <f>$B7 * IFERROR(VLOOKUP(Substitution!$M$9 &amp; $A7, US_national_yearly!$D:$AM, MATCH(I$1, US_national_yearly!$D$1:$AM$1, 0), FALSE) / VLOOKUP(Substitution!$M$9 &amp; $A7, US_national_yearly!$D:$AM, MATCH(Keys!$C$7, US_national_yearly!$D$1:$AM$1, 0), FALSE), 1)</f>
        <v>1.1554648112486385E-3</v>
      </c>
      <c r="J7" s="12">
        <f>$B7 * IFERROR(VLOOKUP(Substitution!$M$9 &amp; $A7, US_national_yearly!$D:$AM, MATCH(J$1, US_national_yearly!$D$1:$AM$1, 0), FALSE) / VLOOKUP(Substitution!$M$9 &amp; $A7, US_national_yearly!$D:$AM, MATCH(Keys!$C$7, US_national_yearly!$D$1:$AM$1, 0), FALSE), 1)</f>
        <v>1.1598984587421388E-3</v>
      </c>
      <c r="K7" s="12">
        <f>$B7 * IFERROR(VLOOKUP(Substitution!$M$9 &amp; $A7, US_national_yearly!$D:$AM, MATCH(K$1, US_national_yearly!$D$1:$AM$1, 0), FALSE) / VLOOKUP(Substitution!$M$9 &amp; $A7, US_national_yearly!$D:$AM, MATCH(Keys!$C$7, US_national_yearly!$D$1:$AM$1, 0), FALSE), 1)</f>
        <v>1.1643321062356396E-3</v>
      </c>
      <c r="L7" s="12">
        <f>$B7 * IFERROR(VLOOKUP(Substitution!$M$9 &amp; $A7, US_national_yearly!$D:$AM, MATCH(L$1, US_national_yearly!$D$1:$AM$1, 0), FALSE) / VLOOKUP(Substitution!$M$9 &amp; $A7, US_national_yearly!$D:$AM, MATCH(Keys!$C$7, US_national_yearly!$D$1:$AM$1, 0), FALSE), 1)</f>
        <v>1.1687657537291399E-3</v>
      </c>
      <c r="M7" s="12">
        <f>$B7 * IFERROR(VLOOKUP(Substitution!$M$9 &amp; $A7, US_national_yearly!$D:$AM, MATCH(M$1, US_national_yearly!$D$1:$AM$1, 0), FALSE) / VLOOKUP(Substitution!$M$9 &amp; $A7, US_national_yearly!$D:$AM, MATCH(Keys!$C$7, US_national_yearly!$D$1:$AM$1, 0), FALSE), 1)</f>
        <v>1.1731994012226404E-3</v>
      </c>
      <c r="N7" s="12">
        <f>$B7 * IFERROR(VLOOKUP(Substitution!$M$9 &amp; $A7, US_national_yearly!$D:$AM, MATCH(N$1, US_national_yearly!$D$1:$AM$1, 0), FALSE) / VLOOKUP(Substitution!$M$9 &amp; $A7, US_national_yearly!$D:$AM, MATCH(Keys!$C$7, US_national_yearly!$D$1:$AM$1, 0), FALSE), 1)</f>
        <v>1.1781118457244312E-3</v>
      </c>
      <c r="O7" s="12">
        <f>$B7 * IFERROR(VLOOKUP(Substitution!$M$9 &amp; $A7, US_national_yearly!$D:$AM, MATCH(O$1, US_national_yearly!$D$1:$AM$1, 0), FALSE) / VLOOKUP(Substitution!$M$9 &amp; $A7, US_national_yearly!$D:$AM, MATCH(Keys!$C$7, US_national_yearly!$D$1:$AM$1, 0), FALSE), 1)</f>
        <v>1.1830242902262219E-3</v>
      </c>
      <c r="P7" s="12">
        <f>$B7 * IFERROR(VLOOKUP(Substitution!$M$9 &amp; $A7, US_national_yearly!$D:$AM, MATCH(P$1, US_national_yearly!$D$1:$AM$1, 0), FALSE) / VLOOKUP(Substitution!$M$9 &amp; $A7, US_national_yearly!$D:$AM, MATCH(Keys!$C$7, US_national_yearly!$D$1:$AM$1, 0), FALSE), 1)</f>
        <v>1.1879367347280125E-3</v>
      </c>
      <c r="Q7" s="12">
        <f>$B7 * IFERROR(VLOOKUP(Substitution!$M$9 &amp; $A7, US_national_yearly!$D:$AM, MATCH(Q$1, US_national_yearly!$D$1:$AM$1, 0), FALSE) / VLOOKUP(Substitution!$M$9 &amp; $A7, US_national_yearly!$D:$AM, MATCH(Keys!$C$7, US_national_yearly!$D$1:$AM$1, 0), FALSE), 1)</f>
        <v>1.1928491792298035E-3</v>
      </c>
      <c r="R7" s="12">
        <f>$B7 * IFERROR(VLOOKUP(Substitution!$M$9 &amp; $A7, US_national_yearly!$D:$AM, MATCH(R$1, US_national_yearly!$D$1:$AM$1, 0), FALSE) / VLOOKUP(Substitution!$M$9 &amp; $A7, US_national_yearly!$D:$AM, MATCH(Keys!$C$7, US_national_yearly!$D$1:$AM$1, 0), FALSE), 1)</f>
        <v>1.197761623731594E-3</v>
      </c>
      <c r="S7" s="12">
        <f>$B7 * IFERROR(VLOOKUP(Substitution!$M$9 &amp; $A7, US_national_yearly!$D:$AM, MATCH(S$1, US_national_yearly!$D$1:$AM$1, 0), FALSE) / VLOOKUP(Substitution!$M$9 &amp; $A7, US_national_yearly!$D:$AM, MATCH(Keys!$C$7, US_national_yearly!$D$1:$AM$1, 0), FALSE), 1)</f>
        <v>1.2038903506400166E-3</v>
      </c>
      <c r="T7" s="12">
        <f>$B7 * IFERROR(VLOOKUP(Substitution!$M$9 &amp; $A7, US_national_yearly!$D:$AM, MATCH(T$1, US_national_yearly!$D$1:$AM$1, 0), FALSE) / VLOOKUP(Substitution!$M$9 &amp; $A7, US_national_yearly!$D:$AM, MATCH(Keys!$C$7, US_national_yearly!$D$1:$AM$1, 0), FALSE), 1)</f>
        <v>1.2100190775484387E-3</v>
      </c>
      <c r="U7" s="12">
        <f>$B7 * IFERROR(VLOOKUP(Substitution!$M$9 &amp; $A7, US_national_yearly!$D:$AM, MATCH(U$1, US_national_yearly!$D$1:$AM$1, 0), FALSE) / VLOOKUP(Substitution!$M$9 &amp; $A7, US_national_yearly!$D:$AM, MATCH(Keys!$C$7, US_national_yearly!$D$1:$AM$1, 0), FALSE), 1)</f>
        <v>1.216147804456861E-3</v>
      </c>
      <c r="V7" s="12">
        <f>$B7 * IFERROR(VLOOKUP(Substitution!$M$9 &amp; $A7, US_national_yearly!$D:$AM, MATCH(V$1, US_national_yearly!$D$1:$AM$1, 0), FALSE) / VLOOKUP(Substitution!$M$9 &amp; $A7, US_national_yearly!$D:$AM, MATCH(Keys!$C$7, US_national_yearly!$D$1:$AM$1, 0), FALSE), 1)</f>
        <v>1.2222765313652832E-3</v>
      </c>
      <c r="W7" s="12">
        <f>$B7 * IFERROR(VLOOKUP(Substitution!$M$9 &amp; $A7, US_national_yearly!$D:$AM, MATCH(W$1, US_national_yearly!$D$1:$AM$1, 0), FALSE) / VLOOKUP(Substitution!$M$9 &amp; $A7, US_national_yearly!$D:$AM, MATCH(Keys!$C$7, US_national_yearly!$D$1:$AM$1, 0), FALSE), 1)</f>
        <v>1.2284052582737055E-3</v>
      </c>
      <c r="X7" s="12">
        <f>$B7 * IFERROR(VLOOKUP(Substitution!$M$9 &amp; $A7, US_national_yearly!$D:$AM, MATCH(X$1, US_national_yearly!$D$1:$AM$1, 0), FALSE) / VLOOKUP(Substitution!$M$9 &amp; $A7, US_national_yearly!$D:$AM, MATCH(Keys!$C$7, US_national_yearly!$D$1:$AM$1, 0), FALSE), 1)</f>
        <v>1.2340516952813565E-3</v>
      </c>
      <c r="Y7" s="12">
        <f>$B7 * IFERROR(VLOOKUP(Substitution!$M$9 &amp; $A7, US_national_yearly!$D:$AM, MATCH(Y$1, US_national_yearly!$D$1:$AM$1, 0), FALSE) / VLOOKUP(Substitution!$M$9 &amp; $A7, US_national_yearly!$D:$AM, MATCH(Keys!$C$7, US_national_yearly!$D$1:$AM$1, 0), FALSE), 1)</f>
        <v>1.2396981322890077E-3</v>
      </c>
      <c r="Z7" s="12">
        <f>$B7 * IFERROR(VLOOKUP(Substitution!$M$9 &amp; $A7, US_national_yearly!$D:$AM, MATCH(Z$1, US_national_yearly!$D$1:$AM$1, 0), FALSE) / VLOOKUP(Substitution!$M$9 &amp; $A7, US_national_yearly!$D:$AM, MATCH(Keys!$C$7, US_national_yearly!$D$1:$AM$1, 0), FALSE), 1)</f>
        <v>1.2453445692966587E-3</v>
      </c>
      <c r="AA7" s="12">
        <f>$B7 * IFERROR(VLOOKUP(Substitution!$M$9 &amp; $A7, US_national_yearly!$D:$AM, MATCH(AA$1, US_national_yearly!$D$1:$AM$1, 0), FALSE) / VLOOKUP(Substitution!$M$9 &amp; $A7, US_national_yearly!$D:$AM, MATCH(Keys!$C$7, US_national_yearly!$D$1:$AM$1, 0), FALSE), 1)</f>
        <v>1.2509910063043096E-3</v>
      </c>
      <c r="AB7" s="12">
        <f>$B7 * IFERROR(VLOOKUP(Substitution!$M$9 &amp; $A7, US_national_yearly!$D:$AM, MATCH(AB$1, US_national_yearly!$D$1:$AM$1, 0), FALSE) / VLOOKUP(Substitution!$M$9 &amp; $A7, US_national_yearly!$D:$AM, MATCH(Keys!$C$7, US_national_yearly!$D$1:$AM$1, 0), FALSE), 1)</f>
        <v>1.2566374433119608E-3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Substitution!$G$9)/IFERROR(SUMIFS(COBRA_aggregated!$W:$W, COBRA_aggregated!$A:$A, About!$B$1, COBRA_aggregated!$B:$B, Substitution!$G$9), 1)</f>
        <v>1.632491444432321E-3</v>
      </c>
      <c r="C8" s="12">
        <f>$B8 * IFERROR(VLOOKUP(Substitution!$M$9 &amp; $A8, US_national_yearly!$D:$AM, MATCH(C$1, US_national_yearly!$D$1:$AM$1, 0), FALSE) / VLOOKUP(Substitution!$M$9 &amp; $A8, US_national_yearly!$D:$AM, MATCH(Keys!$C$7, US_national_yearly!$D$1:$AM$1, 0), FALSE), 1)</f>
        <v>1.6549034802388527E-3</v>
      </c>
      <c r="D8" s="12">
        <f>$B8 * IFERROR(VLOOKUP(Substitution!$M$9 &amp; $A8, US_national_yearly!$D:$AM, MATCH(D$1, US_national_yearly!$D$1:$AM$1, 0), FALSE) / VLOOKUP(Substitution!$M$9 &amp; $A8, US_national_yearly!$D:$AM, MATCH(Keys!$C$7, US_national_yearly!$D$1:$AM$1, 0), FALSE), 1)</f>
        <v>1.6773155160453841E-3</v>
      </c>
      <c r="E8" s="12">
        <f>$B8 * IFERROR(VLOOKUP(Substitution!$M$9 &amp; $A8, US_national_yearly!$D:$AM, MATCH(E$1, US_national_yearly!$D$1:$AM$1, 0), FALSE) / VLOOKUP(Substitution!$M$9 &amp; $A8, US_national_yearly!$D:$AM, MATCH(Keys!$C$7, US_national_yearly!$D$1:$AM$1, 0), FALSE), 1)</f>
        <v>1.6997275518519158E-3</v>
      </c>
      <c r="F8" s="12">
        <f>$B8 * IFERROR(VLOOKUP(Substitution!$M$9 &amp; $A8, US_national_yearly!$D:$AM, MATCH(F$1, US_national_yearly!$D$1:$AM$1, 0), FALSE) / VLOOKUP(Substitution!$M$9 &amp; $A8, US_national_yearly!$D:$AM, MATCH(Keys!$C$7, US_national_yearly!$D$1:$AM$1, 0), FALSE), 1)</f>
        <v>1.7221395876584476E-3</v>
      </c>
      <c r="G8" s="12">
        <f>$B8 * IFERROR(VLOOKUP(Substitution!$M$9 &amp; $A8, US_national_yearly!$D:$AM, MATCH(G$1, US_national_yearly!$D$1:$AM$1, 0), FALSE) / VLOOKUP(Substitution!$M$9 &amp; $A8, US_national_yearly!$D:$AM, MATCH(Keys!$C$7, US_national_yearly!$D$1:$AM$1, 0), FALSE), 1)</f>
        <v>1.7403617611014661E-3</v>
      </c>
      <c r="H8" s="12">
        <f>$B8 * IFERROR(VLOOKUP(Substitution!$M$9 &amp; $A8, US_national_yearly!$D:$AM, MATCH(H$1, US_national_yearly!$D$1:$AM$1, 0), FALSE) / VLOOKUP(Substitution!$M$9 &amp; $A8, US_national_yearly!$D:$AM, MATCH(Keys!$C$7, US_national_yearly!$D$1:$AM$1, 0), FALSE), 1)</f>
        <v>1.7585839345444852E-3</v>
      </c>
      <c r="I8" s="12">
        <f>$B8 * IFERROR(VLOOKUP(Substitution!$M$9 &amp; $A8, US_national_yearly!$D:$AM, MATCH(I$1, US_national_yearly!$D$1:$AM$1, 0), FALSE) / VLOOKUP(Substitution!$M$9 &amp; $A8, US_national_yearly!$D:$AM, MATCH(Keys!$C$7, US_national_yearly!$D$1:$AM$1, 0), FALSE), 1)</f>
        <v>1.7653578096208464E-3</v>
      </c>
      <c r="J8" s="12">
        <f>$B8 * IFERROR(VLOOKUP(Substitution!$M$9 &amp; $A8, US_national_yearly!$D:$AM, MATCH(J$1, US_national_yearly!$D$1:$AM$1, 0), FALSE) / VLOOKUP(Substitution!$M$9 &amp; $A8, US_national_yearly!$D:$AM, MATCH(Keys!$C$7, US_national_yearly!$D$1:$AM$1, 0), FALSE), 1)</f>
        <v>1.7721316846972079E-3</v>
      </c>
      <c r="K8" s="12">
        <f>$B8 * IFERROR(VLOOKUP(Substitution!$M$9 &amp; $A8, US_national_yearly!$D:$AM, MATCH(K$1, US_national_yearly!$D$1:$AM$1, 0), FALSE) / VLOOKUP(Substitution!$M$9 &amp; $A8, US_national_yearly!$D:$AM, MATCH(Keys!$C$7, US_national_yearly!$D$1:$AM$1, 0), FALSE), 1)</f>
        <v>1.7789055597735701E-3</v>
      </c>
      <c r="L8" s="12">
        <f>$B8 * IFERROR(VLOOKUP(Substitution!$M$9 &amp; $A8, US_national_yearly!$D:$AM, MATCH(L$1, US_national_yearly!$D$1:$AM$1, 0), FALSE) / VLOOKUP(Substitution!$M$9 &amp; $A8, US_national_yearly!$D:$AM, MATCH(Keys!$C$7, US_national_yearly!$D$1:$AM$1, 0), FALSE), 1)</f>
        <v>1.7856794348499315E-3</v>
      </c>
      <c r="M8" s="12">
        <f>$B8 * IFERROR(VLOOKUP(Substitution!$M$9 &amp; $A8, US_national_yearly!$D:$AM, MATCH(M$1, US_national_yearly!$D$1:$AM$1, 0), FALSE) / VLOOKUP(Substitution!$M$9 &amp; $A8, US_national_yearly!$D:$AM, MATCH(Keys!$C$7, US_national_yearly!$D$1:$AM$1, 0), FALSE), 1)</f>
        <v>1.792453309926293E-3</v>
      </c>
      <c r="N8" s="12">
        <f>$B8 * IFERROR(VLOOKUP(Substitution!$M$9 &amp; $A8, US_national_yearly!$D:$AM, MATCH(N$1, US_national_yearly!$D$1:$AM$1, 0), FALSE) / VLOOKUP(Substitution!$M$9 &amp; $A8, US_national_yearly!$D:$AM, MATCH(Keys!$C$7, US_national_yearly!$D$1:$AM$1, 0), FALSE), 1)</f>
        <v>1.7999587070885764E-3</v>
      </c>
      <c r="O8" s="12">
        <f>$B8 * IFERROR(VLOOKUP(Substitution!$M$9 &amp; $A8, US_national_yearly!$D:$AM, MATCH(O$1, US_national_yearly!$D$1:$AM$1, 0), FALSE) / VLOOKUP(Substitution!$M$9 &amp; $A8, US_national_yearly!$D:$AM, MATCH(Keys!$C$7, US_national_yearly!$D$1:$AM$1, 0), FALSE), 1)</f>
        <v>1.8074641042508603E-3</v>
      </c>
      <c r="P8" s="12">
        <f>$B8 * IFERROR(VLOOKUP(Substitution!$M$9 &amp; $A8, US_national_yearly!$D:$AM, MATCH(P$1, US_national_yearly!$D$1:$AM$1, 0), FALSE) / VLOOKUP(Substitution!$M$9 &amp; $A8, US_national_yearly!$D:$AM, MATCH(Keys!$C$7, US_national_yearly!$D$1:$AM$1, 0), FALSE), 1)</f>
        <v>1.8149695014131441E-3</v>
      </c>
      <c r="Q8" s="12">
        <f>$B8 * IFERROR(VLOOKUP(Substitution!$M$9 &amp; $A8, US_national_yearly!$D:$AM, MATCH(Q$1, US_national_yearly!$D$1:$AM$1, 0), FALSE) / VLOOKUP(Substitution!$M$9 &amp; $A8, US_national_yearly!$D:$AM, MATCH(Keys!$C$7, US_national_yearly!$D$1:$AM$1, 0), FALSE), 1)</f>
        <v>1.8224748985754275E-3</v>
      </c>
      <c r="R8" s="12">
        <f>$B8 * IFERROR(VLOOKUP(Substitution!$M$9 &amp; $A8, US_national_yearly!$D:$AM, MATCH(R$1, US_national_yearly!$D$1:$AM$1, 0), FALSE) / VLOOKUP(Substitution!$M$9 &amp; $A8, US_national_yearly!$D:$AM, MATCH(Keys!$C$7, US_national_yearly!$D$1:$AM$1, 0), FALSE), 1)</f>
        <v>1.8299802957377109E-3</v>
      </c>
      <c r="S8" s="12">
        <f>$B8 * IFERROR(VLOOKUP(Substitution!$M$9 &amp; $A8, US_national_yearly!$D:$AM, MATCH(S$1, US_national_yearly!$D$1:$AM$1, 0), FALSE) / VLOOKUP(Substitution!$M$9 &amp; $A8, US_national_yearly!$D:$AM, MATCH(Keys!$C$7, US_national_yearly!$D$1:$AM$1, 0), FALSE), 1)</f>
        <v>1.8393439698566859E-3</v>
      </c>
      <c r="T8" s="12">
        <f>$B8 * IFERROR(VLOOKUP(Substitution!$M$9 &amp; $A8, US_national_yearly!$D:$AM, MATCH(T$1, US_national_yearly!$D$1:$AM$1, 0), FALSE) / VLOOKUP(Substitution!$M$9 &amp; $A8, US_national_yearly!$D:$AM, MATCH(Keys!$C$7, US_national_yearly!$D$1:$AM$1, 0), FALSE), 1)</f>
        <v>1.8487076439756606E-3</v>
      </c>
      <c r="U8" s="12">
        <f>$B8 * IFERROR(VLOOKUP(Substitution!$M$9 &amp; $A8, US_national_yearly!$D:$AM, MATCH(U$1, US_national_yearly!$D$1:$AM$1, 0), FALSE) / VLOOKUP(Substitution!$M$9 &amp; $A8, US_national_yearly!$D:$AM, MATCH(Keys!$C$7, US_national_yearly!$D$1:$AM$1, 0), FALSE), 1)</f>
        <v>1.858071318094635E-3</v>
      </c>
      <c r="V8" s="12">
        <f>$B8 * IFERROR(VLOOKUP(Substitution!$M$9 &amp; $A8, US_national_yearly!$D:$AM, MATCH(V$1, US_national_yearly!$D$1:$AM$1, 0), FALSE) / VLOOKUP(Substitution!$M$9 &amp; $A8, US_national_yearly!$D:$AM, MATCH(Keys!$C$7, US_national_yearly!$D$1:$AM$1, 0), FALSE), 1)</f>
        <v>1.8674349922136099E-3</v>
      </c>
      <c r="W8" s="12">
        <f>$B8 * IFERROR(VLOOKUP(Substitution!$M$9 &amp; $A8, US_national_yearly!$D:$AM, MATCH(W$1, US_national_yearly!$D$1:$AM$1, 0), FALSE) / VLOOKUP(Substitution!$M$9 &amp; $A8, US_national_yearly!$D:$AM, MATCH(Keys!$C$7, US_national_yearly!$D$1:$AM$1, 0), FALSE), 1)</f>
        <v>1.8767986663325846E-3</v>
      </c>
      <c r="X8" s="12">
        <f>$B8 * IFERROR(VLOOKUP(Substitution!$M$9 &amp; $A8, US_national_yearly!$D:$AM, MATCH(X$1, US_national_yearly!$D$1:$AM$1, 0), FALSE) / VLOOKUP(Substitution!$M$9 &amp; $A8, US_national_yearly!$D:$AM, MATCH(Keys!$C$7, US_national_yearly!$D$1:$AM$1, 0), FALSE), 1)</f>
        <v>1.8854254818011264E-3</v>
      </c>
      <c r="Y8" s="12">
        <f>$B8 * IFERROR(VLOOKUP(Substitution!$M$9 &amp; $A8, US_national_yearly!$D:$AM, MATCH(Y$1, US_national_yearly!$D$1:$AM$1, 0), FALSE) / VLOOKUP(Substitution!$M$9 &amp; $A8, US_national_yearly!$D:$AM, MATCH(Keys!$C$7, US_national_yearly!$D$1:$AM$1, 0), FALSE), 1)</f>
        <v>1.8940522972696685E-3</v>
      </c>
      <c r="Z8" s="12">
        <f>$B8 * IFERROR(VLOOKUP(Substitution!$M$9 &amp; $A8, US_national_yearly!$D:$AM, MATCH(Z$1, US_national_yearly!$D$1:$AM$1, 0), FALSE) / VLOOKUP(Substitution!$M$9 &amp; $A8, US_national_yearly!$D:$AM, MATCH(Keys!$C$7, US_national_yearly!$D$1:$AM$1, 0), FALSE), 1)</f>
        <v>1.90267911273821E-3</v>
      </c>
      <c r="AA8" s="12">
        <f>$B8 * IFERROR(VLOOKUP(Substitution!$M$9 &amp; $A8, US_national_yearly!$D:$AM, MATCH(AA$1, US_national_yearly!$D$1:$AM$1, 0), FALSE) / VLOOKUP(Substitution!$M$9 &amp; $A8, US_national_yearly!$D:$AM, MATCH(Keys!$C$7, US_national_yearly!$D$1:$AM$1, 0), FALSE), 1)</f>
        <v>1.911305928206752E-3</v>
      </c>
      <c r="AB8" s="12">
        <f>$B8 * IFERROR(VLOOKUP(Substitution!$M$9 &amp; $A8, US_national_yearly!$D:$AM, MATCH(AB$1, US_national_yearly!$D$1:$AM$1, 0), FALSE) / VLOOKUP(Substitution!$M$9 &amp; $A8, US_national_yearly!$D:$AM, MATCH(Keys!$C$7, US_national_yearly!$D$1:$AM$1, 0), FALSE), 1)</f>
        <v>1.9199327436752939E-3</v>
      </c>
    </row>
    <row r="9" spans="1:28" x14ac:dyDescent="0.25">
      <c r="A9" s="4" t="s">
        <v>305</v>
      </c>
      <c r="B9" s="12">
        <f>IFERROR(VLOOKUP(Substitution!$M$9 &amp; $A9, US_national_yearly!$D:$AM, MATCH(Keys!$C$7, US_national_yearly!$D$1:$AM$1, 0), FALSE), 0)</f>
        <v>2.6568792158748161E-2</v>
      </c>
      <c r="C9" s="12">
        <f>$B9 * IFERROR(VLOOKUP(Substitution!$M$9 &amp; $A9, US_national_yearly!$D:$AM, MATCH(C$1, US_national_yearly!$D$1:$AM$1, 0), FALSE) / VLOOKUP(Substitution!$M$9 &amp; $A9, US_national_yearly!$D:$AM, MATCH(Keys!$C$7, US_national_yearly!$D$1:$AM$1, 0), FALSE), 1)</f>
        <v>2.6742212395447117E-2</v>
      </c>
      <c r="D9" s="12">
        <f>$B9 * IFERROR(VLOOKUP(Substitution!$M$9 &amp; $A9, US_national_yearly!$D:$AM, MATCH(D$1, US_national_yearly!$D$1:$AM$1, 0), FALSE) / VLOOKUP(Substitution!$M$9 &amp; $A9, US_national_yearly!$D:$AM, MATCH(Keys!$C$7, US_national_yearly!$D$1:$AM$1, 0), FALSE), 1)</f>
        <v>2.691563263214608E-2</v>
      </c>
      <c r="E9" s="12">
        <f>$B9 * IFERROR(VLOOKUP(Substitution!$M$9 &amp; $A9, US_national_yearly!$D:$AM, MATCH(E$1, US_national_yearly!$D$1:$AM$1, 0), FALSE) / VLOOKUP(Substitution!$M$9 &amp; $A9, US_national_yearly!$D:$AM, MATCH(Keys!$C$7, US_national_yearly!$D$1:$AM$1, 0), FALSE), 1)</f>
        <v>2.708905286884504E-2</v>
      </c>
      <c r="F9" s="12">
        <f>$B9 * IFERROR(VLOOKUP(Substitution!$M$9 &amp; $A9, US_national_yearly!$D:$AM, MATCH(F$1, US_national_yearly!$D$1:$AM$1, 0), FALSE) / VLOOKUP(Substitution!$M$9 &amp; $A9, US_national_yearly!$D:$AM, MATCH(Keys!$C$7, US_national_yearly!$D$1:$AM$1, 0), FALSE), 1)</f>
        <v>2.7262473105544003E-2</v>
      </c>
      <c r="G9" s="12">
        <f>$B9 * IFERROR(VLOOKUP(Substitution!$M$9 &amp; $A9, US_national_yearly!$D:$AM, MATCH(G$1, US_national_yearly!$D$1:$AM$1, 0), FALSE) / VLOOKUP(Substitution!$M$9 &amp; $A9, US_national_yearly!$D:$AM, MATCH(Keys!$C$7, US_national_yearly!$D$1:$AM$1, 0), FALSE), 1)</f>
        <v>2.743472392360875E-2</v>
      </c>
      <c r="H9" s="12">
        <f>$B9 * IFERROR(VLOOKUP(Substitution!$M$9 &amp; $A9, US_national_yearly!$D:$AM, MATCH(H$1, US_national_yearly!$D$1:$AM$1, 0), FALSE) / VLOOKUP(Substitution!$M$9 &amp; $A9, US_national_yearly!$D:$AM, MATCH(Keys!$C$7, US_national_yearly!$D$1:$AM$1, 0), FALSE), 1)</f>
        <v>2.7606974741673496E-2</v>
      </c>
      <c r="I9" s="12">
        <f>$B9 * IFERROR(VLOOKUP(Substitution!$M$9 &amp; $A9, US_national_yearly!$D:$AM, MATCH(I$1, US_national_yearly!$D$1:$AM$1, 0), FALSE) / VLOOKUP(Substitution!$M$9 &amp; $A9, US_national_yearly!$D:$AM, MATCH(Keys!$C$7, US_national_yearly!$D$1:$AM$1, 0), FALSE), 1)</f>
        <v>2.7759697924814863E-2</v>
      </c>
      <c r="J9" s="12">
        <f>$B9 * IFERROR(VLOOKUP(Substitution!$M$9 &amp; $A9, US_national_yearly!$D:$AM, MATCH(J$1, US_national_yearly!$D$1:$AM$1, 0), FALSE) / VLOOKUP(Substitution!$M$9 &amp; $A9, US_national_yearly!$D:$AM, MATCH(Keys!$C$7, US_national_yearly!$D$1:$AM$1, 0), FALSE), 1)</f>
        <v>2.7912421107956224E-2</v>
      </c>
      <c r="K9" s="12">
        <f>$B9 * IFERROR(VLOOKUP(Substitution!$M$9 &amp; $A9, US_national_yearly!$D:$AM, MATCH(K$1, US_national_yearly!$D$1:$AM$1, 0), FALSE) / VLOOKUP(Substitution!$M$9 &amp; $A9, US_national_yearly!$D:$AM, MATCH(Keys!$C$7, US_national_yearly!$D$1:$AM$1, 0), FALSE), 1)</f>
        <v>2.806514429109758E-2</v>
      </c>
      <c r="L9" s="12">
        <f>$B9 * IFERROR(VLOOKUP(Substitution!$M$9 &amp; $A9, US_national_yearly!$D:$AM, MATCH(L$1, US_national_yearly!$D$1:$AM$1, 0), FALSE) / VLOOKUP(Substitution!$M$9 &amp; $A9, US_national_yearly!$D:$AM, MATCH(Keys!$C$7, US_national_yearly!$D$1:$AM$1, 0), FALSE), 1)</f>
        <v>2.821786747423894E-2</v>
      </c>
      <c r="M9" s="12">
        <f>$B9 * IFERROR(VLOOKUP(Substitution!$M$9 &amp; $A9, US_national_yearly!$D:$AM, MATCH(M$1, US_national_yearly!$D$1:$AM$1, 0), FALSE) / VLOOKUP(Substitution!$M$9 &amp; $A9, US_national_yearly!$D:$AM, MATCH(Keys!$C$7, US_national_yearly!$D$1:$AM$1, 0), FALSE), 1)</f>
        <v>2.8370590657380301E-2</v>
      </c>
      <c r="N9" s="12">
        <f>$B9 * IFERROR(VLOOKUP(Substitution!$M$9 &amp; $A9, US_national_yearly!$D:$AM, MATCH(N$1, US_national_yearly!$D$1:$AM$1, 0), FALSE) / VLOOKUP(Substitution!$M$9 &amp; $A9, US_national_yearly!$D:$AM, MATCH(Keys!$C$7, US_national_yearly!$D$1:$AM$1, 0), FALSE), 1)</f>
        <v>2.8506678547504001E-2</v>
      </c>
      <c r="O9" s="12">
        <f>$B9 * IFERROR(VLOOKUP(Substitution!$M$9 &amp; $A9, US_national_yearly!$D:$AM, MATCH(O$1, US_national_yearly!$D$1:$AM$1, 0), FALSE) / VLOOKUP(Substitution!$M$9 &amp; $A9, US_national_yearly!$D:$AM, MATCH(Keys!$C$7, US_national_yearly!$D$1:$AM$1, 0), FALSE), 1)</f>
        <v>2.8642766437627698E-2</v>
      </c>
      <c r="P9" s="12">
        <f>$B9 * IFERROR(VLOOKUP(Substitution!$M$9 &amp; $A9, US_national_yearly!$D:$AM, MATCH(P$1, US_national_yearly!$D$1:$AM$1, 0), FALSE) / VLOOKUP(Substitution!$M$9 &amp; $A9, US_national_yearly!$D:$AM, MATCH(Keys!$C$7, US_national_yearly!$D$1:$AM$1, 0), FALSE), 1)</f>
        <v>2.8778854327751398E-2</v>
      </c>
      <c r="Q9" s="12">
        <f>$B9 * IFERROR(VLOOKUP(Substitution!$M$9 &amp; $A9, US_national_yearly!$D:$AM, MATCH(Q$1, US_national_yearly!$D$1:$AM$1, 0), FALSE) / VLOOKUP(Substitution!$M$9 &amp; $A9, US_national_yearly!$D:$AM, MATCH(Keys!$C$7, US_national_yearly!$D$1:$AM$1, 0), FALSE), 1)</f>
        <v>2.8914942217875099E-2</v>
      </c>
      <c r="R9" s="12">
        <f>$B9 * IFERROR(VLOOKUP(Substitution!$M$9 &amp; $A9, US_national_yearly!$D:$AM, MATCH(R$1, US_national_yearly!$D$1:$AM$1, 0), FALSE) / VLOOKUP(Substitution!$M$9 &amp; $A9, US_national_yearly!$D:$AM, MATCH(Keys!$C$7, US_national_yearly!$D$1:$AM$1, 0), FALSE), 1)</f>
        <v>2.9051030107998799E-2</v>
      </c>
      <c r="S9" s="12">
        <f>$B9 * IFERROR(VLOOKUP(Substitution!$M$9 &amp; $A9, US_national_yearly!$D:$AM, MATCH(S$1, US_national_yearly!$D$1:$AM$1, 0), FALSE) / VLOOKUP(Substitution!$M$9 &amp; $A9, US_national_yearly!$D:$AM, MATCH(Keys!$C$7, US_national_yearly!$D$1:$AM$1, 0), FALSE), 1)</f>
        <v>2.9175350432999705E-2</v>
      </c>
      <c r="T9" s="12">
        <f>$B9 * IFERROR(VLOOKUP(Substitution!$M$9 &amp; $A9, US_national_yearly!$D:$AM, MATCH(T$1, US_national_yearly!$D$1:$AM$1, 0), FALSE) / VLOOKUP(Substitution!$M$9 &amp; $A9, US_national_yearly!$D:$AM, MATCH(Keys!$C$7, US_national_yearly!$D$1:$AM$1, 0), FALSE), 1)</f>
        <v>2.9299670758000603E-2</v>
      </c>
      <c r="U9" s="12">
        <f>$B9 * IFERROR(VLOOKUP(Substitution!$M$9 &amp; $A9, US_national_yearly!$D:$AM, MATCH(U$1, US_national_yearly!$D$1:$AM$1, 0), FALSE) / VLOOKUP(Substitution!$M$9 &amp; $A9, US_national_yearly!$D:$AM, MATCH(Keys!$C$7, US_national_yearly!$D$1:$AM$1, 0), FALSE), 1)</f>
        <v>2.9423991083001502E-2</v>
      </c>
      <c r="V9" s="12">
        <f>$B9 * IFERROR(VLOOKUP(Substitution!$M$9 &amp; $A9, US_national_yearly!$D:$AM, MATCH(V$1, US_national_yearly!$D$1:$AM$1, 0), FALSE) / VLOOKUP(Substitution!$M$9 &amp; $A9, US_national_yearly!$D:$AM, MATCH(Keys!$C$7, US_national_yearly!$D$1:$AM$1, 0), FALSE), 1)</f>
        <v>2.95483114080024E-2</v>
      </c>
      <c r="W9" s="12">
        <f>$B9 * IFERROR(VLOOKUP(Substitution!$M$9 &amp; $A9, US_national_yearly!$D:$AM, MATCH(W$1, US_national_yearly!$D$1:$AM$1, 0), FALSE) / VLOOKUP(Substitution!$M$9 &amp; $A9, US_national_yearly!$D:$AM, MATCH(Keys!$C$7, US_national_yearly!$D$1:$AM$1, 0), FALSE), 1)</f>
        <v>2.9672631733003298E-2</v>
      </c>
      <c r="X9" s="12">
        <f>$B9 * IFERROR(VLOOKUP(Substitution!$M$9 &amp; $A9, US_national_yearly!$D:$AM, MATCH(X$1, US_national_yearly!$D$1:$AM$1, 0), FALSE) / VLOOKUP(Substitution!$M$9 &amp; $A9, US_national_yearly!$D:$AM, MATCH(Keys!$C$7, US_national_yearly!$D$1:$AM$1, 0), FALSE), 1)</f>
        <v>2.9787830532402401E-2</v>
      </c>
      <c r="Y9" s="12">
        <f>$B9 * IFERROR(VLOOKUP(Substitution!$M$9 &amp; $A9, US_national_yearly!$D:$AM, MATCH(Y$1, US_national_yearly!$D$1:$AM$1, 0), FALSE) / VLOOKUP(Substitution!$M$9 &amp; $A9, US_national_yearly!$D:$AM, MATCH(Keys!$C$7, US_national_yearly!$D$1:$AM$1, 0), FALSE), 1)</f>
        <v>2.9903029331801501E-2</v>
      </c>
      <c r="Z9" s="12">
        <f>$B9 * IFERROR(VLOOKUP(Substitution!$M$9 &amp; $A9, US_national_yearly!$D:$AM, MATCH(Z$1, US_national_yearly!$D$1:$AM$1, 0), FALSE) / VLOOKUP(Substitution!$M$9 &amp; $A9, US_national_yearly!$D:$AM, MATCH(Keys!$C$7, US_national_yearly!$D$1:$AM$1, 0), FALSE), 1)</f>
        <v>3.00182281312006E-2</v>
      </c>
      <c r="AA9" s="12">
        <f>$B9 * IFERROR(VLOOKUP(Substitution!$M$9 &amp; $A9, US_national_yearly!$D:$AM, MATCH(AA$1, US_national_yearly!$D$1:$AM$1, 0), FALSE) / VLOOKUP(Substitution!$M$9 &amp; $A9, US_national_yearly!$D:$AM, MATCH(Keys!$C$7, US_national_yearly!$D$1:$AM$1, 0), FALSE), 1)</f>
        <v>3.0133426930599703E-2</v>
      </c>
      <c r="AB9" s="12">
        <f>$B9 * IFERROR(VLOOKUP(Substitution!$M$9 &amp; $A9, US_national_yearly!$D:$AM, MATCH(AB$1, US_national_yearly!$D$1:$AM$1, 0), FALSE) / VLOOKUP(Substitution!$M$9 &amp; $A9, US_national_yearly!$D:$AM, MATCH(Keys!$C$7, US_national_yearly!$D$1:$AM$1, 0), FALSE), 1)</f>
        <v>3.0248625729998799E-2</v>
      </c>
    </row>
    <row r="10" spans="1:28" x14ac:dyDescent="0.25">
      <c r="A10" s="4" t="s">
        <v>307</v>
      </c>
      <c r="B10" s="12">
        <f>IFERROR(VLOOKUP(Substitution!$M$9 &amp; $A10, US_national_yearly!$D:$AM, MATCH(Keys!$C$7, US_national_yearly!$D$1:$AM$1, 0), FALSE), 0)</f>
        <v>0.17066653584578881</v>
      </c>
      <c r="C10" s="12">
        <f>$B10 * IFERROR(VLOOKUP(Substitution!$M$9 &amp; $A10, US_national_yearly!$D:$AM, MATCH(C$1, US_national_yearly!$D$1:$AM$1, 0), FALSE) / VLOOKUP(Substitution!$M$9 &amp; $A10, US_national_yearly!$D:$AM, MATCH(Keys!$C$7, US_national_yearly!$D$1:$AM$1, 0), FALSE), 1)</f>
        <v>0.17228442387459461</v>
      </c>
      <c r="D10" s="12">
        <f>$B10 * IFERROR(VLOOKUP(Substitution!$M$9 &amp; $A10, US_national_yearly!$D:$AM, MATCH(D$1, US_national_yearly!$D$1:$AM$1, 0), FALSE) / VLOOKUP(Substitution!$M$9 &amp; $A10, US_national_yearly!$D:$AM, MATCH(Keys!$C$7, US_national_yearly!$D$1:$AM$1, 0), FALSE), 1)</f>
        <v>0.17390231190340039</v>
      </c>
      <c r="E10" s="12">
        <f>$B10 * IFERROR(VLOOKUP(Substitution!$M$9 &amp; $A10, US_national_yearly!$D:$AM, MATCH(E$1, US_national_yearly!$D$1:$AM$1, 0), FALSE) / VLOOKUP(Substitution!$M$9 &amp; $A10, US_national_yearly!$D:$AM, MATCH(Keys!$C$7, US_national_yearly!$D$1:$AM$1, 0), FALSE), 1)</f>
        <v>0.17552019993220622</v>
      </c>
      <c r="F10" s="12">
        <f>$B10 * IFERROR(VLOOKUP(Substitution!$M$9 &amp; $A10, US_national_yearly!$D:$AM, MATCH(F$1, US_national_yearly!$D$1:$AM$1, 0), FALSE) / VLOOKUP(Substitution!$M$9 &amp; $A10, US_national_yearly!$D:$AM, MATCH(Keys!$C$7, US_national_yearly!$D$1:$AM$1, 0), FALSE), 1)</f>
        <v>0.17713808796101196</v>
      </c>
      <c r="G10" s="12">
        <f>$B10 * IFERROR(VLOOKUP(Substitution!$M$9 &amp; $A10, US_national_yearly!$D:$AM, MATCH(G$1, US_national_yearly!$D$1:$AM$1, 0), FALSE) / VLOOKUP(Substitution!$M$9 &amp; $A10, US_national_yearly!$D:$AM, MATCH(Keys!$C$7, US_national_yearly!$D$1:$AM$1, 0), FALSE), 1)</f>
        <v>0.17893542862912801</v>
      </c>
      <c r="H10" s="12">
        <f>$B10 * IFERROR(VLOOKUP(Substitution!$M$9 &amp; $A10, US_national_yearly!$D:$AM, MATCH(H$1, US_national_yearly!$D$1:$AM$1, 0), FALSE) / VLOOKUP(Substitution!$M$9 &amp; $A10, US_national_yearly!$D:$AM, MATCH(Keys!$C$7, US_national_yearly!$D$1:$AM$1, 0), FALSE), 1)</f>
        <v>0.18073276929724399</v>
      </c>
      <c r="I10" s="12">
        <f>$B10 * IFERROR(VLOOKUP(Substitution!$M$9 &amp; $A10, US_national_yearly!$D:$AM, MATCH(I$1, US_national_yearly!$D$1:$AM$1, 0), FALSE) / VLOOKUP(Substitution!$M$9 &amp; $A10, US_national_yearly!$D:$AM, MATCH(Keys!$C$7, US_national_yearly!$D$1:$AM$1, 0), FALSE), 1)</f>
        <v>0.18213960336081719</v>
      </c>
      <c r="J10" s="12">
        <f>$B10 * IFERROR(VLOOKUP(Substitution!$M$9 &amp; $A10, US_national_yearly!$D:$AM, MATCH(J$1, US_national_yearly!$D$1:$AM$1, 0), FALSE) / VLOOKUP(Substitution!$M$9 &amp; $A10, US_national_yearly!$D:$AM, MATCH(Keys!$C$7, US_national_yearly!$D$1:$AM$1, 0), FALSE), 1)</f>
        <v>0.18354643742439042</v>
      </c>
      <c r="K10" s="12">
        <f>$B10 * IFERROR(VLOOKUP(Substitution!$M$9 &amp; $A10, US_national_yearly!$D:$AM, MATCH(K$1, US_national_yearly!$D$1:$AM$1, 0), FALSE) / VLOOKUP(Substitution!$M$9 &amp; $A10, US_national_yearly!$D:$AM, MATCH(Keys!$C$7, US_national_yearly!$D$1:$AM$1, 0), FALSE), 1)</f>
        <v>0.18495327148796359</v>
      </c>
      <c r="L10" s="12">
        <f>$B10 * IFERROR(VLOOKUP(Substitution!$M$9 &amp; $A10, US_national_yearly!$D:$AM, MATCH(L$1, US_national_yearly!$D$1:$AM$1, 0), FALSE) / VLOOKUP(Substitution!$M$9 &amp; $A10, US_national_yearly!$D:$AM, MATCH(Keys!$C$7, US_national_yearly!$D$1:$AM$1, 0), FALSE), 1)</f>
        <v>0.18636010555153679</v>
      </c>
      <c r="M10" s="12">
        <f>$B10 * IFERROR(VLOOKUP(Substitution!$M$9 &amp; $A10, US_national_yearly!$D:$AM, MATCH(M$1, US_national_yearly!$D$1:$AM$1, 0), FALSE) / VLOOKUP(Substitution!$M$9 &amp; $A10, US_national_yearly!$D:$AM, MATCH(Keys!$C$7, US_national_yearly!$D$1:$AM$1, 0), FALSE), 1)</f>
        <v>0.18776693961511001</v>
      </c>
      <c r="N10" s="12">
        <f>$B10 * IFERROR(VLOOKUP(Substitution!$M$9 &amp; $A10, US_national_yearly!$D:$AM, MATCH(N$1, US_national_yearly!$D$1:$AM$1, 0), FALSE) / VLOOKUP(Substitution!$M$9 &amp; $A10, US_national_yearly!$D:$AM, MATCH(Keys!$C$7, US_national_yearly!$D$1:$AM$1, 0), FALSE), 1)</f>
        <v>0.18853840046842718</v>
      </c>
      <c r="O10" s="12">
        <f>$B10 * IFERROR(VLOOKUP(Substitution!$M$9 &amp; $A10, US_national_yearly!$D:$AM, MATCH(O$1, US_national_yearly!$D$1:$AM$1, 0), FALSE) / VLOOKUP(Substitution!$M$9 &amp; $A10, US_national_yearly!$D:$AM, MATCH(Keys!$C$7, US_national_yearly!$D$1:$AM$1, 0), FALSE), 1)</f>
        <v>0.18930986132174443</v>
      </c>
      <c r="P10" s="12">
        <f>$B10 * IFERROR(VLOOKUP(Substitution!$M$9 &amp; $A10, US_national_yearly!$D:$AM, MATCH(P$1, US_national_yearly!$D$1:$AM$1, 0), FALSE) / VLOOKUP(Substitution!$M$9 &amp; $A10, US_national_yearly!$D:$AM, MATCH(Keys!$C$7, US_national_yearly!$D$1:$AM$1, 0), FALSE), 1)</f>
        <v>0.1900813221750616</v>
      </c>
      <c r="Q10" s="12">
        <f>$B10 * IFERROR(VLOOKUP(Substitution!$M$9 &amp; $A10, US_national_yearly!$D:$AM, MATCH(Q$1, US_national_yearly!$D$1:$AM$1, 0), FALSE) / VLOOKUP(Substitution!$M$9 &amp; $A10, US_national_yearly!$D:$AM, MATCH(Keys!$C$7, US_national_yearly!$D$1:$AM$1, 0), FALSE), 1)</f>
        <v>0.1908527830283788</v>
      </c>
      <c r="R10" s="12">
        <f>$B10 * IFERROR(VLOOKUP(Substitution!$M$9 &amp; $A10, US_national_yearly!$D:$AM, MATCH(R$1, US_national_yearly!$D$1:$AM$1, 0), FALSE) / VLOOKUP(Substitution!$M$9 &amp; $A10, US_national_yearly!$D:$AM, MATCH(Keys!$C$7, US_national_yearly!$D$1:$AM$1, 0), FALSE), 1)</f>
        <v>0.19162424388169599</v>
      </c>
      <c r="S10" s="12">
        <f>$B10 * IFERROR(VLOOKUP(Substitution!$M$9 &amp; $A10, US_national_yearly!$D:$AM, MATCH(S$1, US_national_yearly!$D$1:$AM$1, 0), FALSE) / VLOOKUP(Substitution!$M$9 &amp; $A10, US_national_yearly!$D:$AM, MATCH(Keys!$C$7, US_national_yearly!$D$1:$AM$1, 0), FALSE), 1)</f>
        <v>0.19247415093125897</v>
      </c>
      <c r="T10" s="12">
        <f>$B10 * IFERROR(VLOOKUP(Substitution!$M$9 &amp; $A10, US_national_yearly!$D:$AM, MATCH(T$1, US_national_yearly!$D$1:$AM$1, 0), FALSE) / VLOOKUP(Substitution!$M$9 &amp; $A10, US_national_yearly!$D:$AM, MATCH(Keys!$C$7, US_national_yearly!$D$1:$AM$1, 0), FALSE), 1)</f>
        <v>0.193324057980822</v>
      </c>
      <c r="U10" s="12">
        <f>$B10 * IFERROR(VLOOKUP(Substitution!$M$9 &amp; $A10, US_national_yearly!$D:$AM, MATCH(U$1, US_national_yearly!$D$1:$AM$1, 0), FALSE) / VLOOKUP(Substitution!$M$9 &amp; $A10, US_national_yearly!$D:$AM, MATCH(Keys!$C$7, US_national_yearly!$D$1:$AM$1, 0), FALSE), 1)</f>
        <v>0.194173965030385</v>
      </c>
      <c r="V10" s="12">
        <f>$B10 * IFERROR(VLOOKUP(Substitution!$M$9 &amp; $A10, US_national_yearly!$D:$AM, MATCH(V$1, US_national_yearly!$D$1:$AM$1, 0), FALSE) / VLOOKUP(Substitution!$M$9 &amp; $A10, US_national_yearly!$D:$AM, MATCH(Keys!$C$7, US_national_yearly!$D$1:$AM$1, 0), FALSE), 1)</f>
        <v>0.19502387207994801</v>
      </c>
      <c r="W10" s="12">
        <f>$B10 * IFERROR(VLOOKUP(Substitution!$M$9 &amp; $A10, US_national_yearly!$D:$AM, MATCH(W$1, US_national_yearly!$D$1:$AM$1, 0), FALSE) / VLOOKUP(Substitution!$M$9 &amp; $A10, US_national_yearly!$D:$AM, MATCH(Keys!$C$7, US_national_yearly!$D$1:$AM$1, 0), FALSE), 1)</f>
        <v>0.19587377912951101</v>
      </c>
      <c r="X10" s="12">
        <f>$B10 * IFERROR(VLOOKUP(Substitution!$M$9 &amp; $A10, US_national_yearly!$D:$AM, MATCH(X$1, US_national_yearly!$D$1:$AM$1, 0), FALSE) / VLOOKUP(Substitution!$M$9 &amp; $A10, US_national_yearly!$D:$AM, MATCH(Keys!$C$7, US_national_yearly!$D$1:$AM$1, 0), FALSE), 1)</f>
        <v>0.1967360563486662</v>
      </c>
      <c r="Y10" s="12">
        <f>$B10 * IFERROR(VLOOKUP(Substitution!$M$9 &amp; $A10, US_national_yearly!$D:$AM, MATCH(Y$1, US_national_yearly!$D$1:$AM$1, 0), FALSE) / VLOOKUP(Substitution!$M$9 &amp; $A10, US_national_yearly!$D:$AM, MATCH(Keys!$C$7, US_national_yearly!$D$1:$AM$1, 0), FALSE), 1)</f>
        <v>0.19759833356782139</v>
      </c>
      <c r="Z10" s="12">
        <f>$B10 * IFERROR(VLOOKUP(Substitution!$M$9 &amp; $A10, US_national_yearly!$D:$AM, MATCH(Z$1, US_national_yearly!$D$1:$AM$1, 0), FALSE) / VLOOKUP(Substitution!$M$9 &amp; $A10, US_national_yearly!$D:$AM, MATCH(Keys!$C$7, US_national_yearly!$D$1:$AM$1, 0), FALSE), 1)</f>
        <v>0.1984606107869766</v>
      </c>
      <c r="AA10" s="12">
        <f>$B10 * IFERROR(VLOOKUP(Substitution!$M$9 &amp; $A10, US_national_yearly!$D:$AM, MATCH(AA$1, US_national_yearly!$D$1:$AM$1, 0), FALSE) / VLOOKUP(Substitution!$M$9 &amp; $A10, US_national_yearly!$D:$AM, MATCH(Keys!$C$7, US_national_yearly!$D$1:$AM$1, 0), FALSE), 1)</f>
        <v>0.19932288800613179</v>
      </c>
      <c r="AB10" s="12">
        <f>$B10 * IFERROR(VLOOKUP(Substitution!$M$9 &amp; $A10, US_national_yearly!$D:$AM, MATCH(AB$1, US_national_yearly!$D$1:$AM$1, 0), FALSE) / VLOOKUP(Substitution!$M$9 &amp; $A10, US_national_yearly!$D:$AM, MATCH(Keys!$C$7, US_national_yearly!$D$1:$AM$1, 0), FALSE), 1)</f>
        <v>0.20018516522528701</v>
      </c>
    </row>
    <row r="11" spans="1:28" x14ac:dyDescent="0.25">
      <c r="A11" s="4" t="s">
        <v>309</v>
      </c>
      <c r="B11" s="12">
        <f>IFERROR(VLOOKUP(Substitution!$M$9 &amp; $A11, US_national_yearly!$D:$AM, MATCH(Keys!$C$7, US_national_yearly!$D$1:$AM$1, 0), FALSE), 0)</f>
        <v>1.0383807501547739E-2</v>
      </c>
      <c r="C11" s="12">
        <f>$B11 * IFERROR(VLOOKUP(Substitution!$M$9 &amp; $A11, US_national_yearly!$D:$AM, MATCH(C$1, US_national_yearly!$D$1:$AM$1, 0), FALSE) / VLOOKUP(Substitution!$M$9 &amp; $A11, US_national_yearly!$D:$AM, MATCH(Keys!$C$7, US_national_yearly!$D$1:$AM$1, 0), FALSE), 1)</f>
        <v>1.048787440294028E-2</v>
      </c>
      <c r="D11" s="12">
        <f>$B11 * IFERROR(VLOOKUP(Substitution!$M$9 &amp; $A11, US_national_yearly!$D:$AM, MATCH(D$1, US_national_yearly!$D$1:$AM$1, 0), FALSE) / VLOOKUP(Substitution!$M$9 &amp; $A11, US_national_yearly!$D:$AM, MATCH(Keys!$C$7, US_national_yearly!$D$1:$AM$1, 0), FALSE), 1)</f>
        <v>1.059194130433282E-2</v>
      </c>
      <c r="E11" s="12">
        <f>$B11 * IFERROR(VLOOKUP(Substitution!$M$9 &amp; $A11, US_national_yearly!$D:$AM, MATCH(E$1, US_national_yearly!$D$1:$AM$1, 0), FALSE) / VLOOKUP(Substitution!$M$9 &amp; $A11, US_national_yearly!$D:$AM, MATCH(Keys!$C$7, US_national_yearly!$D$1:$AM$1, 0), FALSE), 1)</f>
        <v>1.069600820572536E-2</v>
      </c>
      <c r="F11" s="12">
        <f>$B11 * IFERROR(VLOOKUP(Substitution!$M$9 &amp; $A11, US_national_yearly!$D:$AM, MATCH(F$1, US_national_yearly!$D$1:$AM$1, 0), FALSE) / VLOOKUP(Substitution!$M$9 &amp; $A11, US_national_yearly!$D:$AM, MATCH(Keys!$C$7, US_national_yearly!$D$1:$AM$1, 0), FALSE), 1)</f>
        <v>1.0800075107117902E-2</v>
      </c>
      <c r="G11" s="12">
        <f>$B11 * IFERROR(VLOOKUP(Substitution!$M$9 &amp; $A11, US_national_yearly!$D:$AM, MATCH(G$1, US_national_yearly!$D$1:$AM$1, 0), FALSE) / VLOOKUP(Substitution!$M$9 &amp; $A11, US_national_yearly!$D:$AM, MATCH(Keys!$C$7, US_national_yearly!$D$1:$AM$1, 0), FALSE), 1)</f>
        <v>1.09082108422341E-2</v>
      </c>
      <c r="H11" s="12">
        <f>$B11 * IFERROR(VLOOKUP(Substitution!$M$9 &amp; $A11, US_national_yearly!$D:$AM, MATCH(H$1, US_national_yearly!$D$1:$AM$1, 0), FALSE) / VLOOKUP(Substitution!$M$9 &amp; $A11, US_national_yearly!$D:$AM, MATCH(Keys!$C$7, US_national_yearly!$D$1:$AM$1, 0), FALSE), 1)</f>
        <v>1.1016346577350299E-2</v>
      </c>
      <c r="I11" s="12">
        <f>$B11 * IFERROR(VLOOKUP(Substitution!$M$9 &amp; $A11, US_national_yearly!$D:$AM, MATCH(I$1, US_national_yearly!$D$1:$AM$1, 0), FALSE) / VLOOKUP(Substitution!$M$9 &amp; $A11, US_national_yearly!$D:$AM, MATCH(Keys!$C$7, US_national_yearly!$D$1:$AM$1, 0), FALSE), 1)</f>
        <v>1.111890621461202E-2</v>
      </c>
      <c r="J11" s="12">
        <f>$B11 * IFERROR(VLOOKUP(Substitution!$M$9 &amp; $A11, US_national_yearly!$D:$AM, MATCH(J$1, US_national_yearly!$D$1:$AM$1, 0), FALSE) / VLOOKUP(Substitution!$M$9 &amp; $A11, US_national_yearly!$D:$AM, MATCH(Keys!$C$7, US_national_yearly!$D$1:$AM$1, 0), FALSE), 1)</f>
        <v>1.122146585187374E-2</v>
      </c>
      <c r="K11" s="12">
        <f>$B11 * IFERROR(VLOOKUP(Substitution!$M$9 &amp; $A11, US_national_yearly!$D:$AM, MATCH(K$1, US_national_yearly!$D$1:$AM$1, 0), FALSE) / VLOOKUP(Substitution!$M$9 &amp; $A11, US_national_yearly!$D:$AM, MATCH(Keys!$C$7, US_national_yearly!$D$1:$AM$1, 0), FALSE), 1)</f>
        <v>1.1324025489135459E-2</v>
      </c>
      <c r="L11" s="12">
        <f>$B11 * IFERROR(VLOOKUP(Substitution!$M$9 &amp; $A11, US_national_yearly!$D:$AM, MATCH(L$1, US_national_yearly!$D$1:$AM$1, 0), FALSE) / VLOOKUP(Substitution!$M$9 &amp; $A11, US_national_yearly!$D:$AM, MATCH(Keys!$C$7, US_national_yearly!$D$1:$AM$1, 0), FALSE), 1)</f>
        <v>1.142658512639718E-2</v>
      </c>
      <c r="M11" s="12">
        <f>$B11 * IFERROR(VLOOKUP(Substitution!$M$9 &amp; $A11, US_national_yearly!$D:$AM, MATCH(M$1, US_national_yearly!$D$1:$AM$1, 0), FALSE) / VLOOKUP(Substitution!$M$9 &amp; $A11, US_national_yearly!$D:$AM, MATCH(Keys!$C$7, US_national_yearly!$D$1:$AM$1, 0), FALSE), 1)</f>
        <v>1.15291447636589E-2</v>
      </c>
      <c r="N11" s="12">
        <f>$B11 * IFERROR(VLOOKUP(Substitution!$M$9 &amp; $A11, US_national_yearly!$D:$AM, MATCH(N$1, US_national_yearly!$D$1:$AM$1, 0), FALSE) / VLOOKUP(Substitution!$M$9 &amp; $A11, US_national_yearly!$D:$AM, MATCH(Keys!$C$7, US_national_yearly!$D$1:$AM$1, 0), FALSE), 1)</f>
        <v>1.1617304915560678E-2</v>
      </c>
      <c r="O11" s="12">
        <f>$B11 * IFERROR(VLOOKUP(Substitution!$M$9 &amp; $A11, US_national_yearly!$D:$AM, MATCH(O$1, US_national_yearly!$D$1:$AM$1, 0), FALSE) / VLOOKUP(Substitution!$M$9 &amp; $A11, US_national_yearly!$D:$AM, MATCH(Keys!$C$7, US_national_yearly!$D$1:$AM$1, 0), FALSE), 1)</f>
        <v>1.1705465067462459E-2</v>
      </c>
      <c r="P11" s="12">
        <f>$B11 * IFERROR(VLOOKUP(Substitution!$M$9 &amp; $A11, US_national_yearly!$D:$AM, MATCH(P$1, US_national_yearly!$D$1:$AM$1, 0), FALSE) / VLOOKUP(Substitution!$M$9 &amp; $A11, US_national_yearly!$D:$AM, MATCH(Keys!$C$7, US_national_yearly!$D$1:$AM$1, 0), FALSE), 1)</f>
        <v>1.1793625219364241E-2</v>
      </c>
      <c r="Q11" s="12">
        <f>$B11 * IFERROR(VLOOKUP(Substitution!$M$9 &amp; $A11, US_national_yearly!$D:$AM, MATCH(Q$1, US_national_yearly!$D$1:$AM$1, 0), FALSE) / VLOOKUP(Substitution!$M$9 &amp; $A11, US_national_yearly!$D:$AM, MATCH(Keys!$C$7, US_national_yearly!$D$1:$AM$1, 0), FALSE), 1)</f>
        <v>1.1881785371266019E-2</v>
      </c>
      <c r="R11" s="12">
        <f>$B11 * IFERROR(VLOOKUP(Substitution!$M$9 &amp; $A11, US_national_yearly!$D:$AM, MATCH(R$1, US_national_yearly!$D$1:$AM$1, 0), FALSE) / VLOOKUP(Substitution!$M$9 &amp; $A11, US_national_yearly!$D:$AM, MATCH(Keys!$C$7, US_national_yearly!$D$1:$AM$1, 0), FALSE), 1)</f>
        <v>1.19699455231678E-2</v>
      </c>
      <c r="S11" s="12">
        <f>$B11 * IFERROR(VLOOKUP(Substitution!$M$9 &amp; $A11, US_national_yearly!$D:$AM, MATCH(S$1, US_national_yearly!$D$1:$AM$1, 0), FALSE) / VLOOKUP(Substitution!$M$9 &amp; $A11, US_national_yearly!$D:$AM, MATCH(Keys!$C$7, US_national_yearly!$D$1:$AM$1, 0), FALSE), 1)</f>
        <v>1.204675688614892E-2</v>
      </c>
      <c r="T11" s="12">
        <f>$B11 * IFERROR(VLOOKUP(Substitution!$M$9 &amp; $A11, US_national_yearly!$D:$AM, MATCH(T$1, US_national_yearly!$D$1:$AM$1, 0), FALSE) / VLOOKUP(Substitution!$M$9 &amp; $A11, US_national_yearly!$D:$AM, MATCH(Keys!$C$7, US_national_yearly!$D$1:$AM$1, 0), FALSE), 1)</f>
        <v>1.2123568249130041E-2</v>
      </c>
      <c r="U11" s="12">
        <f>$B11 * IFERROR(VLOOKUP(Substitution!$M$9 &amp; $A11, US_national_yearly!$D:$AM, MATCH(U$1, US_national_yearly!$D$1:$AM$1, 0), FALSE) / VLOOKUP(Substitution!$M$9 &amp; $A11, US_national_yearly!$D:$AM, MATCH(Keys!$C$7, US_national_yearly!$D$1:$AM$1, 0), FALSE), 1)</f>
        <v>1.2200379612111159E-2</v>
      </c>
      <c r="V11" s="12">
        <f>$B11 * IFERROR(VLOOKUP(Substitution!$M$9 &amp; $A11, US_national_yearly!$D:$AM, MATCH(V$1, US_national_yearly!$D$1:$AM$1, 0), FALSE) / VLOOKUP(Substitution!$M$9 &amp; $A11, US_national_yearly!$D:$AM, MATCH(Keys!$C$7, US_national_yearly!$D$1:$AM$1, 0), FALSE), 1)</f>
        <v>1.227719097509228E-2</v>
      </c>
      <c r="W11" s="12">
        <f>$B11 * IFERROR(VLOOKUP(Substitution!$M$9 &amp; $A11, US_national_yearly!$D:$AM, MATCH(W$1, US_national_yearly!$D$1:$AM$1, 0), FALSE) / VLOOKUP(Substitution!$M$9 &amp; $A11, US_national_yearly!$D:$AM, MATCH(Keys!$C$7, US_national_yearly!$D$1:$AM$1, 0), FALSE), 1)</f>
        <v>1.23540023380734E-2</v>
      </c>
      <c r="X11" s="12">
        <f>$B11 * IFERROR(VLOOKUP(Substitution!$M$9 &amp; $A11, US_national_yearly!$D:$AM, MATCH(X$1, US_national_yearly!$D$1:$AM$1, 0), FALSE) / VLOOKUP(Substitution!$M$9 &amp; $A11, US_national_yearly!$D:$AM, MATCH(Keys!$C$7, US_national_yearly!$D$1:$AM$1, 0), FALSE), 1)</f>
        <v>1.24260140841664E-2</v>
      </c>
      <c r="Y11" s="12">
        <f>$B11 * IFERROR(VLOOKUP(Substitution!$M$9 &amp; $A11, US_national_yearly!$D:$AM, MATCH(Y$1, US_national_yearly!$D$1:$AM$1, 0), FALSE) / VLOOKUP(Substitution!$M$9 &amp; $A11, US_national_yearly!$D:$AM, MATCH(Keys!$C$7, US_national_yearly!$D$1:$AM$1, 0), FALSE), 1)</f>
        <v>1.2498025830259401E-2</v>
      </c>
      <c r="Z11" s="12">
        <f>$B11 * IFERROR(VLOOKUP(Substitution!$M$9 &amp; $A11, US_national_yearly!$D:$AM, MATCH(Z$1, US_national_yearly!$D$1:$AM$1, 0), FALSE) / VLOOKUP(Substitution!$M$9 &amp; $A11, US_national_yearly!$D:$AM, MATCH(Keys!$C$7, US_national_yearly!$D$1:$AM$1, 0), FALSE), 1)</f>
        <v>1.2570037576352401E-2</v>
      </c>
      <c r="AA11" s="12">
        <f>$B11 * IFERROR(VLOOKUP(Substitution!$M$9 &amp; $A11, US_national_yearly!$D:$AM, MATCH(AA$1, US_national_yearly!$D$1:$AM$1, 0), FALSE) / VLOOKUP(Substitution!$M$9 &amp; $A11, US_national_yearly!$D:$AM, MATCH(Keys!$C$7, US_national_yearly!$D$1:$AM$1, 0), FALSE), 1)</f>
        <v>1.2642049322445399E-2</v>
      </c>
      <c r="AB11" s="12">
        <f>$B11 * IFERROR(VLOOKUP(Substitution!$M$9 &amp; $A11, US_national_yearly!$D:$AM, MATCH(AB$1, US_national_yearly!$D$1:$AM$1, 0), FALSE) / VLOOKUP(Substitution!$M$9 &amp; $A11, US_national_yearly!$D:$AM, MATCH(Keys!$C$7, US_national_yearly!$D$1:$AM$1, 0), FALSE), 1)</f>
        <v>1.2714061068538399E-2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Substitution!$G$9)/IFERROR(SUMIFS(COBRA_aggregated!$W:$W, COBRA_aggregated!$A:$A, About!$B$1, COBRA_aggregated!$B:$B, Substitution!$G$9), 1)</f>
        <v>2.5939359841021008E-5</v>
      </c>
      <c r="C12" s="12">
        <f>$B12 * IFERROR(VLOOKUP(Substitution!$M$9 &amp; $A12, US_national_yearly!$D:$AM, MATCH(C$1, US_national_yearly!$D$1:$AM$1, 0), FALSE) / VLOOKUP(Substitution!$M$9 &amp; $A12, US_national_yearly!$D:$AM, MATCH(Keys!$C$7, US_national_yearly!$D$1:$AM$1, 0), FALSE), 1)</f>
        <v>2.6603710171432534E-5</v>
      </c>
      <c r="D12" s="12">
        <f>$B12 * IFERROR(VLOOKUP(Substitution!$M$9 &amp; $A12, US_national_yearly!$D:$AM, MATCH(D$1, US_national_yearly!$D$1:$AM$1, 0), FALSE) / VLOOKUP(Substitution!$M$9 &amp; $A12, US_national_yearly!$D:$AM, MATCH(Keys!$C$7, US_national_yearly!$D$1:$AM$1, 0), FALSE), 1)</f>
        <v>2.7268060501844068E-5</v>
      </c>
      <c r="E12" s="12">
        <f>$B12 * IFERROR(VLOOKUP(Substitution!$M$9 &amp; $A12, US_national_yearly!$D:$AM, MATCH(E$1, US_national_yearly!$D$1:$AM$1, 0), FALSE) / VLOOKUP(Substitution!$M$9 &amp; $A12, US_national_yearly!$D:$AM, MATCH(Keys!$C$7, US_national_yearly!$D$1:$AM$1, 0), FALSE), 1)</f>
        <v>2.7932410832255595E-5</v>
      </c>
      <c r="F12" s="12">
        <f>$B12 * IFERROR(VLOOKUP(Substitution!$M$9 &amp; $A12, US_national_yearly!$D:$AM, MATCH(F$1, US_national_yearly!$D$1:$AM$1, 0), FALSE) / VLOOKUP(Substitution!$M$9 &amp; $A12, US_national_yearly!$D:$AM, MATCH(Keys!$C$7, US_national_yearly!$D$1:$AM$1, 0), FALSE), 1)</f>
        <v>2.8596761162667118E-5</v>
      </c>
      <c r="G12" s="12">
        <f>$B12 * IFERROR(VLOOKUP(Substitution!$M$9 &amp; $A12, US_national_yearly!$D:$AM, MATCH(G$1, US_national_yearly!$D$1:$AM$1, 0), FALSE) / VLOOKUP(Substitution!$M$9 &amp; $A12, US_national_yearly!$D:$AM, MATCH(Keys!$C$7, US_national_yearly!$D$1:$AM$1, 0), FALSE), 1)</f>
        <v>2.9236300854905309E-5</v>
      </c>
      <c r="H12" s="12">
        <f>$B12 * IFERROR(VLOOKUP(Substitution!$M$9 &amp; $A12, US_national_yearly!$D:$AM, MATCH(H$1, US_national_yearly!$D$1:$AM$1, 0), FALSE) / VLOOKUP(Substitution!$M$9 &amp; $A12, US_national_yearly!$D:$AM, MATCH(Keys!$C$7, US_national_yearly!$D$1:$AM$1, 0), FALSE), 1)</f>
        <v>2.987584054714351E-5</v>
      </c>
      <c r="I12" s="12">
        <f>$B12 * IFERROR(VLOOKUP(Substitution!$M$9 &amp; $A12, US_national_yearly!$D:$AM, MATCH(I$1, US_national_yearly!$D$1:$AM$1, 0), FALSE) / VLOOKUP(Substitution!$M$9 &amp; $A12, US_national_yearly!$D:$AM, MATCH(Keys!$C$7, US_national_yearly!$D$1:$AM$1, 0), FALSE), 1)</f>
        <v>3.0425792068574219E-5</v>
      </c>
      <c r="J12" s="12">
        <f>$B12 * IFERROR(VLOOKUP(Substitution!$M$9 &amp; $A12, US_national_yearly!$D:$AM, MATCH(J$1, US_national_yearly!$D$1:$AM$1, 0), FALSE) / VLOOKUP(Substitution!$M$9 &amp; $A12, US_national_yearly!$D:$AM, MATCH(Keys!$C$7, US_national_yearly!$D$1:$AM$1, 0), FALSE), 1)</f>
        <v>3.0975743590004933E-5</v>
      </c>
      <c r="K12" s="12">
        <f>$B12 * IFERROR(VLOOKUP(Substitution!$M$9 &amp; $A12, US_national_yearly!$D:$AM, MATCH(K$1, US_national_yearly!$D$1:$AM$1, 0), FALSE) / VLOOKUP(Substitution!$M$9 &amp; $A12, US_national_yearly!$D:$AM, MATCH(Keys!$C$7, US_national_yearly!$D$1:$AM$1, 0), FALSE), 1)</f>
        <v>3.1525695111435656E-5</v>
      </c>
      <c r="L12" s="12">
        <f>$B12 * IFERROR(VLOOKUP(Substitution!$M$9 &amp; $A12, US_national_yearly!$D:$AM, MATCH(L$1, US_national_yearly!$D$1:$AM$1, 0), FALSE) / VLOOKUP(Substitution!$M$9 &amp; $A12, US_national_yearly!$D:$AM, MATCH(Keys!$C$7, US_national_yearly!$D$1:$AM$1, 0), FALSE), 1)</f>
        <v>3.2075646632866366E-5</v>
      </c>
      <c r="M12" s="12">
        <f>$B12 * IFERROR(VLOOKUP(Substitution!$M$9 &amp; $A12, US_national_yearly!$D:$AM, MATCH(M$1, US_national_yearly!$D$1:$AM$1, 0), FALSE) / VLOOKUP(Substitution!$M$9 &amp; $A12, US_national_yearly!$D:$AM, MATCH(Keys!$C$7, US_national_yearly!$D$1:$AM$1, 0), FALSE), 1)</f>
        <v>3.2625598154297083E-5</v>
      </c>
      <c r="N12" s="12">
        <f>$B12 * IFERROR(VLOOKUP(Substitution!$M$9 &amp; $A12, US_national_yearly!$D:$AM, MATCH(N$1, US_national_yearly!$D$1:$AM$1, 0), FALSE) / VLOOKUP(Substitution!$M$9 &amp; $A12, US_national_yearly!$D:$AM, MATCH(Keys!$C$7, US_national_yearly!$D$1:$AM$1, 0), FALSE), 1)</f>
        <v>3.300248683772521E-5</v>
      </c>
      <c r="O12" s="12">
        <f>$B12 * IFERROR(VLOOKUP(Substitution!$M$9 &amp; $A12, US_national_yearly!$D:$AM, MATCH(O$1, US_national_yearly!$D$1:$AM$1, 0), FALSE) / VLOOKUP(Substitution!$M$9 &amp; $A12, US_national_yearly!$D:$AM, MATCH(Keys!$C$7, US_national_yearly!$D$1:$AM$1, 0), FALSE), 1)</f>
        <v>3.3379375521153344E-5</v>
      </c>
      <c r="P12" s="12">
        <f>$B12 * IFERROR(VLOOKUP(Substitution!$M$9 &amp; $A12, US_national_yearly!$D:$AM, MATCH(P$1, US_national_yearly!$D$1:$AM$1, 0), FALSE) / VLOOKUP(Substitution!$M$9 &amp; $A12, US_national_yearly!$D:$AM, MATCH(Keys!$C$7, US_national_yearly!$D$1:$AM$1, 0), FALSE), 1)</f>
        <v>3.3756264204581471E-5</v>
      </c>
      <c r="Q12" s="12">
        <f>$B12 * IFERROR(VLOOKUP(Substitution!$M$9 &amp; $A12, US_national_yearly!$D:$AM, MATCH(Q$1, US_national_yearly!$D$1:$AM$1, 0), FALSE) / VLOOKUP(Substitution!$M$9 &amp; $A12, US_national_yearly!$D:$AM, MATCH(Keys!$C$7, US_national_yearly!$D$1:$AM$1, 0), FALSE), 1)</f>
        <v>3.4133152888009605E-5</v>
      </c>
      <c r="R12" s="12">
        <f>$B12 * IFERROR(VLOOKUP(Substitution!$M$9 &amp; $A12, US_national_yearly!$D:$AM, MATCH(R$1, US_national_yearly!$D$1:$AM$1, 0), FALSE) / VLOOKUP(Substitution!$M$9 &amp; $A12, US_national_yearly!$D:$AM, MATCH(Keys!$C$7, US_national_yearly!$D$1:$AM$1, 0), FALSE), 1)</f>
        <v>3.4510041571437732E-5</v>
      </c>
      <c r="S12" s="12">
        <f>$B12 * IFERROR(VLOOKUP(Substitution!$M$9 &amp; $A12, US_national_yearly!$D:$AM, MATCH(S$1, US_national_yearly!$D$1:$AM$1, 0), FALSE) / VLOOKUP(Substitution!$M$9 &amp; $A12, US_national_yearly!$D:$AM, MATCH(Keys!$C$7, US_national_yearly!$D$1:$AM$1, 0), FALSE), 1)</f>
        <v>3.472469170060159E-5</v>
      </c>
      <c r="T12" s="12">
        <f>$B12 * IFERROR(VLOOKUP(Substitution!$M$9 &amp; $A12, US_national_yearly!$D:$AM, MATCH(T$1, US_national_yearly!$D$1:$AM$1, 0), FALSE) / VLOOKUP(Substitution!$M$9 &amp; $A12, US_national_yearly!$D:$AM, MATCH(Keys!$C$7, US_national_yearly!$D$1:$AM$1, 0), FALSE), 1)</f>
        <v>3.4939341829765454E-5</v>
      </c>
      <c r="U12" s="12">
        <f>$B12 * IFERROR(VLOOKUP(Substitution!$M$9 &amp; $A12, US_national_yearly!$D:$AM, MATCH(U$1, US_national_yearly!$D$1:$AM$1, 0), FALSE) / VLOOKUP(Substitution!$M$9 &amp; $A12, US_national_yearly!$D:$AM, MATCH(Keys!$C$7, US_national_yearly!$D$1:$AM$1, 0), FALSE), 1)</f>
        <v>3.5153991958929304E-5</v>
      </c>
      <c r="V12" s="12">
        <f>$B12 * IFERROR(VLOOKUP(Substitution!$M$9 &amp; $A12, US_national_yearly!$D:$AM, MATCH(V$1, US_national_yearly!$D$1:$AM$1, 0), FALSE) / VLOOKUP(Substitution!$M$9 &amp; $A12, US_national_yearly!$D:$AM, MATCH(Keys!$C$7, US_national_yearly!$D$1:$AM$1, 0), FALSE), 1)</f>
        <v>3.5368642088093168E-5</v>
      </c>
      <c r="W12" s="12">
        <f>$B12 * IFERROR(VLOOKUP(Substitution!$M$9 &amp; $A12, US_national_yearly!$D:$AM, MATCH(W$1, US_national_yearly!$D$1:$AM$1, 0), FALSE) / VLOOKUP(Substitution!$M$9 &amp; $A12, US_national_yearly!$D:$AM, MATCH(Keys!$C$7, US_national_yearly!$D$1:$AM$1, 0), FALSE), 1)</f>
        <v>3.5583292217257026E-5</v>
      </c>
      <c r="X12" s="12">
        <f>$B12 * IFERROR(VLOOKUP(Substitution!$M$9 &amp; $A12, US_national_yearly!$D:$AM, MATCH(X$1, US_national_yearly!$D$1:$AM$1, 0), FALSE) / VLOOKUP(Substitution!$M$9 &amp; $A12, US_national_yearly!$D:$AM, MATCH(Keys!$C$7, US_national_yearly!$D$1:$AM$1, 0), FALSE), 1)</f>
        <v>3.5739417042659844E-5</v>
      </c>
      <c r="Y12" s="12">
        <f>$B12 * IFERROR(VLOOKUP(Substitution!$M$9 &amp; $A12, US_national_yearly!$D:$AM, MATCH(Y$1, US_national_yearly!$D$1:$AM$1, 0), FALSE) / VLOOKUP(Substitution!$M$9 &amp; $A12, US_national_yearly!$D:$AM, MATCH(Keys!$C$7, US_national_yearly!$D$1:$AM$1, 0), FALSE), 1)</f>
        <v>3.5895541868062662E-5</v>
      </c>
      <c r="Z12" s="12">
        <f>$B12 * IFERROR(VLOOKUP(Substitution!$M$9 &amp; $A12, US_national_yearly!$D:$AM, MATCH(Z$1, US_national_yearly!$D$1:$AM$1, 0), FALSE) / VLOOKUP(Substitution!$M$9 &amp; $A12, US_national_yearly!$D:$AM, MATCH(Keys!$C$7, US_national_yearly!$D$1:$AM$1, 0), FALSE), 1)</f>
        <v>3.6051666693465487E-5</v>
      </c>
      <c r="AA12" s="12">
        <f>$B12 * IFERROR(VLOOKUP(Substitution!$M$9 &amp; $A12, US_national_yearly!$D:$AM, MATCH(AA$1, US_national_yearly!$D$1:$AM$1, 0), FALSE) / VLOOKUP(Substitution!$M$9 &amp; $A12, US_national_yearly!$D:$AM, MATCH(Keys!$C$7, US_national_yearly!$D$1:$AM$1, 0), FALSE), 1)</f>
        <v>3.6207791518868312E-5</v>
      </c>
      <c r="AB12" s="12">
        <f>$B12 * IFERROR(VLOOKUP(Substitution!$M$9 &amp; $A12, US_national_yearly!$D:$AM, MATCH(AB$1, US_national_yearly!$D$1:$AM$1, 0), FALSE) / VLOOKUP(Substitution!$M$9 &amp; $A12, US_national_yearly!$D:$AM, MATCH(Keys!$C$7, US_national_yearly!$D$1:$AM$1, 0), FALSE), 1)</f>
        <v>3.6363916344271123E-5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Substitution!$G$9)/IFERROR(SUMIFS(COBRA_aggregated!$W:$W, COBRA_aggregated!$A:$A, About!$B$1, COBRA_aggregated!$B:$B, Substitution!$G$9), 1)</f>
        <v>1.6155631020279057E-4</v>
      </c>
      <c r="C13" s="12">
        <f>$B13 * IFERROR(VLOOKUP(Substitution!$M$9 &amp; $A13, US_national_yearly!$D:$AM, MATCH(C$1, US_national_yearly!$D$1:$AM$1, 0), FALSE) / VLOOKUP(Substitution!$M$9 &amp; $A13, US_national_yearly!$D:$AM, MATCH(Keys!$C$7, US_national_yearly!$D$1:$AM$1, 0), FALSE), 1)</f>
        <v>1.6619253122614062E-4</v>
      </c>
      <c r="D13" s="12">
        <f>$B13 * IFERROR(VLOOKUP(Substitution!$M$9 &amp; $A13, US_national_yearly!$D:$AM, MATCH(D$1, US_national_yearly!$D$1:$AM$1, 0), FALSE) / VLOOKUP(Substitution!$M$9 &amp; $A13, US_national_yearly!$D:$AM, MATCH(Keys!$C$7, US_national_yearly!$D$1:$AM$1, 0), FALSE), 1)</f>
        <v>1.7082875224949066E-4</v>
      </c>
      <c r="E13" s="12">
        <f>$B13 * IFERROR(VLOOKUP(Substitution!$M$9 &amp; $A13, US_national_yearly!$D:$AM, MATCH(E$1, US_national_yearly!$D$1:$AM$1, 0), FALSE) / VLOOKUP(Substitution!$M$9 &amp; $A13, US_national_yearly!$D:$AM, MATCH(Keys!$C$7, US_national_yearly!$D$1:$AM$1, 0), FALSE), 1)</f>
        <v>1.754649732728407E-4</v>
      </c>
      <c r="F13" s="12">
        <f>$B13 * IFERROR(VLOOKUP(Substitution!$M$9 &amp; $A13, US_national_yearly!$D:$AM, MATCH(F$1, US_national_yearly!$D$1:$AM$1, 0), FALSE) / VLOOKUP(Substitution!$M$9 &amp; $A13, US_national_yearly!$D:$AM, MATCH(Keys!$C$7, US_national_yearly!$D$1:$AM$1, 0), FALSE), 1)</f>
        <v>1.8010119429619079E-4</v>
      </c>
      <c r="G13" s="12">
        <f>$B13 * IFERROR(VLOOKUP(Substitution!$M$9 &amp; $A13, US_national_yearly!$D:$AM, MATCH(G$1, US_national_yearly!$D$1:$AM$1, 0), FALSE) / VLOOKUP(Substitution!$M$9 &amp; $A13, US_national_yearly!$D:$AM, MATCH(Keys!$C$7, US_national_yearly!$D$1:$AM$1, 0), FALSE), 1)</f>
        <v>1.8446869238431763E-4</v>
      </c>
      <c r="H13" s="12">
        <f>$B13 * IFERROR(VLOOKUP(Substitution!$M$9 &amp; $A13, US_national_yearly!$D:$AM, MATCH(H$1, US_national_yearly!$D$1:$AM$1, 0), FALSE) / VLOOKUP(Substitution!$M$9 &amp; $A13, US_national_yearly!$D:$AM, MATCH(Keys!$C$7, US_national_yearly!$D$1:$AM$1, 0), FALSE), 1)</f>
        <v>1.8883619047244449E-4</v>
      </c>
      <c r="I13" s="12">
        <f>$B13 * IFERROR(VLOOKUP(Substitution!$M$9 &amp; $A13, US_national_yearly!$D:$AM, MATCH(I$1, US_national_yearly!$D$1:$AM$1, 0), FALSE) / VLOOKUP(Substitution!$M$9 &amp; $A13, US_national_yearly!$D:$AM, MATCH(Keys!$C$7, US_national_yearly!$D$1:$AM$1, 0), FALSE), 1)</f>
        <v>1.9233848208233218E-4</v>
      </c>
      <c r="J13" s="12">
        <f>$B13 * IFERROR(VLOOKUP(Substitution!$M$9 &amp; $A13, US_national_yearly!$D:$AM, MATCH(J$1, US_national_yearly!$D$1:$AM$1, 0), FALSE) / VLOOKUP(Substitution!$M$9 &amp; $A13, US_national_yearly!$D:$AM, MATCH(Keys!$C$7, US_national_yearly!$D$1:$AM$1, 0), FALSE), 1)</f>
        <v>1.9584077369221988E-4</v>
      </c>
      <c r="K13" s="12">
        <f>$B13 * IFERROR(VLOOKUP(Substitution!$M$9 &amp; $A13, US_national_yearly!$D:$AM, MATCH(K$1, US_national_yearly!$D$1:$AM$1, 0), FALSE) / VLOOKUP(Substitution!$M$9 &amp; $A13, US_national_yearly!$D:$AM, MATCH(Keys!$C$7, US_national_yearly!$D$1:$AM$1, 0), FALSE), 1)</f>
        <v>1.9934306530210741E-4</v>
      </c>
      <c r="L13" s="12">
        <f>$B13 * IFERROR(VLOOKUP(Substitution!$M$9 &amp; $A13, US_national_yearly!$D:$AM, MATCH(L$1, US_national_yearly!$D$1:$AM$1, 0), FALSE) / VLOOKUP(Substitution!$M$9 &amp; $A13, US_national_yearly!$D:$AM, MATCH(Keys!$C$7, US_national_yearly!$D$1:$AM$1, 0), FALSE), 1)</f>
        <v>2.028453569119951E-4</v>
      </c>
      <c r="M13" s="12">
        <f>$B13 * IFERROR(VLOOKUP(Substitution!$M$9 &amp; $A13, US_national_yearly!$D:$AM, MATCH(M$1, US_national_yearly!$D$1:$AM$1, 0), FALSE) / VLOOKUP(Substitution!$M$9 &amp; $A13, US_national_yearly!$D:$AM, MATCH(Keys!$C$7, US_national_yearly!$D$1:$AM$1, 0), FALSE), 1)</f>
        <v>2.0634764852188285E-4</v>
      </c>
      <c r="N13" s="12">
        <f>$B13 * IFERROR(VLOOKUP(Substitution!$M$9 &amp; $A13, US_national_yearly!$D:$AM, MATCH(N$1, US_national_yearly!$D$1:$AM$1, 0), FALSE) / VLOOKUP(Substitution!$M$9 &amp; $A13, US_national_yearly!$D:$AM, MATCH(Keys!$C$7, US_national_yearly!$D$1:$AM$1, 0), FALSE), 1)</f>
        <v>2.0850758452638457E-4</v>
      </c>
      <c r="O13" s="12">
        <f>$B13 * IFERROR(VLOOKUP(Substitution!$M$9 &amp; $A13, US_national_yearly!$D:$AM, MATCH(O$1, US_national_yearly!$D$1:$AM$1, 0), FALSE) / VLOOKUP(Substitution!$M$9 &amp; $A13, US_national_yearly!$D:$AM, MATCH(Keys!$C$7, US_national_yearly!$D$1:$AM$1, 0), FALSE), 1)</f>
        <v>2.1066752053088637E-4</v>
      </c>
      <c r="P13" s="12">
        <f>$B13 * IFERROR(VLOOKUP(Substitution!$M$9 &amp; $A13, US_national_yearly!$D:$AM, MATCH(P$1, US_national_yearly!$D$1:$AM$1, 0), FALSE) / VLOOKUP(Substitution!$M$9 &amp; $A13, US_national_yearly!$D:$AM, MATCH(Keys!$C$7, US_national_yearly!$D$1:$AM$1, 0), FALSE), 1)</f>
        <v>2.1282745653538812E-4</v>
      </c>
      <c r="Q13" s="12">
        <f>$B13 * IFERROR(VLOOKUP(Substitution!$M$9 &amp; $A13, US_national_yearly!$D:$AM, MATCH(Q$1, US_national_yearly!$D$1:$AM$1, 0), FALSE) / VLOOKUP(Substitution!$M$9 &amp; $A13, US_national_yearly!$D:$AM, MATCH(Keys!$C$7, US_national_yearly!$D$1:$AM$1, 0), FALSE), 1)</f>
        <v>2.149873925398899E-4</v>
      </c>
      <c r="R13" s="12">
        <f>$B13 * IFERROR(VLOOKUP(Substitution!$M$9 &amp; $A13, US_national_yearly!$D:$AM, MATCH(R$1, US_national_yearly!$D$1:$AM$1, 0), FALSE) / VLOOKUP(Substitution!$M$9 &amp; $A13, US_national_yearly!$D:$AM, MATCH(Keys!$C$7, US_national_yearly!$D$1:$AM$1, 0), FALSE), 1)</f>
        <v>2.1714732854439164E-4</v>
      </c>
      <c r="S13" s="12">
        <f>$B13 * IFERROR(VLOOKUP(Substitution!$M$9 &amp; $A13, US_national_yearly!$D:$AM, MATCH(S$1, US_national_yearly!$D$1:$AM$1, 0), FALSE) / VLOOKUP(Substitution!$M$9 &amp; $A13, US_national_yearly!$D:$AM, MATCH(Keys!$C$7, US_national_yearly!$D$1:$AM$1, 0), FALSE), 1)</f>
        <v>2.182026660803275E-4</v>
      </c>
      <c r="T13" s="12">
        <f>$B13 * IFERROR(VLOOKUP(Substitution!$M$9 &amp; $A13, US_national_yearly!$D:$AM, MATCH(T$1, US_national_yearly!$D$1:$AM$1, 0), FALSE) / VLOOKUP(Substitution!$M$9 &amp; $A13, US_national_yearly!$D:$AM, MATCH(Keys!$C$7, US_national_yearly!$D$1:$AM$1, 0), FALSE), 1)</f>
        <v>2.192580036162633E-4</v>
      </c>
      <c r="U13" s="12">
        <f>$B13 * IFERROR(VLOOKUP(Substitution!$M$9 &amp; $A13, US_national_yearly!$D:$AM, MATCH(U$1, US_national_yearly!$D$1:$AM$1, 0), FALSE) / VLOOKUP(Substitution!$M$9 &amp; $A13, US_national_yearly!$D:$AM, MATCH(Keys!$C$7, US_national_yearly!$D$1:$AM$1, 0), FALSE), 1)</f>
        <v>2.2031334115219919E-4</v>
      </c>
      <c r="V13" s="12">
        <f>$B13 * IFERROR(VLOOKUP(Substitution!$M$9 &amp; $A13, US_national_yearly!$D:$AM, MATCH(V$1, US_national_yearly!$D$1:$AM$1, 0), FALSE) / VLOOKUP(Substitution!$M$9 &amp; $A13, US_national_yearly!$D:$AM, MATCH(Keys!$C$7, US_national_yearly!$D$1:$AM$1, 0), FALSE), 1)</f>
        <v>2.2136867868813499E-4</v>
      </c>
      <c r="W13" s="12">
        <f>$B13 * IFERROR(VLOOKUP(Substitution!$M$9 &amp; $A13, US_national_yearly!$D:$AM, MATCH(W$1, US_national_yearly!$D$1:$AM$1, 0), FALSE) / VLOOKUP(Substitution!$M$9 &amp; $A13, US_national_yearly!$D:$AM, MATCH(Keys!$C$7, US_national_yearly!$D$1:$AM$1, 0), FALSE), 1)</f>
        <v>2.2242401622407087E-4</v>
      </c>
      <c r="X13" s="12">
        <f>$B13 * IFERROR(VLOOKUP(Substitution!$M$9 &amp; $A13, US_national_yearly!$D:$AM, MATCH(X$1, US_national_yearly!$D$1:$AM$1, 0), FALSE) / VLOOKUP(Substitution!$M$9 &amp; $A13, US_national_yearly!$D:$AM, MATCH(Keys!$C$7, US_national_yearly!$D$1:$AM$1, 0), FALSE), 1)</f>
        <v>2.2316061377842519E-4</v>
      </c>
      <c r="Y13" s="12">
        <f>$B13 * IFERROR(VLOOKUP(Substitution!$M$9 &amp; $A13, US_national_yearly!$D:$AM, MATCH(Y$1, US_national_yearly!$D$1:$AM$1, 0), FALSE) / VLOOKUP(Substitution!$M$9 &amp; $A13, US_national_yearly!$D:$AM, MATCH(Keys!$C$7, US_national_yearly!$D$1:$AM$1, 0), FALSE), 1)</f>
        <v>2.2389721133277957E-4</v>
      </c>
      <c r="Z13" s="12">
        <f>$B13 * IFERROR(VLOOKUP(Substitution!$M$9 &amp; $A13, US_national_yearly!$D:$AM, MATCH(Z$1, US_national_yearly!$D$1:$AM$1, 0), FALSE) / VLOOKUP(Substitution!$M$9 &amp; $A13, US_national_yearly!$D:$AM, MATCH(Keys!$C$7, US_national_yearly!$D$1:$AM$1, 0), FALSE), 1)</f>
        <v>2.2463380888713388E-4</v>
      </c>
      <c r="AA13" s="12">
        <f>$B13 * IFERROR(VLOOKUP(Substitution!$M$9 &amp; $A13, US_national_yearly!$D:$AM, MATCH(AA$1, US_national_yearly!$D$1:$AM$1, 0), FALSE) / VLOOKUP(Substitution!$M$9 &amp; $A13, US_national_yearly!$D:$AM, MATCH(Keys!$C$7, US_national_yearly!$D$1:$AM$1, 0), FALSE), 1)</f>
        <v>2.2537040644148818E-4</v>
      </c>
      <c r="AB13" s="12">
        <f>$B13 * IFERROR(VLOOKUP(Substitution!$M$9 &amp; $A13, US_national_yearly!$D:$AM, MATCH(AB$1, US_national_yearly!$D$1:$AM$1, 0), FALSE) / VLOOKUP(Substitution!$M$9 &amp; $A13, US_national_yearly!$D:$AM, MATCH(Keys!$C$7, US_national_yearly!$D$1:$AM$1, 0), FALSE), 1)</f>
        <v>2.2610700399584258E-4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Substitution!$G$9)/IFERROR(SUMIFS(COBRA_aggregated!$W:$W, COBRA_aggregated!$A:$A, About!$B$1, COBRA_aggregated!$B:$B, Substitution!$G$9), 1)</f>
        <v>0.10427678902899963</v>
      </c>
      <c r="C14" s="12">
        <f>$B14 * IFERROR(VLOOKUP(Substitution!$M$9 &amp; $A14, US_national_yearly!$D:$AM, MATCH(C$1, US_national_yearly!$D$1:$AM$1, 0), FALSE) / VLOOKUP(Substitution!$M$9 &amp; $A14, US_national_yearly!$D:$AM, MATCH(Keys!$C$7, US_national_yearly!$D$1:$AM$1, 0), FALSE), 1)</f>
        <v>0.10443666811441235</v>
      </c>
      <c r="D14" s="12">
        <f>$B14 * IFERROR(VLOOKUP(Substitution!$M$9 &amp; $A14, US_national_yearly!$D:$AM, MATCH(D$1, US_national_yearly!$D$1:$AM$1, 0), FALSE) / VLOOKUP(Substitution!$M$9 &amp; $A14, US_national_yearly!$D:$AM, MATCH(Keys!$C$7, US_national_yearly!$D$1:$AM$1, 0), FALSE), 1)</f>
        <v>0.10459654719982507</v>
      </c>
      <c r="E14" s="12">
        <f>$B14 * IFERROR(VLOOKUP(Substitution!$M$9 &amp; $A14, US_national_yearly!$D:$AM, MATCH(E$1, US_national_yearly!$D$1:$AM$1, 0), FALSE) / VLOOKUP(Substitution!$M$9 &amp; $A14, US_national_yearly!$D:$AM, MATCH(Keys!$C$7, US_national_yearly!$D$1:$AM$1, 0), FALSE), 1)</f>
        <v>0.10475642628523779</v>
      </c>
      <c r="F14" s="12">
        <f>$B14 * IFERROR(VLOOKUP(Substitution!$M$9 &amp; $A14, US_national_yearly!$D:$AM, MATCH(F$1, US_national_yearly!$D$1:$AM$1, 0), FALSE) / VLOOKUP(Substitution!$M$9 &amp; $A14, US_national_yearly!$D:$AM, MATCH(Keys!$C$7, US_national_yearly!$D$1:$AM$1, 0), FALSE), 1)</f>
        <v>0.10491630537065054</v>
      </c>
      <c r="G14" s="12">
        <f>$B14 * IFERROR(VLOOKUP(Substitution!$M$9 &amp; $A14, US_national_yearly!$D:$AM, MATCH(G$1, US_national_yearly!$D$1:$AM$1, 0), FALSE) / VLOOKUP(Substitution!$M$9 &amp; $A14, US_national_yearly!$D:$AM, MATCH(Keys!$C$7, US_national_yearly!$D$1:$AM$1, 0), FALSE), 1)</f>
        <v>0.10519519036658083</v>
      </c>
      <c r="H14" s="12">
        <f>$B14 * IFERROR(VLOOKUP(Substitution!$M$9 &amp; $A14, US_national_yearly!$D:$AM, MATCH(H$1, US_national_yearly!$D$1:$AM$1, 0), FALSE) / VLOOKUP(Substitution!$M$9 &amp; $A14, US_national_yearly!$D:$AM, MATCH(Keys!$C$7, US_national_yearly!$D$1:$AM$1, 0), FALSE), 1)</f>
        <v>0.1054740753625111</v>
      </c>
      <c r="I14" s="12">
        <f>$B14 * IFERROR(VLOOKUP(Substitution!$M$9 &amp; $A14, US_national_yearly!$D:$AM, MATCH(I$1, US_national_yearly!$D$1:$AM$1, 0), FALSE) / VLOOKUP(Substitution!$M$9 &amp; $A14, US_national_yearly!$D:$AM, MATCH(Keys!$C$7, US_national_yearly!$D$1:$AM$1, 0), FALSE), 1)</f>
        <v>0.10602584743830841</v>
      </c>
      <c r="J14" s="12">
        <f>$B14 * IFERROR(VLOOKUP(Substitution!$M$9 &amp; $A14, US_national_yearly!$D:$AM, MATCH(J$1, US_national_yearly!$D$1:$AM$1, 0), FALSE) / VLOOKUP(Substitution!$M$9 &amp; $A14, US_national_yearly!$D:$AM, MATCH(Keys!$C$7, US_national_yearly!$D$1:$AM$1, 0), FALSE), 1)</f>
        <v>0.10657761951410567</v>
      </c>
      <c r="K14" s="12">
        <f>$B14 * IFERROR(VLOOKUP(Substitution!$M$9 &amp; $A14, US_national_yearly!$D:$AM, MATCH(K$1, US_national_yearly!$D$1:$AM$1, 0), FALSE) / VLOOKUP(Substitution!$M$9 &amp; $A14, US_national_yearly!$D:$AM, MATCH(Keys!$C$7, US_national_yearly!$D$1:$AM$1, 0), FALSE), 1)</f>
        <v>0.10712939158990299</v>
      </c>
      <c r="L14" s="12">
        <f>$B14 * IFERROR(VLOOKUP(Substitution!$M$9 &amp; $A14, US_national_yearly!$D:$AM, MATCH(L$1, US_national_yearly!$D$1:$AM$1, 0), FALSE) / VLOOKUP(Substitution!$M$9 &amp; $A14, US_national_yearly!$D:$AM, MATCH(Keys!$C$7, US_national_yearly!$D$1:$AM$1, 0), FALSE), 1)</f>
        <v>0.10768116366570026</v>
      </c>
      <c r="M14" s="12">
        <f>$B14 * IFERROR(VLOOKUP(Substitution!$M$9 &amp; $A14, US_national_yearly!$D:$AM, MATCH(M$1, US_national_yearly!$D$1:$AM$1, 0), FALSE) / VLOOKUP(Substitution!$M$9 &amp; $A14, US_national_yearly!$D:$AM, MATCH(Keys!$C$7, US_national_yearly!$D$1:$AM$1, 0), FALSE), 1)</f>
        <v>0.10823293574149757</v>
      </c>
      <c r="N14" s="12">
        <f>$B14 * IFERROR(VLOOKUP(Substitution!$M$9 &amp; $A14, US_national_yearly!$D:$AM, MATCH(N$1, US_national_yearly!$D$1:$AM$1, 0), FALSE) / VLOOKUP(Substitution!$M$9 &amp; $A14, US_national_yearly!$D:$AM, MATCH(Keys!$C$7, US_national_yearly!$D$1:$AM$1, 0), FALSE), 1)</f>
        <v>0.10903084452318521</v>
      </c>
      <c r="O14" s="12">
        <f>$B14 * IFERROR(VLOOKUP(Substitution!$M$9 &amp; $A14, US_national_yearly!$D:$AM, MATCH(O$1, US_national_yearly!$D$1:$AM$1, 0), FALSE) / VLOOKUP(Substitution!$M$9 &amp; $A14, US_national_yearly!$D:$AM, MATCH(Keys!$C$7, US_national_yearly!$D$1:$AM$1, 0), FALSE), 1)</f>
        <v>0.10982875330487281</v>
      </c>
      <c r="P14" s="12">
        <f>$B14 * IFERROR(VLOOKUP(Substitution!$M$9 &amp; $A14, US_national_yearly!$D:$AM, MATCH(P$1, US_national_yearly!$D$1:$AM$1, 0), FALSE) / VLOOKUP(Substitution!$M$9 &amp; $A14, US_national_yearly!$D:$AM, MATCH(Keys!$C$7, US_national_yearly!$D$1:$AM$1, 0), FALSE), 1)</f>
        <v>0.11062666208656043</v>
      </c>
      <c r="Q14" s="12">
        <f>$B14 * IFERROR(VLOOKUP(Substitution!$M$9 &amp; $A14, US_national_yearly!$D:$AM, MATCH(Q$1, US_national_yearly!$D$1:$AM$1, 0), FALSE) / VLOOKUP(Substitution!$M$9 &amp; $A14, US_national_yearly!$D:$AM, MATCH(Keys!$C$7, US_national_yearly!$D$1:$AM$1, 0), FALSE), 1)</f>
        <v>0.11142457086824806</v>
      </c>
      <c r="R14" s="12">
        <f>$B14 * IFERROR(VLOOKUP(Substitution!$M$9 &amp; $A14, US_national_yearly!$D:$AM, MATCH(R$1, US_national_yearly!$D$1:$AM$1, 0), FALSE) / VLOOKUP(Substitution!$M$9 &amp; $A14, US_national_yearly!$D:$AM, MATCH(Keys!$C$7, US_national_yearly!$D$1:$AM$1, 0), FALSE), 1)</f>
        <v>0.11222247964993569</v>
      </c>
      <c r="S14" s="12">
        <f>$B14 * IFERROR(VLOOKUP(Substitution!$M$9 &amp; $A14, US_national_yearly!$D:$AM, MATCH(S$1, US_national_yearly!$D$1:$AM$1, 0), FALSE) / VLOOKUP(Substitution!$M$9 &amp; $A14, US_national_yearly!$D:$AM, MATCH(Keys!$C$7, US_national_yearly!$D$1:$AM$1, 0), FALSE), 1)</f>
        <v>0.11302642247508506</v>
      </c>
      <c r="T14" s="12">
        <f>$B14 * IFERROR(VLOOKUP(Substitution!$M$9 &amp; $A14, US_national_yearly!$D:$AM, MATCH(T$1, US_national_yearly!$D$1:$AM$1, 0), FALSE) / VLOOKUP(Substitution!$M$9 &amp; $A14, US_national_yearly!$D:$AM, MATCH(Keys!$C$7, US_national_yearly!$D$1:$AM$1, 0), FALSE), 1)</f>
        <v>0.11383036530023444</v>
      </c>
      <c r="U14" s="12">
        <f>$B14 * IFERROR(VLOOKUP(Substitution!$M$9 &amp; $A14, US_national_yearly!$D:$AM, MATCH(U$1, US_national_yearly!$D$1:$AM$1, 0), FALSE) / VLOOKUP(Substitution!$M$9 &amp; $A14, US_national_yearly!$D:$AM, MATCH(Keys!$C$7, US_national_yearly!$D$1:$AM$1, 0), FALSE), 1)</f>
        <v>0.11463430812538383</v>
      </c>
      <c r="V14" s="12">
        <f>$B14 * IFERROR(VLOOKUP(Substitution!$M$9 &amp; $A14, US_national_yearly!$D:$AM, MATCH(V$1, US_national_yearly!$D$1:$AM$1, 0), FALSE) / VLOOKUP(Substitution!$M$9 &amp; $A14, US_national_yearly!$D:$AM, MATCH(Keys!$C$7, US_national_yearly!$D$1:$AM$1, 0), FALSE), 1)</f>
        <v>0.1154382509505332</v>
      </c>
      <c r="W14" s="12">
        <f>$B14 * IFERROR(VLOOKUP(Substitution!$M$9 &amp; $A14, US_national_yearly!$D:$AM, MATCH(W$1, US_national_yearly!$D$1:$AM$1, 0), FALSE) / VLOOKUP(Substitution!$M$9 &amp; $A14, US_national_yearly!$D:$AM, MATCH(Keys!$C$7, US_national_yearly!$D$1:$AM$1, 0), FALSE), 1)</f>
        <v>0.11624219377568258</v>
      </c>
      <c r="X14" s="12">
        <f>$B14 * IFERROR(VLOOKUP(Substitution!$M$9 &amp; $A14, US_national_yearly!$D:$AM, MATCH(X$1, US_national_yearly!$D$1:$AM$1, 0), FALSE) / VLOOKUP(Substitution!$M$9 &amp; $A14, US_national_yearly!$D:$AM, MATCH(Keys!$C$7, US_national_yearly!$D$1:$AM$1, 0), FALSE), 1)</f>
        <v>0.11692209115560062</v>
      </c>
      <c r="Y14" s="12">
        <f>$B14 * IFERROR(VLOOKUP(Substitution!$M$9 &amp; $A14, US_national_yearly!$D:$AM, MATCH(Y$1, US_national_yearly!$D$1:$AM$1, 0), FALSE) / VLOOKUP(Substitution!$M$9 &amp; $A14, US_national_yearly!$D:$AM, MATCH(Keys!$C$7, US_national_yearly!$D$1:$AM$1, 0), FALSE), 1)</f>
        <v>0.11760198853551861</v>
      </c>
      <c r="Z14" s="12">
        <f>$B14 * IFERROR(VLOOKUP(Substitution!$M$9 &amp; $A14, US_national_yearly!$D:$AM, MATCH(Z$1, US_national_yearly!$D$1:$AM$1, 0), FALSE) / VLOOKUP(Substitution!$M$9 &amp; $A14, US_national_yearly!$D:$AM, MATCH(Keys!$C$7, US_national_yearly!$D$1:$AM$1, 0), FALSE), 1)</f>
        <v>0.11828188591543674</v>
      </c>
      <c r="AA14" s="12">
        <f>$B14 * IFERROR(VLOOKUP(Substitution!$M$9 &amp; $A14, US_national_yearly!$D:$AM, MATCH(AA$1, US_national_yearly!$D$1:$AM$1, 0), FALSE) / VLOOKUP(Substitution!$M$9 &amp; $A14, US_national_yearly!$D:$AM, MATCH(Keys!$C$7, US_national_yearly!$D$1:$AM$1, 0), FALSE), 1)</f>
        <v>0.11896178329535477</v>
      </c>
      <c r="AB14" s="12">
        <f>$B14 * IFERROR(VLOOKUP(Substitution!$M$9 &amp; $A14, US_national_yearly!$D:$AM, MATCH(AB$1, US_national_yearly!$D$1:$AM$1, 0), FALSE) / VLOOKUP(Substitution!$M$9 &amp; $A14, US_national_yearly!$D:$AM, MATCH(Keys!$C$7, US_national_yearly!$D$1:$AM$1, 0), FALSE), 1)</f>
        <v>0.1196416806752728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Substitution!$G$9)/IFERROR(SUMIFS(COBRA_aggregated!$W:$W, COBRA_aggregated!$A:$A, About!$B$1, COBRA_aggregated!$B:$B, Substitution!$G$9), 1)</f>
        <v>1.7562655299858197E-2</v>
      </c>
      <c r="C15" s="12">
        <f>$B15 * IFERROR(VLOOKUP(Substitution!$M$9 &amp; $A15, US_national_yearly!$D:$AM, MATCH(C$1, US_national_yearly!$D$1:$AM$1, 0), FALSE) / VLOOKUP(Substitution!$M$9 &amp; $A15, US_national_yearly!$D:$AM, MATCH(Keys!$C$7, US_national_yearly!$D$1:$AM$1, 0), FALSE), 1)</f>
        <v>1.7601826298076245E-2</v>
      </c>
      <c r="D15" s="12">
        <f>$B15 * IFERROR(VLOOKUP(Substitution!$M$9 &amp; $A15, US_national_yearly!$D:$AM, MATCH(D$1, US_national_yearly!$D$1:$AM$1, 0), FALSE) / VLOOKUP(Substitution!$M$9 &amp; $A15, US_national_yearly!$D:$AM, MATCH(Keys!$C$7, US_national_yearly!$D$1:$AM$1, 0), FALSE), 1)</f>
        <v>1.7640997296294293E-2</v>
      </c>
      <c r="E15" s="12">
        <f>$B15 * IFERROR(VLOOKUP(Substitution!$M$9 &amp; $A15, US_national_yearly!$D:$AM, MATCH(E$1, US_national_yearly!$D$1:$AM$1, 0), FALSE) / VLOOKUP(Substitution!$M$9 &amp; $A15, US_national_yearly!$D:$AM, MATCH(Keys!$C$7, US_national_yearly!$D$1:$AM$1, 0), FALSE), 1)</f>
        <v>1.7680168294512341E-2</v>
      </c>
      <c r="F15" s="12">
        <f>$B15 * IFERROR(VLOOKUP(Substitution!$M$9 &amp; $A15, US_national_yearly!$D:$AM, MATCH(F$1, US_national_yearly!$D$1:$AM$1, 0), FALSE) / VLOOKUP(Substitution!$M$9 &amp; $A15, US_national_yearly!$D:$AM, MATCH(Keys!$C$7, US_national_yearly!$D$1:$AM$1, 0), FALSE), 1)</f>
        <v>1.7719339292730389E-2</v>
      </c>
      <c r="G15" s="12">
        <f>$B15 * IFERROR(VLOOKUP(Substitution!$M$9 &amp; $A15, US_national_yearly!$D:$AM, MATCH(G$1, US_national_yearly!$D$1:$AM$1, 0), FALSE) / VLOOKUP(Substitution!$M$9 &amp; $A15, US_national_yearly!$D:$AM, MATCH(Keys!$C$7, US_national_yearly!$D$1:$AM$1, 0), FALSE), 1)</f>
        <v>1.7774561420586508E-2</v>
      </c>
      <c r="H15" s="12">
        <f>$B15 * IFERROR(VLOOKUP(Substitution!$M$9 &amp; $A15, US_national_yearly!$D:$AM, MATCH(H$1, US_national_yearly!$D$1:$AM$1, 0), FALSE) / VLOOKUP(Substitution!$M$9 &amp; $A15, US_national_yearly!$D:$AM, MATCH(Keys!$C$7, US_national_yearly!$D$1:$AM$1, 0), FALSE), 1)</f>
        <v>1.782978354844262E-2</v>
      </c>
      <c r="I15" s="12">
        <f>$B15 * IFERROR(VLOOKUP(Substitution!$M$9 &amp; $A15, US_national_yearly!$D:$AM, MATCH(I$1, US_national_yearly!$D$1:$AM$1, 0), FALSE) / VLOOKUP(Substitution!$M$9 &amp; $A15, US_national_yearly!$D:$AM, MATCH(Keys!$C$7, US_national_yearly!$D$1:$AM$1, 0), FALSE), 1)</f>
        <v>1.7919449459836728E-2</v>
      </c>
      <c r="J15" s="12">
        <f>$B15 * IFERROR(VLOOKUP(Substitution!$M$9 &amp; $A15, US_national_yearly!$D:$AM, MATCH(J$1, US_national_yearly!$D$1:$AM$1, 0), FALSE) / VLOOKUP(Substitution!$M$9 &amp; $A15, US_national_yearly!$D:$AM, MATCH(Keys!$C$7, US_national_yearly!$D$1:$AM$1, 0), FALSE), 1)</f>
        <v>1.8009115371230833E-2</v>
      </c>
      <c r="K15" s="12">
        <f>$B15 * IFERROR(VLOOKUP(Substitution!$M$9 &amp; $A15, US_national_yearly!$D:$AM, MATCH(K$1, US_national_yearly!$D$1:$AM$1, 0), FALSE) / VLOOKUP(Substitution!$M$9 &amp; $A15, US_national_yearly!$D:$AM, MATCH(Keys!$C$7, US_national_yearly!$D$1:$AM$1, 0), FALSE), 1)</f>
        <v>1.8098781282624939E-2</v>
      </c>
      <c r="L15" s="12">
        <f>$B15 * IFERROR(VLOOKUP(Substitution!$M$9 &amp; $A15, US_national_yearly!$D:$AM, MATCH(L$1, US_national_yearly!$D$1:$AM$1, 0), FALSE) / VLOOKUP(Substitution!$M$9 &amp; $A15, US_national_yearly!$D:$AM, MATCH(Keys!$C$7, US_national_yearly!$D$1:$AM$1, 0), FALSE), 1)</f>
        <v>1.818844719401904E-2</v>
      </c>
      <c r="M15" s="12">
        <f>$B15 * IFERROR(VLOOKUP(Substitution!$M$9 &amp; $A15, US_national_yearly!$D:$AM, MATCH(M$1, US_national_yearly!$D$1:$AM$1, 0), FALSE) / VLOOKUP(Substitution!$M$9 &amp; $A15, US_national_yearly!$D:$AM, MATCH(Keys!$C$7, US_national_yearly!$D$1:$AM$1, 0), FALSE), 1)</f>
        <v>1.8278113105413146E-2</v>
      </c>
      <c r="N15" s="12">
        <f>$B15 * IFERROR(VLOOKUP(Substitution!$M$9 &amp; $A15, US_national_yearly!$D:$AM, MATCH(N$1, US_national_yearly!$D$1:$AM$1, 0), FALSE) / VLOOKUP(Substitution!$M$9 &amp; $A15, US_national_yearly!$D:$AM, MATCH(Keys!$C$7, US_national_yearly!$D$1:$AM$1, 0), FALSE), 1)</f>
        <v>1.8396415534874113E-2</v>
      </c>
      <c r="O15" s="12">
        <f>$B15 * IFERROR(VLOOKUP(Substitution!$M$9 &amp; $A15, US_national_yearly!$D:$AM, MATCH(O$1, US_national_yearly!$D$1:$AM$1, 0), FALSE) / VLOOKUP(Substitution!$M$9 &amp; $A15, US_national_yearly!$D:$AM, MATCH(Keys!$C$7, US_national_yearly!$D$1:$AM$1, 0), FALSE), 1)</f>
        <v>1.8514717964335074E-2</v>
      </c>
      <c r="P15" s="12">
        <f>$B15 * IFERROR(VLOOKUP(Substitution!$M$9 &amp; $A15, US_national_yearly!$D:$AM, MATCH(P$1, US_national_yearly!$D$1:$AM$1, 0), FALSE) / VLOOKUP(Substitution!$M$9 &amp; $A15, US_national_yearly!$D:$AM, MATCH(Keys!$C$7, US_national_yearly!$D$1:$AM$1, 0), FALSE), 1)</f>
        <v>1.8633020393796041E-2</v>
      </c>
      <c r="Q15" s="12">
        <f>$B15 * IFERROR(VLOOKUP(Substitution!$M$9 &amp; $A15, US_national_yearly!$D:$AM, MATCH(Q$1, US_national_yearly!$D$1:$AM$1, 0), FALSE) / VLOOKUP(Substitution!$M$9 &amp; $A15, US_national_yearly!$D:$AM, MATCH(Keys!$C$7, US_national_yearly!$D$1:$AM$1, 0), FALSE), 1)</f>
        <v>1.8751322823257005E-2</v>
      </c>
      <c r="R15" s="12">
        <f>$B15 * IFERROR(VLOOKUP(Substitution!$M$9 &amp; $A15, US_national_yearly!$D:$AM, MATCH(R$1, US_national_yearly!$D$1:$AM$1, 0), FALSE) / VLOOKUP(Substitution!$M$9 &amp; $A15, US_national_yearly!$D:$AM, MATCH(Keys!$C$7, US_national_yearly!$D$1:$AM$1, 0), FALSE), 1)</f>
        <v>1.8869625252717962E-2</v>
      </c>
      <c r="S15" s="12">
        <f>$B15 * IFERROR(VLOOKUP(Substitution!$M$9 &amp; $A15, US_national_yearly!$D:$AM, MATCH(S$1, US_national_yearly!$D$1:$AM$1, 0), FALSE) / VLOOKUP(Substitution!$M$9 &amp; $A15, US_national_yearly!$D:$AM, MATCH(Keys!$C$7, US_national_yearly!$D$1:$AM$1, 0), FALSE), 1)</f>
        <v>1.9002198189576939E-2</v>
      </c>
      <c r="T15" s="12">
        <f>$B15 * IFERROR(VLOOKUP(Substitution!$M$9 &amp; $A15, US_national_yearly!$D:$AM, MATCH(T$1, US_national_yearly!$D$1:$AM$1, 0), FALSE) / VLOOKUP(Substitution!$M$9 &amp; $A15, US_national_yearly!$D:$AM, MATCH(Keys!$C$7, US_national_yearly!$D$1:$AM$1, 0), FALSE), 1)</f>
        <v>1.9134771126435912E-2</v>
      </c>
      <c r="U15" s="12">
        <f>$B15 * IFERROR(VLOOKUP(Substitution!$M$9 &amp; $A15, US_national_yearly!$D:$AM, MATCH(U$1, US_national_yearly!$D$1:$AM$1, 0), FALSE) / VLOOKUP(Substitution!$M$9 &amp; $A15, US_national_yearly!$D:$AM, MATCH(Keys!$C$7, US_national_yearly!$D$1:$AM$1, 0), FALSE), 1)</f>
        <v>1.9267344063294882E-2</v>
      </c>
      <c r="V15" s="12">
        <f>$B15 * IFERROR(VLOOKUP(Substitution!$M$9 &amp; $A15, US_national_yearly!$D:$AM, MATCH(V$1, US_national_yearly!$D$1:$AM$1, 0), FALSE) / VLOOKUP(Substitution!$M$9 &amp; $A15, US_national_yearly!$D:$AM, MATCH(Keys!$C$7, US_national_yearly!$D$1:$AM$1, 0), FALSE), 1)</f>
        <v>1.9399917000153855E-2</v>
      </c>
      <c r="W15" s="12">
        <f>$B15 * IFERROR(VLOOKUP(Substitution!$M$9 &amp; $A15, US_national_yearly!$D:$AM, MATCH(W$1, US_national_yearly!$D$1:$AM$1, 0), FALSE) / VLOOKUP(Substitution!$M$9 &amp; $A15, US_national_yearly!$D:$AM, MATCH(Keys!$C$7, US_national_yearly!$D$1:$AM$1, 0), FALSE), 1)</f>
        <v>1.9532489937012829E-2</v>
      </c>
      <c r="X15" s="12">
        <f>$B15 * IFERROR(VLOOKUP(Substitution!$M$9 &amp; $A15, US_national_yearly!$D:$AM, MATCH(X$1, US_national_yearly!$D$1:$AM$1, 0), FALSE) / VLOOKUP(Substitution!$M$9 &amp; $A15, US_national_yearly!$D:$AM, MATCH(Keys!$C$7, US_national_yearly!$D$1:$AM$1, 0), FALSE), 1)</f>
        <v>1.9648054340067101E-2</v>
      </c>
      <c r="Y15" s="12">
        <f>$B15 * IFERROR(VLOOKUP(Substitution!$M$9 &amp; $A15, US_national_yearly!$D:$AM, MATCH(Y$1, US_national_yearly!$D$1:$AM$1, 0), FALSE) / VLOOKUP(Substitution!$M$9 &amp; $A15, US_national_yearly!$D:$AM, MATCH(Keys!$C$7, US_national_yearly!$D$1:$AM$1, 0), FALSE), 1)</f>
        <v>1.976361874312137E-2</v>
      </c>
      <c r="Z15" s="12">
        <f>$B15 * IFERROR(VLOOKUP(Substitution!$M$9 &amp; $A15, US_national_yearly!$D:$AM, MATCH(Z$1, US_national_yearly!$D$1:$AM$1, 0), FALSE) / VLOOKUP(Substitution!$M$9 &amp; $A15, US_national_yearly!$D:$AM, MATCH(Keys!$C$7, US_national_yearly!$D$1:$AM$1, 0), FALSE), 1)</f>
        <v>1.9879183146175639E-2</v>
      </c>
      <c r="AA15" s="12">
        <f>$B15 * IFERROR(VLOOKUP(Substitution!$M$9 &amp; $A15, US_national_yearly!$D:$AM, MATCH(AA$1, US_national_yearly!$D$1:$AM$1, 0), FALSE) / VLOOKUP(Substitution!$M$9 &amp; $A15, US_national_yearly!$D:$AM, MATCH(Keys!$C$7, US_national_yearly!$D$1:$AM$1, 0), FALSE), 1)</f>
        <v>1.9994747549229915E-2</v>
      </c>
      <c r="AB15" s="12">
        <f>$B15 * IFERROR(VLOOKUP(Substitution!$M$9 &amp; $A15, US_national_yearly!$D:$AM, MATCH(AB$1, US_national_yearly!$D$1:$AM$1, 0), FALSE) / VLOOKUP(Substitution!$M$9 &amp; $A15, US_national_yearly!$D:$AM, MATCH(Keys!$C$7, US_national_yearly!$D$1:$AM$1, 0), FALSE), 1)</f>
        <v>2.0110311952284184E-2</v>
      </c>
    </row>
    <row r="16" spans="1:28" x14ac:dyDescent="0.25">
      <c r="A16" s="4" t="s">
        <v>319</v>
      </c>
      <c r="B16" s="12">
        <f>IFERROR(VLOOKUP(Substitution!$M$9 &amp; $A16, US_national_yearly!$D:$AM, MATCH(Keys!$C$7, US_national_yearly!$D$1:$AM$1, 0), FALSE), 0)</f>
        <v>8.4927611515738094E-5</v>
      </c>
      <c r="C16" s="12">
        <f>$B16 * IFERROR(VLOOKUP(Substitution!$M$9 &amp; $A16, US_national_yearly!$D:$AM, MATCH(C$1, US_national_yearly!$D$1:$AM$1, 0), FALSE) / VLOOKUP(Substitution!$M$9 &amp; $A16, US_national_yearly!$D:$AM, MATCH(Keys!$C$7, US_national_yearly!$D$1:$AM$1, 0), FALSE), 1)</f>
        <v>8.6526659657960191E-5</v>
      </c>
      <c r="D16" s="12">
        <f>$B16 * IFERROR(VLOOKUP(Substitution!$M$9 &amp; $A16, US_national_yearly!$D:$AM, MATCH(D$1, US_national_yearly!$D$1:$AM$1, 0), FALSE) / VLOOKUP(Substitution!$M$9 &amp; $A16, US_national_yearly!$D:$AM, MATCH(Keys!$C$7, US_national_yearly!$D$1:$AM$1, 0), FALSE), 1)</f>
        <v>8.8125707800182303E-5</v>
      </c>
      <c r="E16" s="12">
        <f>$B16 * IFERROR(VLOOKUP(Substitution!$M$9 &amp; $A16, US_national_yearly!$D:$AM, MATCH(E$1, US_national_yearly!$D$1:$AM$1, 0), FALSE) / VLOOKUP(Substitution!$M$9 &amp; $A16, US_national_yearly!$D:$AM, MATCH(Keys!$C$7, US_national_yearly!$D$1:$AM$1, 0), FALSE), 1)</f>
        <v>8.9724755942404401E-5</v>
      </c>
      <c r="F16" s="12">
        <f>$B16 * IFERROR(VLOOKUP(Substitution!$M$9 &amp; $A16, US_national_yearly!$D:$AM, MATCH(F$1, US_national_yearly!$D$1:$AM$1, 0), FALSE) / VLOOKUP(Substitution!$M$9 &amp; $A16, US_national_yearly!$D:$AM, MATCH(Keys!$C$7, US_national_yearly!$D$1:$AM$1, 0), FALSE), 1)</f>
        <v>9.1323804084626498E-5</v>
      </c>
      <c r="G16" s="12">
        <f>$B16 * IFERROR(VLOOKUP(Substitution!$M$9 &amp; $A16, US_national_yearly!$D:$AM, MATCH(G$1, US_national_yearly!$D$1:$AM$1, 0), FALSE) / VLOOKUP(Substitution!$M$9 &amp; $A16, US_national_yearly!$D:$AM, MATCH(Keys!$C$7, US_national_yearly!$D$1:$AM$1, 0), FALSE), 1)</f>
        <v>9.3031120138433257E-5</v>
      </c>
      <c r="H16" s="12">
        <f>$B16 * IFERROR(VLOOKUP(Substitution!$M$9 &amp; $A16, US_national_yearly!$D:$AM, MATCH(H$1, US_national_yearly!$D$1:$AM$1, 0), FALSE) / VLOOKUP(Substitution!$M$9 &amp; $A16, US_national_yearly!$D:$AM, MATCH(Keys!$C$7, US_national_yearly!$D$1:$AM$1, 0), FALSE), 1)</f>
        <v>9.4738436192240002E-5</v>
      </c>
      <c r="I16" s="12">
        <f>$B16 * IFERROR(VLOOKUP(Substitution!$M$9 &amp; $A16, US_national_yearly!$D:$AM, MATCH(I$1, US_national_yearly!$D$1:$AM$1, 0), FALSE) / VLOOKUP(Substitution!$M$9 &amp; $A16, US_national_yearly!$D:$AM, MATCH(Keys!$C$7, US_national_yearly!$D$1:$AM$1, 0), FALSE), 1)</f>
        <v>9.6578596139270607E-5</v>
      </c>
      <c r="J16" s="12">
        <f>$B16 * IFERROR(VLOOKUP(Substitution!$M$9 &amp; $A16, US_national_yearly!$D:$AM, MATCH(J$1, US_national_yearly!$D$1:$AM$1, 0), FALSE) / VLOOKUP(Substitution!$M$9 &amp; $A16, US_national_yearly!$D:$AM, MATCH(Keys!$C$7, US_national_yearly!$D$1:$AM$1, 0), FALSE), 1)</f>
        <v>9.8418756086301199E-5</v>
      </c>
      <c r="K16" s="12">
        <f>$B16 * IFERROR(VLOOKUP(Substitution!$M$9 &amp; $A16, US_national_yearly!$D:$AM, MATCH(K$1, US_national_yearly!$D$1:$AM$1, 0), FALSE) / VLOOKUP(Substitution!$M$9 &amp; $A16, US_national_yearly!$D:$AM, MATCH(Keys!$C$7, US_national_yearly!$D$1:$AM$1, 0), FALSE), 1)</f>
        <v>1.002589160333318E-4</v>
      </c>
      <c r="L16" s="12">
        <f>$B16 * IFERROR(VLOOKUP(Substitution!$M$9 &amp; $A16, US_national_yearly!$D:$AM, MATCH(L$1, US_national_yearly!$D$1:$AM$1, 0), FALSE) / VLOOKUP(Substitution!$M$9 &amp; $A16, US_national_yearly!$D:$AM, MATCH(Keys!$C$7, US_national_yearly!$D$1:$AM$1, 0), FALSE), 1)</f>
        <v>1.020990759803624E-4</v>
      </c>
      <c r="M16" s="12">
        <f>$B16 * IFERROR(VLOOKUP(Substitution!$M$9 &amp; $A16, US_national_yearly!$D:$AM, MATCH(M$1, US_national_yearly!$D$1:$AM$1, 0), FALSE) / VLOOKUP(Substitution!$M$9 &amp; $A16, US_national_yearly!$D:$AM, MATCH(Keys!$C$7, US_national_yearly!$D$1:$AM$1, 0), FALSE), 1)</f>
        <v>1.03939235927393E-4</v>
      </c>
      <c r="N16" s="12">
        <f>$B16 * IFERROR(VLOOKUP(Substitution!$M$9 &amp; $A16, US_national_yearly!$D:$AM, MATCH(N$1, US_national_yearly!$D$1:$AM$1, 0), FALSE) / VLOOKUP(Substitution!$M$9 &amp; $A16, US_national_yearly!$D:$AM, MATCH(Keys!$C$7, US_national_yearly!$D$1:$AM$1, 0), FALSE), 1)</f>
        <v>1.0548097819800639E-4</v>
      </c>
      <c r="O16" s="12">
        <f>$B16 * IFERROR(VLOOKUP(Substitution!$M$9 &amp; $A16, US_national_yearly!$D:$AM, MATCH(O$1, US_national_yearly!$D$1:$AM$1, 0), FALSE) / VLOOKUP(Substitution!$M$9 &amp; $A16, US_national_yearly!$D:$AM, MATCH(Keys!$C$7, US_national_yearly!$D$1:$AM$1, 0), FALSE), 1)</f>
        <v>1.070227204686198E-4</v>
      </c>
      <c r="P16" s="12">
        <f>$B16 * IFERROR(VLOOKUP(Substitution!$M$9 &amp; $A16, US_national_yearly!$D:$AM, MATCH(P$1, US_national_yearly!$D$1:$AM$1, 0), FALSE) / VLOOKUP(Substitution!$M$9 &amp; $A16, US_national_yearly!$D:$AM, MATCH(Keys!$C$7, US_national_yearly!$D$1:$AM$1, 0), FALSE), 1)</f>
        <v>1.0856446273923319E-4</v>
      </c>
      <c r="Q16" s="12">
        <f>$B16 * IFERROR(VLOOKUP(Substitution!$M$9 &amp; $A16, US_national_yearly!$D:$AM, MATCH(Q$1, US_national_yearly!$D$1:$AM$1, 0), FALSE) / VLOOKUP(Substitution!$M$9 &amp; $A16, US_national_yearly!$D:$AM, MATCH(Keys!$C$7, US_national_yearly!$D$1:$AM$1, 0), FALSE), 1)</f>
        <v>1.101062050098466E-4</v>
      </c>
      <c r="R16" s="12">
        <f>$B16 * IFERROR(VLOOKUP(Substitution!$M$9 &amp; $A16, US_national_yearly!$D:$AM, MATCH(R$1, US_national_yearly!$D$1:$AM$1, 0), FALSE) / VLOOKUP(Substitution!$M$9 &amp; $A16, US_national_yearly!$D:$AM, MATCH(Keys!$C$7, US_national_yearly!$D$1:$AM$1, 0), FALSE), 1)</f>
        <v>1.1164794728046002E-4</v>
      </c>
      <c r="S16" s="12">
        <f>$B16 * IFERROR(VLOOKUP(Substitution!$M$9 &amp; $A16, US_national_yearly!$D:$AM, MATCH(S$1, US_national_yearly!$D$1:$AM$1, 0), FALSE) / VLOOKUP(Substitution!$M$9 &amp; $A16, US_national_yearly!$D:$AM, MATCH(Keys!$C$7, US_national_yearly!$D$1:$AM$1, 0), FALSE), 1)</f>
        <v>1.1237568792202239E-4</v>
      </c>
      <c r="T16" s="12">
        <f>$B16 * IFERROR(VLOOKUP(Substitution!$M$9 &amp; $A16, US_national_yearly!$D:$AM, MATCH(T$1, US_national_yearly!$D$1:$AM$1, 0), FALSE) / VLOOKUP(Substitution!$M$9 &amp; $A16, US_national_yearly!$D:$AM, MATCH(Keys!$C$7, US_national_yearly!$D$1:$AM$1, 0), FALSE), 1)</f>
        <v>1.1310342856358478E-4</v>
      </c>
      <c r="U16" s="12">
        <f>$B16 * IFERROR(VLOOKUP(Substitution!$M$9 &amp; $A16, US_national_yearly!$D:$AM, MATCH(U$1, US_national_yearly!$D$1:$AM$1, 0), FALSE) / VLOOKUP(Substitution!$M$9 &amp; $A16, US_national_yearly!$D:$AM, MATCH(Keys!$C$7, US_national_yearly!$D$1:$AM$1, 0), FALSE), 1)</f>
        <v>1.1383116920514718E-4</v>
      </c>
      <c r="V16" s="12">
        <f>$B16 * IFERROR(VLOOKUP(Substitution!$M$9 &amp; $A16, US_national_yearly!$D:$AM, MATCH(V$1, US_national_yearly!$D$1:$AM$1, 0), FALSE) / VLOOKUP(Substitution!$M$9 &amp; $A16, US_national_yearly!$D:$AM, MATCH(Keys!$C$7, US_national_yearly!$D$1:$AM$1, 0), FALSE), 1)</f>
        <v>1.1455890984670959E-4</v>
      </c>
      <c r="W16" s="12">
        <f>$B16 * IFERROR(VLOOKUP(Substitution!$M$9 &amp; $A16, US_national_yearly!$D:$AM, MATCH(W$1, US_national_yearly!$D$1:$AM$1, 0), FALSE) / VLOOKUP(Substitution!$M$9 &amp; $A16, US_national_yearly!$D:$AM, MATCH(Keys!$C$7, US_national_yearly!$D$1:$AM$1, 0), FALSE), 1)</f>
        <v>1.1528665048827201E-4</v>
      </c>
      <c r="X16" s="12">
        <f>$B16 * IFERROR(VLOOKUP(Substitution!$M$9 &amp; $A16, US_national_yearly!$D:$AM, MATCH(X$1, US_national_yearly!$D$1:$AM$1, 0), FALSE) / VLOOKUP(Substitution!$M$9 &amp; $A16, US_national_yearly!$D:$AM, MATCH(Keys!$C$7, US_national_yearly!$D$1:$AM$1, 0), FALSE), 1)</f>
        <v>1.155627148023768E-4</v>
      </c>
      <c r="Y16" s="12">
        <f>$B16 * IFERROR(VLOOKUP(Substitution!$M$9 &amp; $A16, US_national_yearly!$D:$AM, MATCH(Y$1, US_national_yearly!$D$1:$AM$1, 0), FALSE) / VLOOKUP(Substitution!$M$9 &amp; $A16, US_national_yearly!$D:$AM, MATCH(Keys!$C$7, US_national_yearly!$D$1:$AM$1, 0), FALSE), 1)</f>
        <v>1.158387791164816E-4</v>
      </c>
      <c r="Z16" s="12">
        <f>$B16 * IFERROR(VLOOKUP(Substitution!$M$9 &amp; $A16, US_national_yearly!$D:$AM, MATCH(Z$1, US_national_yearly!$D$1:$AM$1, 0), FALSE) / VLOOKUP(Substitution!$M$9 &amp; $A16, US_national_yearly!$D:$AM, MATCH(Keys!$C$7, US_national_yearly!$D$1:$AM$1, 0), FALSE), 1)</f>
        <v>1.1611484343058641E-4</v>
      </c>
      <c r="AA16" s="12">
        <f>$B16 * IFERROR(VLOOKUP(Substitution!$M$9 &amp; $A16, US_national_yearly!$D:$AM, MATCH(AA$1, US_national_yearly!$D$1:$AM$1, 0), FALSE) / VLOOKUP(Substitution!$M$9 &amp; $A16, US_national_yearly!$D:$AM, MATCH(Keys!$C$7, US_national_yearly!$D$1:$AM$1, 0), FALSE), 1)</f>
        <v>1.163909077446912E-4</v>
      </c>
      <c r="AB16" s="12">
        <f>$B16 * IFERROR(VLOOKUP(Substitution!$M$9 &amp; $A16, US_national_yearly!$D:$AM, MATCH(AB$1, US_national_yearly!$D$1:$AM$1, 0), FALSE) / VLOOKUP(Substitution!$M$9 &amp; $A16, US_national_yearly!$D:$AM, MATCH(Keys!$C$7, US_national_yearly!$D$1:$AM$1, 0), FALSE), 1)</f>
        <v>1.16666972058796E-4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Substitution!$G$9)/IFERROR(SUMIFS(COBRA_aggregated!$W:$W, COBRA_aggregated!$A:$A, About!$B$1, COBRA_aggregated!$B:$B, Substitution!$G$9), 1)</f>
        <v>4.3842893556214601E-5</v>
      </c>
      <c r="C17" s="12">
        <f>$B17 * IFERROR(VLOOKUP(Substitution!$M$9 &amp; $A17, US_national_yearly!$D:$AM, MATCH(C$1, US_national_yearly!$D$1:$AM$1, 0), FALSE) / VLOOKUP(Substitution!$M$9 &amp; $A17, US_national_yearly!$D:$AM, MATCH(Keys!$C$7, US_national_yearly!$D$1:$AM$1, 0), FALSE), 1)</f>
        <v>4.513435759921427E-5</v>
      </c>
      <c r="D17" s="12">
        <f>$B17 * IFERROR(VLOOKUP(Substitution!$M$9 &amp; $A17, US_national_yearly!$D:$AM, MATCH(D$1, US_national_yearly!$D$1:$AM$1, 0), FALSE) / VLOOKUP(Substitution!$M$9 &amp; $A17, US_national_yearly!$D:$AM, MATCH(Keys!$C$7, US_national_yearly!$D$1:$AM$1, 0), FALSE), 1)</f>
        <v>4.6425821642213953E-5</v>
      </c>
      <c r="E17" s="12">
        <f>$B17 * IFERROR(VLOOKUP(Substitution!$M$9 &amp; $A17, US_national_yearly!$D:$AM, MATCH(E$1, US_national_yearly!$D$1:$AM$1, 0), FALSE) / VLOOKUP(Substitution!$M$9 &amp; $A17, US_national_yearly!$D:$AM, MATCH(Keys!$C$7, US_national_yearly!$D$1:$AM$1, 0), FALSE), 1)</f>
        <v>4.7717285685213622E-5</v>
      </c>
      <c r="F17" s="12">
        <f>$B17 * IFERROR(VLOOKUP(Substitution!$M$9 &amp; $A17, US_national_yearly!$D:$AM, MATCH(F$1, US_national_yearly!$D$1:$AM$1, 0), FALSE) / VLOOKUP(Substitution!$M$9 &amp; $A17, US_national_yearly!$D:$AM, MATCH(Keys!$C$7, US_national_yearly!$D$1:$AM$1, 0), FALSE), 1)</f>
        <v>4.9008749728213305E-5</v>
      </c>
      <c r="G17" s="12">
        <f>$B17 * IFERROR(VLOOKUP(Substitution!$M$9 &amp; $A17, US_national_yearly!$D:$AM, MATCH(G$1, US_national_yearly!$D$1:$AM$1, 0), FALSE) / VLOOKUP(Substitution!$M$9 &amp; $A17, US_national_yearly!$D:$AM, MATCH(Keys!$C$7, US_national_yearly!$D$1:$AM$1, 0), FALSE), 1)</f>
        <v>5.0245426823027291E-5</v>
      </c>
      <c r="H17" s="12">
        <f>$B17 * IFERROR(VLOOKUP(Substitution!$M$9 &amp; $A17, US_national_yearly!$D:$AM, MATCH(H$1, US_national_yearly!$D$1:$AM$1, 0), FALSE) / VLOOKUP(Substitution!$M$9 &amp; $A17, US_national_yearly!$D:$AM, MATCH(Keys!$C$7, US_national_yearly!$D$1:$AM$1, 0), FALSE), 1)</f>
        <v>5.1482103917841278E-5</v>
      </c>
      <c r="I17" s="12">
        <f>$B17 * IFERROR(VLOOKUP(Substitution!$M$9 &amp; $A17, US_national_yearly!$D:$AM, MATCH(I$1, US_national_yearly!$D$1:$AM$1, 0), FALSE) / VLOOKUP(Substitution!$M$9 &amp; $A17, US_national_yearly!$D:$AM, MATCH(Keys!$C$7, US_national_yearly!$D$1:$AM$1, 0), FALSE), 1)</f>
        <v>5.2537671302769377E-5</v>
      </c>
      <c r="J17" s="12">
        <f>$B17 * IFERROR(VLOOKUP(Substitution!$M$9 &amp; $A17, US_national_yearly!$D:$AM, MATCH(J$1, US_national_yearly!$D$1:$AM$1, 0), FALSE) / VLOOKUP(Substitution!$M$9 &amp; $A17, US_national_yearly!$D:$AM, MATCH(Keys!$C$7, US_national_yearly!$D$1:$AM$1, 0), FALSE), 1)</f>
        <v>5.3593238687697482E-5</v>
      </c>
      <c r="K17" s="12">
        <f>$B17 * IFERROR(VLOOKUP(Substitution!$M$9 &amp; $A17, US_national_yearly!$D:$AM, MATCH(K$1, US_national_yearly!$D$1:$AM$1, 0), FALSE) / VLOOKUP(Substitution!$M$9 &amp; $A17, US_national_yearly!$D:$AM, MATCH(Keys!$C$7, US_national_yearly!$D$1:$AM$1, 0), FALSE), 1)</f>
        <v>5.4648806072625588E-5</v>
      </c>
      <c r="L17" s="12">
        <f>$B17 * IFERROR(VLOOKUP(Substitution!$M$9 &amp; $A17, US_national_yearly!$D:$AM, MATCH(L$1, US_national_yearly!$D$1:$AM$1, 0), FALSE) / VLOOKUP(Substitution!$M$9 &amp; $A17, US_national_yearly!$D:$AM, MATCH(Keys!$C$7, US_national_yearly!$D$1:$AM$1, 0), FALSE), 1)</f>
        <v>5.5704373457553694E-5</v>
      </c>
      <c r="M17" s="12">
        <f>$B17 * IFERROR(VLOOKUP(Substitution!$M$9 &amp; $A17, US_national_yearly!$D:$AM, MATCH(M$1, US_national_yearly!$D$1:$AM$1, 0), FALSE) / VLOOKUP(Substitution!$M$9 &amp; $A17, US_national_yearly!$D:$AM, MATCH(Keys!$C$7, US_national_yearly!$D$1:$AM$1, 0), FALSE), 1)</f>
        <v>5.6759940842481786E-5</v>
      </c>
      <c r="N17" s="12">
        <f>$B17 * IFERROR(VLOOKUP(Substitution!$M$9 &amp; $A17, US_national_yearly!$D:$AM, MATCH(N$1, US_national_yearly!$D$1:$AM$1, 0), FALSE) / VLOOKUP(Substitution!$M$9 &amp; $A17, US_national_yearly!$D:$AM, MATCH(Keys!$C$7, US_national_yearly!$D$1:$AM$1, 0), FALSE), 1)</f>
        <v>5.7437374564912221E-5</v>
      </c>
      <c r="O17" s="12">
        <f>$B17 * IFERROR(VLOOKUP(Substitution!$M$9 &amp; $A17, US_national_yearly!$D:$AM, MATCH(O$1, US_national_yearly!$D$1:$AM$1, 0), FALSE) / VLOOKUP(Substitution!$M$9 &amp; $A17, US_national_yearly!$D:$AM, MATCH(Keys!$C$7, US_national_yearly!$D$1:$AM$1, 0), FALSE), 1)</f>
        <v>5.8114808287342656E-5</v>
      </c>
      <c r="P17" s="12">
        <f>$B17 * IFERROR(VLOOKUP(Substitution!$M$9 &amp; $A17, US_national_yearly!$D:$AM, MATCH(P$1, US_national_yearly!$D$1:$AM$1, 0), FALSE) / VLOOKUP(Substitution!$M$9 &amp; $A17, US_national_yearly!$D:$AM, MATCH(Keys!$C$7, US_national_yearly!$D$1:$AM$1, 0), FALSE), 1)</f>
        <v>5.8792242009773084E-5</v>
      </c>
      <c r="Q17" s="12">
        <f>$B17 * IFERROR(VLOOKUP(Substitution!$M$9 &amp; $A17, US_national_yearly!$D:$AM, MATCH(Q$1, US_national_yearly!$D$1:$AM$1, 0), FALSE) / VLOOKUP(Substitution!$M$9 &amp; $A17, US_national_yearly!$D:$AM, MATCH(Keys!$C$7, US_national_yearly!$D$1:$AM$1, 0), FALSE), 1)</f>
        <v>5.9469675732203519E-5</v>
      </c>
      <c r="R17" s="12">
        <f>$B17 * IFERROR(VLOOKUP(Substitution!$M$9 &amp; $A17, US_national_yearly!$D:$AM, MATCH(R$1, US_national_yearly!$D$1:$AM$1, 0), FALSE) / VLOOKUP(Substitution!$M$9 &amp; $A17, US_national_yearly!$D:$AM, MATCH(Keys!$C$7, US_national_yearly!$D$1:$AM$1, 0), FALSE), 1)</f>
        <v>6.0147109454633947E-5</v>
      </c>
      <c r="S17" s="12">
        <f>$B17 * IFERROR(VLOOKUP(Substitution!$M$9 &amp; $A17, US_national_yearly!$D:$AM, MATCH(S$1, US_national_yearly!$D$1:$AM$1, 0), FALSE) / VLOOKUP(Substitution!$M$9 &amp; $A17, US_national_yearly!$D:$AM, MATCH(Keys!$C$7, US_national_yearly!$D$1:$AM$1, 0), FALSE), 1)</f>
        <v>6.0480486527988433E-5</v>
      </c>
      <c r="T17" s="12">
        <f>$B17 * IFERROR(VLOOKUP(Substitution!$M$9 &amp; $A17, US_national_yearly!$D:$AM, MATCH(T$1, US_national_yearly!$D$1:$AM$1, 0), FALSE) / VLOOKUP(Substitution!$M$9 &amp; $A17, US_national_yearly!$D:$AM, MATCH(Keys!$C$7, US_national_yearly!$D$1:$AM$1, 0), FALSE), 1)</f>
        <v>6.0813863601342919E-5</v>
      </c>
      <c r="U17" s="12">
        <f>$B17 * IFERROR(VLOOKUP(Substitution!$M$9 &amp; $A17, US_national_yearly!$D:$AM, MATCH(U$1, US_national_yearly!$D$1:$AM$1, 0), FALSE) / VLOOKUP(Substitution!$M$9 &amp; $A17, US_national_yearly!$D:$AM, MATCH(Keys!$C$7, US_national_yearly!$D$1:$AM$1, 0), FALSE), 1)</f>
        <v>6.1147240674697405E-5</v>
      </c>
      <c r="V17" s="12">
        <f>$B17 * IFERROR(VLOOKUP(Substitution!$M$9 &amp; $A17, US_national_yearly!$D:$AM, MATCH(V$1, US_national_yearly!$D$1:$AM$1, 0), FALSE) / VLOOKUP(Substitution!$M$9 &amp; $A17, US_national_yearly!$D:$AM, MATCH(Keys!$C$7, US_national_yearly!$D$1:$AM$1, 0), FALSE), 1)</f>
        <v>6.1480617748051891E-5</v>
      </c>
      <c r="W17" s="12">
        <f>$B17 * IFERROR(VLOOKUP(Substitution!$M$9 &amp; $A17, US_national_yearly!$D:$AM, MATCH(W$1, US_national_yearly!$D$1:$AM$1, 0), FALSE) / VLOOKUP(Substitution!$M$9 &amp; $A17, US_national_yearly!$D:$AM, MATCH(Keys!$C$7, US_national_yearly!$D$1:$AM$1, 0), FALSE), 1)</f>
        <v>6.1813994821406377E-5</v>
      </c>
      <c r="X17" s="12">
        <f>$B17 * IFERROR(VLOOKUP(Substitution!$M$9 &amp; $A17, US_national_yearly!$D:$AM, MATCH(X$1, US_national_yearly!$D$1:$AM$1, 0), FALSE) / VLOOKUP(Substitution!$M$9 &amp; $A17, US_national_yearly!$D:$AM, MATCH(Keys!$C$7, US_national_yearly!$D$1:$AM$1, 0), FALSE), 1)</f>
        <v>6.2013800364339329E-5</v>
      </c>
      <c r="Y17" s="12">
        <f>$B17 * IFERROR(VLOOKUP(Substitution!$M$9 &amp; $A17, US_national_yearly!$D:$AM, MATCH(Y$1, US_national_yearly!$D$1:$AM$1, 0), FALSE) / VLOOKUP(Substitution!$M$9 &amp; $A17, US_national_yearly!$D:$AM, MATCH(Keys!$C$7, US_national_yearly!$D$1:$AM$1, 0), FALSE), 1)</f>
        <v>6.2213605907272267E-5</v>
      </c>
      <c r="Z17" s="12">
        <f>$B17 * IFERROR(VLOOKUP(Substitution!$M$9 &amp; $A17, US_national_yearly!$D:$AM, MATCH(Z$1, US_national_yearly!$D$1:$AM$1, 0), FALSE) / VLOOKUP(Substitution!$M$9 &amp; $A17, US_national_yearly!$D:$AM, MATCH(Keys!$C$7, US_national_yearly!$D$1:$AM$1, 0), FALSE), 1)</f>
        <v>6.2413411450205219E-5</v>
      </c>
      <c r="AA17" s="12">
        <f>$B17 * IFERROR(VLOOKUP(Substitution!$M$9 &amp; $A17, US_national_yearly!$D:$AM, MATCH(AA$1, US_national_yearly!$D$1:$AM$1, 0), FALSE) / VLOOKUP(Substitution!$M$9 &amp; $A17, US_national_yearly!$D:$AM, MATCH(Keys!$C$7, US_national_yearly!$D$1:$AM$1, 0), FALSE), 1)</f>
        <v>6.2613216993138171E-5</v>
      </c>
      <c r="AB17" s="12">
        <f>$B17 * IFERROR(VLOOKUP(Substitution!$M$9 &amp; $A17, US_national_yearly!$D:$AM, MATCH(AB$1, US_national_yearly!$D$1:$AM$1, 0), FALSE) / VLOOKUP(Substitution!$M$9 &amp; $A17, US_national_yearly!$D:$AM, MATCH(Keys!$C$7, US_national_yearly!$D$1:$AM$1, 0), FALSE), 1)</f>
        <v>6.2813022536071123E-5</v>
      </c>
    </row>
    <row r="18" spans="1:28" x14ac:dyDescent="0.25">
      <c r="A18" s="4" t="s">
        <v>323</v>
      </c>
      <c r="B18" s="12">
        <f>IFERROR(VLOOKUP(Substitution!$M$9 &amp; $A18, US_national_yearly!$D:$AM, MATCH(Keys!$C$7, US_national_yearly!$D$1:$AM$1, 0), FALSE), 0)</f>
        <v>5.9626797946313943E-4</v>
      </c>
      <c r="C18" s="12">
        <f>$B18 * IFERROR(VLOOKUP(Substitution!$M$9 &amp; $A18, US_national_yearly!$D:$AM, MATCH(C$1, US_national_yearly!$D$1:$AM$1, 0), FALSE) / VLOOKUP(Substitution!$M$9 &amp; $A18, US_national_yearly!$D:$AM, MATCH(Keys!$C$7, US_national_yearly!$D$1:$AM$1, 0), FALSE), 1)</f>
        <v>6.1556279411655078E-4</v>
      </c>
      <c r="D18" s="12">
        <f>$B18 * IFERROR(VLOOKUP(Substitution!$M$9 &amp; $A18, US_national_yearly!$D:$AM, MATCH(D$1, US_national_yearly!$D$1:$AM$1, 0), FALSE) / VLOOKUP(Substitution!$M$9 &amp; $A18, US_national_yearly!$D:$AM, MATCH(Keys!$C$7, US_national_yearly!$D$1:$AM$1, 0), FALSE), 1)</f>
        <v>6.3485760876996224E-4</v>
      </c>
      <c r="E18" s="12">
        <f>$B18 * IFERROR(VLOOKUP(Substitution!$M$9 &amp; $A18, US_national_yearly!$D:$AM, MATCH(E$1, US_national_yearly!$D$1:$AM$1, 0), FALSE) / VLOOKUP(Substitution!$M$9 &amp; $A18, US_national_yearly!$D:$AM, MATCH(Keys!$C$7, US_national_yearly!$D$1:$AM$1, 0), FALSE), 1)</f>
        <v>6.5415242342337359E-4</v>
      </c>
      <c r="F18" s="12">
        <f>$B18 * IFERROR(VLOOKUP(Substitution!$M$9 &amp; $A18, US_national_yearly!$D:$AM, MATCH(F$1, US_national_yearly!$D$1:$AM$1, 0), FALSE) / VLOOKUP(Substitution!$M$9 &amp; $A18, US_national_yearly!$D:$AM, MATCH(Keys!$C$7, US_national_yearly!$D$1:$AM$1, 0), FALSE), 1)</f>
        <v>6.7344723807678504E-4</v>
      </c>
      <c r="G18" s="12">
        <f>$B18 * IFERROR(VLOOKUP(Substitution!$M$9 &amp; $A18, US_national_yearly!$D:$AM, MATCH(G$1, US_national_yearly!$D$1:$AM$1, 0), FALSE) / VLOOKUP(Substitution!$M$9 &amp; $A18, US_national_yearly!$D:$AM, MATCH(Keys!$C$7, US_national_yearly!$D$1:$AM$1, 0), FALSE), 1)</f>
        <v>6.9394672930519303E-4</v>
      </c>
      <c r="H18" s="12">
        <f>$B18 * IFERROR(VLOOKUP(Substitution!$M$9 &amp; $A18, US_national_yearly!$D:$AM, MATCH(H$1, US_national_yearly!$D$1:$AM$1, 0), FALSE) / VLOOKUP(Substitution!$M$9 &amp; $A18, US_national_yearly!$D:$AM, MATCH(Keys!$C$7, US_national_yearly!$D$1:$AM$1, 0), FALSE), 1)</f>
        <v>7.1444622053360102E-4</v>
      </c>
      <c r="I18" s="12">
        <f>$B18 * IFERROR(VLOOKUP(Substitution!$M$9 &amp; $A18, US_national_yearly!$D:$AM, MATCH(I$1, US_national_yearly!$D$1:$AM$1, 0), FALSE) / VLOOKUP(Substitution!$M$9 &amp; $A18, US_national_yearly!$D:$AM, MATCH(Keys!$C$7, US_national_yearly!$D$1:$AM$1, 0), FALSE), 1)</f>
        <v>7.3499056696708898E-4</v>
      </c>
      <c r="J18" s="12">
        <f>$B18 * IFERROR(VLOOKUP(Substitution!$M$9 &amp; $A18, US_national_yearly!$D:$AM, MATCH(J$1, US_national_yearly!$D$1:$AM$1, 0), FALSE) / VLOOKUP(Substitution!$M$9 &amp; $A18, US_national_yearly!$D:$AM, MATCH(Keys!$C$7, US_national_yearly!$D$1:$AM$1, 0), FALSE), 1)</f>
        <v>7.5553491340057705E-4</v>
      </c>
      <c r="K18" s="12">
        <f>$B18 * IFERROR(VLOOKUP(Substitution!$M$9 &amp; $A18, US_national_yearly!$D:$AM, MATCH(K$1, US_national_yearly!$D$1:$AM$1, 0), FALSE) / VLOOKUP(Substitution!$M$9 &amp; $A18, US_national_yearly!$D:$AM, MATCH(Keys!$C$7, US_national_yearly!$D$1:$AM$1, 0), FALSE), 1)</f>
        <v>7.7607925983406501E-4</v>
      </c>
      <c r="L18" s="12">
        <f>$B18 * IFERROR(VLOOKUP(Substitution!$M$9 &amp; $A18, US_national_yearly!$D:$AM, MATCH(L$1, US_national_yearly!$D$1:$AM$1, 0), FALSE) / VLOOKUP(Substitution!$M$9 &amp; $A18, US_national_yearly!$D:$AM, MATCH(Keys!$C$7, US_national_yearly!$D$1:$AM$1, 0), FALSE), 1)</f>
        <v>7.9662360626755319E-4</v>
      </c>
      <c r="M18" s="12">
        <f>$B18 * IFERROR(VLOOKUP(Substitution!$M$9 &amp; $A18, US_national_yearly!$D:$AM, MATCH(M$1, US_national_yearly!$D$1:$AM$1, 0), FALSE) / VLOOKUP(Substitution!$M$9 &amp; $A18, US_national_yearly!$D:$AM, MATCH(Keys!$C$7, US_national_yearly!$D$1:$AM$1, 0), FALSE), 1)</f>
        <v>8.1716795270104104E-4</v>
      </c>
      <c r="N18" s="12">
        <f>$B18 * IFERROR(VLOOKUP(Substitution!$M$9 &amp; $A18, US_national_yearly!$D:$AM, MATCH(N$1, US_national_yearly!$D$1:$AM$1, 0), FALSE) / VLOOKUP(Substitution!$M$9 &amp; $A18, US_national_yearly!$D:$AM, MATCH(Keys!$C$7, US_national_yearly!$D$1:$AM$1, 0), FALSE), 1)</f>
        <v>8.3171624194945714E-4</v>
      </c>
      <c r="O18" s="12">
        <f>$B18 * IFERROR(VLOOKUP(Substitution!$M$9 &amp; $A18, US_national_yearly!$D:$AM, MATCH(O$1, US_national_yearly!$D$1:$AM$1, 0), FALSE) / VLOOKUP(Substitution!$M$9 &amp; $A18, US_national_yearly!$D:$AM, MATCH(Keys!$C$7, US_national_yearly!$D$1:$AM$1, 0), FALSE), 1)</f>
        <v>8.4626453119787302E-4</v>
      </c>
      <c r="P18" s="12">
        <f>$B18 * IFERROR(VLOOKUP(Substitution!$M$9 &amp; $A18, US_national_yearly!$D:$AM, MATCH(P$1, US_national_yearly!$D$1:$AM$1, 0), FALSE) / VLOOKUP(Substitution!$M$9 &amp; $A18, US_national_yearly!$D:$AM, MATCH(Keys!$C$7, US_national_yearly!$D$1:$AM$1, 0), FALSE), 1)</f>
        <v>8.60812820446289E-4</v>
      </c>
      <c r="Q18" s="12">
        <f>$B18 * IFERROR(VLOOKUP(Substitution!$M$9 &amp; $A18, US_national_yearly!$D:$AM, MATCH(Q$1, US_national_yearly!$D$1:$AM$1, 0), FALSE) / VLOOKUP(Substitution!$M$9 &amp; $A18, US_national_yearly!$D:$AM, MATCH(Keys!$C$7, US_national_yearly!$D$1:$AM$1, 0), FALSE), 1)</f>
        <v>8.7536110969470499E-4</v>
      </c>
      <c r="R18" s="12">
        <f>$B18 * IFERROR(VLOOKUP(Substitution!$M$9 &amp; $A18, US_national_yearly!$D:$AM, MATCH(R$1, US_national_yearly!$D$1:$AM$1, 0), FALSE) / VLOOKUP(Substitution!$M$9 &amp; $A18, US_national_yearly!$D:$AM, MATCH(Keys!$C$7, US_national_yearly!$D$1:$AM$1, 0), FALSE), 1)</f>
        <v>8.8990939894312087E-4</v>
      </c>
      <c r="S18" s="12">
        <f>$B18 * IFERROR(VLOOKUP(Substitution!$M$9 &amp; $A18, US_national_yearly!$D:$AM, MATCH(S$1, US_national_yearly!$D$1:$AM$1, 0), FALSE) / VLOOKUP(Substitution!$M$9 &amp; $A18, US_national_yearly!$D:$AM, MATCH(Keys!$C$7, US_national_yearly!$D$1:$AM$1, 0), FALSE), 1)</f>
        <v>8.9669582118417359E-4</v>
      </c>
      <c r="T18" s="12">
        <f>$B18 * IFERROR(VLOOKUP(Substitution!$M$9 &amp; $A18, US_national_yearly!$D:$AM, MATCH(T$1, US_national_yearly!$D$1:$AM$1, 0), FALSE) / VLOOKUP(Substitution!$M$9 &amp; $A18, US_national_yearly!$D:$AM, MATCH(Keys!$C$7, US_national_yearly!$D$1:$AM$1, 0), FALSE), 1)</f>
        <v>9.034822434252262E-4</v>
      </c>
      <c r="U18" s="12">
        <f>$B18 * IFERROR(VLOOKUP(Substitution!$M$9 &amp; $A18, US_national_yearly!$D:$AM, MATCH(U$1, US_national_yearly!$D$1:$AM$1, 0), FALSE) / VLOOKUP(Substitution!$M$9 &amp; $A18, US_national_yearly!$D:$AM, MATCH(Keys!$C$7, US_national_yearly!$D$1:$AM$1, 0), FALSE), 1)</f>
        <v>9.1026866566627882E-4</v>
      </c>
      <c r="V18" s="12">
        <f>$B18 * IFERROR(VLOOKUP(Substitution!$M$9 &amp; $A18, US_national_yearly!$D:$AM, MATCH(V$1, US_national_yearly!$D$1:$AM$1, 0), FALSE) / VLOOKUP(Substitution!$M$9 &amp; $A18, US_national_yearly!$D:$AM, MATCH(Keys!$C$7, US_national_yearly!$D$1:$AM$1, 0), FALSE), 1)</f>
        <v>9.1705508790733143E-4</v>
      </c>
      <c r="W18" s="12">
        <f>$B18 * IFERROR(VLOOKUP(Substitution!$M$9 &amp; $A18, US_national_yearly!$D:$AM, MATCH(W$1, US_national_yearly!$D$1:$AM$1, 0), FALSE) / VLOOKUP(Substitution!$M$9 &amp; $A18, US_national_yearly!$D:$AM, MATCH(Keys!$C$7, US_national_yearly!$D$1:$AM$1, 0), FALSE), 1)</f>
        <v>9.2384151014838416E-4</v>
      </c>
      <c r="X18" s="12">
        <f>$B18 * IFERROR(VLOOKUP(Substitution!$M$9 &amp; $A18, US_national_yearly!$D:$AM, MATCH(X$1, US_national_yearly!$D$1:$AM$1, 0), FALSE) / VLOOKUP(Substitution!$M$9 &amp; $A18, US_national_yearly!$D:$AM, MATCH(Keys!$C$7, US_national_yearly!$D$1:$AM$1, 0), FALSE), 1)</f>
        <v>9.2546247038373538E-4</v>
      </c>
      <c r="Y18" s="12">
        <f>$B18 * IFERROR(VLOOKUP(Substitution!$M$9 &amp; $A18, US_national_yearly!$D:$AM, MATCH(Y$1, US_national_yearly!$D$1:$AM$1, 0), FALSE) / VLOOKUP(Substitution!$M$9 &amp; $A18, US_national_yearly!$D:$AM, MATCH(Keys!$C$7, US_national_yearly!$D$1:$AM$1, 0), FALSE), 1)</f>
        <v>9.2708343061908638E-4</v>
      </c>
      <c r="Z18" s="12">
        <f>$B18 * IFERROR(VLOOKUP(Substitution!$M$9 &amp; $A18, US_national_yearly!$D:$AM, MATCH(Z$1, US_national_yearly!$D$1:$AM$1, 0), FALSE) / VLOOKUP(Substitution!$M$9 &amp; $A18, US_national_yearly!$D:$AM, MATCH(Keys!$C$7, US_national_yearly!$D$1:$AM$1, 0), FALSE), 1)</f>
        <v>9.2870439085443771E-4</v>
      </c>
      <c r="AA18" s="12">
        <f>$B18 * IFERROR(VLOOKUP(Substitution!$M$9 &amp; $A18, US_national_yearly!$D:$AM, MATCH(AA$1, US_national_yearly!$D$1:$AM$1, 0), FALSE) / VLOOKUP(Substitution!$M$9 &amp; $A18, US_national_yearly!$D:$AM, MATCH(Keys!$C$7, US_national_yearly!$D$1:$AM$1, 0), FALSE), 1)</f>
        <v>9.3032535108978872E-4</v>
      </c>
      <c r="AB18" s="12">
        <f>$B18 * IFERROR(VLOOKUP(Substitution!$M$9 &amp; $A18, US_national_yearly!$D:$AM, MATCH(AB$1, US_national_yearly!$D$1:$AM$1, 0), FALSE) / VLOOKUP(Substitution!$M$9 &amp; $A18, US_national_yearly!$D:$AM, MATCH(Keys!$C$7, US_national_yearly!$D$1:$AM$1, 0), FALSE), 1)</f>
        <v>9.3194631132514005E-4</v>
      </c>
    </row>
    <row r="19" spans="1:28" x14ac:dyDescent="0.25">
      <c r="A19" s="4" t="s">
        <v>325</v>
      </c>
      <c r="B19" s="12">
        <f>IFERROR(VLOOKUP(Substitution!$M$9 &amp; $A19, US_national_yearly!$D:$AM, MATCH(Keys!$C$7, US_national_yearly!$D$1:$AM$1, 0), FALSE), 0)</f>
        <v>8.1538179423927719E-5</v>
      </c>
      <c r="C19" s="12">
        <f>$B19 * IFERROR(VLOOKUP(Substitution!$M$9 &amp; $A19, US_national_yearly!$D:$AM, MATCH(C$1, US_national_yearly!$D$1:$AM$1, 0), FALSE) / VLOOKUP(Substitution!$M$9 &amp; $A19, US_national_yearly!$D:$AM, MATCH(Keys!$C$7, US_national_yearly!$D$1:$AM$1, 0), FALSE), 1)</f>
        <v>8.3637669226638325E-5</v>
      </c>
      <c r="D19" s="12">
        <f>$B19 * IFERROR(VLOOKUP(Substitution!$M$9 &amp; $A19, US_national_yearly!$D:$AM, MATCH(D$1, US_national_yearly!$D$1:$AM$1, 0), FALSE) / VLOOKUP(Substitution!$M$9 &amp; $A19, US_national_yearly!$D:$AM, MATCH(Keys!$C$7, US_national_yearly!$D$1:$AM$1, 0), FALSE), 1)</f>
        <v>8.5737159029348957E-5</v>
      </c>
      <c r="E19" s="12">
        <f>$B19 * IFERROR(VLOOKUP(Substitution!$M$9 &amp; $A19, US_national_yearly!$D:$AM, MATCH(E$1, US_national_yearly!$D$1:$AM$1, 0), FALSE) / VLOOKUP(Substitution!$M$9 &amp; $A19, US_national_yearly!$D:$AM, MATCH(Keys!$C$7, US_national_yearly!$D$1:$AM$1, 0), FALSE), 1)</f>
        <v>8.7836648832059576E-5</v>
      </c>
      <c r="F19" s="12">
        <f>$B19 * IFERROR(VLOOKUP(Substitution!$M$9 &amp; $A19, US_national_yearly!$D:$AM, MATCH(F$1, US_national_yearly!$D$1:$AM$1, 0), FALSE) / VLOOKUP(Substitution!$M$9 &amp; $A19, US_national_yearly!$D:$AM, MATCH(Keys!$C$7, US_national_yearly!$D$1:$AM$1, 0), FALSE), 1)</f>
        <v>8.9936138634770209E-5</v>
      </c>
      <c r="G19" s="12">
        <f>$B19 * IFERROR(VLOOKUP(Substitution!$M$9 &amp; $A19, US_national_yearly!$D:$AM, MATCH(G$1, US_national_yearly!$D$1:$AM$1, 0), FALSE) / VLOOKUP(Substitution!$M$9 &amp; $A19, US_national_yearly!$D:$AM, MATCH(Keys!$C$7, US_national_yearly!$D$1:$AM$1, 0), FALSE), 1)</f>
        <v>9.1685694947562808E-5</v>
      </c>
      <c r="H19" s="12">
        <f>$B19 * IFERROR(VLOOKUP(Substitution!$M$9 &amp; $A19, US_national_yearly!$D:$AM, MATCH(H$1, US_national_yearly!$D$1:$AM$1, 0), FALSE) / VLOOKUP(Substitution!$M$9 &amp; $A19, US_national_yearly!$D:$AM, MATCH(Keys!$C$7, US_national_yearly!$D$1:$AM$1, 0), FALSE), 1)</f>
        <v>9.3435251260355406E-5</v>
      </c>
      <c r="I19" s="12">
        <f>$B19 * IFERROR(VLOOKUP(Substitution!$M$9 &amp; $A19, US_national_yearly!$D:$AM, MATCH(I$1, US_national_yearly!$D$1:$AM$1, 0), FALSE) / VLOOKUP(Substitution!$M$9 &amp; $A19, US_national_yearly!$D:$AM, MATCH(Keys!$C$7, US_national_yearly!$D$1:$AM$1, 0), FALSE), 1)</f>
        <v>9.4562210304714283E-5</v>
      </c>
      <c r="J19" s="12">
        <f>$B19 * IFERROR(VLOOKUP(Substitution!$M$9 &amp; $A19, US_national_yearly!$D:$AM, MATCH(J$1, US_national_yearly!$D$1:$AM$1, 0), FALSE) / VLOOKUP(Substitution!$M$9 &amp; $A19, US_national_yearly!$D:$AM, MATCH(Keys!$C$7, US_national_yearly!$D$1:$AM$1, 0), FALSE), 1)</f>
        <v>9.5689169349073174E-5</v>
      </c>
      <c r="K19" s="12">
        <f>$B19 * IFERROR(VLOOKUP(Substitution!$M$9 &amp; $A19, US_national_yearly!$D:$AM, MATCH(K$1, US_national_yearly!$D$1:$AM$1, 0), FALSE) / VLOOKUP(Substitution!$M$9 &amp; $A19, US_national_yearly!$D:$AM, MATCH(Keys!$C$7, US_national_yearly!$D$1:$AM$1, 0), FALSE), 1)</f>
        <v>9.6816128393432065E-5</v>
      </c>
      <c r="L19" s="12">
        <f>$B19 * IFERROR(VLOOKUP(Substitution!$M$9 &amp; $A19, US_national_yearly!$D:$AM, MATCH(L$1, US_national_yearly!$D$1:$AM$1, 0), FALSE) / VLOOKUP(Substitution!$M$9 &amp; $A19, US_national_yearly!$D:$AM, MATCH(Keys!$C$7, US_national_yearly!$D$1:$AM$1, 0), FALSE), 1)</f>
        <v>9.7943087437790929E-5</v>
      </c>
      <c r="M19" s="12">
        <f>$B19 * IFERROR(VLOOKUP(Substitution!$M$9 &amp; $A19, US_national_yearly!$D:$AM, MATCH(M$1, US_national_yearly!$D$1:$AM$1, 0), FALSE) / VLOOKUP(Substitution!$M$9 &amp; $A19, US_national_yearly!$D:$AM, MATCH(Keys!$C$7, US_national_yearly!$D$1:$AM$1, 0), FALSE), 1)</f>
        <v>9.9070046482149806E-5</v>
      </c>
      <c r="N19" s="12">
        <f>$B19 * IFERROR(VLOOKUP(Substitution!$M$9 &amp; $A19, US_national_yearly!$D:$AM, MATCH(N$1, US_national_yearly!$D$1:$AM$1, 0), FALSE) / VLOOKUP(Substitution!$M$9 &amp; $A19, US_national_yearly!$D:$AM, MATCH(Keys!$C$7, US_national_yearly!$D$1:$AM$1, 0), FALSE), 1)</f>
        <v>9.9564259567976241E-5</v>
      </c>
      <c r="O19" s="12">
        <f>$B19 * IFERROR(VLOOKUP(Substitution!$M$9 &amp; $A19, US_national_yearly!$D:$AM, MATCH(O$1, US_national_yearly!$D$1:$AM$1, 0), FALSE) / VLOOKUP(Substitution!$M$9 &amp; $A19, US_national_yearly!$D:$AM, MATCH(Keys!$C$7, US_national_yearly!$D$1:$AM$1, 0), FALSE), 1)</f>
        <v>1.000584726538027E-4</v>
      </c>
      <c r="P19" s="12">
        <f>$B19 * IFERROR(VLOOKUP(Substitution!$M$9 &amp; $A19, US_national_yearly!$D:$AM, MATCH(P$1, US_national_yearly!$D$1:$AM$1, 0), FALSE) / VLOOKUP(Substitution!$M$9 &amp; $A19, US_national_yearly!$D:$AM, MATCH(Keys!$C$7, US_national_yearly!$D$1:$AM$1, 0), FALSE), 1)</f>
        <v>1.0055268573962908E-4</v>
      </c>
      <c r="Q19" s="12">
        <f>$B19 * IFERROR(VLOOKUP(Substitution!$M$9 &amp; $A19, US_national_yearly!$D:$AM, MATCH(Q$1, US_national_yearly!$D$1:$AM$1, 0), FALSE) / VLOOKUP(Substitution!$M$9 &amp; $A19, US_national_yearly!$D:$AM, MATCH(Keys!$C$7, US_national_yearly!$D$1:$AM$1, 0), FALSE), 1)</f>
        <v>1.010468988254556E-4</v>
      </c>
      <c r="R19" s="12">
        <f>$B19 * IFERROR(VLOOKUP(Substitution!$M$9 &amp; $A19, US_national_yearly!$D:$AM, MATCH(R$1, US_national_yearly!$D$1:$AM$1, 0), FALSE) / VLOOKUP(Substitution!$M$9 &amp; $A19, US_national_yearly!$D:$AM, MATCH(Keys!$C$7, US_national_yearly!$D$1:$AM$1, 0), FALSE), 1)</f>
        <v>1.0154111191128199E-4</v>
      </c>
      <c r="S19" s="12">
        <f>$B19 * IFERROR(VLOOKUP(Substitution!$M$9 &amp; $A19, US_national_yearly!$D:$AM, MATCH(S$1, US_national_yearly!$D$1:$AM$1, 0), FALSE) / VLOOKUP(Substitution!$M$9 &amp; $A19, US_national_yearly!$D:$AM, MATCH(Keys!$C$7, US_national_yearly!$D$1:$AM$1, 0), FALSE), 1)</f>
        <v>1.017895989436256E-4</v>
      </c>
      <c r="T19" s="12">
        <f>$B19 * IFERROR(VLOOKUP(Substitution!$M$9 &amp; $A19, US_national_yearly!$D:$AM, MATCH(T$1, US_national_yearly!$D$1:$AM$1, 0), FALSE) / VLOOKUP(Substitution!$M$9 &amp; $A19, US_national_yearly!$D:$AM, MATCH(Keys!$C$7, US_national_yearly!$D$1:$AM$1, 0), FALSE), 1)</f>
        <v>1.020380859759692E-4</v>
      </c>
      <c r="U19" s="12">
        <f>$B19 * IFERROR(VLOOKUP(Substitution!$M$9 &amp; $A19, US_national_yearly!$D:$AM, MATCH(U$1, US_national_yearly!$D$1:$AM$1, 0), FALSE) / VLOOKUP(Substitution!$M$9 &amp; $A19, US_national_yearly!$D:$AM, MATCH(Keys!$C$7, US_national_yearly!$D$1:$AM$1, 0), FALSE), 1)</f>
        <v>1.022865730083128E-4</v>
      </c>
      <c r="V19" s="12">
        <f>$B19 * IFERROR(VLOOKUP(Substitution!$M$9 &amp; $A19, US_national_yearly!$D:$AM, MATCH(V$1, US_national_yearly!$D$1:$AM$1, 0), FALSE) / VLOOKUP(Substitution!$M$9 &amp; $A19, US_national_yearly!$D:$AM, MATCH(Keys!$C$7, US_national_yearly!$D$1:$AM$1, 0), FALSE), 1)</f>
        <v>1.025350600406564E-4</v>
      </c>
      <c r="W19" s="12">
        <f>$B19 * IFERROR(VLOOKUP(Substitution!$M$9 &amp; $A19, US_national_yearly!$D:$AM, MATCH(W$1, US_national_yearly!$D$1:$AM$1, 0), FALSE) / VLOOKUP(Substitution!$M$9 &amp; $A19, US_national_yearly!$D:$AM, MATCH(Keys!$C$7, US_national_yearly!$D$1:$AM$1, 0), FALSE), 1)</f>
        <v>1.02783547073E-4</v>
      </c>
      <c r="X19" s="12">
        <f>$B19 * IFERROR(VLOOKUP(Substitution!$M$9 &amp; $A19, US_national_yearly!$D:$AM, MATCH(X$1, US_national_yearly!$D$1:$AM$1, 0), FALSE) / VLOOKUP(Substitution!$M$9 &amp; $A19, US_national_yearly!$D:$AM, MATCH(Keys!$C$7, US_national_yearly!$D$1:$AM$1, 0), FALSE), 1)</f>
        <v>1.0318144685771602E-4</v>
      </c>
      <c r="Y19" s="12">
        <f>$B19 * IFERROR(VLOOKUP(Substitution!$M$9 &amp; $A19, US_national_yearly!$D:$AM, MATCH(Y$1, US_national_yearly!$D$1:$AM$1, 0), FALSE) / VLOOKUP(Substitution!$M$9 &amp; $A19, US_national_yearly!$D:$AM, MATCH(Keys!$C$7, US_national_yearly!$D$1:$AM$1, 0), FALSE), 1)</f>
        <v>1.03579346642432E-4</v>
      </c>
      <c r="Z19" s="12">
        <f>$B19 * IFERROR(VLOOKUP(Substitution!$M$9 &amp; $A19, US_national_yearly!$D:$AM, MATCH(Z$1, US_national_yearly!$D$1:$AM$1, 0), FALSE) / VLOOKUP(Substitution!$M$9 &amp; $A19, US_national_yearly!$D:$AM, MATCH(Keys!$C$7, US_national_yearly!$D$1:$AM$1, 0), FALSE), 1)</f>
        <v>1.03977246427148E-4</v>
      </c>
      <c r="AA19" s="12">
        <f>$B19 * IFERROR(VLOOKUP(Substitution!$M$9 &amp; $A19, US_national_yearly!$D:$AM, MATCH(AA$1, US_national_yearly!$D$1:$AM$1, 0), FALSE) / VLOOKUP(Substitution!$M$9 &amp; $A19, US_national_yearly!$D:$AM, MATCH(Keys!$C$7, US_national_yearly!$D$1:$AM$1, 0), FALSE), 1)</f>
        <v>1.04375146211864E-4</v>
      </c>
      <c r="AB19" s="12">
        <f>$B19 * IFERROR(VLOOKUP(Substitution!$M$9 &amp; $A19, US_national_yearly!$D:$AM, MATCH(AB$1, US_national_yearly!$D$1:$AM$1, 0), FALSE) / VLOOKUP(Substitution!$M$9 &amp; $A19, US_national_yearly!$D:$AM, MATCH(Keys!$C$7, US_national_yearly!$D$1:$AM$1, 0), FALSE), 1)</f>
        <v>1.0477304599658001E-4</v>
      </c>
    </row>
    <row r="20" spans="1:28" x14ac:dyDescent="0.25">
      <c r="A20" s="4" t="s">
        <v>327</v>
      </c>
      <c r="B20" s="12">
        <f>IFERROR(VLOOKUP(Substitution!$M$9 &amp; $A20, US_national_yearly!$D:$AM, MATCH(Keys!$C$7, US_national_yearly!$D$1:$AM$1, 0), FALSE), 0)</f>
        <v>7.2985960847754232E-5</v>
      </c>
      <c r="C20" s="12">
        <f>$B20 * IFERROR(VLOOKUP(Substitution!$M$9 &amp; $A20, US_national_yearly!$D:$AM, MATCH(C$1, US_national_yearly!$D$1:$AM$1, 0), FALSE) / VLOOKUP(Substitution!$M$9 &amp; $A20, US_national_yearly!$D:$AM, MATCH(Keys!$C$7, US_national_yearly!$D$1:$AM$1, 0), FALSE), 1)</f>
        <v>7.488428882683537E-5</v>
      </c>
      <c r="D20" s="12">
        <f>$B20 * IFERROR(VLOOKUP(Substitution!$M$9 &amp; $A20, US_national_yearly!$D:$AM, MATCH(D$1, US_national_yearly!$D$1:$AM$1, 0), FALSE) / VLOOKUP(Substitution!$M$9 &amp; $A20, US_national_yearly!$D:$AM, MATCH(Keys!$C$7, US_national_yearly!$D$1:$AM$1, 0), FALSE), 1)</f>
        <v>7.6782616805916521E-5</v>
      </c>
      <c r="E20" s="12">
        <f>$B20 * IFERROR(VLOOKUP(Substitution!$M$9 &amp; $A20, US_national_yearly!$D:$AM, MATCH(E$1, US_national_yearly!$D$1:$AM$1, 0), FALSE) / VLOOKUP(Substitution!$M$9 &amp; $A20, US_national_yearly!$D:$AM, MATCH(Keys!$C$7, US_national_yearly!$D$1:$AM$1, 0), FALSE), 1)</f>
        <v>7.8680944784997658E-5</v>
      </c>
      <c r="F20" s="12">
        <f>$B20 * IFERROR(VLOOKUP(Substitution!$M$9 &amp; $A20, US_national_yearly!$D:$AM, MATCH(F$1, US_national_yearly!$D$1:$AM$1, 0), FALSE) / VLOOKUP(Substitution!$M$9 &amp; $A20, US_national_yearly!$D:$AM, MATCH(Keys!$C$7, US_national_yearly!$D$1:$AM$1, 0), FALSE), 1)</f>
        <v>8.0579272764078795E-5</v>
      </c>
      <c r="G20" s="12">
        <f>$B20 * IFERROR(VLOOKUP(Substitution!$M$9 &amp; $A20, US_national_yearly!$D:$AM, MATCH(G$1, US_national_yearly!$D$1:$AM$1, 0), FALSE) / VLOOKUP(Substitution!$M$9 &amp; $A20, US_national_yearly!$D:$AM, MATCH(Keys!$C$7, US_national_yearly!$D$1:$AM$1, 0), FALSE), 1)</f>
        <v>8.2140576089758088E-5</v>
      </c>
      <c r="H20" s="12">
        <f>$B20 * IFERROR(VLOOKUP(Substitution!$M$9 &amp; $A20, US_national_yearly!$D:$AM, MATCH(H$1, US_national_yearly!$D$1:$AM$1, 0), FALSE) / VLOOKUP(Substitution!$M$9 &amp; $A20, US_national_yearly!$D:$AM, MATCH(Keys!$C$7, US_national_yearly!$D$1:$AM$1, 0), FALSE), 1)</f>
        <v>8.3701879415437394E-5</v>
      </c>
      <c r="I20" s="12">
        <f>$B20 * IFERROR(VLOOKUP(Substitution!$M$9 &amp; $A20, US_national_yearly!$D:$AM, MATCH(I$1, US_national_yearly!$D$1:$AM$1, 0), FALSE) / VLOOKUP(Substitution!$M$9 &amp; $A20, US_national_yearly!$D:$AM, MATCH(Keys!$C$7, US_national_yearly!$D$1:$AM$1, 0), FALSE), 1)</f>
        <v>8.4641460492791798E-5</v>
      </c>
      <c r="J20" s="12">
        <f>$B20 * IFERROR(VLOOKUP(Substitution!$M$9 &amp; $A20, US_national_yearly!$D:$AM, MATCH(J$1, US_national_yearly!$D$1:$AM$1, 0), FALSE) / VLOOKUP(Substitution!$M$9 &amp; $A20, US_national_yearly!$D:$AM, MATCH(Keys!$C$7, US_national_yearly!$D$1:$AM$1, 0), FALSE), 1)</f>
        <v>8.5581041570146203E-5</v>
      </c>
      <c r="K20" s="12">
        <f>$B20 * IFERROR(VLOOKUP(Substitution!$M$9 &amp; $A20, US_national_yearly!$D:$AM, MATCH(K$1, US_national_yearly!$D$1:$AM$1, 0), FALSE) / VLOOKUP(Substitution!$M$9 &amp; $A20, US_national_yearly!$D:$AM, MATCH(Keys!$C$7, US_national_yearly!$D$1:$AM$1, 0), FALSE), 1)</f>
        <v>8.6520622647500608E-5</v>
      </c>
      <c r="L20" s="12">
        <f>$B20 * IFERROR(VLOOKUP(Substitution!$M$9 &amp; $A20, US_national_yearly!$D:$AM, MATCH(L$1, US_national_yearly!$D$1:$AM$1, 0), FALSE) / VLOOKUP(Substitution!$M$9 &amp; $A20, US_national_yearly!$D:$AM, MATCH(Keys!$C$7, US_national_yearly!$D$1:$AM$1, 0), FALSE), 1)</f>
        <v>8.7460203724854999E-5</v>
      </c>
      <c r="M20" s="12">
        <f>$B20 * IFERROR(VLOOKUP(Substitution!$M$9 &amp; $A20, US_national_yearly!$D:$AM, MATCH(M$1, US_national_yearly!$D$1:$AM$1, 0), FALSE) / VLOOKUP(Substitution!$M$9 &amp; $A20, US_national_yearly!$D:$AM, MATCH(Keys!$C$7, US_national_yearly!$D$1:$AM$1, 0), FALSE), 1)</f>
        <v>8.8399784802209403E-5</v>
      </c>
      <c r="N20" s="12">
        <f>$B20 * IFERROR(VLOOKUP(Substitution!$M$9 &amp; $A20, US_national_yearly!$D:$AM, MATCH(N$1, US_national_yearly!$D$1:$AM$1, 0), FALSE) / VLOOKUP(Substitution!$M$9 &amp; $A20, US_national_yearly!$D:$AM, MATCH(Keys!$C$7, US_national_yearly!$D$1:$AM$1, 0), FALSE), 1)</f>
        <v>8.8785279500955364E-5</v>
      </c>
      <c r="O20" s="12">
        <f>$B20 * IFERROR(VLOOKUP(Substitution!$M$9 &amp; $A20, US_national_yearly!$D:$AM, MATCH(O$1, US_national_yearly!$D$1:$AM$1, 0), FALSE) / VLOOKUP(Substitution!$M$9 &amp; $A20, US_national_yearly!$D:$AM, MATCH(Keys!$C$7, US_national_yearly!$D$1:$AM$1, 0), FALSE), 1)</f>
        <v>8.9170774199701325E-5</v>
      </c>
      <c r="P20" s="12">
        <f>$B20 * IFERROR(VLOOKUP(Substitution!$M$9 &amp; $A20, US_national_yearly!$D:$AM, MATCH(P$1, US_national_yearly!$D$1:$AM$1, 0), FALSE) / VLOOKUP(Substitution!$M$9 &amp; $A20, US_national_yearly!$D:$AM, MATCH(Keys!$C$7, US_national_yearly!$D$1:$AM$1, 0), FALSE), 1)</f>
        <v>8.9556268898447272E-5</v>
      </c>
      <c r="Q20" s="12">
        <f>$B20 * IFERROR(VLOOKUP(Substitution!$M$9 &amp; $A20, US_national_yearly!$D:$AM, MATCH(Q$1, US_national_yearly!$D$1:$AM$1, 0), FALSE) / VLOOKUP(Substitution!$M$9 &amp; $A20, US_national_yearly!$D:$AM, MATCH(Keys!$C$7, US_national_yearly!$D$1:$AM$1, 0), FALSE), 1)</f>
        <v>8.9941763597193219E-5</v>
      </c>
      <c r="R20" s="12">
        <f>$B20 * IFERROR(VLOOKUP(Substitution!$M$9 &amp; $A20, US_national_yearly!$D:$AM, MATCH(R$1, US_national_yearly!$D$1:$AM$1, 0), FALSE) / VLOOKUP(Substitution!$M$9 &amp; $A20, US_national_yearly!$D:$AM, MATCH(Keys!$C$7, US_national_yearly!$D$1:$AM$1, 0), FALSE), 1)</f>
        <v>9.0327258295939194E-5</v>
      </c>
      <c r="S20" s="12">
        <f>$B20 * IFERROR(VLOOKUP(Substitution!$M$9 &amp; $A20, US_national_yearly!$D:$AM, MATCH(S$1, US_national_yearly!$D$1:$AM$1, 0), FALSE) / VLOOKUP(Substitution!$M$9 &amp; $A20, US_national_yearly!$D:$AM, MATCH(Keys!$C$7, US_national_yearly!$D$1:$AM$1, 0), FALSE), 1)</f>
        <v>9.0498959750180791E-5</v>
      </c>
      <c r="T20" s="12">
        <f>$B20 * IFERROR(VLOOKUP(Substitution!$M$9 &amp; $A20, US_national_yearly!$D:$AM, MATCH(T$1, US_national_yearly!$D$1:$AM$1, 0), FALSE) / VLOOKUP(Substitution!$M$9 &amp; $A20, US_national_yearly!$D:$AM, MATCH(Keys!$C$7, US_national_yearly!$D$1:$AM$1, 0), FALSE), 1)</f>
        <v>9.0670661204422388E-5</v>
      </c>
      <c r="U20" s="12">
        <f>$B20 * IFERROR(VLOOKUP(Substitution!$M$9 &amp; $A20, US_national_yearly!$D:$AM, MATCH(U$1, US_national_yearly!$D$1:$AM$1, 0), FALSE) / VLOOKUP(Substitution!$M$9 &amp; $A20, US_national_yearly!$D:$AM, MATCH(Keys!$C$7, US_national_yearly!$D$1:$AM$1, 0), FALSE), 1)</f>
        <v>9.0842362658663986E-5</v>
      </c>
      <c r="V20" s="12">
        <f>$B20 * IFERROR(VLOOKUP(Substitution!$M$9 &amp; $A20, US_national_yearly!$D:$AM, MATCH(V$1, US_national_yearly!$D$1:$AM$1, 0), FALSE) / VLOOKUP(Substitution!$M$9 &amp; $A20, US_national_yearly!$D:$AM, MATCH(Keys!$C$7, US_national_yearly!$D$1:$AM$1, 0), FALSE), 1)</f>
        <v>9.1014064112905597E-5</v>
      </c>
      <c r="W20" s="12">
        <f>$B20 * IFERROR(VLOOKUP(Substitution!$M$9 &amp; $A20, US_national_yearly!$D:$AM, MATCH(W$1, US_national_yearly!$D$1:$AM$1, 0), FALSE) / VLOOKUP(Substitution!$M$9 &amp; $A20, US_national_yearly!$D:$AM, MATCH(Keys!$C$7, US_national_yearly!$D$1:$AM$1, 0), FALSE), 1)</f>
        <v>9.1185765567147194E-5</v>
      </c>
      <c r="X20" s="12">
        <f>$B20 * IFERROR(VLOOKUP(Substitution!$M$9 &amp; $A20, US_national_yearly!$D:$AM, MATCH(X$1, US_national_yearly!$D$1:$AM$1, 0), FALSE) / VLOOKUP(Substitution!$M$9 &amp; $A20, US_national_yearly!$D:$AM, MATCH(Keys!$C$7, US_national_yearly!$D$1:$AM$1, 0), FALSE), 1)</f>
        <v>9.1549535722947232E-5</v>
      </c>
      <c r="Y20" s="12">
        <f>$B20 * IFERROR(VLOOKUP(Substitution!$M$9 &amp; $A20, US_national_yearly!$D:$AM, MATCH(Y$1, US_national_yearly!$D$1:$AM$1, 0), FALSE) / VLOOKUP(Substitution!$M$9 &amp; $A20, US_national_yearly!$D:$AM, MATCH(Keys!$C$7, US_national_yearly!$D$1:$AM$1, 0), FALSE), 1)</f>
        <v>9.191330587874727E-5</v>
      </c>
      <c r="Z20" s="12">
        <f>$B20 * IFERROR(VLOOKUP(Substitution!$M$9 &amp; $A20, US_national_yearly!$D:$AM, MATCH(Z$1, US_national_yearly!$D$1:$AM$1, 0), FALSE) / VLOOKUP(Substitution!$M$9 &amp; $A20, US_national_yearly!$D:$AM, MATCH(Keys!$C$7, US_national_yearly!$D$1:$AM$1, 0), FALSE), 1)</f>
        <v>9.2277076034547322E-5</v>
      </c>
      <c r="AA20" s="12">
        <f>$B20 * IFERROR(VLOOKUP(Substitution!$M$9 &amp; $A20, US_national_yearly!$D:$AM, MATCH(AA$1, US_national_yearly!$D$1:$AM$1, 0), FALSE) / VLOOKUP(Substitution!$M$9 &amp; $A20, US_national_yearly!$D:$AM, MATCH(Keys!$C$7, US_national_yearly!$D$1:$AM$1, 0), FALSE), 1)</f>
        <v>9.264084619034736E-5</v>
      </c>
      <c r="AB20" s="12">
        <f>$B20 * IFERROR(VLOOKUP(Substitution!$M$9 &amp; $A20, US_national_yearly!$D:$AM, MATCH(AB$1, US_national_yearly!$D$1:$AM$1, 0), FALSE) / VLOOKUP(Substitution!$M$9 &amp; $A20, US_national_yearly!$D:$AM, MATCH(Keys!$C$7, US_national_yearly!$D$1:$AM$1, 0), FALSE), 1)</f>
        <v>9.3004616346147398E-5</v>
      </c>
    </row>
    <row r="21" spans="1:28" x14ac:dyDescent="0.25">
      <c r="A21" s="4" t="s">
        <v>329</v>
      </c>
      <c r="B21" s="12">
        <f>IFERROR(VLOOKUP(Substitution!$M$9 &amp; $A21, US_national_yearly!$D:$AM, MATCH(Keys!$C$7, US_national_yearly!$D$1:$AM$1, 0), FALSE), 0)</f>
        <v>1.7178528097873981E-5</v>
      </c>
      <c r="C21" s="12">
        <f>$B21 * IFERROR(VLOOKUP(Substitution!$M$9 &amp; $A21, US_national_yearly!$D:$AM, MATCH(C$1, US_national_yearly!$D$1:$AM$1, 0), FALSE) / VLOOKUP(Substitution!$M$9 &amp; $A21, US_national_yearly!$D:$AM, MATCH(Keys!$C$7, US_national_yearly!$D$1:$AM$1, 0), FALSE), 1)</f>
        <v>1.742397156995576E-5</v>
      </c>
      <c r="D21" s="12">
        <f>$B21 * IFERROR(VLOOKUP(Substitution!$M$9 &amp; $A21, US_national_yearly!$D:$AM, MATCH(D$1, US_national_yearly!$D$1:$AM$1, 0), FALSE) / VLOOKUP(Substitution!$M$9 &amp; $A21, US_national_yearly!$D:$AM, MATCH(Keys!$C$7, US_national_yearly!$D$1:$AM$1, 0), FALSE), 1)</f>
        <v>1.7669415042037539E-5</v>
      </c>
      <c r="E21" s="12">
        <f>$B21 * IFERROR(VLOOKUP(Substitution!$M$9 &amp; $A21, US_national_yearly!$D:$AM, MATCH(E$1, US_national_yearly!$D$1:$AM$1, 0), FALSE) / VLOOKUP(Substitution!$M$9 &amp; $A21, US_national_yearly!$D:$AM, MATCH(Keys!$C$7, US_national_yearly!$D$1:$AM$1, 0), FALSE), 1)</f>
        <v>1.7914858514119321E-5</v>
      </c>
      <c r="F21" s="12">
        <f>$B21 * IFERROR(VLOOKUP(Substitution!$M$9 &amp; $A21, US_national_yearly!$D:$AM, MATCH(F$1, US_national_yearly!$D$1:$AM$1, 0), FALSE) / VLOOKUP(Substitution!$M$9 &amp; $A21, US_national_yearly!$D:$AM, MATCH(Keys!$C$7, US_national_yearly!$D$1:$AM$1, 0), FALSE), 1)</f>
        <v>1.81603019862011E-5</v>
      </c>
      <c r="G21" s="12">
        <f>$B21 * IFERROR(VLOOKUP(Substitution!$M$9 &amp; $A21, US_national_yearly!$D:$AM, MATCH(G$1, US_national_yearly!$D$1:$AM$1, 0), FALSE) / VLOOKUP(Substitution!$M$9 &amp; $A21, US_national_yearly!$D:$AM, MATCH(Keys!$C$7, US_national_yearly!$D$1:$AM$1, 0), FALSE), 1)</f>
        <v>1.8388781251733602E-5</v>
      </c>
      <c r="H21" s="12">
        <f>$B21 * IFERROR(VLOOKUP(Substitution!$M$9 &amp; $A21, US_national_yearly!$D:$AM, MATCH(H$1, US_national_yearly!$D$1:$AM$1, 0), FALSE) / VLOOKUP(Substitution!$M$9 &amp; $A21, US_national_yearly!$D:$AM, MATCH(Keys!$C$7, US_national_yearly!$D$1:$AM$1, 0), FALSE), 1)</f>
        <v>1.86172605172661E-5</v>
      </c>
      <c r="I21" s="12">
        <f>$B21 * IFERROR(VLOOKUP(Substitution!$M$9 &amp; $A21, US_national_yearly!$D:$AM, MATCH(I$1, US_national_yearly!$D$1:$AM$1, 0), FALSE) / VLOOKUP(Substitution!$M$9 &amp; $A21, US_national_yearly!$D:$AM, MATCH(Keys!$C$7, US_national_yearly!$D$1:$AM$1, 0), FALSE), 1)</f>
        <v>1.8794938549388279E-5</v>
      </c>
      <c r="J21" s="12">
        <f>$B21 * IFERROR(VLOOKUP(Substitution!$M$9 &amp; $A21, US_national_yearly!$D:$AM, MATCH(J$1, US_national_yearly!$D$1:$AM$1, 0), FALSE) / VLOOKUP(Substitution!$M$9 &amp; $A21, US_national_yearly!$D:$AM, MATCH(Keys!$C$7, US_national_yearly!$D$1:$AM$1, 0), FALSE), 1)</f>
        <v>1.8972616581510459E-5</v>
      </c>
      <c r="K21" s="12">
        <f>$B21 * IFERROR(VLOOKUP(Substitution!$M$9 &amp; $A21, US_national_yearly!$D:$AM, MATCH(K$1, US_national_yearly!$D$1:$AM$1, 0), FALSE) / VLOOKUP(Substitution!$M$9 &amp; $A21, US_national_yearly!$D:$AM, MATCH(Keys!$C$7, US_national_yearly!$D$1:$AM$1, 0), FALSE), 1)</f>
        <v>1.9150294613632641E-5</v>
      </c>
      <c r="L21" s="12">
        <f>$B21 * IFERROR(VLOOKUP(Substitution!$M$9 &amp; $A21, US_national_yearly!$D:$AM, MATCH(L$1, US_national_yearly!$D$1:$AM$1, 0), FALSE) / VLOOKUP(Substitution!$M$9 &amp; $A21, US_national_yearly!$D:$AM, MATCH(Keys!$C$7, US_national_yearly!$D$1:$AM$1, 0), FALSE), 1)</f>
        <v>1.9327972645754821E-5</v>
      </c>
      <c r="M21" s="12">
        <f>$B21 * IFERROR(VLOOKUP(Substitution!$M$9 &amp; $A21, US_national_yearly!$D:$AM, MATCH(M$1, US_national_yearly!$D$1:$AM$1, 0), FALSE) / VLOOKUP(Substitution!$M$9 &amp; $A21, US_national_yearly!$D:$AM, MATCH(Keys!$C$7, US_national_yearly!$D$1:$AM$1, 0), FALSE), 1)</f>
        <v>1.9505650677877E-5</v>
      </c>
      <c r="N21" s="12">
        <f>$B21 * IFERROR(VLOOKUP(Substitution!$M$9 &amp; $A21, US_national_yearly!$D:$AM, MATCH(N$1, US_national_yearly!$D$1:$AM$1, 0), FALSE) / VLOOKUP(Substitution!$M$9 &amp; $A21, US_national_yearly!$D:$AM, MATCH(Keys!$C$7, US_national_yearly!$D$1:$AM$1, 0), FALSE), 1)</f>
        <v>1.9620160808422065E-5</v>
      </c>
      <c r="O21" s="12">
        <f>$B21 * IFERROR(VLOOKUP(Substitution!$M$9 &amp; $A21, US_national_yearly!$D:$AM, MATCH(O$1, US_national_yearly!$D$1:$AM$1, 0), FALSE) / VLOOKUP(Substitution!$M$9 &amp; $A21, US_national_yearly!$D:$AM, MATCH(Keys!$C$7, US_national_yearly!$D$1:$AM$1, 0), FALSE), 1)</f>
        <v>1.9734670938967119E-5</v>
      </c>
      <c r="P21" s="12">
        <f>$B21 * IFERROR(VLOOKUP(Substitution!$M$9 &amp; $A21, US_national_yearly!$D:$AM, MATCH(P$1, US_national_yearly!$D$1:$AM$1, 0), FALSE) / VLOOKUP(Substitution!$M$9 &amp; $A21, US_national_yearly!$D:$AM, MATCH(Keys!$C$7, US_national_yearly!$D$1:$AM$1, 0), FALSE), 1)</f>
        <v>1.984918106951218E-5</v>
      </c>
      <c r="Q21" s="12">
        <f>$B21 * IFERROR(VLOOKUP(Substitution!$M$9 &amp; $A21, US_national_yearly!$D:$AM, MATCH(Q$1, US_national_yearly!$D$1:$AM$1, 0), FALSE) / VLOOKUP(Substitution!$M$9 &amp; $A21, US_national_yearly!$D:$AM, MATCH(Keys!$C$7, US_national_yearly!$D$1:$AM$1, 0), FALSE), 1)</f>
        <v>1.9963691200057241E-5</v>
      </c>
      <c r="R21" s="12">
        <f>$B21 * IFERROR(VLOOKUP(Substitution!$M$9 &amp; $A21, US_national_yearly!$D:$AM, MATCH(R$1, US_national_yearly!$D$1:$AM$1, 0), FALSE) / VLOOKUP(Substitution!$M$9 &amp; $A21, US_national_yearly!$D:$AM, MATCH(Keys!$C$7, US_national_yearly!$D$1:$AM$1, 0), FALSE), 1)</f>
        <v>2.0078201330602299E-5</v>
      </c>
      <c r="S21" s="12">
        <f>$B21 * IFERROR(VLOOKUP(Substitution!$M$9 &amp; $A21, US_national_yearly!$D:$AM, MATCH(S$1, US_national_yearly!$D$1:$AM$1, 0), FALSE) / VLOOKUP(Substitution!$M$9 &amp; $A21, US_national_yearly!$D:$AM, MATCH(Keys!$C$7, US_national_yearly!$D$1:$AM$1, 0), FALSE), 1)</f>
        <v>2.01645662412896E-5</v>
      </c>
      <c r="T21" s="12">
        <f>$B21 * IFERROR(VLOOKUP(Substitution!$M$9 &amp; $A21, US_national_yearly!$D:$AM, MATCH(T$1, US_national_yearly!$D$1:$AM$1, 0), FALSE) / VLOOKUP(Substitution!$M$9 &amp; $A21, US_national_yearly!$D:$AM, MATCH(Keys!$C$7, US_national_yearly!$D$1:$AM$1, 0), FALSE), 1)</f>
        <v>2.0250931151976899E-5</v>
      </c>
      <c r="U21" s="12">
        <f>$B21 * IFERROR(VLOOKUP(Substitution!$M$9 &amp; $A21, US_national_yearly!$D:$AM, MATCH(U$1, US_national_yearly!$D$1:$AM$1, 0), FALSE) / VLOOKUP(Substitution!$M$9 &amp; $A21, US_national_yearly!$D:$AM, MATCH(Keys!$C$7, US_national_yearly!$D$1:$AM$1, 0), FALSE), 1)</f>
        <v>2.03372960626642E-5</v>
      </c>
      <c r="V21" s="12">
        <f>$B21 * IFERROR(VLOOKUP(Substitution!$M$9 &amp; $A21, US_national_yearly!$D:$AM, MATCH(V$1, US_national_yearly!$D$1:$AM$1, 0), FALSE) / VLOOKUP(Substitution!$M$9 &amp; $A21, US_national_yearly!$D:$AM, MATCH(Keys!$C$7, US_national_yearly!$D$1:$AM$1, 0), FALSE), 1)</f>
        <v>2.0423660973351499E-5</v>
      </c>
      <c r="W21" s="12">
        <f>$B21 * IFERROR(VLOOKUP(Substitution!$M$9 &amp; $A21, US_national_yearly!$D:$AM, MATCH(W$1, US_national_yearly!$D$1:$AM$1, 0), FALSE) / VLOOKUP(Substitution!$M$9 &amp; $A21, US_national_yearly!$D:$AM, MATCH(Keys!$C$7, US_national_yearly!$D$1:$AM$1, 0), FALSE), 1)</f>
        <v>2.0510025884038797E-5</v>
      </c>
      <c r="X21" s="12">
        <f>$B21 * IFERROR(VLOOKUP(Substitution!$M$9 &amp; $A21, US_national_yearly!$D:$AM, MATCH(X$1, US_national_yearly!$D$1:$AM$1, 0), FALSE) / VLOOKUP(Substitution!$M$9 &amp; $A21, US_national_yearly!$D:$AM, MATCH(Keys!$C$7, US_national_yearly!$D$1:$AM$1, 0), FALSE), 1)</f>
        <v>2.0605799130064561E-5</v>
      </c>
      <c r="Y21" s="12">
        <f>$B21 * IFERROR(VLOOKUP(Substitution!$M$9 &amp; $A21, US_national_yearly!$D:$AM, MATCH(Y$1, US_national_yearly!$D$1:$AM$1, 0), FALSE) / VLOOKUP(Substitution!$M$9 &amp; $A21, US_national_yearly!$D:$AM, MATCH(Keys!$C$7, US_national_yearly!$D$1:$AM$1, 0), FALSE), 1)</f>
        <v>2.0701572376090322E-5</v>
      </c>
      <c r="Z21" s="12">
        <f>$B21 * IFERROR(VLOOKUP(Substitution!$M$9 &amp; $A21, US_national_yearly!$D:$AM, MATCH(Z$1, US_national_yearly!$D$1:$AM$1, 0), FALSE) / VLOOKUP(Substitution!$M$9 &amp; $A21, US_national_yearly!$D:$AM, MATCH(Keys!$C$7, US_national_yearly!$D$1:$AM$1, 0), FALSE), 1)</f>
        <v>2.0797345622116079E-5</v>
      </c>
      <c r="AA21" s="12">
        <f>$B21 * IFERROR(VLOOKUP(Substitution!$M$9 &amp; $A21, US_national_yearly!$D:$AM, MATCH(AA$1, US_national_yearly!$D$1:$AM$1, 0), FALSE) / VLOOKUP(Substitution!$M$9 &amp; $A21, US_national_yearly!$D:$AM, MATCH(Keys!$C$7, US_national_yearly!$D$1:$AM$1, 0), FALSE), 1)</f>
        <v>2.0893118868141839E-5</v>
      </c>
      <c r="AB21" s="12">
        <f>$B21 * IFERROR(VLOOKUP(Substitution!$M$9 &amp; $A21, US_national_yearly!$D:$AM, MATCH(AB$1, US_national_yearly!$D$1:$AM$1, 0), FALSE) / VLOOKUP(Substitution!$M$9 &amp; $A21, US_national_yearly!$D:$AM, MATCH(Keys!$C$7, US_national_yearly!$D$1:$AM$1, 0), FALSE), 1)</f>
        <v>2.09888921141676E-5</v>
      </c>
    </row>
    <row r="22" spans="1:28" x14ac:dyDescent="0.25">
      <c r="A22" s="4" t="s">
        <v>331</v>
      </c>
      <c r="B22" s="12">
        <f>IFERROR(VLOOKUP(Substitution!$M$9 &amp; $A22, US_national_yearly!$D:$AM, MATCH(Keys!$C$7, US_national_yearly!$D$1:$AM$1, 0), FALSE), 0)</f>
        <v>3.650038014527396E-4</v>
      </c>
      <c r="C22" s="12">
        <f>$B22 * IFERROR(VLOOKUP(Substitution!$M$9 &amp; $A22, US_national_yearly!$D:$AM, MATCH(C$1, US_national_yearly!$D$1:$AM$1, 0), FALSE) / VLOOKUP(Substitution!$M$9 &amp; $A22, US_national_yearly!$D:$AM, MATCH(Keys!$C$7, US_national_yearly!$D$1:$AM$1, 0), FALSE), 1)</f>
        <v>3.7148327593387214E-4</v>
      </c>
      <c r="D22" s="12">
        <f>$B22 * IFERROR(VLOOKUP(Substitution!$M$9 &amp; $A22, US_national_yearly!$D:$AM, MATCH(D$1, US_national_yearly!$D$1:$AM$1, 0), FALSE) / VLOOKUP(Substitution!$M$9 &amp; $A22, US_national_yearly!$D:$AM, MATCH(Keys!$C$7, US_national_yearly!$D$1:$AM$1, 0), FALSE), 1)</f>
        <v>3.7796275041500479E-4</v>
      </c>
      <c r="E22" s="12">
        <f>$B22 * IFERROR(VLOOKUP(Substitution!$M$9 &amp; $A22, US_national_yearly!$D:$AM, MATCH(E$1, US_national_yearly!$D$1:$AM$1, 0), FALSE) / VLOOKUP(Substitution!$M$9 &amp; $A22, US_national_yearly!$D:$AM, MATCH(Keys!$C$7, US_national_yearly!$D$1:$AM$1, 0), FALSE), 1)</f>
        <v>3.8444222489613739E-4</v>
      </c>
      <c r="F22" s="12">
        <f>$B22 * IFERROR(VLOOKUP(Substitution!$M$9 &amp; $A22, US_national_yearly!$D:$AM, MATCH(F$1, US_national_yearly!$D$1:$AM$1, 0), FALSE) / VLOOKUP(Substitution!$M$9 &amp; $A22, US_national_yearly!$D:$AM, MATCH(Keys!$C$7, US_national_yearly!$D$1:$AM$1, 0), FALSE), 1)</f>
        <v>3.9092169937726993E-4</v>
      </c>
      <c r="G22" s="12">
        <f>$B22 * IFERROR(VLOOKUP(Substitution!$M$9 &amp; $A22, US_national_yearly!$D:$AM, MATCH(G$1, US_national_yearly!$D$1:$AM$1, 0), FALSE) / VLOOKUP(Substitution!$M$9 &amp; $A22, US_national_yearly!$D:$AM, MATCH(Keys!$C$7, US_national_yearly!$D$1:$AM$1, 0), FALSE), 1)</f>
        <v>3.9726565272835802E-4</v>
      </c>
      <c r="H22" s="12">
        <f>$B22 * IFERROR(VLOOKUP(Substitution!$M$9 &amp; $A22, US_national_yearly!$D:$AM, MATCH(H$1, US_national_yearly!$D$1:$AM$1, 0), FALSE) / VLOOKUP(Substitution!$M$9 &amp; $A22, US_national_yearly!$D:$AM, MATCH(Keys!$C$7, US_national_yearly!$D$1:$AM$1, 0), FALSE), 1)</f>
        <v>4.0360960607944605E-4</v>
      </c>
      <c r="I22" s="12">
        <f>$B22 * IFERROR(VLOOKUP(Substitution!$M$9 &amp; $A22, US_national_yearly!$D:$AM, MATCH(I$1, US_national_yearly!$D$1:$AM$1, 0), FALSE) / VLOOKUP(Substitution!$M$9 &amp; $A22, US_national_yearly!$D:$AM, MATCH(Keys!$C$7, US_national_yearly!$D$1:$AM$1, 0), FALSE), 1)</f>
        <v>4.0973634847527181E-4</v>
      </c>
      <c r="J22" s="12">
        <f>$B22 * IFERROR(VLOOKUP(Substitution!$M$9 &amp; $A22, US_national_yearly!$D:$AM, MATCH(J$1, US_national_yearly!$D$1:$AM$1, 0), FALSE) / VLOOKUP(Substitution!$M$9 &amp; $A22, US_national_yearly!$D:$AM, MATCH(Keys!$C$7, US_national_yearly!$D$1:$AM$1, 0), FALSE), 1)</f>
        <v>4.1586309087109758E-4</v>
      </c>
      <c r="K22" s="12">
        <f>$B22 * IFERROR(VLOOKUP(Substitution!$M$9 &amp; $A22, US_national_yearly!$D:$AM, MATCH(K$1, US_national_yearly!$D$1:$AM$1, 0), FALSE) / VLOOKUP(Substitution!$M$9 &amp; $A22, US_national_yearly!$D:$AM, MATCH(Keys!$C$7, US_national_yearly!$D$1:$AM$1, 0), FALSE), 1)</f>
        <v>4.2198983326692334E-4</v>
      </c>
      <c r="L22" s="12">
        <f>$B22 * IFERROR(VLOOKUP(Substitution!$M$9 &amp; $A22, US_national_yearly!$D:$AM, MATCH(L$1, US_national_yearly!$D$1:$AM$1, 0), FALSE) / VLOOKUP(Substitution!$M$9 &amp; $A22, US_national_yearly!$D:$AM, MATCH(Keys!$C$7, US_national_yearly!$D$1:$AM$1, 0), FALSE), 1)</f>
        <v>4.2811657566274927E-4</v>
      </c>
      <c r="M22" s="12">
        <f>$B22 * IFERROR(VLOOKUP(Substitution!$M$9 &amp; $A22, US_national_yearly!$D:$AM, MATCH(M$1, US_national_yearly!$D$1:$AM$1, 0), FALSE) / VLOOKUP(Substitution!$M$9 &amp; $A22, US_national_yearly!$D:$AM, MATCH(Keys!$C$7, US_national_yearly!$D$1:$AM$1, 0), FALSE), 1)</f>
        <v>4.3424331805857498E-4</v>
      </c>
      <c r="N22" s="12">
        <f>$B22 * IFERROR(VLOOKUP(Substitution!$M$9 &amp; $A22, US_national_yearly!$D:$AM, MATCH(N$1, US_national_yearly!$D$1:$AM$1, 0), FALSE) / VLOOKUP(Substitution!$M$9 &amp; $A22, US_national_yearly!$D:$AM, MATCH(Keys!$C$7, US_national_yearly!$D$1:$AM$1, 0), FALSE), 1)</f>
        <v>4.3903668538819728E-4</v>
      </c>
      <c r="O22" s="12">
        <f>$B22 * IFERROR(VLOOKUP(Substitution!$M$9 &amp; $A22, US_national_yearly!$D:$AM, MATCH(O$1, US_national_yearly!$D$1:$AM$1, 0), FALSE) / VLOOKUP(Substitution!$M$9 &amp; $A22, US_national_yearly!$D:$AM, MATCH(Keys!$C$7, US_national_yearly!$D$1:$AM$1, 0), FALSE), 1)</f>
        <v>4.4383005271781935E-4</v>
      </c>
      <c r="P22" s="12">
        <f>$B22 * IFERROR(VLOOKUP(Substitution!$M$9 &amp; $A22, US_national_yearly!$D:$AM, MATCH(P$1, US_national_yearly!$D$1:$AM$1, 0), FALSE) / VLOOKUP(Substitution!$M$9 &amp; $A22, US_national_yearly!$D:$AM, MATCH(Keys!$C$7, US_national_yearly!$D$1:$AM$1, 0), FALSE), 1)</f>
        <v>4.4862342004744154E-4</v>
      </c>
      <c r="Q22" s="12">
        <f>$B22 * IFERROR(VLOOKUP(Substitution!$M$9 &amp; $A22, US_national_yearly!$D:$AM, MATCH(Q$1, US_national_yearly!$D$1:$AM$1, 0), FALSE) / VLOOKUP(Substitution!$M$9 &amp; $A22, US_national_yearly!$D:$AM, MATCH(Keys!$C$7, US_national_yearly!$D$1:$AM$1, 0), FALSE), 1)</f>
        <v>4.5341678737706377E-4</v>
      </c>
      <c r="R22" s="12">
        <f>$B22 * IFERROR(VLOOKUP(Substitution!$M$9 &amp; $A22, US_national_yearly!$D:$AM, MATCH(R$1, US_national_yearly!$D$1:$AM$1, 0), FALSE) / VLOOKUP(Substitution!$M$9 &amp; $A22, US_national_yearly!$D:$AM, MATCH(Keys!$C$7, US_national_yearly!$D$1:$AM$1, 0), FALSE), 1)</f>
        <v>4.5821015470668601E-4</v>
      </c>
      <c r="S22" s="12">
        <f>$B22 * IFERROR(VLOOKUP(Substitution!$M$9 &amp; $A22, US_national_yearly!$D:$AM, MATCH(S$1, US_national_yearly!$D$1:$AM$1, 0), FALSE) / VLOOKUP(Substitution!$M$9 &amp; $A22, US_national_yearly!$D:$AM, MATCH(Keys!$C$7, US_national_yearly!$D$1:$AM$1, 0), FALSE), 1)</f>
        <v>4.6138580360968479E-4</v>
      </c>
      <c r="T22" s="12">
        <f>$B22 * IFERROR(VLOOKUP(Substitution!$M$9 &amp; $A22, US_national_yearly!$D:$AM, MATCH(T$1, US_national_yearly!$D$1:$AM$1, 0), FALSE) / VLOOKUP(Substitution!$M$9 &amp; $A22, US_national_yearly!$D:$AM, MATCH(Keys!$C$7, US_national_yearly!$D$1:$AM$1, 0), FALSE), 1)</f>
        <v>4.6456145251268352E-4</v>
      </c>
      <c r="U22" s="12">
        <f>$B22 * IFERROR(VLOOKUP(Substitution!$M$9 &amp; $A22, US_national_yearly!$D:$AM, MATCH(U$1, US_national_yearly!$D$1:$AM$1, 0), FALSE) / VLOOKUP(Substitution!$M$9 &amp; $A22, US_national_yearly!$D:$AM, MATCH(Keys!$C$7, US_national_yearly!$D$1:$AM$1, 0), FALSE), 1)</f>
        <v>4.6773710141568235E-4</v>
      </c>
      <c r="V22" s="12">
        <f>$B22 * IFERROR(VLOOKUP(Substitution!$M$9 &amp; $A22, US_national_yearly!$D:$AM, MATCH(V$1, US_national_yearly!$D$1:$AM$1, 0), FALSE) / VLOOKUP(Substitution!$M$9 &amp; $A22, US_national_yearly!$D:$AM, MATCH(Keys!$C$7, US_national_yearly!$D$1:$AM$1, 0), FALSE), 1)</f>
        <v>4.7091275031868119E-4</v>
      </c>
      <c r="W22" s="12">
        <f>$B22 * IFERROR(VLOOKUP(Substitution!$M$9 &amp; $A22, US_national_yearly!$D:$AM, MATCH(W$1, US_national_yearly!$D$1:$AM$1, 0), FALSE) / VLOOKUP(Substitution!$M$9 &amp; $A22, US_national_yearly!$D:$AM, MATCH(Keys!$C$7, US_national_yearly!$D$1:$AM$1, 0), FALSE), 1)</f>
        <v>4.7408839922168002E-4</v>
      </c>
      <c r="X22" s="12">
        <f>$B22 * IFERROR(VLOOKUP(Substitution!$M$9 &amp; $A22, US_national_yearly!$D:$AM, MATCH(X$1, US_national_yearly!$D$1:$AM$1, 0), FALSE) / VLOOKUP(Substitution!$M$9 &amp; $A22, US_national_yearly!$D:$AM, MATCH(Keys!$C$7, US_national_yearly!$D$1:$AM$1, 0), FALSE), 1)</f>
        <v>4.7631324498838122E-4</v>
      </c>
      <c r="Y22" s="12">
        <f>$B22 * IFERROR(VLOOKUP(Substitution!$M$9 &amp; $A22, US_national_yearly!$D:$AM, MATCH(Y$1, US_national_yearly!$D$1:$AM$1, 0), FALSE) / VLOOKUP(Substitution!$M$9 &amp; $A22, US_national_yearly!$D:$AM, MATCH(Keys!$C$7, US_national_yearly!$D$1:$AM$1, 0), FALSE), 1)</f>
        <v>4.7853809075508246E-4</v>
      </c>
      <c r="Z22" s="12">
        <f>$B22 * IFERROR(VLOOKUP(Substitution!$M$9 &amp; $A22, US_national_yearly!$D:$AM, MATCH(Z$1, US_national_yearly!$D$1:$AM$1, 0), FALSE) / VLOOKUP(Substitution!$M$9 &amp; $A22, US_national_yearly!$D:$AM, MATCH(Keys!$C$7, US_national_yearly!$D$1:$AM$1, 0), FALSE), 1)</f>
        <v>4.8076293652178366E-4</v>
      </c>
      <c r="AA22" s="12">
        <f>$B22 * IFERROR(VLOOKUP(Substitution!$M$9 &amp; $A22, US_national_yearly!$D:$AM, MATCH(AA$1, US_national_yearly!$D$1:$AM$1, 0), FALSE) / VLOOKUP(Substitution!$M$9 &amp; $A22, US_national_yearly!$D:$AM, MATCH(Keys!$C$7, US_national_yearly!$D$1:$AM$1, 0), FALSE), 1)</f>
        <v>4.8298778228848485E-4</v>
      </c>
      <c r="AB22" s="12">
        <f>$B22 * IFERROR(VLOOKUP(Substitution!$M$9 &amp; $A22, US_national_yearly!$D:$AM, MATCH(AB$1, US_national_yearly!$D$1:$AM$1, 0), FALSE) / VLOOKUP(Substitution!$M$9 &amp; $A22, US_national_yearly!$D:$AM, MATCH(Keys!$C$7, US_national_yearly!$D$1:$AM$1, 0), FALSE), 1)</f>
        <v>4.8521262805518604E-4</v>
      </c>
    </row>
    <row r="23" spans="1:28" x14ac:dyDescent="0.25">
      <c r="A23" s="4" t="s">
        <v>333</v>
      </c>
      <c r="B23" s="12">
        <f>IFERROR(VLOOKUP(Substitution!$M$9 &amp; $A23, US_national_yearly!$D:$AM, MATCH(Keys!$C$7, US_national_yearly!$D$1:$AM$1, 0), FALSE), 0)</f>
        <v>2.2334311087993162</v>
      </c>
      <c r="C23" s="12">
        <f>$B23 * IFERROR(VLOOKUP(Substitution!$M$9 &amp; $A23, US_national_yearly!$D:$AM, MATCH(C$1, US_national_yearly!$D$1:$AM$1, 0), FALSE) / VLOOKUP(Substitution!$M$9 &amp; $A23, US_national_yearly!$D:$AM, MATCH(Keys!$C$7, US_national_yearly!$D$1:$AM$1, 0), FALSE), 1)</f>
        <v>2.2569656827797919</v>
      </c>
      <c r="D23" s="12">
        <f>$B23 * IFERROR(VLOOKUP(Substitution!$M$9 &amp; $A23, US_national_yearly!$D:$AM, MATCH(D$1, US_national_yearly!$D$1:$AM$1, 0), FALSE) / VLOOKUP(Substitution!$M$9 &amp; $A23, US_national_yearly!$D:$AM, MATCH(Keys!$C$7, US_national_yearly!$D$1:$AM$1, 0), FALSE), 1)</f>
        <v>2.2805002567602681</v>
      </c>
      <c r="E23" s="12">
        <f>$B23 * IFERROR(VLOOKUP(Substitution!$M$9 &amp; $A23, US_national_yearly!$D:$AM, MATCH(E$1, US_national_yearly!$D$1:$AM$1, 0), FALSE) / VLOOKUP(Substitution!$M$9 &amp; $A23, US_national_yearly!$D:$AM, MATCH(Keys!$C$7, US_national_yearly!$D$1:$AM$1, 0), FALSE), 1)</f>
        <v>2.3040348307407439</v>
      </c>
      <c r="F23" s="12">
        <f>$B23 * IFERROR(VLOOKUP(Substitution!$M$9 &amp; $A23, US_national_yearly!$D:$AM, MATCH(F$1, US_national_yearly!$D$1:$AM$1, 0), FALSE) / VLOOKUP(Substitution!$M$9 &amp; $A23, US_national_yearly!$D:$AM, MATCH(Keys!$C$7, US_national_yearly!$D$1:$AM$1, 0), FALSE), 1)</f>
        <v>2.3275694047212201</v>
      </c>
      <c r="G23" s="12">
        <f>$B23 * IFERROR(VLOOKUP(Substitution!$M$9 &amp; $A23, US_national_yearly!$D:$AM, MATCH(G$1, US_national_yearly!$D$1:$AM$1, 0), FALSE) / VLOOKUP(Substitution!$M$9 &amp; $A23, US_national_yearly!$D:$AM, MATCH(Keys!$C$7, US_national_yearly!$D$1:$AM$1, 0), FALSE), 1)</f>
        <v>2.3541657912581</v>
      </c>
      <c r="H23" s="12">
        <f>$B23 * IFERROR(VLOOKUP(Substitution!$M$9 &amp; $A23, US_national_yearly!$D:$AM, MATCH(H$1, US_national_yearly!$D$1:$AM$1, 0), FALSE) / VLOOKUP(Substitution!$M$9 &amp; $A23, US_national_yearly!$D:$AM, MATCH(Keys!$C$7, US_national_yearly!$D$1:$AM$1, 0), FALSE), 1)</f>
        <v>2.3807621777949799</v>
      </c>
      <c r="I23" s="12">
        <f>$B23 * IFERROR(VLOOKUP(Substitution!$M$9 &amp; $A23, US_national_yearly!$D:$AM, MATCH(I$1, US_national_yearly!$D$1:$AM$1, 0), FALSE) / VLOOKUP(Substitution!$M$9 &amp; $A23, US_national_yearly!$D:$AM, MATCH(Keys!$C$7, US_national_yearly!$D$1:$AM$1, 0), FALSE), 1)</f>
        <v>2.4010098355538938</v>
      </c>
      <c r="J23" s="12">
        <f>$B23 * IFERROR(VLOOKUP(Substitution!$M$9 &amp; $A23, US_national_yearly!$D:$AM, MATCH(J$1, US_national_yearly!$D$1:$AM$1, 0), FALSE) / VLOOKUP(Substitution!$M$9 &amp; $A23, US_national_yearly!$D:$AM, MATCH(Keys!$C$7, US_national_yearly!$D$1:$AM$1, 0), FALSE), 1)</f>
        <v>2.4212574933128082</v>
      </c>
      <c r="K23" s="12">
        <f>$B23 * IFERROR(VLOOKUP(Substitution!$M$9 &amp; $A23, US_national_yearly!$D:$AM, MATCH(K$1, US_national_yearly!$D$1:$AM$1, 0), FALSE) / VLOOKUP(Substitution!$M$9 &amp; $A23, US_national_yearly!$D:$AM, MATCH(Keys!$C$7, US_national_yearly!$D$1:$AM$1, 0), FALSE), 1)</f>
        <v>2.4415051510717221</v>
      </c>
      <c r="L23" s="12">
        <f>$B23 * IFERROR(VLOOKUP(Substitution!$M$9 &amp; $A23, US_national_yearly!$D:$AM, MATCH(L$1, US_national_yearly!$D$1:$AM$1, 0), FALSE) / VLOOKUP(Substitution!$M$9 &amp; $A23, US_national_yearly!$D:$AM, MATCH(Keys!$C$7, US_national_yearly!$D$1:$AM$1, 0), FALSE), 1)</f>
        <v>2.461752808830636</v>
      </c>
      <c r="M23" s="12">
        <f>$B23 * IFERROR(VLOOKUP(Substitution!$M$9 &amp; $A23, US_national_yearly!$D:$AM, MATCH(M$1, US_national_yearly!$D$1:$AM$1, 0), FALSE) / VLOOKUP(Substitution!$M$9 &amp; $A23, US_national_yearly!$D:$AM, MATCH(Keys!$C$7, US_national_yearly!$D$1:$AM$1, 0), FALSE), 1)</f>
        <v>2.4820004665895499</v>
      </c>
      <c r="N23" s="12">
        <f>$B23 * IFERROR(VLOOKUP(Substitution!$M$9 &amp; $A23, US_national_yearly!$D:$AM, MATCH(N$1, US_national_yearly!$D$1:$AM$1, 0), FALSE) / VLOOKUP(Substitution!$M$9 &amp; $A23, US_national_yearly!$D:$AM, MATCH(Keys!$C$7, US_national_yearly!$D$1:$AM$1, 0), FALSE), 1)</f>
        <v>2.492119182967774</v>
      </c>
      <c r="O23" s="12">
        <f>$B23 * IFERROR(VLOOKUP(Substitution!$M$9 &amp; $A23, US_national_yearly!$D:$AM, MATCH(O$1, US_national_yearly!$D$1:$AM$1, 0), FALSE) / VLOOKUP(Substitution!$M$9 &amp; $A23, US_national_yearly!$D:$AM, MATCH(Keys!$C$7, US_national_yearly!$D$1:$AM$1, 0), FALSE), 1)</f>
        <v>2.5022378993459982</v>
      </c>
      <c r="P23" s="12">
        <f>$B23 * IFERROR(VLOOKUP(Substitution!$M$9 &amp; $A23, US_national_yearly!$D:$AM, MATCH(P$1, US_national_yearly!$D$1:$AM$1, 0), FALSE) / VLOOKUP(Substitution!$M$9 &amp; $A23, US_national_yearly!$D:$AM, MATCH(Keys!$C$7, US_national_yearly!$D$1:$AM$1, 0), FALSE), 1)</f>
        <v>2.5123566157242219</v>
      </c>
      <c r="Q23" s="12">
        <f>$B23 * IFERROR(VLOOKUP(Substitution!$M$9 &amp; $A23, US_national_yearly!$D:$AM, MATCH(Q$1, US_national_yearly!$D$1:$AM$1, 0), FALSE) / VLOOKUP(Substitution!$M$9 &amp; $A23, US_national_yearly!$D:$AM, MATCH(Keys!$C$7, US_national_yearly!$D$1:$AM$1, 0), FALSE), 1)</f>
        <v>2.522475332102446</v>
      </c>
      <c r="R23" s="12">
        <f>$B23 * IFERROR(VLOOKUP(Substitution!$M$9 &amp; $A23, US_national_yearly!$D:$AM, MATCH(R$1, US_national_yearly!$D$1:$AM$1, 0), FALSE) / VLOOKUP(Substitution!$M$9 &amp; $A23, US_national_yearly!$D:$AM, MATCH(Keys!$C$7, US_national_yearly!$D$1:$AM$1, 0), FALSE), 1)</f>
        <v>2.5325940484806702</v>
      </c>
      <c r="S23" s="12">
        <f>$B23 * IFERROR(VLOOKUP(Substitution!$M$9 &amp; $A23, US_national_yearly!$D:$AM, MATCH(S$1, US_national_yearly!$D$1:$AM$1, 0), FALSE) / VLOOKUP(Substitution!$M$9 &amp; $A23, US_national_yearly!$D:$AM, MATCH(Keys!$C$7, US_national_yearly!$D$1:$AM$1, 0), FALSE), 1)</f>
        <v>2.5443432204282281</v>
      </c>
      <c r="T23" s="12">
        <f>$B23 * IFERROR(VLOOKUP(Substitution!$M$9 &amp; $A23, US_national_yearly!$D:$AM, MATCH(T$1, US_national_yearly!$D$1:$AM$1, 0), FALSE) / VLOOKUP(Substitution!$M$9 &amp; $A23, US_national_yearly!$D:$AM, MATCH(Keys!$C$7, US_national_yearly!$D$1:$AM$1, 0), FALSE), 1)</f>
        <v>2.5560923923757866</v>
      </c>
      <c r="U23" s="12">
        <f>$B23 * IFERROR(VLOOKUP(Substitution!$M$9 &amp; $A23, US_national_yearly!$D:$AM, MATCH(U$1, US_national_yearly!$D$1:$AM$1, 0), FALSE) / VLOOKUP(Substitution!$M$9 &amp; $A23, US_national_yearly!$D:$AM, MATCH(Keys!$C$7, US_national_yearly!$D$1:$AM$1, 0), FALSE), 1)</f>
        <v>2.5678415643233441</v>
      </c>
      <c r="V23" s="12">
        <f>$B23 * IFERROR(VLOOKUP(Substitution!$M$9 &amp; $A23, US_national_yearly!$D:$AM, MATCH(V$1, US_national_yearly!$D$1:$AM$1, 0), FALSE) / VLOOKUP(Substitution!$M$9 &amp; $A23, US_national_yearly!$D:$AM, MATCH(Keys!$C$7, US_national_yearly!$D$1:$AM$1, 0), FALSE), 1)</f>
        <v>2.5795907362709021</v>
      </c>
      <c r="W23" s="12">
        <f>$B23 * IFERROR(VLOOKUP(Substitution!$M$9 &amp; $A23, US_national_yearly!$D:$AM, MATCH(W$1, US_national_yearly!$D$1:$AM$1, 0), FALSE) / VLOOKUP(Substitution!$M$9 &amp; $A23, US_national_yearly!$D:$AM, MATCH(Keys!$C$7, US_national_yearly!$D$1:$AM$1, 0), FALSE), 1)</f>
        <v>2.5913399082184601</v>
      </c>
      <c r="X23" s="12">
        <f>$B23 * IFERROR(VLOOKUP(Substitution!$M$9 &amp; $A23, US_national_yearly!$D:$AM, MATCH(X$1, US_national_yearly!$D$1:$AM$1, 0), FALSE) / VLOOKUP(Substitution!$M$9 &amp; $A23, US_national_yearly!$D:$AM, MATCH(Keys!$C$7, US_national_yearly!$D$1:$AM$1, 0), FALSE), 1)</f>
        <v>2.6034915618387822</v>
      </c>
      <c r="Y23" s="12">
        <f>$B23 * IFERROR(VLOOKUP(Substitution!$M$9 &amp; $A23, US_national_yearly!$D:$AM, MATCH(Y$1, US_national_yearly!$D$1:$AM$1, 0), FALSE) / VLOOKUP(Substitution!$M$9 &amp; $A23, US_national_yearly!$D:$AM, MATCH(Keys!$C$7, US_national_yearly!$D$1:$AM$1, 0), FALSE), 1)</f>
        <v>2.6156432154591038</v>
      </c>
      <c r="Z23" s="12">
        <f>$B23 * IFERROR(VLOOKUP(Substitution!$M$9 &amp; $A23, US_national_yearly!$D:$AM, MATCH(Z$1, US_national_yearly!$D$1:$AM$1, 0), FALSE) / VLOOKUP(Substitution!$M$9 &amp; $A23, US_national_yearly!$D:$AM, MATCH(Keys!$C$7, US_national_yearly!$D$1:$AM$1, 0), FALSE), 1)</f>
        <v>2.6277948690794259</v>
      </c>
      <c r="AA23" s="12">
        <f>$B23 * IFERROR(VLOOKUP(Substitution!$M$9 &amp; $A23, US_national_yearly!$D:$AM, MATCH(AA$1, US_national_yearly!$D$1:$AM$1, 0), FALSE) / VLOOKUP(Substitution!$M$9 &amp; $A23, US_national_yearly!$D:$AM, MATCH(Keys!$C$7, US_national_yearly!$D$1:$AM$1, 0), FALSE), 1)</f>
        <v>2.6399465226997481</v>
      </c>
      <c r="AB23" s="12">
        <f>$B23 * IFERROR(VLOOKUP(Substitution!$M$9 &amp; $A23, US_national_yearly!$D:$AM, MATCH(AB$1, US_national_yearly!$D$1:$AM$1, 0), FALSE) / VLOOKUP(Substitution!$M$9 &amp; $A23, US_national_yearly!$D:$AM, MATCH(Keys!$C$7, US_national_yearly!$D$1:$AM$1, 0), FALSE), 1)</f>
        <v>2.6520981763200702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Substitution!$G$10)/IFERROR(SUMIFS(COBRA_aggregated!$V:$V, COBRA_aggregated!$A:$A, About!$B$1, COBRA_aggregated!$B:$B, Substitution!$G$10), 1)</f>
        <v>3.579400393646009E-3</v>
      </c>
      <c r="C2" s="12">
        <f>$B2 * IFERROR(VLOOKUP(Substitution!$M$10 &amp; $A2, US_national_yearly!$D:$AM, MATCH(C$1, US_national_yearly!$D$1:$AM$1, 0), FALSE) / VLOOKUP(Substitution!$M$10 &amp; $A2, US_national_yearly!$D:$AM, MATCH(Keys!$C$7, US_national_yearly!$D$1:$AM$1, 0), FALSE), 1)</f>
        <v>3.6252891324835305E-3</v>
      </c>
      <c r="D2" s="12">
        <f>$B2 * IFERROR(VLOOKUP(Substitution!$M$10 &amp; $A2, US_national_yearly!$D:$AM, MATCH(D$1, US_national_yearly!$D$1:$AM$1, 0), FALSE) / VLOOKUP(Substitution!$M$10 &amp; $A2, US_national_yearly!$D:$AM, MATCH(Keys!$C$7, US_national_yearly!$D$1:$AM$1, 0), FALSE), 1)</f>
        <v>3.6711778713210512E-3</v>
      </c>
      <c r="E2" s="12">
        <f>$B2 * IFERROR(VLOOKUP(Substitution!$M$10 &amp; $A2, US_national_yearly!$D:$AM, MATCH(E$1, US_national_yearly!$D$1:$AM$1, 0), FALSE) / VLOOKUP(Substitution!$M$10 &amp; $A2, US_national_yearly!$D:$AM, MATCH(Keys!$C$7, US_national_yearly!$D$1:$AM$1, 0), FALSE), 1)</f>
        <v>3.7170666101585727E-3</v>
      </c>
      <c r="F2" s="12">
        <f>$B2 * IFERROR(VLOOKUP(Substitution!$M$10 &amp; $A2, US_national_yearly!$D:$AM, MATCH(F$1, US_national_yearly!$D$1:$AM$1, 0), FALSE) / VLOOKUP(Substitution!$M$10 &amp; $A2, US_national_yearly!$D:$AM, MATCH(Keys!$C$7, US_national_yearly!$D$1:$AM$1, 0), FALSE), 1)</f>
        <v>3.7629553489960934E-3</v>
      </c>
      <c r="G2" s="12">
        <f>$B2 * IFERROR(VLOOKUP(Substitution!$M$10 &amp; $A2, US_national_yearly!$D:$AM, MATCH(G$1, US_national_yearly!$D$1:$AM$1, 0), FALSE) / VLOOKUP(Substitution!$M$10 &amp; $A2, US_national_yearly!$D:$AM, MATCH(Keys!$C$7, US_national_yearly!$D$1:$AM$1, 0), FALSE), 1)</f>
        <v>3.8513554657690625E-3</v>
      </c>
      <c r="H2" s="12">
        <f>$B2 * IFERROR(VLOOKUP(Substitution!$M$10 &amp; $A2, US_national_yearly!$D:$AM, MATCH(H$1, US_national_yearly!$D$1:$AM$1, 0), FALSE) / VLOOKUP(Substitution!$M$10 &amp; $A2, US_national_yearly!$D:$AM, MATCH(Keys!$C$7, US_national_yearly!$D$1:$AM$1, 0), FALSE), 1)</f>
        <v>3.9397555825420308E-3</v>
      </c>
      <c r="I2" s="12">
        <f>$B2 * IFERROR(VLOOKUP(Substitution!$M$10 &amp; $A2, US_national_yearly!$D:$AM, MATCH(I$1, US_national_yearly!$D$1:$AM$1, 0), FALSE) / VLOOKUP(Substitution!$M$10 &amp; $A2, US_national_yearly!$D:$AM, MATCH(Keys!$C$7, US_national_yearly!$D$1:$AM$1, 0), FALSE), 1)</f>
        <v>3.9992610706393169E-3</v>
      </c>
      <c r="J2" s="12">
        <f>$B2 * IFERROR(VLOOKUP(Substitution!$M$10 &amp; $A2, US_national_yearly!$D:$AM, MATCH(J$1, US_national_yearly!$D$1:$AM$1, 0), FALSE) / VLOOKUP(Substitution!$M$10 &amp; $A2, US_national_yearly!$D:$AM, MATCH(Keys!$C$7, US_national_yearly!$D$1:$AM$1, 0), FALSE), 1)</f>
        <v>4.058766558736604E-3</v>
      </c>
      <c r="K2" s="12">
        <f>$B2 * IFERROR(VLOOKUP(Substitution!$M$10 &amp; $A2, US_national_yearly!$D:$AM, MATCH(K$1, US_national_yearly!$D$1:$AM$1, 0), FALSE) / VLOOKUP(Substitution!$M$10 &amp; $A2, US_national_yearly!$D:$AM, MATCH(Keys!$C$7, US_national_yearly!$D$1:$AM$1, 0), FALSE), 1)</f>
        <v>4.1182720468338901E-3</v>
      </c>
      <c r="L2" s="12">
        <f>$B2 * IFERROR(VLOOKUP(Substitution!$M$10 &amp; $A2, US_national_yearly!$D:$AM, MATCH(L$1, US_national_yearly!$D$1:$AM$1, 0), FALSE) / VLOOKUP(Substitution!$M$10 &amp; $A2, US_national_yearly!$D:$AM, MATCH(Keys!$C$7, US_national_yearly!$D$1:$AM$1, 0), FALSE), 1)</f>
        <v>4.1777775349311781E-3</v>
      </c>
      <c r="M2" s="12">
        <f>$B2 * IFERROR(VLOOKUP(Substitution!$M$10 &amp; $A2, US_national_yearly!$D:$AM, MATCH(M$1, US_national_yearly!$D$1:$AM$1, 0), FALSE) / VLOOKUP(Substitution!$M$10 &amp; $A2, US_national_yearly!$D:$AM, MATCH(Keys!$C$7, US_national_yearly!$D$1:$AM$1, 0), FALSE), 1)</f>
        <v>4.2372830230284642E-3</v>
      </c>
      <c r="N2" s="12">
        <f>$B2 * IFERROR(VLOOKUP(Substitution!$M$10 &amp; $A2, US_national_yearly!$D:$AM, MATCH(N$1, US_national_yearly!$D$1:$AM$1, 0), FALSE) / VLOOKUP(Substitution!$M$10 &amp; $A2, US_national_yearly!$D:$AM, MATCH(Keys!$C$7, US_national_yearly!$D$1:$AM$1, 0), FALSE), 1)</f>
        <v>4.2849719288916071E-3</v>
      </c>
      <c r="O2" s="12">
        <f>$B2 * IFERROR(VLOOKUP(Substitution!$M$10 &amp; $A2, US_national_yearly!$D:$AM, MATCH(O$1, US_national_yearly!$D$1:$AM$1, 0), FALSE) / VLOOKUP(Substitution!$M$10 &amp; $A2, US_national_yearly!$D:$AM, MATCH(Keys!$C$7, US_national_yearly!$D$1:$AM$1, 0), FALSE), 1)</f>
        <v>4.33266083475475E-3</v>
      </c>
      <c r="P2" s="12">
        <f>$B2 * IFERROR(VLOOKUP(Substitution!$M$10 &amp; $A2, US_national_yearly!$D:$AM, MATCH(P$1, US_national_yearly!$D$1:$AM$1, 0), FALSE) / VLOOKUP(Substitution!$M$10 &amp; $A2, US_national_yearly!$D:$AM, MATCH(Keys!$C$7, US_national_yearly!$D$1:$AM$1, 0), FALSE), 1)</f>
        <v>4.3803497406178921E-3</v>
      </c>
      <c r="Q2" s="12">
        <f>$B2 * IFERROR(VLOOKUP(Substitution!$M$10 &amp; $A2, US_national_yearly!$D:$AM, MATCH(Q$1, US_national_yearly!$D$1:$AM$1, 0), FALSE) / VLOOKUP(Substitution!$M$10 &amp; $A2, US_national_yearly!$D:$AM, MATCH(Keys!$C$7, US_national_yearly!$D$1:$AM$1, 0), FALSE), 1)</f>
        <v>4.428038646481035E-3</v>
      </c>
      <c r="R2" s="12">
        <f>$B2 * IFERROR(VLOOKUP(Substitution!$M$10 &amp; $A2, US_national_yearly!$D:$AM, MATCH(R$1, US_national_yearly!$D$1:$AM$1, 0), FALSE) / VLOOKUP(Substitution!$M$10 &amp; $A2, US_national_yearly!$D:$AM, MATCH(Keys!$C$7, US_national_yearly!$D$1:$AM$1, 0), FALSE), 1)</f>
        <v>4.475727552344177E-3</v>
      </c>
      <c r="S2" s="12">
        <f>$B2 * IFERROR(VLOOKUP(Substitution!$M$10 &amp; $A2, US_national_yearly!$D:$AM, MATCH(S$1, US_national_yearly!$D$1:$AM$1, 0), FALSE) / VLOOKUP(Substitution!$M$10 &amp; $A2, US_national_yearly!$D:$AM, MATCH(Keys!$C$7, US_national_yearly!$D$1:$AM$1, 0), FALSE), 1)</f>
        <v>4.5030689950467852E-3</v>
      </c>
      <c r="T2" s="12">
        <f>$B2 * IFERROR(VLOOKUP(Substitution!$M$10 &amp; $A2, US_national_yearly!$D:$AM, MATCH(T$1, US_national_yearly!$D$1:$AM$1, 0), FALSE) / VLOOKUP(Substitution!$M$10 &amp; $A2, US_national_yearly!$D:$AM, MATCH(Keys!$C$7, US_national_yearly!$D$1:$AM$1, 0), FALSE), 1)</f>
        <v>4.5304104377493935E-3</v>
      </c>
      <c r="U2" s="12">
        <f>$B2 * IFERROR(VLOOKUP(Substitution!$M$10 &amp; $A2, US_national_yearly!$D:$AM, MATCH(U$1, US_national_yearly!$D$1:$AM$1, 0), FALSE) / VLOOKUP(Substitution!$M$10 &amp; $A2, US_national_yearly!$D:$AM, MATCH(Keys!$C$7, US_national_yearly!$D$1:$AM$1, 0), FALSE), 1)</f>
        <v>4.5577518804520009E-3</v>
      </c>
      <c r="V2" s="12">
        <f>$B2 * IFERROR(VLOOKUP(Substitution!$M$10 &amp; $A2, US_national_yearly!$D:$AM, MATCH(V$1, US_national_yearly!$D$1:$AM$1, 0), FALSE) / VLOOKUP(Substitution!$M$10 &amp; $A2, US_national_yearly!$D:$AM, MATCH(Keys!$C$7, US_national_yearly!$D$1:$AM$1, 0), FALSE), 1)</f>
        <v>4.58509332315461E-3</v>
      </c>
      <c r="W2" s="12">
        <f>$B2 * IFERROR(VLOOKUP(Substitution!$M$10 &amp; $A2, US_national_yearly!$D:$AM, MATCH(W$1, US_national_yearly!$D$1:$AM$1, 0), FALSE) / VLOOKUP(Substitution!$M$10 &amp; $A2, US_national_yearly!$D:$AM, MATCH(Keys!$C$7, US_national_yearly!$D$1:$AM$1, 0), FALSE), 1)</f>
        <v>4.6124347658572174E-3</v>
      </c>
      <c r="X2" s="12">
        <f>$B2 * IFERROR(VLOOKUP(Substitution!$M$10 &amp; $A2, US_national_yearly!$D:$AM, MATCH(X$1, US_national_yearly!$D$1:$AM$1, 0), FALSE) / VLOOKUP(Substitution!$M$10 &amp; $A2, US_national_yearly!$D:$AM, MATCH(Keys!$C$7, US_national_yearly!$D$1:$AM$1, 0), FALSE), 1)</f>
        <v>4.6204908035161942E-3</v>
      </c>
      <c r="Y2" s="12">
        <f>$B2 * IFERROR(VLOOKUP(Substitution!$M$10 &amp; $A2, US_national_yearly!$D:$AM, MATCH(Y$1, US_national_yearly!$D$1:$AM$1, 0), FALSE) / VLOOKUP(Substitution!$M$10 &amp; $A2, US_national_yearly!$D:$AM, MATCH(Keys!$C$7, US_national_yearly!$D$1:$AM$1, 0), FALSE), 1)</f>
        <v>4.6285468411751702E-3</v>
      </c>
      <c r="Z2" s="12">
        <f>$B2 * IFERROR(VLOOKUP(Substitution!$M$10 &amp; $A2, US_national_yearly!$D:$AM, MATCH(Z$1, US_national_yearly!$D$1:$AM$1, 0), FALSE) / VLOOKUP(Substitution!$M$10 &amp; $A2, US_national_yearly!$D:$AM, MATCH(Keys!$C$7, US_national_yearly!$D$1:$AM$1, 0), FALSE), 1)</f>
        <v>4.6366028788341462E-3</v>
      </c>
      <c r="AA2" s="12">
        <f>$B2 * IFERROR(VLOOKUP(Substitution!$M$10 &amp; $A2, US_national_yearly!$D:$AM, MATCH(AA$1, US_national_yearly!$D$1:$AM$1, 0), FALSE) / VLOOKUP(Substitution!$M$10 &amp; $A2, US_national_yearly!$D:$AM, MATCH(Keys!$C$7, US_national_yearly!$D$1:$AM$1, 0), FALSE), 1)</f>
        <v>4.6446589164931221E-3</v>
      </c>
      <c r="AB2" s="12">
        <f>$B2 * IFERROR(VLOOKUP(Substitution!$M$10 &amp; $A2, US_national_yearly!$D:$AM, MATCH(AB$1, US_national_yearly!$D$1:$AM$1, 0), FALSE) / VLOOKUP(Substitution!$M$10 &amp; $A2, US_national_yearly!$D:$AM, MATCH(Keys!$C$7, US_national_yearly!$D$1:$AM$1, 0), FALSE), 1)</f>
        <v>4.6527149541520981E-3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Substitution!$G$10)/IFERROR(SUMIFS(COBRA_aggregated!$V:$V, COBRA_aggregated!$A:$A, About!$B$1, COBRA_aggregated!$B:$B, Substitution!$G$10), 1)</f>
        <v>6.5815095540326126E-6</v>
      </c>
      <c r="C3" s="12">
        <f>$B3 * IFERROR(VLOOKUP(Substitution!$M$10 &amp; $A3, US_national_yearly!$D:$AM, MATCH(C$1, US_national_yearly!$D$1:$AM$1, 0), FALSE) / VLOOKUP(Substitution!$M$10 &amp; $A3, US_national_yearly!$D:$AM, MATCH(Keys!$C$7, US_national_yearly!$D$1:$AM$1, 0), FALSE), 1)</f>
        <v>6.5259083121551198E-6</v>
      </c>
      <c r="D3" s="12">
        <f>$B3 * IFERROR(VLOOKUP(Substitution!$M$10 &amp; $A3, US_national_yearly!$D:$AM, MATCH(D$1, US_national_yearly!$D$1:$AM$1, 0), FALSE) / VLOOKUP(Substitution!$M$10 &amp; $A3, US_national_yearly!$D:$AM, MATCH(Keys!$C$7, US_national_yearly!$D$1:$AM$1, 0), FALSE), 1)</f>
        <v>6.4703070702776262E-6</v>
      </c>
      <c r="E3" s="12">
        <f>$B3 * IFERROR(VLOOKUP(Substitution!$M$10 &amp; $A3, US_national_yearly!$D:$AM, MATCH(E$1, US_national_yearly!$D$1:$AM$1, 0), FALSE) / VLOOKUP(Substitution!$M$10 &amp; $A3, US_national_yearly!$D:$AM, MATCH(Keys!$C$7, US_national_yearly!$D$1:$AM$1, 0), FALSE), 1)</f>
        <v>6.4147058284001334E-6</v>
      </c>
      <c r="F3" s="12">
        <f>$B3 * IFERROR(VLOOKUP(Substitution!$M$10 &amp; $A3, US_national_yearly!$D:$AM, MATCH(F$1, US_national_yearly!$D$1:$AM$1, 0), FALSE) / VLOOKUP(Substitution!$M$10 &amp; $A3, US_national_yearly!$D:$AM, MATCH(Keys!$C$7, US_national_yearly!$D$1:$AM$1, 0), FALSE), 1)</f>
        <v>6.3591045865226415E-6</v>
      </c>
      <c r="G3" s="12">
        <f>$B3 * IFERROR(VLOOKUP(Substitution!$M$10 &amp; $A3, US_national_yearly!$D:$AM, MATCH(G$1, US_national_yearly!$D$1:$AM$1, 0), FALSE) / VLOOKUP(Substitution!$M$10 &amp; $A3, US_national_yearly!$D:$AM, MATCH(Keys!$C$7, US_national_yearly!$D$1:$AM$1, 0), FALSE), 1)</f>
        <v>4.229133959710647E-6</v>
      </c>
      <c r="H3" s="12">
        <f>$B3 * IFERROR(VLOOKUP(Substitution!$M$10 &amp; $A3, US_national_yearly!$D:$AM, MATCH(H$1, US_national_yearly!$D$1:$AM$1, 0), FALSE) / VLOOKUP(Substitution!$M$10 &amp; $A3, US_national_yearly!$D:$AM, MATCH(Keys!$C$7, US_national_yearly!$D$1:$AM$1, 0), FALSE), 1)</f>
        <v>2.0991633328986534E-6</v>
      </c>
      <c r="I3" s="12">
        <f>$B3 * IFERROR(VLOOKUP(Substitution!$M$10 &amp; $A3, US_national_yearly!$D:$AM, MATCH(I$1, US_national_yearly!$D$1:$AM$1, 0), FALSE) / VLOOKUP(Substitution!$M$10 &amp; $A3, US_national_yearly!$D:$AM, MATCH(Keys!$C$7, US_national_yearly!$D$1:$AM$1, 0), FALSE), 1)</f>
        <v>2.0857339761171622E-6</v>
      </c>
      <c r="J3" s="12">
        <f>$B3 * IFERROR(VLOOKUP(Substitution!$M$10 &amp; $A3, US_national_yearly!$D:$AM, MATCH(J$1, US_national_yearly!$D$1:$AM$1, 0), FALSE) / VLOOKUP(Substitution!$M$10 &amp; $A3, US_national_yearly!$D:$AM, MATCH(Keys!$C$7, US_national_yearly!$D$1:$AM$1, 0), FALSE), 1)</f>
        <v>2.0723046193356707E-6</v>
      </c>
      <c r="K3" s="12">
        <f>$B3 * IFERROR(VLOOKUP(Substitution!$M$10 &amp; $A3, US_national_yearly!$D:$AM, MATCH(K$1, US_national_yearly!$D$1:$AM$1, 0), FALSE) / VLOOKUP(Substitution!$M$10 &amp; $A3, US_national_yearly!$D:$AM, MATCH(Keys!$C$7, US_national_yearly!$D$1:$AM$1, 0), FALSE), 1)</f>
        <v>2.0588752625541799E-6</v>
      </c>
      <c r="L3" s="12">
        <f>$B3 * IFERROR(VLOOKUP(Substitution!$M$10 &amp; $A3, US_national_yearly!$D:$AM, MATCH(L$1, US_national_yearly!$D$1:$AM$1, 0), FALSE) / VLOOKUP(Substitution!$M$10 &amp; $A3, US_national_yearly!$D:$AM, MATCH(Keys!$C$7, US_national_yearly!$D$1:$AM$1, 0), FALSE), 1)</f>
        <v>2.0454459057726883E-6</v>
      </c>
      <c r="M3" s="12">
        <f>$B3 * IFERROR(VLOOKUP(Substitution!$M$10 &amp; $A3, US_national_yearly!$D:$AM, MATCH(M$1, US_national_yearly!$D$1:$AM$1, 0), FALSE) / VLOOKUP(Substitution!$M$10 &amp; $A3, US_national_yearly!$D:$AM, MATCH(Keys!$C$7, US_national_yearly!$D$1:$AM$1, 0), FALSE), 1)</f>
        <v>2.0320165489911972E-6</v>
      </c>
      <c r="N3" s="12">
        <f>$B3 * IFERROR(VLOOKUP(Substitution!$M$10 &amp; $A3, US_national_yearly!$D:$AM, MATCH(N$1, US_national_yearly!$D$1:$AM$1, 0), FALSE) / VLOOKUP(Substitution!$M$10 &amp; $A3, US_national_yearly!$D:$AM, MATCH(Keys!$C$7, US_national_yearly!$D$1:$AM$1, 0), FALSE), 1)</f>
        <v>2.0235071134389596E-6</v>
      </c>
      <c r="O3" s="12">
        <f>$B3 * IFERROR(VLOOKUP(Substitution!$M$10 &amp; $A3, US_national_yearly!$D:$AM, MATCH(O$1, US_national_yearly!$D$1:$AM$1, 0), FALSE) / VLOOKUP(Substitution!$M$10 &amp; $A3, US_national_yearly!$D:$AM, MATCH(Keys!$C$7, US_national_yearly!$D$1:$AM$1, 0), FALSE), 1)</f>
        <v>2.0149976778867221E-6</v>
      </c>
      <c r="P3" s="12">
        <f>$B3 * IFERROR(VLOOKUP(Substitution!$M$10 &amp; $A3, US_national_yearly!$D:$AM, MATCH(P$1, US_national_yearly!$D$1:$AM$1, 0), FALSE) / VLOOKUP(Substitution!$M$10 &amp; $A3, US_national_yearly!$D:$AM, MATCH(Keys!$C$7, US_national_yearly!$D$1:$AM$1, 0), FALSE), 1)</f>
        <v>2.0064882423344841E-6</v>
      </c>
      <c r="Q3" s="12">
        <f>$B3 * IFERROR(VLOOKUP(Substitution!$M$10 &amp; $A3, US_national_yearly!$D:$AM, MATCH(Q$1, US_national_yearly!$D$1:$AM$1, 0), FALSE) / VLOOKUP(Substitution!$M$10 &amp; $A3, US_national_yearly!$D:$AM, MATCH(Keys!$C$7, US_national_yearly!$D$1:$AM$1, 0), FALSE), 1)</f>
        <v>1.997978806782247E-6</v>
      </c>
      <c r="R3" s="12">
        <f>$B3 * IFERROR(VLOOKUP(Substitution!$M$10 &amp; $A3, US_national_yearly!$D:$AM, MATCH(R$1, US_national_yearly!$D$1:$AM$1, 0), FALSE) / VLOOKUP(Substitution!$M$10 &amp; $A3, US_national_yearly!$D:$AM, MATCH(Keys!$C$7, US_national_yearly!$D$1:$AM$1, 0), FALSE), 1)</f>
        <v>1.9894693712300094E-6</v>
      </c>
      <c r="S3" s="12">
        <f>$B3 * IFERROR(VLOOKUP(Substitution!$M$10 &amp; $A3, US_national_yearly!$D:$AM, MATCH(S$1, US_national_yearly!$D$1:$AM$1, 0), FALSE) / VLOOKUP(Substitution!$M$10 &amp; $A3, US_national_yearly!$D:$AM, MATCH(Keys!$C$7, US_national_yearly!$D$1:$AM$1, 0), FALSE), 1)</f>
        <v>1.9788634380516791E-6</v>
      </c>
      <c r="T3" s="12">
        <f>$B3 * IFERROR(VLOOKUP(Substitution!$M$10 &amp; $A3, US_national_yearly!$D:$AM, MATCH(T$1, US_national_yearly!$D$1:$AM$1, 0), FALSE) / VLOOKUP(Substitution!$M$10 &amp; $A3, US_national_yearly!$D:$AM, MATCH(Keys!$C$7, US_national_yearly!$D$1:$AM$1, 0), FALSE), 1)</f>
        <v>1.9682575048733497E-6</v>
      </c>
      <c r="U3" s="12">
        <f>$B3 * IFERROR(VLOOKUP(Substitution!$M$10 &amp; $A3, US_national_yearly!$D:$AM, MATCH(U$1, US_national_yearly!$D$1:$AM$1, 0), FALSE) / VLOOKUP(Substitution!$M$10 &amp; $A3, US_national_yearly!$D:$AM, MATCH(Keys!$C$7, US_national_yearly!$D$1:$AM$1, 0), FALSE), 1)</f>
        <v>1.9576515716950199E-6</v>
      </c>
      <c r="V3" s="12">
        <f>$B3 * IFERROR(VLOOKUP(Substitution!$M$10 &amp; $A3, US_national_yearly!$D:$AM, MATCH(V$1, US_national_yearly!$D$1:$AM$1, 0), FALSE) / VLOOKUP(Substitution!$M$10 &amp; $A3, US_national_yearly!$D:$AM, MATCH(Keys!$C$7, US_national_yearly!$D$1:$AM$1, 0), FALSE), 1)</f>
        <v>1.9470456385166904E-6</v>
      </c>
      <c r="W3" s="12">
        <f>$B3 * IFERROR(VLOOKUP(Substitution!$M$10 &amp; $A3, US_national_yearly!$D:$AM, MATCH(W$1, US_national_yearly!$D$1:$AM$1, 0), FALSE) / VLOOKUP(Substitution!$M$10 &amp; $A3, US_national_yearly!$D:$AM, MATCH(Keys!$C$7, US_national_yearly!$D$1:$AM$1, 0), FALSE), 1)</f>
        <v>1.9364397053383602E-6</v>
      </c>
      <c r="X3" s="12">
        <f>$B3 * IFERROR(VLOOKUP(Substitution!$M$10 &amp; $A3, US_national_yearly!$D:$AM, MATCH(X$1, US_national_yearly!$D$1:$AM$1, 0), FALSE) / VLOOKUP(Substitution!$M$10 &amp; $A3, US_national_yearly!$D:$AM, MATCH(Keys!$C$7, US_national_yearly!$D$1:$AM$1, 0), FALSE), 1)</f>
        <v>1.9251234852203484E-6</v>
      </c>
      <c r="Y3" s="12">
        <f>$B3 * IFERROR(VLOOKUP(Substitution!$M$10 &amp; $A3, US_national_yearly!$D:$AM, MATCH(Y$1, US_national_yearly!$D$1:$AM$1, 0), FALSE) / VLOOKUP(Substitution!$M$10 &amp; $A3, US_national_yearly!$D:$AM, MATCH(Keys!$C$7, US_national_yearly!$D$1:$AM$1, 0), FALSE), 1)</f>
        <v>1.9138072651023358E-6</v>
      </c>
      <c r="Z3" s="12">
        <f>$B3 * IFERROR(VLOOKUP(Substitution!$M$10 &amp; $A3, US_national_yearly!$D:$AM, MATCH(Z$1, US_national_yearly!$D$1:$AM$1, 0), FALSE) / VLOOKUP(Substitution!$M$10 &amp; $A3, US_national_yearly!$D:$AM, MATCH(Keys!$C$7, US_national_yearly!$D$1:$AM$1, 0), FALSE), 1)</f>
        <v>1.9024910449843242E-6</v>
      </c>
      <c r="AA3" s="12">
        <f>$B3 * IFERROR(VLOOKUP(Substitution!$M$10 &amp; $A3, US_national_yearly!$D:$AM, MATCH(AA$1, US_national_yearly!$D$1:$AM$1, 0), FALSE) / VLOOKUP(Substitution!$M$10 &amp; $A3, US_national_yearly!$D:$AM, MATCH(Keys!$C$7, US_national_yearly!$D$1:$AM$1, 0), FALSE), 1)</f>
        <v>1.8911748248663122E-6</v>
      </c>
      <c r="AB3" s="12">
        <f>$B3 * IFERROR(VLOOKUP(Substitution!$M$10 &amp; $A3, US_national_yearly!$D:$AM, MATCH(AB$1, US_national_yearly!$D$1:$AM$1, 0), FALSE) / VLOOKUP(Substitution!$M$10 &amp; $A3, US_national_yearly!$D:$AM, MATCH(Keys!$C$7, US_national_yearly!$D$1:$AM$1, 0), FALSE), 1)</f>
        <v>1.8798586047483002E-6</v>
      </c>
    </row>
    <row r="4" spans="1:28" x14ac:dyDescent="0.25">
      <c r="A4" s="4" t="s">
        <v>295</v>
      </c>
      <c r="B4" s="12">
        <f>IFERROR(VLOOKUP(Substitution!$M$10 &amp; $A4, US_national_yearly!$D:$AM, MATCH(Keys!$C$7, US_national_yearly!$D$1:$AM$1, 0), FALSE), 0)</f>
        <v>1.2300388939514999</v>
      </c>
      <c r="C4" s="12">
        <f>$B4 * IFERROR(VLOOKUP(Substitution!$M$10 &amp; $A4, US_national_yearly!$D:$AM, MATCH(C$1, US_national_yearly!$D$1:$AM$1, 0), FALSE) / VLOOKUP(Substitution!$M$10 &amp; $A4, US_national_yearly!$D:$AM, MATCH(Keys!$C$7, US_national_yearly!$D$1:$AM$1, 0), FALSE), 1)</f>
        <v>1.2425925973565801</v>
      </c>
      <c r="D4" s="12">
        <f>$B4 * IFERROR(VLOOKUP(Substitution!$M$10 &amp; $A4, US_national_yearly!$D:$AM, MATCH(D$1, US_national_yearly!$D$1:$AM$1, 0), FALSE) / VLOOKUP(Substitution!$M$10 &amp; $A4, US_national_yearly!$D:$AM, MATCH(Keys!$C$7, US_national_yearly!$D$1:$AM$1, 0), FALSE), 1)</f>
        <v>1.2551463007616599</v>
      </c>
      <c r="E4" s="12">
        <f>$B4 * IFERROR(VLOOKUP(Substitution!$M$10 &amp; $A4, US_national_yearly!$D:$AM, MATCH(E$1, US_national_yearly!$D$1:$AM$1, 0), FALSE) / VLOOKUP(Substitution!$M$10 &amp; $A4, US_national_yearly!$D:$AM, MATCH(Keys!$C$7, US_national_yearly!$D$1:$AM$1, 0), FALSE), 1)</f>
        <v>1.2677000041667399</v>
      </c>
      <c r="F4" s="12">
        <f>$B4 * IFERROR(VLOOKUP(Substitution!$M$10 &amp; $A4, US_national_yearly!$D:$AM, MATCH(F$1, US_national_yearly!$D$1:$AM$1, 0), FALSE) / VLOOKUP(Substitution!$M$10 &amp; $A4, US_national_yearly!$D:$AM, MATCH(Keys!$C$7, US_national_yearly!$D$1:$AM$1, 0), FALSE), 1)</f>
        <v>1.2802537075718201</v>
      </c>
      <c r="G4" s="12">
        <f>$B4 * IFERROR(VLOOKUP(Substitution!$M$10 &amp; $A4, US_national_yearly!$D:$AM, MATCH(G$1, US_national_yearly!$D$1:$AM$1, 0), FALSE) / VLOOKUP(Substitution!$M$10 &amp; $A4, US_national_yearly!$D:$AM, MATCH(Keys!$C$7, US_national_yearly!$D$1:$AM$1, 0), FALSE), 1)</f>
        <v>1.2949875645963349</v>
      </c>
      <c r="H4" s="12">
        <f>$B4 * IFERROR(VLOOKUP(Substitution!$M$10 &amp; $A4, US_national_yearly!$D:$AM, MATCH(H$1, US_national_yearly!$D$1:$AM$1, 0), FALSE) / VLOOKUP(Substitution!$M$10 &amp; $A4, US_national_yearly!$D:$AM, MATCH(Keys!$C$7, US_national_yearly!$D$1:$AM$1, 0), FALSE), 1)</f>
        <v>1.3097214216208501</v>
      </c>
      <c r="I4" s="12">
        <f>$B4 * IFERROR(VLOOKUP(Substitution!$M$10 &amp; $A4, US_national_yearly!$D:$AM, MATCH(I$1, US_national_yearly!$D$1:$AM$1, 0), FALSE) / VLOOKUP(Substitution!$M$10 &amp; $A4, US_national_yearly!$D:$AM, MATCH(Keys!$C$7, US_national_yearly!$D$1:$AM$1, 0), FALSE), 1)</f>
        <v>1.320475124068788</v>
      </c>
      <c r="J4" s="12">
        <f>$B4 * IFERROR(VLOOKUP(Substitution!$M$10 &amp; $A4, US_national_yearly!$D:$AM, MATCH(J$1, US_national_yearly!$D$1:$AM$1, 0), FALSE) / VLOOKUP(Substitution!$M$10 &amp; $A4, US_national_yearly!$D:$AM, MATCH(Keys!$C$7, US_national_yearly!$D$1:$AM$1, 0), FALSE), 1)</f>
        <v>1.331228826516726</v>
      </c>
      <c r="K4" s="12">
        <f>$B4 * IFERROR(VLOOKUP(Substitution!$M$10 &amp; $A4, US_national_yearly!$D:$AM, MATCH(K$1, US_national_yearly!$D$1:$AM$1, 0), FALSE) / VLOOKUP(Substitution!$M$10 &amp; $A4, US_national_yearly!$D:$AM, MATCH(Keys!$C$7, US_national_yearly!$D$1:$AM$1, 0), FALSE), 1)</f>
        <v>1.3419825289646641</v>
      </c>
      <c r="L4" s="12">
        <f>$B4 * IFERROR(VLOOKUP(Substitution!$M$10 &amp; $A4, US_national_yearly!$D:$AM, MATCH(L$1, US_national_yearly!$D$1:$AM$1, 0), FALSE) / VLOOKUP(Substitution!$M$10 &amp; $A4, US_national_yearly!$D:$AM, MATCH(Keys!$C$7, US_national_yearly!$D$1:$AM$1, 0), FALSE), 1)</f>
        <v>1.3527362314126019</v>
      </c>
      <c r="M4" s="12">
        <f>$B4 * IFERROR(VLOOKUP(Substitution!$M$10 &amp; $A4, US_national_yearly!$D:$AM, MATCH(M$1, US_national_yearly!$D$1:$AM$1, 0), FALSE) / VLOOKUP(Substitution!$M$10 &amp; $A4, US_national_yearly!$D:$AM, MATCH(Keys!$C$7, US_national_yearly!$D$1:$AM$1, 0), FALSE), 1)</f>
        <v>1.36348993386054</v>
      </c>
      <c r="N4" s="12">
        <f>$B4 * IFERROR(VLOOKUP(Substitution!$M$10 &amp; $A4, US_national_yearly!$D:$AM, MATCH(N$1, US_national_yearly!$D$1:$AM$1, 0), FALSE) / VLOOKUP(Substitution!$M$10 &amp; $A4, US_national_yearly!$D:$AM, MATCH(Keys!$C$7, US_national_yearly!$D$1:$AM$1, 0), FALSE), 1)</f>
        <v>1.3681630063886339</v>
      </c>
      <c r="O4" s="12">
        <f>$B4 * IFERROR(VLOOKUP(Substitution!$M$10 &amp; $A4, US_national_yearly!$D:$AM, MATCH(O$1, US_national_yearly!$D$1:$AM$1, 0), FALSE) / VLOOKUP(Substitution!$M$10 &amp; $A4, US_national_yearly!$D:$AM, MATCH(Keys!$C$7, US_national_yearly!$D$1:$AM$1, 0), FALSE), 1)</f>
        <v>1.372836078916728</v>
      </c>
      <c r="P4" s="12">
        <f>$B4 * IFERROR(VLOOKUP(Substitution!$M$10 &amp; $A4, US_national_yearly!$D:$AM, MATCH(P$1, US_national_yearly!$D$1:$AM$1, 0), FALSE) / VLOOKUP(Substitution!$M$10 &amp; $A4, US_national_yearly!$D:$AM, MATCH(Keys!$C$7, US_national_yearly!$D$1:$AM$1, 0), FALSE), 1)</f>
        <v>1.3775091514448221</v>
      </c>
      <c r="Q4" s="12">
        <f>$B4 * IFERROR(VLOOKUP(Substitution!$M$10 &amp; $A4, US_national_yearly!$D:$AM, MATCH(Q$1, US_national_yearly!$D$1:$AM$1, 0), FALSE) / VLOOKUP(Substitution!$M$10 &amp; $A4, US_national_yearly!$D:$AM, MATCH(Keys!$C$7, US_national_yearly!$D$1:$AM$1, 0), FALSE), 1)</f>
        <v>1.3821822239729158</v>
      </c>
      <c r="R4" s="12">
        <f>$B4 * IFERROR(VLOOKUP(Substitution!$M$10 &amp; $A4, US_national_yearly!$D:$AM, MATCH(R$1, US_national_yearly!$D$1:$AM$1, 0), FALSE) / VLOOKUP(Substitution!$M$10 &amp; $A4, US_national_yearly!$D:$AM, MATCH(Keys!$C$7, US_national_yearly!$D$1:$AM$1, 0), FALSE), 1)</f>
        <v>1.3868552965010099</v>
      </c>
      <c r="S4" s="12">
        <f>$B4 * IFERROR(VLOOKUP(Substitution!$M$10 &amp; $A4, US_national_yearly!$D:$AM, MATCH(S$1, US_national_yearly!$D$1:$AM$1, 0), FALSE) / VLOOKUP(Substitution!$M$10 &amp; $A4, US_national_yearly!$D:$AM, MATCH(Keys!$C$7, US_national_yearly!$D$1:$AM$1, 0), FALSE), 1)</f>
        <v>1.3923916689566957</v>
      </c>
      <c r="T4" s="12">
        <f>$B4 * IFERROR(VLOOKUP(Substitution!$M$10 &amp; $A4, US_national_yearly!$D:$AM, MATCH(T$1, US_national_yearly!$D$1:$AM$1, 0), FALSE) / VLOOKUP(Substitution!$M$10 &amp; $A4, US_national_yearly!$D:$AM, MATCH(Keys!$C$7, US_national_yearly!$D$1:$AM$1, 0), FALSE), 1)</f>
        <v>1.397928041412382</v>
      </c>
      <c r="U4" s="12">
        <f>$B4 * IFERROR(VLOOKUP(Substitution!$M$10 &amp; $A4, US_national_yearly!$D:$AM, MATCH(U$1, US_national_yearly!$D$1:$AM$1, 0), FALSE) / VLOOKUP(Substitution!$M$10 &amp; $A4, US_national_yearly!$D:$AM, MATCH(Keys!$C$7, US_national_yearly!$D$1:$AM$1, 0), FALSE), 1)</f>
        <v>1.4034644138680681</v>
      </c>
      <c r="V4" s="12">
        <f>$B4 * IFERROR(VLOOKUP(Substitution!$M$10 &amp; $A4, US_national_yearly!$D:$AM, MATCH(V$1, US_national_yearly!$D$1:$AM$1, 0), FALSE) / VLOOKUP(Substitution!$M$10 &amp; $A4, US_national_yearly!$D:$AM, MATCH(Keys!$C$7, US_national_yearly!$D$1:$AM$1, 0), FALSE), 1)</f>
        <v>1.4090007863237537</v>
      </c>
      <c r="W4" s="12">
        <f>$B4 * IFERROR(VLOOKUP(Substitution!$M$10 &amp; $A4, US_national_yearly!$D:$AM, MATCH(W$1, US_national_yearly!$D$1:$AM$1, 0), FALSE) / VLOOKUP(Substitution!$M$10 &amp; $A4, US_national_yearly!$D:$AM, MATCH(Keys!$C$7, US_national_yearly!$D$1:$AM$1, 0), FALSE), 1)</f>
        <v>1.41453715877944</v>
      </c>
      <c r="X4" s="12">
        <f>$B4 * IFERROR(VLOOKUP(Substitution!$M$10 &amp; $A4, US_national_yearly!$D:$AM, MATCH(X$1, US_national_yearly!$D$1:$AM$1, 0), FALSE) / VLOOKUP(Substitution!$M$10 &amp; $A4, US_national_yearly!$D:$AM, MATCH(Keys!$C$7, US_national_yearly!$D$1:$AM$1, 0), FALSE), 1)</f>
        <v>1.4205372357641319</v>
      </c>
      <c r="Y4" s="12">
        <f>$B4 * IFERROR(VLOOKUP(Substitution!$M$10 &amp; $A4, US_national_yearly!$D:$AM, MATCH(Y$1, US_national_yearly!$D$1:$AM$1, 0), FALSE) / VLOOKUP(Substitution!$M$10 &amp; $A4, US_national_yearly!$D:$AM, MATCH(Keys!$C$7, US_national_yearly!$D$1:$AM$1, 0), FALSE), 1)</f>
        <v>1.4265373127488239</v>
      </c>
      <c r="Z4" s="12">
        <f>$B4 * IFERROR(VLOOKUP(Substitution!$M$10 &amp; $A4, US_national_yearly!$D:$AM, MATCH(Z$1, US_national_yearly!$D$1:$AM$1, 0), FALSE) / VLOOKUP(Substitution!$M$10 &amp; $A4, US_national_yearly!$D:$AM, MATCH(Keys!$C$7, US_national_yearly!$D$1:$AM$1, 0), FALSE), 1)</f>
        <v>1.4325373897335161</v>
      </c>
      <c r="AA4" s="12">
        <f>$B4 * IFERROR(VLOOKUP(Substitution!$M$10 &amp; $A4, US_national_yearly!$D:$AM, MATCH(AA$1, US_national_yearly!$D$1:$AM$1, 0), FALSE) / VLOOKUP(Substitution!$M$10 &amp; $A4, US_national_yearly!$D:$AM, MATCH(Keys!$C$7, US_national_yearly!$D$1:$AM$1, 0), FALSE), 1)</f>
        <v>1.438537466718208</v>
      </c>
      <c r="AB4" s="12">
        <f>$B4 * IFERROR(VLOOKUP(Substitution!$M$10 &amp; $A4, US_national_yearly!$D:$AM, MATCH(AB$1, US_national_yearly!$D$1:$AM$1, 0), FALSE) / VLOOKUP(Substitution!$M$10 &amp; $A4, US_national_yearly!$D:$AM, MATCH(Keys!$C$7, US_national_yearly!$D$1:$AM$1, 0), FALSE), 1)</f>
        <v>1.4445375437029</v>
      </c>
    </row>
    <row r="5" spans="1:28" x14ac:dyDescent="0.25">
      <c r="A5" s="4" t="s">
        <v>297</v>
      </c>
      <c r="B5" s="12">
        <f>IFERROR(VLOOKUP(Substitution!$M$10 &amp; $A5, US_national_yearly!$D:$AM, MATCH(Keys!$C$7, US_national_yearly!$D$1:$AM$1, 0), FALSE), 0)</f>
        <v>0</v>
      </c>
      <c r="C5" s="12">
        <f>$B5 * IFERROR(VLOOKUP(Substitution!$M$10 &amp; $A5, US_national_yearly!$D:$AM, MATCH(C$1, US_national_yearly!$D$1:$AM$1, 0), FALSE) / VLOOKUP(Substitution!$M$10 &amp; $A5, US_national_yearly!$D:$AM, MATCH(Keys!$C$7, US_national_yearly!$D$1:$AM$1, 0), FALSE), 1)</f>
        <v>0</v>
      </c>
      <c r="D5" s="12">
        <f>$B5 * IFERROR(VLOOKUP(Substitution!$M$10 &amp; $A5, US_national_yearly!$D:$AM, MATCH(D$1, US_national_yearly!$D$1:$AM$1, 0), FALSE) / VLOOKUP(Substitution!$M$10 &amp; $A5, US_national_yearly!$D:$AM, MATCH(Keys!$C$7, US_national_yearly!$D$1:$AM$1, 0), FALSE), 1)</f>
        <v>0</v>
      </c>
      <c r="E5" s="12">
        <f>$B5 * IFERROR(VLOOKUP(Substitution!$M$10 &amp; $A5, US_national_yearly!$D:$AM, MATCH(E$1, US_national_yearly!$D$1:$AM$1, 0), FALSE) / VLOOKUP(Substitution!$M$10 &amp; $A5, US_national_yearly!$D:$AM, MATCH(Keys!$C$7, US_national_yearly!$D$1:$AM$1, 0), FALSE), 1)</f>
        <v>0</v>
      </c>
      <c r="F5" s="12">
        <f>$B5 * IFERROR(VLOOKUP(Substitution!$M$10 &amp; $A5, US_national_yearly!$D:$AM, MATCH(F$1, US_national_yearly!$D$1:$AM$1, 0), FALSE) / VLOOKUP(Substitution!$M$10 &amp; $A5, US_national_yearly!$D:$AM, MATCH(Keys!$C$7, US_national_yearly!$D$1:$AM$1, 0), FALSE), 1)</f>
        <v>0</v>
      </c>
      <c r="G5" s="12">
        <f>$B5 * IFERROR(VLOOKUP(Substitution!$M$10 &amp; $A5, US_national_yearly!$D:$AM, MATCH(G$1, US_national_yearly!$D$1:$AM$1, 0), FALSE) / VLOOKUP(Substitution!$M$10 &amp; $A5, US_national_yearly!$D:$AM, MATCH(Keys!$C$7, US_national_yearly!$D$1:$AM$1, 0), FALSE), 1)</f>
        <v>0</v>
      </c>
      <c r="H5" s="12">
        <f>$B5 * IFERROR(VLOOKUP(Substitution!$M$10 &amp; $A5, US_national_yearly!$D:$AM, MATCH(H$1, US_national_yearly!$D$1:$AM$1, 0), FALSE) / VLOOKUP(Substitution!$M$10 &amp; $A5, US_national_yearly!$D:$AM, MATCH(Keys!$C$7, US_national_yearly!$D$1:$AM$1, 0), FALSE), 1)</f>
        <v>0</v>
      </c>
      <c r="I5" s="12">
        <f>$B5 * IFERROR(VLOOKUP(Substitution!$M$10 &amp; $A5, US_national_yearly!$D:$AM, MATCH(I$1, US_national_yearly!$D$1:$AM$1, 0), FALSE) / VLOOKUP(Substitution!$M$10 &amp; $A5, US_national_yearly!$D:$AM, MATCH(Keys!$C$7, US_national_yearly!$D$1:$AM$1, 0), FALSE), 1)</f>
        <v>0</v>
      </c>
      <c r="J5" s="12">
        <f>$B5 * IFERROR(VLOOKUP(Substitution!$M$10 &amp; $A5, US_national_yearly!$D:$AM, MATCH(J$1, US_national_yearly!$D$1:$AM$1, 0), FALSE) / VLOOKUP(Substitution!$M$10 &amp; $A5, US_national_yearly!$D:$AM, MATCH(Keys!$C$7, US_national_yearly!$D$1:$AM$1, 0), FALSE), 1)</f>
        <v>0</v>
      </c>
      <c r="K5" s="12">
        <f>$B5 * IFERROR(VLOOKUP(Substitution!$M$10 &amp; $A5, US_national_yearly!$D:$AM, MATCH(K$1, US_national_yearly!$D$1:$AM$1, 0), FALSE) / VLOOKUP(Substitution!$M$10 &amp; $A5, US_national_yearly!$D:$AM, MATCH(Keys!$C$7, US_national_yearly!$D$1:$AM$1, 0), FALSE), 1)</f>
        <v>0</v>
      </c>
      <c r="L5" s="12">
        <f>$B5 * IFERROR(VLOOKUP(Substitution!$M$10 &amp; $A5, US_national_yearly!$D:$AM, MATCH(L$1, US_national_yearly!$D$1:$AM$1, 0), FALSE) / VLOOKUP(Substitution!$M$10 &amp; $A5, US_national_yearly!$D:$AM, MATCH(Keys!$C$7, US_national_yearly!$D$1:$AM$1, 0), FALSE), 1)</f>
        <v>0</v>
      </c>
      <c r="M5" s="12">
        <f>$B5 * IFERROR(VLOOKUP(Substitution!$M$10 &amp; $A5, US_national_yearly!$D:$AM, MATCH(M$1, US_national_yearly!$D$1:$AM$1, 0), FALSE) / VLOOKUP(Substitution!$M$10 &amp; $A5, US_national_yearly!$D:$AM, MATCH(Keys!$C$7, US_national_yearly!$D$1:$AM$1, 0), FALSE), 1)</f>
        <v>0</v>
      </c>
      <c r="N5" s="12">
        <f>$B5 * IFERROR(VLOOKUP(Substitution!$M$10 &amp; $A5, US_national_yearly!$D:$AM, MATCH(N$1, US_national_yearly!$D$1:$AM$1, 0), FALSE) / VLOOKUP(Substitution!$M$10 &amp; $A5, US_national_yearly!$D:$AM, MATCH(Keys!$C$7, US_national_yearly!$D$1:$AM$1, 0), FALSE), 1)</f>
        <v>0</v>
      </c>
      <c r="O5" s="12">
        <f>$B5 * IFERROR(VLOOKUP(Substitution!$M$10 &amp; $A5, US_national_yearly!$D:$AM, MATCH(O$1, US_national_yearly!$D$1:$AM$1, 0), FALSE) / VLOOKUP(Substitution!$M$10 &amp; $A5, US_national_yearly!$D:$AM, MATCH(Keys!$C$7, US_national_yearly!$D$1:$AM$1, 0), FALSE), 1)</f>
        <v>0</v>
      </c>
      <c r="P5" s="12">
        <f>$B5 * IFERROR(VLOOKUP(Substitution!$M$10 &amp; $A5, US_national_yearly!$D:$AM, MATCH(P$1, US_national_yearly!$D$1:$AM$1, 0), FALSE) / VLOOKUP(Substitution!$M$10 &amp; $A5, US_national_yearly!$D:$AM, MATCH(Keys!$C$7, US_national_yearly!$D$1:$AM$1, 0), FALSE), 1)</f>
        <v>0</v>
      </c>
      <c r="Q5" s="12">
        <f>$B5 * IFERROR(VLOOKUP(Substitution!$M$10 &amp; $A5, US_national_yearly!$D:$AM, MATCH(Q$1, US_national_yearly!$D$1:$AM$1, 0), FALSE) / VLOOKUP(Substitution!$M$10 &amp; $A5, US_national_yearly!$D:$AM, MATCH(Keys!$C$7, US_national_yearly!$D$1:$AM$1, 0), FALSE), 1)</f>
        <v>0</v>
      </c>
      <c r="R5" s="12">
        <f>$B5 * IFERROR(VLOOKUP(Substitution!$M$10 &amp; $A5, US_national_yearly!$D:$AM, MATCH(R$1, US_national_yearly!$D$1:$AM$1, 0), FALSE) / VLOOKUP(Substitution!$M$10 &amp; $A5, US_national_yearly!$D:$AM, MATCH(Keys!$C$7, US_national_yearly!$D$1:$AM$1, 0), FALSE), 1)</f>
        <v>0</v>
      </c>
      <c r="S5" s="12">
        <f>$B5 * IFERROR(VLOOKUP(Substitution!$M$10 &amp; $A5, US_national_yearly!$D:$AM, MATCH(S$1, US_national_yearly!$D$1:$AM$1, 0), FALSE) / VLOOKUP(Substitution!$M$10 &amp; $A5, US_national_yearly!$D:$AM, MATCH(Keys!$C$7, US_national_yearly!$D$1:$AM$1, 0), FALSE), 1)</f>
        <v>0</v>
      </c>
      <c r="T5" s="12">
        <f>$B5 * IFERROR(VLOOKUP(Substitution!$M$10 &amp; $A5, US_national_yearly!$D:$AM, MATCH(T$1, US_national_yearly!$D$1:$AM$1, 0), FALSE) / VLOOKUP(Substitution!$M$10 &amp; $A5, US_national_yearly!$D:$AM, MATCH(Keys!$C$7, US_national_yearly!$D$1:$AM$1, 0), FALSE), 1)</f>
        <v>0</v>
      </c>
      <c r="U5" s="12">
        <f>$B5 * IFERROR(VLOOKUP(Substitution!$M$10 &amp; $A5, US_national_yearly!$D:$AM, MATCH(U$1, US_national_yearly!$D$1:$AM$1, 0), FALSE) / VLOOKUP(Substitution!$M$10 &amp; $A5, US_national_yearly!$D:$AM, MATCH(Keys!$C$7, US_national_yearly!$D$1:$AM$1, 0), FALSE), 1)</f>
        <v>0</v>
      </c>
      <c r="V5" s="12">
        <f>$B5 * IFERROR(VLOOKUP(Substitution!$M$10 &amp; $A5, US_national_yearly!$D:$AM, MATCH(V$1, US_national_yearly!$D$1:$AM$1, 0), FALSE) / VLOOKUP(Substitution!$M$10 &amp; $A5, US_national_yearly!$D:$AM, MATCH(Keys!$C$7, US_national_yearly!$D$1:$AM$1, 0), FALSE), 1)</f>
        <v>0</v>
      </c>
      <c r="W5" s="12">
        <f>$B5 * IFERROR(VLOOKUP(Substitution!$M$10 &amp; $A5, US_national_yearly!$D:$AM, MATCH(W$1, US_national_yearly!$D$1:$AM$1, 0), FALSE) / VLOOKUP(Substitution!$M$10 &amp; $A5, US_national_yearly!$D:$AM, MATCH(Keys!$C$7, US_national_yearly!$D$1:$AM$1, 0), FALSE), 1)</f>
        <v>0</v>
      </c>
      <c r="X5" s="12">
        <f>$B5 * IFERROR(VLOOKUP(Substitution!$M$10 &amp; $A5, US_national_yearly!$D:$AM, MATCH(X$1, US_national_yearly!$D$1:$AM$1, 0), FALSE) / VLOOKUP(Substitution!$M$10 &amp; $A5, US_national_yearly!$D:$AM, MATCH(Keys!$C$7, US_national_yearly!$D$1:$AM$1, 0), FALSE), 1)</f>
        <v>0</v>
      </c>
      <c r="Y5" s="12">
        <f>$B5 * IFERROR(VLOOKUP(Substitution!$M$10 &amp; $A5, US_national_yearly!$D:$AM, MATCH(Y$1, US_national_yearly!$D$1:$AM$1, 0), FALSE) / VLOOKUP(Substitution!$M$10 &amp; $A5, US_national_yearly!$D:$AM, MATCH(Keys!$C$7, US_national_yearly!$D$1:$AM$1, 0), FALSE), 1)</f>
        <v>0</v>
      </c>
      <c r="Z5" s="12">
        <f>$B5 * IFERROR(VLOOKUP(Substitution!$M$10 &amp; $A5, US_national_yearly!$D:$AM, MATCH(Z$1, US_national_yearly!$D$1:$AM$1, 0), FALSE) / VLOOKUP(Substitution!$M$10 &amp; $A5, US_national_yearly!$D:$AM, MATCH(Keys!$C$7, US_national_yearly!$D$1:$AM$1, 0), FALSE), 1)</f>
        <v>0</v>
      </c>
      <c r="AA5" s="12">
        <f>$B5 * IFERROR(VLOOKUP(Substitution!$M$10 &amp; $A5, US_national_yearly!$D:$AM, MATCH(AA$1, US_national_yearly!$D$1:$AM$1, 0), FALSE) / VLOOKUP(Substitution!$M$10 &amp; $A5, US_national_yearly!$D:$AM, MATCH(Keys!$C$7, US_national_yearly!$D$1:$AM$1, 0), FALSE), 1)</f>
        <v>0</v>
      </c>
      <c r="AB5" s="12">
        <f>$B5 * IFERROR(VLOOKUP(Substitution!$M$10 &amp; $A5, US_national_yearly!$D:$AM, MATCH(AB$1, US_national_yearly!$D$1:$AM$1, 0), FALSE) / VLOOKUP(Substitution!$M$10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Substitution!$G$10)/IFERROR(SUMIFS(COBRA_aggregated!$V:$V, COBRA_aggregated!$A:$A, About!$B$1, COBRA_aggregated!$B:$B, Substitution!$G$10), 1)</f>
        <v>6.87871635543073E-3</v>
      </c>
      <c r="C6" s="12">
        <f>$B6 * IFERROR(VLOOKUP(Substitution!$M$10 &amp; $A6, US_national_yearly!$D:$AM, MATCH(C$1, US_national_yearly!$D$1:$AM$1, 0), FALSE) / VLOOKUP(Substitution!$M$10 &amp; $A6, US_national_yearly!$D:$AM, MATCH(Keys!$C$7, US_national_yearly!$D$1:$AM$1, 0), FALSE), 1)</f>
        <v>6.87871635543073E-3</v>
      </c>
      <c r="D6" s="12">
        <f>$B6 * IFERROR(VLOOKUP(Substitution!$M$10 &amp; $A6, US_national_yearly!$D:$AM, MATCH(D$1, US_national_yearly!$D$1:$AM$1, 0), FALSE) / VLOOKUP(Substitution!$M$10 &amp; $A6, US_national_yearly!$D:$AM, MATCH(Keys!$C$7, US_national_yearly!$D$1:$AM$1, 0), FALSE), 1)</f>
        <v>6.87871635543073E-3</v>
      </c>
      <c r="E6" s="12">
        <f>$B6 * IFERROR(VLOOKUP(Substitution!$M$10 &amp; $A6, US_national_yearly!$D:$AM, MATCH(E$1, US_national_yearly!$D$1:$AM$1, 0), FALSE) / VLOOKUP(Substitution!$M$10 &amp; $A6, US_national_yearly!$D:$AM, MATCH(Keys!$C$7, US_national_yearly!$D$1:$AM$1, 0), FALSE), 1)</f>
        <v>6.87871635543073E-3</v>
      </c>
      <c r="F6" s="12">
        <f>$B6 * IFERROR(VLOOKUP(Substitution!$M$10 &amp; $A6, US_national_yearly!$D:$AM, MATCH(F$1, US_national_yearly!$D$1:$AM$1, 0), FALSE) / VLOOKUP(Substitution!$M$10 &amp; $A6, US_national_yearly!$D:$AM, MATCH(Keys!$C$7, US_national_yearly!$D$1:$AM$1, 0), FALSE), 1)</f>
        <v>6.87871635543073E-3</v>
      </c>
      <c r="G6" s="12">
        <f>$B6 * IFERROR(VLOOKUP(Substitution!$M$10 &amp; $A6, US_national_yearly!$D:$AM, MATCH(G$1, US_national_yearly!$D$1:$AM$1, 0), FALSE) / VLOOKUP(Substitution!$M$10 &amp; $A6, US_national_yearly!$D:$AM, MATCH(Keys!$C$7, US_national_yearly!$D$1:$AM$1, 0), FALSE), 1)</f>
        <v>6.87871635543073E-3</v>
      </c>
      <c r="H6" s="12">
        <f>$B6 * IFERROR(VLOOKUP(Substitution!$M$10 &amp; $A6, US_national_yearly!$D:$AM, MATCH(H$1, US_national_yearly!$D$1:$AM$1, 0), FALSE) / VLOOKUP(Substitution!$M$10 &amp; $A6, US_national_yearly!$D:$AM, MATCH(Keys!$C$7, US_national_yearly!$D$1:$AM$1, 0), FALSE), 1)</f>
        <v>6.87871635543073E-3</v>
      </c>
      <c r="I6" s="12">
        <f>$B6 * IFERROR(VLOOKUP(Substitution!$M$10 &amp; $A6, US_national_yearly!$D:$AM, MATCH(I$1, US_national_yearly!$D$1:$AM$1, 0), FALSE) / VLOOKUP(Substitution!$M$10 &amp; $A6, US_national_yearly!$D:$AM, MATCH(Keys!$C$7, US_national_yearly!$D$1:$AM$1, 0), FALSE), 1)</f>
        <v>6.87871635543073E-3</v>
      </c>
      <c r="J6" s="12">
        <f>$B6 * IFERROR(VLOOKUP(Substitution!$M$10 &amp; $A6, US_national_yearly!$D:$AM, MATCH(J$1, US_national_yearly!$D$1:$AM$1, 0), FALSE) / VLOOKUP(Substitution!$M$10 &amp; $A6, US_national_yearly!$D:$AM, MATCH(Keys!$C$7, US_national_yearly!$D$1:$AM$1, 0), FALSE), 1)</f>
        <v>6.87871635543073E-3</v>
      </c>
      <c r="K6" s="12">
        <f>$B6 * IFERROR(VLOOKUP(Substitution!$M$10 &amp; $A6, US_national_yearly!$D:$AM, MATCH(K$1, US_national_yearly!$D$1:$AM$1, 0), FALSE) / VLOOKUP(Substitution!$M$10 &amp; $A6, US_national_yearly!$D:$AM, MATCH(Keys!$C$7, US_national_yearly!$D$1:$AM$1, 0), FALSE), 1)</f>
        <v>6.87871635543073E-3</v>
      </c>
      <c r="L6" s="12">
        <f>$B6 * IFERROR(VLOOKUP(Substitution!$M$10 &amp; $A6, US_national_yearly!$D:$AM, MATCH(L$1, US_national_yearly!$D$1:$AM$1, 0), FALSE) / VLOOKUP(Substitution!$M$10 &amp; $A6, US_national_yearly!$D:$AM, MATCH(Keys!$C$7, US_national_yearly!$D$1:$AM$1, 0), FALSE), 1)</f>
        <v>6.87871635543073E-3</v>
      </c>
      <c r="M6" s="12">
        <f>$B6 * IFERROR(VLOOKUP(Substitution!$M$10 &amp; $A6, US_national_yearly!$D:$AM, MATCH(M$1, US_national_yearly!$D$1:$AM$1, 0), FALSE) / VLOOKUP(Substitution!$M$10 &amp; $A6, US_national_yearly!$D:$AM, MATCH(Keys!$C$7, US_national_yearly!$D$1:$AM$1, 0), FALSE), 1)</f>
        <v>6.87871635543073E-3</v>
      </c>
      <c r="N6" s="12">
        <f>$B6 * IFERROR(VLOOKUP(Substitution!$M$10 &amp; $A6, US_national_yearly!$D:$AM, MATCH(N$1, US_national_yearly!$D$1:$AM$1, 0), FALSE) / VLOOKUP(Substitution!$M$10 &amp; $A6, US_national_yearly!$D:$AM, MATCH(Keys!$C$7, US_national_yearly!$D$1:$AM$1, 0), FALSE), 1)</f>
        <v>6.87871635543073E-3</v>
      </c>
      <c r="O6" s="12">
        <f>$B6 * IFERROR(VLOOKUP(Substitution!$M$10 &amp; $A6, US_national_yearly!$D:$AM, MATCH(O$1, US_national_yearly!$D$1:$AM$1, 0), FALSE) / VLOOKUP(Substitution!$M$10 &amp; $A6, US_national_yearly!$D:$AM, MATCH(Keys!$C$7, US_national_yearly!$D$1:$AM$1, 0), FALSE), 1)</f>
        <v>6.87871635543073E-3</v>
      </c>
      <c r="P6" s="12">
        <f>$B6 * IFERROR(VLOOKUP(Substitution!$M$10 &amp; $A6, US_national_yearly!$D:$AM, MATCH(P$1, US_national_yearly!$D$1:$AM$1, 0), FALSE) / VLOOKUP(Substitution!$M$10 &amp; $A6, US_national_yearly!$D:$AM, MATCH(Keys!$C$7, US_national_yearly!$D$1:$AM$1, 0), FALSE), 1)</f>
        <v>6.87871635543073E-3</v>
      </c>
      <c r="Q6" s="12">
        <f>$B6 * IFERROR(VLOOKUP(Substitution!$M$10 &amp; $A6, US_national_yearly!$D:$AM, MATCH(Q$1, US_national_yearly!$D$1:$AM$1, 0), FALSE) / VLOOKUP(Substitution!$M$10 &amp; $A6, US_national_yearly!$D:$AM, MATCH(Keys!$C$7, US_national_yearly!$D$1:$AM$1, 0), FALSE), 1)</f>
        <v>6.87871635543073E-3</v>
      </c>
      <c r="R6" s="12">
        <f>$B6 * IFERROR(VLOOKUP(Substitution!$M$10 &amp; $A6, US_national_yearly!$D:$AM, MATCH(R$1, US_national_yearly!$D$1:$AM$1, 0), FALSE) / VLOOKUP(Substitution!$M$10 &amp; $A6, US_national_yearly!$D:$AM, MATCH(Keys!$C$7, US_national_yearly!$D$1:$AM$1, 0), FALSE), 1)</f>
        <v>6.87871635543073E-3</v>
      </c>
      <c r="S6" s="12">
        <f>$B6 * IFERROR(VLOOKUP(Substitution!$M$10 &amp; $A6, US_national_yearly!$D:$AM, MATCH(S$1, US_national_yearly!$D$1:$AM$1, 0), FALSE) / VLOOKUP(Substitution!$M$10 &amp; $A6, US_national_yearly!$D:$AM, MATCH(Keys!$C$7, US_national_yearly!$D$1:$AM$1, 0), FALSE), 1)</f>
        <v>6.87871635543073E-3</v>
      </c>
      <c r="T6" s="12">
        <f>$B6 * IFERROR(VLOOKUP(Substitution!$M$10 &amp; $A6, US_national_yearly!$D:$AM, MATCH(T$1, US_national_yearly!$D$1:$AM$1, 0), FALSE) / VLOOKUP(Substitution!$M$10 &amp; $A6, US_national_yearly!$D:$AM, MATCH(Keys!$C$7, US_national_yearly!$D$1:$AM$1, 0), FALSE), 1)</f>
        <v>6.87871635543073E-3</v>
      </c>
      <c r="U6" s="12">
        <f>$B6 * IFERROR(VLOOKUP(Substitution!$M$10 &amp; $A6, US_national_yearly!$D:$AM, MATCH(U$1, US_national_yearly!$D$1:$AM$1, 0), FALSE) / VLOOKUP(Substitution!$M$10 &amp; $A6, US_national_yearly!$D:$AM, MATCH(Keys!$C$7, US_national_yearly!$D$1:$AM$1, 0), FALSE), 1)</f>
        <v>6.87871635543073E-3</v>
      </c>
      <c r="V6" s="12">
        <f>$B6 * IFERROR(VLOOKUP(Substitution!$M$10 &amp; $A6, US_national_yearly!$D:$AM, MATCH(V$1, US_national_yearly!$D$1:$AM$1, 0), FALSE) / VLOOKUP(Substitution!$M$10 &amp; $A6, US_national_yearly!$D:$AM, MATCH(Keys!$C$7, US_national_yearly!$D$1:$AM$1, 0), FALSE), 1)</f>
        <v>6.87871635543073E-3</v>
      </c>
      <c r="W6" s="12">
        <f>$B6 * IFERROR(VLOOKUP(Substitution!$M$10 &amp; $A6, US_national_yearly!$D:$AM, MATCH(W$1, US_national_yearly!$D$1:$AM$1, 0), FALSE) / VLOOKUP(Substitution!$M$10 &amp; $A6, US_national_yearly!$D:$AM, MATCH(Keys!$C$7, US_national_yearly!$D$1:$AM$1, 0), FALSE), 1)</f>
        <v>6.87871635543073E-3</v>
      </c>
      <c r="X6" s="12">
        <f>$B6 * IFERROR(VLOOKUP(Substitution!$M$10 &amp; $A6, US_national_yearly!$D:$AM, MATCH(X$1, US_national_yearly!$D$1:$AM$1, 0), FALSE) / VLOOKUP(Substitution!$M$10 &amp; $A6, US_national_yearly!$D:$AM, MATCH(Keys!$C$7, US_national_yearly!$D$1:$AM$1, 0), FALSE), 1)</f>
        <v>6.87871635543073E-3</v>
      </c>
      <c r="Y6" s="12">
        <f>$B6 * IFERROR(VLOOKUP(Substitution!$M$10 &amp; $A6, US_national_yearly!$D:$AM, MATCH(Y$1, US_national_yearly!$D$1:$AM$1, 0), FALSE) / VLOOKUP(Substitution!$M$10 &amp; $A6, US_national_yearly!$D:$AM, MATCH(Keys!$C$7, US_national_yearly!$D$1:$AM$1, 0), FALSE), 1)</f>
        <v>6.87871635543073E-3</v>
      </c>
      <c r="Z6" s="12">
        <f>$B6 * IFERROR(VLOOKUP(Substitution!$M$10 &amp; $A6, US_national_yearly!$D:$AM, MATCH(Z$1, US_national_yearly!$D$1:$AM$1, 0), FALSE) / VLOOKUP(Substitution!$M$10 &amp; $A6, US_national_yearly!$D:$AM, MATCH(Keys!$C$7, US_national_yearly!$D$1:$AM$1, 0), FALSE), 1)</f>
        <v>6.87871635543073E-3</v>
      </c>
      <c r="AA6" s="12">
        <f>$B6 * IFERROR(VLOOKUP(Substitution!$M$10 &amp; $A6, US_national_yearly!$D:$AM, MATCH(AA$1, US_national_yearly!$D$1:$AM$1, 0), FALSE) / VLOOKUP(Substitution!$M$10 &amp; $A6, US_national_yearly!$D:$AM, MATCH(Keys!$C$7, US_national_yearly!$D$1:$AM$1, 0), FALSE), 1)</f>
        <v>6.87871635543073E-3</v>
      </c>
      <c r="AB6" s="12">
        <f>$B6 * IFERROR(VLOOKUP(Substitution!$M$10 &amp; $A6, US_national_yearly!$D:$AM, MATCH(AB$1, US_national_yearly!$D$1:$AM$1, 0), FALSE) / VLOOKUP(Substitution!$M$10 &amp; $A6, US_national_yearly!$D:$AM, MATCH(Keys!$C$7, US_national_yearly!$D$1:$AM$1, 0), FALSE), 1)</f>
        <v>6.87871635543073E-3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Substitution!$G$10)/IFERROR(SUMIFS(COBRA_aggregated!$V:$V, COBRA_aggregated!$A:$A, About!$B$1, COBRA_aggregated!$B:$B, Substitution!$G$10), 1)</f>
        <v>9.2631729583150975E-3</v>
      </c>
      <c r="C7" s="12">
        <f>$B7 * IFERROR(VLOOKUP(Substitution!$M$10 &amp; $A7, US_national_yearly!$D:$AM, MATCH(C$1, US_national_yearly!$D$1:$AM$1, 0), FALSE) / VLOOKUP(Substitution!$M$10 &amp; $A7, US_national_yearly!$D:$AM, MATCH(Keys!$C$7, US_national_yearly!$D$1:$AM$1, 0), FALSE), 1)</f>
        <v>9.2631729583150975E-3</v>
      </c>
      <c r="D7" s="12">
        <f>$B7 * IFERROR(VLOOKUP(Substitution!$M$10 &amp; $A7, US_national_yearly!$D:$AM, MATCH(D$1, US_national_yearly!$D$1:$AM$1, 0), FALSE) / VLOOKUP(Substitution!$M$10 &amp; $A7, US_national_yearly!$D:$AM, MATCH(Keys!$C$7, US_national_yearly!$D$1:$AM$1, 0), FALSE), 1)</f>
        <v>9.2631729583150975E-3</v>
      </c>
      <c r="E7" s="12">
        <f>$B7 * IFERROR(VLOOKUP(Substitution!$M$10 &amp; $A7, US_national_yearly!$D:$AM, MATCH(E$1, US_national_yearly!$D$1:$AM$1, 0), FALSE) / VLOOKUP(Substitution!$M$10 &amp; $A7, US_national_yearly!$D:$AM, MATCH(Keys!$C$7, US_national_yearly!$D$1:$AM$1, 0), FALSE), 1)</f>
        <v>9.2631729583150975E-3</v>
      </c>
      <c r="F7" s="12">
        <f>$B7 * IFERROR(VLOOKUP(Substitution!$M$10 &amp; $A7, US_national_yearly!$D:$AM, MATCH(F$1, US_national_yearly!$D$1:$AM$1, 0), FALSE) / VLOOKUP(Substitution!$M$10 &amp; $A7, US_national_yearly!$D:$AM, MATCH(Keys!$C$7, US_national_yearly!$D$1:$AM$1, 0), FALSE), 1)</f>
        <v>9.2631729583150975E-3</v>
      </c>
      <c r="G7" s="12">
        <f>$B7 * IFERROR(VLOOKUP(Substitution!$M$10 &amp; $A7, US_national_yearly!$D:$AM, MATCH(G$1, US_national_yearly!$D$1:$AM$1, 0), FALSE) / VLOOKUP(Substitution!$M$10 &amp; $A7, US_national_yearly!$D:$AM, MATCH(Keys!$C$7, US_national_yearly!$D$1:$AM$1, 0), FALSE), 1)</f>
        <v>9.2631729583150975E-3</v>
      </c>
      <c r="H7" s="12">
        <f>$B7 * IFERROR(VLOOKUP(Substitution!$M$10 &amp; $A7, US_national_yearly!$D:$AM, MATCH(H$1, US_national_yearly!$D$1:$AM$1, 0), FALSE) / VLOOKUP(Substitution!$M$10 &amp; $A7, US_national_yearly!$D:$AM, MATCH(Keys!$C$7, US_national_yearly!$D$1:$AM$1, 0), FALSE), 1)</f>
        <v>9.2631729583150975E-3</v>
      </c>
      <c r="I7" s="12">
        <f>$B7 * IFERROR(VLOOKUP(Substitution!$M$10 &amp; $A7, US_national_yearly!$D:$AM, MATCH(I$1, US_national_yearly!$D$1:$AM$1, 0), FALSE) / VLOOKUP(Substitution!$M$10 &amp; $A7, US_national_yearly!$D:$AM, MATCH(Keys!$C$7, US_national_yearly!$D$1:$AM$1, 0), FALSE), 1)</f>
        <v>9.2631729583150975E-3</v>
      </c>
      <c r="J7" s="12">
        <f>$B7 * IFERROR(VLOOKUP(Substitution!$M$10 &amp; $A7, US_national_yearly!$D:$AM, MATCH(J$1, US_national_yearly!$D$1:$AM$1, 0), FALSE) / VLOOKUP(Substitution!$M$10 &amp; $A7, US_national_yearly!$D:$AM, MATCH(Keys!$C$7, US_national_yearly!$D$1:$AM$1, 0), FALSE), 1)</f>
        <v>9.2631729583150975E-3</v>
      </c>
      <c r="K7" s="12">
        <f>$B7 * IFERROR(VLOOKUP(Substitution!$M$10 &amp; $A7, US_national_yearly!$D:$AM, MATCH(K$1, US_national_yearly!$D$1:$AM$1, 0), FALSE) / VLOOKUP(Substitution!$M$10 &amp; $A7, US_national_yearly!$D:$AM, MATCH(Keys!$C$7, US_national_yearly!$D$1:$AM$1, 0), FALSE), 1)</f>
        <v>9.2631729583150975E-3</v>
      </c>
      <c r="L7" s="12">
        <f>$B7 * IFERROR(VLOOKUP(Substitution!$M$10 &amp; $A7, US_national_yearly!$D:$AM, MATCH(L$1, US_national_yearly!$D$1:$AM$1, 0), FALSE) / VLOOKUP(Substitution!$M$10 &amp; $A7, US_national_yearly!$D:$AM, MATCH(Keys!$C$7, US_national_yearly!$D$1:$AM$1, 0), FALSE), 1)</f>
        <v>9.2631729583150975E-3</v>
      </c>
      <c r="M7" s="12">
        <f>$B7 * IFERROR(VLOOKUP(Substitution!$M$10 &amp; $A7, US_national_yearly!$D:$AM, MATCH(M$1, US_national_yearly!$D$1:$AM$1, 0), FALSE) / VLOOKUP(Substitution!$M$10 &amp; $A7, US_national_yearly!$D:$AM, MATCH(Keys!$C$7, US_national_yearly!$D$1:$AM$1, 0), FALSE), 1)</f>
        <v>9.2631729583150975E-3</v>
      </c>
      <c r="N7" s="12">
        <f>$B7 * IFERROR(VLOOKUP(Substitution!$M$10 &amp; $A7, US_national_yearly!$D:$AM, MATCH(N$1, US_national_yearly!$D$1:$AM$1, 0), FALSE) / VLOOKUP(Substitution!$M$10 &amp; $A7, US_national_yearly!$D:$AM, MATCH(Keys!$C$7, US_national_yearly!$D$1:$AM$1, 0), FALSE), 1)</f>
        <v>9.2631729583150975E-3</v>
      </c>
      <c r="O7" s="12">
        <f>$B7 * IFERROR(VLOOKUP(Substitution!$M$10 &amp; $A7, US_national_yearly!$D:$AM, MATCH(O$1, US_national_yearly!$D$1:$AM$1, 0), FALSE) / VLOOKUP(Substitution!$M$10 &amp; $A7, US_national_yearly!$D:$AM, MATCH(Keys!$C$7, US_national_yearly!$D$1:$AM$1, 0), FALSE), 1)</f>
        <v>9.2631729583150975E-3</v>
      </c>
      <c r="P7" s="12">
        <f>$B7 * IFERROR(VLOOKUP(Substitution!$M$10 &amp; $A7, US_national_yearly!$D:$AM, MATCH(P$1, US_national_yearly!$D$1:$AM$1, 0), FALSE) / VLOOKUP(Substitution!$M$10 &amp; $A7, US_national_yearly!$D:$AM, MATCH(Keys!$C$7, US_national_yearly!$D$1:$AM$1, 0), FALSE), 1)</f>
        <v>9.2631729583150975E-3</v>
      </c>
      <c r="Q7" s="12">
        <f>$B7 * IFERROR(VLOOKUP(Substitution!$M$10 &amp; $A7, US_national_yearly!$D:$AM, MATCH(Q$1, US_national_yearly!$D$1:$AM$1, 0), FALSE) / VLOOKUP(Substitution!$M$10 &amp; $A7, US_national_yearly!$D:$AM, MATCH(Keys!$C$7, US_national_yearly!$D$1:$AM$1, 0), FALSE), 1)</f>
        <v>9.2631729583150975E-3</v>
      </c>
      <c r="R7" s="12">
        <f>$B7 * IFERROR(VLOOKUP(Substitution!$M$10 &amp; $A7, US_national_yearly!$D:$AM, MATCH(R$1, US_national_yearly!$D$1:$AM$1, 0), FALSE) / VLOOKUP(Substitution!$M$10 &amp; $A7, US_national_yearly!$D:$AM, MATCH(Keys!$C$7, US_national_yearly!$D$1:$AM$1, 0), FALSE), 1)</f>
        <v>9.2631729583150975E-3</v>
      </c>
      <c r="S7" s="12">
        <f>$B7 * IFERROR(VLOOKUP(Substitution!$M$10 &amp; $A7, US_national_yearly!$D:$AM, MATCH(S$1, US_national_yearly!$D$1:$AM$1, 0), FALSE) / VLOOKUP(Substitution!$M$10 &amp; $A7, US_national_yearly!$D:$AM, MATCH(Keys!$C$7, US_national_yearly!$D$1:$AM$1, 0), FALSE), 1)</f>
        <v>9.2631729583150975E-3</v>
      </c>
      <c r="T7" s="12">
        <f>$B7 * IFERROR(VLOOKUP(Substitution!$M$10 &amp; $A7, US_national_yearly!$D:$AM, MATCH(T$1, US_national_yearly!$D$1:$AM$1, 0), FALSE) / VLOOKUP(Substitution!$M$10 &amp; $A7, US_national_yearly!$D:$AM, MATCH(Keys!$C$7, US_national_yearly!$D$1:$AM$1, 0), FALSE), 1)</f>
        <v>9.2631729583150975E-3</v>
      </c>
      <c r="U7" s="12">
        <f>$B7 * IFERROR(VLOOKUP(Substitution!$M$10 &amp; $A7, US_national_yearly!$D:$AM, MATCH(U$1, US_national_yearly!$D$1:$AM$1, 0), FALSE) / VLOOKUP(Substitution!$M$10 &amp; $A7, US_national_yearly!$D:$AM, MATCH(Keys!$C$7, US_national_yearly!$D$1:$AM$1, 0), FALSE), 1)</f>
        <v>9.2631729583150975E-3</v>
      </c>
      <c r="V7" s="12">
        <f>$B7 * IFERROR(VLOOKUP(Substitution!$M$10 &amp; $A7, US_national_yearly!$D:$AM, MATCH(V$1, US_national_yearly!$D$1:$AM$1, 0), FALSE) / VLOOKUP(Substitution!$M$10 &amp; $A7, US_national_yearly!$D:$AM, MATCH(Keys!$C$7, US_national_yearly!$D$1:$AM$1, 0), FALSE), 1)</f>
        <v>9.2631729583150975E-3</v>
      </c>
      <c r="W7" s="12">
        <f>$B7 * IFERROR(VLOOKUP(Substitution!$M$10 &amp; $A7, US_national_yearly!$D:$AM, MATCH(W$1, US_national_yearly!$D$1:$AM$1, 0), FALSE) / VLOOKUP(Substitution!$M$10 &amp; $A7, US_national_yearly!$D:$AM, MATCH(Keys!$C$7, US_national_yearly!$D$1:$AM$1, 0), FALSE), 1)</f>
        <v>9.2631729583150975E-3</v>
      </c>
      <c r="X7" s="12">
        <f>$B7 * IFERROR(VLOOKUP(Substitution!$M$10 &amp; $A7, US_national_yearly!$D:$AM, MATCH(X$1, US_national_yearly!$D$1:$AM$1, 0), FALSE) / VLOOKUP(Substitution!$M$10 &amp; $A7, US_national_yearly!$D:$AM, MATCH(Keys!$C$7, US_national_yearly!$D$1:$AM$1, 0), FALSE), 1)</f>
        <v>9.2631729583150975E-3</v>
      </c>
      <c r="Y7" s="12">
        <f>$B7 * IFERROR(VLOOKUP(Substitution!$M$10 &amp; $A7, US_national_yearly!$D:$AM, MATCH(Y$1, US_national_yearly!$D$1:$AM$1, 0), FALSE) / VLOOKUP(Substitution!$M$10 &amp; $A7, US_national_yearly!$D:$AM, MATCH(Keys!$C$7, US_national_yearly!$D$1:$AM$1, 0), FALSE), 1)</f>
        <v>9.2631729583150975E-3</v>
      </c>
      <c r="Z7" s="12">
        <f>$B7 * IFERROR(VLOOKUP(Substitution!$M$10 &amp; $A7, US_national_yearly!$D:$AM, MATCH(Z$1, US_national_yearly!$D$1:$AM$1, 0), FALSE) / VLOOKUP(Substitution!$M$10 &amp; $A7, US_national_yearly!$D:$AM, MATCH(Keys!$C$7, US_national_yearly!$D$1:$AM$1, 0), FALSE), 1)</f>
        <v>9.2631729583150975E-3</v>
      </c>
      <c r="AA7" s="12">
        <f>$B7 * IFERROR(VLOOKUP(Substitution!$M$10 &amp; $A7, US_national_yearly!$D:$AM, MATCH(AA$1, US_national_yearly!$D$1:$AM$1, 0), FALSE) / VLOOKUP(Substitution!$M$10 &amp; $A7, US_national_yearly!$D:$AM, MATCH(Keys!$C$7, US_national_yearly!$D$1:$AM$1, 0), FALSE), 1)</f>
        <v>9.2631729583150975E-3</v>
      </c>
      <c r="AB7" s="12">
        <f>$B7 * IFERROR(VLOOKUP(Substitution!$M$10 &amp; $A7, US_national_yearly!$D:$AM, MATCH(AB$1, US_national_yearly!$D$1:$AM$1, 0), FALSE) / VLOOKUP(Substitution!$M$10 &amp; $A7, US_national_yearly!$D:$AM, MATCH(Keys!$C$7, US_national_yearly!$D$1:$AM$1, 0), FALSE), 1)</f>
        <v>9.2631729583150975E-3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Substitution!$G$10)/IFERROR(SUMIFS(COBRA_aggregated!$V:$V, COBRA_aggregated!$A:$A, About!$B$1, COBRA_aggregated!$B:$B, Substitution!$G$10), 1)</f>
        <v>1.4152618133608214E-2</v>
      </c>
      <c r="C8" s="12">
        <f>$B8 * IFERROR(VLOOKUP(Substitution!$M$10 &amp; $A8, US_national_yearly!$D:$AM, MATCH(C$1, US_national_yearly!$D$1:$AM$1, 0), FALSE) / VLOOKUP(Substitution!$M$10 &amp; $A8, US_national_yearly!$D:$AM, MATCH(Keys!$C$7, US_national_yearly!$D$1:$AM$1, 0), FALSE), 1)</f>
        <v>1.4152618133608214E-2</v>
      </c>
      <c r="D8" s="12">
        <f>$B8 * IFERROR(VLOOKUP(Substitution!$M$10 &amp; $A8, US_national_yearly!$D:$AM, MATCH(D$1, US_national_yearly!$D$1:$AM$1, 0), FALSE) / VLOOKUP(Substitution!$M$10 &amp; $A8, US_national_yearly!$D:$AM, MATCH(Keys!$C$7, US_national_yearly!$D$1:$AM$1, 0), FALSE), 1)</f>
        <v>1.4152618133608214E-2</v>
      </c>
      <c r="E8" s="12">
        <f>$B8 * IFERROR(VLOOKUP(Substitution!$M$10 &amp; $A8, US_national_yearly!$D:$AM, MATCH(E$1, US_national_yearly!$D$1:$AM$1, 0), FALSE) / VLOOKUP(Substitution!$M$10 &amp; $A8, US_national_yearly!$D:$AM, MATCH(Keys!$C$7, US_national_yearly!$D$1:$AM$1, 0), FALSE), 1)</f>
        <v>1.4152618133608214E-2</v>
      </c>
      <c r="F8" s="12">
        <f>$B8 * IFERROR(VLOOKUP(Substitution!$M$10 &amp; $A8, US_national_yearly!$D:$AM, MATCH(F$1, US_national_yearly!$D$1:$AM$1, 0), FALSE) / VLOOKUP(Substitution!$M$10 &amp; $A8, US_national_yearly!$D:$AM, MATCH(Keys!$C$7, US_national_yearly!$D$1:$AM$1, 0), FALSE), 1)</f>
        <v>1.4152618133608214E-2</v>
      </c>
      <c r="G8" s="12">
        <f>$B8 * IFERROR(VLOOKUP(Substitution!$M$10 &amp; $A8, US_national_yearly!$D:$AM, MATCH(G$1, US_national_yearly!$D$1:$AM$1, 0), FALSE) / VLOOKUP(Substitution!$M$10 &amp; $A8, US_national_yearly!$D:$AM, MATCH(Keys!$C$7, US_national_yearly!$D$1:$AM$1, 0), FALSE), 1)</f>
        <v>1.4152618133608214E-2</v>
      </c>
      <c r="H8" s="12">
        <f>$B8 * IFERROR(VLOOKUP(Substitution!$M$10 &amp; $A8, US_national_yearly!$D:$AM, MATCH(H$1, US_national_yearly!$D$1:$AM$1, 0), FALSE) / VLOOKUP(Substitution!$M$10 &amp; $A8, US_national_yearly!$D:$AM, MATCH(Keys!$C$7, US_national_yearly!$D$1:$AM$1, 0), FALSE), 1)</f>
        <v>1.4152618133608214E-2</v>
      </c>
      <c r="I8" s="12">
        <f>$B8 * IFERROR(VLOOKUP(Substitution!$M$10 &amp; $A8, US_national_yearly!$D:$AM, MATCH(I$1, US_national_yearly!$D$1:$AM$1, 0), FALSE) / VLOOKUP(Substitution!$M$10 &amp; $A8, US_national_yearly!$D:$AM, MATCH(Keys!$C$7, US_national_yearly!$D$1:$AM$1, 0), FALSE), 1)</f>
        <v>1.4152618133608214E-2</v>
      </c>
      <c r="J8" s="12">
        <f>$B8 * IFERROR(VLOOKUP(Substitution!$M$10 &amp; $A8, US_national_yearly!$D:$AM, MATCH(J$1, US_national_yearly!$D$1:$AM$1, 0), FALSE) / VLOOKUP(Substitution!$M$10 &amp; $A8, US_national_yearly!$D:$AM, MATCH(Keys!$C$7, US_national_yearly!$D$1:$AM$1, 0), FALSE), 1)</f>
        <v>1.4152618133608214E-2</v>
      </c>
      <c r="K8" s="12">
        <f>$B8 * IFERROR(VLOOKUP(Substitution!$M$10 &amp; $A8, US_national_yearly!$D:$AM, MATCH(K$1, US_national_yearly!$D$1:$AM$1, 0), FALSE) / VLOOKUP(Substitution!$M$10 &amp; $A8, US_national_yearly!$D:$AM, MATCH(Keys!$C$7, US_national_yearly!$D$1:$AM$1, 0), FALSE), 1)</f>
        <v>1.4152618133608214E-2</v>
      </c>
      <c r="L8" s="12">
        <f>$B8 * IFERROR(VLOOKUP(Substitution!$M$10 &amp; $A8, US_national_yearly!$D:$AM, MATCH(L$1, US_national_yearly!$D$1:$AM$1, 0), FALSE) / VLOOKUP(Substitution!$M$10 &amp; $A8, US_national_yearly!$D:$AM, MATCH(Keys!$C$7, US_national_yearly!$D$1:$AM$1, 0), FALSE), 1)</f>
        <v>1.4152618133608214E-2</v>
      </c>
      <c r="M8" s="12">
        <f>$B8 * IFERROR(VLOOKUP(Substitution!$M$10 &amp; $A8, US_national_yearly!$D:$AM, MATCH(M$1, US_national_yearly!$D$1:$AM$1, 0), FALSE) / VLOOKUP(Substitution!$M$10 &amp; $A8, US_national_yearly!$D:$AM, MATCH(Keys!$C$7, US_national_yearly!$D$1:$AM$1, 0), FALSE), 1)</f>
        <v>1.4152618133608214E-2</v>
      </c>
      <c r="N8" s="12">
        <f>$B8 * IFERROR(VLOOKUP(Substitution!$M$10 &amp; $A8, US_national_yearly!$D:$AM, MATCH(N$1, US_national_yearly!$D$1:$AM$1, 0), FALSE) / VLOOKUP(Substitution!$M$10 &amp; $A8, US_national_yearly!$D:$AM, MATCH(Keys!$C$7, US_national_yearly!$D$1:$AM$1, 0), FALSE), 1)</f>
        <v>1.4152618133608214E-2</v>
      </c>
      <c r="O8" s="12">
        <f>$B8 * IFERROR(VLOOKUP(Substitution!$M$10 &amp; $A8, US_national_yearly!$D:$AM, MATCH(O$1, US_national_yearly!$D$1:$AM$1, 0), FALSE) / VLOOKUP(Substitution!$M$10 &amp; $A8, US_national_yearly!$D:$AM, MATCH(Keys!$C$7, US_national_yearly!$D$1:$AM$1, 0), FALSE), 1)</f>
        <v>1.4152618133608214E-2</v>
      </c>
      <c r="P8" s="12">
        <f>$B8 * IFERROR(VLOOKUP(Substitution!$M$10 &amp; $A8, US_national_yearly!$D:$AM, MATCH(P$1, US_national_yearly!$D$1:$AM$1, 0), FALSE) / VLOOKUP(Substitution!$M$10 &amp; $A8, US_national_yearly!$D:$AM, MATCH(Keys!$C$7, US_national_yearly!$D$1:$AM$1, 0), FALSE), 1)</f>
        <v>1.4152618133608214E-2</v>
      </c>
      <c r="Q8" s="12">
        <f>$B8 * IFERROR(VLOOKUP(Substitution!$M$10 &amp; $A8, US_national_yearly!$D:$AM, MATCH(Q$1, US_national_yearly!$D$1:$AM$1, 0), FALSE) / VLOOKUP(Substitution!$M$10 &amp; $A8, US_national_yearly!$D:$AM, MATCH(Keys!$C$7, US_national_yearly!$D$1:$AM$1, 0), FALSE), 1)</f>
        <v>1.4152618133608214E-2</v>
      </c>
      <c r="R8" s="12">
        <f>$B8 * IFERROR(VLOOKUP(Substitution!$M$10 &amp; $A8, US_national_yearly!$D:$AM, MATCH(R$1, US_national_yearly!$D$1:$AM$1, 0), FALSE) / VLOOKUP(Substitution!$M$10 &amp; $A8, US_national_yearly!$D:$AM, MATCH(Keys!$C$7, US_national_yearly!$D$1:$AM$1, 0), FALSE), 1)</f>
        <v>1.4152618133608214E-2</v>
      </c>
      <c r="S8" s="12">
        <f>$B8 * IFERROR(VLOOKUP(Substitution!$M$10 &amp; $A8, US_national_yearly!$D:$AM, MATCH(S$1, US_national_yearly!$D$1:$AM$1, 0), FALSE) / VLOOKUP(Substitution!$M$10 &amp; $A8, US_national_yearly!$D:$AM, MATCH(Keys!$C$7, US_national_yearly!$D$1:$AM$1, 0), FALSE), 1)</f>
        <v>1.4152618133608214E-2</v>
      </c>
      <c r="T8" s="12">
        <f>$B8 * IFERROR(VLOOKUP(Substitution!$M$10 &amp; $A8, US_national_yearly!$D:$AM, MATCH(T$1, US_national_yearly!$D$1:$AM$1, 0), FALSE) / VLOOKUP(Substitution!$M$10 &amp; $A8, US_national_yearly!$D:$AM, MATCH(Keys!$C$7, US_national_yearly!$D$1:$AM$1, 0), FALSE), 1)</f>
        <v>1.4152618133608214E-2</v>
      </c>
      <c r="U8" s="12">
        <f>$B8 * IFERROR(VLOOKUP(Substitution!$M$10 &amp; $A8, US_national_yearly!$D:$AM, MATCH(U$1, US_national_yearly!$D$1:$AM$1, 0), FALSE) / VLOOKUP(Substitution!$M$10 &amp; $A8, US_national_yearly!$D:$AM, MATCH(Keys!$C$7, US_national_yearly!$D$1:$AM$1, 0), FALSE), 1)</f>
        <v>1.4152618133608214E-2</v>
      </c>
      <c r="V8" s="12">
        <f>$B8 * IFERROR(VLOOKUP(Substitution!$M$10 &amp; $A8, US_national_yearly!$D:$AM, MATCH(V$1, US_national_yearly!$D$1:$AM$1, 0), FALSE) / VLOOKUP(Substitution!$M$10 &amp; $A8, US_national_yearly!$D:$AM, MATCH(Keys!$C$7, US_national_yearly!$D$1:$AM$1, 0), FALSE), 1)</f>
        <v>1.4152618133608214E-2</v>
      </c>
      <c r="W8" s="12">
        <f>$B8 * IFERROR(VLOOKUP(Substitution!$M$10 &amp; $A8, US_national_yearly!$D:$AM, MATCH(W$1, US_national_yearly!$D$1:$AM$1, 0), FALSE) / VLOOKUP(Substitution!$M$10 &amp; $A8, US_national_yearly!$D:$AM, MATCH(Keys!$C$7, US_national_yearly!$D$1:$AM$1, 0), FALSE), 1)</f>
        <v>1.4152618133608214E-2</v>
      </c>
      <c r="X8" s="12">
        <f>$B8 * IFERROR(VLOOKUP(Substitution!$M$10 &amp; $A8, US_national_yearly!$D:$AM, MATCH(X$1, US_national_yearly!$D$1:$AM$1, 0), FALSE) / VLOOKUP(Substitution!$M$10 &amp; $A8, US_national_yearly!$D:$AM, MATCH(Keys!$C$7, US_national_yearly!$D$1:$AM$1, 0), FALSE), 1)</f>
        <v>1.4152618133608214E-2</v>
      </c>
      <c r="Y8" s="12">
        <f>$B8 * IFERROR(VLOOKUP(Substitution!$M$10 &amp; $A8, US_national_yearly!$D:$AM, MATCH(Y$1, US_national_yearly!$D$1:$AM$1, 0), FALSE) / VLOOKUP(Substitution!$M$10 &amp; $A8, US_national_yearly!$D:$AM, MATCH(Keys!$C$7, US_national_yearly!$D$1:$AM$1, 0), FALSE), 1)</f>
        <v>1.4152618133608214E-2</v>
      </c>
      <c r="Z8" s="12">
        <f>$B8 * IFERROR(VLOOKUP(Substitution!$M$10 &amp; $A8, US_national_yearly!$D:$AM, MATCH(Z$1, US_national_yearly!$D$1:$AM$1, 0), FALSE) / VLOOKUP(Substitution!$M$10 &amp; $A8, US_national_yearly!$D:$AM, MATCH(Keys!$C$7, US_national_yearly!$D$1:$AM$1, 0), FALSE), 1)</f>
        <v>1.4152618133608214E-2</v>
      </c>
      <c r="AA8" s="12">
        <f>$B8 * IFERROR(VLOOKUP(Substitution!$M$10 &amp; $A8, US_national_yearly!$D:$AM, MATCH(AA$1, US_national_yearly!$D$1:$AM$1, 0), FALSE) / VLOOKUP(Substitution!$M$10 &amp; $A8, US_national_yearly!$D:$AM, MATCH(Keys!$C$7, US_national_yearly!$D$1:$AM$1, 0), FALSE), 1)</f>
        <v>1.4152618133608214E-2</v>
      </c>
      <c r="AB8" s="12">
        <f>$B8 * IFERROR(VLOOKUP(Substitution!$M$10 &amp; $A8, US_national_yearly!$D:$AM, MATCH(AB$1, US_national_yearly!$D$1:$AM$1, 0), FALSE) / VLOOKUP(Substitution!$M$10 &amp; $A8, US_national_yearly!$D:$AM, MATCH(Keys!$C$7, US_national_yearly!$D$1:$AM$1, 0), FALSE), 1)</f>
        <v>1.4152618133608214E-2</v>
      </c>
    </row>
    <row r="9" spans="1:28" x14ac:dyDescent="0.25">
      <c r="A9" s="4" t="s">
        <v>305</v>
      </c>
      <c r="B9" s="12">
        <f>IFERROR(VLOOKUP(Substitution!$M$10 &amp; $A9, US_national_yearly!$D:$AM, MATCH(Keys!$C$7, US_national_yearly!$D$1:$AM$1, 0), FALSE), 0)</f>
        <v>6.6524302324414602E-3</v>
      </c>
      <c r="C9" s="12">
        <f>$B9 * IFERROR(VLOOKUP(Substitution!$M$10 &amp; $A9, US_national_yearly!$D:$AM, MATCH(C$1, US_national_yearly!$D$1:$AM$1, 0), FALSE) / VLOOKUP(Substitution!$M$10 &amp; $A9, US_national_yearly!$D:$AM, MATCH(Keys!$C$7, US_national_yearly!$D$1:$AM$1, 0), FALSE), 1)</f>
        <v>6.6969081213625499E-3</v>
      </c>
      <c r="D9" s="12">
        <f>$B9 * IFERROR(VLOOKUP(Substitution!$M$10 &amp; $A9, US_national_yearly!$D:$AM, MATCH(D$1, US_national_yearly!$D$1:$AM$1, 0), FALSE) / VLOOKUP(Substitution!$M$10 &amp; $A9, US_national_yearly!$D:$AM, MATCH(Keys!$C$7, US_national_yearly!$D$1:$AM$1, 0), FALSE), 1)</f>
        <v>6.7413860102836405E-3</v>
      </c>
      <c r="E9" s="12">
        <f>$B9 * IFERROR(VLOOKUP(Substitution!$M$10 &amp; $A9, US_national_yearly!$D:$AM, MATCH(E$1, US_national_yearly!$D$1:$AM$1, 0), FALSE) / VLOOKUP(Substitution!$M$10 &amp; $A9, US_national_yearly!$D:$AM, MATCH(Keys!$C$7, US_national_yearly!$D$1:$AM$1, 0), FALSE), 1)</f>
        <v>6.7858638992047303E-3</v>
      </c>
      <c r="F9" s="12">
        <f>$B9 * IFERROR(VLOOKUP(Substitution!$M$10 &amp; $A9, US_national_yearly!$D:$AM, MATCH(F$1, US_national_yearly!$D$1:$AM$1, 0), FALSE) / VLOOKUP(Substitution!$M$10 &amp; $A9, US_national_yearly!$D:$AM, MATCH(Keys!$C$7, US_national_yearly!$D$1:$AM$1, 0), FALSE), 1)</f>
        <v>6.83034178812582E-3</v>
      </c>
      <c r="G9" s="12">
        <f>$B9 * IFERROR(VLOOKUP(Substitution!$M$10 &amp; $A9, US_national_yearly!$D:$AM, MATCH(G$1, US_national_yearly!$D$1:$AM$1, 0), FALSE) / VLOOKUP(Substitution!$M$10 &amp; $A9, US_national_yearly!$D:$AM, MATCH(Keys!$C$7, US_national_yearly!$D$1:$AM$1, 0), FALSE), 1)</f>
        <v>6.8706185013015604E-3</v>
      </c>
      <c r="H9" s="12">
        <f>$B9 * IFERROR(VLOOKUP(Substitution!$M$10 &amp; $A9, US_national_yearly!$D:$AM, MATCH(H$1, US_national_yearly!$D$1:$AM$1, 0), FALSE) / VLOOKUP(Substitution!$M$10 &amp; $A9, US_national_yearly!$D:$AM, MATCH(Keys!$C$7, US_national_yearly!$D$1:$AM$1, 0), FALSE), 1)</f>
        <v>6.9108952144772999E-3</v>
      </c>
      <c r="I9" s="12">
        <f>$B9 * IFERROR(VLOOKUP(Substitution!$M$10 &amp; $A9, US_national_yearly!$D:$AM, MATCH(I$1, US_national_yearly!$D$1:$AM$1, 0), FALSE) / VLOOKUP(Substitution!$M$10 &amp; $A9, US_national_yearly!$D:$AM, MATCH(Keys!$C$7, US_national_yearly!$D$1:$AM$1, 0), FALSE), 1)</f>
        <v>6.944288300188806E-3</v>
      </c>
      <c r="J9" s="12">
        <f>$B9 * IFERROR(VLOOKUP(Substitution!$M$10 &amp; $A9, US_national_yearly!$D:$AM, MATCH(J$1, US_national_yearly!$D$1:$AM$1, 0), FALSE) / VLOOKUP(Substitution!$M$10 &amp; $A9, US_national_yearly!$D:$AM, MATCH(Keys!$C$7, US_national_yearly!$D$1:$AM$1, 0), FALSE), 1)</f>
        <v>6.977681385900312E-3</v>
      </c>
      <c r="K9" s="12">
        <f>$B9 * IFERROR(VLOOKUP(Substitution!$M$10 &amp; $A9, US_national_yearly!$D:$AM, MATCH(K$1, US_national_yearly!$D$1:$AM$1, 0), FALSE) / VLOOKUP(Substitution!$M$10 &amp; $A9, US_national_yearly!$D:$AM, MATCH(Keys!$C$7, US_national_yearly!$D$1:$AM$1, 0), FALSE), 1)</f>
        <v>7.0110744716118181E-3</v>
      </c>
      <c r="L9" s="12">
        <f>$B9 * IFERROR(VLOOKUP(Substitution!$M$10 &amp; $A9, US_national_yearly!$D:$AM, MATCH(L$1, US_national_yearly!$D$1:$AM$1, 0), FALSE) / VLOOKUP(Substitution!$M$10 &amp; $A9, US_national_yearly!$D:$AM, MATCH(Keys!$C$7, US_national_yearly!$D$1:$AM$1, 0), FALSE), 1)</f>
        <v>7.0444675573233242E-3</v>
      </c>
      <c r="M9" s="12">
        <f>$B9 * IFERROR(VLOOKUP(Substitution!$M$10 &amp; $A9, US_national_yearly!$D:$AM, MATCH(M$1, US_national_yearly!$D$1:$AM$1, 0), FALSE) / VLOOKUP(Substitution!$M$10 &amp; $A9, US_national_yearly!$D:$AM, MATCH(Keys!$C$7, US_national_yearly!$D$1:$AM$1, 0), FALSE), 1)</f>
        <v>7.0778606430348303E-3</v>
      </c>
      <c r="N9" s="12">
        <f>$B9 * IFERROR(VLOOKUP(Substitution!$M$10 &amp; $A9, US_national_yearly!$D:$AM, MATCH(N$1, US_national_yearly!$D$1:$AM$1, 0), FALSE) / VLOOKUP(Substitution!$M$10 &amp; $A9, US_national_yearly!$D:$AM, MATCH(Keys!$C$7, US_national_yearly!$D$1:$AM$1, 0), FALSE), 1)</f>
        <v>7.10860471491231E-3</v>
      </c>
      <c r="O9" s="12">
        <f>$B9 * IFERROR(VLOOKUP(Substitution!$M$10 &amp; $A9, US_national_yearly!$D:$AM, MATCH(O$1, US_national_yearly!$D$1:$AM$1, 0), FALSE) / VLOOKUP(Substitution!$M$10 &amp; $A9, US_national_yearly!$D:$AM, MATCH(Keys!$C$7, US_national_yearly!$D$1:$AM$1, 0), FALSE), 1)</f>
        <v>7.1393487867897907E-3</v>
      </c>
      <c r="P9" s="12">
        <f>$B9 * IFERROR(VLOOKUP(Substitution!$M$10 &amp; $A9, US_national_yearly!$D:$AM, MATCH(P$1, US_national_yearly!$D$1:$AM$1, 0), FALSE) / VLOOKUP(Substitution!$M$10 &amp; $A9, US_national_yearly!$D:$AM, MATCH(Keys!$C$7, US_national_yearly!$D$1:$AM$1, 0), FALSE), 1)</f>
        <v>7.1700928586672704E-3</v>
      </c>
      <c r="Q9" s="12">
        <f>$B9 * IFERROR(VLOOKUP(Substitution!$M$10 &amp; $A9, US_national_yearly!$D:$AM, MATCH(Q$1, US_national_yearly!$D$1:$AM$1, 0), FALSE) / VLOOKUP(Substitution!$M$10 &amp; $A9, US_national_yearly!$D:$AM, MATCH(Keys!$C$7, US_national_yearly!$D$1:$AM$1, 0), FALSE), 1)</f>
        <v>7.2008369305447502E-3</v>
      </c>
      <c r="R9" s="12">
        <f>$B9 * IFERROR(VLOOKUP(Substitution!$M$10 &amp; $A9, US_national_yearly!$D:$AM, MATCH(R$1, US_national_yearly!$D$1:$AM$1, 0), FALSE) / VLOOKUP(Substitution!$M$10 &amp; $A9, US_national_yearly!$D:$AM, MATCH(Keys!$C$7, US_national_yearly!$D$1:$AM$1, 0), FALSE), 1)</f>
        <v>7.2315810024222299E-3</v>
      </c>
      <c r="S9" s="12">
        <f>$B9 * IFERROR(VLOOKUP(Substitution!$M$10 &amp; $A9, US_national_yearly!$D:$AM, MATCH(S$1, US_national_yearly!$D$1:$AM$1, 0), FALSE) / VLOOKUP(Substitution!$M$10 &amp; $A9, US_national_yearly!$D:$AM, MATCH(Keys!$C$7, US_national_yearly!$D$1:$AM$1, 0), FALSE), 1)</f>
        <v>7.2609313383648457E-3</v>
      </c>
      <c r="T9" s="12">
        <f>$B9 * IFERROR(VLOOKUP(Substitution!$M$10 &amp; $A9, US_national_yearly!$D:$AM, MATCH(T$1, US_national_yearly!$D$1:$AM$1, 0), FALSE) / VLOOKUP(Substitution!$M$10 &amp; $A9, US_national_yearly!$D:$AM, MATCH(Keys!$C$7, US_national_yearly!$D$1:$AM$1, 0), FALSE), 1)</f>
        <v>7.2902816743074597E-3</v>
      </c>
      <c r="U9" s="12">
        <f>$B9 * IFERROR(VLOOKUP(Substitution!$M$10 &amp; $A9, US_national_yearly!$D:$AM, MATCH(U$1, US_national_yearly!$D$1:$AM$1, 0), FALSE) / VLOOKUP(Substitution!$M$10 &amp; $A9, US_national_yearly!$D:$AM, MATCH(Keys!$C$7, US_national_yearly!$D$1:$AM$1, 0), FALSE), 1)</f>
        <v>7.3196320102500781E-3</v>
      </c>
      <c r="V9" s="12">
        <f>$B9 * IFERROR(VLOOKUP(Substitution!$M$10 &amp; $A9, US_national_yearly!$D:$AM, MATCH(V$1, US_national_yearly!$D$1:$AM$1, 0), FALSE) / VLOOKUP(Substitution!$M$10 &amp; $A9, US_national_yearly!$D:$AM, MATCH(Keys!$C$7, US_national_yearly!$D$1:$AM$1, 0), FALSE), 1)</f>
        <v>7.3489823461926939E-3</v>
      </c>
      <c r="W9" s="12">
        <f>$B9 * IFERROR(VLOOKUP(Substitution!$M$10 &amp; $A9, US_national_yearly!$D:$AM, MATCH(W$1, US_national_yearly!$D$1:$AM$1, 0), FALSE) / VLOOKUP(Substitution!$M$10 &amp; $A9, US_national_yearly!$D:$AM, MATCH(Keys!$C$7, US_national_yearly!$D$1:$AM$1, 0), FALSE), 1)</f>
        <v>7.3783326821353096E-3</v>
      </c>
      <c r="X9" s="12">
        <f>$B9 * IFERROR(VLOOKUP(Substitution!$M$10 &amp; $A9, US_national_yearly!$D:$AM, MATCH(X$1, US_national_yearly!$D$1:$AM$1, 0), FALSE) / VLOOKUP(Substitution!$M$10 &amp; $A9, US_national_yearly!$D:$AM, MATCH(Keys!$C$7, US_national_yearly!$D$1:$AM$1, 0), FALSE), 1)</f>
        <v>7.4053851411655424E-3</v>
      </c>
      <c r="Y9" s="12">
        <f>$B9 * IFERROR(VLOOKUP(Substitution!$M$10 &amp; $A9, US_national_yearly!$D:$AM, MATCH(Y$1, US_national_yearly!$D$1:$AM$1, 0), FALSE) / VLOOKUP(Substitution!$M$10 &amp; $A9, US_national_yearly!$D:$AM, MATCH(Keys!$C$7, US_national_yearly!$D$1:$AM$1, 0), FALSE), 1)</f>
        <v>7.4324376001957725E-3</v>
      </c>
      <c r="Z9" s="12">
        <f>$B9 * IFERROR(VLOOKUP(Substitution!$M$10 &amp; $A9, US_national_yearly!$D:$AM, MATCH(Z$1, US_national_yearly!$D$1:$AM$1, 0), FALSE) / VLOOKUP(Substitution!$M$10 &amp; $A9, US_national_yearly!$D:$AM, MATCH(Keys!$C$7, US_national_yearly!$D$1:$AM$1, 0), FALSE), 1)</f>
        <v>7.459490059226007E-3</v>
      </c>
      <c r="AA9" s="12">
        <f>$B9 * IFERROR(VLOOKUP(Substitution!$M$10 &amp; $A9, US_national_yearly!$D:$AM, MATCH(AA$1, US_national_yearly!$D$1:$AM$1, 0), FALSE) / VLOOKUP(Substitution!$M$10 &amp; $A9, US_national_yearly!$D:$AM, MATCH(Keys!$C$7, US_national_yearly!$D$1:$AM$1, 0), FALSE), 1)</f>
        <v>7.4865425182562371E-3</v>
      </c>
      <c r="AB9" s="12">
        <f>$B9 * IFERROR(VLOOKUP(Substitution!$M$10 &amp; $A9, US_national_yearly!$D:$AM, MATCH(AB$1, US_national_yearly!$D$1:$AM$1, 0), FALSE) / VLOOKUP(Substitution!$M$10 &amp; $A9, US_national_yearly!$D:$AM, MATCH(Keys!$C$7, US_national_yearly!$D$1:$AM$1, 0), FALSE), 1)</f>
        <v>7.5135949772864698E-3</v>
      </c>
    </row>
    <row r="10" spans="1:28" x14ac:dyDescent="0.25">
      <c r="A10" s="4" t="s">
        <v>307</v>
      </c>
      <c r="B10" s="12">
        <f>IFERROR(VLOOKUP(Substitution!$M$10 &amp; $A10, US_national_yearly!$D:$AM, MATCH(Keys!$C$7, US_national_yearly!$D$1:$AM$1, 0), FALSE), 0)</f>
        <v>4.2386437819626498E-2</v>
      </c>
      <c r="C10" s="12">
        <f>$B10 * IFERROR(VLOOKUP(Substitution!$M$10 &amp; $A10, US_national_yearly!$D:$AM, MATCH(C$1, US_national_yearly!$D$1:$AM$1, 0), FALSE) / VLOOKUP(Substitution!$M$10 &amp; $A10, US_national_yearly!$D:$AM, MATCH(Keys!$C$7, US_national_yearly!$D$1:$AM$1, 0), FALSE), 1)</f>
        <v>4.2777602607998191E-2</v>
      </c>
      <c r="D10" s="12">
        <f>$B10 * IFERROR(VLOOKUP(Substitution!$M$10 &amp; $A10, US_national_yearly!$D:$AM, MATCH(D$1, US_national_yearly!$D$1:$AM$1, 0), FALSE) / VLOOKUP(Substitution!$M$10 &amp; $A10, US_national_yearly!$D:$AM, MATCH(Keys!$C$7, US_national_yearly!$D$1:$AM$1, 0), FALSE), 1)</f>
        <v>4.3168767396369899E-2</v>
      </c>
      <c r="E10" s="12">
        <f>$B10 * IFERROR(VLOOKUP(Substitution!$M$10 &amp; $A10, US_national_yearly!$D:$AM, MATCH(E$1, US_national_yearly!$D$1:$AM$1, 0), FALSE) / VLOOKUP(Substitution!$M$10 &amp; $A10, US_national_yearly!$D:$AM, MATCH(Keys!$C$7, US_national_yearly!$D$1:$AM$1, 0), FALSE), 1)</f>
        <v>4.35599321847416E-2</v>
      </c>
      <c r="F10" s="12">
        <f>$B10 * IFERROR(VLOOKUP(Substitution!$M$10 &amp; $A10, US_national_yearly!$D:$AM, MATCH(F$1, US_national_yearly!$D$1:$AM$1, 0), FALSE) / VLOOKUP(Substitution!$M$10 &amp; $A10, US_national_yearly!$D:$AM, MATCH(Keys!$C$7, US_national_yearly!$D$1:$AM$1, 0), FALSE), 1)</f>
        <v>4.39510969731133E-2</v>
      </c>
      <c r="G10" s="12">
        <f>$B10 * IFERROR(VLOOKUP(Substitution!$M$10 &amp; $A10, US_national_yearly!$D:$AM, MATCH(G$1, US_national_yearly!$D$1:$AM$1, 0), FALSE) / VLOOKUP(Substitution!$M$10 &amp; $A10, US_national_yearly!$D:$AM, MATCH(Keys!$C$7, US_national_yearly!$D$1:$AM$1, 0), FALSE), 1)</f>
        <v>4.43798222181657E-2</v>
      </c>
      <c r="H10" s="12">
        <f>$B10 * IFERROR(VLOOKUP(Substitution!$M$10 &amp; $A10, US_national_yearly!$D:$AM, MATCH(H$1, US_national_yearly!$D$1:$AM$1, 0), FALSE) / VLOOKUP(Substitution!$M$10 &amp; $A10, US_national_yearly!$D:$AM, MATCH(Keys!$C$7, US_national_yearly!$D$1:$AM$1, 0), FALSE), 1)</f>
        <v>4.48085474632181E-2</v>
      </c>
      <c r="I10" s="12">
        <f>$B10 * IFERROR(VLOOKUP(Substitution!$M$10 &amp; $A10, US_national_yearly!$D:$AM, MATCH(I$1, US_national_yearly!$D$1:$AM$1, 0), FALSE) / VLOOKUP(Substitution!$M$10 &amp; $A10, US_national_yearly!$D:$AM, MATCH(Keys!$C$7, US_national_yearly!$D$1:$AM$1, 0), FALSE), 1)</f>
        <v>4.5134526984270437E-2</v>
      </c>
      <c r="J10" s="12">
        <f>$B10 * IFERROR(VLOOKUP(Substitution!$M$10 &amp; $A10, US_national_yearly!$D:$AM, MATCH(J$1, US_national_yearly!$D$1:$AM$1, 0), FALSE) / VLOOKUP(Substitution!$M$10 &amp; $A10, US_national_yearly!$D:$AM, MATCH(Keys!$C$7, US_national_yearly!$D$1:$AM$1, 0), FALSE), 1)</f>
        <v>4.5460506505322781E-2</v>
      </c>
      <c r="K10" s="12">
        <f>$B10 * IFERROR(VLOOKUP(Substitution!$M$10 &amp; $A10, US_national_yearly!$D:$AM, MATCH(K$1, US_national_yearly!$D$1:$AM$1, 0), FALSE) / VLOOKUP(Substitution!$M$10 &amp; $A10, US_national_yearly!$D:$AM, MATCH(Keys!$C$7, US_national_yearly!$D$1:$AM$1, 0), FALSE), 1)</f>
        <v>4.5786486026375119E-2</v>
      </c>
      <c r="L10" s="12">
        <f>$B10 * IFERROR(VLOOKUP(Substitution!$M$10 &amp; $A10, US_national_yearly!$D:$AM, MATCH(L$1, US_national_yearly!$D$1:$AM$1, 0), FALSE) / VLOOKUP(Substitution!$M$10 &amp; $A10, US_national_yearly!$D:$AM, MATCH(Keys!$C$7, US_national_yearly!$D$1:$AM$1, 0), FALSE), 1)</f>
        <v>4.6112465547427463E-2</v>
      </c>
      <c r="M10" s="12">
        <f>$B10 * IFERROR(VLOOKUP(Substitution!$M$10 &amp; $A10, US_national_yearly!$D:$AM, MATCH(M$1, US_national_yearly!$D$1:$AM$1, 0), FALSE) / VLOOKUP(Substitution!$M$10 &amp; $A10, US_national_yearly!$D:$AM, MATCH(Keys!$C$7, US_national_yearly!$D$1:$AM$1, 0), FALSE), 1)</f>
        <v>4.6438445068479807E-2</v>
      </c>
      <c r="N10" s="12">
        <f>$B10 * IFERROR(VLOOKUP(Substitution!$M$10 &amp; $A10, US_national_yearly!$D:$AM, MATCH(N$1, US_national_yearly!$D$1:$AM$1, 0), FALSE) / VLOOKUP(Substitution!$M$10 &amp; $A10, US_national_yearly!$D:$AM, MATCH(Keys!$C$7, US_national_yearly!$D$1:$AM$1, 0), FALSE), 1)</f>
        <v>4.6609288612711561E-2</v>
      </c>
      <c r="O10" s="12">
        <f>$B10 * IFERROR(VLOOKUP(Substitution!$M$10 &amp; $A10, US_national_yearly!$D:$AM, MATCH(O$1, US_national_yearly!$D$1:$AM$1, 0), FALSE) / VLOOKUP(Substitution!$M$10 &amp; $A10, US_national_yearly!$D:$AM, MATCH(Keys!$C$7, US_national_yearly!$D$1:$AM$1, 0), FALSE), 1)</f>
        <v>4.6780132156943328E-2</v>
      </c>
      <c r="P10" s="12">
        <f>$B10 * IFERROR(VLOOKUP(Substitution!$M$10 &amp; $A10, US_national_yearly!$D:$AM, MATCH(P$1, US_national_yearly!$D$1:$AM$1, 0), FALSE) / VLOOKUP(Substitution!$M$10 &amp; $A10, US_national_yearly!$D:$AM, MATCH(Keys!$C$7, US_national_yearly!$D$1:$AM$1, 0), FALSE), 1)</f>
        <v>4.6950975701175082E-2</v>
      </c>
      <c r="Q10" s="12">
        <f>$B10 * IFERROR(VLOOKUP(Substitution!$M$10 &amp; $A10, US_national_yearly!$D:$AM, MATCH(Q$1, US_national_yearly!$D$1:$AM$1, 0), FALSE) / VLOOKUP(Substitution!$M$10 &amp; $A10, US_national_yearly!$D:$AM, MATCH(Keys!$C$7, US_national_yearly!$D$1:$AM$1, 0), FALSE), 1)</f>
        <v>4.7121819245406843E-2</v>
      </c>
      <c r="R10" s="12">
        <f>$B10 * IFERROR(VLOOKUP(Substitution!$M$10 &amp; $A10, US_national_yearly!$D:$AM, MATCH(R$1, US_national_yearly!$D$1:$AM$1, 0), FALSE) / VLOOKUP(Substitution!$M$10 &amp; $A10, US_national_yearly!$D:$AM, MATCH(Keys!$C$7, US_national_yearly!$D$1:$AM$1, 0), FALSE), 1)</f>
        <v>4.729266278963859E-2</v>
      </c>
      <c r="S10" s="12">
        <f>$B10 * IFERROR(VLOOKUP(Substitution!$M$10 &amp; $A10, US_national_yearly!$D:$AM, MATCH(S$1, US_national_yearly!$D$1:$AM$1, 0), FALSE) / VLOOKUP(Substitution!$M$10 &amp; $A10, US_national_yearly!$D:$AM, MATCH(Keys!$C$7, US_national_yearly!$D$1:$AM$1, 0), FALSE), 1)</f>
        <v>4.7483916629178467E-2</v>
      </c>
      <c r="T10" s="12">
        <f>$B10 * IFERROR(VLOOKUP(Substitution!$M$10 &amp; $A10, US_national_yearly!$D:$AM, MATCH(T$1, US_national_yearly!$D$1:$AM$1, 0), FALSE) / VLOOKUP(Substitution!$M$10 &amp; $A10, US_national_yearly!$D:$AM, MATCH(Keys!$C$7, US_national_yearly!$D$1:$AM$1, 0), FALSE), 1)</f>
        <v>4.7675170468718359E-2</v>
      </c>
      <c r="U10" s="12">
        <f>$B10 * IFERROR(VLOOKUP(Substitution!$M$10 &amp; $A10, US_national_yearly!$D:$AM, MATCH(U$1, US_national_yearly!$D$1:$AM$1, 0), FALSE) / VLOOKUP(Substitution!$M$10 &amp; $A10, US_national_yearly!$D:$AM, MATCH(Keys!$C$7, US_national_yearly!$D$1:$AM$1, 0), FALSE), 1)</f>
        <v>4.7866424308258243E-2</v>
      </c>
      <c r="V10" s="12">
        <f>$B10 * IFERROR(VLOOKUP(Substitution!$M$10 &amp; $A10, US_national_yearly!$D:$AM, MATCH(V$1, US_national_yearly!$D$1:$AM$1, 0), FALSE) / VLOOKUP(Substitution!$M$10 &amp; $A10, US_national_yearly!$D:$AM, MATCH(Keys!$C$7, US_national_yearly!$D$1:$AM$1, 0), FALSE), 1)</f>
        <v>4.805767814779812E-2</v>
      </c>
      <c r="W10" s="12">
        <f>$B10 * IFERROR(VLOOKUP(Substitution!$M$10 &amp; $A10, US_national_yearly!$D:$AM, MATCH(W$1, US_national_yearly!$D$1:$AM$1, 0), FALSE) / VLOOKUP(Substitution!$M$10 &amp; $A10, US_national_yearly!$D:$AM, MATCH(Keys!$C$7, US_national_yearly!$D$1:$AM$1, 0), FALSE), 1)</f>
        <v>4.8248931987337998E-2</v>
      </c>
      <c r="X10" s="12">
        <f>$B10 * IFERROR(VLOOKUP(Substitution!$M$10 &amp; $A10, US_national_yearly!$D:$AM, MATCH(X$1, US_national_yearly!$D$1:$AM$1, 0), FALSE) / VLOOKUP(Substitution!$M$10 &amp; $A10, US_national_yearly!$D:$AM, MATCH(Keys!$C$7, US_national_yearly!$D$1:$AM$1, 0), FALSE), 1)</f>
        <v>4.8446267735150178E-2</v>
      </c>
      <c r="Y10" s="12">
        <f>$B10 * IFERROR(VLOOKUP(Substitution!$M$10 &amp; $A10, US_national_yearly!$D:$AM, MATCH(Y$1, US_national_yearly!$D$1:$AM$1, 0), FALSE) / VLOOKUP(Substitution!$M$10 &amp; $A10, US_national_yearly!$D:$AM, MATCH(Keys!$C$7, US_national_yearly!$D$1:$AM$1, 0), FALSE), 1)</f>
        <v>4.8643603482962358E-2</v>
      </c>
      <c r="Z10" s="12">
        <f>$B10 * IFERROR(VLOOKUP(Substitution!$M$10 &amp; $A10, US_national_yearly!$D:$AM, MATCH(Z$1, US_national_yearly!$D$1:$AM$1, 0), FALSE) / VLOOKUP(Substitution!$M$10 &amp; $A10, US_national_yearly!$D:$AM, MATCH(Keys!$C$7, US_national_yearly!$D$1:$AM$1, 0), FALSE), 1)</f>
        <v>4.8840939230774538E-2</v>
      </c>
      <c r="AA10" s="12">
        <f>$B10 * IFERROR(VLOOKUP(Substitution!$M$10 &amp; $A10, US_national_yearly!$D:$AM, MATCH(AA$1, US_national_yearly!$D$1:$AM$1, 0), FALSE) / VLOOKUP(Substitution!$M$10 &amp; $A10, US_national_yearly!$D:$AM, MATCH(Keys!$C$7, US_national_yearly!$D$1:$AM$1, 0), FALSE), 1)</f>
        <v>4.9038274978586718E-2</v>
      </c>
      <c r="AB10" s="12">
        <f>$B10 * IFERROR(VLOOKUP(Substitution!$M$10 &amp; $A10, US_national_yearly!$D:$AM, MATCH(AB$1, US_national_yearly!$D$1:$AM$1, 0), FALSE) / VLOOKUP(Substitution!$M$10 &amp; $A10, US_national_yearly!$D:$AM, MATCH(Keys!$C$7, US_national_yearly!$D$1:$AM$1, 0), FALSE), 1)</f>
        <v>4.9235610726398898E-2</v>
      </c>
    </row>
    <row r="11" spans="1:28" x14ac:dyDescent="0.25">
      <c r="A11" s="4" t="s">
        <v>309</v>
      </c>
      <c r="B11" s="12">
        <f>IFERROR(VLOOKUP(Substitution!$M$10 &amp; $A11, US_national_yearly!$D:$AM, MATCH(Keys!$C$7, US_national_yearly!$D$1:$AM$1, 0), FALSE), 0)</f>
        <v>2.0043582206222699E-3</v>
      </c>
      <c r="C11" s="12">
        <f>$B11 * IFERROR(VLOOKUP(Substitution!$M$10 &amp; $A11, US_national_yearly!$D:$AM, MATCH(C$1, US_national_yearly!$D$1:$AM$1, 0), FALSE) / VLOOKUP(Substitution!$M$10 &amp; $A11, US_national_yearly!$D:$AM, MATCH(Keys!$C$7, US_national_yearly!$D$1:$AM$1, 0), FALSE), 1)</f>
        <v>2.0236595244805902E-3</v>
      </c>
      <c r="D11" s="12">
        <f>$B11 * IFERROR(VLOOKUP(Substitution!$M$10 &amp; $A11, US_national_yearly!$D:$AM, MATCH(D$1, US_national_yearly!$D$1:$AM$1, 0), FALSE) / VLOOKUP(Substitution!$M$10 &amp; $A11, US_national_yearly!$D:$AM, MATCH(Keys!$C$7, US_national_yearly!$D$1:$AM$1, 0), FALSE), 1)</f>
        <v>2.04296082833891E-3</v>
      </c>
      <c r="E11" s="12">
        <f>$B11 * IFERROR(VLOOKUP(Substitution!$M$10 &amp; $A11, US_national_yearly!$D:$AM, MATCH(E$1, US_national_yearly!$D$1:$AM$1, 0), FALSE) / VLOOKUP(Substitution!$M$10 &amp; $A11, US_national_yearly!$D:$AM, MATCH(Keys!$C$7, US_national_yearly!$D$1:$AM$1, 0), FALSE), 1)</f>
        <v>2.0622621321972302E-3</v>
      </c>
      <c r="F11" s="12">
        <f>$B11 * IFERROR(VLOOKUP(Substitution!$M$10 &amp; $A11, US_national_yearly!$D:$AM, MATCH(F$1, US_national_yearly!$D$1:$AM$1, 0), FALSE) / VLOOKUP(Substitution!$M$10 &amp; $A11, US_national_yearly!$D:$AM, MATCH(Keys!$C$7, US_national_yearly!$D$1:$AM$1, 0), FALSE), 1)</f>
        <v>2.08156343605555E-3</v>
      </c>
      <c r="G11" s="12">
        <f>$B11 * IFERROR(VLOOKUP(Substitution!$M$10 &amp; $A11, US_national_yearly!$D:$AM, MATCH(G$1, US_national_yearly!$D$1:$AM$1, 0), FALSE) / VLOOKUP(Substitution!$M$10 &amp; $A11, US_national_yearly!$D:$AM, MATCH(Keys!$C$7, US_national_yearly!$D$1:$AM$1, 0), FALSE), 1)</f>
        <v>2.1015505627024751E-3</v>
      </c>
      <c r="H11" s="12">
        <f>$B11 * IFERROR(VLOOKUP(Substitution!$M$10 &amp; $A11, US_national_yearly!$D:$AM, MATCH(H$1, US_national_yearly!$D$1:$AM$1, 0), FALSE) / VLOOKUP(Substitution!$M$10 &amp; $A11, US_national_yearly!$D:$AM, MATCH(Keys!$C$7, US_national_yearly!$D$1:$AM$1, 0), FALSE), 1)</f>
        <v>2.1215376893494002E-3</v>
      </c>
      <c r="I11" s="12">
        <f>$B11 * IFERROR(VLOOKUP(Substitution!$M$10 &amp; $A11, US_national_yearly!$D:$AM, MATCH(I$1, US_national_yearly!$D$1:$AM$1, 0), FALSE) / VLOOKUP(Substitution!$M$10 &amp; $A11, US_national_yearly!$D:$AM, MATCH(Keys!$C$7, US_national_yearly!$D$1:$AM$1, 0), FALSE), 1)</f>
        <v>2.1403284454208338E-3</v>
      </c>
      <c r="J11" s="12">
        <f>$B11 * IFERROR(VLOOKUP(Substitution!$M$10 &amp; $A11, US_national_yearly!$D:$AM, MATCH(J$1, US_national_yearly!$D$1:$AM$1, 0), FALSE) / VLOOKUP(Substitution!$M$10 &amp; $A11, US_national_yearly!$D:$AM, MATCH(Keys!$C$7, US_national_yearly!$D$1:$AM$1, 0), FALSE), 1)</f>
        <v>2.1591192014922679E-3</v>
      </c>
      <c r="K11" s="12">
        <f>$B11 * IFERROR(VLOOKUP(Substitution!$M$10 &amp; $A11, US_national_yearly!$D:$AM, MATCH(K$1, US_national_yearly!$D$1:$AM$1, 0), FALSE) / VLOOKUP(Substitution!$M$10 &amp; $A11, US_national_yearly!$D:$AM, MATCH(Keys!$C$7, US_national_yearly!$D$1:$AM$1, 0), FALSE), 1)</f>
        <v>2.177909957563702E-3</v>
      </c>
      <c r="L11" s="12">
        <f>$B11 * IFERROR(VLOOKUP(Substitution!$M$10 &amp; $A11, US_national_yearly!$D:$AM, MATCH(L$1, US_national_yearly!$D$1:$AM$1, 0), FALSE) / VLOOKUP(Substitution!$M$10 &amp; $A11, US_national_yearly!$D:$AM, MATCH(Keys!$C$7, US_national_yearly!$D$1:$AM$1, 0), FALSE), 1)</f>
        <v>2.196700713635136E-3</v>
      </c>
      <c r="M11" s="12">
        <f>$B11 * IFERROR(VLOOKUP(Substitution!$M$10 &amp; $A11, US_national_yearly!$D:$AM, MATCH(M$1, US_national_yearly!$D$1:$AM$1, 0), FALSE) / VLOOKUP(Substitution!$M$10 &amp; $A11, US_national_yearly!$D:$AM, MATCH(Keys!$C$7, US_national_yearly!$D$1:$AM$1, 0), FALSE), 1)</f>
        <v>2.2154914697065701E-3</v>
      </c>
      <c r="N11" s="12">
        <f>$B11 * IFERROR(VLOOKUP(Substitution!$M$10 &amp; $A11, US_national_yearly!$D:$AM, MATCH(N$1, US_national_yearly!$D$1:$AM$1, 0), FALSE) / VLOOKUP(Substitution!$M$10 &amp; $A11, US_national_yearly!$D:$AM, MATCH(Keys!$C$7, US_national_yearly!$D$1:$AM$1, 0), FALSE), 1)</f>
        <v>2.2314309872457339E-3</v>
      </c>
      <c r="O11" s="12">
        <f>$B11 * IFERROR(VLOOKUP(Substitution!$M$10 &amp; $A11, US_national_yearly!$D:$AM, MATCH(O$1, US_national_yearly!$D$1:$AM$1, 0), FALSE) / VLOOKUP(Substitution!$M$10 &amp; $A11, US_national_yearly!$D:$AM, MATCH(Keys!$C$7, US_national_yearly!$D$1:$AM$1, 0), FALSE), 1)</f>
        <v>2.2473705047848982E-3</v>
      </c>
      <c r="P11" s="12">
        <f>$B11 * IFERROR(VLOOKUP(Substitution!$M$10 &amp; $A11, US_national_yearly!$D:$AM, MATCH(P$1, US_national_yearly!$D$1:$AM$1, 0), FALSE) / VLOOKUP(Substitution!$M$10 &amp; $A11, US_national_yearly!$D:$AM, MATCH(Keys!$C$7, US_national_yearly!$D$1:$AM$1, 0), FALSE), 1)</f>
        <v>2.263310022324062E-3</v>
      </c>
      <c r="Q11" s="12">
        <f>$B11 * IFERROR(VLOOKUP(Substitution!$M$10 &amp; $A11, US_national_yearly!$D:$AM, MATCH(Q$1, US_national_yearly!$D$1:$AM$1, 0), FALSE) / VLOOKUP(Substitution!$M$10 &amp; $A11, US_national_yearly!$D:$AM, MATCH(Keys!$C$7, US_national_yearly!$D$1:$AM$1, 0), FALSE), 1)</f>
        <v>2.2792495398632259E-3</v>
      </c>
      <c r="R11" s="12">
        <f>$B11 * IFERROR(VLOOKUP(Substitution!$M$10 &amp; $A11, US_national_yearly!$D:$AM, MATCH(R$1, US_national_yearly!$D$1:$AM$1, 0), FALSE) / VLOOKUP(Substitution!$M$10 &amp; $A11, US_national_yearly!$D:$AM, MATCH(Keys!$C$7, US_national_yearly!$D$1:$AM$1, 0), FALSE), 1)</f>
        <v>2.2951890574023901E-3</v>
      </c>
      <c r="S11" s="12">
        <f>$B11 * IFERROR(VLOOKUP(Substitution!$M$10 &amp; $A11, US_national_yearly!$D:$AM, MATCH(S$1, US_national_yearly!$D$1:$AM$1, 0), FALSE) / VLOOKUP(Substitution!$M$10 &amp; $A11, US_national_yearly!$D:$AM, MATCH(Keys!$C$7, US_national_yearly!$D$1:$AM$1, 0), FALSE), 1)</f>
        <v>2.3089361282477082E-3</v>
      </c>
      <c r="T11" s="12">
        <f>$B11 * IFERROR(VLOOKUP(Substitution!$M$10 &amp; $A11, US_national_yearly!$D:$AM, MATCH(T$1, US_national_yearly!$D$1:$AM$1, 0), FALSE) / VLOOKUP(Substitution!$M$10 &amp; $A11, US_national_yearly!$D:$AM, MATCH(Keys!$C$7, US_national_yearly!$D$1:$AM$1, 0), FALSE), 1)</f>
        <v>2.3226831990930258E-3</v>
      </c>
      <c r="U11" s="12">
        <f>$B11 * IFERROR(VLOOKUP(Substitution!$M$10 &amp; $A11, US_national_yearly!$D:$AM, MATCH(U$1, US_national_yearly!$D$1:$AM$1, 0), FALSE) / VLOOKUP(Substitution!$M$10 &amp; $A11, US_national_yearly!$D:$AM, MATCH(Keys!$C$7, US_national_yearly!$D$1:$AM$1, 0), FALSE), 1)</f>
        <v>2.3364302699383438E-3</v>
      </c>
      <c r="V11" s="12">
        <f>$B11 * IFERROR(VLOOKUP(Substitution!$M$10 &amp; $A11, US_national_yearly!$D:$AM, MATCH(V$1, US_national_yearly!$D$1:$AM$1, 0), FALSE) / VLOOKUP(Substitution!$M$10 &amp; $A11, US_national_yearly!$D:$AM, MATCH(Keys!$C$7, US_national_yearly!$D$1:$AM$1, 0), FALSE), 1)</f>
        <v>2.3501773407836619E-3</v>
      </c>
      <c r="W11" s="12">
        <f>$B11 * IFERROR(VLOOKUP(Substitution!$M$10 &amp; $A11, US_national_yearly!$D:$AM, MATCH(W$1, US_national_yearly!$D$1:$AM$1, 0), FALSE) / VLOOKUP(Substitution!$M$10 &amp; $A11, US_national_yearly!$D:$AM, MATCH(Keys!$C$7, US_national_yearly!$D$1:$AM$1, 0), FALSE), 1)</f>
        <v>2.3639244116289799E-3</v>
      </c>
      <c r="X11" s="12">
        <f>$B11 * IFERROR(VLOOKUP(Substitution!$M$10 &amp; $A11, US_national_yearly!$D:$AM, MATCH(X$1, US_national_yearly!$D$1:$AM$1, 0), FALSE) / VLOOKUP(Substitution!$M$10 &amp; $A11, US_national_yearly!$D:$AM, MATCH(Keys!$C$7, US_national_yearly!$D$1:$AM$1, 0), FALSE), 1)</f>
        <v>2.3767773249845602E-3</v>
      </c>
      <c r="Y11" s="12">
        <f>$B11 * IFERROR(VLOOKUP(Substitution!$M$10 &amp; $A11, US_national_yearly!$D:$AM, MATCH(Y$1, US_national_yearly!$D$1:$AM$1, 0), FALSE) / VLOOKUP(Substitution!$M$10 &amp; $A11, US_national_yearly!$D:$AM, MATCH(Keys!$C$7, US_national_yearly!$D$1:$AM$1, 0), FALSE), 1)</f>
        <v>2.38963023834014E-3</v>
      </c>
      <c r="Z11" s="12">
        <f>$B11 * IFERROR(VLOOKUP(Substitution!$M$10 &amp; $A11, US_national_yearly!$D:$AM, MATCH(Z$1, US_national_yearly!$D$1:$AM$1, 0), FALSE) / VLOOKUP(Substitution!$M$10 &amp; $A11, US_national_yearly!$D:$AM, MATCH(Keys!$C$7, US_national_yearly!$D$1:$AM$1, 0), FALSE), 1)</f>
        <v>2.4024831516957202E-3</v>
      </c>
      <c r="AA11" s="12">
        <f>$B11 * IFERROR(VLOOKUP(Substitution!$M$10 &amp; $A11, US_national_yearly!$D:$AM, MATCH(AA$1, US_national_yearly!$D$1:$AM$1, 0), FALSE) / VLOOKUP(Substitution!$M$10 &amp; $A11, US_national_yearly!$D:$AM, MATCH(Keys!$C$7, US_national_yearly!$D$1:$AM$1, 0), FALSE), 1)</f>
        <v>2.4153360650513E-3</v>
      </c>
      <c r="AB11" s="12">
        <f>$B11 * IFERROR(VLOOKUP(Substitution!$M$10 &amp; $A11, US_national_yearly!$D:$AM, MATCH(AB$1, US_national_yearly!$D$1:$AM$1, 0), FALSE) / VLOOKUP(Substitution!$M$10 &amp; $A11, US_national_yearly!$D:$AM, MATCH(Keys!$C$7, US_national_yearly!$D$1:$AM$1, 0), FALSE), 1)</f>
        <v>2.4281889784068802E-3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Substitution!$G$10)/IFERROR(SUMIFS(COBRA_aggregated!$V:$V, COBRA_aggregated!$A:$A, About!$B$1, COBRA_aggregated!$B:$B, Substitution!$G$10), 1)</f>
        <v>2.2563488296492218E-4</v>
      </c>
      <c r="C12" s="12">
        <f>$B12 * IFERROR(VLOOKUP(Substitution!$M$10 &amp; $A12, US_national_yearly!$D:$AM, MATCH(C$1, US_national_yearly!$D$1:$AM$1, 0), FALSE) / VLOOKUP(Substitution!$M$10 &amp; $A12, US_national_yearly!$D:$AM, MATCH(Keys!$C$7, US_national_yearly!$D$1:$AM$1, 0), FALSE), 1)</f>
        <v>2.269637891476548E-4</v>
      </c>
      <c r="D12" s="12">
        <f>$B12 * IFERROR(VLOOKUP(Substitution!$M$10 &amp; $A12, US_national_yearly!$D:$AM, MATCH(D$1, US_national_yearly!$D$1:$AM$1, 0), FALSE) / VLOOKUP(Substitution!$M$10 &amp; $A12, US_national_yearly!$D:$AM, MATCH(Keys!$C$7, US_national_yearly!$D$1:$AM$1, 0), FALSE), 1)</f>
        <v>2.2829269533038748E-4</v>
      </c>
      <c r="E12" s="12">
        <f>$B12 * IFERROR(VLOOKUP(Substitution!$M$10 &amp; $A12, US_national_yearly!$D:$AM, MATCH(E$1, US_national_yearly!$D$1:$AM$1, 0), FALSE) / VLOOKUP(Substitution!$M$10 &amp; $A12, US_national_yearly!$D:$AM, MATCH(Keys!$C$7, US_national_yearly!$D$1:$AM$1, 0), FALSE), 1)</f>
        <v>2.296216015131201E-4</v>
      </c>
      <c r="F12" s="12">
        <f>$B12 * IFERROR(VLOOKUP(Substitution!$M$10 &amp; $A12, US_national_yearly!$D:$AM, MATCH(F$1, US_national_yearly!$D$1:$AM$1, 0), FALSE) / VLOOKUP(Substitution!$M$10 &amp; $A12, US_national_yearly!$D:$AM, MATCH(Keys!$C$7, US_national_yearly!$D$1:$AM$1, 0), FALSE), 1)</f>
        <v>2.3095050769585278E-4</v>
      </c>
      <c r="G12" s="12">
        <f>$B12 * IFERROR(VLOOKUP(Substitution!$M$10 &amp; $A12, US_national_yearly!$D:$AM, MATCH(G$1, US_national_yearly!$D$1:$AM$1, 0), FALSE) / VLOOKUP(Substitution!$M$10 &amp; $A12, US_national_yearly!$D:$AM, MATCH(Keys!$C$7, US_national_yearly!$D$1:$AM$1, 0), FALSE), 1)</f>
        <v>2.3239861086727883E-4</v>
      </c>
      <c r="H12" s="12">
        <f>$B12 * IFERROR(VLOOKUP(Substitution!$M$10 &amp; $A12, US_national_yearly!$D:$AM, MATCH(H$1, US_national_yearly!$D$1:$AM$1, 0), FALSE) / VLOOKUP(Substitution!$M$10 &amp; $A12, US_national_yearly!$D:$AM, MATCH(Keys!$C$7, US_national_yearly!$D$1:$AM$1, 0), FALSE), 1)</f>
        <v>2.3384671403870494E-4</v>
      </c>
      <c r="I12" s="12">
        <f>$B12 * IFERROR(VLOOKUP(Substitution!$M$10 &amp; $A12, US_national_yearly!$D:$AM, MATCH(I$1, US_national_yearly!$D$1:$AM$1, 0), FALSE) / VLOOKUP(Substitution!$M$10 &amp; $A12, US_national_yearly!$D:$AM, MATCH(Keys!$C$7, US_national_yearly!$D$1:$AM$1, 0), FALSE), 1)</f>
        <v>2.3523981045250731E-4</v>
      </c>
      <c r="J12" s="12">
        <f>$B12 * IFERROR(VLOOKUP(Substitution!$M$10 &amp; $A12, US_national_yearly!$D:$AM, MATCH(J$1, US_national_yearly!$D$1:$AM$1, 0), FALSE) / VLOOKUP(Substitution!$M$10 &amp; $A12, US_national_yearly!$D:$AM, MATCH(Keys!$C$7, US_national_yearly!$D$1:$AM$1, 0), FALSE), 1)</f>
        <v>2.3663290686630971E-4</v>
      </c>
      <c r="K12" s="12">
        <f>$B12 * IFERROR(VLOOKUP(Substitution!$M$10 &amp; $A12, US_national_yearly!$D:$AM, MATCH(K$1, US_national_yearly!$D$1:$AM$1, 0), FALSE) / VLOOKUP(Substitution!$M$10 &amp; $A12, US_national_yearly!$D:$AM, MATCH(Keys!$C$7, US_national_yearly!$D$1:$AM$1, 0), FALSE), 1)</f>
        <v>2.3802600328011212E-4</v>
      </c>
      <c r="L12" s="12">
        <f>$B12 * IFERROR(VLOOKUP(Substitution!$M$10 &amp; $A12, US_national_yearly!$D:$AM, MATCH(L$1, US_national_yearly!$D$1:$AM$1, 0), FALSE) / VLOOKUP(Substitution!$M$10 &amp; $A12, US_national_yearly!$D:$AM, MATCH(Keys!$C$7, US_national_yearly!$D$1:$AM$1, 0), FALSE), 1)</f>
        <v>2.3941909969391449E-4</v>
      </c>
      <c r="M12" s="12">
        <f>$B12 * IFERROR(VLOOKUP(Substitution!$M$10 &amp; $A12, US_national_yearly!$D:$AM, MATCH(M$1, US_national_yearly!$D$1:$AM$1, 0), FALSE) / VLOOKUP(Substitution!$M$10 &amp; $A12, US_national_yearly!$D:$AM, MATCH(Keys!$C$7, US_national_yearly!$D$1:$AM$1, 0), FALSE), 1)</f>
        <v>2.408121961077169E-4</v>
      </c>
      <c r="N12" s="12">
        <f>$B12 * IFERROR(VLOOKUP(Substitution!$M$10 &amp; $A12, US_national_yearly!$D:$AM, MATCH(N$1, US_national_yearly!$D$1:$AM$1, 0), FALSE) / VLOOKUP(Substitution!$M$10 &amp; $A12, US_national_yearly!$D:$AM, MATCH(Keys!$C$7, US_national_yearly!$D$1:$AM$1, 0), FALSE), 1)</f>
        <v>2.4181140900167585E-4</v>
      </c>
      <c r="O12" s="12">
        <f>$B12 * IFERROR(VLOOKUP(Substitution!$M$10 &amp; $A12, US_national_yearly!$D:$AM, MATCH(O$1, US_national_yearly!$D$1:$AM$1, 0), FALSE) / VLOOKUP(Substitution!$M$10 &amp; $A12, US_national_yearly!$D:$AM, MATCH(Keys!$C$7, US_national_yearly!$D$1:$AM$1, 0), FALSE), 1)</f>
        <v>2.4281062189563486E-4</v>
      </c>
      <c r="P12" s="12">
        <f>$B12 * IFERROR(VLOOKUP(Substitution!$M$10 &amp; $A12, US_national_yearly!$D:$AM, MATCH(P$1, US_national_yearly!$D$1:$AM$1, 0), FALSE) / VLOOKUP(Substitution!$M$10 &amp; $A12, US_national_yearly!$D:$AM, MATCH(Keys!$C$7, US_national_yearly!$D$1:$AM$1, 0), FALSE), 1)</f>
        <v>2.4380983478959381E-4</v>
      </c>
      <c r="Q12" s="12">
        <f>$B12 * IFERROR(VLOOKUP(Substitution!$M$10 &amp; $A12, US_national_yearly!$D:$AM, MATCH(Q$1, US_national_yearly!$D$1:$AM$1, 0), FALSE) / VLOOKUP(Substitution!$M$10 &amp; $A12, US_national_yearly!$D:$AM, MATCH(Keys!$C$7, US_national_yearly!$D$1:$AM$1, 0), FALSE), 1)</f>
        <v>2.4480904768355276E-4</v>
      </c>
      <c r="R12" s="12">
        <f>$B12 * IFERROR(VLOOKUP(Substitution!$M$10 &amp; $A12, US_national_yearly!$D:$AM, MATCH(R$1, US_national_yearly!$D$1:$AM$1, 0), FALSE) / VLOOKUP(Substitution!$M$10 &amp; $A12, US_national_yearly!$D:$AM, MATCH(Keys!$C$7, US_national_yearly!$D$1:$AM$1, 0), FALSE), 1)</f>
        <v>2.458082605775118E-4</v>
      </c>
      <c r="S12" s="12">
        <f>$B12 * IFERROR(VLOOKUP(Substitution!$M$10 &amp; $A12, US_national_yearly!$D:$AM, MATCH(S$1, US_national_yearly!$D$1:$AM$1, 0), FALSE) / VLOOKUP(Substitution!$M$10 &amp; $A12, US_national_yearly!$D:$AM, MATCH(Keys!$C$7, US_national_yearly!$D$1:$AM$1, 0), FALSE), 1)</f>
        <v>2.467513704661034E-4</v>
      </c>
      <c r="T12" s="12">
        <f>$B12 * IFERROR(VLOOKUP(Substitution!$M$10 &amp; $A12, US_national_yearly!$D:$AM, MATCH(T$1, US_national_yearly!$D$1:$AM$1, 0), FALSE) / VLOOKUP(Substitution!$M$10 &amp; $A12, US_national_yearly!$D:$AM, MATCH(Keys!$C$7, US_national_yearly!$D$1:$AM$1, 0), FALSE), 1)</f>
        <v>2.4769448035469506E-4</v>
      </c>
      <c r="U12" s="12">
        <f>$B12 * IFERROR(VLOOKUP(Substitution!$M$10 &amp; $A12, US_national_yearly!$D:$AM, MATCH(U$1, US_national_yearly!$D$1:$AM$1, 0), FALSE) / VLOOKUP(Substitution!$M$10 &amp; $A12, US_national_yearly!$D:$AM, MATCH(Keys!$C$7, US_national_yearly!$D$1:$AM$1, 0), FALSE), 1)</f>
        <v>2.4863759024328666E-4</v>
      </c>
      <c r="V12" s="12">
        <f>$B12 * IFERROR(VLOOKUP(Substitution!$M$10 &amp; $A12, US_national_yearly!$D:$AM, MATCH(V$1, US_national_yearly!$D$1:$AM$1, 0), FALSE) / VLOOKUP(Substitution!$M$10 &amp; $A12, US_national_yearly!$D:$AM, MATCH(Keys!$C$7, US_national_yearly!$D$1:$AM$1, 0), FALSE), 1)</f>
        <v>2.4958070013187831E-4</v>
      </c>
      <c r="W12" s="12">
        <f>$B12 * IFERROR(VLOOKUP(Substitution!$M$10 &amp; $A12, US_national_yearly!$D:$AM, MATCH(W$1, US_national_yearly!$D$1:$AM$1, 0), FALSE) / VLOOKUP(Substitution!$M$10 &amp; $A12, US_national_yearly!$D:$AM, MATCH(Keys!$C$7, US_national_yearly!$D$1:$AM$1, 0), FALSE), 1)</f>
        <v>2.5052381002047002E-4</v>
      </c>
      <c r="X12" s="12">
        <f>$B12 * IFERROR(VLOOKUP(Substitution!$M$10 &amp; $A12, US_national_yearly!$D:$AM, MATCH(X$1, US_national_yearly!$D$1:$AM$1, 0), FALSE) / VLOOKUP(Substitution!$M$10 &amp; $A12, US_national_yearly!$D:$AM, MATCH(Keys!$C$7, US_national_yearly!$D$1:$AM$1, 0), FALSE), 1)</f>
        <v>2.5142856074479255E-4</v>
      </c>
      <c r="Y12" s="12">
        <f>$B12 * IFERROR(VLOOKUP(Substitution!$M$10 &amp; $A12, US_national_yearly!$D:$AM, MATCH(Y$1, US_national_yearly!$D$1:$AM$1, 0), FALSE) / VLOOKUP(Substitution!$M$10 &amp; $A12, US_national_yearly!$D:$AM, MATCH(Keys!$C$7, US_national_yearly!$D$1:$AM$1, 0), FALSE), 1)</f>
        <v>2.5233331146911513E-4</v>
      </c>
      <c r="Z12" s="12">
        <f>$B12 * IFERROR(VLOOKUP(Substitution!$M$10 &amp; $A12, US_national_yearly!$D:$AM, MATCH(Z$1, US_national_yearly!$D$1:$AM$1, 0), FALSE) / VLOOKUP(Substitution!$M$10 &amp; $A12, US_national_yearly!$D:$AM, MATCH(Keys!$C$7, US_national_yearly!$D$1:$AM$1, 0), FALSE), 1)</f>
        <v>2.5323806219343777E-4</v>
      </c>
      <c r="AA12" s="12">
        <f>$B12 * IFERROR(VLOOKUP(Substitution!$M$10 &amp; $A12, US_national_yearly!$D:$AM, MATCH(AA$1, US_national_yearly!$D$1:$AM$1, 0), FALSE) / VLOOKUP(Substitution!$M$10 &amp; $A12, US_national_yearly!$D:$AM, MATCH(Keys!$C$7, US_national_yearly!$D$1:$AM$1, 0), FALSE), 1)</f>
        <v>2.5414281291776029E-4</v>
      </c>
      <c r="AB12" s="12">
        <f>$B12 * IFERROR(VLOOKUP(Substitution!$M$10 &amp; $A12, US_national_yearly!$D:$AM, MATCH(AB$1, US_national_yearly!$D$1:$AM$1, 0), FALSE) / VLOOKUP(Substitution!$M$10 &amp; $A12, US_national_yearly!$D:$AM, MATCH(Keys!$C$7, US_national_yearly!$D$1:$AM$1, 0), FALSE), 1)</f>
        <v>2.5504756364208293E-4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Substitution!$G$10)/IFERROR(SUMIFS(COBRA_aggregated!$V:$V, COBRA_aggregated!$A:$A, About!$B$1, COBRA_aggregated!$B:$B, Substitution!$G$10), 1)</f>
        <v>1.3885142055474701E-3</v>
      </c>
      <c r="C13" s="12">
        <f>$B13 * IFERROR(VLOOKUP(Substitution!$M$10 &amp; $A13, US_national_yearly!$D:$AM, MATCH(C$1, US_national_yearly!$D$1:$AM$1, 0), FALSE) / VLOOKUP(Substitution!$M$10 &amp; $A13, US_national_yearly!$D:$AM, MATCH(Keys!$C$7, US_national_yearly!$D$1:$AM$1, 0), FALSE), 1)</f>
        <v>1.4294136822547694E-3</v>
      </c>
      <c r="D13" s="12">
        <f>$B13 * IFERROR(VLOOKUP(Substitution!$M$10 &amp; $A13, US_national_yearly!$D:$AM, MATCH(D$1, US_national_yearly!$D$1:$AM$1, 0), FALSE) / VLOOKUP(Substitution!$M$10 &amp; $A13, US_national_yearly!$D:$AM, MATCH(Keys!$C$7, US_national_yearly!$D$1:$AM$1, 0), FALSE), 1)</f>
        <v>1.4703131589620683E-3</v>
      </c>
      <c r="E13" s="12">
        <f>$B13 * IFERROR(VLOOKUP(Substitution!$M$10 &amp; $A13, US_national_yearly!$D:$AM, MATCH(E$1, US_national_yearly!$D$1:$AM$1, 0), FALSE) / VLOOKUP(Substitution!$M$10 &amp; $A13, US_national_yearly!$D:$AM, MATCH(Keys!$C$7, US_national_yearly!$D$1:$AM$1, 0), FALSE), 1)</f>
        <v>1.5112126356693677E-3</v>
      </c>
      <c r="F13" s="12">
        <f>$B13 * IFERROR(VLOOKUP(Substitution!$M$10 &amp; $A13, US_national_yearly!$D:$AM, MATCH(F$1, US_national_yearly!$D$1:$AM$1, 0), FALSE) / VLOOKUP(Substitution!$M$10 &amp; $A13, US_national_yearly!$D:$AM, MATCH(Keys!$C$7, US_national_yearly!$D$1:$AM$1, 0), FALSE), 1)</f>
        <v>1.5521121123766668E-3</v>
      </c>
      <c r="G13" s="12">
        <f>$B13 * IFERROR(VLOOKUP(Substitution!$M$10 &amp; $A13, US_national_yearly!$D:$AM, MATCH(G$1, US_national_yearly!$D$1:$AM$1, 0), FALSE) / VLOOKUP(Substitution!$M$10 &amp; $A13, US_national_yearly!$D:$AM, MATCH(Keys!$C$7, US_national_yearly!$D$1:$AM$1, 0), FALSE), 1)</f>
        <v>1.5909269428814978E-3</v>
      </c>
      <c r="H13" s="12">
        <f>$B13 * IFERROR(VLOOKUP(Substitution!$M$10 &amp; $A13, US_national_yearly!$D:$AM, MATCH(H$1, US_national_yearly!$D$1:$AM$1, 0), FALSE) / VLOOKUP(Substitution!$M$10 &amp; $A13, US_national_yearly!$D:$AM, MATCH(Keys!$C$7, US_national_yearly!$D$1:$AM$1, 0), FALSE), 1)</f>
        <v>1.629741773386329E-3</v>
      </c>
      <c r="I13" s="12">
        <f>$B13 * IFERROR(VLOOKUP(Substitution!$M$10 &amp; $A13, US_national_yearly!$D:$AM, MATCH(I$1, US_national_yearly!$D$1:$AM$1, 0), FALSE) / VLOOKUP(Substitution!$M$10 &amp; $A13, US_national_yearly!$D:$AM, MATCH(Keys!$C$7, US_national_yearly!$D$1:$AM$1, 0), FALSE), 1)</f>
        <v>1.6613520100182244E-3</v>
      </c>
      <c r="J13" s="12">
        <f>$B13 * IFERROR(VLOOKUP(Substitution!$M$10 &amp; $A13, US_national_yearly!$D:$AM, MATCH(J$1, US_national_yearly!$D$1:$AM$1, 0), FALSE) / VLOOKUP(Substitution!$M$10 &amp; $A13, US_national_yearly!$D:$AM, MATCH(Keys!$C$7, US_national_yearly!$D$1:$AM$1, 0), FALSE), 1)</f>
        <v>1.6929622466501193E-3</v>
      </c>
      <c r="K13" s="12">
        <f>$B13 * IFERROR(VLOOKUP(Substitution!$M$10 &amp; $A13, US_national_yearly!$D:$AM, MATCH(K$1, US_national_yearly!$D$1:$AM$1, 0), FALSE) / VLOOKUP(Substitution!$M$10 &amp; $A13, US_national_yearly!$D:$AM, MATCH(Keys!$C$7, US_national_yearly!$D$1:$AM$1, 0), FALSE), 1)</f>
        <v>1.7245724832820146E-3</v>
      </c>
      <c r="L13" s="12">
        <f>$B13 * IFERROR(VLOOKUP(Substitution!$M$10 &amp; $A13, US_national_yearly!$D:$AM, MATCH(L$1, US_national_yearly!$D$1:$AM$1, 0), FALSE) / VLOOKUP(Substitution!$M$10 &amp; $A13, US_national_yearly!$D:$AM, MATCH(Keys!$C$7, US_national_yearly!$D$1:$AM$1, 0), FALSE), 1)</f>
        <v>1.7561827199139097E-3</v>
      </c>
      <c r="M13" s="12">
        <f>$B13 * IFERROR(VLOOKUP(Substitution!$M$10 &amp; $A13, US_national_yearly!$D:$AM, MATCH(M$1, US_national_yearly!$D$1:$AM$1, 0), FALSE) / VLOOKUP(Substitution!$M$10 &amp; $A13, US_national_yearly!$D:$AM, MATCH(Keys!$C$7, US_national_yearly!$D$1:$AM$1, 0), FALSE), 1)</f>
        <v>1.7877929565458051E-3</v>
      </c>
      <c r="N13" s="12">
        <f>$B13 * IFERROR(VLOOKUP(Substitution!$M$10 &amp; $A13, US_national_yearly!$D:$AM, MATCH(N$1, US_national_yearly!$D$1:$AM$1, 0), FALSE) / VLOOKUP(Substitution!$M$10 &amp; $A13, US_national_yearly!$D:$AM, MATCH(Keys!$C$7, US_national_yearly!$D$1:$AM$1, 0), FALSE), 1)</f>
        <v>1.8086384194437059E-3</v>
      </c>
      <c r="O13" s="12">
        <f>$B13 * IFERROR(VLOOKUP(Substitution!$M$10 &amp; $A13, US_national_yearly!$D:$AM, MATCH(O$1, US_national_yearly!$D$1:$AM$1, 0), FALSE) / VLOOKUP(Substitution!$M$10 &amp; $A13, US_national_yearly!$D:$AM, MATCH(Keys!$C$7, US_national_yearly!$D$1:$AM$1, 0), FALSE), 1)</f>
        <v>1.8294838823416065E-3</v>
      </c>
      <c r="P13" s="12">
        <f>$B13 * IFERROR(VLOOKUP(Substitution!$M$10 &amp; $A13, US_national_yearly!$D:$AM, MATCH(P$1, US_national_yearly!$D$1:$AM$1, 0), FALSE) / VLOOKUP(Substitution!$M$10 &amp; $A13, US_national_yearly!$D:$AM, MATCH(Keys!$C$7, US_national_yearly!$D$1:$AM$1, 0), FALSE), 1)</f>
        <v>1.8503293452395075E-3</v>
      </c>
      <c r="Q13" s="12">
        <f>$B13 * IFERROR(VLOOKUP(Substitution!$M$10 &amp; $A13, US_national_yearly!$D:$AM, MATCH(Q$1, US_national_yearly!$D$1:$AM$1, 0), FALSE) / VLOOKUP(Substitution!$M$10 &amp; $A13, US_national_yearly!$D:$AM, MATCH(Keys!$C$7, US_national_yearly!$D$1:$AM$1, 0), FALSE), 1)</f>
        <v>1.8711748081374083E-3</v>
      </c>
      <c r="R13" s="12">
        <f>$B13 * IFERROR(VLOOKUP(Substitution!$M$10 &amp; $A13, US_national_yearly!$D:$AM, MATCH(R$1, US_national_yearly!$D$1:$AM$1, 0), FALSE) / VLOOKUP(Substitution!$M$10 &amp; $A13, US_national_yearly!$D:$AM, MATCH(Keys!$C$7, US_national_yearly!$D$1:$AM$1, 0), FALSE), 1)</f>
        <v>1.8920202710353091E-3</v>
      </c>
      <c r="S13" s="12">
        <f>$B13 * IFERROR(VLOOKUP(Substitution!$M$10 &amp; $A13, US_national_yearly!$D:$AM, MATCH(S$1, US_national_yearly!$D$1:$AM$1, 0), FALSE) / VLOOKUP(Substitution!$M$10 &amp; $A13, US_national_yearly!$D:$AM, MATCH(Keys!$C$7, US_national_yearly!$D$1:$AM$1, 0), FALSE), 1)</f>
        <v>1.9033638758843435E-3</v>
      </c>
      <c r="T13" s="12">
        <f>$B13 * IFERROR(VLOOKUP(Substitution!$M$10 &amp; $A13, US_national_yearly!$D:$AM, MATCH(T$1, US_national_yearly!$D$1:$AM$1, 0), FALSE) / VLOOKUP(Substitution!$M$10 &amp; $A13, US_national_yearly!$D:$AM, MATCH(Keys!$C$7, US_national_yearly!$D$1:$AM$1, 0), FALSE), 1)</f>
        <v>1.9147074807333781E-3</v>
      </c>
      <c r="U13" s="12">
        <f>$B13 * IFERROR(VLOOKUP(Substitution!$M$10 &amp; $A13, US_national_yearly!$D:$AM, MATCH(U$1, US_national_yearly!$D$1:$AM$1, 0), FALSE) / VLOOKUP(Substitution!$M$10 &amp; $A13, US_national_yearly!$D:$AM, MATCH(Keys!$C$7, US_national_yearly!$D$1:$AM$1, 0), FALSE), 1)</f>
        <v>1.9260510855824125E-3</v>
      </c>
      <c r="V13" s="12">
        <f>$B13 * IFERROR(VLOOKUP(Substitution!$M$10 &amp; $A13, US_national_yearly!$D:$AM, MATCH(V$1, US_national_yearly!$D$1:$AM$1, 0), FALSE) / VLOOKUP(Substitution!$M$10 &amp; $A13, US_national_yearly!$D:$AM, MATCH(Keys!$C$7, US_national_yearly!$D$1:$AM$1, 0), FALSE), 1)</f>
        <v>1.9373946904314464E-3</v>
      </c>
      <c r="W13" s="12">
        <f>$B13 * IFERROR(VLOOKUP(Substitution!$M$10 &amp; $A13, US_national_yearly!$D:$AM, MATCH(W$1, US_national_yearly!$D$1:$AM$1, 0), FALSE) / VLOOKUP(Substitution!$M$10 &amp; $A13, US_national_yearly!$D:$AM, MATCH(Keys!$C$7, US_national_yearly!$D$1:$AM$1, 0), FALSE), 1)</f>
        <v>1.948738295280481E-3</v>
      </c>
      <c r="X13" s="12">
        <f>$B13 * IFERROR(VLOOKUP(Substitution!$M$10 &amp; $A13, US_national_yearly!$D:$AM, MATCH(X$1, US_national_yearly!$D$1:$AM$1, 0), FALSE) / VLOOKUP(Substitution!$M$10 &amp; $A13, US_national_yearly!$D:$AM, MATCH(Keys!$C$7, US_national_yearly!$D$1:$AM$1, 0), FALSE), 1)</f>
        <v>1.9574520775730775E-3</v>
      </c>
      <c r="Y13" s="12">
        <f>$B13 * IFERROR(VLOOKUP(Substitution!$M$10 &amp; $A13, US_national_yearly!$D:$AM, MATCH(Y$1, US_national_yearly!$D$1:$AM$1, 0), FALSE) / VLOOKUP(Substitution!$M$10 &amp; $A13, US_national_yearly!$D:$AM, MATCH(Keys!$C$7, US_national_yearly!$D$1:$AM$1, 0), FALSE), 1)</f>
        <v>1.9661658598656745E-3</v>
      </c>
      <c r="Z13" s="12">
        <f>$B13 * IFERROR(VLOOKUP(Substitution!$M$10 &amp; $A13, US_national_yearly!$D:$AM, MATCH(Z$1, US_national_yearly!$D$1:$AM$1, 0), FALSE) / VLOOKUP(Substitution!$M$10 &amp; $A13, US_national_yearly!$D:$AM, MATCH(Keys!$C$7, US_national_yearly!$D$1:$AM$1, 0), FALSE), 1)</f>
        <v>1.9748796421582707E-3</v>
      </c>
      <c r="AA13" s="12">
        <f>$B13 * IFERROR(VLOOKUP(Substitution!$M$10 &amp; $A13, US_national_yearly!$D:$AM, MATCH(AA$1, US_national_yearly!$D$1:$AM$1, 0), FALSE) / VLOOKUP(Substitution!$M$10 &amp; $A13, US_national_yearly!$D:$AM, MATCH(Keys!$C$7, US_national_yearly!$D$1:$AM$1, 0), FALSE), 1)</f>
        <v>1.9835934244508673E-3</v>
      </c>
      <c r="AB13" s="12">
        <f>$B13 * IFERROR(VLOOKUP(Substitution!$M$10 &amp; $A13, US_national_yearly!$D:$AM, MATCH(AB$1, US_national_yearly!$D$1:$AM$1, 0), FALSE) / VLOOKUP(Substitution!$M$10 &amp; $A13, US_national_yearly!$D:$AM, MATCH(Keys!$C$7, US_national_yearly!$D$1:$AM$1, 0), FALSE), 1)</f>
        <v>1.9923072067434644E-3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Substitution!$G$10)/IFERROR(SUMIFS(COBRA_aggregated!$V:$V, COBRA_aggregated!$A:$A, About!$B$1, COBRA_aggregated!$B:$B, Substitution!$G$10), 1)</f>
        <v>0.89460195804075426</v>
      </c>
      <c r="C14" s="12">
        <f>$B14 * IFERROR(VLOOKUP(Substitution!$M$10 &amp; $A14, US_national_yearly!$D:$AM, MATCH(C$1, US_national_yearly!$D$1:$AM$1, 0), FALSE) / VLOOKUP(Substitution!$M$10 &amp; $A14, US_national_yearly!$D:$AM, MATCH(Keys!$C$7, US_national_yearly!$D$1:$AM$1, 0), FALSE), 1)</f>
        <v>0.89685004996582307</v>
      </c>
      <c r="D14" s="12">
        <f>$B14 * IFERROR(VLOOKUP(Substitution!$M$10 &amp; $A14, US_national_yearly!$D:$AM, MATCH(D$1, US_national_yearly!$D$1:$AM$1, 0), FALSE) / VLOOKUP(Substitution!$M$10 &amp; $A14, US_national_yearly!$D:$AM, MATCH(Keys!$C$7, US_national_yearly!$D$1:$AM$1, 0), FALSE), 1)</f>
        <v>0.89909814189089199</v>
      </c>
      <c r="E14" s="12">
        <f>$B14 * IFERROR(VLOOKUP(Substitution!$M$10 &amp; $A14, US_national_yearly!$D:$AM, MATCH(E$1, US_national_yearly!$D$1:$AM$1, 0), FALSE) / VLOOKUP(Substitution!$M$10 &amp; $A14, US_national_yearly!$D:$AM, MATCH(Keys!$C$7, US_national_yearly!$D$1:$AM$1, 0), FALSE), 1)</f>
        <v>0.90134623381596102</v>
      </c>
      <c r="F14" s="12">
        <f>$B14 * IFERROR(VLOOKUP(Substitution!$M$10 &amp; $A14, US_national_yearly!$D:$AM, MATCH(F$1, US_national_yearly!$D$1:$AM$1, 0), FALSE) / VLOOKUP(Substitution!$M$10 &amp; $A14, US_national_yearly!$D:$AM, MATCH(Keys!$C$7, US_national_yearly!$D$1:$AM$1, 0), FALSE), 1)</f>
        <v>0.9035943257410296</v>
      </c>
      <c r="G14" s="12">
        <f>$B14 * IFERROR(VLOOKUP(Substitution!$M$10 &amp; $A14, US_national_yearly!$D:$AM, MATCH(G$1, US_national_yearly!$D$1:$AM$1, 0), FALSE) / VLOOKUP(Substitution!$M$10 &amp; $A14, US_national_yearly!$D:$AM, MATCH(Keys!$C$7, US_national_yearly!$D$1:$AM$1, 0), FALSE), 1)</f>
        <v>0.90684233254996816</v>
      </c>
      <c r="H14" s="12">
        <f>$B14 * IFERROR(VLOOKUP(Substitution!$M$10 &amp; $A14, US_national_yearly!$D:$AM, MATCH(H$1, US_national_yearly!$D$1:$AM$1, 0), FALSE) / VLOOKUP(Substitution!$M$10 &amp; $A14, US_national_yearly!$D:$AM, MATCH(Keys!$C$7, US_national_yearly!$D$1:$AM$1, 0), FALSE), 1)</f>
        <v>0.91009033935890671</v>
      </c>
      <c r="I14" s="12">
        <f>$B14 * IFERROR(VLOOKUP(Substitution!$M$10 &amp; $A14, US_national_yearly!$D:$AM, MATCH(I$1, US_national_yearly!$D$1:$AM$1, 0), FALSE) / VLOOKUP(Substitution!$M$10 &amp; $A14, US_national_yearly!$D:$AM, MATCH(Keys!$C$7, US_national_yearly!$D$1:$AM$1, 0), FALSE), 1)</f>
        <v>0.91566092110413178</v>
      </c>
      <c r="J14" s="12">
        <f>$B14 * IFERROR(VLOOKUP(Substitution!$M$10 &amp; $A14, US_national_yearly!$D:$AM, MATCH(J$1, US_national_yearly!$D$1:$AM$1, 0), FALSE) / VLOOKUP(Substitution!$M$10 &amp; $A14, US_national_yearly!$D:$AM, MATCH(Keys!$C$7, US_national_yearly!$D$1:$AM$1, 0), FALSE), 1)</f>
        <v>0.92123150284935695</v>
      </c>
      <c r="K14" s="12">
        <f>$B14 * IFERROR(VLOOKUP(Substitution!$M$10 &amp; $A14, US_national_yearly!$D:$AM, MATCH(K$1, US_national_yearly!$D$1:$AM$1, 0), FALSE) / VLOOKUP(Substitution!$M$10 &amp; $A14, US_national_yearly!$D:$AM, MATCH(Keys!$C$7, US_national_yearly!$D$1:$AM$1, 0), FALSE), 1)</f>
        <v>0.92680208459458191</v>
      </c>
      <c r="L14" s="12">
        <f>$B14 * IFERROR(VLOOKUP(Substitution!$M$10 &amp; $A14, US_national_yearly!$D:$AM, MATCH(L$1, US_national_yearly!$D$1:$AM$1, 0), FALSE) / VLOOKUP(Substitution!$M$10 &amp; $A14, US_national_yearly!$D:$AM, MATCH(Keys!$C$7, US_national_yearly!$D$1:$AM$1, 0), FALSE), 1)</f>
        <v>0.93237266633980731</v>
      </c>
      <c r="M14" s="12">
        <f>$B14 * IFERROR(VLOOKUP(Substitution!$M$10 &amp; $A14, US_national_yearly!$D:$AM, MATCH(M$1, US_national_yearly!$D$1:$AM$1, 0), FALSE) / VLOOKUP(Substitution!$M$10 &amp; $A14, US_national_yearly!$D:$AM, MATCH(Keys!$C$7, US_national_yearly!$D$1:$AM$1, 0), FALSE), 1)</f>
        <v>0.93794324808503227</v>
      </c>
      <c r="N14" s="12">
        <f>$B14 * IFERROR(VLOOKUP(Substitution!$M$10 &amp; $A14, US_national_yearly!$D:$AM, MATCH(N$1, US_national_yearly!$D$1:$AM$1, 0), FALSE) / VLOOKUP(Substitution!$M$10 &amp; $A14, US_national_yearly!$D:$AM, MATCH(Keys!$C$7, US_national_yearly!$D$1:$AM$1, 0), FALSE), 1)</f>
        <v>0.94561474380450061</v>
      </c>
      <c r="O14" s="12">
        <f>$B14 * IFERROR(VLOOKUP(Substitution!$M$10 &amp; $A14, US_national_yearly!$D:$AM, MATCH(O$1, US_national_yearly!$D$1:$AM$1, 0), FALSE) / VLOOKUP(Substitution!$M$10 &amp; $A14, US_national_yearly!$D:$AM, MATCH(Keys!$C$7, US_national_yearly!$D$1:$AM$1, 0), FALSE), 1)</f>
        <v>0.95328623952396874</v>
      </c>
      <c r="P14" s="12">
        <f>$B14 * IFERROR(VLOOKUP(Substitution!$M$10 &amp; $A14, US_national_yearly!$D:$AM, MATCH(P$1, US_national_yearly!$D$1:$AM$1, 0), FALSE) / VLOOKUP(Substitution!$M$10 &amp; $A14, US_national_yearly!$D:$AM, MATCH(Keys!$C$7, US_national_yearly!$D$1:$AM$1, 0), FALSE), 1)</f>
        <v>0.96095773524343686</v>
      </c>
      <c r="Q14" s="12">
        <f>$B14 * IFERROR(VLOOKUP(Substitution!$M$10 &amp; $A14, US_national_yearly!$D:$AM, MATCH(Q$1, US_national_yearly!$D$1:$AM$1, 0), FALSE) / VLOOKUP(Substitution!$M$10 &amp; $A14, US_national_yearly!$D:$AM, MATCH(Keys!$C$7, US_national_yearly!$D$1:$AM$1, 0), FALSE), 1)</f>
        <v>0.96862923096290521</v>
      </c>
      <c r="R14" s="12">
        <f>$B14 * IFERROR(VLOOKUP(Substitution!$M$10 &amp; $A14, US_national_yearly!$D:$AM, MATCH(R$1, US_national_yearly!$D$1:$AM$1, 0), FALSE) / VLOOKUP(Substitution!$M$10 &amp; $A14, US_national_yearly!$D:$AM, MATCH(Keys!$C$7, US_national_yearly!$D$1:$AM$1, 0), FALSE), 1)</f>
        <v>0.97630072668237344</v>
      </c>
      <c r="S14" s="12">
        <f>$B14 * IFERROR(VLOOKUP(Substitution!$M$10 &amp; $A14, US_national_yearly!$D:$AM, MATCH(S$1, US_national_yearly!$D$1:$AM$1, 0), FALSE) / VLOOKUP(Substitution!$M$10 &amp; $A14, US_national_yearly!$D:$AM, MATCH(Keys!$C$7, US_national_yearly!$D$1:$AM$1, 0), FALSE), 1)</f>
        <v>0.98416521927211964</v>
      </c>
      <c r="T14" s="12">
        <f>$B14 * IFERROR(VLOOKUP(Substitution!$M$10 &amp; $A14, US_national_yearly!$D:$AM, MATCH(T$1, US_national_yearly!$D$1:$AM$1, 0), FALSE) / VLOOKUP(Substitution!$M$10 &amp; $A14, US_national_yearly!$D:$AM, MATCH(Keys!$C$7, US_national_yearly!$D$1:$AM$1, 0), FALSE), 1)</f>
        <v>0.99202971186186595</v>
      </c>
      <c r="U14" s="12">
        <f>$B14 * IFERROR(VLOOKUP(Substitution!$M$10 &amp; $A14, US_national_yearly!$D:$AM, MATCH(U$1, US_national_yearly!$D$1:$AM$1, 0), FALSE) / VLOOKUP(Substitution!$M$10 &amp; $A14, US_national_yearly!$D:$AM, MATCH(Keys!$C$7, US_national_yearly!$D$1:$AM$1, 0), FALSE), 1)</f>
        <v>0.99989420445161203</v>
      </c>
      <c r="V14" s="12">
        <f>$B14 * IFERROR(VLOOKUP(Substitution!$M$10 &amp; $A14, US_national_yearly!$D:$AM, MATCH(V$1, US_national_yearly!$D$1:$AM$1, 0), FALSE) / VLOOKUP(Substitution!$M$10 &amp; $A14, US_national_yearly!$D:$AM, MATCH(Keys!$C$7, US_national_yearly!$D$1:$AM$1, 0), FALSE), 1)</f>
        <v>1.0077586970413583</v>
      </c>
      <c r="W14" s="12">
        <f>$B14 * IFERROR(VLOOKUP(Substitution!$M$10 &amp; $A14, US_national_yearly!$D:$AM, MATCH(W$1, US_national_yearly!$D$1:$AM$1, 0), FALSE) / VLOOKUP(Substitution!$M$10 &amp; $A14, US_national_yearly!$D:$AM, MATCH(Keys!$C$7, US_national_yearly!$D$1:$AM$1, 0), FALSE), 1)</f>
        <v>1.0156231896311048</v>
      </c>
      <c r="X14" s="12">
        <f>$B14 * IFERROR(VLOOKUP(Substitution!$M$10 &amp; $A14, US_national_yearly!$D:$AM, MATCH(X$1, US_national_yearly!$D$1:$AM$1, 0), FALSE) / VLOOKUP(Substitution!$M$10 &amp; $A14, US_national_yearly!$D:$AM, MATCH(Keys!$C$7, US_national_yearly!$D$1:$AM$1, 0), FALSE), 1)</f>
        <v>1.0225430811818201</v>
      </c>
      <c r="Y14" s="12">
        <f>$B14 * IFERROR(VLOOKUP(Substitution!$M$10 &amp; $A14, US_national_yearly!$D:$AM, MATCH(Y$1, US_national_yearly!$D$1:$AM$1, 0), FALSE) / VLOOKUP(Substitution!$M$10 &amp; $A14, US_national_yearly!$D:$AM, MATCH(Keys!$C$7, US_national_yearly!$D$1:$AM$1, 0), FALSE), 1)</f>
        <v>1.0294629727325353</v>
      </c>
      <c r="Z14" s="12">
        <f>$B14 * IFERROR(VLOOKUP(Substitution!$M$10 &amp; $A14, US_national_yearly!$D:$AM, MATCH(Z$1, US_national_yearly!$D$1:$AM$1, 0), FALSE) / VLOOKUP(Substitution!$M$10 &amp; $A14, US_national_yearly!$D:$AM, MATCH(Keys!$C$7, US_national_yearly!$D$1:$AM$1, 0), FALSE), 1)</f>
        <v>1.0363828642832507</v>
      </c>
      <c r="AA14" s="12">
        <f>$B14 * IFERROR(VLOOKUP(Substitution!$M$10 &amp; $A14, US_national_yearly!$D:$AM, MATCH(AA$1, US_national_yearly!$D$1:$AM$1, 0), FALSE) / VLOOKUP(Substitution!$M$10 &amp; $A14, US_national_yearly!$D:$AM, MATCH(Keys!$C$7, US_national_yearly!$D$1:$AM$1, 0), FALSE), 1)</f>
        <v>1.043302755833966</v>
      </c>
      <c r="AB14" s="12">
        <f>$B14 * IFERROR(VLOOKUP(Substitution!$M$10 &amp; $A14, US_national_yearly!$D:$AM, MATCH(AB$1, US_national_yearly!$D$1:$AM$1, 0), FALSE) / VLOOKUP(Substitution!$M$10 &amp; $A14, US_national_yearly!$D:$AM, MATCH(Keys!$C$7, US_national_yearly!$D$1:$AM$1, 0), FALSE), 1)</f>
        <v>1.0502226473846812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Substitution!$G$10)/IFERROR(SUMIFS(COBRA_aggregated!$V:$V, COBRA_aggregated!$A:$A, About!$B$1, COBRA_aggregated!$B:$B, Substitution!$G$10), 1)</f>
        <v>0.15060987314244104</v>
      </c>
      <c r="C15" s="12">
        <f>$B15 * IFERROR(VLOOKUP(Substitution!$M$10 &amp; $A15, US_national_yearly!$D:$AM, MATCH(C$1, US_national_yearly!$D$1:$AM$1, 0), FALSE) / VLOOKUP(Substitution!$M$10 &amp; $A15, US_national_yearly!$D:$AM, MATCH(Keys!$C$7, US_national_yearly!$D$1:$AM$1, 0), FALSE), 1)</f>
        <v>0.15109755246659656</v>
      </c>
      <c r="D15" s="12">
        <f>$B15 * IFERROR(VLOOKUP(Substitution!$M$10 &amp; $A15, US_national_yearly!$D:$AM, MATCH(D$1, US_national_yearly!$D$1:$AM$1, 0), FALSE) / VLOOKUP(Substitution!$M$10 &amp; $A15, US_national_yearly!$D:$AM, MATCH(Keys!$C$7, US_national_yearly!$D$1:$AM$1, 0), FALSE), 1)</f>
        <v>0.15158523179075209</v>
      </c>
      <c r="E15" s="12">
        <f>$B15 * IFERROR(VLOOKUP(Substitution!$M$10 &amp; $A15, US_national_yearly!$D:$AM, MATCH(E$1, US_national_yearly!$D$1:$AM$1, 0), FALSE) / VLOOKUP(Substitution!$M$10 &amp; $A15, US_national_yearly!$D:$AM, MATCH(Keys!$C$7, US_national_yearly!$D$1:$AM$1, 0), FALSE), 1)</f>
        <v>0.15207291111490764</v>
      </c>
      <c r="F15" s="12">
        <f>$B15 * IFERROR(VLOOKUP(Substitution!$M$10 &amp; $A15, US_national_yearly!$D:$AM, MATCH(F$1, US_national_yearly!$D$1:$AM$1, 0), FALSE) / VLOOKUP(Substitution!$M$10 &amp; $A15, US_national_yearly!$D:$AM, MATCH(Keys!$C$7, US_national_yearly!$D$1:$AM$1, 0), FALSE), 1)</f>
        <v>0.15256059043906317</v>
      </c>
      <c r="G15" s="12">
        <f>$B15 * IFERROR(VLOOKUP(Substitution!$M$10 &amp; $A15, US_national_yearly!$D:$AM, MATCH(G$1, US_national_yearly!$D$1:$AM$1, 0), FALSE) / VLOOKUP(Substitution!$M$10 &amp; $A15, US_national_yearly!$D:$AM, MATCH(Keys!$C$7, US_national_yearly!$D$1:$AM$1, 0), FALSE), 1)</f>
        <v>0.15318533787184294</v>
      </c>
      <c r="H15" s="12">
        <f>$B15 * IFERROR(VLOOKUP(Substitution!$M$10 &amp; $A15, US_national_yearly!$D:$AM, MATCH(H$1, US_national_yearly!$D$1:$AM$1, 0), FALSE) / VLOOKUP(Substitution!$M$10 &amp; $A15, US_national_yearly!$D:$AM, MATCH(Keys!$C$7, US_national_yearly!$D$1:$AM$1, 0), FALSE), 1)</f>
        <v>0.15381008530462267</v>
      </c>
      <c r="I15" s="12">
        <f>$B15 * IFERROR(VLOOKUP(Substitution!$M$10 &amp; $A15, US_national_yearly!$D:$AM, MATCH(I$1, US_national_yearly!$D$1:$AM$1, 0), FALSE) / VLOOKUP(Substitution!$M$10 &amp; $A15, US_national_yearly!$D:$AM, MATCH(Keys!$C$7, US_national_yearly!$D$1:$AM$1, 0), FALSE), 1)</f>
        <v>0.15472416428723199</v>
      </c>
      <c r="J15" s="12">
        <f>$B15 * IFERROR(VLOOKUP(Substitution!$M$10 &amp; $A15, US_national_yearly!$D:$AM, MATCH(J$1, US_national_yearly!$D$1:$AM$1, 0), FALSE) / VLOOKUP(Substitution!$M$10 &amp; $A15, US_national_yearly!$D:$AM, MATCH(Keys!$C$7, US_national_yearly!$D$1:$AM$1, 0), FALSE), 1)</f>
        <v>0.15563824326984127</v>
      </c>
      <c r="K15" s="12">
        <f>$B15 * IFERROR(VLOOKUP(Substitution!$M$10 &amp; $A15, US_national_yearly!$D:$AM, MATCH(K$1, US_national_yearly!$D$1:$AM$1, 0), FALSE) / VLOOKUP(Substitution!$M$10 &amp; $A15, US_national_yearly!$D:$AM, MATCH(Keys!$C$7, US_national_yearly!$D$1:$AM$1, 0), FALSE), 1)</f>
        <v>0.15655232225245061</v>
      </c>
      <c r="L15" s="12">
        <f>$B15 * IFERROR(VLOOKUP(Substitution!$M$10 &amp; $A15, US_national_yearly!$D:$AM, MATCH(L$1, US_national_yearly!$D$1:$AM$1, 0), FALSE) / VLOOKUP(Substitution!$M$10 &amp; $A15, US_national_yearly!$D:$AM, MATCH(Keys!$C$7, US_national_yearly!$D$1:$AM$1, 0), FALSE), 1)</f>
        <v>0.15746640123505989</v>
      </c>
      <c r="M15" s="12">
        <f>$B15 * IFERROR(VLOOKUP(Substitution!$M$10 &amp; $A15, US_national_yearly!$D:$AM, MATCH(M$1, US_national_yearly!$D$1:$AM$1, 0), FALSE) / VLOOKUP(Substitution!$M$10 &amp; $A15, US_national_yearly!$D:$AM, MATCH(Keys!$C$7, US_national_yearly!$D$1:$AM$1, 0), FALSE), 1)</f>
        <v>0.15838048021766923</v>
      </c>
      <c r="N15" s="12">
        <f>$B15 * IFERROR(VLOOKUP(Substitution!$M$10 &amp; $A15, US_national_yearly!$D:$AM, MATCH(N$1, US_national_yearly!$D$1:$AM$1, 0), FALSE) / VLOOKUP(Substitution!$M$10 &amp; $A15, US_national_yearly!$D:$AM, MATCH(Keys!$C$7, US_national_yearly!$D$1:$AM$1, 0), FALSE), 1)</f>
        <v>0.15953701745684878</v>
      </c>
      <c r="O15" s="12">
        <f>$B15 * IFERROR(VLOOKUP(Substitution!$M$10 &amp; $A15, US_national_yearly!$D:$AM, MATCH(O$1, US_national_yearly!$D$1:$AM$1, 0), FALSE) / VLOOKUP(Substitution!$M$10 &amp; $A15, US_national_yearly!$D:$AM, MATCH(Keys!$C$7, US_national_yearly!$D$1:$AM$1, 0), FALSE), 1)</f>
        <v>0.16069355469602833</v>
      </c>
      <c r="P15" s="12">
        <f>$B15 * IFERROR(VLOOKUP(Substitution!$M$10 &amp; $A15, US_national_yearly!$D:$AM, MATCH(P$1, US_national_yearly!$D$1:$AM$1, 0), FALSE) / VLOOKUP(Substitution!$M$10 &amp; $A15, US_national_yearly!$D:$AM, MATCH(Keys!$C$7, US_national_yearly!$D$1:$AM$1, 0), FALSE), 1)</f>
        <v>0.16185009193520791</v>
      </c>
      <c r="Q15" s="12">
        <f>$B15 * IFERROR(VLOOKUP(Substitution!$M$10 &amp; $A15, US_national_yearly!$D:$AM, MATCH(Q$1, US_national_yearly!$D$1:$AM$1, 0), FALSE) / VLOOKUP(Substitution!$M$10 &amp; $A15, US_national_yearly!$D:$AM, MATCH(Keys!$C$7, US_national_yearly!$D$1:$AM$1, 0), FALSE), 1)</f>
        <v>0.16300662917438744</v>
      </c>
      <c r="R15" s="12">
        <f>$B15 * IFERROR(VLOOKUP(Substitution!$M$10 &amp; $A15, US_national_yearly!$D:$AM, MATCH(R$1, US_national_yearly!$D$1:$AM$1, 0), FALSE) / VLOOKUP(Substitution!$M$10 &amp; $A15, US_national_yearly!$D:$AM, MATCH(Keys!$C$7, US_national_yearly!$D$1:$AM$1, 0), FALSE), 1)</f>
        <v>0.16416316641356701</v>
      </c>
      <c r="S15" s="12">
        <f>$B15 * IFERROR(VLOOKUP(Substitution!$M$10 &amp; $A15, US_national_yearly!$D:$AM, MATCH(S$1, US_national_yearly!$D$1:$AM$1, 0), FALSE) / VLOOKUP(Substitution!$M$10 &amp; $A15, US_national_yearly!$D:$AM, MATCH(Keys!$C$7, US_national_yearly!$D$1:$AM$1, 0), FALSE), 1)</f>
        <v>0.16545975258334605</v>
      </c>
      <c r="T15" s="12">
        <f>$B15 * IFERROR(VLOOKUP(Substitution!$M$10 &amp; $A15, US_national_yearly!$D:$AM, MATCH(T$1, US_national_yearly!$D$1:$AM$1, 0), FALSE) / VLOOKUP(Substitution!$M$10 &amp; $A15, US_national_yearly!$D:$AM, MATCH(Keys!$C$7, US_national_yearly!$D$1:$AM$1, 0), FALSE), 1)</f>
        <v>0.16675633875312512</v>
      </c>
      <c r="U15" s="12">
        <f>$B15 * IFERROR(VLOOKUP(Substitution!$M$10 &amp; $A15, US_national_yearly!$D:$AM, MATCH(U$1, US_national_yearly!$D$1:$AM$1, 0), FALSE) / VLOOKUP(Substitution!$M$10 &amp; $A15, US_national_yearly!$D:$AM, MATCH(Keys!$C$7, US_national_yearly!$D$1:$AM$1, 0), FALSE), 1)</f>
        <v>0.16805292492290419</v>
      </c>
      <c r="V15" s="12">
        <f>$B15 * IFERROR(VLOOKUP(Substitution!$M$10 &amp; $A15, US_national_yearly!$D:$AM, MATCH(V$1, US_national_yearly!$D$1:$AM$1, 0), FALSE) / VLOOKUP(Substitution!$M$10 &amp; $A15, US_national_yearly!$D:$AM, MATCH(Keys!$C$7, US_national_yearly!$D$1:$AM$1, 0), FALSE), 1)</f>
        <v>0.16934951109268326</v>
      </c>
      <c r="W15" s="12">
        <f>$B15 * IFERROR(VLOOKUP(Substitution!$M$10 &amp; $A15, US_national_yearly!$D:$AM, MATCH(W$1, US_national_yearly!$D$1:$AM$1, 0), FALSE) / VLOOKUP(Substitution!$M$10 &amp; $A15, US_national_yearly!$D:$AM, MATCH(Keys!$C$7, US_national_yearly!$D$1:$AM$1, 0), FALSE), 1)</f>
        <v>0.17064609726246233</v>
      </c>
      <c r="X15" s="12">
        <f>$B15 * IFERROR(VLOOKUP(Substitution!$M$10 &amp; $A15, US_national_yearly!$D:$AM, MATCH(X$1, US_national_yearly!$D$1:$AM$1, 0), FALSE) / VLOOKUP(Substitution!$M$10 &amp; $A15, US_national_yearly!$D:$AM, MATCH(Keys!$C$7, US_national_yearly!$D$1:$AM$1, 0), FALSE), 1)</f>
        <v>0.17181419316144533</v>
      </c>
      <c r="Y15" s="12">
        <f>$B15 * IFERROR(VLOOKUP(Substitution!$M$10 &amp; $A15, US_national_yearly!$D:$AM, MATCH(Y$1, US_national_yearly!$D$1:$AM$1, 0), FALSE) / VLOOKUP(Substitution!$M$10 &amp; $A15, US_national_yearly!$D:$AM, MATCH(Keys!$C$7, US_national_yearly!$D$1:$AM$1, 0), FALSE), 1)</f>
        <v>0.17298228906042837</v>
      </c>
      <c r="Z15" s="12">
        <f>$B15 * IFERROR(VLOOKUP(Substitution!$M$10 &amp; $A15, US_national_yearly!$D:$AM, MATCH(Z$1, US_national_yearly!$D$1:$AM$1, 0), FALSE) / VLOOKUP(Substitution!$M$10 &amp; $A15, US_national_yearly!$D:$AM, MATCH(Keys!$C$7, US_national_yearly!$D$1:$AM$1, 0), FALSE), 1)</f>
        <v>0.17415038495941135</v>
      </c>
      <c r="AA15" s="12">
        <f>$B15 * IFERROR(VLOOKUP(Substitution!$M$10 &amp; $A15, US_national_yearly!$D:$AM, MATCH(AA$1, US_national_yearly!$D$1:$AM$1, 0), FALSE) / VLOOKUP(Substitution!$M$10 &amp; $A15, US_national_yearly!$D:$AM, MATCH(Keys!$C$7, US_national_yearly!$D$1:$AM$1, 0), FALSE), 1)</f>
        <v>0.17531848085839435</v>
      </c>
      <c r="AB15" s="12">
        <f>$B15 * IFERROR(VLOOKUP(Substitution!$M$10 &amp; $A15, US_national_yearly!$D:$AM, MATCH(AB$1, US_national_yearly!$D$1:$AM$1, 0), FALSE) / VLOOKUP(Substitution!$M$10 &amp; $A15, US_national_yearly!$D:$AM, MATCH(Keys!$C$7, US_national_yearly!$D$1:$AM$1, 0), FALSE), 1)</f>
        <v>0.17648657675737739</v>
      </c>
    </row>
    <row r="16" spans="1:28" x14ac:dyDescent="0.25">
      <c r="A16" s="4" t="s">
        <v>319</v>
      </c>
      <c r="B16" s="12">
        <f>IFERROR(VLOOKUP(Substitution!$M$10 &amp; $A16, US_national_yearly!$D:$AM, MATCH(Keys!$C$7, US_national_yearly!$D$1:$AM$1, 0), FALSE), 0)</f>
        <v>1.8802414339230279E-4</v>
      </c>
      <c r="C16" s="12">
        <f>$B16 * IFERROR(VLOOKUP(Substitution!$M$10 &amp; $A16, US_national_yearly!$D:$AM, MATCH(C$1, US_national_yearly!$D$1:$AM$1, 0), FALSE) / VLOOKUP(Substitution!$M$10 &amp; $A16, US_national_yearly!$D:$AM, MATCH(Keys!$C$7, US_national_yearly!$D$1:$AM$1, 0), FALSE), 1)</f>
        <v>1.9173866350227959E-4</v>
      </c>
      <c r="D16" s="12">
        <f>$B16 * IFERROR(VLOOKUP(Substitution!$M$10 &amp; $A16, US_national_yearly!$D:$AM, MATCH(D$1, US_national_yearly!$D$1:$AM$1, 0), FALSE) / VLOOKUP(Substitution!$M$10 &amp; $A16, US_national_yearly!$D:$AM, MATCH(Keys!$C$7, US_national_yearly!$D$1:$AM$1, 0), FALSE), 1)</f>
        <v>1.9545318361225639E-4</v>
      </c>
      <c r="E16" s="12">
        <f>$B16 * IFERROR(VLOOKUP(Substitution!$M$10 &amp; $A16, US_national_yearly!$D:$AM, MATCH(E$1, US_national_yearly!$D$1:$AM$1, 0), FALSE) / VLOOKUP(Substitution!$M$10 &amp; $A16, US_national_yearly!$D:$AM, MATCH(Keys!$C$7, US_national_yearly!$D$1:$AM$1, 0), FALSE), 1)</f>
        <v>1.9916770372223317E-4</v>
      </c>
      <c r="F16" s="12">
        <f>$B16 * IFERROR(VLOOKUP(Substitution!$M$10 &amp; $A16, US_national_yearly!$D:$AM, MATCH(F$1, US_national_yearly!$D$1:$AM$1, 0), FALSE) / VLOOKUP(Substitution!$M$10 &amp; $A16, US_national_yearly!$D:$AM, MATCH(Keys!$C$7, US_national_yearly!$D$1:$AM$1, 0), FALSE), 1)</f>
        <v>2.0288222383220997E-4</v>
      </c>
      <c r="G16" s="12">
        <f>$B16 * IFERROR(VLOOKUP(Substitution!$M$10 &amp; $A16, US_national_yearly!$D:$AM, MATCH(G$1, US_national_yearly!$D$1:$AM$1, 0), FALSE) / VLOOKUP(Substitution!$M$10 &amp; $A16, US_national_yearly!$D:$AM, MATCH(Keys!$C$7, US_national_yearly!$D$1:$AM$1, 0), FALSE), 1)</f>
        <v>2.0681850341583449E-4</v>
      </c>
      <c r="H16" s="12">
        <f>$B16 * IFERROR(VLOOKUP(Substitution!$M$10 &amp; $A16, US_national_yearly!$D:$AM, MATCH(H$1, US_national_yearly!$D$1:$AM$1, 0), FALSE) / VLOOKUP(Substitution!$M$10 &amp; $A16, US_national_yearly!$D:$AM, MATCH(Keys!$C$7, US_national_yearly!$D$1:$AM$1, 0), FALSE), 1)</f>
        <v>2.1075478299945901E-4</v>
      </c>
      <c r="I16" s="12">
        <f>$B16 * IFERROR(VLOOKUP(Substitution!$M$10 &amp; $A16, US_national_yearly!$D:$AM, MATCH(I$1, US_national_yearly!$D$1:$AM$1, 0), FALSE) / VLOOKUP(Substitution!$M$10 &amp; $A16, US_national_yearly!$D:$AM, MATCH(Keys!$C$7, US_national_yearly!$D$1:$AM$1, 0), FALSE), 1)</f>
        <v>2.150148805452916E-4</v>
      </c>
      <c r="J16" s="12">
        <f>$B16 * IFERROR(VLOOKUP(Substitution!$M$10 &amp; $A16, US_national_yearly!$D:$AM, MATCH(J$1, US_national_yearly!$D$1:$AM$1, 0), FALSE) / VLOOKUP(Substitution!$M$10 &amp; $A16, US_national_yearly!$D:$AM, MATCH(Keys!$C$7, US_national_yearly!$D$1:$AM$1, 0), FALSE), 1)</f>
        <v>2.1927497809112417E-4</v>
      </c>
      <c r="K16" s="12">
        <f>$B16 * IFERROR(VLOOKUP(Substitution!$M$10 &amp; $A16, US_national_yearly!$D:$AM, MATCH(K$1, US_national_yearly!$D$1:$AM$1, 0), FALSE) / VLOOKUP(Substitution!$M$10 &amp; $A16, US_national_yearly!$D:$AM, MATCH(Keys!$C$7, US_national_yearly!$D$1:$AM$1, 0), FALSE), 1)</f>
        <v>2.2353507563695679E-4</v>
      </c>
      <c r="L16" s="12">
        <f>$B16 * IFERROR(VLOOKUP(Substitution!$M$10 &amp; $A16, US_national_yearly!$D:$AM, MATCH(L$1, US_national_yearly!$D$1:$AM$1, 0), FALSE) / VLOOKUP(Substitution!$M$10 &amp; $A16, US_national_yearly!$D:$AM, MATCH(Keys!$C$7, US_national_yearly!$D$1:$AM$1, 0), FALSE), 1)</f>
        <v>2.2779517318278941E-4</v>
      </c>
      <c r="M16" s="12">
        <f>$B16 * IFERROR(VLOOKUP(Substitution!$M$10 &amp; $A16, US_national_yearly!$D:$AM, MATCH(M$1, US_national_yearly!$D$1:$AM$1, 0), FALSE) / VLOOKUP(Substitution!$M$10 &amp; $A16, US_national_yearly!$D:$AM, MATCH(Keys!$C$7, US_national_yearly!$D$1:$AM$1, 0), FALSE), 1)</f>
        <v>2.32055270728622E-4</v>
      </c>
      <c r="N16" s="12">
        <f>$B16 * IFERROR(VLOOKUP(Substitution!$M$10 &amp; $A16, US_national_yearly!$D:$AM, MATCH(N$1, US_national_yearly!$D$1:$AM$1, 0), FALSE) / VLOOKUP(Substitution!$M$10 &amp; $A16, US_national_yearly!$D:$AM, MATCH(Keys!$C$7, US_national_yearly!$D$1:$AM$1, 0), FALSE), 1)</f>
        <v>2.357303474569232E-4</v>
      </c>
      <c r="O16" s="12">
        <f>$B16 * IFERROR(VLOOKUP(Substitution!$M$10 &amp; $A16, US_national_yearly!$D:$AM, MATCH(O$1, US_national_yearly!$D$1:$AM$1, 0), FALSE) / VLOOKUP(Substitution!$M$10 &amp; $A16, US_national_yearly!$D:$AM, MATCH(Keys!$C$7, US_national_yearly!$D$1:$AM$1, 0), FALSE), 1)</f>
        <v>2.394054241852244E-4</v>
      </c>
      <c r="P16" s="12">
        <f>$B16 * IFERROR(VLOOKUP(Substitution!$M$10 &amp; $A16, US_national_yearly!$D:$AM, MATCH(P$1, US_national_yearly!$D$1:$AM$1, 0), FALSE) / VLOOKUP(Substitution!$M$10 &amp; $A16, US_national_yearly!$D:$AM, MATCH(Keys!$C$7, US_national_yearly!$D$1:$AM$1, 0), FALSE), 1)</f>
        <v>2.4308050091352559E-4</v>
      </c>
      <c r="Q16" s="12">
        <f>$B16 * IFERROR(VLOOKUP(Substitution!$M$10 &amp; $A16, US_national_yearly!$D:$AM, MATCH(Q$1, US_national_yearly!$D$1:$AM$1, 0), FALSE) / VLOOKUP(Substitution!$M$10 &amp; $A16, US_national_yearly!$D:$AM, MATCH(Keys!$C$7, US_national_yearly!$D$1:$AM$1, 0), FALSE), 1)</f>
        <v>2.4675557764182682E-4</v>
      </c>
      <c r="R16" s="12">
        <f>$B16 * IFERROR(VLOOKUP(Substitution!$M$10 &amp; $A16, US_national_yearly!$D:$AM, MATCH(R$1, US_national_yearly!$D$1:$AM$1, 0), FALSE) / VLOOKUP(Substitution!$M$10 &amp; $A16, US_national_yearly!$D:$AM, MATCH(Keys!$C$7, US_national_yearly!$D$1:$AM$1, 0), FALSE), 1)</f>
        <v>2.5043065437012802E-4</v>
      </c>
      <c r="S16" s="12">
        <f>$B16 * IFERROR(VLOOKUP(Substitution!$M$10 &amp; $A16, US_national_yearly!$D:$AM, MATCH(S$1, US_national_yearly!$D$1:$AM$1, 0), FALSE) / VLOOKUP(Substitution!$M$10 &amp; $A16, US_national_yearly!$D:$AM, MATCH(Keys!$C$7, US_national_yearly!$D$1:$AM$1, 0), FALSE), 1)</f>
        <v>2.5239004237442657E-4</v>
      </c>
      <c r="T16" s="12">
        <f>$B16 * IFERROR(VLOOKUP(Substitution!$M$10 &amp; $A16, US_national_yearly!$D:$AM, MATCH(T$1, US_national_yearly!$D$1:$AM$1, 0), FALSE) / VLOOKUP(Substitution!$M$10 &amp; $A16, US_national_yearly!$D:$AM, MATCH(Keys!$C$7, US_national_yearly!$D$1:$AM$1, 0), FALSE), 1)</f>
        <v>2.5434943037872518E-4</v>
      </c>
      <c r="U16" s="12">
        <f>$B16 * IFERROR(VLOOKUP(Substitution!$M$10 &amp; $A16, US_national_yearly!$D:$AM, MATCH(U$1, US_national_yearly!$D$1:$AM$1, 0), FALSE) / VLOOKUP(Substitution!$M$10 &amp; $A16, US_national_yearly!$D:$AM, MATCH(Keys!$C$7, US_national_yearly!$D$1:$AM$1, 0), FALSE), 1)</f>
        <v>2.563088183830238E-4</v>
      </c>
      <c r="V16" s="12">
        <f>$B16 * IFERROR(VLOOKUP(Substitution!$M$10 &amp; $A16, US_national_yearly!$D:$AM, MATCH(V$1, US_national_yearly!$D$1:$AM$1, 0), FALSE) / VLOOKUP(Substitution!$M$10 &amp; $A16, US_national_yearly!$D:$AM, MATCH(Keys!$C$7, US_national_yearly!$D$1:$AM$1, 0), FALSE), 1)</f>
        <v>2.5826820638732241E-4</v>
      </c>
      <c r="W16" s="12">
        <f>$B16 * IFERROR(VLOOKUP(Substitution!$M$10 &amp; $A16, US_national_yearly!$D:$AM, MATCH(W$1, US_national_yearly!$D$1:$AM$1, 0), FALSE) / VLOOKUP(Substitution!$M$10 &amp; $A16, US_national_yearly!$D:$AM, MATCH(Keys!$C$7, US_national_yearly!$D$1:$AM$1, 0), FALSE), 1)</f>
        <v>2.6022759439162102E-4</v>
      </c>
      <c r="X16" s="12">
        <f>$B16 * IFERROR(VLOOKUP(Substitution!$M$10 &amp; $A16, US_national_yearly!$D:$AM, MATCH(X$1, US_national_yearly!$D$1:$AM$1, 0), FALSE) / VLOOKUP(Substitution!$M$10 &amp; $A16, US_national_yearly!$D:$AM, MATCH(Keys!$C$7, US_national_yearly!$D$1:$AM$1, 0), FALSE), 1)</f>
        <v>2.6122664047804379E-4</v>
      </c>
      <c r="Y16" s="12">
        <f>$B16 * IFERROR(VLOOKUP(Substitution!$M$10 &amp; $A16, US_national_yearly!$D:$AM, MATCH(Y$1, US_national_yearly!$D$1:$AM$1, 0), FALSE) / VLOOKUP(Substitution!$M$10 &amp; $A16, US_national_yearly!$D:$AM, MATCH(Keys!$C$7, US_national_yearly!$D$1:$AM$1, 0), FALSE), 1)</f>
        <v>2.6222568656446662E-4</v>
      </c>
      <c r="Z16" s="12">
        <f>$B16 * IFERROR(VLOOKUP(Substitution!$M$10 &amp; $A16, US_national_yearly!$D:$AM, MATCH(Z$1, US_national_yearly!$D$1:$AM$1, 0), FALSE) / VLOOKUP(Substitution!$M$10 &amp; $A16, US_national_yearly!$D:$AM, MATCH(Keys!$C$7, US_national_yearly!$D$1:$AM$1, 0), FALSE), 1)</f>
        <v>2.6322473265088939E-4</v>
      </c>
      <c r="AA16" s="12">
        <f>$B16 * IFERROR(VLOOKUP(Substitution!$M$10 &amp; $A16, US_national_yearly!$D:$AM, MATCH(AA$1, US_national_yearly!$D$1:$AM$1, 0), FALSE) / VLOOKUP(Substitution!$M$10 &amp; $A16, US_national_yearly!$D:$AM, MATCH(Keys!$C$7, US_national_yearly!$D$1:$AM$1, 0), FALSE), 1)</f>
        <v>2.6422377873731222E-4</v>
      </c>
      <c r="AB16" s="12">
        <f>$B16 * IFERROR(VLOOKUP(Substitution!$M$10 &amp; $A16, US_national_yearly!$D:$AM, MATCH(AB$1, US_national_yearly!$D$1:$AM$1, 0), FALSE) / VLOOKUP(Substitution!$M$10 &amp; $A16, US_national_yearly!$D:$AM, MATCH(Keys!$C$7, US_national_yearly!$D$1:$AM$1, 0), FALSE), 1)</f>
        <v>2.6522282482373499E-4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Substitution!$G$10)/IFERROR(SUMIFS(COBRA_aggregated!$V:$V, COBRA_aggregated!$A:$A, About!$B$1, COBRA_aggregated!$B:$B, Substitution!$G$10), 1)</f>
        <v>3.7802793955377762E-4</v>
      </c>
      <c r="C17" s="12">
        <f>$B17 * IFERROR(VLOOKUP(Substitution!$M$10 &amp; $A17, US_national_yearly!$D:$AM, MATCH(C$1, US_national_yearly!$D$1:$AM$1, 0), FALSE) / VLOOKUP(Substitution!$M$10 &amp; $A17, US_national_yearly!$D:$AM, MATCH(Keys!$C$7, US_national_yearly!$D$1:$AM$1, 0), FALSE), 1)</f>
        <v>3.8948323697264191E-4</v>
      </c>
      <c r="D17" s="12">
        <f>$B17 * IFERROR(VLOOKUP(Substitution!$M$10 &amp; $A17, US_national_yearly!$D:$AM, MATCH(D$1, US_national_yearly!$D$1:$AM$1, 0), FALSE) / VLOOKUP(Substitution!$M$10 &amp; $A17, US_national_yearly!$D:$AM, MATCH(Keys!$C$7, US_national_yearly!$D$1:$AM$1, 0), FALSE), 1)</f>
        <v>4.0093853439150613E-4</v>
      </c>
      <c r="E17" s="12">
        <f>$B17 * IFERROR(VLOOKUP(Substitution!$M$10 &amp; $A17, US_national_yearly!$D:$AM, MATCH(E$1, US_national_yearly!$D$1:$AM$1, 0), FALSE) / VLOOKUP(Substitution!$M$10 &amp; $A17, US_national_yearly!$D:$AM, MATCH(Keys!$C$7, US_national_yearly!$D$1:$AM$1, 0), FALSE), 1)</f>
        <v>4.1239383181037052E-4</v>
      </c>
      <c r="F17" s="12">
        <f>$B17 * IFERROR(VLOOKUP(Substitution!$M$10 &amp; $A17, US_national_yearly!$D:$AM, MATCH(F$1, US_national_yearly!$D$1:$AM$1, 0), FALSE) / VLOOKUP(Substitution!$M$10 &amp; $A17, US_national_yearly!$D:$AM, MATCH(Keys!$C$7, US_national_yearly!$D$1:$AM$1, 0), FALSE), 1)</f>
        <v>4.2384912922923475E-4</v>
      </c>
      <c r="G17" s="12">
        <f>$B17 * IFERROR(VLOOKUP(Substitution!$M$10 &amp; $A17, US_national_yearly!$D:$AM, MATCH(G$1, US_national_yearly!$D$1:$AM$1, 0), FALSE) / VLOOKUP(Substitution!$M$10 &amp; $A17, US_national_yearly!$D:$AM, MATCH(Keys!$C$7, US_national_yearly!$D$1:$AM$1, 0), FALSE), 1)</f>
        <v>4.3489130599171631E-4</v>
      </c>
      <c r="H17" s="12">
        <f>$B17 * IFERROR(VLOOKUP(Substitution!$M$10 &amp; $A17, US_national_yearly!$D:$AM, MATCH(H$1, US_national_yearly!$D$1:$AM$1, 0), FALSE) / VLOOKUP(Substitution!$M$10 &amp; $A17, US_national_yearly!$D:$AM, MATCH(Keys!$C$7, US_national_yearly!$D$1:$AM$1, 0), FALSE), 1)</f>
        <v>4.4593348275419786E-4</v>
      </c>
      <c r="I17" s="12">
        <f>$B17 * IFERROR(VLOOKUP(Substitution!$M$10 &amp; $A17, US_national_yearly!$D:$AM, MATCH(I$1, US_national_yearly!$D$1:$AM$1, 0), FALSE) / VLOOKUP(Substitution!$M$10 &amp; $A17, US_national_yearly!$D:$AM, MATCH(Keys!$C$7, US_national_yearly!$D$1:$AM$1, 0), FALSE), 1)</f>
        <v>4.5549314282725454E-4</v>
      </c>
      <c r="J17" s="12">
        <f>$B17 * IFERROR(VLOOKUP(Substitution!$M$10 &amp; $A17, US_national_yearly!$D:$AM, MATCH(J$1, US_national_yearly!$D$1:$AM$1, 0), FALSE) / VLOOKUP(Substitution!$M$10 &amp; $A17, US_national_yearly!$D:$AM, MATCH(Keys!$C$7, US_national_yearly!$D$1:$AM$1, 0), FALSE), 1)</f>
        <v>4.6505280290031116E-4</v>
      </c>
      <c r="K17" s="12">
        <f>$B17 * IFERROR(VLOOKUP(Substitution!$M$10 &amp; $A17, US_national_yearly!$D:$AM, MATCH(K$1, US_national_yearly!$D$1:$AM$1, 0), FALSE) / VLOOKUP(Substitution!$M$10 &amp; $A17, US_national_yearly!$D:$AM, MATCH(Keys!$C$7, US_national_yearly!$D$1:$AM$1, 0), FALSE), 1)</f>
        <v>4.7461246297336777E-4</v>
      </c>
      <c r="L17" s="12">
        <f>$B17 * IFERROR(VLOOKUP(Substitution!$M$10 &amp; $A17, US_national_yearly!$D:$AM, MATCH(L$1, US_national_yearly!$D$1:$AM$1, 0), FALSE) / VLOOKUP(Substitution!$M$10 &amp; $A17, US_national_yearly!$D:$AM, MATCH(Keys!$C$7, US_national_yearly!$D$1:$AM$1, 0), FALSE), 1)</f>
        <v>4.8417212304642434E-4</v>
      </c>
      <c r="M17" s="12">
        <f>$B17 * IFERROR(VLOOKUP(Substitution!$M$10 &amp; $A17, US_national_yearly!$D:$AM, MATCH(M$1, US_national_yearly!$D$1:$AM$1, 0), FALSE) / VLOOKUP(Substitution!$M$10 &amp; $A17, US_national_yearly!$D:$AM, MATCH(Keys!$C$7, US_national_yearly!$D$1:$AM$1, 0), FALSE), 1)</f>
        <v>4.9373178311948101E-4</v>
      </c>
      <c r="N17" s="12">
        <f>$B17 * IFERROR(VLOOKUP(Substitution!$M$10 &amp; $A17, US_national_yearly!$D:$AM, MATCH(N$1, US_national_yearly!$D$1:$AM$1, 0), FALSE) / VLOOKUP(Substitution!$M$10 &amp; $A17, US_national_yearly!$D:$AM, MATCH(Keys!$C$7, US_national_yearly!$D$1:$AM$1, 0), FALSE), 1)</f>
        <v>5.0025622563217584E-4</v>
      </c>
      <c r="O17" s="12">
        <f>$B17 * IFERROR(VLOOKUP(Substitution!$M$10 &amp; $A17, US_national_yearly!$D:$AM, MATCH(O$1, US_national_yearly!$D$1:$AM$1, 0), FALSE) / VLOOKUP(Substitution!$M$10 &amp; $A17, US_national_yearly!$D:$AM, MATCH(Keys!$C$7, US_national_yearly!$D$1:$AM$1, 0), FALSE), 1)</f>
        <v>5.0678066814487067E-4</v>
      </c>
      <c r="P17" s="12">
        <f>$B17 * IFERROR(VLOOKUP(Substitution!$M$10 &amp; $A17, US_national_yearly!$D:$AM, MATCH(P$1, US_national_yearly!$D$1:$AM$1, 0), FALSE) / VLOOKUP(Substitution!$M$10 &amp; $A17, US_national_yearly!$D:$AM, MATCH(Keys!$C$7, US_national_yearly!$D$1:$AM$1, 0), FALSE), 1)</f>
        <v>5.1330511065756572E-4</v>
      </c>
      <c r="Q17" s="12">
        <f>$B17 * IFERROR(VLOOKUP(Substitution!$M$10 &amp; $A17, US_national_yearly!$D:$AM, MATCH(Q$1, US_national_yearly!$D$1:$AM$1, 0), FALSE) / VLOOKUP(Substitution!$M$10 &amp; $A17, US_national_yearly!$D:$AM, MATCH(Keys!$C$7, US_national_yearly!$D$1:$AM$1, 0), FALSE), 1)</f>
        <v>5.1982955317026055E-4</v>
      </c>
      <c r="R17" s="12">
        <f>$B17 * IFERROR(VLOOKUP(Substitution!$M$10 &amp; $A17, US_national_yearly!$D:$AM, MATCH(R$1, US_national_yearly!$D$1:$AM$1, 0), FALSE) / VLOOKUP(Substitution!$M$10 &amp; $A17, US_national_yearly!$D:$AM, MATCH(Keys!$C$7, US_national_yearly!$D$1:$AM$1, 0), FALSE), 1)</f>
        <v>5.2635399568295548E-4</v>
      </c>
      <c r="S17" s="12">
        <f>$B17 * IFERROR(VLOOKUP(Substitution!$M$10 &amp; $A17, US_national_yearly!$D:$AM, MATCH(S$1, US_national_yearly!$D$1:$AM$1, 0), FALSE) / VLOOKUP(Substitution!$M$10 &amp; $A17, US_national_yearly!$D:$AM, MATCH(Keys!$C$7, US_national_yearly!$D$1:$AM$1, 0), FALSE), 1)</f>
        <v>5.2993081459207648E-4</v>
      </c>
      <c r="T17" s="12">
        <f>$B17 * IFERROR(VLOOKUP(Substitution!$M$10 &amp; $A17, US_national_yearly!$D:$AM, MATCH(T$1, US_national_yearly!$D$1:$AM$1, 0), FALSE) / VLOOKUP(Substitution!$M$10 &amp; $A17, US_national_yearly!$D:$AM, MATCH(Keys!$C$7, US_national_yearly!$D$1:$AM$1, 0), FALSE), 1)</f>
        <v>5.3350763350119737E-4</v>
      </c>
      <c r="U17" s="12">
        <f>$B17 * IFERROR(VLOOKUP(Substitution!$M$10 &amp; $A17, US_national_yearly!$D:$AM, MATCH(U$1, US_national_yearly!$D$1:$AM$1, 0), FALSE) / VLOOKUP(Substitution!$M$10 &amp; $A17, US_national_yearly!$D:$AM, MATCH(Keys!$C$7, US_national_yearly!$D$1:$AM$1, 0), FALSE), 1)</f>
        <v>5.3708445241031826E-4</v>
      </c>
      <c r="V17" s="12">
        <f>$B17 * IFERROR(VLOOKUP(Substitution!$M$10 &amp; $A17, US_national_yearly!$D:$AM, MATCH(V$1, US_national_yearly!$D$1:$AM$1, 0), FALSE) / VLOOKUP(Substitution!$M$10 &amp; $A17, US_national_yearly!$D:$AM, MATCH(Keys!$C$7, US_national_yearly!$D$1:$AM$1, 0), FALSE), 1)</f>
        <v>5.4066127131943914E-4</v>
      </c>
      <c r="W17" s="12">
        <f>$B17 * IFERROR(VLOOKUP(Substitution!$M$10 &amp; $A17, US_national_yearly!$D:$AM, MATCH(W$1, US_national_yearly!$D$1:$AM$1, 0), FALSE) / VLOOKUP(Substitution!$M$10 &amp; $A17, US_national_yearly!$D:$AM, MATCH(Keys!$C$7, US_national_yearly!$D$1:$AM$1, 0), FALSE), 1)</f>
        <v>5.4423809022856014E-4</v>
      </c>
      <c r="X17" s="12">
        <f>$B17 * IFERROR(VLOOKUP(Substitution!$M$10 &amp; $A17, US_national_yearly!$D:$AM, MATCH(X$1, US_national_yearly!$D$1:$AM$1, 0), FALSE) / VLOOKUP(Substitution!$M$10 &amp; $A17, US_national_yearly!$D:$AM, MATCH(Keys!$C$7, US_national_yearly!$D$1:$AM$1, 0), FALSE), 1)</f>
        <v>5.4670712475948422E-4</v>
      </c>
      <c r="Y17" s="12">
        <f>$B17 * IFERROR(VLOOKUP(Substitution!$M$10 &amp; $A17, US_national_yearly!$D:$AM, MATCH(Y$1, US_national_yearly!$D$1:$AM$1, 0), FALSE) / VLOOKUP(Substitution!$M$10 &amp; $A17, US_national_yearly!$D:$AM, MATCH(Keys!$C$7, US_national_yearly!$D$1:$AM$1, 0), FALSE), 1)</f>
        <v>5.4917615929040808E-4</v>
      </c>
      <c r="Z17" s="12">
        <f>$B17 * IFERROR(VLOOKUP(Substitution!$M$10 &amp; $A17, US_national_yearly!$D:$AM, MATCH(Z$1, US_national_yearly!$D$1:$AM$1, 0), FALSE) / VLOOKUP(Substitution!$M$10 &amp; $A17, US_national_yearly!$D:$AM, MATCH(Keys!$C$7, US_national_yearly!$D$1:$AM$1, 0), FALSE), 1)</f>
        <v>5.5164519382133205E-4</v>
      </c>
      <c r="AA17" s="12">
        <f>$B17 * IFERROR(VLOOKUP(Substitution!$M$10 &amp; $A17, US_national_yearly!$D:$AM, MATCH(AA$1, US_national_yearly!$D$1:$AM$1, 0), FALSE) / VLOOKUP(Substitution!$M$10 &amp; $A17, US_national_yearly!$D:$AM, MATCH(Keys!$C$7, US_national_yearly!$D$1:$AM$1, 0), FALSE), 1)</f>
        <v>5.5411422835225613E-4</v>
      </c>
      <c r="AB17" s="12">
        <f>$B17 * IFERROR(VLOOKUP(Substitution!$M$10 &amp; $A17, US_national_yearly!$D:$AM, MATCH(AB$1, US_national_yearly!$D$1:$AM$1, 0), FALSE) / VLOOKUP(Substitution!$M$10 &amp; $A17, US_national_yearly!$D:$AM, MATCH(Keys!$C$7, US_national_yearly!$D$1:$AM$1, 0), FALSE), 1)</f>
        <v>5.565832628831801E-4</v>
      </c>
    </row>
    <row r="18" spans="1:28" x14ac:dyDescent="0.25">
      <c r="A18" s="4" t="s">
        <v>323</v>
      </c>
      <c r="B18" s="12">
        <f>IFERROR(VLOOKUP(Substitution!$M$10 &amp; $A18, US_national_yearly!$D:$AM, MATCH(Keys!$C$7, US_national_yearly!$D$1:$AM$1, 0), FALSE), 0)</f>
        <v>1.32857134899825E-3</v>
      </c>
      <c r="C18" s="12">
        <f>$B18 * IFERROR(VLOOKUP(Substitution!$M$10 &amp; $A18, US_national_yearly!$D:$AM, MATCH(C$1, US_national_yearly!$D$1:$AM$1, 0), FALSE) / VLOOKUP(Substitution!$M$10 &amp; $A18, US_national_yearly!$D:$AM, MATCH(Keys!$C$7, US_national_yearly!$D$1:$AM$1, 0), FALSE), 1)</f>
        <v>1.37231763783223E-3</v>
      </c>
      <c r="D18" s="12">
        <f>$B18 * IFERROR(VLOOKUP(Substitution!$M$10 &amp; $A18, US_national_yearly!$D:$AM, MATCH(D$1, US_national_yearly!$D$1:$AM$1, 0), FALSE) / VLOOKUP(Substitution!$M$10 &amp; $A18, US_national_yearly!$D:$AM, MATCH(Keys!$C$7, US_national_yearly!$D$1:$AM$1, 0), FALSE), 1)</f>
        <v>1.4160639266662103E-3</v>
      </c>
      <c r="E18" s="12">
        <f>$B18 * IFERROR(VLOOKUP(Substitution!$M$10 &amp; $A18, US_national_yearly!$D:$AM, MATCH(E$1, US_national_yearly!$D$1:$AM$1, 0), FALSE) / VLOOKUP(Substitution!$M$10 &amp; $A18, US_national_yearly!$D:$AM, MATCH(Keys!$C$7, US_national_yearly!$D$1:$AM$1, 0), FALSE), 1)</f>
        <v>1.4598102155001899E-3</v>
      </c>
      <c r="F18" s="12">
        <f>$B18 * IFERROR(VLOOKUP(Substitution!$M$10 &amp; $A18, US_national_yearly!$D:$AM, MATCH(F$1, US_national_yearly!$D$1:$AM$1, 0), FALSE) / VLOOKUP(Substitution!$M$10 &amp; $A18, US_national_yearly!$D:$AM, MATCH(Keys!$C$7, US_national_yearly!$D$1:$AM$1, 0), FALSE), 1)</f>
        <v>1.5035565043341698E-3</v>
      </c>
      <c r="G18" s="12">
        <f>$B18 * IFERROR(VLOOKUP(Substitution!$M$10 &amp; $A18, US_national_yearly!$D:$AM, MATCH(G$1, US_national_yearly!$D$1:$AM$1, 0), FALSE) / VLOOKUP(Substitution!$M$10 &amp; $A18, US_national_yearly!$D:$AM, MATCH(Keys!$C$7, US_national_yearly!$D$1:$AM$1, 0), FALSE), 1)</f>
        <v>1.55015813573462E-3</v>
      </c>
      <c r="H18" s="12">
        <f>$B18 * IFERROR(VLOOKUP(Substitution!$M$10 &amp; $A18, US_national_yearly!$D:$AM, MATCH(H$1, US_national_yearly!$D$1:$AM$1, 0), FALSE) / VLOOKUP(Substitution!$M$10 &amp; $A18, US_national_yearly!$D:$AM, MATCH(Keys!$C$7, US_national_yearly!$D$1:$AM$1, 0), FALSE), 1)</f>
        <v>1.59675976713507E-3</v>
      </c>
      <c r="I18" s="12">
        <f>$B18 * IFERROR(VLOOKUP(Substitution!$M$10 &amp; $A18, US_national_yearly!$D:$AM, MATCH(I$1, US_national_yearly!$D$1:$AM$1, 0), FALSE) / VLOOKUP(Substitution!$M$10 &amp; $A18, US_national_yearly!$D:$AM, MATCH(Keys!$C$7, US_national_yearly!$D$1:$AM$1, 0), FALSE), 1)</f>
        <v>1.64374316917114E-3</v>
      </c>
      <c r="J18" s="12">
        <f>$B18 * IFERROR(VLOOKUP(Substitution!$M$10 &amp; $A18, US_national_yearly!$D:$AM, MATCH(J$1, US_national_yearly!$D$1:$AM$1, 0), FALSE) / VLOOKUP(Substitution!$M$10 &amp; $A18, US_national_yearly!$D:$AM, MATCH(Keys!$C$7, US_national_yearly!$D$1:$AM$1, 0), FALSE), 1)</f>
        <v>1.69072657120721E-3</v>
      </c>
      <c r="K18" s="12">
        <f>$B18 * IFERROR(VLOOKUP(Substitution!$M$10 &amp; $A18, US_national_yearly!$D:$AM, MATCH(K$1, US_national_yearly!$D$1:$AM$1, 0), FALSE) / VLOOKUP(Substitution!$M$10 &amp; $A18, US_national_yearly!$D:$AM, MATCH(Keys!$C$7, US_national_yearly!$D$1:$AM$1, 0), FALSE), 1)</f>
        <v>1.7377099732432801E-3</v>
      </c>
      <c r="L18" s="12">
        <f>$B18 * IFERROR(VLOOKUP(Substitution!$M$10 &amp; $A18, US_national_yearly!$D:$AM, MATCH(L$1, US_national_yearly!$D$1:$AM$1, 0), FALSE) / VLOOKUP(Substitution!$M$10 &amp; $A18, US_national_yearly!$D:$AM, MATCH(Keys!$C$7, US_national_yearly!$D$1:$AM$1, 0), FALSE), 1)</f>
        <v>1.7846933752793501E-3</v>
      </c>
      <c r="M18" s="12">
        <f>$B18 * IFERROR(VLOOKUP(Substitution!$M$10 &amp; $A18, US_national_yearly!$D:$AM, MATCH(M$1, US_national_yearly!$D$1:$AM$1, 0), FALSE) / VLOOKUP(Substitution!$M$10 &amp; $A18, US_national_yearly!$D:$AM, MATCH(Keys!$C$7, US_national_yearly!$D$1:$AM$1, 0), FALSE), 1)</f>
        <v>1.8316767773154199E-3</v>
      </c>
      <c r="N18" s="12">
        <f>$B18 * IFERROR(VLOOKUP(Substitution!$M$10 &amp; $A18, US_national_yearly!$D:$AM, MATCH(N$1, US_national_yearly!$D$1:$AM$1, 0), FALSE) / VLOOKUP(Substitution!$M$10 &amp; $A18, US_national_yearly!$D:$AM, MATCH(Keys!$C$7, US_national_yearly!$D$1:$AM$1, 0), FALSE), 1)</f>
        <v>1.866192731828784E-3</v>
      </c>
      <c r="O18" s="12">
        <f>$B18 * IFERROR(VLOOKUP(Substitution!$M$10 &amp; $A18, US_national_yearly!$D:$AM, MATCH(O$1, US_national_yearly!$D$1:$AM$1, 0), FALSE) / VLOOKUP(Substitution!$M$10 &amp; $A18, US_national_yearly!$D:$AM, MATCH(Keys!$C$7, US_national_yearly!$D$1:$AM$1, 0), FALSE), 1)</f>
        <v>1.9007086863421477E-3</v>
      </c>
      <c r="P18" s="12">
        <f>$B18 * IFERROR(VLOOKUP(Substitution!$M$10 &amp; $A18, US_national_yearly!$D:$AM, MATCH(P$1, US_national_yearly!$D$1:$AM$1, 0), FALSE) / VLOOKUP(Substitution!$M$10 &amp; $A18, US_national_yearly!$D:$AM, MATCH(Keys!$C$7, US_national_yearly!$D$1:$AM$1, 0), FALSE), 1)</f>
        <v>1.9352246408555118E-3</v>
      </c>
      <c r="Q18" s="12">
        <f>$B18 * IFERROR(VLOOKUP(Substitution!$M$10 &amp; $A18, US_national_yearly!$D:$AM, MATCH(Q$1, US_national_yearly!$D$1:$AM$1, 0), FALSE) / VLOOKUP(Substitution!$M$10 &amp; $A18, US_national_yearly!$D:$AM, MATCH(Keys!$C$7, US_national_yearly!$D$1:$AM$1, 0), FALSE), 1)</f>
        <v>1.9697405953688759E-3</v>
      </c>
      <c r="R18" s="12">
        <f>$B18 * IFERROR(VLOOKUP(Substitution!$M$10 &amp; $A18, US_national_yearly!$D:$AM, MATCH(R$1, US_national_yearly!$D$1:$AM$1, 0), FALSE) / VLOOKUP(Substitution!$M$10 &amp; $A18, US_national_yearly!$D:$AM, MATCH(Keys!$C$7, US_national_yearly!$D$1:$AM$1, 0), FALSE), 1)</f>
        <v>2.0042565498822398E-3</v>
      </c>
      <c r="S18" s="12">
        <f>$B18 * IFERROR(VLOOKUP(Substitution!$M$10 &amp; $A18, US_national_yearly!$D:$AM, MATCH(S$1, US_national_yearly!$D$1:$AM$1, 0), FALSE) / VLOOKUP(Substitution!$M$10 &amp; $A18, US_national_yearly!$D:$AM, MATCH(Keys!$C$7, US_national_yearly!$D$1:$AM$1, 0), FALSE), 1)</f>
        <v>2.0217319715998298E-3</v>
      </c>
      <c r="T18" s="12">
        <f>$B18 * IFERROR(VLOOKUP(Substitution!$M$10 &amp; $A18, US_national_yearly!$D:$AM, MATCH(T$1, US_national_yearly!$D$1:$AM$1, 0), FALSE) / VLOOKUP(Substitution!$M$10 &amp; $A18, US_national_yearly!$D:$AM, MATCH(Keys!$C$7, US_national_yearly!$D$1:$AM$1, 0), FALSE), 1)</f>
        <v>2.0392073933174202E-3</v>
      </c>
      <c r="U18" s="12">
        <f>$B18 * IFERROR(VLOOKUP(Substitution!$M$10 &amp; $A18, US_national_yearly!$D:$AM, MATCH(U$1, US_national_yearly!$D$1:$AM$1, 0), FALSE) / VLOOKUP(Substitution!$M$10 &amp; $A18, US_national_yearly!$D:$AM, MATCH(Keys!$C$7, US_national_yearly!$D$1:$AM$1, 0), FALSE), 1)</f>
        <v>2.0566828150350102E-3</v>
      </c>
      <c r="V18" s="12">
        <f>$B18 * IFERROR(VLOOKUP(Substitution!$M$10 &amp; $A18, US_national_yearly!$D:$AM, MATCH(V$1, US_national_yearly!$D$1:$AM$1, 0), FALSE) / VLOOKUP(Substitution!$M$10 &amp; $A18, US_national_yearly!$D:$AM, MATCH(Keys!$C$7, US_national_yearly!$D$1:$AM$1, 0), FALSE), 1)</f>
        <v>2.0741582367526002E-3</v>
      </c>
      <c r="W18" s="12">
        <f>$B18 * IFERROR(VLOOKUP(Substitution!$M$10 &amp; $A18, US_national_yearly!$D:$AM, MATCH(W$1, US_national_yearly!$D$1:$AM$1, 0), FALSE) / VLOOKUP(Substitution!$M$10 &amp; $A18, US_national_yearly!$D:$AM, MATCH(Keys!$C$7, US_national_yearly!$D$1:$AM$1, 0), FALSE), 1)</f>
        <v>2.0916336584701901E-3</v>
      </c>
      <c r="X18" s="12">
        <f>$B18 * IFERROR(VLOOKUP(Substitution!$M$10 &amp; $A18, US_national_yearly!$D:$AM, MATCH(X$1, US_national_yearly!$D$1:$AM$1, 0), FALSE) / VLOOKUP(Substitution!$M$10 &amp; $A18, US_national_yearly!$D:$AM, MATCH(Keys!$C$7, US_national_yearly!$D$1:$AM$1, 0), FALSE), 1)</f>
        <v>2.0977859168740181E-3</v>
      </c>
      <c r="Y18" s="12">
        <f>$B18 * IFERROR(VLOOKUP(Substitution!$M$10 &amp; $A18, US_national_yearly!$D:$AM, MATCH(Y$1, US_national_yearly!$D$1:$AM$1, 0), FALSE) / VLOOKUP(Substitution!$M$10 &amp; $A18, US_national_yearly!$D:$AM, MATCH(Keys!$C$7, US_national_yearly!$D$1:$AM$1, 0), FALSE), 1)</f>
        <v>2.1039381752778461E-3</v>
      </c>
      <c r="Z18" s="12">
        <f>$B18 * IFERROR(VLOOKUP(Substitution!$M$10 &amp; $A18, US_national_yearly!$D:$AM, MATCH(Z$1, US_national_yearly!$D$1:$AM$1, 0), FALSE) / VLOOKUP(Substitution!$M$10 &amp; $A18, US_national_yearly!$D:$AM, MATCH(Keys!$C$7, US_national_yearly!$D$1:$AM$1, 0), FALSE), 1)</f>
        <v>2.1100904336816741E-3</v>
      </c>
      <c r="AA18" s="12">
        <f>$B18 * IFERROR(VLOOKUP(Substitution!$M$10 &amp; $A18, US_national_yearly!$D:$AM, MATCH(AA$1, US_national_yearly!$D$1:$AM$1, 0), FALSE) / VLOOKUP(Substitution!$M$10 &amp; $A18, US_national_yearly!$D:$AM, MATCH(Keys!$C$7, US_national_yearly!$D$1:$AM$1, 0), FALSE), 1)</f>
        <v>2.1162426920855021E-3</v>
      </c>
      <c r="AB18" s="12">
        <f>$B18 * IFERROR(VLOOKUP(Substitution!$M$10 &amp; $A18, US_national_yearly!$D:$AM, MATCH(AB$1, US_national_yearly!$D$1:$AM$1, 0), FALSE) / VLOOKUP(Substitution!$M$10 &amp; $A18, US_national_yearly!$D:$AM, MATCH(Keys!$C$7, US_national_yearly!$D$1:$AM$1, 0), FALSE), 1)</f>
        <v>2.1223949504893301E-3</v>
      </c>
    </row>
    <row r="19" spans="1:28" x14ac:dyDescent="0.25">
      <c r="A19" s="4" t="s">
        <v>325</v>
      </c>
      <c r="B19" s="12">
        <f>IFERROR(VLOOKUP(Substitution!$M$10 &amp; $A19, US_national_yearly!$D:$AM, MATCH(Keys!$C$7, US_national_yearly!$D$1:$AM$1, 0), FALSE), 0)</f>
        <v>1.7582766832564061E-4</v>
      </c>
      <c r="C19" s="12">
        <f>$B19 * IFERROR(VLOOKUP(Substitution!$M$10 &amp; $A19, US_national_yearly!$D:$AM, MATCH(C$1, US_national_yearly!$D$1:$AM$1, 0), FALSE) / VLOOKUP(Substitution!$M$10 &amp; $A19, US_national_yearly!$D:$AM, MATCH(Keys!$C$7, US_national_yearly!$D$1:$AM$1, 0), FALSE), 1)</f>
        <v>1.8048530367506719E-4</v>
      </c>
      <c r="D19" s="12">
        <f>$B19 * IFERROR(VLOOKUP(Substitution!$M$10 &amp; $A19, US_national_yearly!$D:$AM, MATCH(D$1, US_national_yearly!$D$1:$AM$1, 0), FALSE) / VLOOKUP(Substitution!$M$10 &amp; $A19, US_national_yearly!$D:$AM, MATCH(Keys!$C$7, US_national_yearly!$D$1:$AM$1, 0), FALSE), 1)</f>
        <v>1.8514293902449381E-4</v>
      </c>
      <c r="E19" s="12">
        <f>$B19 * IFERROR(VLOOKUP(Substitution!$M$10 &amp; $A19, US_national_yearly!$D:$AM, MATCH(E$1, US_national_yearly!$D$1:$AM$1, 0), FALSE) / VLOOKUP(Substitution!$M$10 &amp; $A19, US_national_yearly!$D:$AM, MATCH(Keys!$C$7, US_national_yearly!$D$1:$AM$1, 0), FALSE), 1)</f>
        <v>1.8980057437392039E-4</v>
      </c>
      <c r="F19" s="12">
        <f>$B19 * IFERROR(VLOOKUP(Substitution!$M$10 &amp; $A19, US_national_yearly!$D:$AM, MATCH(F$1, US_national_yearly!$D$1:$AM$1, 0), FALSE) / VLOOKUP(Substitution!$M$10 &amp; $A19, US_national_yearly!$D:$AM, MATCH(Keys!$C$7, US_national_yearly!$D$1:$AM$1, 0), FALSE), 1)</f>
        <v>1.9445820972334698E-4</v>
      </c>
      <c r="G19" s="12">
        <f>$B19 * IFERROR(VLOOKUP(Substitution!$M$10 &amp; $A19, US_national_yearly!$D:$AM, MATCH(G$1, US_national_yearly!$D$1:$AM$1, 0), FALSE) / VLOOKUP(Substitution!$M$10 &amp; $A19, US_national_yearly!$D:$AM, MATCH(Keys!$C$7, US_national_yearly!$D$1:$AM$1, 0), FALSE), 1)</f>
        <v>1.9839566790936651E-4</v>
      </c>
      <c r="H19" s="12">
        <f>$B19 * IFERROR(VLOOKUP(Substitution!$M$10 &amp; $A19, US_national_yearly!$D:$AM, MATCH(H$1, US_national_yearly!$D$1:$AM$1, 0), FALSE) / VLOOKUP(Substitution!$M$10 &amp; $A19, US_national_yearly!$D:$AM, MATCH(Keys!$C$7, US_national_yearly!$D$1:$AM$1, 0), FALSE), 1)</f>
        <v>2.0233312609538602E-4</v>
      </c>
      <c r="I19" s="12">
        <f>$B19 * IFERROR(VLOOKUP(Substitution!$M$10 &amp; $A19, US_national_yearly!$D:$AM, MATCH(I$1, US_national_yearly!$D$1:$AM$1, 0), FALSE) / VLOOKUP(Substitution!$M$10 &amp; $A19, US_national_yearly!$D:$AM, MATCH(Keys!$C$7, US_national_yearly!$D$1:$AM$1, 0), FALSE), 1)</f>
        <v>2.0495661364020501E-4</v>
      </c>
      <c r="J19" s="12">
        <f>$B19 * IFERROR(VLOOKUP(Substitution!$M$10 &amp; $A19, US_national_yearly!$D:$AM, MATCH(J$1, US_national_yearly!$D$1:$AM$1, 0), FALSE) / VLOOKUP(Substitution!$M$10 &amp; $A19, US_national_yearly!$D:$AM, MATCH(Keys!$C$7, US_national_yearly!$D$1:$AM$1, 0), FALSE), 1)</f>
        <v>2.0758010118502397E-4</v>
      </c>
      <c r="K19" s="12">
        <f>$B19 * IFERROR(VLOOKUP(Substitution!$M$10 &amp; $A19, US_national_yearly!$D:$AM, MATCH(K$1, US_national_yearly!$D$1:$AM$1, 0), FALSE) / VLOOKUP(Substitution!$M$10 &amp; $A19, US_national_yearly!$D:$AM, MATCH(Keys!$C$7, US_national_yearly!$D$1:$AM$1, 0), FALSE), 1)</f>
        <v>2.1020358872984301E-4</v>
      </c>
      <c r="L19" s="12">
        <f>$B19 * IFERROR(VLOOKUP(Substitution!$M$10 &amp; $A19, US_national_yearly!$D:$AM, MATCH(L$1, US_national_yearly!$D$1:$AM$1, 0), FALSE) / VLOOKUP(Substitution!$M$10 &amp; $A19, US_national_yearly!$D:$AM, MATCH(Keys!$C$7, US_national_yearly!$D$1:$AM$1, 0), FALSE), 1)</f>
        <v>2.12827076274662E-4</v>
      </c>
      <c r="M19" s="12">
        <f>$B19 * IFERROR(VLOOKUP(Substitution!$M$10 &amp; $A19, US_national_yearly!$D:$AM, MATCH(M$1, US_national_yearly!$D$1:$AM$1, 0), FALSE) / VLOOKUP(Substitution!$M$10 &amp; $A19, US_national_yearly!$D:$AM, MATCH(Keys!$C$7, US_national_yearly!$D$1:$AM$1, 0), FALSE), 1)</f>
        <v>2.1545056381948099E-4</v>
      </c>
      <c r="N19" s="12">
        <f>$B19 * IFERROR(VLOOKUP(Substitution!$M$10 &amp; $A19, US_national_yearly!$D:$AM, MATCH(N$1, US_national_yearly!$D$1:$AM$1, 0), FALSE) / VLOOKUP(Substitution!$M$10 &amp; $A19, US_national_yearly!$D:$AM, MATCH(Keys!$C$7, US_national_yearly!$D$1:$AM$1, 0), FALSE), 1)</f>
        <v>2.1678170783901099E-4</v>
      </c>
      <c r="O19" s="12">
        <f>$B19 * IFERROR(VLOOKUP(Substitution!$M$10 &amp; $A19, US_national_yearly!$D:$AM, MATCH(O$1, US_national_yearly!$D$1:$AM$1, 0), FALSE) / VLOOKUP(Substitution!$M$10 &amp; $A19, US_national_yearly!$D:$AM, MATCH(Keys!$C$7, US_national_yearly!$D$1:$AM$1, 0), FALSE), 1)</f>
        <v>2.18112851858541E-4</v>
      </c>
      <c r="P19" s="12">
        <f>$B19 * IFERROR(VLOOKUP(Substitution!$M$10 &amp; $A19, US_national_yearly!$D:$AM, MATCH(P$1, US_national_yearly!$D$1:$AM$1, 0), FALSE) / VLOOKUP(Substitution!$M$10 &amp; $A19, US_national_yearly!$D:$AM, MATCH(Keys!$C$7, US_national_yearly!$D$1:$AM$1, 0), FALSE), 1)</f>
        <v>2.1944399587807097E-4</v>
      </c>
      <c r="Q19" s="12">
        <f>$B19 * IFERROR(VLOOKUP(Substitution!$M$10 &amp; $A19, US_national_yearly!$D:$AM, MATCH(Q$1, US_national_yearly!$D$1:$AM$1, 0), FALSE) / VLOOKUP(Substitution!$M$10 &amp; $A19, US_national_yearly!$D:$AM, MATCH(Keys!$C$7, US_national_yearly!$D$1:$AM$1, 0), FALSE), 1)</f>
        <v>2.20775139897601E-4</v>
      </c>
      <c r="R19" s="12">
        <f>$B19 * IFERROR(VLOOKUP(Substitution!$M$10 &amp; $A19, US_national_yearly!$D:$AM, MATCH(R$1, US_national_yearly!$D$1:$AM$1, 0), FALSE) / VLOOKUP(Substitution!$M$10 &amp; $A19, US_national_yearly!$D:$AM, MATCH(Keys!$C$7, US_national_yearly!$D$1:$AM$1, 0), FALSE), 1)</f>
        <v>2.2210628391713101E-4</v>
      </c>
      <c r="S19" s="12">
        <f>$B19 * IFERROR(VLOOKUP(Substitution!$M$10 &amp; $A19, US_national_yearly!$D:$AM, MATCH(S$1, US_national_yearly!$D$1:$AM$1, 0), FALSE) / VLOOKUP(Substitution!$M$10 &amp; $A19, US_national_yearly!$D:$AM, MATCH(Keys!$C$7, US_national_yearly!$D$1:$AM$1, 0), FALSE), 1)</f>
        <v>2.2288368656427318E-4</v>
      </c>
      <c r="T19" s="12">
        <f>$B19 * IFERROR(VLOOKUP(Substitution!$M$10 &amp; $A19, US_national_yearly!$D:$AM, MATCH(T$1, US_national_yearly!$D$1:$AM$1, 0), FALSE) / VLOOKUP(Substitution!$M$10 &amp; $A19, US_national_yearly!$D:$AM, MATCH(Keys!$C$7, US_national_yearly!$D$1:$AM$1, 0), FALSE), 1)</f>
        <v>2.2366108921141541E-4</v>
      </c>
      <c r="U19" s="12">
        <f>$B19 * IFERROR(VLOOKUP(Substitution!$M$10 &amp; $A19, US_national_yearly!$D:$AM, MATCH(U$1, US_national_yearly!$D$1:$AM$1, 0), FALSE) / VLOOKUP(Substitution!$M$10 &amp; $A19, US_national_yearly!$D:$AM, MATCH(Keys!$C$7, US_national_yearly!$D$1:$AM$1, 0), FALSE), 1)</f>
        <v>2.2443849185855758E-4</v>
      </c>
      <c r="V19" s="12">
        <f>$B19 * IFERROR(VLOOKUP(Substitution!$M$10 &amp; $A19, US_national_yearly!$D:$AM, MATCH(V$1, US_national_yearly!$D$1:$AM$1, 0), FALSE) / VLOOKUP(Substitution!$M$10 &amp; $A19, US_national_yearly!$D:$AM, MATCH(Keys!$C$7, US_national_yearly!$D$1:$AM$1, 0), FALSE), 1)</f>
        <v>2.2521589450569981E-4</v>
      </c>
      <c r="W19" s="12">
        <f>$B19 * IFERROR(VLOOKUP(Substitution!$M$10 &amp; $A19, US_national_yearly!$D:$AM, MATCH(W$1, US_national_yearly!$D$1:$AM$1, 0), FALSE) / VLOOKUP(Substitution!$M$10 &amp; $A19, US_national_yearly!$D:$AM, MATCH(Keys!$C$7, US_national_yearly!$D$1:$AM$1, 0), FALSE), 1)</f>
        <v>2.2599329715284201E-4</v>
      </c>
      <c r="X19" s="12">
        <f>$B19 * IFERROR(VLOOKUP(Substitution!$M$10 &amp; $A19, US_national_yearly!$D:$AM, MATCH(X$1, US_national_yearly!$D$1:$AM$1, 0), FALSE) / VLOOKUP(Substitution!$M$10 &amp; $A19, US_national_yearly!$D:$AM, MATCH(Keys!$C$7, US_national_yearly!$D$1:$AM$1, 0), FALSE), 1)</f>
        <v>2.2709096636497843E-4</v>
      </c>
      <c r="Y19" s="12">
        <f>$B19 * IFERROR(VLOOKUP(Substitution!$M$10 &amp; $A19, US_national_yearly!$D:$AM, MATCH(Y$1, US_national_yearly!$D$1:$AM$1, 0), FALSE) / VLOOKUP(Substitution!$M$10 &amp; $A19, US_national_yearly!$D:$AM, MATCH(Keys!$C$7, US_national_yearly!$D$1:$AM$1, 0), FALSE), 1)</f>
        <v>2.281886355771148E-4</v>
      </c>
      <c r="Z19" s="12">
        <f>$B19 * IFERROR(VLOOKUP(Substitution!$M$10 &amp; $A19, US_national_yearly!$D:$AM, MATCH(Z$1, US_national_yearly!$D$1:$AM$1, 0), FALSE) / VLOOKUP(Substitution!$M$10 &amp; $A19, US_national_yearly!$D:$AM, MATCH(Keys!$C$7, US_national_yearly!$D$1:$AM$1, 0), FALSE), 1)</f>
        <v>2.292863047892512E-4</v>
      </c>
      <c r="AA19" s="12">
        <f>$B19 * IFERROR(VLOOKUP(Substitution!$M$10 &amp; $A19, US_national_yearly!$D:$AM, MATCH(AA$1, US_national_yearly!$D$1:$AM$1, 0), FALSE) / VLOOKUP(Substitution!$M$10 &amp; $A19, US_national_yearly!$D:$AM, MATCH(Keys!$C$7, US_national_yearly!$D$1:$AM$1, 0), FALSE), 1)</f>
        <v>2.3038397400138762E-4</v>
      </c>
      <c r="AB19" s="12">
        <f>$B19 * IFERROR(VLOOKUP(Substitution!$M$10 &amp; $A19, US_national_yearly!$D:$AM, MATCH(AB$1, US_national_yearly!$D$1:$AM$1, 0), FALSE) / VLOOKUP(Substitution!$M$10 &amp; $A19, US_national_yearly!$D:$AM, MATCH(Keys!$C$7, US_national_yearly!$D$1:$AM$1, 0), FALSE), 1)</f>
        <v>2.3148164321352399E-4</v>
      </c>
    </row>
    <row r="20" spans="1:28" x14ac:dyDescent="0.25">
      <c r="A20" s="4" t="s">
        <v>327</v>
      </c>
      <c r="B20" s="12">
        <f>IFERROR(VLOOKUP(Substitution!$M$10 &amp; $A20, US_national_yearly!$D:$AM, MATCH(Keys!$C$7, US_national_yearly!$D$1:$AM$1, 0), FALSE), 0)</f>
        <v>1.619186988586142E-4</v>
      </c>
      <c r="C20" s="12">
        <f>$B20 * IFERROR(VLOOKUP(Substitution!$M$10 &amp; $A20, US_national_yearly!$D:$AM, MATCH(C$1, US_national_yearly!$D$1:$AM$1, 0), FALSE) / VLOOKUP(Substitution!$M$10 &amp; $A20, US_national_yearly!$D:$AM, MATCH(Keys!$C$7, US_national_yearly!$D$1:$AM$1, 0), FALSE), 1)</f>
        <v>1.6625852212271637E-4</v>
      </c>
      <c r="D20" s="12">
        <f>$B20 * IFERROR(VLOOKUP(Substitution!$M$10 &amp; $A20, US_national_yearly!$D:$AM, MATCH(D$1, US_national_yearly!$D$1:$AM$1, 0), FALSE) / VLOOKUP(Substitution!$M$10 &amp; $A20, US_national_yearly!$D:$AM, MATCH(Keys!$C$7, US_national_yearly!$D$1:$AM$1, 0), FALSE), 1)</f>
        <v>1.7059834538681859E-4</v>
      </c>
      <c r="E20" s="12">
        <f>$B20 * IFERROR(VLOOKUP(Substitution!$M$10 &amp; $A20, US_national_yearly!$D:$AM, MATCH(E$1, US_national_yearly!$D$1:$AM$1, 0), FALSE) / VLOOKUP(Substitution!$M$10 &amp; $A20, US_national_yearly!$D:$AM, MATCH(Keys!$C$7, US_national_yearly!$D$1:$AM$1, 0), FALSE), 1)</f>
        <v>1.7493816865092081E-4</v>
      </c>
      <c r="F20" s="12">
        <f>$B20 * IFERROR(VLOOKUP(Substitution!$M$10 &amp; $A20, US_national_yearly!$D:$AM, MATCH(F$1, US_national_yearly!$D$1:$AM$1, 0), FALSE) / VLOOKUP(Substitution!$M$10 &amp; $A20, US_national_yearly!$D:$AM, MATCH(Keys!$C$7, US_national_yearly!$D$1:$AM$1, 0), FALSE), 1)</f>
        <v>1.7927799191502303E-4</v>
      </c>
      <c r="G20" s="12">
        <f>$B20 * IFERROR(VLOOKUP(Substitution!$M$10 &amp; $A20, US_national_yearly!$D:$AM, MATCH(G$1, US_national_yearly!$D$1:$AM$1, 0), FALSE) / VLOOKUP(Substitution!$M$10 &amp; $A20, US_national_yearly!$D:$AM, MATCH(Keys!$C$7, US_national_yearly!$D$1:$AM$1, 0), FALSE), 1)</f>
        <v>1.829043741243275E-4</v>
      </c>
      <c r="H20" s="12">
        <f>$B20 * IFERROR(VLOOKUP(Substitution!$M$10 &amp; $A20, US_national_yearly!$D:$AM, MATCH(H$1, US_national_yearly!$D$1:$AM$1, 0), FALSE) / VLOOKUP(Substitution!$M$10 &amp; $A20, US_national_yearly!$D:$AM, MATCH(Keys!$C$7, US_national_yearly!$D$1:$AM$1, 0), FALSE), 1)</f>
        <v>1.86530756333632E-4</v>
      </c>
      <c r="I20" s="12">
        <f>$B20 * IFERROR(VLOOKUP(Substitution!$M$10 &amp; $A20, US_national_yearly!$D:$AM, MATCH(I$1, US_national_yearly!$D$1:$AM$1, 0), FALSE) / VLOOKUP(Substitution!$M$10 &amp; $A20, US_national_yearly!$D:$AM, MATCH(Keys!$C$7, US_national_yearly!$D$1:$AM$1, 0), FALSE), 1)</f>
        <v>1.888070345435288E-4</v>
      </c>
      <c r="J20" s="12">
        <f>$B20 * IFERROR(VLOOKUP(Substitution!$M$10 &amp; $A20, US_national_yearly!$D:$AM, MATCH(J$1, US_national_yearly!$D$1:$AM$1, 0), FALSE) / VLOOKUP(Substitution!$M$10 &amp; $A20, US_national_yearly!$D:$AM, MATCH(Keys!$C$7, US_national_yearly!$D$1:$AM$1, 0), FALSE), 1)</f>
        <v>1.9108331275342557E-4</v>
      </c>
      <c r="K20" s="12">
        <f>$B20 * IFERROR(VLOOKUP(Substitution!$M$10 &amp; $A20, US_national_yearly!$D:$AM, MATCH(K$1, US_national_yearly!$D$1:$AM$1, 0), FALSE) / VLOOKUP(Substitution!$M$10 &amp; $A20, US_national_yearly!$D:$AM, MATCH(Keys!$C$7, US_national_yearly!$D$1:$AM$1, 0), FALSE), 1)</f>
        <v>1.933595909633224E-4</v>
      </c>
      <c r="L20" s="12">
        <f>$B20 * IFERROR(VLOOKUP(Substitution!$M$10 &amp; $A20, US_national_yearly!$D:$AM, MATCH(L$1, US_national_yearly!$D$1:$AM$1, 0), FALSE) / VLOOKUP(Substitution!$M$10 &amp; $A20, US_national_yearly!$D:$AM, MATCH(Keys!$C$7, US_national_yearly!$D$1:$AM$1, 0), FALSE), 1)</f>
        <v>1.956358691732192E-4</v>
      </c>
      <c r="M20" s="12">
        <f>$B20 * IFERROR(VLOOKUP(Substitution!$M$10 &amp; $A20, US_national_yearly!$D:$AM, MATCH(M$1, US_national_yearly!$D$1:$AM$1, 0), FALSE) / VLOOKUP(Substitution!$M$10 &amp; $A20, US_national_yearly!$D:$AM, MATCH(Keys!$C$7, US_national_yearly!$D$1:$AM$1, 0), FALSE), 1)</f>
        <v>1.9791214738311603E-4</v>
      </c>
      <c r="N20" s="12">
        <f>$B20 * IFERROR(VLOOKUP(Substitution!$M$10 &amp; $A20, US_national_yearly!$D:$AM, MATCH(N$1, US_national_yearly!$D$1:$AM$1, 0), FALSE) / VLOOKUP(Substitution!$M$10 &amp; $A20, US_national_yearly!$D:$AM, MATCH(Keys!$C$7, US_national_yearly!$D$1:$AM$1, 0), FALSE), 1)</f>
        <v>1.9902838071704401E-4</v>
      </c>
      <c r="O20" s="12">
        <f>$B20 * IFERROR(VLOOKUP(Substitution!$M$10 &amp; $A20, US_national_yearly!$D:$AM, MATCH(O$1, US_national_yearly!$D$1:$AM$1, 0), FALSE) / VLOOKUP(Substitution!$M$10 &amp; $A20, US_national_yearly!$D:$AM, MATCH(Keys!$C$7, US_national_yearly!$D$1:$AM$1, 0), FALSE), 1)</f>
        <v>2.0014461405097199E-4</v>
      </c>
      <c r="P20" s="12">
        <f>$B20 * IFERROR(VLOOKUP(Substitution!$M$10 &amp; $A20, US_national_yearly!$D:$AM, MATCH(P$1, US_national_yearly!$D$1:$AM$1, 0), FALSE) / VLOOKUP(Substitution!$M$10 &amp; $A20, US_national_yearly!$D:$AM, MATCH(Keys!$C$7, US_national_yearly!$D$1:$AM$1, 0), FALSE), 1)</f>
        <v>2.012608473849E-4</v>
      </c>
      <c r="Q20" s="12">
        <f>$B20 * IFERROR(VLOOKUP(Substitution!$M$10 &amp; $A20, US_national_yearly!$D:$AM, MATCH(Q$1, US_national_yearly!$D$1:$AM$1, 0), FALSE) / VLOOKUP(Substitution!$M$10 &amp; $A20, US_national_yearly!$D:$AM, MATCH(Keys!$C$7, US_national_yearly!$D$1:$AM$1, 0), FALSE), 1)</f>
        <v>2.0237708071882803E-4</v>
      </c>
      <c r="R20" s="12">
        <f>$B20 * IFERROR(VLOOKUP(Substitution!$M$10 &amp; $A20, US_national_yearly!$D:$AM, MATCH(R$1, US_national_yearly!$D$1:$AM$1, 0), FALSE) / VLOOKUP(Substitution!$M$10 &amp; $A20, US_national_yearly!$D:$AM, MATCH(Keys!$C$7, US_national_yearly!$D$1:$AM$1, 0), FALSE), 1)</f>
        <v>2.0349331405275601E-4</v>
      </c>
      <c r="S20" s="12">
        <f>$B20 * IFERROR(VLOOKUP(Substitution!$M$10 &amp; $A20, US_national_yearly!$D:$AM, MATCH(S$1, US_national_yearly!$D$1:$AM$1, 0), FALSE) / VLOOKUP(Substitution!$M$10 &amp; $A20, US_national_yearly!$D:$AM, MATCH(Keys!$C$7, US_national_yearly!$D$1:$AM$1, 0), FALSE), 1)</f>
        <v>2.0410574561059499E-4</v>
      </c>
      <c r="T20" s="12">
        <f>$B20 * IFERROR(VLOOKUP(Substitution!$M$10 &amp; $A20, US_national_yearly!$D:$AM, MATCH(T$1, US_national_yearly!$D$1:$AM$1, 0), FALSE) / VLOOKUP(Substitution!$M$10 &amp; $A20, US_national_yearly!$D:$AM, MATCH(Keys!$C$7, US_national_yearly!$D$1:$AM$1, 0), FALSE), 1)</f>
        <v>2.04718177168434E-4</v>
      </c>
      <c r="U20" s="12">
        <f>$B20 * IFERROR(VLOOKUP(Substitution!$M$10 &amp; $A20, US_national_yearly!$D:$AM, MATCH(U$1, US_national_yearly!$D$1:$AM$1, 0), FALSE) / VLOOKUP(Substitution!$M$10 &amp; $A20, US_national_yearly!$D:$AM, MATCH(Keys!$C$7, US_national_yearly!$D$1:$AM$1, 0), FALSE), 1)</f>
        <v>2.0533060872627299E-4</v>
      </c>
      <c r="V20" s="12">
        <f>$B20 * IFERROR(VLOOKUP(Substitution!$M$10 &amp; $A20, US_national_yearly!$D:$AM, MATCH(V$1, US_national_yearly!$D$1:$AM$1, 0), FALSE) / VLOOKUP(Substitution!$M$10 &amp; $A20, US_national_yearly!$D:$AM, MATCH(Keys!$C$7, US_national_yearly!$D$1:$AM$1, 0), FALSE), 1)</f>
        <v>2.0594304028411197E-4</v>
      </c>
      <c r="W20" s="12">
        <f>$B20 * IFERROR(VLOOKUP(Substitution!$M$10 &amp; $A20, US_national_yearly!$D:$AM, MATCH(W$1, US_national_yearly!$D$1:$AM$1, 0), FALSE) / VLOOKUP(Substitution!$M$10 &amp; $A20, US_national_yearly!$D:$AM, MATCH(Keys!$C$7, US_national_yearly!$D$1:$AM$1, 0), FALSE), 1)</f>
        <v>2.0655547184195101E-4</v>
      </c>
      <c r="X20" s="12">
        <f>$B20 * IFERROR(VLOOKUP(Substitution!$M$10 &amp; $A20, US_national_yearly!$D:$AM, MATCH(X$1, US_national_yearly!$D$1:$AM$1, 0), FALSE) / VLOOKUP(Substitution!$M$10 &amp; $A20, US_national_yearly!$D:$AM, MATCH(Keys!$C$7, US_national_yearly!$D$1:$AM$1, 0), FALSE), 1)</f>
        <v>2.0758694797884858E-4</v>
      </c>
      <c r="Y20" s="12">
        <f>$B20 * IFERROR(VLOOKUP(Substitution!$M$10 &amp; $A20, US_national_yearly!$D:$AM, MATCH(Y$1, US_national_yearly!$D$1:$AM$1, 0), FALSE) / VLOOKUP(Substitution!$M$10 &amp; $A20, US_national_yearly!$D:$AM, MATCH(Keys!$C$7, US_national_yearly!$D$1:$AM$1, 0), FALSE), 1)</f>
        <v>2.086184241157462E-4</v>
      </c>
      <c r="Z20" s="12">
        <f>$B20 * IFERROR(VLOOKUP(Substitution!$M$10 &amp; $A20, US_national_yearly!$D:$AM, MATCH(Z$1, US_national_yearly!$D$1:$AM$1, 0), FALSE) / VLOOKUP(Substitution!$M$10 &amp; $A20, US_national_yearly!$D:$AM, MATCH(Keys!$C$7, US_national_yearly!$D$1:$AM$1, 0), FALSE), 1)</f>
        <v>2.0964990025264379E-4</v>
      </c>
      <c r="AA20" s="12">
        <f>$B20 * IFERROR(VLOOKUP(Substitution!$M$10 &amp; $A20, US_national_yearly!$D:$AM, MATCH(AA$1, US_national_yearly!$D$1:$AM$1, 0), FALSE) / VLOOKUP(Substitution!$M$10 &amp; $A20, US_national_yearly!$D:$AM, MATCH(Keys!$C$7, US_national_yearly!$D$1:$AM$1, 0), FALSE), 1)</f>
        <v>2.1068137638954139E-4</v>
      </c>
      <c r="AB20" s="12">
        <f>$B20 * IFERROR(VLOOKUP(Substitution!$M$10 &amp; $A20, US_national_yearly!$D:$AM, MATCH(AB$1, US_national_yearly!$D$1:$AM$1, 0), FALSE) / VLOOKUP(Substitution!$M$10 &amp; $A20, US_national_yearly!$D:$AM, MATCH(Keys!$C$7, US_national_yearly!$D$1:$AM$1, 0), FALSE), 1)</f>
        <v>2.1171285252643901E-4</v>
      </c>
    </row>
    <row r="21" spans="1:28" x14ac:dyDescent="0.25">
      <c r="A21" s="4" t="s">
        <v>329</v>
      </c>
      <c r="B21" s="12">
        <f>IFERROR(VLOOKUP(Substitution!$M$10 &amp; $A21, US_national_yearly!$D:$AM, MATCH(Keys!$C$7, US_national_yearly!$D$1:$AM$1, 0), FALSE), 0)</f>
        <v>3.810080812597604E-5</v>
      </c>
      <c r="C21" s="12">
        <f>$B21 * IFERROR(VLOOKUP(Substitution!$M$10 &amp; $A21, US_national_yearly!$D:$AM, MATCH(C$1, US_national_yearly!$D$1:$AM$1, 0), FALSE) / VLOOKUP(Substitution!$M$10 &amp; $A21, US_national_yearly!$D:$AM, MATCH(Keys!$C$7, US_national_yearly!$D$1:$AM$1, 0), FALSE), 1)</f>
        <v>3.8677014960517982E-5</v>
      </c>
      <c r="D21" s="12">
        <f>$B21 * IFERROR(VLOOKUP(Substitution!$M$10 &amp; $A21, US_national_yearly!$D:$AM, MATCH(D$1, US_national_yearly!$D$1:$AM$1, 0), FALSE) / VLOOKUP(Substitution!$M$10 &amp; $A21, US_national_yearly!$D:$AM, MATCH(Keys!$C$7, US_national_yearly!$D$1:$AM$1, 0), FALSE), 1)</f>
        <v>3.9253221795059917E-5</v>
      </c>
      <c r="E21" s="12">
        <f>$B21 * IFERROR(VLOOKUP(Substitution!$M$10 &amp; $A21, US_national_yearly!$D:$AM, MATCH(E$1, US_national_yearly!$D$1:$AM$1, 0), FALSE) / VLOOKUP(Substitution!$M$10 &amp; $A21, US_national_yearly!$D:$AM, MATCH(Keys!$C$7, US_national_yearly!$D$1:$AM$1, 0), FALSE), 1)</f>
        <v>3.9829428629601858E-5</v>
      </c>
      <c r="F21" s="12">
        <f>$B21 * IFERROR(VLOOKUP(Substitution!$M$10 &amp; $A21, US_national_yearly!$D:$AM, MATCH(F$1, US_national_yearly!$D$1:$AM$1, 0), FALSE) / VLOOKUP(Substitution!$M$10 &amp; $A21, US_national_yearly!$D:$AM, MATCH(Keys!$C$7, US_national_yearly!$D$1:$AM$1, 0), FALSE), 1)</f>
        <v>4.04056354641438E-5</v>
      </c>
      <c r="G21" s="12">
        <f>$B21 * IFERROR(VLOOKUP(Substitution!$M$10 &amp; $A21, US_national_yearly!$D:$AM, MATCH(G$1, US_national_yearly!$D$1:$AM$1, 0), FALSE) / VLOOKUP(Substitution!$M$10 &amp; $A21, US_national_yearly!$D:$AM, MATCH(Keys!$C$7, US_national_yearly!$D$1:$AM$1, 0), FALSE), 1)</f>
        <v>4.09517160664921E-5</v>
      </c>
      <c r="H21" s="12">
        <f>$B21 * IFERROR(VLOOKUP(Substitution!$M$10 &amp; $A21, US_national_yearly!$D:$AM, MATCH(H$1, US_national_yearly!$D$1:$AM$1, 0), FALSE) / VLOOKUP(Substitution!$M$10 &amp; $A21, US_national_yearly!$D:$AM, MATCH(Keys!$C$7, US_national_yearly!$D$1:$AM$1, 0), FALSE), 1)</f>
        <v>4.14977966688404E-5</v>
      </c>
      <c r="I21" s="12">
        <f>$B21 * IFERROR(VLOOKUP(Substitution!$M$10 &amp; $A21, US_national_yearly!$D:$AM, MATCH(I$1, US_national_yearly!$D$1:$AM$1, 0), FALSE) / VLOOKUP(Substitution!$M$10 &amp; $A21, US_national_yearly!$D:$AM, MATCH(Keys!$C$7, US_national_yearly!$D$1:$AM$1, 0), FALSE), 1)</f>
        <v>4.1931929269278378E-5</v>
      </c>
      <c r="J21" s="12">
        <f>$B21 * IFERROR(VLOOKUP(Substitution!$M$10 &amp; $A21, US_national_yearly!$D:$AM, MATCH(J$1, US_national_yearly!$D$1:$AM$1, 0), FALSE) / VLOOKUP(Substitution!$M$10 &amp; $A21, US_national_yearly!$D:$AM, MATCH(Keys!$C$7, US_national_yearly!$D$1:$AM$1, 0), FALSE), 1)</f>
        <v>4.2366061869716368E-5</v>
      </c>
      <c r="K21" s="12">
        <f>$B21 * IFERROR(VLOOKUP(Substitution!$M$10 &amp; $A21, US_national_yearly!$D:$AM, MATCH(K$1, US_national_yearly!$D$1:$AM$1, 0), FALSE) / VLOOKUP(Substitution!$M$10 &amp; $A21, US_national_yearly!$D:$AM, MATCH(Keys!$C$7, US_national_yearly!$D$1:$AM$1, 0), FALSE), 1)</f>
        <v>4.2800194470154339E-5</v>
      </c>
      <c r="L21" s="12">
        <f>$B21 * IFERROR(VLOOKUP(Substitution!$M$10 &amp; $A21, US_national_yearly!$D:$AM, MATCH(L$1, US_national_yearly!$D$1:$AM$1, 0), FALSE) / VLOOKUP(Substitution!$M$10 &amp; $A21, US_national_yearly!$D:$AM, MATCH(Keys!$C$7, US_national_yearly!$D$1:$AM$1, 0), FALSE), 1)</f>
        <v>4.3234327070592323E-5</v>
      </c>
      <c r="M21" s="12">
        <f>$B21 * IFERROR(VLOOKUP(Substitution!$M$10 &amp; $A21, US_national_yearly!$D:$AM, MATCH(M$1, US_national_yearly!$D$1:$AM$1, 0), FALSE) / VLOOKUP(Substitution!$M$10 &amp; $A21, US_national_yearly!$D:$AM, MATCH(Keys!$C$7, US_national_yearly!$D$1:$AM$1, 0), FALSE), 1)</f>
        <v>4.36684596710303E-5</v>
      </c>
      <c r="N21" s="12">
        <f>$B21 * IFERROR(VLOOKUP(Substitution!$M$10 &amp; $A21, US_national_yearly!$D:$AM, MATCH(N$1, US_national_yearly!$D$1:$AM$1, 0), FALSE) / VLOOKUP(Substitution!$M$10 &amp; $A21, US_national_yearly!$D:$AM, MATCH(Keys!$C$7, US_national_yearly!$D$1:$AM$1, 0), FALSE), 1)</f>
        <v>4.3973065864271577E-5</v>
      </c>
      <c r="O21" s="12">
        <f>$B21 * IFERROR(VLOOKUP(Substitution!$M$10 &amp; $A21, US_national_yearly!$D:$AM, MATCH(O$1, US_national_yearly!$D$1:$AM$1, 0), FALSE) / VLOOKUP(Substitution!$M$10 &amp; $A21, US_national_yearly!$D:$AM, MATCH(Keys!$C$7, US_national_yearly!$D$1:$AM$1, 0), FALSE), 1)</f>
        <v>4.4277672057512861E-5</v>
      </c>
      <c r="P21" s="12">
        <f>$B21 * IFERROR(VLOOKUP(Substitution!$M$10 &amp; $A21, US_national_yearly!$D:$AM, MATCH(P$1, US_national_yearly!$D$1:$AM$1, 0), FALSE) / VLOOKUP(Substitution!$M$10 &amp; $A21, US_national_yearly!$D:$AM, MATCH(Keys!$C$7, US_national_yearly!$D$1:$AM$1, 0), FALSE), 1)</f>
        <v>4.4582278250754131E-5</v>
      </c>
      <c r="Q21" s="12">
        <f>$B21 * IFERROR(VLOOKUP(Substitution!$M$10 &amp; $A21, US_national_yearly!$D:$AM, MATCH(Q$1, US_national_yearly!$D$1:$AM$1, 0), FALSE) / VLOOKUP(Substitution!$M$10 &amp; $A21, US_national_yearly!$D:$AM, MATCH(Keys!$C$7, US_national_yearly!$D$1:$AM$1, 0), FALSE), 1)</f>
        <v>4.4886884443995421E-5</v>
      </c>
      <c r="R21" s="12">
        <f>$B21 * IFERROR(VLOOKUP(Substitution!$M$10 &amp; $A21, US_national_yearly!$D:$AM, MATCH(R$1, US_national_yearly!$D$1:$AM$1, 0), FALSE) / VLOOKUP(Substitution!$M$10 &amp; $A21, US_national_yearly!$D:$AM, MATCH(Keys!$C$7, US_national_yearly!$D$1:$AM$1, 0), FALSE), 1)</f>
        <v>4.5191490637236698E-5</v>
      </c>
      <c r="S21" s="12">
        <f>$B21 * IFERROR(VLOOKUP(Substitution!$M$10 &amp; $A21, US_national_yearly!$D:$AM, MATCH(S$1, US_national_yearly!$D$1:$AM$1, 0), FALSE) / VLOOKUP(Substitution!$M$10 &amp; $A21, US_national_yearly!$D:$AM, MATCH(Keys!$C$7, US_national_yearly!$D$1:$AM$1, 0), FALSE), 1)</f>
        <v>4.5434500177895303E-5</v>
      </c>
      <c r="T21" s="12">
        <f>$B21 * IFERROR(VLOOKUP(Substitution!$M$10 &amp; $A21, US_national_yearly!$D:$AM, MATCH(T$1, US_national_yearly!$D$1:$AM$1, 0), FALSE) / VLOOKUP(Substitution!$M$10 &amp; $A21, US_national_yearly!$D:$AM, MATCH(Keys!$C$7, US_national_yearly!$D$1:$AM$1, 0), FALSE), 1)</f>
        <v>4.5677509718553908E-5</v>
      </c>
      <c r="U21" s="12">
        <f>$B21 * IFERROR(VLOOKUP(Substitution!$M$10 &amp; $A21, US_national_yearly!$D:$AM, MATCH(U$1, US_national_yearly!$D$1:$AM$1, 0), FALSE) / VLOOKUP(Substitution!$M$10 &amp; $A21, US_national_yearly!$D:$AM, MATCH(Keys!$C$7, US_national_yearly!$D$1:$AM$1, 0), FALSE), 1)</f>
        <v>4.5920519259212499E-5</v>
      </c>
      <c r="V21" s="12">
        <f>$B21 * IFERROR(VLOOKUP(Substitution!$M$10 &amp; $A21, US_national_yearly!$D:$AM, MATCH(V$1, US_national_yearly!$D$1:$AM$1, 0), FALSE) / VLOOKUP(Substitution!$M$10 &amp; $A21, US_national_yearly!$D:$AM, MATCH(Keys!$C$7, US_national_yearly!$D$1:$AM$1, 0), FALSE), 1)</f>
        <v>4.6163528799871097E-5</v>
      </c>
      <c r="W21" s="12">
        <f>$B21 * IFERROR(VLOOKUP(Substitution!$M$10 &amp; $A21, US_national_yearly!$D:$AM, MATCH(W$1, US_national_yearly!$D$1:$AM$1, 0), FALSE) / VLOOKUP(Substitution!$M$10 &amp; $A21, US_national_yearly!$D:$AM, MATCH(Keys!$C$7, US_national_yearly!$D$1:$AM$1, 0), FALSE), 1)</f>
        <v>4.6406538340529702E-5</v>
      </c>
      <c r="X21" s="12">
        <f>$B21 * IFERROR(VLOOKUP(Substitution!$M$10 &amp; $A21, US_national_yearly!$D:$AM, MATCH(X$1, US_national_yearly!$D$1:$AM$1, 0), FALSE) / VLOOKUP(Substitution!$M$10 &amp; $A21, US_national_yearly!$D:$AM, MATCH(Keys!$C$7, US_national_yearly!$D$1:$AM$1, 0), FALSE), 1)</f>
        <v>4.6672093037031878E-5</v>
      </c>
      <c r="Y21" s="12">
        <f>$B21 * IFERROR(VLOOKUP(Substitution!$M$10 &amp; $A21, US_national_yearly!$D:$AM, MATCH(Y$1, US_national_yearly!$D$1:$AM$1, 0), FALSE) / VLOOKUP(Substitution!$M$10 &amp; $A21, US_national_yearly!$D:$AM, MATCH(Keys!$C$7, US_national_yearly!$D$1:$AM$1, 0), FALSE), 1)</f>
        <v>4.6937647733534054E-5</v>
      </c>
      <c r="Z21" s="12">
        <f>$B21 * IFERROR(VLOOKUP(Substitution!$M$10 &amp; $A21, US_national_yearly!$D:$AM, MATCH(Z$1, US_national_yearly!$D$1:$AM$1, 0), FALSE) / VLOOKUP(Substitution!$M$10 &amp; $A21, US_national_yearly!$D:$AM, MATCH(Keys!$C$7, US_national_yearly!$D$1:$AM$1, 0), FALSE), 1)</f>
        <v>4.7203202430036243E-5</v>
      </c>
      <c r="AA21" s="12">
        <f>$B21 * IFERROR(VLOOKUP(Substitution!$M$10 &amp; $A21, US_national_yearly!$D:$AM, MATCH(AA$1, US_national_yearly!$D$1:$AM$1, 0), FALSE) / VLOOKUP(Substitution!$M$10 &amp; $A21, US_national_yearly!$D:$AM, MATCH(Keys!$C$7, US_national_yearly!$D$1:$AM$1, 0), FALSE), 1)</f>
        <v>4.7468757126538419E-5</v>
      </c>
      <c r="AB21" s="12">
        <f>$B21 * IFERROR(VLOOKUP(Substitution!$M$10 &amp; $A21, US_national_yearly!$D:$AM, MATCH(AB$1, US_national_yearly!$D$1:$AM$1, 0), FALSE) / VLOOKUP(Substitution!$M$10 &amp; $A21, US_national_yearly!$D:$AM, MATCH(Keys!$C$7, US_national_yearly!$D$1:$AM$1, 0), FALSE), 1)</f>
        <v>4.7734311823040595E-5</v>
      </c>
    </row>
    <row r="22" spans="1:28" x14ac:dyDescent="0.25">
      <c r="A22" s="4" t="s">
        <v>331</v>
      </c>
      <c r="B22" s="12">
        <f>IFERROR(VLOOKUP(Substitution!$M$10 &amp; $A22, US_national_yearly!$D:$AM, MATCH(Keys!$C$7, US_national_yearly!$D$1:$AM$1, 0), FALSE), 0)</f>
        <v>8.2047671788751115E-4</v>
      </c>
      <c r="C22" s="12">
        <f>$B22 * IFERROR(VLOOKUP(Substitution!$M$10 &amp; $A22, US_national_yearly!$D:$AM, MATCH(C$1, US_national_yearly!$D$1:$AM$1, 0), FALSE) / VLOOKUP(Substitution!$M$10 &amp; $A22, US_national_yearly!$D:$AM, MATCH(Keys!$C$7, US_national_yearly!$D$1:$AM$1, 0), FALSE), 1)</f>
        <v>8.3572595798837434E-4</v>
      </c>
      <c r="D22" s="12">
        <f>$B22 * IFERROR(VLOOKUP(Substitution!$M$10 &amp; $A22, US_national_yearly!$D:$AM, MATCH(D$1, US_national_yearly!$D$1:$AM$1, 0), FALSE) / VLOOKUP(Substitution!$M$10 &amp; $A22, US_national_yearly!$D:$AM, MATCH(Keys!$C$7, US_national_yearly!$D$1:$AM$1, 0), FALSE), 1)</f>
        <v>8.5097519808923752E-4</v>
      </c>
      <c r="E22" s="12">
        <f>$B22 * IFERROR(VLOOKUP(Substitution!$M$10 &amp; $A22, US_national_yearly!$D:$AM, MATCH(E$1, US_national_yearly!$D$1:$AM$1, 0), FALSE) / VLOOKUP(Substitution!$M$10 &amp; $A22, US_national_yearly!$D:$AM, MATCH(Keys!$C$7, US_national_yearly!$D$1:$AM$1, 0), FALSE), 1)</f>
        <v>8.6622443819010081E-4</v>
      </c>
      <c r="F22" s="12">
        <f>$B22 * IFERROR(VLOOKUP(Substitution!$M$10 &amp; $A22, US_national_yearly!$D:$AM, MATCH(F$1, US_national_yearly!$D$1:$AM$1, 0), FALSE) / VLOOKUP(Substitution!$M$10 &amp; $A22, US_national_yearly!$D:$AM, MATCH(Keys!$C$7, US_national_yearly!$D$1:$AM$1, 0), FALSE), 1)</f>
        <v>8.81473678290964E-4</v>
      </c>
      <c r="G22" s="12">
        <f>$B22 * IFERROR(VLOOKUP(Substitution!$M$10 &amp; $A22, US_national_yearly!$D:$AM, MATCH(G$1, US_national_yearly!$D$1:$AM$1, 0), FALSE) / VLOOKUP(Substitution!$M$10 &amp; $A22, US_national_yearly!$D:$AM, MATCH(Keys!$C$7, US_national_yearly!$D$1:$AM$1, 0), FALSE), 1)</f>
        <v>8.9646597890808831E-4</v>
      </c>
      <c r="H22" s="12">
        <f>$B22 * IFERROR(VLOOKUP(Substitution!$M$10 &amp; $A22, US_national_yearly!$D:$AM, MATCH(H$1, US_national_yearly!$D$1:$AM$1, 0), FALSE) / VLOOKUP(Substitution!$M$10 &amp; $A22, US_national_yearly!$D:$AM, MATCH(Keys!$C$7, US_national_yearly!$D$1:$AM$1, 0), FALSE), 1)</f>
        <v>9.1145827952521285E-4</v>
      </c>
      <c r="I22" s="12">
        <f>$B22 * IFERROR(VLOOKUP(Substitution!$M$10 &amp; $A22, US_national_yearly!$D:$AM, MATCH(I$1, US_national_yearly!$D$1:$AM$1, 0), FALSE) / VLOOKUP(Substitution!$M$10 &amp; $A22, US_national_yearly!$D:$AM, MATCH(Keys!$C$7, US_national_yearly!$D$1:$AM$1, 0), FALSE), 1)</f>
        <v>9.2612908458435366E-4</v>
      </c>
      <c r="J22" s="12">
        <f>$B22 * IFERROR(VLOOKUP(Substitution!$M$10 &amp; $A22, US_national_yearly!$D:$AM, MATCH(J$1, US_national_yearly!$D$1:$AM$1, 0), FALSE) / VLOOKUP(Substitution!$M$10 &amp; $A22, US_national_yearly!$D:$AM, MATCH(Keys!$C$7, US_national_yearly!$D$1:$AM$1, 0), FALSE), 1)</f>
        <v>9.4079988964349448E-4</v>
      </c>
      <c r="K22" s="12">
        <f>$B22 * IFERROR(VLOOKUP(Substitution!$M$10 &amp; $A22, US_national_yearly!$D:$AM, MATCH(K$1, US_national_yearly!$D$1:$AM$1, 0), FALSE) / VLOOKUP(Substitution!$M$10 &amp; $A22, US_national_yearly!$D:$AM, MATCH(Keys!$C$7, US_national_yearly!$D$1:$AM$1, 0), FALSE), 1)</f>
        <v>9.5547069470263541E-4</v>
      </c>
      <c r="L22" s="12">
        <f>$B22 * IFERROR(VLOOKUP(Substitution!$M$10 &amp; $A22, US_national_yearly!$D:$AM, MATCH(L$1, US_national_yearly!$D$1:$AM$1, 0), FALSE) / VLOOKUP(Substitution!$M$10 &amp; $A22, US_national_yearly!$D:$AM, MATCH(Keys!$C$7, US_national_yearly!$D$1:$AM$1, 0), FALSE), 1)</f>
        <v>9.7014149976177623E-4</v>
      </c>
      <c r="M22" s="12">
        <f>$B22 * IFERROR(VLOOKUP(Substitution!$M$10 &amp; $A22, US_national_yearly!$D:$AM, MATCH(M$1, US_national_yearly!$D$1:$AM$1, 0), FALSE) / VLOOKUP(Substitution!$M$10 &amp; $A22, US_national_yearly!$D:$AM, MATCH(Keys!$C$7, US_national_yearly!$D$1:$AM$1, 0), FALSE), 1)</f>
        <v>9.8481230482091705E-4</v>
      </c>
      <c r="N22" s="12">
        <f>$B22 * IFERROR(VLOOKUP(Substitution!$M$10 &amp; $A22, US_national_yearly!$D:$AM, MATCH(N$1, US_national_yearly!$D$1:$AM$1, 0), FALSE) / VLOOKUP(Substitution!$M$10 &amp; $A22, US_national_yearly!$D:$AM, MATCH(Keys!$C$7, US_national_yearly!$D$1:$AM$1, 0), FALSE), 1)</f>
        <v>9.9679135504703964E-4</v>
      </c>
      <c r="O22" s="12">
        <f>$B22 * IFERROR(VLOOKUP(Substitution!$M$10 &amp; $A22, US_national_yearly!$D:$AM, MATCH(O$1, US_national_yearly!$D$1:$AM$1, 0), FALSE) / VLOOKUP(Substitution!$M$10 &amp; $A22, US_national_yearly!$D:$AM, MATCH(Keys!$C$7, US_national_yearly!$D$1:$AM$1, 0), FALSE), 1)</f>
        <v>1.008770405273162E-3</v>
      </c>
      <c r="P22" s="12">
        <f>$B22 * IFERROR(VLOOKUP(Substitution!$M$10 &amp; $A22, US_national_yearly!$D:$AM, MATCH(P$1, US_national_yearly!$D$1:$AM$1, 0), FALSE) / VLOOKUP(Substitution!$M$10 &amp; $A22, US_national_yearly!$D:$AM, MATCH(Keys!$C$7, US_national_yearly!$D$1:$AM$1, 0), FALSE), 1)</f>
        <v>1.020749455499285E-3</v>
      </c>
      <c r="Q22" s="12">
        <f>$B22 * IFERROR(VLOOKUP(Substitution!$M$10 &amp; $A22, US_national_yearly!$D:$AM, MATCH(Q$1, US_national_yearly!$D$1:$AM$1, 0), FALSE) / VLOOKUP(Substitution!$M$10 &amp; $A22, US_national_yearly!$D:$AM, MATCH(Keys!$C$7, US_national_yearly!$D$1:$AM$1, 0), FALSE), 1)</f>
        <v>1.032728505725407E-3</v>
      </c>
      <c r="R22" s="12">
        <f>$B22 * IFERROR(VLOOKUP(Substitution!$M$10 &amp; $A22, US_national_yearly!$D:$AM, MATCH(R$1, US_national_yearly!$D$1:$AM$1, 0), FALSE) / VLOOKUP(Substitution!$M$10 &amp; $A22, US_national_yearly!$D:$AM, MATCH(Keys!$C$7, US_national_yearly!$D$1:$AM$1, 0), FALSE), 1)</f>
        <v>1.04470755595153E-3</v>
      </c>
      <c r="S22" s="12">
        <f>$B22 * IFERROR(VLOOKUP(Substitution!$M$10 &amp; $A22, US_national_yearly!$D:$AM, MATCH(S$1, US_national_yearly!$D$1:$AM$1, 0), FALSE) / VLOOKUP(Substitution!$M$10 &amp; $A22, US_national_yearly!$D:$AM, MATCH(Keys!$C$7, US_national_yearly!$D$1:$AM$1, 0), FALSE), 1)</f>
        <v>1.0532409450338979E-3</v>
      </c>
      <c r="T22" s="12">
        <f>$B22 * IFERROR(VLOOKUP(Substitution!$M$10 &amp; $A22, US_national_yearly!$D:$AM, MATCH(T$1, US_national_yearly!$D$1:$AM$1, 0), FALSE) / VLOOKUP(Substitution!$M$10 &amp; $A22, US_national_yearly!$D:$AM, MATCH(Keys!$C$7, US_national_yearly!$D$1:$AM$1, 0), FALSE), 1)</f>
        <v>1.061774334116266E-3</v>
      </c>
      <c r="U22" s="12">
        <f>$B22 * IFERROR(VLOOKUP(Substitution!$M$10 &amp; $A22, US_national_yearly!$D:$AM, MATCH(U$1, US_national_yearly!$D$1:$AM$1, 0), FALSE) / VLOOKUP(Substitution!$M$10 &amp; $A22, US_national_yearly!$D:$AM, MATCH(Keys!$C$7, US_national_yearly!$D$1:$AM$1, 0), FALSE), 1)</f>
        <v>1.070307723198634E-3</v>
      </c>
      <c r="V22" s="12">
        <f>$B22 * IFERROR(VLOOKUP(Substitution!$M$10 &amp; $A22, US_national_yearly!$D:$AM, MATCH(V$1, US_national_yearly!$D$1:$AM$1, 0), FALSE) / VLOOKUP(Substitution!$M$10 &amp; $A22, US_national_yearly!$D:$AM, MATCH(Keys!$C$7, US_national_yearly!$D$1:$AM$1, 0), FALSE), 1)</f>
        <v>1.0788411122810021E-3</v>
      </c>
      <c r="W22" s="12">
        <f>$B22 * IFERROR(VLOOKUP(Substitution!$M$10 &amp; $A22, US_national_yearly!$D:$AM, MATCH(W$1, US_national_yearly!$D$1:$AM$1, 0), FALSE) / VLOOKUP(Substitution!$M$10 &amp; $A22, US_national_yearly!$D:$AM, MATCH(Keys!$C$7, US_national_yearly!$D$1:$AM$1, 0), FALSE), 1)</f>
        <v>1.08737450136337E-3</v>
      </c>
      <c r="X22" s="12">
        <f>$B22 * IFERROR(VLOOKUP(Substitution!$M$10 &amp; $A22, US_national_yearly!$D:$AM, MATCH(X$1, US_national_yearly!$D$1:$AM$1, 0), FALSE) / VLOOKUP(Substitution!$M$10 &amp; $A22, US_national_yearly!$D:$AM, MATCH(Keys!$C$7, US_national_yearly!$D$1:$AM$1, 0), FALSE), 1)</f>
        <v>1.093873787131364E-3</v>
      </c>
      <c r="Y22" s="12">
        <f>$B22 * IFERROR(VLOOKUP(Substitution!$M$10 &amp; $A22, US_national_yearly!$D:$AM, MATCH(Y$1, US_national_yearly!$D$1:$AM$1, 0), FALSE) / VLOOKUP(Substitution!$M$10 &amp; $A22, US_national_yearly!$D:$AM, MATCH(Keys!$C$7, US_national_yearly!$D$1:$AM$1, 0), FALSE), 1)</f>
        <v>1.100373072899358E-3</v>
      </c>
      <c r="Z22" s="12">
        <f>$B22 * IFERROR(VLOOKUP(Substitution!$M$10 &amp; $A22, US_national_yearly!$D:$AM, MATCH(Z$1, US_national_yearly!$D$1:$AM$1, 0), FALSE) / VLOOKUP(Substitution!$M$10 &amp; $A22, US_national_yearly!$D:$AM, MATCH(Keys!$C$7, US_national_yearly!$D$1:$AM$1, 0), FALSE), 1)</f>
        <v>1.106872358667352E-3</v>
      </c>
      <c r="AA22" s="12">
        <f>$B22 * IFERROR(VLOOKUP(Substitution!$M$10 &amp; $A22, US_national_yearly!$D:$AM, MATCH(AA$1, US_national_yearly!$D$1:$AM$1, 0), FALSE) / VLOOKUP(Substitution!$M$10 &amp; $A22, US_national_yearly!$D:$AM, MATCH(Keys!$C$7, US_national_yearly!$D$1:$AM$1, 0), FALSE), 1)</f>
        <v>1.113371644435346E-3</v>
      </c>
      <c r="AB22" s="12">
        <f>$B22 * IFERROR(VLOOKUP(Substitution!$M$10 &amp; $A22, US_national_yearly!$D:$AM, MATCH(AB$1, US_national_yearly!$D$1:$AM$1, 0), FALSE) / VLOOKUP(Substitution!$M$10 &amp; $A22, US_national_yearly!$D:$AM, MATCH(Keys!$C$7, US_national_yearly!$D$1:$AM$1, 0), FALSE), 1)</f>
        <v>1.1198709302033399E-3</v>
      </c>
    </row>
    <row r="23" spans="1:28" x14ac:dyDescent="0.25">
      <c r="A23" s="4" t="s">
        <v>333</v>
      </c>
      <c r="B23" s="12">
        <f>IFERROR(VLOOKUP(Substitution!$M$10 &amp; $A23, US_national_yearly!$D:$AM, MATCH(Keys!$C$7, US_national_yearly!$D$1:$AM$1, 0), FALSE), 0)</f>
        <v>0</v>
      </c>
      <c r="C23" s="12">
        <f>$B23 * IFERROR(VLOOKUP(Substitution!$M$10 &amp; $A23, US_national_yearly!$D:$AM, MATCH(C$1, US_national_yearly!$D$1:$AM$1, 0), FALSE) / VLOOKUP(Substitution!$M$10 &amp; $A23, US_national_yearly!$D:$AM, MATCH(Keys!$C$7, US_national_yearly!$D$1:$AM$1, 0), FALSE), 1)</f>
        <v>0</v>
      </c>
      <c r="D23" s="12">
        <f>$B23 * IFERROR(VLOOKUP(Substitution!$M$10 &amp; $A23, US_national_yearly!$D:$AM, MATCH(D$1, US_national_yearly!$D$1:$AM$1, 0), FALSE) / VLOOKUP(Substitution!$M$10 &amp; $A23, US_national_yearly!$D:$AM, MATCH(Keys!$C$7, US_national_yearly!$D$1:$AM$1, 0), FALSE), 1)</f>
        <v>0</v>
      </c>
      <c r="E23" s="12">
        <f>$B23 * IFERROR(VLOOKUP(Substitution!$M$10 &amp; $A23, US_national_yearly!$D:$AM, MATCH(E$1, US_national_yearly!$D$1:$AM$1, 0), FALSE) / VLOOKUP(Substitution!$M$10 &amp; $A23, US_national_yearly!$D:$AM, MATCH(Keys!$C$7, US_national_yearly!$D$1:$AM$1, 0), FALSE), 1)</f>
        <v>0</v>
      </c>
      <c r="F23" s="12">
        <f>$B23 * IFERROR(VLOOKUP(Substitution!$M$10 &amp; $A23, US_national_yearly!$D:$AM, MATCH(F$1, US_national_yearly!$D$1:$AM$1, 0), FALSE) / VLOOKUP(Substitution!$M$10 &amp; $A23, US_national_yearly!$D:$AM, MATCH(Keys!$C$7, US_national_yearly!$D$1:$AM$1, 0), FALSE), 1)</f>
        <v>0</v>
      </c>
      <c r="G23" s="12">
        <f>$B23 * IFERROR(VLOOKUP(Substitution!$M$10 &amp; $A23, US_national_yearly!$D:$AM, MATCH(G$1, US_national_yearly!$D$1:$AM$1, 0), FALSE) / VLOOKUP(Substitution!$M$10 &amp; $A23, US_national_yearly!$D:$AM, MATCH(Keys!$C$7, US_national_yearly!$D$1:$AM$1, 0), FALSE), 1)</f>
        <v>0</v>
      </c>
      <c r="H23" s="12">
        <f>$B23 * IFERROR(VLOOKUP(Substitution!$M$10 &amp; $A23, US_national_yearly!$D:$AM, MATCH(H$1, US_national_yearly!$D$1:$AM$1, 0), FALSE) / VLOOKUP(Substitution!$M$10 &amp; $A23, US_national_yearly!$D:$AM, MATCH(Keys!$C$7, US_national_yearly!$D$1:$AM$1, 0), FALSE), 1)</f>
        <v>0</v>
      </c>
      <c r="I23" s="12">
        <f>$B23 * IFERROR(VLOOKUP(Substitution!$M$10 &amp; $A23, US_national_yearly!$D:$AM, MATCH(I$1, US_national_yearly!$D$1:$AM$1, 0), FALSE) / VLOOKUP(Substitution!$M$10 &amp; $A23, US_national_yearly!$D:$AM, MATCH(Keys!$C$7, US_national_yearly!$D$1:$AM$1, 0), FALSE), 1)</f>
        <v>0</v>
      </c>
      <c r="J23" s="12">
        <f>$B23 * IFERROR(VLOOKUP(Substitution!$M$10 &amp; $A23, US_national_yearly!$D:$AM, MATCH(J$1, US_national_yearly!$D$1:$AM$1, 0), FALSE) / VLOOKUP(Substitution!$M$10 &amp; $A23, US_national_yearly!$D:$AM, MATCH(Keys!$C$7, US_national_yearly!$D$1:$AM$1, 0), FALSE), 1)</f>
        <v>0</v>
      </c>
      <c r="K23" s="12">
        <f>$B23 * IFERROR(VLOOKUP(Substitution!$M$10 &amp; $A23, US_national_yearly!$D:$AM, MATCH(K$1, US_national_yearly!$D$1:$AM$1, 0), FALSE) / VLOOKUP(Substitution!$M$10 &amp; $A23, US_national_yearly!$D:$AM, MATCH(Keys!$C$7, US_national_yearly!$D$1:$AM$1, 0), FALSE), 1)</f>
        <v>0</v>
      </c>
      <c r="L23" s="12">
        <f>$B23 * IFERROR(VLOOKUP(Substitution!$M$10 &amp; $A23, US_national_yearly!$D:$AM, MATCH(L$1, US_national_yearly!$D$1:$AM$1, 0), FALSE) / VLOOKUP(Substitution!$M$10 &amp; $A23, US_national_yearly!$D:$AM, MATCH(Keys!$C$7, US_national_yearly!$D$1:$AM$1, 0), FALSE), 1)</f>
        <v>0</v>
      </c>
      <c r="M23" s="12">
        <f>$B23 * IFERROR(VLOOKUP(Substitution!$M$10 &amp; $A23, US_national_yearly!$D:$AM, MATCH(M$1, US_national_yearly!$D$1:$AM$1, 0), FALSE) / VLOOKUP(Substitution!$M$10 &amp; $A23, US_national_yearly!$D:$AM, MATCH(Keys!$C$7, US_national_yearly!$D$1:$AM$1, 0), FALSE), 1)</f>
        <v>0</v>
      </c>
      <c r="N23" s="12">
        <f>$B23 * IFERROR(VLOOKUP(Substitution!$M$10 &amp; $A23, US_national_yearly!$D:$AM, MATCH(N$1, US_national_yearly!$D$1:$AM$1, 0), FALSE) / VLOOKUP(Substitution!$M$10 &amp; $A23, US_national_yearly!$D:$AM, MATCH(Keys!$C$7, US_national_yearly!$D$1:$AM$1, 0), FALSE), 1)</f>
        <v>0</v>
      </c>
      <c r="O23" s="12">
        <f>$B23 * IFERROR(VLOOKUP(Substitution!$M$10 &amp; $A23, US_national_yearly!$D:$AM, MATCH(O$1, US_national_yearly!$D$1:$AM$1, 0), FALSE) / VLOOKUP(Substitution!$M$10 &amp; $A23, US_national_yearly!$D:$AM, MATCH(Keys!$C$7, US_national_yearly!$D$1:$AM$1, 0), FALSE), 1)</f>
        <v>0</v>
      </c>
      <c r="P23" s="12">
        <f>$B23 * IFERROR(VLOOKUP(Substitution!$M$10 &amp; $A23, US_national_yearly!$D:$AM, MATCH(P$1, US_national_yearly!$D$1:$AM$1, 0), FALSE) / VLOOKUP(Substitution!$M$10 &amp; $A23, US_national_yearly!$D:$AM, MATCH(Keys!$C$7, US_national_yearly!$D$1:$AM$1, 0), FALSE), 1)</f>
        <v>0</v>
      </c>
      <c r="Q23" s="12">
        <f>$B23 * IFERROR(VLOOKUP(Substitution!$M$10 &amp; $A23, US_national_yearly!$D:$AM, MATCH(Q$1, US_national_yearly!$D$1:$AM$1, 0), FALSE) / VLOOKUP(Substitution!$M$10 &amp; $A23, US_national_yearly!$D:$AM, MATCH(Keys!$C$7, US_national_yearly!$D$1:$AM$1, 0), FALSE), 1)</f>
        <v>0</v>
      </c>
      <c r="R23" s="12">
        <f>$B23 * IFERROR(VLOOKUP(Substitution!$M$10 &amp; $A23, US_national_yearly!$D:$AM, MATCH(R$1, US_national_yearly!$D$1:$AM$1, 0), FALSE) / VLOOKUP(Substitution!$M$10 &amp; $A23, US_national_yearly!$D:$AM, MATCH(Keys!$C$7, US_national_yearly!$D$1:$AM$1, 0), FALSE), 1)</f>
        <v>0</v>
      </c>
      <c r="S23" s="12">
        <f>$B23 * IFERROR(VLOOKUP(Substitution!$M$10 &amp; $A23, US_national_yearly!$D:$AM, MATCH(S$1, US_national_yearly!$D$1:$AM$1, 0), FALSE) / VLOOKUP(Substitution!$M$10 &amp; $A23, US_national_yearly!$D:$AM, MATCH(Keys!$C$7, US_national_yearly!$D$1:$AM$1, 0), FALSE), 1)</f>
        <v>0</v>
      </c>
      <c r="T23" s="12">
        <f>$B23 * IFERROR(VLOOKUP(Substitution!$M$10 &amp; $A23, US_national_yearly!$D:$AM, MATCH(T$1, US_national_yearly!$D$1:$AM$1, 0), FALSE) / VLOOKUP(Substitution!$M$10 &amp; $A23, US_national_yearly!$D:$AM, MATCH(Keys!$C$7, US_national_yearly!$D$1:$AM$1, 0), FALSE), 1)</f>
        <v>0</v>
      </c>
      <c r="U23" s="12">
        <f>$B23 * IFERROR(VLOOKUP(Substitution!$M$10 &amp; $A23, US_national_yearly!$D:$AM, MATCH(U$1, US_national_yearly!$D$1:$AM$1, 0), FALSE) / VLOOKUP(Substitution!$M$10 &amp; $A23, US_national_yearly!$D:$AM, MATCH(Keys!$C$7, US_national_yearly!$D$1:$AM$1, 0), FALSE), 1)</f>
        <v>0</v>
      </c>
      <c r="V23" s="12">
        <f>$B23 * IFERROR(VLOOKUP(Substitution!$M$10 &amp; $A23, US_national_yearly!$D:$AM, MATCH(V$1, US_national_yearly!$D$1:$AM$1, 0), FALSE) / VLOOKUP(Substitution!$M$10 &amp; $A23, US_national_yearly!$D:$AM, MATCH(Keys!$C$7, US_national_yearly!$D$1:$AM$1, 0), FALSE), 1)</f>
        <v>0</v>
      </c>
      <c r="W23" s="12">
        <f>$B23 * IFERROR(VLOOKUP(Substitution!$M$10 &amp; $A23, US_national_yearly!$D:$AM, MATCH(W$1, US_national_yearly!$D$1:$AM$1, 0), FALSE) / VLOOKUP(Substitution!$M$10 &amp; $A23, US_national_yearly!$D:$AM, MATCH(Keys!$C$7, US_national_yearly!$D$1:$AM$1, 0), FALSE), 1)</f>
        <v>0</v>
      </c>
      <c r="X23" s="12">
        <f>$B23 * IFERROR(VLOOKUP(Substitution!$M$10 &amp; $A23, US_national_yearly!$D:$AM, MATCH(X$1, US_national_yearly!$D$1:$AM$1, 0), FALSE) / VLOOKUP(Substitution!$M$10 &amp; $A23, US_national_yearly!$D:$AM, MATCH(Keys!$C$7, US_national_yearly!$D$1:$AM$1, 0), FALSE), 1)</f>
        <v>0</v>
      </c>
      <c r="Y23" s="12">
        <f>$B23 * IFERROR(VLOOKUP(Substitution!$M$10 &amp; $A23, US_national_yearly!$D:$AM, MATCH(Y$1, US_national_yearly!$D$1:$AM$1, 0), FALSE) / VLOOKUP(Substitution!$M$10 &amp; $A23, US_national_yearly!$D:$AM, MATCH(Keys!$C$7, US_national_yearly!$D$1:$AM$1, 0), FALSE), 1)</f>
        <v>0</v>
      </c>
      <c r="Z23" s="12">
        <f>$B23 * IFERROR(VLOOKUP(Substitution!$M$10 &amp; $A23, US_national_yearly!$D:$AM, MATCH(Z$1, US_national_yearly!$D$1:$AM$1, 0), FALSE) / VLOOKUP(Substitution!$M$10 &amp; $A23, US_national_yearly!$D:$AM, MATCH(Keys!$C$7, US_national_yearly!$D$1:$AM$1, 0), FALSE), 1)</f>
        <v>0</v>
      </c>
      <c r="AA23" s="12">
        <f>$B23 * IFERROR(VLOOKUP(Substitution!$M$10 &amp; $A23, US_national_yearly!$D:$AM, MATCH(AA$1, US_national_yearly!$D$1:$AM$1, 0), FALSE) / VLOOKUP(Substitution!$M$10 &amp; $A23, US_national_yearly!$D:$AM, MATCH(Keys!$C$7, US_national_yearly!$D$1:$AM$1, 0), FALSE), 1)</f>
        <v>0</v>
      </c>
      <c r="AB23" s="12">
        <f>$B23 * IFERROR(VLOOKUP(Substitution!$M$10 &amp; $A23, US_national_yearly!$D:$AM, MATCH(AB$1, US_national_yearly!$D$1:$AM$1, 0), FALSE) / VLOOKUP(Substitution!$M$10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Substitution!$G$11)/IFERROR(SUMIFS(COBRA_aggregated!$U:$U, COBRA_aggregated!$A:$A, About!$B$1, COBRA_aggregated!$B:$B, Substitution!$G$11), 1)</f>
        <v>5.2599057012206199E-2</v>
      </c>
      <c r="C2" s="12">
        <f>$B2 * IFERROR(VLOOKUP(Substitution!$M$11 &amp; $A2, US_national_yearly!$D:$AM, MATCH(C$1, US_national_yearly!$D$1:$AM$1, 0), FALSE) / VLOOKUP(Substitution!$M$11 &amp; $A2, US_national_yearly!$D:$AM, MATCH(Keys!$C$7, US_national_yearly!$D$1:$AM$1, 0), FALSE), 1)</f>
        <v>5.3251642383411936E-2</v>
      </c>
      <c r="D2" s="12">
        <f>$B2 * IFERROR(VLOOKUP(Substitution!$M$11 &amp; $A2, US_national_yearly!$D:$AM, MATCH(D$1, US_national_yearly!$D$1:$AM$1, 0), FALSE) / VLOOKUP(Substitution!$M$11 &amp; $A2, US_national_yearly!$D:$AM, MATCH(Keys!$C$7, US_national_yearly!$D$1:$AM$1, 0), FALSE), 1)</f>
        <v>5.3904227754617673E-2</v>
      </c>
      <c r="E2" s="12">
        <f>$B2 * IFERROR(VLOOKUP(Substitution!$M$11 &amp; $A2, US_national_yearly!$D:$AM, MATCH(E$1, US_national_yearly!$D$1:$AM$1, 0), FALSE) / VLOOKUP(Substitution!$M$11 &amp; $A2, US_national_yearly!$D:$AM, MATCH(Keys!$C$7, US_national_yearly!$D$1:$AM$1, 0), FALSE), 1)</f>
        <v>5.4556813125823417E-2</v>
      </c>
      <c r="F2" s="12">
        <f>$B2 * IFERROR(VLOOKUP(Substitution!$M$11 &amp; $A2, US_national_yearly!$D:$AM, MATCH(F$1, US_national_yearly!$D$1:$AM$1, 0), FALSE) / VLOOKUP(Substitution!$M$11 &amp; $A2, US_national_yearly!$D:$AM, MATCH(Keys!$C$7, US_national_yearly!$D$1:$AM$1, 0), FALSE), 1)</f>
        <v>5.5209398497029154E-2</v>
      </c>
      <c r="G2" s="12">
        <f>$B2 * IFERROR(VLOOKUP(Substitution!$M$11 &amp; $A2, US_national_yearly!$D:$AM, MATCH(G$1, US_national_yearly!$D$1:$AM$1, 0), FALSE) / VLOOKUP(Substitution!$M$11 &amp; $A2, US_national_yearly!$D:$AM, MATCH(Keys!$C$7, US_national_yearly!$D$1:$AM$1, 0), FALSE), 1)</f>
        <v>5.6480116041151558E-2</v>
      </c>
      <c r="H2" s="12">
        <f>$B2 * IFERROR(VLOOKUP(Substitution!$M$11 &amp; $A2, US_national_yearly!$D:$AM, MATCH(H$1, US_national_yearly!$D$1:$AM$1, 0), FALSE) / VLOOKUP(Substitution!$M$11 &amp; $A2, US_national_yearly!$D:$AM, MATCH(Keys!$C$7, US_national_yearly!$D$1:$AM$1, 0), FALSE), 1)</f>
        <v>5.775083358527397E-2</v>
      </c>
      <c r="I2" s="12">
        <f>$B2 * IFERROR(VLOOKUP(Substitution!$M$11 &amp; $A2, US_national_yearly!$D:$AM, MATCH(I$1, US_national_yearly!$D$1:$AM$1, 0), FALSE) / VLOOKUP(Substitution!$M$11 &amp; $A2, US_national_yearly!$D:$AM, MATCH(Keys!$C$7, US_national_yearly!$D$1:$AM$1, 0), FALSE), 1)</f>
        <v>5.8586562627159139E-2</v>
      </c>
      <c r="J2" s="12">
        <f>$B2 * IFERROR(VLOOKUP(Substitution!$M$11 &amp; $A2, US_national_yearly!$D:$AM, MATCH(J$1, US_national_yearly!$D$1:$AM$1, 0), FALSE) / VLOOKUP(Substitution!$M$11 &amp; $A2, US_national_yearly!$D:$AM, MATCH(Keys!$C$7, US_national_yearly!$D$1:$AM$1, 0), FALSE), 1)</f>
        <v>5.9422291669044308E-2</v>
      </c>
      <c r="K2" s="12">
        <f>$B2 * IFERROR(VLOOKUP(Substitution!$M$11 &amp; $A2, US_national_yearly!$D:$AM, MATCH(K$1, US_national_yearly!$D$1:$AM$1, 0), FALSE) / VLOOKUP(Substitution!$M$11 &amp; $A2, US_national_yearly!$D:$AM, MATCH(Keys!$C$7, US_national_yearly!$D$1:$AM$1, 0), FALSE), 1)</f>
        <v>6.0258020710929477E-2</v>
      </c>
      <c r="L2" s="12">
        <f>$B2 * IFERROR(VLOOKUP(Substitution!$M$11 &amp; $A2, US_national_yearly!$D:$AM, MATCH(L$1, US_national_yearly!$D$1:$AM$1, 0), FALSE) / VLOOKUP(Substitution!$M$11 &amp; $A2, US_national_yearly!$D:$AM, MATCH(Keys!$C$7, US_national_yearly!$D$1:$AM$1, 0), FALSE), 1)</f>
        <v>6.1093749752814647E-2</v>
      </c>
      <c r="M2" s="12">
        <f>$B2 * IFERROR(VLOOKUP(Substitution!$M$11 &amp; $A2, US_national_yearly!$D:$AM, MATCH(M$1, US_national_yearly!$D$1:$AM$1, 0), FALSE) / VLOOKUP(Substitution!$M$11 &amp; $A2, US_national_yearly!$D:$AM, MATCH(Keys!$C$7, US_national_yearly!$D$1:$AM$1, 0), FALSE), 1)</f>
        <v>6.1929478794699816E-2</v>
      </c>
      <c r="N2" s="12">
        <f>$B2 * IFERROR(VLOOKUP(Substitution!$M$11 &amp; $A2, US_national_yearly!$D:$AM, MATCH(N$1, US_national_yearly!$D$1:$AM$1, 0), FALSE) / VLOOKUP(Substitution!$M$11 &amp; $A2, US_national_yearly!$D:$AM, MATCH(Keys!$C$7, US_national_yearly!$D$1:$AM$1, 0), FALSE), 1)</f>
        <v>6.2579351009205739E-2</v>
      </c>
      <c r="O2" s="12">
        <f>$B2 * IFERROR(VLOOKUP(Substitution!$M$11 &amp; $A2, US_national_yearly!$D:$AM, MATCH(O$1, US_national_yearly!$D$1:$AM$1, 0), FALSE) / VLOOKUP(Substitution!$M$11 &amp; $A2, US_national_yearly!$D:$AM, MATCH(Keys!$C$7, US_national_yearly!$D$1:$AM$1, 0), FALSE), 1)</f>
        <v>6.3229223223711675E-2</v>
      </c>
      <c r="P2" s="12">
        <f>$B2 * IFERROR(VLOOKUP(Substitution!$M$11 &amp; $A2, US_national_yearly!$D:$AM, MATCH(P$1, US_national_yearly!$D$1:$AM$1, 0), FALSE) / VLOOKUP(Substitution!$M$11 &amp; $A2, US_national_yearly!$D:$AM, MATCH(Keys!$C$7, US_national_yearly!$D$1:$AM$1, 0), FALSE), 1)</f>
        <v>6.3879095438217598E-2</v>
      </c>
      <c r="Q2" s="12">
        <f>$B2 * IFERROR(VLOOKUP(Substitution!$M$11 &amp; $A2, US_national_yearly!$D:$AM, MATCH(Q$1, US_national_yearly!$D$1:$AM$1, 0), FALSE) / VLOOKUP(Substitution!$M$11 &amp; $A2, US_national_yearly!$D:$AM, MATCH(Keys!$C$7, US_national_yearly!$D$1:$AM$1, 0), FALSE), 1)</f>
        <v>6.4528967652723548E-2</v>
      </c>
      <c r="R2" s="12">
        <f>$B2 * IFERROR(VLOOKUP(Substitution!$M$11 &amp; $A2, US_national_yearly!$D:$AM, MATCH(R$1, US_national_yearly!$D$1:$AM$1, 0), FALSE) / VLOOKUP(Substitution!$M$11 &amp; $A2, US_national_yearly!$D:$AM, MATCH(Keys!$C$7, US_national_yearly!$D$1:$AM$1, 0), FALSE), 1)</f>
        <v>6.5178839867229485E-2</v>
      </c>
      <c r="S2" s="12">
        <f>$B2 * IFERROR(VLOOKUP(Substitution!$M$11 &amp; $A2, US_national_yearly!$D:$AM, MATCH(S$1, US_national_yearly!$D$1:$AM$1, 0), FALSE) / VLOOKUP(Substitution!$M$11 &amp; $A2, US_national_yearly!$D:$AM, MATCH(Keys!$C$7, US_national_yearly!$D$1:$AM$1, 0), FALSE), 1)</f>
        <v>6.5524253404340649E-2</v>
      </c>
      <c r="T2" s="12">
        <f>$B2 * IFERROR(VLOOKUP(Substitution!$M$11 &amp; $A2, US_national_yearly!$D:$AM, MATCH(T$1, US_national_yearly!$D$1:$AM$1, 0), FALSE) / VLOOKUP(Substitution!$M$11 &amp; $A2, US_national_yearly!$D:$AM, MATCH(Keys!$C$7, US_national_yearly!$D$1:$AM$1, 0), FALSE), 1)</f>
        <v>6.5869666941451827E-2</v>
      </c>
      <c r="U2" s="12">
        <f>$B2 * IFERROR(VLOOKUP(Substitution!$M$11 &amp; $A2, US_national_yearly!$D:$AM, MATCH(U$1, US_national_yearly!$D$1:$AM$1, 0), FALSE) / VLOOKUP(Substitution!$M$11 &amp; $A2, US_national_yearly!$D:$AM, MATCH(Keys!$C$7, US_national_yearly!$D$1:$AM$1, 0), FALSE), 1)</f>
        <v>6.6215080478563004E-2</v>
      </c>
      <c r="V2" s="12">
        <f>$B2 * IFERROR(VLOOKUP(Substitution!$M$11 &amp; $A2, US_national_yearly!$D:$AM, MATCH(V$1, US_national_yearly!$D$1:$AM$1, 0), FALSE) / VLOOKUP(Substitution!$M$11 &amp; $A2, US_national_yearly!$D:$AM, MATCH(Keys!$C$7, US_national_yearly!$D$1:$AM$1, 0), FALSE), 1)</f>
        <v>6.6560494015674182E-2</v>
      </c>
      <c r="W2" s="12">
        <f>$B2 * IFERROR(VLOOKUP(Substitution!$M$11 &amp; $A2, US_national_yearly!$D:$AM, MATCH(W$1, US_national_yearly!$D$1:$AM$1, 0), FALSE) / VLOOKUP(Substitution!$M$11 &amp; $A2, US_national_yearly!$D:$AM, MATCH(Keys!$C$7, US_national_yearly!$D$1:$AM$1, 0), FALSE), 1)</f>
        <v>6.6905907552785346E-2</v>
      </c>
      <c r="X2" s="12">
        <f>$B2 * IFERROR(VLOOKUP(Substitution!$M$11 &amp; $A2, US_national_yearly!$D:$AM, MATCH(X$1, US_national_yearly!$D$1:$AM$1, 0), FALSE) / VLOOKUP(Substitution!$M$11 &amp; $A2, US_national_yearly!$D:$AM, MATCH(Keys!$C$7, US_national_yearly!$D$1:$AM$1, 0), FALSE), 1)</f>
        <v>6.6967906509659836E-2</v>
      </c>
      <c r="Y2" s="12">
        <f>$B2 * IFERROR(VLOOKUP(Substitution!$M$11 &amp; $A2, US_national_yearly!$D:$AM, MATCH(Y$1, US_national_yearly!$D$1:$AM$1, 0), FALSE) / VLOOKUP(Substitution!$M$11 &amp; $A2, US_national_yearly!$D:$AM, MATCH(Keys!$C$7, US_national_yearly!$D$1:$AM$1, 0), FALSE), 1)</f>
        <v>6.7029905466534312E-2</v>
      </c>
      <c r="Z2" s="12">
        <f>$B2 * IFERROR(VLOOKUP(Substitution!$M$11 &amp; $A2, US_national_yearly!$D:$AM, MATCH(Z$1, US_national_yearly!$D$1:$AM$1, 0), FALSE) / VLOOKUP(Substitution!$M$11 &amp; $A2, US_national_yearly!$D:$AM, MATCH(Keys!$C$7, US_national_yearly!$D$1:$AM$1, 0), FALSE), 1)</f>
        <v>6.7091904423408788E-2</v>
      </c>
      <c r="AA2" s="12">
        <f>$B2 * IFERROR(VLOOKUP(Substitution!$M$11 &amp; $A2, US_national_yearly!$D:$AM, MATCH(AA$1, US_national_yearly!$D$1:$AM$1, 0), FALSE) / VLOOKUP(Substitution!$M$11 &amp; $A2, US_national_yearly!$D:$AM, MATCH(Keys!$C$7, US_national_yearly!$D$1:$AM$1, 0), FALSE), 1)</f>
        <v>6.7153903380283278E-2</v>
      </c>
      <c r="AB2" s="12">
        <f>$B2 * IFERROR(VLOOKUP(Substitution!$M$11 &amp; $A2, US_national_yearly!$D:$AM, MATCH(AB$1, US_national_yearly!$D$1:$AM$1, 0), FALSE) / VLOOKUP(Substitution!$M$11 &amp; $A2, US_national_yearly!$D:$AM, MATCH(Keys!$C$7, US_national_yearly!$D$1:$AM$1, 0), FALSE), 1)</f>
        <v>6.721590233715774E-2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Substitution!$G$11)/IFERROR(SUMIFS(COBRA_aggregated!$U:$U, COBRA_aggregated!$A:$A, About!$B$1, COBRA_aggregated!$B:$B, Substitution!$G$11), 1)</f>
        <v>1.2140906707363312E-4</v>
      </c>
      <c r="C3" s="12">
        <f>$B3 * IFERROR(VLOOKUP(Substitution!$M$11 &amp; $A3, US_national_yearly!$D:$AM, MATCH(C$1, US_national_yearly!$D$1:$AM$1, 0), FALSE) / VLOOKUP(Substitution!$M$11 &amp; $A3, US_national_yearly!$D:$AM, MATCH(Keys!$C$7, US_national_yearly!$D$1:$AM$1, 0), FALSE), 1)</f>
        <v>1.2035746815518293E-4</v>
      </c>
      <c r="D3" s="12">
        <f>$B3 * IFERROR(VLOOKUP(Substitution!$M$11 &amp; $A3, US_national_yearly!$D:$AM, MATCH(D$1, US_national_yearly!$D$1:$AM$1, 0), FALSE) / VLOOKUP(Substitution!$M$11 &amp; $A3, US_national_yearly!$D:$AM, MATCH(Keys!$C$7, US_national_yearly!$D$1:$AM$1, 0), FALSE), 1)</f>
        <v>1.1930586923673275E-4</v>
      </c>
      <c r="E3" s="12">
        <f>$B3 * IFERROR(VLOOKUP(Substitution!$M$11 &amp; $A3, US_national_yearly!$D:$AM, MATCH(E$1, US_national_yearly!$D$1:$AM$1, 0), FALSE) / VLOOKUP(Substitution!$M$11 &amp; $A3, US_national_yearly!$D:$AM, MATCH(Keys!$C$7, US_national_yearly!$D$1:$AM$1, 0), FALSE), 1)</f>
        <v>1.1825427031828255E-4</v>
      </c>
      <c r="F3" s="12">
        <f>$B3 * IFERROR(VLOOKUP(Substitution!$M$11 &amp; $A3, US_national_yearly!$D:$AM, MATCH(F$1, US_national_yearly!$D$1:$AM$1, 0), FALSE) / VLOOKUP(Substitution!$M$11 &amp; $A3, US_national_yearly!$D:$AM, MATCH(Keys!$C$7, US_national_yearly!$D$1:$AM$1, 0), FALSE), 1)</f>
        <v>1.1720267139983238E-4</v>
      </c>
      <c r="G3" s="12">
        <f>$B3 * IFERROR(VLOOKUP(Substitution!$M$11 &amp; $A3, US_national_yearly!$D:$AM, MATCH(G$1, US_national_yearly!$D$1:$AM$1, 0), FALSE) / VLOOKUP(Substitution!$M$11 &amp; $A3, US_national_yearly!$D:$AM, MATCH(Keys!$C$7, US_national_yearly!$D$1:$AM$1, 0), FALSE), 1)</f>
        <v>7.7935524464636317E-5</v>
      </c>
      <c r="H3" s="12">
        <f>$B3 * IFERROR(VLOOKUP(Substitution!$M$11 &amp; $A3, US_national_yearly!$D:$AM, MATCH(H$1, US_national_yearly!$D$1:$AM$1, 0), FALSE) / VLOOKUP(Substitution!$M$11 &amp; $A3, US_national_yearly!$D:$AM, MATCH(Keys!$C$7, US_national_yearly!$D$1:$AM$1, 0), FALSE), 1)</f>
        <v>3.8668377529440255E-5</v>
      </c>
      <c r="I3" s="12">
        <f>$B3 * IFERROR(VLOOKUP(Substitution!$M$11 &amp; $A3, US_national_yearly!$D:$AM, MATCH(I$1, US_national_yearly!$D$1:$AM$1, 0), FALSE) / VLOOKUP(Substitution!$M$11 &amp; $A3, US_national_yearly!$D:$AM, MATCH(Keys!$C$7, US_national_yearly!$D$1:$AM$1, 0), FALSE), 1)</f>
        <v>3.8416398696372107E-5</v>
      </c>
      <c r="J3" s="12">
        <f>$B3 * IFERROR(VLOOKUP(Substitution!$M$11 &amp; $A3, US_national_yearly!$D:$AM, MATCH(J$1, US_national_yearly!$D$1:$AM$1, 0), FALSE) / VLOOKUP(Substitution!$M$11 &amp; $A3, US_national_yearly!$D:$AM, MATCH(Keys!$C$7, US_national_yearly!$D$1:$AM$1, 0), FALSE), 1)</f>
        <v>3.8164419863303951E-5</v>
      </c>
      <c r="K3" s="12">
        <f>$B3 * IFERROR(VLOOKUP(Substitution!$M$11 &amp; $A3, US_national_yearly!$D:$AM, MATCH(K$1, US_national_yearly!$D$1:$AM$1, 0), FALSE) / VLOOKUP(Substitution!$M$11 &amp; $A3, US_national_yearly!$D:$AM, MATCH(Keys!$C$7, US_national_yearly!$D$1:$AM$1, 0), FALSE), 1)</f>
        <v>3.7912441030235802E-5</v>
      </c>
      <c r="L3" s="12">
        <f>$B3 * IFERROR(VLOOKUP(Substitution!$M$11 &amp; $A3, US_national_yearly!$D:$AM, MATCH(L$1, US_national_yearly!$D$1:$AM$1, 0), FALSE) / VLOOKUP(Substitution!$M$11 &amp; $A3, US_national_yearly!$D:$AM, MATCH(Keys!$C$7, US_national_yearly!$D$1:$AM$1, 0), FALSE), 1)</f>
        <v>3.7660462197167653E-5</v>
      </c>
      <c r="M3" s="12">
        <f>$B3 * IFERROR(VLOOKUP(Substitution!$M$11 &amp; $A3, US_national_yearly!$D:$AM, MATCH(M$1, US_national_yearly!$D$1:$AM$1, 0), FALSE) / VLOOKUP(Substitution!$M$11 &amp; $A3, US_national_yearly!$D:$AM, MATCH(Keys!$C$7, US_national_yearly!$D$1:$AM$1, 0), FALSE), 1)</f>
        <v>3.7408483364099497E-5</v>
      </c>
      <c r="N3" s="12">
        <f>$B3 * IFERROR(VLOOKUP(Substitution!$M$11 &amp; $A3, US_national_yearly!$D:$AM, MATCH(N$1, US_national_yearly!$D$1:$AM$1, 0), FALSE) / VLOOKUP(Substitution!$M$11 &amp; $A3, US_national_yearly!$D:$AM, MATCH(Keys!$C$7, US_national_yearly!$D$1:$AM$1, 0), FALSE), 1)</f>
        <v>3.7250821289648198E-5</v>
      </c>
      <c r="O3" s="12">
        <f>$B3 * IFERROR(VLOOKUP(Substitution!$M$11 &amp; $A3, US_national_yearly!$D:$AM, MATCH(O$1, US_national_yearly!$D$1:$AM$1, 0), FALSE) / VLOOKUP(Substitution!$M$11 &amp; $A3, US_national_yearly!$D:$AM, MATCH(Keys!$C$7, US_national_yearly!$D$1:$AM$1, 0), FALSE), 1)</f>
        <v>3.70931592151969E-5</v>
      </c>
      <c r="P3" s="12">
        <f>$B3 * IFERROR(VLOOKUP(Substitution!$M$11 &amp; $A3, US_national_yearly!$D:$AM, MATCH(P$1, US_national_yearly!$D$1:$AM$1, 0), FALSE) / VLOOKUP(Substitution!$M$11 &amp; $A3, US_national_yearly!$D:$AM, MATCH(Keys!$C$7, US_national_yearly!$D$1:$AM$1, 0), FALSE), 1)</f>
        <v>3.6935497140745601E-5</v>
      </c>
      <c r="Q3" s="12">
        <f>$B3 * IFERROR(VLOOKUP(Substitution!$M$11 &amp; $A3, US_national_yearly!$D:$AM, MATCH(Q$1, US_national_yearly!$D$1:$AM$1, 0), FALSE) / VLOOKUP(Substitution!$M$11 &amp; $A3, US_national_yearly!$D:$AM, MATCH(Keys!$C$7, US_national_yearly!$D$1:$AM$1, 0), FALSE), 1)</f>
        <v>3.6777835066294302E-5</v>
      </c>
      <c r="R3" s="12">
        <f>$B3 * IFERROR(VLOOKUP(Substitution!$M$11 &amp; $A3, US_national_yearly!$D:$AM, MATCH(R$1, US_national_yearly!$D$1:$AM$1, 0), FALSE) / VLOOKUP(Substitution!$M$11 &amp; $A3, US_national_yearly!$D:$AM, MATCH(Keys!$C$7, US_national_yearly!$D$1:$AM$1, 0), FALSE), 1)</f>
        <v>3.6620172991843003E-5</v>
      </c>
      <c r="S3" s="12">
        <f>$B3 * IFERROR(VLOOKUP(Substitution!$M$11 &amp; $A3, US_national_yearly!$D:$AM, MATCH(S$1, US_national_yearly!$D$1:$AM$1, 0), FALSE) / VLOOKUP(Substitution!$M$11 &amp; $A3, US_national_yearly!$D:$AM, MATCH(Keys!$C$7, US_national_yearly!$D$1:$AM$1, 0), FALSE), 1)</f>
        <v>3.6423321050639253E-5</v>
      </c>
      <c r="T3" s="12">
        <f>$B3 * IFERROR(VLOOKUP(Substitution!$M$11 &amp; $A3, US_national_yearly!$D:$AM, MATCH(T$1, US_national_yearly!$D$1:$AM$1, 0), FALSE) / VLOOKUP(Substitution!$M$11 &amp; $A3, US_national_yearly!$D:$AM, MATCH(Keys!$C$7, US_national_yearly!$D$1:$AM$1, 0), FALSE), 1)</f>
        <v>3.6226469109435516E-5</v>
      </c>
      <c r="U3" s="12">
        <f>$B3 * IFERROR(VLOOKUP(Substitution!$M$11 &amp; $A3, US_national_yearly!$D:$AM, MATCH(U$1, US_national_yearly!$D$1:$AM$1, 0), FALSE) / VLOOKUP(Substitution!$M$11 &amp; $A3, US_national_yearly!$D:$AM, MATCH(Keys!$C$7, US_national_yearly!$D$1:$AM$1, 0), FALSE), 1)</f>
        <v>3.6029617168231759E-5</v>
      </c>
      <c r="V3" s="12">
        <f>$B3 * IFERROR(VLOOKUP(Substitution!$M$11 &amp; $A3, US_national_yearly!$D:$AM, MATCH(V$1, US_national_yearly!$D$1:$AM$1, 0), FALSE) / VLOOKUP(Substitution!$M$11 &amp; $A3, US_national_yearly!$D:$AM, MATCH(Keys!$C$7, US_national_yearly!$D$1:$AM$1, 0), FALSE), 1)</f>
        <v>3.5832765227028023E-5</v>
      </c>
      <c r="W3" s="12">
        <f>$B3 * IFERROR(VLOOKUP(Substitution!$M$11 &amp; $A3, US_national_yearly!$D:$AM, MATCH(W$1, US_national_yearly!$D$1:$AM$1, 0), FALSE) / VLOOKUP(Substitution!$M$11 &amp; $A3, US_national_yearly!$D:$AM, MATCH(Keys!$C$7, US_national_yearly!$D$1:$AM$1, 0), FALSE), 1)</f>
        <v>3.5635913285824273E-5</v>
      </c>
      <c r="X3" s="12">
        <f>$B3 * IFERROR(VLOOKUP(Substitution!$M$11 &amp; $A3, US_national_yearly!$D:$AM, MATCH(X$1, US_national_yearly!$D$1:$AM$1, 0), FALSE) / VLOOKUP(Substitution!$M$11 &amp; $A3, US_national_yearly!$D:$AM, MATCH(Keys!$C$7, US_national_yearly!$D$1:$AM$1, 0), FALSE), 1)</f>
        <v>3.5423976825676461E-5</v>
      </c>
      <c r="Y3" s="12">
        <f>$B3 * IFERROR(VLOOKUP(Substitution!$M$11 &amp; $A3, US_national_yearly!$D:$AM, MATCH(Y$1, US_national_yearly!$D$1:$AM$1, 0), FALSE) / VLOOKUP(Substitution!$M$11 &amp; $A3, US_national_yearly!$D:$AM, MATCH(Keys!$C$7, US_national_yearly!$D$1:$AM$1, 0), FALSE), 1)</f>
        <v>3.5212040365528649E-5</v>
      </c>
      <c r="Z3" s="12">
        <f>$B3 * IFERROR(VLOOKUP(Substitution!$M$11 &amp; $A3, US_national_yearly!$D:$AM, MATCH(Z$1, US_national_yearly!$D$1:$AM$1, 0), FALSE) / VLOOKUP(Substitution!$M$11 &amp; $A3, US_national_yearly!$D:$AM, MATCH(Keys!$C$7, US_national_yearly!$D$1:$AM$1, 0), FALSE), 1)</f>
        <v>3.5000103905380831E-5</v>
      </c>
      <c r="AA3" s="12">
        <f>$B3 * IFERROR(VLOOKUP(Substitution!$M$11 &amp; $A3, US_national_yearly!$D:$AM, MATCH(AA$1, US_national_yearly!$D$1:$AM$1, 0), FALSE) / VLOOKUP(Substitution!$M$11 &amp; $A3, US_national_yearly!$D:$AM, MATCH(Keys!$C$7, US_national_yearly!$D$1:$AM$1, 0), FALSE), 1)</f>
        <v>3.4788167445233019E-5</v>
      </c>
      <c r="AB3" s="12">
        <f>$B3 * IFERROR(VLOOKUP(Substitution!$M$11 &amp; $A3, US_national_yearly!$D:$AM, MATCH(AB$1, US_national_yearly!$D$1:$AM$1, 0), FALSE) / VLOOKUP(Substitution!$M$11 &amp; $A3, US_national_yearly!$D:$AM, MATCH(Keys!$C$7, US_national_yearly!$D$1:$AM$1, 0), FALSE), 1)</f>
        <v>3.4576230985085208E-5</v>
      </c>
    </row>
    <row r="4" spans="1:28" x14ac:dyDescent="0.25">
      <c r="A4" s="4" t="s">
        <v>295</v>
      </c>
      <c r="B4" s="12">
        <f>IFERROR(VLOOKUP(Substitution!$M$11 &amp; $A4, US_national_yearly!$D:$AM, MATCH(Keys!$C$7, US_national_yearly!$D$1:$AM$1, 0), FALSE), 0)</f>
        <v>6.0692517118182261</v>
      </c>
      <c r="C4" s="12">
        <f>$B4 * IFERROR(VLOOKUP(Substitution!$M$11 &amp; $A4, US_national_yearly!$D:$AM, MATCH(C$1, US_national_yearly!$D$1:$AM$1, 0), FALSE) / VLOOKUP(Substitution!$M$11 &amp; $A4, US_national_yearly!$D:$AM, MATCH(Keys!$C$7, US_national_yearly!$D$1:$AM$1, 0), FALSE), 1)</f>
        <v>6.131051521501532</v>
      </c>
      <c r="D4" s="12">
        <f>$B4 * IFERROR(VLOOKUP(Substitution!$M$11 &amp; $A4, US_national_yearly!$D:$AM, MATCH(D$1, US_national_yearly!$D$1:$AM$1, 0), FALSE) / VLOOKUP(Substitution!$M$11 &amp; $A4, US_national_yearly!$D:$AM, MATCH(Keys!$C$7, US_national_yearly!$D$1:$AM$1, 0), FALSE), 1)</f>
        <v>6.192851331184837</v>
      </c>
      <c r="E4" s="12">
        <f>$B4 * IFERROR(VLOOKUP(Substitution!$M$11 &amp; $A4, US_national_yearly!$D:$AM, MATCH(E$1, US_national_yearly!$D$1:$AM$1, 0), FALSE) / VLOOKUP(Substitution!$M$11 &amp; $A4, US_national_yearly!$D:$AM, MATCH(Keys!$C$7, US_national_yearly!$D$1:$AM$1, 0), FALSE), 1)</f>
        <v>6.2546511408681438</v>
      </c>
      <c r="F4" s="12">
        <f>$B4 * IFERROR(VLOOKUP(Substitution!$M$11 &amp; $A4, US_national_yearly!$D:$AM, MATCH(F$1, US_national_yearly!$D$1:$AM$1, 0), FALSE) / VLOOKUP(Substitution!$M$11 &amp; $A4, US_national_yearly!$D:$AM, MATCH(Keys!$C$7, US_national_yearly!$D$1:$AM$1, 0), FALSE), 1)</f>
        <v>6.3164509505514497</v>
      </c>
      <c r="G4" s="12">
        <f>$B4 * IFERROR(VLOOKUP(Substitution!$M$11 &amp; $A4, US_national_yearly!$D:$AM, MATCH(G$1, US_national_yearly!$D$1:$AM$1, 0), FALSE) / VLOOKUP(Substitution!$M$11 &amp; $A4, US_national_yearly!$D:$AM, MATCH(Keys!$C$7, US_national_yearly!$D$1:$AM$1, 0), FALSE), 1)</f>
        <v>6.3877471199018698</v>
      </c>
      <c r="H4" s="12">
        <f>$B4 * IFERROR(VLOOKUP(Substitution!$M$11 &amp; $A4, US_national_yearly!$D:$AM, MATCH(H$1, US_national_yearly!$D$1:$AM$1, 0), FALSE) / VLOOKUP(Substitution!$M$11 &amp; $A4, US_national_yearly!$D:$AM, MATCH(Keys!$C$7, US_national_yearly!$D$1:$AM$1, 0), FALSE), 1)</f>
        <v>6.45904328925229</v>
      </c>
      <c r="I4" s="12">
        <f>$B4 * IFERROR(VLOOKUP(Substitution!$M$11 &amp; $A4, US_national_yearly!$D:$AM, MATCH(I$1, US_national_yearly!$D$1:$AM$1, 0), FALSE) / VLOOKUP(Substitution!$M$11 &amp; $A4, US_national_yearly!$D:$AM, MATCH(Keys!$C$7, US_national_yearly!$D$1:$AM$1, 0), FALSE), 1)</f>
        <v>6.5100623103159752</v>
      </c>
      <c r="J4" s="12">
        <f>$B4 * IFERROR(VLOOKUP(Substitution!$M$11 &amp; $A4, US_national_yearly!$D:$AM, MATCH(J$1, US_national_yearly!$D$1:$AM$1, 0), FALSE) / VLOOKUP(Substitution!$M$11 &amp; $A4, US_national_yearly!$D:$AM, MATCH(Keys!$C$7, US_national_yearly!$D$1:$AM$1, 0), FALSE), 1)</f>
        <v>6.5610813313796577</v>
      </c>
      <c r="K4" s="12">
        <f>$B4 * IFERROR(VLOOKUP(Substitution!$M$11 &amp; $A4, US_national_yearly!$D:$AM, MATCH(K$1, US_national_yearly!$D$1:$AM$1, 0), FALSE) / VLOOKUP(Substitution!$M$11 &amp; $A4, US_national_yearly!$D:$AM, MATCH(Keys!$C$7, US_national_yearly!$D$1:$AM$1, 0), FALSE), 1)</f>
        <v>6.6121003524433419</v>
      </c>
      <c r="L4" s="12">
        <f>$B4 * IFERROR(VLOOKUP(Substitution!$M$11 &amp; $A4, US_national_yearly!$D:$AM, MATCH(L$1, US_national_yearly!$D$1:$AM$1, 0), FALSE) / VLOOKUP(Substitution!$M$11 &amp; $A4, US_national_yearly!$D:$AM, MATCH(Keys!$C$7, US_national_yearly!$D$1:$AM$1, 0), FALSE), 1)</f>
        <v>6.6631193735070253</v>
      </c>
      <c r="M4" s="12">
        <f>$B4 * IFERROR(VLOOKUP(Substitution!$M$11 &amp; $A4, US_national_yearly!$D:$AM, MATCH(M$1, US_national_yearly!$D$1:$AM$1, 0), FALSE) / VLOOKUP(Substitution!$M$11 &amp; $A4, US_national_yearly!$D:$AM, MATCH(Keys!$C$7, US_national_yearly!$D$1:$AM$1, 0), FALSE), 1)</f>
        <v>6.7141383945707096</v>
      </c>
      <c r="N4" s="12">
        <f>$B4 * IFERROR(VLOOKUP(Substitution!$M$11 &amp; $A4, US_national_yearly!$D:$AM, MATCH(N$1, US_national_yearly!$D$1:$AM$1, 0), FALSE) / VLOOKUP(Substitution!$M$11 &amp; $A4, US_national_yearly!$D:$AM, MATCH(Keys!$C$7, US_national_yearly!$D$1:$AM$1, 0), FALSE), 1)</f>
        <v>6.7352462829821551</v>
      </c>
      <c r="O4" s="12">
        <f>$B4 * IFERROR(VLOOKUP(Substitution!$M$11 &amp; $A4, US_national_yearly!$D:$AM, MATCH(O$1, US_national_yearly!$D$1:$AM$1, 0), FALSE) / VLOOKUP(Substitution!$M$11 &amp; $A4, US_national_yearly!$D:$AM, MATCH(Keys!$C$7, US_national_yearly!$D$1:$AM$1, 0), FALSE), 1)</f>
        <v>6.7563541713936024</v>
      </c>
      <c r="P4" s="12">
        <f>$B4 * IFERROR(VLOOKUP(Substitution!$M$11 &amp; $A4, US_national_yearly!$D:$AM, MATCH(P$1, US_national_yearly!$D$1:$AM$1, 0), FALSE) / VLOOKUP(Substitution!$M$11 &amp; $A4, US_national_yearly!$D:$AM, MATCH(Keys!$C$7, US_national_yearly!$D$1:$AM$1, 0), FALSE), 1)</f>
        <v>6.7774620598050479</v>
      </c>
      <c r="Q4" s="12">
        <f>$B4 * IFERROR(VLOOKUP(Substitution!$M$11 &amp; $A4, US_national_yearly!$D:$AM, MATCH(Q$1, US_national_yearly!$D$1:$AM$1, 0), FALSE) / VLOOKUP(Substitution!$M$11 &amp; $A4, US_national_yearly!$D:$AM, MATCH(Keys!$C$7, US_national_yearly!$D$1:$AM$1, 0), FALSE), 1)</f>
        <v>6.7985699482164934</v>
      </c>
      <c r="R4" s="12">
        <f>$B4 * IFERROR(VLOOKUP(Substitution!$M$11 &amp; $A4, US_national_yearly!$D:$AM, MATCH(R$1, US_national_yearly!$D$1:$AM$1, 0), FALSE) / VLOOKUP(Substitution!$M$11 &amp; $A4, US_national_yearly!$D:$AM, MATCH(Keys!$C$7, US_national_yearly!$D$1:$AM$1, 0), FALSE), 1)</f>
        <v>6.8196778366279389</v>
      </c>
      <c r="S4" s="12">
        <f>$B4 * IFERROR(VLOOKUP(Substitution!$M$11 &amp; $A4, US_national_yearly!$D:$AM, MATCH(S$1, US_national_yearly!$D$1:$AM$1, 0), FALSE) / VLOOKUP(Substitution!$M$11 &amp; $A4, US_national_yearly!$D:$AM, MATCH(Keys!$C$7, US_national_yearly!$D$1:$AM$1, 0), FALSE), 1)</f>
        <v>6.8455867573045612</v>
      </c>
      <c r="T4" s="12">
        <f>$B4 * IFERROR(VLOOKUP(Substitution!$M$11 &amp; $A4, US_national_yearly!$D:$AM, MATCH(T$1, US_national_yearly!$D$1:$AM$1, 0), FALSE) / VLOOKUP(Substitution!$M$11 &amp; $A4, US_national_yearly!$D:$AM, MATCH(Keys!$C$7, US_national_yearly!$D$1:$AM$1, 0), FALSE), 1)</f>
        <v>6.8714956779811835</v>
      </c>
      <c r="U4" s="12">
        <f>$B4 * IFERROR(VLOOKUP(Substitution!$M$11 &amp; $A4, US_national_yearly!$D:$AM, MATCH(U$1, US_national_yearly!$D$1:$AM$1, 0), FALSE) / VLOOKUP(Substitution!$M$11 &amp; $A4, US_national_yearly!$D:$AM, MATCH(Keys!$C$7, US_national_yearly!$D$1:$AM$1, 0), FALSE), 1)</f>
        <v>6.8974045986578059</v>
      </c>
      <c r="V4" s="12">
        <f>$B4 * IFERROR(VLOOKUP(Substitution!$M$11 &amp; $A4, US_national_yearly!$D:$AM, MATCH(V$1, US_national_yearly!$D$1:$AM$1, 0), FALSE) / VLOOKUP(Substitution!$M$11 &amp; $A4, US_national_yearly!$D:$AM, MATCH(Keys!$C$7, US_national_yearly!$D$1:$AM$1, 0), FALSE), 1)</f>
        <v>6.9233135193344273</v>
      </c>
      <c r="W4" s="12">
        <f>$B4 * IFERROR(VLOOKUP(Substitution!$M$11 &amp; $A4, US_national_yearly!$D:$AM, MATCH(W$1, US_national_yearly!$D$1:$AM$1, 0), FALSE) / VLOOKUP(Substitution!$M$11 &amp; $A4, US_national_yearly!$D:$AM, MATCH(Keys!$C$7, US_national_yearly!$D$1:$AM$1, 0), FALSE), 1)</f>
        <v>6.9492224400110496</v>
      </c>
      <c r="X4" s="12">
        <f>$B4 * IFERROR(VLOOKUP(Substitution!$M$11 &amp; $A4, US_national_yearly!$D:$AM, MATCH(X$1, US_national_yearly!$D$1:$AM$1, 0), FALSE) / VLOOKUP(Substitution!$M$11 &amp; $A4, US_national_yearly!$D:$AM, MATCH(Keys!$C$7, US_national_yearly!$D$1:$AM$1, 0), FALSE), 1)</f>
        <v>6.97809245950691</v>
      </c>
      <c r="Y4" s="12">
        <f>$B4 * IFERROR(VLOOKUP(Substitution!$M$11 &amp; $A4, US_national_yearly!$D:$AM, MATCH(Y$1, US_national_yearly!$D$1:$AM$1, 0), FALSE) / VLOOKUP(Substitution!$M$11 &amp; $A4, US_national_yearly!$D:$AM, MATCH(Keys!$C$7, US_national_yearly!$D$1:$AM$1, 0), FALSE), 1)</f>
        <v>7.0069624790027696</v>
      </c>
      <c r="Z4" s="12">
        <f>$B4 * IFERROR(VLOOKUP(Substitution!$M$11 &amp; $A4, US_national_yearly!$D:$AM, MATCH(Z$1, US_national_yearly!$D$1:$AM$1, 0), FALSE) / VLOOKUP(Substitution!$M$11 &amp; $A4, US_national_yearly!$D:$AM, MATCH(Keys!$C$7, US_national_yearly!$D$1:$AM$1, 0), FALSE), 1)</f>
        <v>7.03583249849863</v>
      </c>
      <c r="AA4" s="12">
        <f>$B4 * IFERROR(VLOOKUP(Substitution!$M$11 &amp; $A4, US_national_yearly!$D:$AM, MATCH(AA$1, US_national_yearly!$D$1:$AM$1, 0), FALSE) / VLOOKUP(Substitution!$M$11 &amp; $A4, US_national_yearly!$D:$AM, MATCH(Keys!$C$7, US_national_yearly!$D$1:$AM$1, 0), FALSE), 1)</f>
        <v>7.0647025179944896</v>
      </c>
      <c r="AB4" s="12">
        <f>$B4 * IFERROR(VLOOKUP(Substitution!$M$11 &amp; $A4, US_national_yearly!$D:$AM, MATCH(AB$1, US_national_yearly!$D$1:$AM$1, 0), FALSE) / VLOOKUP(Substitution!$M$11 &amp; $A4, US_national_yearly!$D:$AM, MATCH(Keys!$C$7, US_national_yearly!$D$1:$AM$1, 0), FALSE), 1)</f>
        <v>7.09357253749035</v>
      </c>
    </row>
    <row r="5" spans="1:28" x14ac:dyDescent="0.25">
      <c r="A5" s="4" t="s">
        <v>297</v>
      </c>
      <c r="B5" s="12">
        <f>IFERROR(VLOOKUP(Substitution!$M$11 &amp; $A5, US_national_yearly!$D:$AM, MATCH(Keys!$C$7, US_national_yearly!$D$1:$AM$1, 0), FALSE), 0)</f>
        <v>0</v>
      </c>
      <c r="C5" s="12">
        <f>$B5 * IFERROR(VLOOKUP(Substitution!$M$11 &amp; $A5, US_national_yearly!$D:$AM, MATCH(C$1, US_national_yearly!$D$1:$AM$1, 0), FALSE) / VLOOKUP(Substitution!$M$11 &amp; $A5, US_national_yearly!$D:$AM, MATCH(Keys!$C$7, US_national_yearly!$D$1:$AM$1, 0), FALSE), 1)</f>
        <v>0</v>
      </c>
      <c r="D5" s="12">
        <f>$B5 * IFERROR(VLOOKUP(Substitution!$M$11 &amp; $A5, US_national_yearly!$D:$AM, MATCH(D$1, US_national_yearly!$D$1:$AM$1, 0), FALSE) / VLOOKUP(Substitution!$M$11 &amp; $A5, US_national_yearly!$D:$AM, MATCH(Keys!$C$7, US_national_yearly!$D$1:$AM$1, 0), FALSE), 1)</f>
        <v>0</v>
      </c>
      <c r="E5" s="12">
        <f>$B5 * IFERROR(VLOOKUP(Substitution!$M$11 &amp; $A5, US_national_yearly!$D:$AM, MATCH(E$1, US_national_yearly!$D$1:$AM$1, 0), FALSE) / VLOOKUP(Substitution!$M$11 &amp; $A5, US_national_yearly!$D:$AM, MATCH(Keys!$C$7, US_national_yearly!$D$1:$AM$1, 0), FALSE), 1)</f>
        <v>0</v>
      </c>
      <c r="F5" s="12">
        <f>$B5 * IFERROR(VLOOKUP(Substitution!$M$11 &amp; $A5, US_national_yearly!$D:$AM, MATCH(F$1, US_national_yearly!$D$1:$AM$1, 0), FALSE) / VLOOKUP(Substitution!$M$11 &amp; $A5, US_national_yearly!$D:$AM, MATCH(Keys!$C$7, US_national_yearly!$D$1:$AM$1, 0), FALSE), 1)</f>
        <v>0</v>
      </c>
      <c r="G5" s="12">
        <f>$B5 * IFERROR(VLOOKUP(Substitution!$M$11 &amp; $A5, US_national_yearly!$D:$AM, MATCH(G$1, US_national_yearly!$D$1:$AM$1, 0), FALSE) / VLOOKUP(Substitution!$M$11 &amp; $A5, US_national_yearly!$D:$AM, MATCH(Keys!$C$7, US_national_yearly!$D$1:$AM$1, 0), FALSE), 1)</f>
        <v>0</v>
      </c>
      <c r="H5" s="12">
        <f>$B5 * IFERROR(VLOOKUP(Substitution!$M$11 &amp; $A5, US_national_yearly!$D:$AM, MATCH(H$1, US_national_yearly!$D$1:$AM$1, 0), FALSE) / VLOOKUP(Substitution!$M$11 &amp; $A5, US_national_yearly!$D:$AM, MATCH(Keys!$C$7, US_national_yearly!$D$1:$AM$1, 0), FALSE), 1)</f>
        <v>0</v>
      </c>
      <c r="I5" s="12">
        <f>$B5 * IFERROR(VLOOKUP(Substitution!$M$11 &amp; $A5, US_national_yearly!$D:$AM, MATCH(I$1, US_national_yearly!$D$1:$AM$1, 0), FALSE) / VLOOKUP(Substitution!$M$11 &amp; $A5, US_national_yearly!$D:$AM, MATCH(Keys!$C$7, US_national_yearly!$D$1:$AM$1, 0), FALSE), 1)</f>
        <v>0</v>
      </c>
      <c r="J5" s="12">
        <f>$B5 * IFERROR(VLOOKUP(Substitution!$M$11 &amp; $A5, US_national_yearly!$D:$AM, MATCH(J$1, US_national_yearly!$D$1:$AM$1, 0), FALSE) / VLOOKUP(Substitution!$M$11 &amp; $A5, US_national_yearly!$D:$AM, MATCH(Keys!$C$7, US_national_yearly!$D$1:$AM$1, 0), FALSE), 1)</f>
        <v>0</v>
      </c>
      <c r="K5" s="12">
        <f>$B5 * IFERROR(VLOOKUP(Substitution!$M$11 &amp; $A5, US_national_yearly!$D:$AM, MATCH(K$1, US_national_yearly!$D$1:$AM$1, 0), FALSE) / VLOOKUP(Substitution!$M$11 &amp; $A5, US_national_yearly!$D:$AM, MATCH(Keys!$C$7, US_national_yearly!$D$1:$AM$1, 0), FALSE), 1)</f>
        <v>0</v>
      </c>
      <c r="L5" s="12">
        <f>$B5 * IFERROR(VLOOKUP(Substitution!$M$11 &amp; $A5, US_national_yearly!$D:$AM, MATCH(L$1, US_national_yearly!$D$1:$AM$1, 0), FALSE) / VLOOKUP(Substitution!$M$11 &amp; $A5, US_national_yearly!$D:$AM, MATCH(Keys!$C$7, US_national_yearly!$D$1:$AM$1, 0), FALSE), 1)</f>
        <v>0</v>
      </c>
      <c r="M5" s="12">
        <f>$B5 * IFERROR(VLOOKUP(Substitution!$M$11 &amp; $A5, US_national_yearly!$D:$AM, MATCH(M$1, US_national_yearly!$D$1:$AM$1, 0), FALSE) / VLOOKUP(Substitution!$M$11 &amp; $A5, US_national_yearly!$D:$AM, MATCH(Keys!$C$7, US_national_yearly!$D$1:$AM$1, 0), FALSE), 1)</f>
        <v>0</v>
      </c>
      <c r="N5" s="12">
        <f>$B5 * IFERROR(VLOOKUP(Substitution!$M$11 &amp; $A5, US_national_yearly!$D:$AM, MATCH(N$1, US_national_yearly!$D$1:$AM$1, 0), FALSE) / VLOOKUP(Substitution!$M$11 &amp; $A5, US_national_yearly!$D:$AM, MATCH(Keys!$C$7, US_national_yearly!$D$1:$AM$1, 0), FALSE), 1)</f>
        <v>0</v>
      </c>
      <c r="O5" s="12">
        <f>$B5 * IFERROR(VLOOKUP(Substitution!$M$11 &amp; $A5, US_national_yearly!$D:$AM, MATCH(O$1, US_national_yearly!$D$1:$AM$1, 0), FALSE) / VLOOKUP(Substitution!$M$11 &amp; $A5, US_national_yearly!$D:$AM, MATCH(Keys!$C$7, US_national_yearly!$D$1:$AM$1, 0), FALSE), 1)</f>
        <v>0</v>
      </c>
      <c r="P5" s="12">
        <f>$B5 * IFERROR(VLOOKUP(Substitution!$M$11 &amp; $A5, US_national_yearly!$D:$AM, MATCH(P$1, US_national_yearly!$D$1:$AM$1, 0), FALSE) / VLOOKUP(Substitution!$M$11 &amp; $A5, US_national_yearly!$D:$AM, MATCH(Keys!$C$7, US_national_yearly!$D$1:$AM$1, 0), FALSE), 1)</f>
        <v>0</v>
      </c>
      <c r="Q5" s="12">
        <f>$B5 * IFERROR(VLOOKUP(Substitution!$M$11 &amp; $A5, US_national_yearly!$D:$AM, MATCH(Q$1, US_national_yearly!$D$1:$AM$1, 0), FALSE) / VLOOKUP(Substitution!$M$11 &amp; $A5, US_national_yearly!$D:$AM, MATCH(Keys!$C$7, US_national_yearly!$D$1:$AM$1, 0), FALSE), 1)</f>
        <v>0</v>
      </c>
      <c r="R5" s="12">
        <f>$B5 * IFERROR(VLOOKUP(Substitution!$M$11 &amp; $A5, US_national_yearly!$D:$AM, MATCH(R$1, US_national_yearly!$D$1:$AM$1, 0), FALSE) / VLOOKUP(Substitution!$M$11 &amp; $A5, US_national_yearly!$D:$AM, MATCH(Keys!$C$7, US_national_yearly!$D$1:$AM$1, 0), FALSE), 1)</f>
        <v>0</v>
      </c>
      <c r="S5" s="12">
        <f>$B5 * IFERROR(VLOOKUP(Substitution!$M$11 &amp; $A5, US_national_yearly!$D:$AM, MATCH(S$1, US_national_yearly!$D$1:$AM$1, 0), FALSE) / VLOOKUP(Substitution!$M$11 &amp; $A5, US_national_yearly!$D:$AM, MATCH(Keys!$C$7, US_national_yearly!$D$1:$AM$1, 0), FALSE), 1)</f>
        <v>0</v>
      </c>
      <c r="T5" s="12">
        <f>$B5 * IFERROR(VLOOKUP(Substitution!$M$11 &amp; $A5, US_national_yearly!$D:$AM, MATCH(T$1, US_national_yearly!$D$1:$AM$1, 0), FALSE) / VLOOKUP(Substitution!$M$11 &amp; $A5, US_national_yearly!$D:$AM, MATCH(Keys!$C$7, US_national_yearly!$D$1:$AM$1, 0), FALSE), 1)</f>
        <v>0</v>
      </c>
      <c r="U5" s="12">
        <f>$B5 * IFERROR(VLOOKUP(Substitution!$M$11 &amp; $A5, US_national_yearly!$D:$AM, MATCH(U$1, US_national_yearly!$D$1:$AM$1, 0), FALSE) / VLOOKUP(Substitution!$M$11 &amp; $A5, US_national_yearly!$D:$AM, MATCH(Keys!$C$7, US_national_yearly!$D$1:$AM$1, 0), FALSE), 1)</f>
        <v>0</v>
      </c>
      <c r="V5" s="12">
        <f>$B5 * IFERROR(VLOOKUP(Substitution!$M$11 &amp; $A5, US_national_yearly!$D:$AM, MATCH(V$1, US_national_yearly!$D$1:$AM$1, 0), FALSE) / VLOOKUP(Substitution!$M$11 &amp; $A5, US_national_yearly!$D:$AM, MATCH(Keys!$C$7, US_national_yearly!$D$1:$AM$1, 0), FALSE), 1)</f>
        <v>0</v>
      </c>
      <c r="W5" s="12">
        <f>$B5 * IFERROR(VLOOKUP(Substitution!$M$11 &amp; $A5, US_national_yearly!$D:$AM, MATCH(W$1, US_national_yearly!$D$1:$AM$1, 0), FALSE) / VLOOKUP(Substitution!$M$11 &amp; $A5, US_national_yearly!$D:$AM, MATCH(Keys!$C$7, US_national_yearly!$D$1:$AM$1, 0), FALSE), 1)</f>
        <v>0</v>
      </c>
      <c r="X5" s="12">
        <f>$B5 * IFERROR(VLOOKUP(Substitution!$M$11 &amp; $A5, US_national_yearly!$D:$AM, MATCH(X$1, US_national_yearly!$D$1:$AM$1, 0), FALSE) / VLOOKUP(Substitution!$M$11 &amp; $A5, US_national_yearly!$D:$AM, MATCH(Keys!$C$7, US_national_yearly!$D$1:$AM$1, 0), FALSE), 1)</f>
        <v>0</v>
      </c>
      <c r="Y5" s="12">
        <f>$B5 * IFERROR(VLOOKUP(Substitution!$M$11 &amp; $A5, US_national_yearly!$D:$AM, MATCH(Y$1, US_national_yearly!$D$1:$AM$1, 0), FALSE) / VLOOKUP(Substitution!$M$11 &amp; $A5, US_national_yearly!$D:$AM, MATCH(Keys!$C$7, US_national_yearly!$D$1:$AM$1, 0), FALSE), 1)</f>
        <v>0</v>
      </c>
      <c r="Z5" s="12">
        <f>$B5 * IFERROR(VLOOKUP(Substitution!$M$11 &amp; $A5, US_national_yearly!$D:$AM, MATCH(Z$1, US_national_yearly!$D$1:$AM$1, 0), FALSE) / VLOOKUP(Substitution!$M$11 &amp; $A5, US_national_yearly!$D:$AM, MATCH(Keys!$C$7, US_national_yearly!$D$1:$AM$1, 0), FALSE), 1)</f>
        <v>0</v>
      </c>
      <c r="AA5" s="12">
        <f>$B5 * IFERROR(VLOOKUP(Substitution!$M$11 &amp; $A5, US_national_yearly!$D:$AM, MATCH(AA$1, US_national_yearly!$D$1:$AM$1, 0), FALSE) / VLOOKUP(Substitution!$M$11 &amp; $A5, US_national_yearly!$D:$AM, MATCH(Keys!$C$7, US_national_yearly!$D$1:$AM$1, 0), FALSE), 1)</f>
        <v>0</v>
      </c>
      <c r="AB5" s="12">
        <f>$B5 * IFERROR(VLOOKUP(Substitution!$M$11 &amp; $A5, US_national_yearly!$D:$AM, MATCH(AB$1, US_national_yearly!$D$1:$AM$1, 0), FALSE) / VLOOKUP(Substitution!$M$11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Substitution!$G$11)/IFERROR(SUMIFS(COBRA_aggregated!$U:$U, COBRA_aggregated!$A:$A, About!$B$1, COBRA_aggregated!$B:$B, Substitution!$G$11), 1)</f>
        <v>0.11465310796479981</v>
      </c>
      <c r="C6" s="12">
        <f>$B6 * IFERROR(VLOOKUP(Substitution!$M$11 &amp; $A6, US_national_yearly!$D:$AM, MATCH(C$1, US_national_yearly!$D$1:$AM$1, 0), FALSE) / VLOOKUP(Substitution!$M$11 &amp; $A6, US_national_yearly!$D:$AM, MATCH(Keys!$C$7, US_national_yearly!$D$1:$AM$1, 0), FALSE), 1)</f>
        <v>0.11465310796479981</v>
      </c>
      <c r="D6" s="12">
        <f>$B6 * IFERROR(VLOOKUP(Substitution!$M$11 &amp; $A6, US_national_yearly!$D:$AM, MATCH(D$1, US_national_yearly!$D$1:$AM$1, 0), FALSE) / VLOOKUP(Substitution!$M$11 &amp; $A6, US_national_yearly!$D:$AM, MATCH(Keys!$C$7, US_national_yearly!$D$1:$AM$1, 0), FALSE), 1)</f>
        <v>0.11465310796479981</v>
      </c>
      <c r="E6" s="12">
        <f>$B6 * IFERROR(VLOOKUP(Substitution!$M$11 &amp; $A6, US_national_yearly!$D:$AM, MATCH(E$1, US_national_yearly!$D$1:$AM$1, 0), FALSE) / VLOOKUP(Substitution!$M$11 &amp; $A6, US_national_yearly!$D:$AM, MATCH(Keys!$C$7, US_national_yearly!$D$1:$AM$1, 0), FALSE), 1)</f>
        <v>0.11465310796479981</v>
      </c>
      <c r="F6" s="12">
        <f>$B6 * IFERROR(VLOOKUP(Substitution!$M$11 &amp; $A6, US_national_yearly!$D:$AM, MATCH(F$1, US_national_yearly!$D$1:$AM$1, 0), FALSE) / VLOOKUP(Substitution!$M$11 &amp; $A6, US_national_yearly!$D:$AM, MATCH(Keys!$C$7, US_national_yearly!$D$1:$AM$1, 0), FALSE), 1)</f>
        <v>0.11465310796479981</v>
      </c>
      <c r="G6" s="12">
        <f>$B6 * IFERROR(VLOOKUP(Substitution!$M$11 &amp; $A6, US_national_yearly!$D:$AM, MATCH(G$1, US_national_yearly!$D$1:$AM$1, 0), FALSE) / VLOOKUP(Substitution!$M$11 &amp; $A6, US_national_yearly!$D:$AM, MATCH(Keys!$C$7, US_national_yearly!$D$1:$AM$1, 0), FALSE), 1)</f>
        <v>0.11465310796479981</v>
      </c>
      <c r="H6" s="12">
        <f>$B6 * IFERROR(VLOOKUP(Substitution!$M$11 &amp; $A6, US_national_yearly!$D:$AM, MATCH(H$1, US_national_yearly!$D$1:$AM$1, 0), FALSE) / VLOOKUP(Substitution!$M$11 &amp; $A6, US_national_yearly!$D:$AM, MATCH(Keys!$C$7, US_national_yearly!$D$1:$AM$1, 0), FALSE), 1)</f>
        <v>0.11465310796479981</v>
      </c>
      <c r="I6" s="12">
        <f>$B6 * IFERROR(VLOOKUP(Substitution!$M$11 &amp; $A6, US_national_yearly!$D:$AM, MATCH(I$1, US_national_yearly!$D$1:$AM$1, 0), FALSE) / VLOOKUP(Substitution!$M$11 &amp; $A6, US_national_yearly!$D:$AM, MATCH(Keys!$C$7, US_national_yearly!$D$1:$AM$1, 0), FALSE), 1)</f>
        <v>0.11465310796479981</v>
      </c>
      <c r="J6" s="12">
        <f>$B6 * IFERROR(VLOOKUP(Substitution!$M$11 &amp; $A6, US_national_yearly!$D:$AM, MATCH(J$1, US_national_yearly!$D$1:$AM$1, 0), FALSE) / VLOOKUP(Substitution!$M$11 &amp; $A6, US_national_yearly!$D:$AM, MATCH(Keys!$C$7, US_national_yearly!$D$1:$AM$1, 0), FALSE), 1)</f>
        <v>0.11465310796479981</v>
      </c>
      <c r="K6" s="12">
        <f>$B6 * IFERROR(VLOOKUP(Substitution!$M$11 &amp; $A6, US_national_yearly!$D:$AM, MATCH(K$1, US_national_yearly!$D$1:$AM$1, 0), FALSE) / VLOOKUP(Substitution!$M$11 &amp; $A6, US_national_yearly!$D:$AM, MATCH(Keys!$C$7, US_national_yearly!$D$1:$AM$1, 0), FALSE), 1)</f>
        <v>0.11465310796479981</v>
      </c>
      <c r="L6" s="12">
        <f>$B6 * IFERROR(VLOOKUP(Substitution!$M$11 &amp; $A6, US_national_yearly!$D:$AM, MATCH(L$1, US_national_yearly!$D$1:$AM$1, 0), FALSE) / VLOOKUP(Substitution!$M$11 &amp; $A6, US_national_yearly!$D:$AM, MATCH(Keys!$C$7, US_national_yearly!$D$1:$AM$1, 0), FALSE), 1)</f>
        <v>0.11465310796479981</v>
      </c>
      <c r="M6" s="12">
        <f>$B6 * IFERROR(VLOOKUP(Substitution!$M$11 &amp; $A6, US_national_yearly!$D:$AM, MATCH(M$1, US_national_yearly!$D$1:$AM$1, 0), FALSE) / VLOOKUP(Substitution!$M$11 &amp; $A6, US_national_yearly!$D:$AM, MATCH(Keys!$C$7, US_national_yearly!$D$1:$AM$1, 0), FALSE), 1)</f>
        <v>0.11465310796479981</v>
      </c>
      <c r="N6" s="12">
        <f>$B6 * IFERROR(VLOOKUP(Substitution!$M$11 &amp; $A6, US_national_yearly!$D:$AM, MATCH(N$1, US_national_yearly!$D$1:$AM$1, 0), FALSE) / VLOOKUP(Substitution!$M$11 &amp; $A6, US_national_yearly!$D:$AM, MATCH(Keys!$C$7, US_national_yearly!$D$1:$AM$1, 0), FALSE), 1)</f>
        <v>0.11465310796479981</v>
      </c>
      <c r="O6" s="12">
        <f>$B6 * IFERROR(VLOOKUP(Substitution!$M$11 &amp; $A6, US_national_yearly!$D:$AM, MATCH(O$1, US_national_yearly!$D$1:$AM$1, 0), FALSE) / VLOOKUP(Substitution!$M$11 &amp; $A6, US_national_yearly!$D:$AM, MATCH(Keys!$C$7, US_national_yearly!$D$1:$AM$1, 0), FALSE), 1)</f>
        <v>0.11465310796479981</v>
      </c>
      <c r="P6" s="12">
        <f>$B6 * IFERROR(VLOOKUP(Substitution!$M$11 &amp; $A6, US_national_yearly!$D:$AM, MATCH(P$1, US_national_yearly!$D$1:$AM$1, 0), FALSE) / VLOOKUP(Substitution!$M$11 &amp; $A6, US_national_yearly!$D:$AM, MATCH(Keys!$C$7, US_national_yearly!$D$1:$AM$1, 0), FALSE), 1)</f>
        <v>0.11465310796479981</v>
      </c>
      <c r="Q6" s="12">
        <f>$B6 * IFERROR(VLOOKUP(Substitution!$M$11 &amp; $A6, US_national_yearly!$D:$AM, MATCH(Q$1, US_national_yearly!$D$1:$AM$1, 0), FALSE) / VLOOKUP(Substitution!$M$11 &amp; $A6, US_national_yearly!$D:$AM, MATCH(Keys!$C$7, US_national_yearly!$D$1:$AM$1, 0), FALSE), 1)</f>
        <v>0.11465310796479981</v>
      </c>
      <c r="R6" s="12">
        <f>$B6 * IFERROR(VLOOKUP(Substitution!$M$11 &amp; $A6, US_national_yearly!$D:$AM, MATCH(R$1, US_national_yearly!$D$1:$AM$1, 0), FALSE) / VLOOKUP(Substitution!$M$11 &amp; $A6, US_national_yearly!$D:$AM, MATCH(Keys!$C$7, US_national_yearly!$D$1:$AM$1, 0), FALSE), 1)</f>
        <v>0.11465310796479981</v>
      </c>
      <c r="S6" s="12">
        <f>$B6 * IFERROR(VLOOKUP(Substitution!$M$11 &amp; $A6, US_national_yearly!$D:$AM, MATCH(S$1, US_national_yearly!$D$1:$AM$1, 0), FALSE) / VLOOKUP(Substitution!$M$11 &amp; $A6, US_national_yearly!$D:$AM, MATCH(Keys!$C$7, US_national_yearly!$D$1:$AM$1, 0), FALSE), 1)</f>
        <v>0.11465310796479981</v>
      </c>
      <c r="T6" s="12">
        <f>$B6 * IFERROR(VLOOKUP(Substitution!$M$11 &amp; $A6, US_national_yearly!$D:$AM, MATCH(T$1, US_national_yearly!$D$1:$AM$1, 0), FALSE) / VLOOKUP(Substitution!$M$11 &amp; $A6, US_national_yearly!$D:$AM, MATCH(Keys!$C$7, US_national_yearly!$D$1:$AM$1, 0), FALSE), 1)</f>
        <v>0.11465310796479981</v>
      </c>
      <c r="U6" s="12">
        <f>$B6 * IFERROR(VLOOKUP(Substitution!$M$11 &amp; $A6, US_national_yearly!$D:$AM, MATCH(U$1, US_national_yearly!$D$1:$AM$1, 0), FALSE) / VLOOKUP(Substitution!$M$11 &amp; $A6, US_national_yearly!$D:$AM, MATCH(Keys!$C$7, US_national_yearly!$D$1:$AM$1, 0), FALSE), 1)</f>
        <v>0.11465310796479981</v>
      </c>
      <c r="V6" s="12">
        <f>$B6 * IFERROR(VLOOKUP(Substitution!$M$11 &amp; $A6, US_national_yearly!$D:$AM, MATCH(V$1, US_national_yearly!$D$1:$AM$1, 0), FALSE) / VLOOKUP(Substitution!$M$11 &amp; $A6, US_national_yearly!$D:$AM, MATCH(Keys!$C$7, US_national_yearly!$D$1:$AM$1, 0), FALSE), 1)</f>
        <v>0.11465310796479981</v>
      </c>
      <c r="W6" s="12">
        <f>$B6 * IFERROR(VLOOKUP(Substitution!$M$11 &amp; $A6, US_national_yearly!$D:$AM, MATCH(W$1, US_national_yearly!$D$1:$AM$1, 0), FALSE) / VLOOKUP(Substitution!$M$11 &amp; $A6, US_national_yearly!$D:$AM, MATCH(Keys!$C$7, US_national_yearly!$D$1:$AM$1, 0), FALSE), 1)</f>
        <v>0.11465310796479981</v>
      </c>
      <c r="X6" s="12">
        <f>$B6 * IFERROR(VLOOKUP(Substitution!$M$11 &amp; $A6, US_national_yearly!$D:$AM, MATCH(X$1, US_national_yearly!$D$1:$AM$1, 0), FALSE) / VLOOKUP(Substitution!$M$11 &amp; $A6, US_national_yearly!$D:$AM, MATCH(Keys!$C$7, US_national_yearly!$D$1:$AM$1, 0), FALSE), 1)</f>
        <v>0.11465310796479981</v>
      </c>
      <c r="Y6" s="12">
        <f>$B6 * IFERROR(VLOOKUP(Substitution!$M$11 &amp; $A6, US_national_yearly!$D:$AM, MATCH(Y$1, US_national_yearly!$D$1:$AM$1, 0), FALSE) / VLOOKUP(Substitution!$M$11 &amp; $A6, US_national_yearly!$D:$AM, MATCH(Keys!$C$7, US_national_yearly!$D$1:$AM$1, 0), FALSE), 1)</f>
        <v>0.11465310796479981</v>
      </c>
      <c r="Z6" s="12">
        <f>$B6 * IFERROR(VLOOKUP(Substitution!$M$11 &amp; $A6, US_national_yearly!$D:$AM, MATCH(Z$1, US_national_yearly!$D$1:$AM$1, 0), FALSE) / VLOOKUP(Substitution!$M$11 &amp; $A6, US_national_yearly!$D:$AM, MATCH(Keys!$C$7, US_national_yearly!$D$1:$AM$1, 0), FALSE), 1)</f>
        <v>0.11465310796479981</v>
      </c>
      <c r="AA6" s="12">
        <f>$B6 * IFERROR(VLOOKUP(Substitution!$M$11 &amp; $A6, US_national_yearly!$D:$AM, MATCH(AA$1, US_national_yearly!$D$1:$AM$1, 0), FALSE) / VLOOKUP(Substitution!$M$11 &amp; $A6, US_national_yearly!$D:$AM, MATCH(Keys!$C$7, US_national_yearly!$D$1:$AM$1, 0), FALSE), 1)</f>
        <v>0.11465310796479981</v>
      </c>
      <c r="AB6" s="12">
        <f>$B6 * IFERROR(VLOOKUP(Substitution!$M$11 &amp; $A6, US_national_yearly!$D:$AM, MATCH(AB$1, US_national_yearly!$D$1:$AM$1, 0), FALSE) / VLOOKUP(Substitution!$M$11 &amp; $A6, US_national_yearly!$D:$AM, MATCH(Keys!$C$7, US_national_yearly!$D$1:$AM$1, 0), FALSE), 1)</f>
        <v>0.11465310796479981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Substitution!$G$11)/IFERROR(SUMIFS(COBRA_aggregated!$U:$U, COBRA_aggregated!$A:$A, About!$B$1, COBRA_aggregated!$B:$B, Substitution!$G$11), 1)</f>
        <v>0.15439634475995859</v>
      </c>
      <c r="C7" s="12">
        <f>$B7 * IFERROR(VLOOKUP(Substitution!$M$11 &amp; $A7, US_national_yearly!$D:$AM, MATCH(C$1, US_national_yearly!$D$1:$AM$1, 0), FALSE) / VLOOKUP(Substitution!$M$11 &amp; $A7, US_national_yearly!$D:$AM, MATCH(Keys!$C$7, US_national_yearly!$D$1:$AM$1, 0), FALSE), 1)</f>
        <v>0.15439634475995859</v>
      </c>
      <c r="D7" s="12">
        <f>$B7 * IFERROR(VLOOKUP(Substitution!$M$11 &amp; $A7, US_national_yearly!$D:$AM, MATCH(D$1, US_national_yearly!$D$1:$AM$1, 0), FALSE) / VLOOKUP(Substitution!$M$11 &amp; $A7, US_national_yearly!$D:$AM, MATCH(Keys!$C$7, US_national_yearly!$D$1:$AM$1, 0), FALSE), 1)</f>
        <v>0.15439634475995859</v>
      </c>
      <c r="E7" s="12">
        <f>$B7 * IFERROR(VLOOKUP(Substitution!$M$11 &amp; $A7, US_national_yearly!$D:$AM, MATCH(E$1, US_national_yearly!$D$1:$AM$1, 0), FALSE) / VLOOKUP(Substitution!$M$11 &amp; $A7, US_national_yearly!$D:$AM, MATCH(Keys!$C$7, US_national_yearly!$D$1:$AM$1, 0), FALSE), 1)</f>
        <v>0.15439634475995859</v>
      </c>
      <c r="F7" s="12">
        <f>$B7 * IFERROR(VLOOKUP(Substitution!$M$11 &amp; $A7, US_national_yearly!$D:$AM, MATCH(F$1, US_national_yearly!$D$1:$AM$1, 0), FALSE) / VLOOKUP(Substitution!$M$11 &amp; $A7, US_national_yearly!$D:$AM, MATCH(Keys!$C$7, US_national_yearly!$D$1:$AM$1, 0), FALSE), 1)</f>
        <v>0.15439634475995859</v>
      </c>
      <c r="G7" s="12">
        <f>$B7 * IFERROR(VLOOKUP(Substitution!$M$11 &amp; $A7, US_national_yearly!$D:$AM, MATCH(G$1, US_national_yearly!$D$1:$AM$1, 0), FALSE) / VLOOKUP(Substitution!$M$11 &amp; $A7, US_national_yearly!$D:$AM, MATCH(Keys!$C$7, US_national_yearly!$D$1:$AM$1, 0), FALSE), 1)</f>
        <v>0.15439634475995859</v>
      </c>
      <c r="H7" s="12">
        <f>$B7 * IFERROR(VLOOKUP(Substitution!$M$11 &amp; $A7, US_national_yearly!$D:$AM, MATCH(H$1, US_national_yearly!$D$1:$AM$1, 0), FALSE) / VLOOKUP(Substitution!$M$11 &amp; $A7, US_national_yearly!$D:$AM, MATCH(Keys!$C$7, US_national_yearly!$D$1:$AM$1, 0), FALSE), 1)</f>
        <v>0.15439634475995859</v>
      </c>
      <c r="I7" s="12">
        <f>$B7 * IFERROR(VLOOKUP(Substitution!$M$11 &amp; $A7, US_national_yearly!$D:$AM, MATCH(I$1, US_national_yearly!$D$1:$AM$1, 0), FALSE) / VLOOKUP(Substitution!$M$11 &amp; $A7, US_national_yearly!$D:$AM, MATCH(Keys!$C$7, US_national_yearly!$D$1:$AM$1, 0), FALSE), 1)</f>
        <v>0.15439634475995859</v>
      </c>
      <c r="J7" s="12">
        <f>$B7 * IFERROR(VLOOKUP(Substitution!$M$11 &amp; $A7, US_national_yearly!$D:$AM, MATCH(J$1, US_national_yearly!$D$1:$AM$1, 0), FALSE) / VLOOKUP(Substitution!$M$11 &amp; $A7, US_national_yearly!$D:$AM, MATCH(Keys!$C$7, US_national_yearly!$D$1:$AM$1, 0), FALSE), 1)</f>
        <v>0.15439634475995859</v>
      </c>
      <c r="K7" s="12">
        <f>$B7 * IFERROR(VLOOKUP(Substitution!$M$11 &amp; $A7, US_national_yearly!$D:$AM, MATCH(K$1, US_national_yearly!$D$1:$AM$1, 0), FALSE) / VLOOKUP(Substitution!$M$11 &amp; $A7, US_national_yearly!$D:$AM, MATCH(Keys!$C$7, US_national_yearly!$D$1:$AM$1, 0), FALSE), 1)</f>
        <v>0.15439634475995859</v>
      </c>
      <c r="L7" s="12">
        <f>$B7 * IFERROR(VLOOKUP(Substitution!$M$11 &amp; $A7, US_national_yearly!$D:$AM, MATCH(L$1, US_national_yearly!$D$1:$AM$1, 0), FALSE) / VLOOKUP(Substitution!$M$11 &amp; $A7, US_national_yearly!$D:$AM, MATCH(Keys!$C$7, US_national_yearly!$D$1:$AM$1, 0), FALSE), 1)</f>
        <v>0.15439634475995859</v>
      </c>
      <c r="M7" s="12">
        <f>$B7 * IFERROR(VLOOKUP(Substitution!$M$11 &amp; $A7, US_national_yearly!$D:$AM, MATCH(M$1, US_national_yearly!$D$1:$AM$1, 0), FALSE) / VLOOKUP(Substitution!$M$11 &amp; $A7, US_national_yearly!$D:$AM, MATCH(Keys!$C$7, US_national_yearly!$D$1:$AM$1, 0), FALSE), 1)</f>
        <v>0.15439634475995859</v>
      </c>
      <c r="N7" s="12">
        <f>$B7 * IFERROR(VLOOKUP(Substitution!$M$11 &amp; $A7, US_national_yearly!$D:$AM, MATCH(N$1, US_national_yearly!$D$1:$AM$1, 0), FALSE) / VLOOKUP(Substitution!$M$11 &amp; $A7, US_national_yearly!$D:$AM, MATCH(Keys!$C$7, US_national_yearly!$D$1:$AM$1, 0), FALSE), 1)</f>
        <v>0.15439634475995859</v>
      </c>
      <c r="O7" s="12">
        <f>$B7 * IFERROR(VLOOKUP(Substitution!$M$11 &amp; $A7, US_national_yearly!$D:$AM, MATCH(O$1, US_national_yearly!$D$1:$AM$1, 0), FALSE) / VLOOKUP(Substitution!$M$11 &amp; $A7, US_national_yearly!$D:$AM, MATCH(Keys!$C$7, US_national_yearly!$D$1:$AM$1, 0), FALSE), 1)</f>
        <v>0.15439634475995859</v>
      </c>
      <c r="P7" s="12">
        <f>$B7 * IFERROR(VLOOKUP(Substitution!$M$11 &amp; $A7, US_national_yearly!$D:$AM, MATCH(P$1, US_national_yearly!$D$1:$AM$1, 0), FALSE) / VLOOKUP(Substitution!$M$11 &amp; $A7, US_national_yearly!$D:$AM, MATCH(Keys!$C$7, US_national_yearly!$D$1:$AM$1, 0), FALSE), 1)</f>
        <v>0.15439634475995859</v>
      </c>
      <c r="Q7" s="12">
        <f>$B7 * IFERROR(VLOOKUP(Substitution!$M$11 &amp; $A7, US_national_yearly!$D:$AM, MATCH(Q$1, US_national_yearly!$D$1:$AM$1, 0), FALSE) / VLOOKUP(Substitution!$M$11 &amp; $A7, US_national_yearly!$D:$AM, MATCH(Keys!$C$7, US_national_yearly!$D$1:$AM$1, 0), FALSE), 1)</f>
        <v>0.15439634475995859</v>
      </c>
      <c r="R7" s="12">
        <f>$B7 * IFERROR(VLOOKUP(Substitution!$M$11 &amp; $A7, US_national_yearly!$D:$AM, MATCH(R$1, US_national_yearly!$D$1:$AM$1, 0), FALSE) / VLOOKUP(Substitution!$M$11 &amp; $A7, US_national_yearly!$D:$AM, MATCH(Keys!$C$7, US_national_yearly!$D$1:$AM$1, 0), FALSE), 1)</f>
        <v>0.15439634475995859</v>
      </c>
      <c r="S7" s="12">
        <f>$B7 * IFERROR(VLOOKUP(Substitution!$M$11 &amp; $A7, US_national_yearly!$D:$AM, MATCH(S$1, US_national_yearly!$D$1:$AM$1, 0), FALSE) / VLOOKUP(Substitution!$M$11 &amp; $A7, US_national_yearly!$D:$AM, MATCH(Keys!$C$7, US_national_yearly!$D$1:$AM$1, 0), FALSE), 1)</f>
        <v>0.15439634475995859</v>
      </c>
      <c r="T7" s="12">
        <f>$B7 * IFERROR(VLOOKUP(Substitution!$M$11 &amp; $A7, US_national_yearly!$D:$AM, MATCH(T$1, US_national_yearly!$D$1:$AM$1, 0), FALSE) / VLOOKUP(Substitution!$M$11 &amp; $A7, US_national_yearly!$D:$AM, MATCH(Keys!$C$7, US_national_yearly!$D$1:$AM$1, 0), FALSE), 1)</f>
        <v>0.15439634475995859</v>
      </c>
      <c r="U7" s="12">
        <f>$B7 * IFERROR(VLOOKUP(Substitution!$M$11 &amp; $A7, US_national_yearly!$D:$AM, MATCH(U$1, US_national_yearly!$D$1:$AM$1, 0), FALSE) / VLOOKUP(Substitution!$M$11 &amp; $A7, US_national_yearly!$D:$AM, MATCH(Keys!$C$7, US_national_yearly!$D$1:$AM$1, 0), FALSE), 1)</f>
        <v>0.15439634475995859</v>
      </c>
      <c r="V7" s="12">
        <f>$B7 * IFERROR(VLOOKUP(Substitution!$M$11 &amp; $A7, US_national_yearly!$D:$AM, MATCH(V$1, US_national_yearly!$D$1:$AM$1, 0), FALSE) / VLOOKUP(Substitution!$M$11 &amp; $A7, US_national_yearly!$D:$AM, MATCH(Keys!$C$7, US_national_yearly!$D$1:$AM$1, 0), FALSE), 1)</f>
        <v>0.15439634475995859</v>
      </c>
      <c r="W7" s="12">
        <f>$B7 * IFERROR(VLOOKUP(Substitution!$M$11 &amp; $A7, US_national_yearly!$D:$AM, MATCH(W$1, US_national_yearly!$D$1:$AM$1, 0), FALSE) / VLOOKUP(Substitution!$M$11 &amp; $A7, US_national_yearly!$D:$AM, MATCH(Keys!$C$7, US_national_yearly!$D$1:$AM$1, 0), FALSE), 1)</f>
        <v>0.15439634475995859</v>
      </c>
      <c r="X7" s="12">
        <f>$B7 * IFERROR(VLOOKUP(Substitution!$M$11 &amp; $A7, US_national_yearly!$D:$AM, MATCH(X$1, US_national_yearly!$D$1:$AM$1, 0), FALSE) / VLOOKUP(Substitution!$M$11 &amp; $A7, US_national_yearly!$D:$AM, MATCH(Keys!$C$7, US_national_yearly!$D$1:$AM$1, 0), FALSE), 1)</f>
        <v>0.15439634475995859</v>
      </c>
      <c r="Y7" s="12">
        <f>$B7 * IFERROR(VLOOKUP(Substitution!$M$11 &amp; $A7, US_national_yearly!$D:$AM, MATCH(Y$1, US_national_yearly!$D$1:$AM$1, 0), FALSE) / VLOOKUP(Substitution!$M$11 &amp; $A7, US_national_yearly!$D:$AM, MATCH(Keys!$C$7, US_national_yearly!$D$1:$AM$1, 0), FALSE), 1)</f>
        <v>0.15439634475995859</v>
      </c>
      <c r="Z7" s="12">
        <f>$B7 * IFERROR(VLOOKUP(Substitution!$M$11 &amp; $A7, US_national_yearly!$D:$AM, MATCH(Z$1, US_national_yearly!$D$1:$AM$1, 0), FALSE) / VLOOKUP(Substitution!$M$11 &amp; $A7, US_national_yearly!$D:$AM, MATCH(Keys!$C$7, US_national_yearly!$D$1:$AM$1, 0), FALSE), 1)</f>
        <v>0.15439634475995859</v>
      </c>
      <c r="AA7" s="12">
        <f>$B7 * IFERROR(VLOOKUP(Substitution!$M$11 &amp; $A7, US_national_yearly!$D:$AM, MATCH(AA$1, US_national_yearly!$D$1:$AM$1, 0), FALSE) / VLOOKUP(Substitution!$M$11 &amp; $A7, US_national_yearly!$D:$AM, MATCH(Keys!$C$7, US_national_yearly!$D$1:$AM$1, 0), FALSE), 1)</f>
        <v>0.15439634475995859</v>
      </c>
      <c r="AB7" s="12">
        <f>$B7 * IFERROR(VLOOKUP(Substitution!$M$11 &amp; $A7, US_national_yearly!$D:$AM, MATCH(AB$1, US_national_yearly!$D$1:$AM$1, 0), FALSE) / VLOOKUP(Substitution!$M$11 &amp; $A7, US_national_yearly!$D:$AM, MATCH(Keys!$C$7, US_national_yearly!$D$1:$AM$1, 0), FALSE), 1)</f>
        <v>0.15439634475995859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Substitution!$G$11)/IFERROR(SUMIFS(COBRA_aggregated!$U:$U, COBRA_aggregated!$A:$A, About!$B$1, COBRA_aggregated!$B:$B, Substitution!$G$11), 1)</f>
        <v>0.23589395143307695</v>
      </c>
      <c r="C8" s="12">
        <f>$B8 * IFERROR(VLOOKUP(Substitution!$M$11 &amp; $A8, US_national_yearly!$D:$AM, MATCH(C$1, US_national_yearly!$D$1:$AM$1, 0), FALSE) / VLOOKUP(Substitution!$M$11 &amp; $A8, US_national_yearly!$D:$AM, MATCH(Keys!$C$7, US_national_yearly!$D$1:$AM$1, 0), FALSE), 1)</f>
        <v>0.23589395143307695</v>
      </c>
      <c r="D8" s="12">
        <f>$B8 * IFERROR(VLOOKUP(Substitution!$M$11 &amp; $A8, US_national_yearly!$D:$AM, MATCH(D$1, US_national_yearly!$D$1:$AM$1, 0), FALSE) / VLOOKUP(Substitution!$M$11 &amp; $A8, US_national_yearly!$D:$AM, MATCH(Keys!$C$7, US_national_yearly!$D$1:$AM$1, 0), FALSE), 1)</f>
        <v>0.23589395143307695</v>
      </c>
      <c r="E8" s="12">
        <f>$B8 * IFERROR(VLOOKUP(Substitution!$M$11 &amp; $A8, US_national_yearly!$D:$AM, MATCH(E$1, US_national_yearly!$D$1:$AM$1, 0), FALSE) / VLOOKUP(Substitution!$M$11 &amp; $A8, US_national_yearly!$D:$AM, MATCH(Keys!$C$7, US_national_yearly!$D$1:$AM$1, 0), FALSE), 1)</f>
        <v>0.23589395143307695</v>
      </c>
      <c r="F8" s="12">
        <f>$B8 * IFERROR(VLOOKUP(Substitution!$M$11 &amp; $A8, US_national_yearly!$D:$AM, MATCH(F$1, US_national_yearly!$D$1:$AM$1, 0), FALSE) / VLOOKUP(Substitution!$M$11 &amp; $A8, US_national_yearly!$D:$AM, MATCH(Keys!$C$7, US_national_yearly!$D$1:$AM$1, 0), FALSE), 1)</f>
        <v>0.23589395143307695</v>
      </c>
      <c r="G8" s="12">
        <f>$B8 * IFERROR(VLOOKUP(Substitution!$M$11 &amp; $A8, US_national_yearly!$D:$AM, MATCH(G$1, US_national_yearly!$D$1:$AM$1, 0), FALSE) / VLOOKUP(Substitution!$M$11 &amp; $A8, US_national_yearly!$D:$AM, MATCH(Keys!$C$7, US_national_yearly!$D$1:$AM$1, 0), FALSE), 1)</f>
        <v>0.23589395143307695</v>
      </c>
      <c r="H8" s="12">
        <f>$B8 * IFERROR(VLOOKUP(Substitution!$M$11 &amp; $A8, US_national_yearly!$D:$AM, MATCH(H$1, US_national_yearly!$D$1:$AM$1, 0), FALSE) / VLOOKUP(Substitution!$M$11 &amp; $A8, US_national_yearly!$D:$AM, MATCH(Keys!$C$7, US_national_yearly!$D$1:$AM$1, 0), FALSE), 1)</f>
        <v>0.23589395143307695</v>
      </c>
      <c r="I8" s="12">
        <f>$B8 * IFERROR(VLOOKUP(Substitution!$M$11 &amp; $A8, US_national_yearly!$D:$AM, MATCH(I$1, US_national_yearly!$D$1:$AM$1, 0), FALSE) / VLOOKUP(Substitution!$M$11 &amp; $A8, US_national_yearly!$D:$AM, MATCH(Keys!$C$7, US_national_yearly!$D$1:$AM$1, 0), FALSE), 1)</f>
        <v>0.23589395143307695</v>
      </c>
      <c r="J8" s="12">
        <f>$B8 * IFERROR(VLOOKUP(Substitution!$M$11 &amp; $A8, US_national_yearly!$D:$AM, MATCH(J$1, US_national_yearly!$D$1:$AM$1, 0), FALSE) / VLOOKUP(Substitution!$M$11 &amp; $A8, US_national_yearly!$D:$AM, MATCH(Keys!$C$7, US_national_yearly!$D$1:$AM$1, 0), FALSE), 1)</f>
        <v>0.23589395143307695</v>
      </c>
      <c r="K8" s="12">
        <f>$B8 * IFERROR(VLOOKUP(Substitution!$M$11 &amp; $A8, US_national_yearly!$D:$AM, MATCH(K$1, US_national_yearly!$D$1:$AM$1, 0), FALSE) / VLOOKUP(Substitution!$M$11 &amp; $A8, US_national_yearly!$D:$AM, MATCH(Keys!$C$7, US_national_yearly!$D$1:$AM$1, 0), FALSE), 1)</f>
        <v>0.23589395143307695</v>
      </c>
      <c r="L8" s="12">
        <f>$B8 * IFERROR(VLOOKUP(Substitution!$M$11 &amp; $A8, US_national_yearly!$D:$AM, MATCH(L$1, US_national_yearly!$D$1:$AM$1, 0), FALSE) / VLOOKUP(Substitution!$M$11 &amp; $A8, US_national_yearly!$D:$AM, MATCH(Keys!$C$7, US_national_yearly!$D$1:$AM$1, 0), FALSE), 1)</f>
        <v>0.23589395143307695</v>
      </c>
      <c r="M8" s="12">
        <f>$B8 * IFERROR(VLOOKUP(Substitution!$M$11 &amp; $A8, US_national_yearly!$D:$AM, MATCH(M$1, US_national_yearly!$D$1:$AM$1, 0), FALSE) / VLOOKUP(Substitution!$M$11 &amp; $A8, US_national_yearly!$D:$AM, MATCH(Keys!$C$7, US_national_yearly!$D$1:$AM$1, 0), FALSE), 1)</f>
        <v>0.23589395143307695</v>
      </c>
      <c r="N8" s="12">
        <f>$B8 * IFERROR(VLOOKUP(Substitution!$M$11 &amp; $A8, US_national_yearly!$D:$AM, MATCH(N$1, US_national_yearly!$D$1:$AM$1, 0), FALSE) / VLOOKUP(Substitution!$M$11 &amp; $A8, US_national_yearly!$D:$AM, MATCH(Keys!$C$7, US_national_yearly!$D$1:$AM$1, 0), FALSE), 1)</f>
        <v>0.23589395143307695</v>
      </c>
      <c r="O8" s="12">
        <f>$B8 * IFERROR(VLOOKUP(Substitution!$M$11 &amp; $A8, US_national_yearly!$D:$AM, MATCH(O$1, US_national_yearly!$D$1:$AM$1, 0), FALSE) / VLOOKUP(Substitution!$M$11 &amp; $A8, US_national_yearly!$D:$AM, MATCH(Keys!$C$7, US_national_yearly!$D$1:$AM$1, 0), FALSE), 1)</f>
        <v>0.23589395143307695</v>
      </c>
      <c r="P8" s="12">
        <f>$B8 * IFERROR(VLOOKUP(Substitution!$M$11 &amp; $A8, US_national_yearly!$D:$AM, MATCH(P$1, US_national_yearly!$D$1:$AM$1, 0), FALSE) / VLOOKUP(Substitution!$M$11 &amp; $A8, US_national_yearly!$D:$AM, MATCH(Keys!$C$7, US_national_yearly!$D$1:$AM$1, 0), FALSE), 1)</f>
        <v>0.23589395143307695</v>
      </c>
      <c r="Q8" s="12">
        <f>$B8 * IFERROR(VLOOKUP(Substitution!$M$11 &amp; $A8, US_national_yearly!$D:$AM, MATCH(Q$1, US_national_yearly!$D$1:$AM$1, 0), FALSE) / VLOOKUP(Substitution!$M$11 &amp; $A8, US_national_yearly!$D:$AM, MATCH(Keys!$C$7, US_national_yearly!$D$1:$AM$1, 0), FALSE), 1)</f>
        <v>0.23589395143307695</v>
      </c>
      <c r="R8" s="12">
        <f>$B8 * IFERROR(VLOOKUP(Substitution!$M$11 &amp; $A8, US_national_yearly!$D:$AM, MATCH(R$1, US_national_yearly!$D$1:$AM$1, 0), FALSE) / VLOOKUP(Substitution!$M$11 &amp; $A8, US_national_yearly!$D:$AM, MATCH(Keys!$C$7, US_national_yearly!$D$1:$AM$1, 0), FALSE), 1)</f>
        <v>0.23589395143307695</v>
      </c>
      <c r="S8" s="12">
        <f>$B8 * IFERROR(VLOOKUP(Substitution!$M$11 &amp; $A8, US_national_yearly!$D:$AM, MATCH(S$1, US_national_yearly!$D$1:$AM$1, 0), FALSE) / VLOOKUP(Substitution!$M$11 &amp; $A8, US_national_yearly!$D:$AM, MATCH(Keys!$C$7, US_national_yearly!$D$1:$AM$1, 0), FALSE), 1)</f>
        <v>0.23589395143307695</v>
      </c>
      <c r="T8" s="12">
        <f>$B8 * IFERROR(VLOOKUP(Substitution!$M$11 &amp; $A8, US_national_yearly!$D:$AM, MATCH(T$1, US_national_yearly!$D$1:$AM$1, 0), FALSE) / VLOOKUP(Substitution!$M$11 &amp; $A8, US_national_yearly!$D:$AM, MATCH(Keys!$C$7, US_national_yearly!$D$1:$AM$1, 0), FALSE), 1)</f>
        <v>0.23589395143307695</v>
      </c>
      <c r="U8" s="12">
        <f>$B8 * IFERROR(VLOOKUP(Substitution!$M$11 &amp; $A8, US_national_yearly!$D:$AM, MATCH(U$1, US_national_yearly!$D$1:$AM$1, 0), FALSE) / VLOOKUP(Substitution!$M$11 &amp; $A8, US_national_yearly!$D:$AM, MATCH(Keys!$C$7, US_national_yearly!$D$1:$AM$1, 0), FALSE), 1)</f>
        <v>0.23589395143307695</v>
      </c>
      <c r="V8" s="12">
        <f>$B8 * IFERROR(VLOOKUP(Substitution!$M$11 &amp; $A8, US_national_yearly!$D:$AM, MATCH(V$1, US_national_yearly!$D$1:$AM$1, 0), FALSE) / VLOOKUP(Substitution!$M$11 &amp; $A8, US_national_yearly!$D:$AM, MATCH(Keys!$C$7, US_national_yearly!$D$1:$AM$1, 0), FALSE), 1)</f>
        <v>0.23589395143307695</v>
      </c>
      <c r="W8" s="12">
        <f>$B8 * IFERROR(VLOOKUP(Substitution!$M$11 &amp; $A8, US_national_yearly!$D:$AM, MATCH(W$1, US_national_yearly!$D$1:$AM$1, 0), FALSE) / VLOOKUP(Substitution!$M$11 &amp; $A8, US_national_yearly!$D:$AM, MATCH(Keys!$C$7, US_national_yearly!$D$1:$AM$1, 0), FALSE), 1)</f>
        <v>0.23589395143307695</v>
      </c>
      <c r="X8" s="12">
        <f>$B8 * IFERROR(VLOOKUP(Substitution!$M$11 &amp; $A8, US_national_yearly!$D:$AM, MATCH(X$1, US_national_yearly!$D$1:$AM$1, 0), FALSE) / VLOOKUP(Substitution!$M$11 &amp; $A8, US_national_yearly!$D:$AM, MATCH(Keys!$C$7, US_national_yearly!$D$1:$AM$1, 0), FALSE), 1)</f>
        <v>0.23589395143307695</v>
      </c>
      <c r="Y8" s="12">
        <f>$B8 * IFERROR(VLOOKUP(Substitution!$M$11 &amp; $A8, US_national_yearly!$D:$AM, MATCH(Y$1, US_national_yearly!$D$1:$AM$1, 0), FALSE) / VLOOKUP(Substitution!$M$11 &amp; $A8, US_national_yearly!$D:$AM, MATCH(Keys!$C$7, US_national_yearly!$D$1:$AM$1, 0), FALSE), 1)</f>
        <v>0.23589395143307695</v>
      </c>
      <c r="Z8" s="12">
        <f>$B8 * IFERROR(VLOOKUP(Substitution!$M$11 &amp; $A8, US_national_yearly!$D:$AM, MATCH(Z$1, US_national_yearly!$D$1:$AM$1, 0), FALSE) / VLOOKUP(Substitution!$M$11 &amp; $A8, US_national_yearly!$D:$AM, MATCH(Keys!$C$7, US_national_yearly!$D$1:$AM$1, 0), FALSE), 1)</f>
        <v>0.23589395143307695</v>
      </c>
      <c r="AA8" s="12">
        <f>$B8 * IFERROR(VLOOKUP(Substitution!$M$11 &amp; $A8, US_national_yearly!$D:$AM, MATCH(AA$1, US_national_yearly!$D$1:$AM$1, 0), FALSE) / VLOOKUP(Substitution!$M$11 &amp; $A8, US_national_yearly!$D:$AM, MATCH(Keys!$C$7, US_national_yearly!$D$1:$AM$1, 0), FALSE), 1)</f>
        <v>0.23589395143307695</v>
      </c>
      <c r="AB8" s="12">
        <f>$B8 * IFERROR(VLOOKUP(Substitution!$M$11 &amp; $A8, US_national_yearly!$D:$AM, MATCH(AB$1, US_national_yearly!$D$1:$AM$1, 0), FALSE) / VLOOKUP(Substitution!$M$11 &amp; $A8, US_national_yearly!$D:$AM, MATCH(Keys!$C$7, US_national_yearly!$D$1:$AM$1, 0), FALSE), 1)</f>
        <v>0.23589395143307695</v>
      </c>
    </row>
    <row r="9" spans="1:28" x14ac:dyDescent="0.25">
      <c r="A9" s="4" t="s">
        <v>305</v>
      </c>
      <c r="B9" s="12">
        <f>IFERROR(VLOOKUP(Substitution!$M$11 &amp; $A9, US_national_yearly!$D:$AM, MATCH(Keys!$C$7, US_national_yearly!$D$1:$AM$1, 0), FALSE), 0)</f>
        <v>3.2867505663093717E-2</v>
      </c>
      <c r="C9" s="12">
        <f>$B9 * IFERROR(VLOOKUP(Substitution!$M$11 &amp; $A9, US_national_yearly!$D:$AM, MATCH(C$1, US_national_yearly!$D$1:$AM$1, 0), FALSE) / VLOOKUP(Substitution!$M$11 &amp; $A9, US_national_yearly!$D:$AM, MATCH(Keys!$C$7, US_national_yearly!$D$1:$AM$1, 0), FALSE), 1)</f>
        <v>3.3080673372757739E-2</v>
      </c>
      <c r="D9" s="12">
        <f>$B9 * IFERROR(VLOOKUP(Substitution!$M$11 &amp; $A9, US_national_yearly!$D:$AM, MATCH(D$1, US_national_yearly!$D$1:$AM$1, 0), FALSE) / VLOOKUP(Substitution!$M$11 &amp; $A9, US_national_yearly!$D:$AM, MATCH(Keys!$C$7, US_national_yearly!$D$1:$AM$1, 0), FALSE), 1)</f>
        <v>3.3293841082421761E-2</v>
      </c>
      <c r="E9" s="12">
        <f>$B9 * IFERROR(VLOOKUP(Substitution!$M$11 &amp; $A9, US_national_yearly!$D:$AM, MATCH(E$1, US_national_yearly!$D$1:$AM$1, 0), FALSE) / VLOOKUP(Substitution!$M$11 &amp; $A9, US_national_yearly!$D:$AM, MATCH(Keys!$C$7, US_national_yearly!$D$1:$AM$1, 0), FALSE), 1)</f>
        <v>3.3507008792085777E-2</v>
      </c>
      <c r="F9" s="12">
        <f>$B9 * IFERROR(VLOOKUP(Substitution!$M$11 &amp; $A9, US_national_yearly!$D:$AM, MATCH(F$1, US_national_yearly!$D$1:$AM$1, 0), FALSE) / VLOOKUP(Substitution!$M$11 &amp; $A9, US_national_yearly!$D:$AM, MATCH(Keys!$C$7, US_national_yearly!$D$1:$AM$1, 0), FALSE), 1)</f>
        <v>3.3720176501749799E-2</v>
      </c>
      <c r="G9" s="12">
        <f>$B9 * IFERROR(VLOOKUP(Substitution!$M$11 &amp; $A9, US_national_yearly!$D:$AM, MATCH(G$1, US_national_yearly!$D$1:$AM$1, 0), FALSE) / VLOOKUP(Substitution!$M$11 &amp; $A9, US_national_yearly!$D:$AM, MATCH(Keys!$C$7, US_national_yearly!$D$1:$AM$1, 0), FALSE), 1)</f>
        <v>3.3910805761969802E-2</v>
      </c>
      <c r="H9" s="12">
        <f>$B9 * IFERROR(VLOOKUP(Substitution!$M$11 &amp; $A9, US_national_yearly!$D:$AM, MATCH(H$1, US_national_yearly!$D$1:$AM$1, 0), FALSE) / VLOOKUP(Substitution!$M$11 &amp; $A9, US_national_yearly!$D:$AM, MATCH(Keys!$C$7, US_national_yearly!$D$1:$AM$1, 0), FALSE), 1)</f>
        <v>3.4101435022189798E-2</v>
      </c>
      <c r="I9" s="12">
        <f>$B9 * IFERROR(VLOOKUP(Substitution!$M$11 &amp; $A9, US_national_yearly!$D:$AM, MATCH(I$1, US_national_yearly!$D$1:$AM$1, 0), FALSE) / VLOOKUP(Substitution!$M$11 &amp; $A9, US_national_yearly!$D:$AM, MATCH(Keys!$C$7, US_national_yearly!$D$1:$AM$1, 0), FALSE), 1)</f>
        <v>3.4258645040704638E-2</v>
      </c>
      <c r="J9" s="12">
        <f>$B9 * IFERROR(VLOOKUP(Substitution!$M$11 &amp; $A9, US_national_yearly!$D:$AM, MATCH(J$1, US_national_yearly!$D$1:$AM$1, 0), FALSE) / VLOOKUP(Substitution!$M$11 &amp; $A9, US_national_yearly!$D:$AM, MATCH(Keys!$C$7, US_national_yearly!$D$1:$AM$1, 0), FALSE), 1)</f>
        <v>3.4415855059219479E-2</v>
      </c>
      <c r="K9" s="12">
        <f>$B9 * IFERROR(VLOOKUP(Substitution!$M$11 &amp; $A9, US_national_yearly!$D:$AM, MATCH(K$1, US_national_yearly!$D$1:$AM$1, 0), FALSE) / VLOOKUP(Substitution!$M$11 &amp; $A9, US_national_yearly!$D:$AM, MATCH(Keys!$C$7, US_national_yearly!$D$1:$AM$1, 0), FALSE), 1)</f>
        <v>3.4573065077734319E-2</v>
      </c>
      <c r="L9" s="12">
        <f>$B9 * IFERROR(VLOOKUP(Substitution!$M$11 &amp; $A9, US_national_yearly!$D:$AM, MATCH(L$1, US_national_yearly!$D$1:$AM$1, 0), FALSE) / VLOOKUP(Substitution!$M$11 &amp; $A9, US_national_yearly!$D:$AM, MATCH(Keys!$C$7, US_national_yearly!$D$1:$AM$1, 0), FALSE), 1)</f>
        <v>3.4730275096249159E-2</v>
      </c>
      <c r="M9" s="12">
        <f>$B9 * IFERROR(VLOOKUP(Substitution!$M$11 &amp; $A9, US_national_yearly!$D:$AM, MATCH(M$1, US_national_yearly!$D$1:$AM$1, 0), FALSE) / VLOOKUP(Substitution!$M$11 &amp; $A9, US_national_yearly!$D:$AM, MATCH(Keys!$C$7, US_national_yearly!$D$1:$AM$1, 0), FALSE), 1)</f>
        <v>3.4887485114764E-2</v>
      </c>
      <c r="N9" s="12">
        <f>$B9 * IFERROR(VLOOKUP(Substitution!$M$11 &amp; $A9, US_national_yearly!$D:$AM, MATCH(N$1, US_national_yearly!$D$1:$AM$1, 0), FALSE) / VLOOKUP(Substitution!$M$11 &amp; $A9, US_national_yearly!$D:$AM, MATCH(Keys!$C$7, US_national_yearly!$D$1:$AM$1, 0), FALSE), 1)</f>
        <v>3.5034746197388139E-2</v>
      </c>
      <c r="O9" s="12">
        <f>$B9 * IFERROR(VLOOKUP(Substitution!$M$11 &amp; $A9, US_national_yearly!$D:$AM, MATCH(O$1, US_national_yearly!$D$1:$AM$1, 0), FALSE) / VLOOKUP(Substitution!$M$11 &amp; $A9, US_national_yearly!$D:$AM, MATCH(Keys!$C$7, US_national_yearly!$D$1:$AM$1, 0), FALSE), 1)</f>
        <v>3.5182007280012279E-2</v>
      </c>
      <c r="P9" s="12">
        <f>$B9 * IFERROR(VLOOKUP(Substitution!$M$11 &amp; $A9, US_national_yearly!$D:$AM, MATCH(P$1, US_national_yearly!$D$1:$AM$1, 0), FALSE) / VLOOKUP(Substitution!$M$11 &amp; $A9, US_national_yearly!$D:$AM, MATCH(Keys!$C$7, US_national_yearly!$D$1:$AM$1, 0), FALSE), 1)</f>
        <v>3.5329268362636418E-2</v>
      </c>
      <c r="Q9" s="12">
        <f>$B9 * IFERROR(VLOOKUP(Substitution!$M$11 &amp; $A9, US_national_yearly!$D:$AM, MATCH(Q$1, US_national_yearly!$D$1:$AM$1, 0), FALSE) / VLOOKUP(Substitution!$M$11 &amp; $A9, US_national_yearly!$D:$AM, MATCH(Keys!$C$7, US_national_yearly!$D$1:$AM$1, 0), FALSE), 1)</f>
        <v>3.5476529445260557E-2</v>
      </c>
      <c r="R9" s="12">
        <f>$B9 * IFERROR(VLOOKUP(Substitution!$M$11 &amp; $A9, US_national_yearly!$D:$AM, MATCH(R$1, US_national_yearly!$D$1:$AM$1, 0), FALSE) / VLOOKUP(Substitution!$M$11 &amp; $A9, US_national_yearly!$D:$AM, MATCH(Keys!$C$7, US_national_yearly!$D$1:$AM$1, 0), FALSE), 1)</f>
        <v>3.5623790527884697E-2</v>
      </c>
      <c r="S9" s="12">
        <f>$B9 * IFERROR(VLOOKUP(Substitution!$M$11 &amp; $A9, US_national_yearly!$D:$AM, MATCH(S$1, US_national_yearly!$D$1:$AM$1, 0), FALSE) / VLOOKUP(Substitution!$M$11 &amp; $A9, US_national_yearly!$D:$AM, MATCH(Keys!$C$7, US_national_yearly!$D$1:$AM$1, 0), FALSE), 1)</f>
        <v>3.5765974146242559E-2</v>
      </c>
      <c r="T9" s="12">
        <f>$B9 * IFERROR(VLOOKUP(Substitution!$M$11 &amp; $A9, US_national_yearly!$D:$AM, MATCH(T$1, US_national_yearly!$D$1:$AM$1, 0), FALSE) / VLOOKUP(Substitution!$M$11 &amp; $A9, US_national_yearly!$D:$AM, MATCH(Keys!$C$7, US_national_yearly!$D$1:$AM$1, 0), FALSE), 1)</f>
        <v>3.5908157764600421E-2</v>
      </c>
      <c r="U9" s="12">
        <f>$B9 * IFERROR(VLOOKUP(Substitution!$M$11 &amp; $A9, US_national_yearly!$D:$AM, MATCH(U$1, US_national_yearly!$D$1:$AM$1, 0), FALSE) / VLOOKUP(Substitution!$M$11 &amp; $A9, US_national_yearly!$D:$AM, MATCH(Keys!$C$7, US_national_yearly!$D$1:$AM$1, 0), FALSE), 1)</f>
        <v>3.6050341382958283E-2</v>
      </c>
      <c r="V9" s="12">
        <f>$B9 * IFERROR(VLOOKUP(Substitution!$M$11 &amp; $A9, US_national_yearly!$D:$AM, MATCH(V$1, US_national_yearly!$D$1:$AM$1, 0), FALSE) / VLOOKUP(Substitution!$M$11 &amp; $A9, US_national_yearly!$D:$AM, MATCH(Keys!$C$7, US_national_yearly!$D$1:$AM$1, 0), FALSE), 1)</f>
        <v>3.6192525001316145E-2</v>
      </c>
      <c r="W9" s="12">
        <f>$B9 * IFERROR(VLOOKUP(Substitution!$M$11 &amp; $A9, US_national_yearly!$D:$AM, MATCH(W$1, US_national_yearly!$D$1:$AM$1, 0), FALSE) / VLOOKUP(Substitution!$M$11 &amp; $A9, US_national_yearly!$D:$AM, MATCH(Keys!$C$7, US_national_yearly!$D$1:$AM$1, 0), FALSE), 1)</f>
        <v>3.6334708619674E-2</v>
      </c>
      <c r="X9" s="12">
        <f>$B9 * IFERROR(VLOOKUP(Substitution!$M$11 &amp; $A9, US_national_yearly!$D:$AM, MATCH(X$1, US_national_yearly!$D$1:$AM$1, 0), FALSE) / VLOOKUP(Substitution!$M$11 &amp; $A9, US_national_yearly!$D:$AM, MATCH(Keys!$C$7, US_national_yearly!$D$1:$AM$1, 0), FALSE), 1)</f>
        <v>3.64662633750448E-2</v>
      </c>
      <c r="Y9" s="12">
        <f>$B9 * IFERROR(VLOOKUP(Substitution!$M$11 &amp; $A9, US_national_yearly!$D:$AM, MATCH(Y$1, US_national_yearly!$D$1:$AM$1, 0), FALSE) / VLOOKUP(Substitution!$M$11 &amp; $A9, US_national_yearly!$D:$AM, MATCH(Keys!$C$7, US_national_yearly!$D$1:$AM$1, 0), FALSE), 1)</f>
        <v>3.6597818130415599E-2</v>
      </c>
      <c r="Z9" s="12">
        <f>$B9 * IFERROR(VLOOKUP(Substitution!$M$11 &amp; $A9, US_national_yearly!$D:$AM, MATCH(Z$1, US_national_yearly!$D$1:$AM$1, 0), FALSE) / VLOOKUP(Substitution!$M$11 &amp; $A9, US_national_yearly!$D:$AM, MATCH(Keys!$C$7, US_national_yearly!$D$1:$AM$1, 0), FALSE), 1)</f>
        <v>3.6729372885786399E-2</v>
      </c>
      <c r="AA9" s="12">
        <f>$B9 * IFERROR(VLOOKUP(Substitution!$M$11 &amp; $A9, US_national_yearly!$D:$AM, MATCH(AA$1, US_national_yearly!$D$1:$AM$1, 0), FALSE) / VLOOKUP(Substitution!$M$11 &amp; $A9, US_national_yearly!$D:$AM, MATCH(Keys!$C$7, US_national_yearly!$D$1:$AM$1, 0), FALSE), 1)</f>
        <v>3.6860927641157198E-2</v>
      </c>
      <c r="AB9" s="12">
        <f>$B9 * IFERROR(VLOOKUP(Substitution!$M$11 &amp; $A9, US_national_yearly!$D:$AM, MATCH(AB$1, US_national_yearly!$D$1:$AM$1, 0), FALSE) / VLOOKUP(Substitution!$M$11 &amp; $A9, US_national_yearly!$D:$AM, MATCH(Keys!$C$7, US_national_yearly!$D$1:$AM$1, 0), FALSE), 1)</f>
        <v>3.6992482396527998E-2</v>
      </c>
    </row>
    <row r="10" spans="1:28" x14ac:dyDescent="0.25">
      <c r="A10" s="4" t="s">
        <v>307</v>
      </c>
      <c r="B10" s="12">
        <f>IFERROR(VLOOKUP(Substitution!$M$11 &amp; $A10, US_national_yearly!$D:$AM, MATCH(Keys!$C$7, US_national_yearly!$D$1:$AM$1, 0), FALSE), 0)</f>
        <v>0.2092118077536502</v>
      </c>
      <c r="C10" s="12">
        <f>$B10 * IFERROR(VLOOKUP(Substitution!$M$11 &amp; $A10, US_national_yearly!$D:$AM, MATCH(C$1, US_national_yearly!$D$1:$AM$1, 0), FALSE) / VLOOKUP(Substitution!$M$11 &amp; $A10, US_national_yearly!$D:$AM, MATCH(Keys!$C$7, US_national_yearly!$D$1:$AM$1, 0), FALSE), 1)</f>
        <v>0.21112715012395439</v>
      </c>
      <c r="D10" s="12">
        <f>$B10 * IFERROR(VLOOKUP(Substitution!$M$11 &amp; $A10, US_national_yearly!$D:$AM, MATCH(D$1, US_national_yearly!$D$1:$AM$1, 0), FALSE) / VLOOKUP(Substitution!$M$11 &amp; $A10, US_national_yearly!$D:$AM, MATCH(Keys!$C$7, US_national_yearly!$D$1:$AM$1, 0), FALSE), 1)</f>
        <v>0.21304249249425861</v>
      </c>
      <c r="E10" s="12">
        <f>$B10 * IFERROR(VLOOKUP(Substitution!$M$11 &amp; $A10, US_national_yearly!$D:$AM, MATCH(E$1, US_national_yearly!$D$1:$AM$1, 0), FALSE) / VLOOKUP(Substitution!$M$11 &amp; $A10, US_national_yearly!$D:$AM, MATCH(Keys!$C$7, US_national_yearly!$D$1:$AM$1, 0), FALSE), 1)</f>
        <v>0.21495783486456277</v>
      </c>
      <c r="F10" s="12">
        <f>$B10 * IFERROR(VLOOKUP(Substitution!$M$11 &amp; $A10, US_national_yearly!$D:$AM, MATCH(F$1, US_national_yearly!$D$1:$AM$1, 0), FALSE) / VLOOKUP(Substitution!$M$11 &amp; $A10, US_national_yearly!$D:$AM, MATCH(Keys!$C$7, US_national_yearly!$D$1:$AM$1, 0), FALSE), 1)</f>
        <v>0.21687317723486702</v>
      </c>
      <c r="G10" s="12">
        <f>$B10 * IFERROR(VLOOKUP(Substitution!$M$11 &amp; $A10, US_national_yearly!$D:$AM, MATCH(G$1, US_national_yearly!$D$1:$AM$1, 0), FALSE) / VLOOKUP(Substitution!$M$11 &amp; $A10, US_national_yearly!$D:$AM, MATCH(Keys!$C$7, US_national_yearly!$D$1:$AM$1, 0), FALSE), 1)</f>
        <v>0.21893919929545452</v>
      </c>
      <c r="H10" s="12">
        <f>$B10 * IFERROR(VLOOKUP(Substitution!$M$11 &amp; $A10, US_national_yearly!$D:$AM, MATCH(H$1, US_national_yearly!$D$1:$AM$1, 0), FALSE) / VLOOKUP(Substitution!$M$11 &amp; $A10, US_national_yearly!$D:$AM, MATCH(Keys!$C$7, US_national_yearly!$D$1:$AM$1, 0), FALSE), 1)</f>
        <v>0.22100522135604203</v>
      </c>
      <c r="I10" s="12">
        <f>$B10 * IFERROR(VLOOKUP(Substitution!$M$11 &amp; $A10, US_national_yearly!$D:$AM, MATCH(I$1, US_national_yearly!$D$1:$AM$1, 0), FALSE) / VLOOKUP(Substitution!$M$11 &amp; $A10, US_national_yearly!$D:$AM, MATCH(Keys!$C$7, US_national_yearly!$D$1:$AM$1, 0), FALSE), 1)</f>
        <v>0.2225485424220438</v>
      </c>
      <c r="J10" s="12">
        <f>$B10 * IFERROR(VLOOKUP(Substitution!$M$11 &amp; $A10, US_national_yearly!$D:$AM, MATCH(J$1, US_national_yearly!$D$1:$AM$1, 0), FALSE) / VLOOKUP(Substitution!$M$11 &amp; $A10, US_national_yearly!$D:$AM, MATCH(Keys!$C$7, US_national_yearly!$D$1:$AM$1, 0), FALSE), 1)</f>
        <v>0.22409186348804563</v>
      </c>
      <c r="K10" s="12">
        <f>$B10 * IFERROR(VLOOKUP(Substitution!$M$11 &amp; $A10, US_national_yearly!$D:$AM, MATCH(K$1, US_national_yearly!$D$1:$AM$1, 0), FALSE) / VLOOKUP(Substitution!$M$11 &amp; $A10, US_national_yearly!$D:$AM, MATCH(Keys!$C$7, US_national_yearly!$D$1:$AM$1, 0), FALSE), 1)</f>
        <v>0.22563518455404741</v>
      </c>
      <c r="L10" s="12">
        <f>$B10 * IFERROR(VLOOKUP(Substitution!$M$11 &amp; $A10, US_national_yearly!$D:$AM, MATCH(L$1, US_national_yearly!$D$1:$AM$1, 0), FALSE) / VLOOKUP(Substitution!$M$11 &amp; $A10, US_national_yearly!$D:$AM, MATCH(Keys!$C$7, US_national_yearly!$D$1:$AM$1, 0), FALSE), 1)</f>
        <v>0.22717850562004918</v>
      </c>
      <c r="M10" s="12">
        <f>$B10 * IFERROR(VLOOKUP(Substitution!$M$11 &amp; $A10, US_national_yearly!$D:$AM, MATCH(M$1, US_national_yearly!$D$1:$AM$1, 0), FALSE) / VLOOKUP(Substitution!$M$11 &amp; $A10, US_national_yearly!$D:$AM, MATCH(Keys!$C$7, US_national_yearly!$D$1:$AM$1, 0), FALSE), 1)</f>
        <v>0.22872182668605101</v>
      </c>
      <c r="N10" s="12">
        <f>$B10 * IFERROR(VLOOKUP(Substitution!$M$11 &amp; $A10, US_national_yearly!$D:$AM, MATCH(N$1, US_national_yearly!$D$1:$AM$1, 0), FALSE) / VLOOKUP(Substitution!$M$11 &amp; $A10, US_national_yearly!$D:$AM, MATCH(Keys!$C$7, US_national_yearly!$D$1:$AM$1, 0), FALSE), 1)</f>
        <v>0.22950780026592976</v>
      </c>
      <c r="O10" s="12">
        <f>$B10 * IFERROR(VLOOKUP(Substitution!$M$11 &amp; $A10, US_national_yearly!$D:$AM, MATCH(O$1, US_national_yearly!$D$1:$AM$1, 0), FALSE) / VLOOKUP(Substitution!$M$11 &amp; $A10, US_national_yearly!$D:$AM, MATCH(Keys!$C$7, US_national_yearly!$D$1:$AM$1, 0), FALSE), 1)</f>
        <v>0.23029377384580862</v>
      </c>
      <c r="P10" s="12">
        <f>$B10 * IFERROR(VLOOKUP(Substitution!$M$11 &amp; $A10, US_national_yearly!$D:$AM, MATCH(P$1, US_national_yearly!$D$1:$AM$1, 0), FALSE) / VLOOKUP(Substitution!$M$11 &amp; $A10, US_national_yearly!$D:$AM, MATCH(Keys!$C$7, US_national_yearly!$D$1:$AM$1, 0), FALSE), 1)</f>
        <v>0.2310797474256874</v>
      </c>
      <c r="Q10" s="12">
        <f>$B10 * IFERROR(VLOOKUP(Substitution!$M$11 &amp; $A10, US_national_yearly!$D:$AM, MATCH(Q$1, US_national_yearly!$D$1:$AM$1, 0), FALSE) / VLOOKUP(Substitution!$M$11 &amp; $A10, US_national_yearly!$D:$AM, MATCH(Keys!$C$7, US_national_yearly!$D$1:$AM$1, 0), FALSE), 1)</f>
        <v>0.23186572100556621</v>
      </c>
      <c r="R10" s="12">
        <f>$B10 * IFERROR(VLOOKUP(Substitution!$M$11 &amp; $A10, US_national_yearly!$D:$AM, MATCH(R$1, US_national_yearly!$D$1:$AM$1, 0), FALSE) / VLOOKUP(Substitution!$M$11 &amp; $A10, US_national_yearly!$D:$AM, MATCH(Keys!$C$7, US_national_yearly!$D$1:$AM$1, 0), FALSE), 1)</f>
        <v>0.23265169458544502</v>
      </c>
      <c r="S10" s="12">
        <f>$B10 * IFERROR(VLOOKUP(Substitution!$M$11 &amp; $A10, US_national_yearly!$D:$AM, MATCH(S$1, US_national_yearly!$D$1:$AM$1, 0), FALSE) / VLOOKUP(Substitution!$M$11 &amp; $A10, US_national_yearly!$D:$AM, MATCH(Keys!$C$7, US_national_yearly!$D$1:$AM$1, 0), FALSE), 1)</f>
        <v>0.23355599443306121</v>
      </c>
      <c r="T10" s="12">
        <f>$B10 * IFERROR(VLOOKUP(Substitution!$M$11 &amp; $A10, US_national_yearly!$D:$AM, MATCH(T$1, US_national_yearly!$D$1:$AM$1, 0), FALSE) / VLOOKUP(Substitution!$M$11 &amp; $A10, US_national_yearly!$D:$AM, MATCH(Keys!$C$7, US_national_yearly!$D$1:$AM$1, 0), FALSE), 1)</f>
        <v>0.23446029428067741</v>
      </c>
      <c r="U10" s="12">
        <f>$B10 * IFERROR(VLOOKUP(Substitution!$M$11 &amp; $A10, US_national_yearly!$D:$AM, MATCH(U$1, US_national_yearly!$D$1:$AM$1, 0), FALSE) / VLOOKUP(Substitution!$M$11 &amp; $A10, US_national_yearly!$D:$AM, MATCH(Keys!$C$7, US_national_yearly!$D$1:$AM$1, 0), FALSE), 1)</f>
        <v>0.23536459412829358</v>
      </c>
      <c r="V10" s="12">
        <f>$B10 * IFERROR(VLOOKUP(Substitution!$M$11 &amp; $A10, US_national_yearly!$D:$AM, MATCH(V$1, US_national_yearly!$D$1:$AM$1, 0), FALSE) / VLOOKUP(Substitution!$M$11 &amp; $A10, US_national_yearly!$D:$AM, MATCH(Keys!$C$7, US_national_yearly!$D$1:$AM$1, 0), FALSE), 1)</f>
        <v>0.23626889397590978</v>
      </c>
      <c r="W10" s="12">
        <f>$B10 * IFERROR(VLOOKUP(Substitution!$M$11 &amp; $A10, US_national_yearly!$D:$AM, MATCH(W$1, US_national_yearly!$D$1:$AM$1, 0), FALSE) / VLOOKUP(Substitution!$M$11 &amp; $A10, US_national_yearly!$D:$AM, MATCH(Keys!$C$7, US_national_yearly!$D$1:$AM$1, 0), FALSE), 1)</f>
        <v>0.23717319382352597</v>
      </c>
      <c r="X10" s="12">
        <f>$B10 * IFERROR(VLOOKUP(Substitution!$M$11 &amp; $A10, US_national_yearly!$D:$AM, MATCH(X$1, US_national_yearly!$D$1:$AM$1, 0), FALSE) / VLOOKUP(Substitution!$M$11 &amp; $A10, US_national_yearly!$D:$AM, MATCH(Keys!$C$7, US_national_yearly!$D$1:$AM$1, 0), FALSE), 1)</f>
        <v>0.2381256179054754</v>
      </c>
      <c r="Y10" s="12">
        <f>$B10 * IFERROR(VLOOKUP(Substitution!$M$11 &amp; $A10, US_national_yearly!$D:$AM, MATCH(Y$1, US_national_yearly!$D$1:$AM$1, 0), FALSE) / VLOOKUP(Substitution!$M$11 &amp; $A10, US_national_yearly!$D:$AM, MATCH(Keys!$C$7, US_national_yearly!$D$1:$AM$1, 0), FALSE), 1)</f>
        <v>0.2390780419874248</v>
      </c>
      <c r="Z10" s="12">
        <f>$B10 * IFERROR(VLOOKUP(Substitution!$M$11 &amp; $A10, US_national_yearly!$D:$AM, MATCH(Z$1, US_national_yearly!$D$1:$AM$1, 0), FALSE) / VLOOKUP(Substitution!$M$11 &amp; $A10, US_national_yearly!$D:$AM, MATCH(Keys!$C$7, US_national_yearly!$D$1:$AM$1, 0), FALSE), 1)</f>
        <v>0.24003046606937423</v>
      </c>
      <c r="AA10" s="12">
        <f>$B10 * IFERROR(VLOOKUP(Substitution!$M$11 &amp; $A10, US_national_yearly!$D:$AM, MATCH(AA$1, US_national_yearly!$D$1:$AM$1, 0), FALSE) / VLOOKUP(Substitution!$M$11 &amp; $A10, US_national_yearly!$D:$AM, MATCH(Keys!$C$7, US_national_yearly!$D$1:$AM$1, 0), FALSE), 1)</f>
        <v>0.2409828901513236</v>
      </c>
      <c r="AB10" s="12">
        <f>$B10 * IFERROR(VLOOKUP(Substitution!$M$11 &amp; $A10, US_national_yearly!$D:$AM, MATCH(AB$1, US_national_yearly!$D$1:$AM$1, 0), FALSE) / VLOOKUP(Substitution!$M$11 &amp; $A10, US_national_yearly!$D:$AM, MATCH(Keys!$C$7, US_national_yearly!$D$1:$AM$1, 0), FALSE), 1)</f>
        <v>0.241935314233273</v>
      </c>
    </row>
    <row r="11" spans="1:28" x14ac:dyDescent="0.25">
      <c r="A11" s="4" t="s">
        <v>309</v>
      </c>
      <c r="B11" s="12">
        <f>IFERROR(VLOOKUP(Substitution!$M$11 &amp; $A11, US_national_yearly!$D:$AM, MATCH(Keys!$C$7, US_national_yearly!$D$1:$AM$1, 0), FALSE), 0)</f>
        <v>9.7818944546321212E-3</v>
      </c>
      <c r="C11" s="12">
        <f>$B11 * IFERROR(VLOOKUP(Substitution!$M$11 &amp; $A11, US_national_yearly!$D:$AM, MATCH(C$1, US_national_yearly!$D$1:$AM$1, 0), FALSE) / VLOOKUP(Substitution!$M$11 &amp; $A11, US_national_yearly!$D:$AM, MATCH(Keys!$C$7, US_national_yearly!$D$1:$AM$1, 0), FALSE), 1)</f>
        <v>9.8740912422331899E-3</v>
      </c>
      <c r="D11" s="12">
        <f>$B11 * IFERROR(VLOOKUP(Substitution!$M$11 &amp; $A11, US_national_yearly!$D:$AM, MATCH(D$1, US_national_yearly!$D$1:$AM$1, 0), FALSE) / VLOOKUP(Substitution!$M$11 &amp; $A11, US_national_yearly!$D:$AM, MATCH(Keys!$C$7, US_national_yearly!$D$1:$AM$1, 0), FALSE), 1)</f>
        <v>9.966288029834262E-3</v>
      </c>
      <c r="E11" s="12">
        <f>$B11 * IFERROR(VLOOKUP(Substitution!$M$11 &amp; $A11, US_national_yearly!$D:$AM, MATCH(E$1, US_national_yearly!$D$1:$AM$1, 0), FALSE) / VLOOKUP(Substitution!$M$11 &amp; $A11, US_national_yearly!$D:$AM, MATCH(Keys!$C$7, US_national_yearly!$D$1:$AM$1, 0), FALSE), 1)</f>
        <v>1.0058484817435331E-2</v>
      </c>
      <c r="F11" s="12">
        <f>$B11 * IFERROR(VLOOKUP(Substitution!$M$11 &amp; $A11, US_national_yearly!$D:$AM, MATCH(F$1, US_national_yearly!$D$1:$AM$1, 0), FALSE) / VLOOKUP(Substitution!$M$11 &amp; $A11, US_national_yearly!$D:$AM, MATCH(Keys!$C$7, US_national_yearly!$D$1:$AM$1, 0), FALSE), 1)</f>
        <v>1.0150681605036399E-2</v>
      </c>
      <c r="G11" s="12">
        <f>$B11 * IFERROR(VLOOKUP(Substitution!$M$11 &amp; $A11, US_national_yearly!$D:$AM, MATCH(G$1, US_national_yearly!$D$1:$AM$1, 0), FALSE) / VLOOKUP(Substitution!$M$11 &amp; $A11, US_national_yearly!$D:$AM, MATCH(Keys!$C$7, US_national_yearly!$D$1:$AM$1, 0), FALSE), 1)</f>
        <v>1.02455710282812E-2</v>
      </c>
      <c r="H11" s="12">
        <f>$B11 * IFERROR(VLOOKUP(Substitution!$M$11 &amp; $A11, US_national_yearly!$D:$AM, MATCH(H$1, US_national_yearly!$D$1:$AM$1, 0), FALSE) / VLOOKUP(Substitution!$M$11 &amp; $A11, US_national_yearly!$D:$AM, MATCH(Keys!$C$7, US_national_yearly!$D$1:$AM$1, 0), FALSE), 1)</f>
        <v>1.0340460451526E-2</v>
      </c>
      <c r="I11" s="12">
        <f>$B11 * IFERROR(VLOOKUP(Substitution!$M$11 &amp; $A11, US_national_yearly!$D:$AM, MATCH(I$1, US_national_yearly!$D$1:$AM$1, 0), FALSE) / VLOOKUP(Substitution!$M$11 &amp; $A11, US_national_yearly!$D:$AM, MATCH(Keys!$C$7, US_national_yearly!$D$1:$AM$1, 0), FALSE), 1)</f>
        <v>1.042909032840106E-2</v>
      </c>
      <c r="J11" s="12">
        <f>$B11 * IFERROR(VLOOKUP(Substitution!$M$11 &amp; $A11, US_national_yearly!$D:$AM, MATCH(J$1, US_national_yearly!$D$1:$AM$1, 0), FALSE) / VLOOKUP(Substitution!$M$11 &amp; $A11, US_national_yearly!$D:$AM, MATCH(Keys!$C$7, US_national_yearly!$D$1:$AM$1, 0), FALSE), 1)</f>
        <v>1.0517720205276122E-2</v>
      </c>
      <c r="K11" s="12">
        <f>$B11 * IFERROR(VLOOKUP(Substitution!$M$11 &amp; $A11, US_national_yearly!$D:$AM, MATCH(K$1, US_national_yearly!$D$1:$AM$1, 0), FALSE) / VLOOKUP(Substitution!$M$11 &amp; $A11, US_national_yearly!$D:$AM, MATCH(Keys!$C$7, US_national_yearly!$D$1:$AM$1, 0), FALSE), 1)</f>
        <v>1.060635008215118E-2</v>
      </c>
      <c r="L11" s="12">
        <f>$B11 * IFERROR(VLOOKUP(Substitution!$M$11 &amp; $A11, US_national_yearly!$D:$AM, MATCH(L$1, US_national_yearly!$D$1:$AM$1, 0), FALSE) / VLOOKUP(Substitution!$M$11 &amp; $A11, US_national_yearly!$D:$AM, MATCH(Keys!$C$7, US_national_yearly!$D$1:$AM$1, 0), FALSE), 1)</f>
        <v>1.0694979959026241E-2</v>
      </c>
      <c r="M11" s="12">
        <f>$B11 * IFERROR(VLOOKUP(Substitution!$M$11 &amp; $A11, US_national_yearly!$D:$AM, MATCH(M$1, US_national_yearly!$D$1:$AM$1, 0), FALSE) / VLOOKUP(Substitution!$M$11 &amp; $A11, US_national_yearly!$D:$AM, MATCH(Keys!$C$7, US_national_yearly!$D$1:$AM$1, 0), FALSE), 1)</f>
        <v>1.0783609835901301E-2</v>
      </c>
      <c r="N11" s="12">
        <f>$B11 * IFERROR(VLOOKUP(Substitution!$M$11 &amp; $A11, US_national_yearly!$D:$AM, MATCH(N$1, US_national_yearly!$D$1:$AM$1, 0), FALSE) / VLOOKUP(Substitution!$M$11 &amp; $A11, US_national_yearly!$D:$AM, MATCH(Keys!$C$7, US_national_yearly!$D$1:$AM$1, 0), FALSE), 1)</f>
        <v>1.08579242497867E-2</v>
      </c>
      <c r="O11" s="12">
        <f>$B11 * IFERROR(VLOOKUP(Substitution!$M$11 &amp; $A11, US_national_yearly!$D:$AM, MATCH(O$1, US_national_yearly!$D$1:$AM$1, 0), FALSE) / VLOOKUP(Substitution!$M$11 &amp; $A11, US_national_yearly!$D:$AM, MATCH(Keys!$C$7, US_national_yearly!$D$1:$AM$1, 0), FALSE), 1)</f>
        <v>1.0932238663672102E-2</v>
      </c>
      <c r="P11" s="12">
        <f>$B11 * IFERROR(VLOOKUP(Substitution!$M$11 &amp; $A11, US_national_yearly!$D:$AM, MATCH(P$1, US_national_yearly!$D$1:$AM$1, 0), FALSE) / VLOOKUP(Substitution!$M$11 &amp; $A11, US_national_yearly!$D:$AM, MATCH(Keys!$C$7, US_national_yearly!$D$1:$AM$1, 0), FALSE), 1)</f>
        <v>1.1006553077557499E-2</v>
      </c>
      <c r="Q11" s="12">
        <f>$B11 * IFERROR(VLOOKUP(Substitution!$M$11 &amp; $A11, US_national_yearly!$D:$AM, MATCH(Q$1, US_national_yearly!$D$1:$AM$1, 0), FALSE) / VLOOKUP(Substitution!$M$11 &amp; $A11, US_national_yearly!$D:$AM, MATCH(Keys!$C$7, US_national_yearly!$D$1:$AM$1, 0), FALSE), 1)</f>
        <v>1.10808674914429E-2</v>
      </c>
      <c r="R11" s="12">
        <f>$B11 * IFERROR(VLOOKUP(Substitution!$M$11 &amp; $A11, US_national_yearly!$D:$AM, MATCH(R$1, US_national_yearly!$D$1:$AM$1, 0), FALSE) / VLOOKUP(Substitution!$M$11 &amp; $A11, US_national_yearly!$D:$AM, MATCH(Keys!$C$7, US_national_yearly!$D$1:$AM$1, 0), FALSE), 1)</f>
        <v>1.11551819053283E-2</v>
      </c>
      <c r="S11" s="12">
        <f>$B11 * IFERROR(VLOOKUP(Substitution!$M$11 &amp; $A11, US_national_yearly!$D:$AM, MATCH(S$1, US_national_yearly!$D$1:$AM$1, 0), FALSE) / VLOOKUP(Substitution!$M$11 &amp; $A11, US_national_yearly!$D:$AM, MATCH(Keys!$C$7, US_national_yearly!$D$1:$AM$1, 0), FALSE), 1)</f>
        <v>1.121868487952728E-2</v>
      </c>
      <c r="T11" s="12">
        <f>$B11 * IFERROR(VLOOKUP(Substitution!$M$11 &amp; $A11, US_national_yearly!$D:$AM, MATCH(T$1, US_national_yearly!$D$1:$AM$1, 0), FALSE) / VLOOKUP(Substitution!$M$11 &amp; $A11, US_national_yearly!$D:$AM, MATCH(Keys!$C$7, US_national_yearly!$D$1:$AM$1, 0), FALSE), 1)</f>
        <v>1.1282187853726262E-2</v>
      </c>
      <c r="U11" s="12">
        <f>$B11 * IFERROR(VLOOKUP(Substitution!$M$11 &amp; $A11, US_national_yearly!$D:$AM, MATCH(U$1, US_national_yearly!$D$1:$AM$1, 0), FALSE) / VLOOKUP(Substitution!$M$11 &amp; $A11, US_national_yearly!$D:$AM, MATCH(Keys!$C$7, US_national_yearly!$D$1:$AM$1, 0), FALSE), 1)</f>
        <v>1.1345690827925241E-2</v>
      </c>
      <c r="V11" s="12">
        <f>$B11 * IFERROR(VLOOKUP(Substitution!$M$11 &amp; $A11, US_national_yearly!$D:$AM, MATCH(V$1, US_national_yearly!$D$1:$AM$1, 0), FALSE) / VLOOKUP(Substitution!$M$11 &amp; $A11, US_national_yearly!$D:$AM, MATCH(Keys!$C$7, US_national_yearly!$D$1:$AM$1, 0), FALSE), 1)</f>
        <v>1.1409193802124219E-2</v>
      </c>
      <c r="W11" s="12">
        <f>$B11 * IFERROR(VLOOKUP(Substitution!$M$11 &amp; $A11, US_national_yearly!$D:$AM, MATCH(W$1, US_national_yearly!$D$1:$AM$1, 0), FALSE) / VLOOKUP(Substitution!$M$11 &amp; $A11, US_national_yearly!$D:$AM, MATCH(Keys!$C$7, US_national_yearly!$D$1:$AM$1, 0), FALSE), 1)</f>
        <v>1.1472696776323199E-2</v>
      </c>
      <c r="X11" s="12">
        <f>$B11 * IFERROR(VLOOKUP(Substitution!$M$11 &amp; $A11, US_national_yearly!$D:$AM, MATCH(X$1, US_national_yearly!$D$1:$AM$1, 0), FALSE) / VLOOKUP(Substitution!$M$11 &amp; $A11, US_national_yearly!$D:$AM, MATCH(Keys!$C$7, US_national_yearly!$D$1:$AM$1, 0), FALSE), 1)</f>
        <v>1.1531923252418939E-2</v>
      </c>
      <c r="Y11" s="12">
        <f>$B11 * IFERROR(VLOOKUP(Substitution!$M$11 &amp; $A11, US_national_yearly!$D:$AM, MATCH(Y$1, US_national_yearly!$D$1:$AM$1, 0), FALSE) / VLOOKUP(Substitution!$M$11 &amp; $A11, US_national_yearly!$D:$AM, MATCH(Keys!$C$7, US_national_yearly!$D$1:$AM$1, 0), FALSE), 1)</f>
        <v>1.1591149728514679E-2</v>
      </c>
      <c r="Z11" s="12">
        <f>$B11 * IFERROR(VLOOKUP(Substitution!$M$11 &amp; $A11, US_national_yearly!$D:$AM, MATCH(Z$1, US_national_yearly!$D$1:$AM$1, 0), FALSE) / VLOOKUP(Substitution!$M$11 &amp; $A11, US_national_yearly!$D:$AM, MATCH(Keys!$C$7, US_national_yearly!$D$1:$AM$1, 0), FALSE), 1)</f>
        <v>1.1650376204610419E-2</v>
      </c>
      <c r="AA11" s="12">
        <f>$B11 * IFERROR(VLOOKUP(Substitution!$M$11 &amp; $A11, US_national_yearly!$D:$AM, MATCH(AA$1, US_national_yearly!$D$1:$AM$1, 0), FALSE) / VLOOKUP(Substitution!$M$11 &amp; $A11, US_national_yearly!$D:$AM, MATCH(Keys!$C$7, US_national_yearly!$D$1:$AM$1, 0), FALSE), 1)</f>
        <v>1.1709602680706161E-2</v>
      </c>
      <c r="AB11" s="12">
        <f>$B11 * IFERROR(VLOOKUP(Substitution!$M$11 &amp; $A11, US_national_yearly!$D:$AM, MATCH(AB$1, US_national_yearly!$D$1:$AM$1, 0), FALSE) / VLOOKUP(Substitution!$M$11 &amp; $A11, US_national_yearly!$D:$AM, MATCH(Keys!$C$7, US_national_yearly!$D$1:$AM$1, 0), FALSE), 1)</f>
        <v>1.1768829156801899E-2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Substitution!$G$11)/IFERROR(SUMIFS(COBRA_aggregated!$U:$U, COBRA_aggregated!$A:$A, About!$B$1, COBRA_aggregated!$B:$B, Substitution!$G$11), 1)</f>
        <v>3.3162971107446194E-3</v>
      </c>
      <c r="C12" s="12">
        <f>$B12 * IFERROR(VLOOKUP(Substitution!$M$11 &amp; $A12, US_national_yearly!$D:$AM, MATCH(C$1, US_national_yearly!$D$1:$AM$1, 0), FALSE) / VLOOKUP(Substitution!$M$11 &amp; $A12, US_national_yearly!$D:$AM, MATCH(Keys!$C$7, US_national_yearly!$D$1:$AM$1, 0), FALSE), 1)</f>
        <v>3.335412798682724E-3</v>
      </c>
      <c r="D12" s="12">
        <f>$B12 * IFERROR(VLOOKUP(Substitution!$M$11 &amp; $A12, US_national_yearly!$D:$AM, MATCH(D$1, US_national_yearly!$D$1:$AM$1, 0), FALSE) / VLOOKUP(Substitution!$M$11 &amp; $A12, US_national_yearly!$D:$AM, MATCH(Keys!$C$7, US_national_yearly!$D$1:$AM$1, 0), FALSE), 1)</f>
        <v>3.3545284866208294E-3</v>
      </c>
      <c r="E12" s="12">
        <f>$B12 * IFERROR(VLOOKUP(Substitution!$M$11 &amp; $A12, US_national_yearly!$D:$AM, MATCH(E$1, US_national_yearly!$D$1:$AM$1, 0), FALSE) / VLOOKUP(Substitution!$M$11 &amp; $A12, US_national_yearly!$D:$AM, MATCH(Keys!$C$7, US_national_yearly!$D$1:$AM$1, 0), FALSE), 1)</f>
        <v>3.3736441745589344E-3</v>
      </c>
      <c r="F12" s="12">
        <f>$B12 * IFERROR(VLOOKUP(Substitution!$M$11 &amp; $A12, US_national_yearly!$D:$AM, MATCH(F$1, US_national_yearly!$D$1:$AM$1, 0), FALSE) / VLOOKUP(Substitution!$M$11 &amp; $A12, US_national_yearly!$D:$AM, MATCH(Keys!$C$7, US_national_yearly!$D$1:$AM$1, 0), FALSE), 1)</f>
        <v>3.3927598624970399E-3</v>
      </c>
      <c r="G12" s="12">
        <f>$B12 * IFERROR(VLOOKUP(Substitution!$M$11 &amp; $A12, US_national_yearly!$D:$AM, MATCH(G$1, US_national_yearly!$D$1:$AM$1, 0), FALSE) / VLOOKUP(Substitution!$M$11 &amp; $A12, US_national_yearly!$D:$AM, MATCH(Keys!$C$7, US_national_yearly!$D$1:$AM$1, 0), FALSE), 1)</f>
        <v>3.4133874608188322E-3</v>
      </c>
      <c r="H12" s="12">
        <f>$B12 * IFERROR(VLOOKUP(Substitution!$M$11 &amp; $A12, US_national_yearly!$D:$AM, MATCH(H$1, US_national_yearly!$D$1:$AM$1, 0), FALSE) / VLOOKUP(Substitution!$M$11 &amp; $A12, US_national_yearly!$D:$AM, MATCH(Keys!$C$7, US_national_yearly!$D$1:$AM$1, 0), FALSE), 1)</f>
        <v>3.4340150591406246E-3</v>
      </c>
      <c r="I12" s="12">
        <f>$B12 * IFERROR(VLOOKUP(Substitution!$M$11 &amp; $A12, US_national_yearly!$D:$AM, MATCH(I$1, US_national_yearly!$D$1:$AM$1, 0), FALSE) / VLOOKUP(Substitution!$M$11 &amp; $A12, US_national_yearly!$D:$AM, MATCH(Keys!$C$7, US_national_yearly!$D$1:$AM$1, 0), FALSE), 1)</f>
        <v>3.4536337704628331E-3</v>
      </c>
      <c r="J12" s="12">
        <f>$B12 * IFERROR(VLOOKUP(Substitution!$M$11 &amp; $A12, US_national_yearly!$D:$AM, MATCH(J$1, US_national_yearly!$D$1:$AM$1, 0), FALSE) / VLOOKUP(Substitution!$M$11 &amp; $A12, US_national_yearly!$D:$AM, MATCH(Keys!$C$7, US_national_yearly!$D$1:$AM$1, 0), FALSE), 1)</f>
        <v>3.4732524817850403E-3</v>
      </c>
      <c r="K12" s="12">
        <f>$B12 * IFERROR(VLOOKUP(Substitution!$M$11 &amp; $A12, US_national_yearly!$D:$AM, MATCH(K$1, US_national_yearly!$D$1:$AM$1, 0), FALSE) / VLOOKUP(Substitution!$M$11 &amp; $A12, US_national_yearly!$D:$AM, MATCH(Keys!$C$7, US_national_yearly!$D$1:$AM$1, 0), FALSE), 1)</f>
        <v>3.4928711931072475E-3</v>
      </c>
      <c r="L12" s="12">
        <f>$B12 * IFERROR(VLOOKUP(Substitution!$M$11 &amp; $A12, US_national_yearly!$D:$AM, MATCH(L$1, US_national_yearly!$D$1:$AM$1, 0), FALSE) / VLOOKUP(Substitution!$M$11 &amp; $A12, US_national_yearly!$D:$AM, MATCH(Keys!$C$7, US_national_yearly!$D$1:$AM$1, 0), FALSE), 1)</f>
        <v>3.512489904429456E-3</v>
      </c>
      <c r="M12" s="12">
        <f>$B12 * IFERROR(VLOOKUP(Substitution!$M$11 &amp; $A12, US_national_yearly!$D:$AM, MATCH(M$1, US_national_yearly!$D$1:$AM$1, 0), FALSE) / VLOOKUP(Substitution!$M$11 &amp; $A12, US_national_yearly!$D:$AM, MATCH(Keys!$C$7, US_national_yearly!$D$1:$AM$1, 0), FALSE), 1)</f>
        <v>3.5321086157516631E-3</v>
      </c>
      <c r="N12" s="12">
        <f>$B12 * IFERROR(VLOOKUP(Substitution!$M$11 &amp; $A12, US_national_yearly!$D:$AM, MATCH(N$1, US_national_yearly!$D$1:$AM$1, 0), FALSE) / VLOOKUP(Substitution!$M$11 &amp; $A12, US_national_yearly!$D:$AM, MATCH(Keys!$C$7, US_national_yearly!$D$1:$AM$1, 0), FALSE), 1)</f>
        <v>3.5462197838059457E-3</v>
      </c>
      <c r="O12" s="12">
        <f>$B12 * IFERROR(VLOOKUP(Substitution!$M$11 &amp; $A12, US_national_yearly!$D:$AM, MATCH(O$1, US_national_yearly!$D$1:$AM$1, 0), FALSE) / VLOOKUP(Substitution!$M$11 &amp; $A12, US_national_yearly!$D:$AM, MATCH(Keys!$C$7, US_national_yearly!$D$1:$AM$1, 0), FALSE), 1)</f>
        <v>3.5603309518602287E-3</v>
      </c>
      <c r="P12" s="12">
        <f>$B12 * IFERROR(VLOOKUP(Substitution!$M$11 &amp; $A12, US_national_yearly!$D:$AM, MATCH(P$1, US_national_yearly!$D$1:$AM$1, 0), FALSE) / VLOOKUP(Substitution!$M$11 &amp; $A12, US_national_yearly!$D:$AM, MATCH(Keys!$C$7, US_national_yearly!$D$1:$AM$1, 0), FALSE), 1)</f>
        <v>3.5744421199145112E-3</v>
      </c>
      <c r="Q12" s="12">
        <f>$B12 * IFERROR(VLOOKUP(Substitution!$M$11 &amp; $A12, US_national_yearly!$D:$AM, MATCH(Q$1, US_national_yearly!$D$1:$AM$1, 0), FALSE) / VLOOKUP(Substitution!$M$11 &amp; $A12, US_national_yearly!$D:$AM, MATCH(Keys!$C$7, US_national_yearly!$D$1:$AM$1, 0), FALSE), 1)</f>
        <v>3.5885532879687933E-3</v>
      </c>
      <c r="R12" s="12">
        <f>$B12 * IFERROR(VLOOKUP(Substitution!$M$11 &amp; $A12, US_national_yearly!$D:$AM, MATCH(R$1, US_national_yearly!$D$1:$AM$1, 0), FALSE) / VLOOKUP(Substitution!$M$11 &amp; $A12, US_national_yearly!$D:$AM, MATCH(Keys!$C$7, US_national_yearly!$D$1:$AM$1, 0), FALSE), 1)</f>
        <v>3.6026644560230759E-3</v>
      </c>
      <c r="S12" s="12">
        <f>$B12 * IFERROR(VLOOKUP(Substitution!$M$11 &amp; $A12, US_national_yearly!$D:$AM, MATCH(S$1, US_national_yearly!$D$1:$AM$1, 0), FALSE) / VLOOKUP(Substitution!$M$11 &amp; $A12, US_national_yearly!$D:$AM, MATCH(Keys!$C$7, US_national_yearly!$D$1:$AM$1, 0), FALSE), 1)</f>
        <v>3.6161091946746186E-3</v>
      </c>
      <c r="T12" s="12">
        <f>$B12 * IFERROR(VLOOKUP(Substitution!$M$11 &amp; $A12, US_national_yearly!$D:$AM, MATCH(T$1, US_national_yearly!$D$1:$AM$1, 0), FALSE) / VLOOKUP(Substitution!$M$11 &amp; $A12, US_national_yearly!$D:$AM, MATCH(Keys!$C$7, US_national_yearly!$D$1:$AM$1, 0), FALSE), 1)</f>
        <v>3.6295539333261627E-3</v>
      </c>
      <c r="U12" s="12">
        <f>$B12 * IFERROR(VLOOKUP(Substitution!$M$11 &amp; $A12, US_national_yearly!$D:$AM, MATCH(U$1, US_national_yearly!$D$1:$AM$1, 0), FALSE) / VLOOKUP(Substitution!$M$11 &amp; $A12, US_national_yearly!$D:$AM, MATCH(Keys!$C$7, US_national_yearly!$D$1:$AM$1, 0), FALSE), 1)</f>
        <v>3.642998671977705E-3</v>
      </c>
      <c r="V12" s="12">
        <f>$B12 * IFERROR(VLOOKUP(Substitution!$M$11 &amp; $A12, US_national_yearly!$D:$AM, MATCH(V$1, US_national_yearly!$D$1:$AM$1, 0), FALSE) / VLOOKUP(Substitution!$M$11 &amp; $A12, US_national_yearly!$D:$AM, MATCH(Keys!$C$7, US_national_yearly!$D$1:$AM$1, 0), FALSE), 1)</f>
        <v>3.6564434106292477E-3</v>
      </c>
      <c r="W12" s="12">
        <f>$B12 * IFERROR(VLOOKUP(Substitution!$M$11 &amp; $A12, US_national_yearly!$D:$AM, MATCH(W$1, US_national_yearly!$D$1:$AM$1, 0), FALSE) / VLOOKUP(Substitution!$M$11 &amp; $A12, US_national_yearly!$D:$AM, MATCH(Keys!$C$7, US_national_yearly!$D$1:$AM$1, 0), FALSE), 1)</f>
        <v>3.6698881492807918E-3</v>
      </c>
      <c r="X12" s="12">
        <f>$B12 * IFERROR(VLOOKUP(Substitution!$M$11 &amp; $A12, US_national_yearly!$D:$AM, MATCH(X$1, US_national_yearly!$D$1:$AM$1, 0), FALSE) / VLOOKUP(Substitution!$M$11 &amp; $A12, US_national_yearly!$D:$AM, MATCH(Keys!$C$7, US_national_yearly!$D$1:$AM$1, 0), FALSE), 1)</f>
        <v>3.6828736355856168E-3</v>
      </c>
      <c r="Y12" s="12">
        <f>$B12 * IFERROR(VLOOKUP(Substitution!$M$11 &amp; $A12, US_national_yearly!$D:$AM, MATCH(Y$1, US_national_yearly!$D$1:$AM$1, 0), FALSE) / VLOOKUP(Substitution!$M$11 &amp; $A12, US_national_yearly!$D:$AM, MATCH(Keys!$C$7, US_national_yearly!$D$1:$AM$1, 0), FALSE), 1)</f>
        <v>3.6958591218904423E-3</v>
      </c>
      <c r="Z12" s="12">
        <f>$B12 * IFERROR(VLOOKUP(Substitution!$M$11 &amp; $A12, US_national_yearly!$D:$AM, MATCH(Z$1, US_national_yearly!$D$1:$AM$1, 0), FALSE) / VLOOKUP(Substitution!$M$11 &amp; $A12, US_national_yearly!$D:$AM, MATCH(Keys!$C$7, US_national_yearly!$D$1:$AM$1, 0), FALSE), 1)</f>
        <v>3.7088446081952674E-3</v>
      </c>
      <c r="AA12" s="12">
        <f>$B12 * IFERROR(VLOOKUP(Substitution!$M$11 &amp; $A12, US_national_yearly!$D:$AM, MATCH(AA$1, US_national_yearly!$D$1:$AM$1, 0), FALSE) / VLOOKUP(Substitution!$M$11 &amp; $A12, US_national_yearly!$D:$AM, MATCH(Keys!$C$7, US_national_yearly!$D$1:$AM$1, 0), FALSE), 1)</f>
        <v>3.7218300945000933E-3</v>
      </c>
      <c r="AB12" s="12">
        <f>$B12 * IFERROR(VLOOKUP(Substitution!$M$11 &amp; $A12, US_national_yearly!$D:$AM, MATCH(AB$1, US_national_yearly!$D$1:$AM$1, 0), FALSE) / VLOOKUP(Substitution!$M$11 &amp; $A12, US_national_yearly!$D:$AM, MATCH(Keys!$C$7, US_national_yearly!$D$1:$AM$1, 0), FALSE), 1)</f>
        <v>3.7348155808049179E-3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Substitution!$G$11)/IFERROR(SUMIFS(COBRA_aggregated!$U:$U, COBRA_aggregated!$A:$A, About!$B$1, COBRA_aggregated!$B:$B, Substitution!$G$11), 1)</f>
        <v>2.0744943435198029E-2</v>
      </c>
      <c r="C13" s="12">
        <f>$B13 * IFERROR(VLOOKUP(Substitution!$M$11 &amp; $A13, US_national_yearly!$D:$AM, MATCH(C$1, US_national_yearly!$D$1:$AM$1, 0), FALSE) / VLOOKUP(Substitution!$M$11 &amp; $A13, US_national_yearly!$D:$AM, MATCH(Keys!$C$7, US_national_yearly!$D$1:$AM$1, 0), FALSE), 1)</f>
        <v>2.1348339469687363E-2</v>
      </c>
      <c r="D13" s="12">
        <f>$B13 * IFERROR(VLOOKUP(Substitution!$M$11 &amp; $A13, US_national_yearly!$D:$AM, MATCH(D$1, US_national_yearly!$D$1:$AM$1, 0), FALSE) / VLOOKUP(Substitution!$M$11 &amp; $A13, US_national_yearly!$D:$AM, MATCH(Keys!$C$7, US_national_yearly!$D$1:$AM$1, 0), FALSE), 1)</f>
        <v>2.1951735504176693E-2</v>
      </c>
      <c r="E13" s="12">
        <f>$B13 * IFERROR(VLOOKUP(Substitution!$M$11 &amp; $A13, US_national_yearly!$D:$AM, MATCH(E$1, US_national_yearly!$D$1:$AM$1, 0), FALSE) / VLOOKUP(Substitution!$M$11 &amp; $A13, US_national_yearly!$D:$AM, MATCH(Keys!$C$7, US_national_yearly!$D$1:$AM$1, 0), FALSE), 1)</f>
        <v>2.2555131538666024E-2</v>
      </c>
      <c r="F13" s="12">
        <f>$B13 * IFERROR(VLOOKUP(Substitution!$M$11 &amp; $A13, US_national_yearly!$D:$AM, MATCH(F$1, US_national_yearly!$D$1:$AM$1, 0), FALSE) / VLOOKUP(Substitution!$M$11 &amp; $A13, US_national_yearly!$D:$AM, MATCH(Keys!$C$7, US_national_yearly!$D$1:$AM$1, 0), FALSE), 1)</f>
        <v>2.3158527573155362E-2</v>
      </c>
      <c r="G13" s="12">
        <f>$B13 * IFERROR(VLOOKUP(Substitution!$M$11 &amp; $A13, US_national_yearly!$D:$AM, MATCH(G$1, US_national_yearly!$D$1:$AM$1, 0), FALSE) / VLOOKUP(Substitution!$M$11 &amp; $A13, US_national_yearly!$D:$AM, MATCH(Keys!$C$7, US_national_yearly!$D$1:$AM$1, 0), FALSE), 1)</f>
        <v>2.3727866194761936E-2</v>
      </c>
      <c r="H13" s="12">
        <f>$B13 * IFERROR(VLOOKUP(Substitution!$M$11 &amp; $A13, US_national_yearly!$D:$AM, MATCH(H$1, US_national_yearly!$D$1:$AM$1, 0), FALSE) / VLOOKUP(Substitution!$M$11 &amp; $A13, US_national_yearly!$D:$AM, MATCH(Keys!$C$7, US_national_yearly!$D$1:$AM$1, 0), FALSE), 1)</f>
        <v>2.4297204816368507E-2</v>
      </c>
      <c r="I13" s="12">
        <f>$B13 * IFERROR(VLOOKUP(Substitution!$M$11 &amp; $A13, US_national_yearly!$D:$AM, MATCH(I$1, US_national_yearly!$D$1:$AM$1, 0), FALSE) / VLOOKUP(Substitution!$M$11 &amp; $A13, US_national_yearly!$D:$AM, MATCH(Keys!$C$7, US_national_yearly!$D$1:$AM$1, 0), FALSE), 1)</f>
        <v>2.4755281957322201E-2</v>
      </c>
      <c r="J13" s="12">
        <f>$B13 * IFERROR(VLOOKUP(Substitution!$M$11 &amp; $A13, US_national_yearly!$D:$AM, MATCH(J$1, US_national_yearly!$D$1:$AM$1, 0), FALSE) / VLOOKUP(Substitution!$M$11 &amp; $A13, US_national_yearly!$D:$AM, MATCH(Keys!$C$7, US_national_yearly!$D$1:$AM$1, 0), FALSE), 1)</f>
        <v>2.5213359098275892E-2</v>
      </c>
      <c r="K13" s="12">
        <f>$B13 * IFERROR(VLOOKUP(Substitution!$M$11 &amp; $A13, US_national_yearly!$D:$AM, MATCH(K$1, US_national_yearly!$D$1:$AM$1, 0), FALSE) / VLOOKUP(Substitution!$M$11 &amp; $A13, US_national_yearly!$D:$AM, MATCH(Keys!$C$7, US_national_yearly!$D$1:$AM$1, 0), FALSE), 1)</f>
        <v>2.5671436239229583E-2</v>
      </c>
      <c r="L13" s="12">
        <f>$B13 * IFERROR(VLOOKUP(Substitution!$M$11 &amp; $A13, US_national_yearly!$D:$AM, MATCH(L$1, US_national_yearly!$D$1:$AM$1, 0), FALSE) / VLOOKUP(Substitution!$M$11 &amp; $A13, US_national_yearly!$D:$AM, MATCH(Keys!$C$7, US_national_yearly!$D$1:$AM$1, 0), FALSE), 1)</f>
        <v>2.6129513380183274E-2</v>
      </c>
      <c r="M13" s="12">
        <f>$B13 * IFERROR(VLOOKUP(Substitution!$M$11 &amp; $A13, US_national_yearly!$D:$AM, MATCH(M$1, US_national_yearly!$D$1:$AM$1, 0), FALSE) / VLOOKUP(Substitution!$M$11 &amp; $A13, US_national_yearly!$D:$AM, MATCH(Keys!$C$7, US_national_yearly!$D$1:$AM$1, 0), FALSE), 1)</f>
        <v>2.6587590521136961E-2</v>
      </c>
      <c r="N13" s="12">
        <f>$B13 * IFERROR(VLOOKUP(Substitution!$M$11 &amp; $A13, US_national_yearly!$D:$AM, MATCH(N$1, US_national_yearly!$D$1:$AM$1, 0), FALSE) / VLOOKUP(Substitution!$M$11 &amp; $A13, US_national_yearly!$D:$AM, MATCH(Keys!$C$7, US_national_yearly!$D$1:$AM$1, 0), FALSE), 1)</f>
        <v>2.688351551085998E-2</v>
      </c>
      <c r="O13" s="12">
        <f>$B13 * IFERROR(VLOOKUP(Substitution!$M$11 &amp; $A13, US_national_yearly!$D:$AM, MATCH(O$1, US_national_yearly!$D$1:$AM$1, 0), FALSE) / VLOOKUP(Substitution!$M$11 &amp; $A13, US_national_yearly!$D:$AM, MATCH(Keys!$C$7, US_national_yearly!$D$1:$AM$1, 0), FALSE), 1)</f>
        <v>2.7179440500582994E-2</v>
      </c>
      <c r="P13" s="12">
        <f>$B13 * IFERROR(VLOOKUP(Substitution!$M$11 &amp; $A13, US_national_yearly!$D:$AM, MATCH(P$1, US_national_yearly!$D$1:$AM$1, 0), FALSE) / VLOOKUP(Substitution!$M$11 &amp; $A13, US_national_yearly!$D:$AM, MATCH(Keys!$C$7, US_national_yearly!$D$1:$AM$1, 0), FALSE), 1)</f>
        <v>2.7475365490306009E-2</v>
      </c>
      <c r="Q13" s="12">
        <f>$B13 * IFERROR(VLOOKUP(Substitution!$M$11 &amp; $A13, US_national_yearly!$D:$AM, MATCH(Q$1, US_national_yearly!$D$1:$AM$1, 0), FALSE) / VLOOKUP(Substitution!$M$11 &amp; $A13, US_national_yearly!$D:$AM, MATCH(Keys!$C$7, US_national_yearly!$D$1:$AM$1, 0), FALSE), 1)</f>
        <v>2.7771290480029031E-2</v>
      </c>
      <c r="R13" s="12">
        <f>$B13 * IFERROR(VLOOKUP(Substitution!$M$11 &amp; $A13, US_national_yearly!$D:$AM, MATCH(R$1, US_national_yearly!$D$1:$AM$1, 0), FALSE) / VLOOKUP(Substitution!$M$11 &amp; $A13, US_national_yearly!$D:$AM, MATCH(Keys!$C$7, US_national_yearly!$D$1:$AM$1, 0), FALSE), 1)</f>
        <v>2.8067215469752042E-2</v>
      </c>
      <c r="S13" s="12">
        <f>$B13 * IFERROR(VLOOKUP(Substitution!$M$11 &amp; $A13, US_national_yearly!$D:$AM, MATCH(S$1, US_national_yearly!$D$1:$AM$1, 0), FALSE) / VLOOKUP(Substitution!$M$11 &amp; $A13, US_national_yearly!$D:$AM, MATCH(Keys!$C$7, US_national_yearly!$D$1:$AM$1, 0), FALSE), 1)</f>
        <v>2.822373302049995E-2</v>
      </c>
      <c r="T13" s="12">
        <f>$B13 * IFERROR(VLOOKUP(Substitution!$M$11 &amp; $A13, US_national_yearly!$D:$AM, MATCH(T$1, US_national_yearly!$D$1:$AM$1, 0), FALSE) / VLOOKUP(Substitution!$M$11 &amp; $A13, US_national_yearly!$D:$AM, MATCH(Keys!$C$7, US_national_yearly!$D$1:$AM$1, 0), FALSE), 1)</f>
        <v>2.8380250571247861E-2</v>
      </c>
      <c r="U13" s="12">
        <f>$B13 * IFERROR(VLOOKUP(Substitution!$M$11 &amp; $A13, US_national_yearly!$D:$AM, MATCH(U$1, US_national_yearly!$D$1:$AM$1, 0), FALSE) / VLOOKUP(Substitution!$M$11 &amp; $A13, US_national_yearly!$D:$AM, MATCH(Keys!$C$7, US_national_yearly!$D$1:$AM$1, 0), FALSE), 1)</f>
        <v>2.8536768121995772E-2</v>
      </c>
      <c r="V13" s="12">
        <f>$B13 * IFERROR(VLOOKUP(Substitution!$M$11 &amp; $A13, US_national_yearly!$D:$AM, MATCH(V$1, US_national_yearly!$D$1:$AM$1, 0), FALSE) / VLOOKUP(Substitution!$M$11 &amp; $A13, US_national_yearly!$D:$AM, MATCH(Keys!$C$7, US_national_yearly!$D$1:$AM$1, 0), FALSE), 1)</f>
        <v>2.8693285672743676E-2</v>
      </c>
      <c r="W13" s="12">
        <f>$B13 * IFERROR(VLOOKUP(Substitution!$M$11 &amp; $A13, US_national_yearly!$D:$AM, MATCH(W$1, US_national_yearly!$D$1:$AM$1, 0), FALSE) / VLOOKUP(Substitution!$M$11 &amp; $A13, US_national_yearly!$D:$AM, MATCH(Keys!$C$7, US_national_yearly!$D$1:$AM$1, 0), FALSE), 1)</f>
        <v>2.8849803223491587E-2</v>
      </c>
      <c r="X13" s="12">
        <f>$B13 * IFERROR(VLOOKUP(Substitution!$M$11 &amp; $A13, US_national_yearly!$D:$AM, MATCH(X$1, US_national_yearly!$D$1:$AM$1, 0), FALSE) / VLOOKUP(Substitution!$M$11 &amp; $A13, US_national_yearly!$D:$AM, MATCH(Keys!$C$7, US_national_yearly!$D$1:$AM$1, 0), FALSE), 1)</f>
        <v>2.8968924511390135E-2</v>
      </c>
      <c r="Y13" s="12">
        <f>$B13 * IFERROR(VLOOKUP(Substitution!$M$11 &amp; $A13, US_national_yearly!$D:$AM, MATCH(Y$1, US_national_yearly!$D$1:$AM$1, 0), FALSE) / VLOOKUP(Substitution!$M$11 &amp; $A13, US_national_yearly!$D:$AM, MATCH(Keys!$C$7, US_national_yearly!$D$1:$AM$1, 0), FALSE), 1)</f>
        <v>2.908804579928868E-2</v>
      </c>
      <c r="Z13" s="12">
        <f>$B13 * IFERROR(VLOOKUP(Substitution!$M$11 &amp; $A13, US_national_yearly!$D:$AM, MATCH(Z$1, US_national_yearly!$D$1:$AM$1, 0), FALSE) / VLOOKUP(Substitution!$M$11 &amp; $A13, US_national_yearly!$D:$AM, MATCH(Keys!$C$7, US_national_yearly!$D$1:$AM$1, 0), FALSE), 1)</f>
        <v>2.9207167087187225E-2</v>
      </c>
      <c r="AA13" s="12">
        <f>$B13 * IFERROR(VLOOKUP(Substitution!$M$11 &amp; $A13, US_national_yearly!$D:$AM, MATCH(AA$1, US_national_yearly!$D$1:$AM$1, 0), FALSE) / VLOOKUP(Substitution!$M$11 &amp; $A13, US_national_yearly!$D:$AM, MATCH(Keys!$C$7, US_national_yearly!$D$1:$AM$1, 0), FALSE), 1)</f>
        <v>2.932628837508577E-2</v>
      </c>
      <c r="AB13" s="12">
        <f>$B13 * IFERROR(VLOOKUP(Substitution!$M$11 &amp; $A13, US_national_yearly!$D:$AM, MATCH(AB$1, US_national_yearly!$D$1:$AM$1, 0), FALSE) / VLOOKUP(Substitution!$M$11 &amp; $A13, US_national_yearly!$D:$AM, MATCH(Keys!$C$7, US_national_yearly!$D$1:$AM$1, 0), FALSE), 1)</f>
        <v>2.9445409662984322E-2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Substitution!$G$11)/IFERROR(SUMIFS(COBRA_aggregated!$U:$U, COBRA_aggregated!$A:$A, About!$B$1, COBRA_aggregated!$B:$B, Substitution!$G$11), 1)</f>
        <v>14.699764148497158</v>
      </c>
      <c r="C14" s="12">
        <f>$B14 * IFERROR(VLOOKUP(Substitution!$M$11 &amp; $A14, US_national_yearly!$D:$AM, MATCH(C$1, US_national_yearly!$D$1:$AM$1, 0), FALSE) / VLOOKUP(Substitution!$M$11 &amp; $A14, US_national_yearly!$D:$AM, MATCH(Keys!$C$7, US_national_yearly!$D$1:$AM$1, 0), FALSE), 1)</f>
        <v>14.736323286039356</v>
      </c>
      <c r="D14" s="12">
        <f>$B14 * IFERROR(VLOOKUP(Substitution!$M$11 &amp; $A14, US_national_yearly!$D:$AM, MATCH(D$1, US_national_yearly!$D$1:$AM$1, 0), FALSE) / VLOOKUP(Substitution!$M$11 &amp; $A14, US_national_yearly!$D:$AM, MATCH(Keys!$C$7, US_national_yearly!$D$1:$AM$1, 0), FALSE), 1)</f>
        <v>14.772882423581555</v>
      </c>
      <c r="E14" s="12">
        <f>$B14 * IFERROR(VLOOKUP(Substitution!$M$11 &amp; $A14, US_national_yearly!$D:$AM, MATCH(E$1, US_national_yearly!$D$1:$AM$1, 0), FALSE) / VLOOKUP(Substitution!$M$11 &amp; $A14, US_national_yearly!$D:$AM, MATCH(Keys!$C$7, US_national_yearly!$D$1:$AM$1, 0), FALSE), 1)</f>
        <v>14.809441561123753</v>
      </c>
      <c r="F14" s="12">
        <f>$B14 * IFERROR(VLOOKUP(Substitution!$M$11 &amp; $A14, US_national_yearly!$D:$AM, MATCH(F$1, US_national_yearly!$D$1:$AM$1, 0), FALSE) / VLOOKUP(Substitution!$M$11 &amp; $A14, US_national_yearly!$D:$AM, MATCH(Keys!$C$7, US_national_yearly!$D$1:$AM$1, 0), FALSE), 1)</f>
        <v>14.846000698665948</v>
      </c>
      <c r="G14" s="12">
        <f>$B14 * IFERROR(VLOOKUP(Substitution!$M$11 &amp; $A14, US_national_yearly!$D:$AM, MATCH(G$1, US_national_yearly!$D$1:$AM$1, 0), FALSE) / VLOOKUP(Substitution!$M$11 &amp; $A14, US_national_yearly!$D:$AM, MATCH(Keys!$C$7, US_national_yearly!$D$1:$AM$1, 0), FALSE), 1)</f>
        <v>14.899621853292459</v>
      </c>
      <c r="H14" s="12">
        <f>$B14 * IFERROR(VLOOKUP(Substitution!$M$11 &amp; $A14, US_national_yearly!$D:$AM, MATCH(H$1, US_national_yearly!$D$1:$AM$1, 0), FALSE) / VLOOKUP(Substitution!$M$11 &amp; $A14, US_national_yearly!$D:$AM, MATCH(Keys!$C$7, US_national_yearly!$D$1:$AM$1, 0), FALSE), 1)</f>
        <v>14.953243007918964</v>
      </c>
      <c r="I14" s="12">
        <f>$B14 * IFERROR(VLOOKUP(Substitution!$M$11 &amp; $A14, US_national_yearly!$D:$AM, MATCH(I$1, US_national_yearly!$D$1:$AM$1, 0), FALSE) / VLOOKUP(Substitution!$M$11 &amp; $A14, US_national_yearly!$D:$AM, MATCH(Keys!$C$7, US_national_yearly!$D$1:$AM$1, 0), FALSE), 1)</f>
        <v>15.044423041382943</v>
      </c>
      <c r="J14" s="12">
        <f>$B14 * IFERROR(VLOOKUP(Substitution!$M$11 &amp; $A14, US_national_yearly!$D:$AM, MATCH(J$1, US_national_yearly!$D$1:$AM$1, 0), FALSE) / VLOOKUP(Substitution!$M$11 &amp; $A14, US_national_yearly!$D:$AM, MATCH(Keys!$C$7, US_national_yearly!$D$1:$AM$1, 0), FALSE), 1)</f>
        <v>15.135603074846928</v>
      </c>
      <c r="K14" s="12">
        <f>$B14 * IFERROR(VLOOKUP(Substitution!$M$11 &amp; $A14, US_national_yearly!$D:$AM, MATCH(K$1, US_national_yearly!$D$1:$AM$1, 0), FALSE) / VLOOKUP(Substitution!$M$11 &amp; $A14, US_national_yearly!$D:$AM, MATCH(Keys!$C$7, US_national_yearly!$D$1:$AM$1, 0), FALSE), 1)</f>
        <v>15.226783108310901</v>
      </c>
      <c r="L14" s="12">
        <f>$B14 * IFERROR(VLOOKUP(Substitution!$M$11 &amp; $A14, US_national_yearly!$D:$AM, MATCH(L$1, US_national_yearly!$D$1:$AM$1, 0), FALSE) / VLOOKUP(Substitution!$M$11 &amp; $A14, US_national_yearly!$D:$AM, MATCH(Keys!$C$7, US_national_yearly!$D$1:$AM$1, 0), FALSE), 1)</f>
        <v>15.317963141774877</v>
      </c>
      <c r="M14" s="12">
        <f>$B14 * IFERROR(VLOOKUP(Substitution!$M$11 &amp; $A14, US_national_yearly!$D:$AM, MATCH(M$1, US_national_yearly!$D$1:$AM$1, 0), FALSE) / VLOOKUP(Substitution!$M$11 &amp; $A14, US_national_yearly!$D:$AM, MATCH(Keys!$C$7, US_national_yearly!$D$1:$AM$1, 0), FALSE), 1)</f>
        <v>15.409143175238853</v>
      </c>
      <c r="N14" s="12">
        <f>$B14 * IFERROR(VLOOKUP(Substitution!$M$11 &amp; $A14, US_national_yearly!$D:$AM, MATCH(N$1, US_national_yearly!$D$1:$AM$1, 0), FALSE) / VLOOKUP(Substitution!$M$11 &amp; $A14, US_national_yearly!$D:$AM, MATCH(Keys!$C$7, US_national_yearly!$D$1:$AM$1, 0), FALSE), 1)</f>
        <v>15.533034842284609</v>
      </c>
      <c r="O14" s="12">
        <f>$B14 * IFERROR(VLOOKUP(Substitution!$M$11 &amp; $A14, US_national_yearly!$D:$AM, MATCH(O$1, US_national_yearly!$D$1:$AM$1, 0), FALSE) / VLOOKUP(Substitution!$M$11 &amp; $A14, US_national_yearly!$D:$AM, MATCH(Keys!$C$7, US_national_yearly!$D$1:$AM$1, 0), FALSE), 1)</f>
        <v>15.656926509330361</v>
      </c>
      <c r="P14" s="12">
        <f>$B14 * IFERROR(VLOOKUP(Substitution!$M$11 &amp; $A14, US_national_yearly!$D:$AM, MATCH(P$1, US_national_yearly!$D$1:$AM$1, 0), FALSE) / VLOOKUP(Substitution!$M$11 &amp; $A14, US_national_yearly!$D:$AM, MATCH(Keys!$C$7, US_national_yearly!$D$1:$AM$1, 0), FALSE), 1)</f>
        <v>15.780818176376114</v>
      </c>
      <c r="Q14" s="12">
        <f>$B14 * IFERROR(VLOOKUP(Substitution!$M$11 &amp; $A14, US_national_yearly!$D:$AM, MATCH(Q$1, US_national_yearly!$D$1:$AM$1, 0), FALSE) / VLOOKUP(Substitution!$M$11 &amp; $A14, US_national_yearly!$D:$AM, MATCH(Keys!$C$7, US_national_yearly!$D$1:$AM$1, 0), FALSE), 1)</f>
        <v>15.904709843421864</v>
      </c>
      <c r="R14" s="12">
        <f>$B14 * IFERROR(VLOOKUP(Substitution!$M$11 &amp; $A14, US_national_yearly!$D:$AM, MATCH(R$1, US_national_yearly!$D$1:$AM$1, 0), FALSE) / VLOOKUP(Substitution!$M$11 &amp; $A14, US_national_yearly!$D:$AM, MATCH(Keys!$C$7, US_national_yearly!$D$1:$AM$1, 0), FALSE), 1)</f>
        <v>16.028601510467617</v>
      </c>
      <c r="S14" s="12">
        <f>$B14 * IFERROR(VLOOKUP(Substitution!$M$11 &amp; $A14, US_national_yearly!$D:$AM, MATCH(S$1, US_national_yearly!$D$1:$AM$1, 0), FALSE) / VLOOKUP(Substitution!$M$11 &amp; $A14, US_national_yearly!$D:$AM, MATCH(Keys!$C$7, US_national_yearly!$D$1:$AM$1, 0), FALSE), 1)</f>
        <v>16.153260940875999</v>
      </c>
      <c r="T14" s="12">
        <f>$B14 * IFERROR(VLOOKUP(Substitution!$M$11 &amp; $A14, US_national_yearly!$D:$AM, MATCH(T$1, US_national_yearly!$D$1:$AM$1, 0), FALSE) / VLOOKUP(Substitution!$M$11 &amp; $A14, US_national_yearly!$D:$AM, MATCH(Keys!$C$7, US_national_yearly!$D$1:$AM$1, 0), FALSE), 1)</f>
        <v>16.277920371284374</v>
      </c>
      <c r="U14" s="12">
        <f>$B14 * IFERROR(VLOOKUP(Substitution!$M$11 &amp; $A14, US_national_yearly!$D:$AM, MATCH(U$1, US_national_yearly!$D$1:$AM$1, 0), FALSE) / VLOOKUP(Substitution!$M$11 &amp; $A14, US_national_yearly!$D:$AM, MATCH(Keys!$C$7, US_national_yearly!$D$1:$AM$1, 0), FALSE), 1)</f>
        <v>16.402579801692752</v>
      </c>
      <c r="V14" s="12">
        <f>$B14 * IFERROR(VLOOKUP(Substitution!$M$11 &amp; $A14, US_national_yearly!$D:$AM, MATCH(V$1, US_national_yearly!$D$1:$AM$1, 0), FALSE) / VLOOKUP(Substitution!$M$11 &amp; $A14, US_national_yearly!$D:$AM, MATCH(Keys!$C$7, US_national_yearly!$D$1:$AM$1, 0), FALSE), 1)</f>
        <v>16.527239232101131</v>
      </c>
      <c r="W14" s="12">
        <f>$B14 * IFERROR(VLOOKUP(Substitution!$M$11 &amp; $A14, US_national_yearly!$D:$AM, MATCH(W$1, US_national_yearly!$D$1:$AM$1, 0), FALSE) / VLOOKUP(Substitution!$M$11 &amp; $A14, US_national_yearly!$D:$AM, MATCH(Keys!$C$7, US_national_yearly!$D$1:$AM$1, 0), FALSE), 1)</f>
        <v>16.65189866250951</v>
      </c>
      <c r="X14" s="12">
        <f>$B14 * IFERROR(VLOOKUP(Substitution!$M$11 &amp; $A14, US_national_yearly!$D:$AM, MATCH(X$1, US_national_yearly!$D$1:$AM$1, 0), FALSE) / VLOOKUP(Substitution!$M$11 &amp; $A14, US_national_yearly!$D:$AM, MATCH(Keys!$C$7, US_national_yearly!$D$1:$AM$1, 0), FALSE), 1)</f>
        <v>16.7601411428241</v>
      </c>
      <c r="Y14" s="12">
        <f>$B14 * IFERROR(VLOOKUP(Substitution!$M$11 &amp; $A14, US_national_yearly!$D:$AM, MATCH(Y$1, US_national_yearly!$D$1:$AM$1, 0), FALSE) / VLOOKUP(Substitution!$M$11 &amp; $A14, US_national_yearly!$D:$AM, MATCH(Keys!$C$7, US_national_yearly!$D$1:$AM$1, 0), FALSE), 1)</f>
        <v>16.868383623138691</v>
      </c>
      <c r="Z14" s="12">
        <f>$B14 * IFERROR(VLOOKUP(Substitution!$M$11 &amp; $A14, US_national_yearly!$D:$AM, MATCH(Z$1, US_national_yearly!$D$1:$AM$1, 0), FALSE) / VLOOKUP(Substitution!$M$11 &amp; $A14, US_national_yearly!$D:$AM, MATCH(Keys!$C$7, US_national_yearly!$D$1:$AM$1, 0), FALSE), 1)</f>
        <v>16.976626103453277</v>
      </c>
      <c r="AA14" s="12">
        <f>$B14 * IFERROR(VLOOKUP(Substitution!$M$11 &amp; $A14, US_national_yearly!$D:$AM, MATCH(AA$1, US_national_yearly!$D$1:$AM$1, 0), FALSE) / VLOOKUP(Substitution!$M$11 &amp; $A14, US_national_yearly!$D:$AM, MATCH(Keys!$C$7, US_national_yearly!$D$1:$AM$1, 0), FALSE), 1)</f>
        <v>17.084868583767864</v>
      </c>
      <c r="AB14" s="12">
        <f>$B14 * IFERROR(VLOOKUP(Substitution!$M$11 &amp; $A14, US_national_yearly!$D:$AM, MATCH(AB$1, US_national_yearly!$D$1:$AM$1, 0), FALSE) / VLOOKUP(Substitution!$M$11 &amp; $A14, US_national_yearly!$D:$AM, MATCH(Keys!$C$7, US_national_yearly!$D$1:$AM$1, 0), FALSE), 1)</f>
        <v>17.193111064082455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Substitution!$G$11)/IFERROR(SUMIFS(COBRA_aggregated!$U:$U, COBRA_aggregated!$A:$A, About!$B$1, COBRA_aggregated!$B:$B, Substitution!$G$11), 1)</f>
        <v>2.4906827831599174</v>
      </c>
      <c r="C15" s="12">
        <f>$B15 * IFERROR(VLOOKUP(Substitution!$M$11 &amp; $A15, US_national_yearly!$D:$AM, MATCH(C$1, US_national_yearly!$D$1:$AM$1, 0), FALSE) / VLOOKUP(Substitution!$M$11 &amp; $A15, US_national_yearly!$D:$AM, MATCH(Keys!$C$7, US_national_yearly!$D$1:$AM$1, 0), FALSE), 1)</f>
        <v>2.4984990828744178</v>
      </c>
      <c r="D15" s="12">
        <f>$B15 * IFERROR(VLOOKUP(Substitution!$M$11 &amp; $A15, US_national_yearly!$D:$AM, MATCH(D$1, US_national_yearly!$D$1:$AM$1, 0), FALSE) / VLOOKUP(Substitution!$M$11 &amp; $A15, US_national_yearly!$D:$AM, MATCH(Keys!$C$7, US_national_yearly!$D$1:$AM$1, 0), FALSE), 1)</f>
        <v>2.5063153825889182</v>
      </c>
      <c r="E15" s="12">
        <f>$B15 * IFERROR(VLOOKUP(Substitution!$M$11 &amp; $A15, US_national_yearly!$D:$AM, MATCH(E$1, US_national_yearly!$D$1:$AM$1, 0), FALSE) / VLOOKUP(Substitution!$M$11 &amp; $A15, US_national_yearly!$D:$AM, MATCH(Keys!$C$7, US_national_yearly!$D$1:$AM$1, 0), FALSE), 1)</f>
        <v>2.5141316823034181</v>
      </c>
      <c r="F15" s="12">
        <f>$B15 * IFERROR(VLOOKUP(Substitution!$M$11 &amp; $A15, US_national_yearly!$D:$AM, MATCH(F$1, US_national_yearly!$D$1:$AM$1, 0), FALSE) / VLOOKUP(Substitution!$M$11 &amp; $A15, US_national_yearly!$D:$AM, MATCH(Keys!$C$7, US_national_yearly!$D$1:$AM$1, 0), FALSE), 1)</f>
        <v>2.521947982017918</v>
      </c>
      <c r="G15" s="12">
        <f>$B15 * IFERROR(VLOOKUP(Substitution!$M$11 &amp; $A15, US_national_yearly!$D:$AM, MATCH(G$1, US_national_yearly!$D$1:$AM$1, 0), FALSE) / VLOOKUP(Substitution!$M$11 &amp; $A15, US_national_yearly!$D:$AM, MATCH(Keys!$C$7, US_national_yearly!$D$1:$AM$1, 0), FALSE), 1)</f>
        <v>2.5321645861957278</v>
      </c>
      <c r="H15" s="12">
        <f>$B15 * IFERROR(VLOOKUP(Substitution!$M$11 &amp; $A15, US_national_yearly!$D:$AM, MATCH(H$1, US_national_yearly!$D$1:$AM$1, 0), FALSE) / VLOOKUP(Substitution!$M$11 &amp; $A15, US_national_yearly!$D:$AM, MATCH(Keys!$C$7, US_national_yearly!$D$1:$AM$1, 0), FALSE), 1)</f>
        <v>2.5423811903735376</v>
      </c>
      <c r="I15" s="12">
        <f>$B15 * IFERROR(VLOOKUP(Substitution!$M$11 &amp; $A15, US_national_yearly!$D:$AM, MATCH(I$1, US_national_yearly!$D$1:$AM$1, 0), FALSE) / VLOOKUP(Substitution!$M$11 &amp; $A15, US_national_yearly!$D:$AM, MATCH(Keys!$C$7, US_national_yearly!$D$1:$AM$1, 0), FALSE), 1)</f>
        <v>2.5573859726834236</v>
      </c>
      <c r="J15" s="12">
        <f>$B15 * IFERROR(VLOOKUP(Substitution!$M$11 &amp; $A15, US_national_yearly!$D:$AM, MATCH(J$1, US_national_yearly!$D$1:$AM$1, 0), FALSE) / VLOOKUP(Substitution!$M$11 &amp; $A15, US_national_yearly!$D:$AM, MATCH(Keys!$C$7, US_national_yearly!$D$1:$AM$1, 0), FALSE), 1)</f>
        <v>2.5723907549933096</v>
      </c>
      <c r="K15" s="12">
        <f>$B15 * IFERROR(VLOOKUP(Substitution!$M$11 &amp; $A15, US_national_yearly!$D:$AM, MATCH(K$1, US_national_yearly!$D$1:$AM$1, 0), FALSE) / VLOOKUP(Substitution!$M$11 &amp; $A15, US_national_yearly!$D:$AM, MATCH(Keys!$C$7, US_national_yearly!$D$1:$AM$1, 0), FALSE), 1)</f>
        <v>2.5873955373031956</v>
      </c>
      <c r="L15" s="12">
        <f>$B15 * IFERROR(VLOOKUP(Substitution!$M$11 &amp; $A15, US_national_yearly!$D:$AM, MATCH(L$1, US_national_yearly!$D$1:$AM$1, 0), FALSE) / VLOOKUP(Substitution!$M$11 &amp; $A15, US_national_yearly!$D:$AM, MATCH(Keys!$C$7, US_national_yearly!$D$1:$AM$1, 0), FALSE), 1)</f>
        <v>2.6024003196130812</v>
      </c>
      <c r="M15" s="12">
        <f>$B15 * IFERROR(VLOOKUP(Substitution!$M$11 &amp; $A15, US_national_yearly!$D:$AM, MATCH(M$1, US_national_yearly!$D$1:$AM$1, 0), FALSE) / VLOOKUP(Substitution!$M$11 &amp; $A15, US_national_yearly!$D:$AM, MATCH(Keys!$C$7, US_national_yearly!$D$1:$AM$1, 0), FALSE), 1)</f>
        <v>2.617405101922968</v>
      </c>
      <c r="N15" s="12">
        <f>$B15 * IFERROR(VLOOKUP(Substitution!$M$11 &amp; $A15, US_national_yearly!$D:$AM, MATCH(N$1, US_national_yearly!$D$1:$AM$1, 0), FALSE) / VLOOKUP(Substitution!$M$11 &amp; $A15, US_national_yearly!$D:$AM, MATCH(Keys!$C$7, US_national_yearly!$D$1:$AM$1, 0), FALSE), 1)</f>
        <v>2.6362700959823941</v>
      </c>
      <c r="O15" s="12">
        <f>$B15 * IFERROR(VLOOKUP(Substitution!$M$11 &amp; $A15, US_national_yearly!$D:$AM, MATCH(O$1, US_national_yearly!$D$1:$AM$1, 0), FALSE) / VLOOKUP(Substitution!$M$11 &amp; $A15, US_national_yearly!$D:$AM, MATCH(Keys!$C$7, US_national_yearly!$D$1:$AM$1, 0), FALSE), 1)</f>
        <v>2.6551350900418207</v>
      </c>
      <c r="P15" s="12">
        <f>$B15 * IFERROR(VLOOKUP(Substitution!$M$11 &amp; $A15, US_national_yearly!$D:$AM, MATCH(P$1, US_national_yearly!$D$1:$AM$1, 0), FALSE) / VLOOKUP(Substitution!$M$11 &amp; $A15, US_national_yearly!$D:$AM, MATCH(Keys!$C$7, US_national_yearly!$D$1:$AM$1, 0), FALSE), 1)</f>
        <v>2.6740000841012472</v>
      </c>
      <c r="Q15" s="12">
        <f>$B15 * IFERROR(VLOOKUP(Substitution!$M$11 &amp; $A15, US_national_yearly!$D:$AM, MATCH(Q$1, US_national_yearly!$D$1:$AM$1, 0), FALSE) / VLOOKUP(Substitution!$M$11 &amp; $A15, US_national_yearly!$D:$AM, MATCH(Keys!$C$7, US_national_yearly!$D$1:$AM$1, 0), FALSE), 1)</f>
        <v>2.6928650781606733</v>
      </c>
      <c r="R15" s="12">
        <f>$B15 * IFERROR(VLOOKUP(Substitution!$M$11 &amp; $A15, US_national_yearly!$D:$AM, MATCH(R$1, US_national_yearly!$D$1:$AM$1, 0), FALSE) / VLOOKUP(Substitution!$M$11 &amp; $A15, US_national_yearly!$D:$AM, MATCH(Keys!$C$7, US_national_yearly!$D$1:$AM$1, 0), FALSE), 1)</f>
        <v>2.7117300722201003</v>
      </c>
      <c r="S15" s="12">
        <f>$B15 * IFERROR(VLOOKUP(Substitution!$M$11 &amp; $A15, US_national_yearly!$D:$AM, MATCH(S$1, US_national_yearly!$D$1:$AM$1, 0), FALSE) / VLOOKUP(Substitution!$M$11 &amp; $A15, US_national_yearly!$D:$AM, MATCH(Keys!$C$7, US_national_yearly!$D$1:$AM$1, 0), FALSE), 1)</f>
        <v>2.7325688027645318</v>
      </c>
      <c r="T15" s="12">
        <f>$B15 * IFERROR(VLOOKUP(Substitution!$M$11 &amp; $A15, US_national_yearly!$D:$AM, MATCH(T$1, US_national_yearly!$D$1:$AM$1, 0), FALSE) / VLOOKUP(Substitution!$M$11 &amp; $A15, US_national_yearly!$D:$AM, MATCH(Keys!$C$7, US_national_yearly!$D$1:$AM$1, 0), FALSE), 1)</f>
        <v>2.7534075333089638</v>
      </c>
      <c r="U15" s="12">
        <f>$B15 * IFERROR(VLOOKUP(Substitution!$M$11 &amp; $A15, US_national_yearly!$D:$AM, MATCH(U$1, US_national_yearly!$D$1:$AM$1, 0), FALSE) / VLOOKUP(Substitution!$M$11 &amp; $A15, US_national_yearly!$D:$AM, MATCH(Keys!$C$7, US_national_yearly!$D$1:$AM$1, 0), FALSE), 1)</f>
        <v>2.7742462638533962</v>
      </c>
      <c r="V15" s="12">
        <f>$B15 * IFERROR(VLOOKUP(Substitution!$M$11 &amp; $A15, US_national_yearly!$D:$AM, MATCH(V$1, US_national_yearly!$D$1:$AM$1, 0), FALSE) / VLOOKUP(Substitution!$M$11 &amp; $A15, US_national_yearly!$D:$AM, MATCH(Keys!$C$7, US_national_yearly!$D$1:$AM$1, 0), FALSE), 1)</f>
        <v>2.7950849943978278</v>
      </c>
      <c r="W15" s="12">
        <f>$B15 * IFERROR(VLOOKUP(Substitution!$M$11 &amp; $A15, US_national_yearly!$D:$AM, MATCH(W$1, US_national_yearly!$D$1:$AM$1, 0), FALSE) / VLOOKUP(Substitution!$M$11 &amp; $A15, US_national_yearly!$D:$AM, MATCH(Keys!$C$7, US_national_yearly!$D$1:$AM$1, 0), FALSE), 1)</f>
        <v>2.8159237249422597</v>
      </c>
      <c r="X15" s="12">
        <f>$B15 * IFERROR(VLOOKUP(Substitution!$M$11 &amp; $A15, US_national_yearly!$D:$AM, MATCH(X$1, US_national_yearly!$D$1:$AM$1, 0), FALSE) / VLOOKUP(Substitution!$M$11 &amp; $A15, US_national_yearly!$D:$AM, MATCH(Keys!$C$7, US_national_yearly!$D$1:$AM$1, 0), FALSE), 1)</f>
        <v>2.8344161121733187</v>
      </c>
      <c r="Y15" s="12">
        <f>$B15 * IFERROR(VLOOKUP(Substitution!$M$11 &amp; $A15, US_national_yearly!$D:$AM, MATCH(Y$1, US_national_yearly!$D$1:$AM$1, 0), FALSE) / VLOOKUP(Substitution!$M$11 &amp; $A15, US_national_yearly!$D:$AM, MATCH(Keys!$C$7, US_national_yearly!$D$1:$AM$1, 0), FALSE), 1)</f>
        <v>2.8529084994043781</v>
      </c>
      <c r="Z15" s="12">
        <f>$B15 * IFERROR(VLOOKUP(Substitution!$M$11 &amp; $A15, US_national_yearly!$D:$AM, MATCH(Z$1, US_national_yearly!$D$1:$AM$1, 0), FALSE) / VLOOKUP(Substitution!$M$11 &amp; $A15, US_national_yearly!$D:$AM, MATCH(Keys!$C$7, US_national_yearly!$D$1:$AM$1, 0), FALSE), 1)</f>
        <v>2.8714008866354366</v>
      </c>
      <c r="AA15" s="12">
        <f>$B15 * IFERROR(VLOOKUP(Substitution!$M$11 &amp; $A15, US_national_yearly!$D:$AM, MATCH(AA$1, US_national_yearly!$D$1:$AM$1, 0), FALSE) / VLOOKUP(Substitution!$M$11 &amp; $A15, US_national_yearly!$D:$AM, MATCH(Keys!$C$7, US_national_yearly!$D$1:$AM$1, 0), FALSE), 1)</f>
        <v>2.889893273866496</v>
      </c>
      <c r="AB15" s="12">
        <f>$B15 * IFERROR(VLOOKUP(Substitution!$M$11 &amp; $A15, US_national_yearly!$D:$AM, MATCH(AB$1, US_national_yearly!$D$1:$AM$1, 0), FALSE) / VLOOKUP(Substitution!$M$11 &amp; $A15, US_national_yearly!$D:$AM, MATCH(Keys!$C$7, US_national_yearly!$D$1:$AM$1, 0), FALSE), 1)</f>
        <v>2.9083856610975549</v>
      </c>
    </row>
    <row r="16" spans="1:28" x14ac:dyDescent="0.25">
      <c r="A16" s="4" t="s">
        <v>319</v>
      </c>
      <c r="B16" s="12">
        <f>IFERROR(VLOOKUP(Substitution!$M$11 &amp; $A16, US_national_yearly!$D:$AM, MATCH(Keys!$C$7, US_national_yearly!$D$1:$AM$1, 0), FALSE), 0)</f>
        <v>9.1170872342160843E-4</v>
      </c>
      <c r="C16" s="12">
        <f>$B16 * IFERROR(VLOOKUP(Substitution!$M$11 &amp; $A16, US_national_yearly!$D:$AM, MATCH(C$1, US_national_yearly!$D$1:$AM$1, 0), FALSE) / VLOOKUP(Substitution!$M$11 &amp; $A16, US_national_yearly!$D:$AM, MATCH(Keys!$C$7, US_national_yearly!$D$1:$AM$1, 0), FALSE), 1)</f>
        <v>9.2950000367211284E-4</v>
      </c>
      <c r="D16" s="12">
        <f>$B16 * IFERROR(VLOOKUP(Substitution!$M$11 &amp; $A16, US_national_yearly!$D:$AM, MATCH(D$1, US_national_yearly!$D$1:$AM$1, 0), FALSE) / VLOOKUP(Substitution!$M$11 &amp; $A16, US_national_yearly!$D:$AM, MATCH(Keys!$C$7, US_national_yearly!$D$1:$AM$1, 0), FALSE), 1)</f>
        <v>9.4729128392261725E-4</v>
      </c>
      <c r="E16" s="12">
        <f>$B16 * IFERROR(VLOOKUP(Substitution!$M$11 &amp; $A16, US_national_yearly!$D:$AM, MATCH(E$1, US_national_yearly!$D$1:$AM$1, 0), FALSE) / VLOOKUP(Substitution!$M$11 &amp; $A16, US_national_yearly!$D:$AM, MATCH(Keys!$C$7, US_national_yearly!$D$1:$AM$1, 0), FALSE), 1)</f>
        <v>9.6508256417312177E-4</v>
      </c>
      <c r="F16" s="12">
        <f>$B16 * IFERROR(VLOOKUP(Substitution!$M$11 &amp; $A16, US_national_yearly!$D:$AM, MATCH(F$1, US_national_yearly!$D$1:$AM$1, 0), FALSE) / VLOOKUP(Substitution!$M$11 &amp; $A16, US_national_yearly!$D:$AM, MATCH(Keys!$C$7, US_national_yearly!$D$1:$AM$1, 0), FALSE), 1)</f>
        <v>9.8287384442362607E-4</v>
      </c>
      <c r="G16" s="12">
        <f>$B16 * IFERROR(VLOOKUP(Substitution!$M$11 &amp; $A16, US_national_yearly!$D:$AM, MATCH(G$1, US_national_yearly!$D$1:$AM$1, 0), FALSE) / VLOOKUP(Substitution!$M$11 &amp; $A16, US_national_yearly!$D:$AM, MATCH(Keys!$C$7, US_national_yearly!$D$1:$AM$1, 0), FALSE), 1)</f>
        <v>1.001708600844978E-3</v>
      </c>
      <c r="H16" s="12">
        <f>$B16 * IFERROR(VLOOKUP(Substitution!$M$11 &amp; $A16, US_national_yearly!$D:$AM, MATCH(H$1, US_national_yearly!$D$1:$AM$1, 0), FALSE) / VLOOKUP(Substitution!$M$11 &amp; $A16, US_national_yearly!$D:$AM, MATCH(Keys!$C$7, US_national_yearly!$D$1:$AM$1, 0), FALSE), 1)</f>
        <v>1.0205433572663301E-3</v>
      </c>
      <c r="I16" s="12">
        <f>$B16 * IFERROR(VLOOKUP(Substitution!$M$11 &amp; $A16, US_national_yearly!$D:$AM, MATCH(I$1, US_national_yearly!$D$1:$AM$1, 0), FALSE) / VLOOKUP(Substitution!$M$11 &amp; $A16, US_national_yearly!$D:$AM, MATCH(Keys!$C$7, US_national_yearly!$D$1:$AM$1, 0), FALSE), 1)</f>
        <v>1.0407375653218201E-3</v>
      </c>
      <c r="J16" s="12">
        <f>$B16 * IFERROR(VLOOKUP(Substitution!$M$11 &amp; $A16, US_national_yearly!$D:$AM, MATCH(J$1, US_national_yearly!$D$1:$AM$1, 0), FALSE) / VLOOKUP(Substitution!$M$11 &amp; $A16, US_national_yearly!$D:$AM, MATCH(Keys!$C$7, US_national_yearly!$D$1:$AM$1, 0), FALSE), 1)</f>
        <v>1.0609317733773101E-3</v>
      </c>
      <c r="K16" s="12">
        <f>$B16 * IFERROR(VLOOKUP(Substitution!$M$11 &amp; $A16, US_national_yearly!$D:$AM, MATCH(K$1, US_national_yearly!$D$1:$AM$1, 0), FALSE) / VLOOKUP(Substitution!$M$11 &amp; $A16, US_national_yearly!$D:$AM, MATCH(Keys!$C$7, US_national_yearly!$D$1:$AM$1, 0), FALSE), 1)</f>
        <v>1.0811259814328001E-3</v>
      </c>
      <c r="L16" s="12">
        <f>$B16 * IFERROR(VLOOKUP(Substitution!$M$11 &amp; $A16, US_national_yearly!$D:$AM, MATCH(L$1, US_national_yearly!$D$1:$AM$1, 0), FALSE) / VLOOKUP(Substitution!$M$11 &amp; $A16, US_national_yearly!$D:$AM, MATCH(Keys!$C$7, US_national_yearly!$D$1:$AM$1, 0), FALSE), 1)</f>
        <v>1.1013201894882899E-3</v>
      </c>
      <c r="M16" s="12">
        <f>$B16 * IFERROR(VLOOKUP(Substitution!$M$11 &amp; $A16, US_national_yearly!$D:$AM, MATCH(M$1, US_national_yearly!$D$1:$AM$1, 0), FALSE) / VLOOKUP(Substitution!$M$11 &amp; $A16, US_national_yearly!$D:$AM, MATCH(Keys!$C$7, US_national_yearly!$D$1:$AM$1, 0), FALSE), 1)</f>
        <v>1.1215143975437799E-3</v>
      </c>
      <c r="N16" s="12">
        <f>$B16 * IFERROR(VLOOKUP(Substitution!$M$11 &amp; $A16, US_national_yearly!$D:$AM, MATCH(N$1, US_national_yearly!$D$1:$AM$1, 0), FALSE) / VLOOKUP(Substitution!$M$11 &amp; $A16, US_national_yearly!$D:$AM, MATCH(Keys!$C$7, US_national_yearly!$D$1:$AM$1, 0), FALSE), 1)</f>
        <v>1.138605777537738E-3</v>
      </c>
      <c r="O16" s="12">
        <f>$B16 * IFERROR(VLOOKUP(Substitution!$M$11 &amp; $A16, US_national_yearly!$D:$AM, MATCH(O$1, US_national_yearly!$D$1:$AM$1, 0), FALSE) / VLOOKUP(Substitution!$M$11 &amp; $A16, US_national_yearly!$D:$AM, MATCH(Keys!$C$7, US_national_yearly!$D$1:$AM$1, 0), FALSE), 1)</f>
        <v>1.155697157531696E-3</v>
      </c>
      <c r="P16" s="12">
        <f>$B16 * IFERROR(VLOOKUP(Substitution!$M$11 &amp; $A16, US_national_yearly!$D:$AM, MATCH(P$1, US_national_yearly!$D$1:$AM$1, 0), FALSE) / VLOOKUP(Substitution!$M$11 &amp; $A16, US_national_yearly!$D:$AM, MATCH(Keys!$C$7, US_national_yearly!$D$1:$AM$1, 0), FALSE), 1)</f>
        <v>1.1727885375256541E-3</v>
      </c>
      <c r="Q16" s="12">
        <f>$B16 * IFERROR(VLOOKUP(Substitution!$M$11 &amp; $A16, US_national_yearly!$D:$AM, MATCH(Q$1, US_national_yearly!$D$1:$AM$1, 0), FALSE) / VLOOKUP(Substitution!$M$11 &amp; $A16, US_national_yearly!$D:$AM, MATCH(Keys!$C$7, US_national_yearly!$D$1:$AM$1, 0), FALSE), 1)</f>
        <v>1.189879917519612E-3</v>
      </c>
      <c r="R16" s="12">
        <f>$B16 * IFERROR(VLOOKUP(Substitution!$M$11 &amp; $A16, US_national_yearly!$D:$AM, MATCH(R$1, US_national_yearly!$D$1:$AM$1, 0), FALSE) / VLOOKUP(Substitution!$M$11 &amp; $A16, US_national_yearly!$D:$AM, MATCH(Keys!$C$7, US_national_yearly!$D$1:$AM$1, 0), FALSE), 1)</f>
        <v>1.20697129751357E-3</v>
      </c>
      <c r="S16" s="12">
        <f>$B16 * IFERROR(VLOOKUP(Substitution!$M$11 &amp; $A16, US_national_yearly!$D:$AM, MATCH(S$1, US_national_yearly!$D$1:$AM$1, 0), FALSE) / VLOOKUP(Substitution!$M$11 &amp; $A16, US_national_yearly!$D:$AM, MATCH(Keys!$C$7, US_national_yearly!$D$1:$AM$1, 0), FALSE), 1)</f>
        <v>1.215641188529432E-3</v>
      </c>
      <c r="T16" s="12">
        <f>$B16 * IFERROR(VLOOKUP(Substitution!$M$11 &amp; $A16, US_national_yearly!$D:$AM, MATCH(T$1, US_national_yearly!$D$1:$AM$1, 0), FALSE) / VLOOKUP(Substitution!$M$11 &amp; $A16, US_national_yearly!$D:$AM, MATCH(Keys!$C$7, US_national_yearly!$D$1:$AM$1, 0), FALSE), 1)</f>
        <v>1.224311079545294E-3</v>
      </c>
      <c r="U16" s="12">
        <f>$B16 * IFERROR(VLOOKUP(Substitution!$M$11 &amp; $A16, US_national_yearly!$D:$AM, MATCH(U$1, US_national_yearly!$D$1:$AM$1, 0), FALSE) / VLOOKUP(Substitution!$M$11 &amp; $A16, US_national_yearly!$D:$AM, MATCH(Keys!$C$7, US_national_yearly!$D$1:$AM$1, 0), FALSE), 1)</f>
        <v>1.232980970561156E-3</v>
      </c>
      <c r="V16" s="12">
        <f>$B16 * IFERROR(VLOOKUP(Substitution!$M$11 &amp; $A16, US_national_yearly!$D:$AM, MATCH(V$1, US_national_yearly!$D$1:$AM$1, 0), FALSE) / VLOOKUP(Substitution!$M$11 &amp; $A16, US_national_yearly!$D:$AM, MATCH(Keys!$C$7, US_national_yearly!$D$1:$AM$1, 0), FALSE), 1)</f>
        <v>1.241650861577018E-3</v>
      </c>
      <c r="W16" s="12">
        <f>$B16 * IFERROR(VLOOKUP(Substitution!$M$11 &amp; $A16, US_national_yearly!$D:$AM, MATCH(W$1, US_national_yearly!$D$1:$AM$1, 0), FALSE) / VLOOKUP(Substitution!$M$11 &amp; $A16, US_national_yearly!$D:$AM, MATCH(Keys!$C$7, US_national_yearly!$D$1:$AM$1, 0), FALSE), 1)</f>
        <v>1.25032075259288E-3</v>
      </c>
      <c r="X16" s="12">
        <f>$B16 * IFERROR(VLOOKUP(Substitution!$M$11 &amp; $A16, US_national_yearly!$D:$AM, MATCH(X$1, US_national_yearly!$D$1:$AM$1, 0), FALSE) / VLOOKUP(Substitution!$M$11 &amp; $A16, US_national_yearly!$D:$AM, MATCH(Keys!$C$7, US_national_yearly!$D$1:$AM$1, 0), FALSE), 1)</f>
        <v>1.254515471040596E-3</v>
      </c>
      <c r="Y16" s="12">
        <f>$B16 * IFERROR(VLOOKUP(Substitution!$M$11 &amp; $A16, US_national_yearly!$D:$AM, MATCH(Y$1, US_national_yearly!$D$1:$AM$1, 0), FALSE) / VLOOKUP(Substitution!$M$11 &amp; $A16, US_national_yearly!$D:$AM, MATCH(Keys!$C$7, US_national_yearly!$D$1:$AM$1, 0), FALSE), 1)</f>
        <v>1.2587101894883121E-3</v>
      </c>
      <c r="Z16" s="12">
        <f>$B16 * IFERROR(VLOOKUP(Substitution!$M$11 &amp; $A16, US_national_yearly!$D:$AM, MATCH(Z$1, US_national_yearly!$D$1:$AM$1, 0), FALSE) / VLOOKUP(Substitution!$M$11 &amp; $A16, US_national_yearly!$D:$AM, MATCH(Keys!$C$7, US_national_yearly!$D$1:$AM$1, 0), FALSE), 1)</f>
        <v>1.262904907936028E-3</v>
      </c>
      <c r="AA16" s="12">
        <f>$B16 * IFERROR(VLOOKUP(Substitution!$M$11 &amp; $A16, US_national_yearly!$D:$AM, MATCH(AA$1, US_national_yearly!$D$1:$AM$1, 0), FALSE) / VLOOKUP(Substitution!$M$11 &amp; $A16, US_national_yearly!$D:$AM, MATCH(Keys!$C$7, US_national_yearly!$D$1:$AM$1, 0), FALSE), 1)</f>
        <v>1.267099626383744E-3</v>
      </c>
      <c r="AB16" s="12">
        <f>$B16 * IFERROR(VLOOKUP(Substitution!$M$11 &amp; $A16, US_national_yearly!$D:$AM, MATCH(AB$1, US_national_yearly!$D$1:$AM$1, 0), FALSE) / VLOOKUP(Substitution!$M$11 &amp; $A16, US_national_yearly!$D:$AM, MATCH(Keys!$C$7, US_national_yearly!$D$1:$AM$1, 0), FALSE), 1)</f>
        <v>1.2712943448314599E-3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Substitution!$G$11)/IFERROR(SUMIFS(COBRA_aggregated!$U:$U, COBRA_aggregated!$A:$A, About!$B$1, COBRA_aggregated!$B:$B, Substitution!$G$11), 1)</f>
        <v>5.6817629593891557E-3</v>
      </c>
      <c r="C17" s="12">
        <f>$B17 * IFERROR(VLOOKUP(Substitution!$M$11 &amp; $A17, US_national_yearly!$D:$AM, MATCH(C$1, US_national_yearly!$D$1:$AM$1, 0), FALSE) / VLOOKUP(Substitution!$M$11 &amp; $A17, US_national_yearly!$D:$AM, MATCH(Keys!$C$7, US_national_yearly!$D$1:$AM$1, 0), FALSE), 1)</f>
        <v>5.8515700970858892E-3</v>
      </c>
      <c r="D17" s="12">
        <f>$B17 * IFERROR(VLOOKUP(Substitution!$M$11 &amp; $A17, US_national_yearly!$D:$AM, MATCH(D$1, US_national_yearly!$D$1:$AM$1, 0), FALSE) / VLOOKUP(Substitution!$M$11 &amp; $A17, US_national_yearly!$D:$AM, MATCH(Keys!$C$7, US_national_yearly!$D$1:$AM$1, 0), FALSE), 1)</f>
        <v>6.0213772347826227E-3</v>
      </c>
      <c r="E17" s="12">
        <f>$B17 * IFERROR(VLOOKUP(Substitution!$M$11 &amp; $A17, US_national_yearly!$D:$AM, MATCH(E$1, US_national_yearly!$D$1:$AM$1, 0), FALSE) / VLOOKUP(Substitution!$M$11 &amp; $A17, US_national_yearly!$D:$AM, MATCH(Keys!$C$7, US_national_yearly!$D$1:$AM$1, 0), FALSE), 1)</f>
        <v>6.1911843724793553E-3</v>
      </c>
      <c r="F17" s="12">
        <f>$B17 * IFERROR(VLOOKUP(Substitution!$M$11 &amp; $A17, US_national_yearly!$D:$AM, MATCH(F$1, US_national_yearly!$D$1:$AM$1, 0), FALSE) / VLOOKUP(Substitution!$M$11 &amp; $A17, US_national_yearly!$D:$AM, MATCH(Keys!$C$7, US_national_yearly!$D$1:$AM$1, 0), FALSE), 1)</f>
        <v>6.3609915101760887E-3</v>
      </c>
      <c r="G17" s="12">
        <f>$B17 * IFERROR(VLOOKUP(Substitution!$M$11 &amp; $A17, US_national_yearly!$D:$AM, MATCH(G$1, US_national_yearly!$D$1:$AM$1, 0), FALSE) / VLOOKUP(Substitution!$M$11 &amp; $A17, US_national_yearly!$D:$AM, MATCH(Keys!$C$7, US_national_yearly!$D$1:$AM$1, 0), FALSE), 1)</f>
        <v>6.5236924520104588E-3</v>
      </c>
      <c r="H17" s="12">
        <f>$B17 * IFERROR(VLOOKUP(Substitution!$M$11 &amp; $A17, US_national_yearly!$D:$AM, MATCH(H$1, US_national_yearly!$D$1:$AM$1, 0), FALSE) / VLOOKUP(Substitution!$M$11 &amp; $A17, US_national_yearly!$D:$AM, MATCH(Keys!$C$7, US_national_yearly!$D$1:$AM$1, 0), FALSE), 1)</f>
        <v>6.686393393844828E-3</v>
      </c>
      <c r="I17" s="12">
        <f>$B17 * IFERROR(VLOOKUP(Substitution!$M$11 &amp; $A17, US_national_yearly!$D:$AM, MATCH(I$1, US_national_yearly!$D$1:$AM$1, 0), FALSE) / VLOOKUP(Substitution!$M$11 &amp; $A17, US_national_yearly!$D:$AM, MATCH(Keys!$C$7, US_national_yearly!$D$1:$AM$1, 0), FALSE), 1)</f>
        <v>6.8256803698609576E-3</v>
      </c>
      <c r="J17" s="12">
        <f>$B17 * IFERROR(VLOOKUP(Substitution!$M$11 &amp; $A17, US_national_yearly!$D:$AM, MATCH(J$1, US_national_yearly!$D$1:$AM$1, 0), FALSE) / VLOOKUP(Substitution!$M$11 &amp; $A17, US_national_yearly!$D:$AM, MATCH(Keys!$C$7, US_national_yearly!$D$1:$AM$1, 0), FALSE), 1)</f>
        <v>6.9649673458770881E-3</v>
      </c>
      <c r="K17" s="12">
        <f>$B17 * IFERROR(VLOOKUP(Substitution!$M$11 &amp; $A17, US_national_yearly!$D:$AM, MATCH(K$1, US_national_yearly!$D$1:$AM$1, 0), FALSE) / VLOOKUP(Substitution!$M$11 &amp; $A17, US_national_yearly!$D:$AM, MATCH(Keys!$C$7, US_national_yearly!$D$1:$AM$1, 0), FALSE), 1)</f>
        <v>7.1042543218932186E-3</v>
      </c>
      <c r="L17" s="12">
        <f>$B17 * IFERROR(VLOOKUP(Substitution!$M$11 &amp; $A17, US_national_yearly!$D:$AM, MATCH(L$1, US_national_yearly!$D$1:$AM$1, 0), FALSE) / VLOOKUP(Substitution!$M$11 &amp; $A17, US_national_yearly!$D:$AM, MATCH(Keys!$C$7, US_national_yearly!$D$1:$AM$1, 0), FALSE), 1)</f>
        <v>7.24354129790935E-3</v>
      </c>
      <c r="M17" s="12">
        <f>$B17 * IFERROR(VLOOKUP(Substitution!$M$11 &amp; $A17, US_national_yearly!$D:$AM, MATCH(M$1, US_national_yearly!$D$1:$AM$1, 0), FALSE) / VLOOKUP(Substitution!$M$11 &amp; $A17, US_national_yearly!$D:$AM, MATCH(Keys!$C$7, US_national_yearly!$D$1:$AM$1, 0), FALSE), 1)</f>
        <v>7.3828282739254814E-3</v>
      </c>
      <c r="N17" s="12">
        <f>$B17 * IFERROR(VLOOKUP(Substitution!$M$11 &amp; $A17, US_national_yearly!$D:$AM, MATCH(N$1, US_national_yearly!$D$1:$AM$1, 0), FALSE) / VLOOKUP(Substitution!$M$11 &amp; $A17, US_national_yearly!$D:$AM, MATCH(Keys!$C$7, US_national_yearly!$D$1:$AM$1, 0), FALSE), 1)</f>
        <v>7.4758372635215682E-3</v>
      </c>
      <c r="O17" s="12">
        <f>$B17 * IFERROR(VLOOKUP(Substitution!$M$11 &amp; $A17, US_national_yearly!$D:$AM, MATCH(O$1, US_national_yearly!$D$1:$AM$1, 0), FALSE) / VLOOKUP(Substitution!$M$11 &amp; $A17, US_national_yearly!$D:$AM, MATCH(Keys!$C$7, US_national_yearly!$D$1:$AM$1, 0), FALSE), 1)</f>
        <v>7.5688462531176559E-3</v>
      </c>
      <c r="P17" s="12">
        <f>$B17 * IFERROR(VLOOKUP(Substitution!$M$11 &amp; $A17, US_national_yearly!$D:$AM, MATCH(P$1, US_national_yearly!$D$1:$AM$1, 0), FALSE) / VLOOKUP(Substitution!$M$11 &amp; $A17, US_national_yearly!$D:$AM, MATCH(Keys!$C$7, US_national_yearly!$D$1:$AM$1, 0), FALSE), 1)</f>
        <v>7.6618552427137419E-3</v>
      </c>
      <c r="Q17" s="12">
        <f>$B17 * IFERROR(VLOOKUP(Substitution!$M$11 &amp; $A17, US_national_yearly!$D:$AM, MATCH(Q$1, US_national_yearly!$D$1:$AM$1, 0), FALSE) / VLOOKUP(Substitution!$M$11 &amp; $A17, US_national_yearly!$D:$AM, MATCH(Keys!$C$7, US_national_yearly!$D$1:$AM$1, 0), FALSE), 1)</f>
        <v>7.7548642323098296E-3</v>
      </c>
      <c r="R17" s="12">
        <f>$B17 * IFERROR(VLOOKUP(Substitution!$M$11 &amp; $A17, US_national_yearly!$D:$AM, MATCH(R$1, US_national_yearly!$D$1:$AM$1, 0), FALSE) / VLOOKUP(Substitution!$M$11 &amp; $A17, US_national_yearly!$D:$AM, MATCH(Keys!$C$7, US_national_yearly!$D$1:$AM$1, 0), FALSE), 1)</f>
        <v>7.8478732219059155E-3</v>
      </c>
      <c r="S17" s="12">
        <f>$B17 * IFERROR(VLOOKUP(Substitution!$M$11 &amp; $A17, US_national_yearly!$D:$AM, MATCH(S$1, US_national_yearly!$D$1:$AM$1, 0), FALSE) / VLOOKUP(Substitution!$M$11 &amp; $A17, US_national_yearly!$D:$AM, MATCH(Keys!$C$7, US_national_yearly!$D$1:$AM$1, 0), FALSE), 1)</f>
        <v>7.8972950776069958E-3</v>
      </c>
      <c r="T17" s="12">
        <f>$B17 * IFERROR(VLOOKUP(Substitution!$M$11 &amp; $A17, US_national_yearly!$D:$AM, MATCH(T$1, US_national_yearly!$D$1:$AM$1, 0), FALSE) / VLOOKUP(Substitution!$M$11 &amp; $A17, US_national_yearly!$D:$AM, MATCH(Keys!$C$7, US_national_yearly!$D$1:$AM$1, 0), FALSE), 1)</f>
        <v>7.9467169333080727E-3</v>
      </c>
      <c r="U17" s="12">
        <f>$B17 * IFERROR(VLOOKUP(Substitution!$M$11 &amp; $A17, US_national_yearly!$D:$AM, MATCH(U$1, US_national_yearly!$D$1:$AM$1, 0), FALSE) / VLOOKUP(Substitution!$M$11 &amp; $A17, US_national_yearly!$D:$AM, MATCH(Keys!$C$7, US_national_yearly!$D$1:$AM$1, 0), FALSE), 1)</f>
        <v>7.996138789009153E-3</v>
      </c>
      <c r="V17" s="12">
        <f>$B17 * IFERROR(VLOOKUP(Substitution!$M$11 &amp; $A17, US_national_yearly!$D:$AM, MATCH(V$1, US_national_yearly!$D$1:$AM$1, 0), FALSE) / VLOOKUP(Substitution!$M$11 &amp; $A17, US_national_yearly!$D:$AM, MATCH(Keys!$C$7, US_national_yearly!$D$1:$AM$1, 0), FALSE), 1)</f>
        <v>8.0455606447102299E-3</v>
      </c>
      <c r="W17" s="12">
        <f>$B17 * IFERROR(VLOOKUP(Substitution!$M$11 &amp; $A17, US_national_yearly!$D:$AM, MATCH(W$1, US_national_yearly!$D$1:$AM$1, 0), FALSE) / VLOOKUP(Substitution!$M$11 &amp; $A17, US_national_yearly!$D:$AM, MATCH(Keys!$C$7, US_national_yearly!$D$1:$AM$1, 0), FALSE), 1)</f>
        <v>8.0949825004113102E-3</v>
      </c>
      <c r="X17" s="12">
        <f>$B17 * IFERROR(VLOOKUP(Substitution!$M$11 &amp; $A17, US_national_yearly!$D:$AM, MATCH(X$1, US_national_yearly!$D$1:$AM$1, 0), FALSE) / VLOOKUP(Substitution!$M$11 &amp; $A17, US_national_yearly!$D:$AM, MATCH(Keys!$C$7, US_national_yearly!$D$1:$AM$1, 0), FALSE), 1)</f>
        <v>8.1283994091599122E-3</v>
      </c>
      <c r="Y17" s="12">
        <f>$B17 * IFERROR(VLOOKUP(Substitution!$M$11 &amp; $A17, US_national_yearly!$D:$AM, MATCH(Y$1, US_national_yearly!$D$1:$AM$1, 0), FALSE) / VLOOKUP(Substitution!$M$11 &amp; $A17, US_national_yearly!$D:$AM, MATCH(Keys!$C$7, US_national_yearly!$D$1:$AM$1, 0), FALSE), 1)</f>
        <v>8.1618163179085108E-3</v>
      </c>
      <c r="Z17" s="12">
        <f>$B17 * IFERROR(VLOOKUP(Substitution!$M$11 &amp; $A17, US_national_yearly!$D:$AM, MATCH(Z$1, US_national_yearly!$D$1:$AM$1, 0), FALSE) / VLOOKUP(Substitution!$M$11 &amp; $A17, US_national_yearly!$D:$AM, MATCH(Keys!$C$7, US_national_yearly!$D$1:$AM$1, 0), FALSE), 1)</f>
        <v>8.1952332266571129E-3</v>
      </c>
      <c r="AA17" s="12">
        <f>$B17 * IFERROR(VLOOKUP(Substitution!$M$11 &amp; $A17, US_national_yearly!$D:$AM, MATCH(AA$1, US_national_yearly!$D$1:$AM$1, 0), FALSE) / VLOOKUP(Substitution!$M$11 &amp; $A17, US_national_yearly!$D:$AM, MATCH(Keys!$C$7, US_national_yearly!$D$1:$AM$1, 0), FALSE), 1)</f>
        <v>8.2286501354057115E-3</v>
      </c>
      <c r="AB17" s="12">
        <f>$B17 * IFERROR(VLOOKUP(Substitution!$M$11 &amp; $A17, US_national_yearly!$D:$AM, MATCH(AB$1, US_national_yearly!$D$1:$AM$1, 0), FALSE) / VLOOKUP(Substitution!$M$11 &amp; $A17, US_national_yearly!$D:$AM, MATCH(Keys!$C$7, US_national_yearly!$D$1:$AM$1, 0), FALSE), 1)</f>
        <v>8.2620670441543118E-3</v>
      </c>
    </row>
    <row r="18" spans="1:28" x14ac:dyDescent="0.25">
      <c r="A18" s="4" t="s">
        <v>323</v>
      </c>
      <c r="B18" s="12">
        <f>IFERROR(VLOOKUP(Substitution!$M$11 &amp; $A18, US_national_yearly!$D:$AM, MATCH(Keys!$C$7, US_national_yearly!$D$1:$AM$1, 0), FALSE), 0)</f>
        <v>6.4628978669370139E-3</v>
      </c>
      <c r="C18" s="12">
        <f>$B18 * IFERROR(VLOOKUP(Substitution!$M$11 &amp; $A18, US_national_yearly!$D:$AM, MATCH(C$1, US_national_yearly!$D$1:$AM$1, 0), FALSE) / VLOOKUP(Substitution!$M$11 &amp; $A18, US_national_yearly!$D:$AM, MATCH(Keys!$C$7, US_national_yearly!$D$1:$AM$1, 0), FALSE), 1)</f>
        <v>6.6732162672109869E-3</v>
      </c>
      <c r="D18" s="12">
        <f>$B18 * IFERROR(VLOOKUP(Substitution!$M$11 &amp; $A18, US_national_yearly!$D:$AM, MATCH(D$1, US_national_yearly!$D$1:$AM$1, 0), FALSE) / VLOOKUP(Substitution!$M$11 &amp; $A18, US_national_yearly!$D:$AM, MATCH(Keys!$C$7, US_national_yearly!$D$1:$AM$1, 0), FALSE), 1)</f>
        <v>6.8835346674849616E-3</v>
      </c>
      <c r="E18" s="12">
        <f>$B18 * IFERROR(VLOOKUP(Substitution!$M$11 &amp; $A18, US_national_yearly!$D:$AM, MATCH(E$1, US_national_yearly!$D$1:$AM$1, 0), FALSE) / VLOOKUP(Substitution!$M$11 &amp; $A18, US_national_yearly!$D:$AM, MATCH(Keys!$C$7, US_national_yearly!$D$1:$AM$1, 0), FALSE), 1)</f>
        <v>7.0938530677589363E-3</v>
      </c>
      <c r="F18" s="12">
        <f>$B18 * IFERROR(VLOOKUP(Substitution!$M$11 &amp; $A18, US_national_yearly!$D:$AM, MATCH(F$1, US_national_yearly!$D$1:$AM$1, 0), FALSE) / VLOOKUP(Substitution!$M$11 &amp; $A18, US_national_yearly!$D:$AM, MATCH(Keys!$C$7, US_national_yearly!$D$1:$AM$1, 0), FALSE), 1)</f>
        <v>7.3041714680329092E-3</v>
      </c>
      <c r="G18" s="12">
        <f>$B18 * IFERROR(VLOOKUP(Substitution!$M$11 &amp; $A18, US_national_yearly!$D:$AM, MATCH(G$1, US_national_yearly!$D$1:$AM$1, 0), FALSE) / VLOOKUP(Substitution!$M$11 &amp; $A18, US_national_yearly!$D:$AM, MATCH(Keys!$C$7, US_national_yearly!$D$1:$AM$1, 0), FALSE), 1)</f>
        <v>7.5273134610323103E-3</v>
      </c>
      <c r="H18" s="12">
        <f>$B18 * IFERROR(VLOOKUP(Substitution!$M$11 &amp; $A18, US_national_yearly!$D:$AM, MATCH(H$1, US_national_yearly!$D$1:$AM$1, 0), FALSE) / VLOOKUP(Substitution!$M$11 &amp; $A18, US_national_yearly!$D:$AM, MATCH(Keys!$C$7, US_national_yearly!$D$1:$AM$1, 0), FALSE), 1)</f>
        <v>7.7504554540317096E-3</v>
      </c>
      <c r="I18" s="12">
        <f>$B18 * IFERROR(VLOOKUP(Substitution!$M$11 &amp; $A18, US_national_yearly!$D:$AM, MATCH(I$1, US_national_yearly!$D$1:$AM$1, 0), FALSE) / VLOOKUP(Substitution!$M$11 &amp; $A18, US_national_yearly!$D:$AM, MATCH(Keys!$C$7, US_national_yearly!$D$1:$AM$1, 0), FALSE), 1)</f>
        <v>7.9736738902960423E-3</v>
      </c>
      <c r="J18" s="12">
        <f>$B18 * IFERROR(VLOOKUP(Substitution!$M$11 &amp; $A18, US_national_yearly!$D:$AM, MATCH(J$1, US_national_yearly!$D$1:$AM$1, 0), FALSE) / VLOOKUP(Substitution!$M$11 &amp; $A18, US_national_yearly!$D:$AM, MATCH(Keys!$C$7, US_national_yearly!$D$1:$AM$1, 0), FALSE), 1)</f>
        <v>8.1968923265603733E-3</v>
      </c>
      <c r="K18" s="12">
        <f>$B18 * IFERROR(VLOOKUP(Substitution!$M$11 &amp; $A18, US_national_yearly!$D:$AM, MATCH(K$1, US_national_yearly!$D$1:$AM$1, 0), FALSE) / VLOOKUP(Substitution!$M$11 &amp; $A18, US_national_yearly!$D:$AM, MATCH(Keys!$C$7, US_national_yearly!$D$1:$AM$1, 0), FALSE), 1)</f>
        <v>8.4201107628247059E-3</v>
      </c>
      <c r="L18" s="12">
        <f>$B18 * IFERROR(VLOOKUP(Substitution!$M$11 &amp; $A18, US_national_yearly!$D:$AM, MATCH(L$1, US_national_yearly!$D$1:$AM$1, 0), FALSE) / VLOOKUP(Substitution!$M$11 &amp; $A18, US_national_yearly!$D:$AM, MATCH(Keys!$C$7, US_national_yearly!$D$1:$AM$1, 0), FALSE), 1)</f>
        <v>8.6433291990890369E-3</v>
      </c>
      <c r="M18" s="12">
        <f>$B18 * IFERROR(VLOOKUP(Substitution!$M$11 &amp; $A18, US_national_yearly!$D:$AM, MATCH(M$1, US_national_yearly!$D$1:$AM$1, 0), FALSE) / VLOOKUP(Substitution!$M$11 &amp; $A18, US_national_yearly!$D:$AM, MATCH(Keys!$C$7, US_national_yearly!$D$1:$AM$1, 0), FALSE), 1)</f>
        <v>8.8665476353533695E-3</v>
      </c>
      <c r="N18" s="12">
        <f>$B18 * IFERROR(VLOOKUP(Substitution!$M$11 &amp; $A18, US_national_yearly!$D:$AM, MATCH(N$1, US_national_yearly!$D$1:$AM$1, 0), FALSE) / VLOOKUP(Substitution!$M$11 &amp; $A18, US_national_yearly!$D:$AM, MATCH(Keys!$C$7, US_national_yearly!$D$1:$AM$1, 0), FALSE), 1)</f>
        <v>9.0274459339396689E-3</v>
      </c>
      <c r="O18" s="12">
        <f>$B18 * IFERROR(VLOOKUP(Substitution!$M$11 &amp; $A18, US_national_yearly!$D:$AM, MATCH(O$1, US_national_yearly!$D$1:$AM$1, 0), FALSE) / VLOOKUP(Substitution!$M$11 &amp; $A18, US_national_yearly!$D:$AM, MATCH(Keys!$C$7, US_national_yearly!$D$1:$AM$1, 0), FALSE), 1)</f>
        <v>9.18834423252597E-3</v>
      </c>
      <c r="P18" s="12">
        <f>$B18 * IFERROR(VLOOKUP(Substitution!$M$11 &amp; $A18, US_national_yearly!$D:$AM, MATCH(P$1, US_national_yearly!$D$1:$AM$1, 0), FALSE) / VLOOKUP(Substitution!$M$11 &amp; $A18, US_national_yearly!$D:$AM, MATCH(Keys!$C$7, US_national_yearly!$D$1:$AM$1, 0), FALSE), 1)</f>
        <v>9.3492425311122694E-3</v>
      </c>
      <c r="Q18" s="12">
        <f>$B18 * IFERROR(VLOOKUP(Substitution!$M$11 &amp; $A18, US_national_yearly!$D:$AM, MATCH(Q$1, US_national_yearly!$D$1:$AM$1, 0), FALSE) / VLOOKUP(Substitution!$M$11 &amp; $A18, US_national_yearly!$D:$AM, MATCH(Keys!$C$7, US_national_yearly!$D$1:$AM$1, 0), FALSE), 1)</f>
        <v>9.5101408296985705E-3</v>
      </c>
      <c r="R18" s="12">
        <f>$B18 * IFERROR(VLOOKUP(Substitution!$M$11 &amp; $A18, US_national_yearly!$D:$AM, MATCH(R$1, US_national_yearly!$D$1:$AM$1, 0), FALSE) / VLOOKUP(Substitution!$M$11 &amp; $A18, US_national_yearly!$D:$AM, MATCH(Keys!$C$7, US_national_yearly!$D$1:$AM$1, 0), FALSE), 1)</f>
        <v>9.6710391282848699E-3</v>
      </c>
      <c r="S18" s="12">
        <f>$B18 * IFERROR(VLOOKUP(Substitution!$M$11 &amp; $A18, US_national_yearly!$D:$AM, MATCH(S$1, US_national_yearly!$D$1:$AM$1, 0), FALSE) / VLOOKUP(Substitution!$M$11 &amp; $A18, US_national_yearly!$D:$AM, MATCH(Keys!$C$7, US_national_yearly!$D$1:$AM$1, 0), FALSE), 1)</f>
        <v>9.7488639188860766E-3</v>
      </c>
      <c r="T18" s="12">
        <f>$B18 * IFERROR(VLOOKUP(Substitution!$M$11 &amp; $A18, US_national_yearly!$D:$AM, MATCH(T$1, US_national_yearly!$D$1:$AM$1, 0), FALSE) / VLOOKUP(Substitution!$M$11 &amp; $A18, US_national_yearly!$D:$AM, MATCH(Keys!$C$7, US_national_yearly!$D$1:$AM$1, 0), FALSE), 1)</f>
        <v>9.8266887094872815E-3</v>
      </c>
      <c r="U18" s="12">
        <f>$B18 * IFERROR(VLOOKUP(Substitution!$M$11 &amp; $A18, US_national_yearly!$D:$AM, MATCH(U$1, US_national_yearly!$D$1:$AM$1, 0), FALSE) / VLOOKUP(Substitution!$M$11 &amp; $A18, US_national_yearly!$D:$AM, MATCH(Keys!$C$7, US_national_yearly!$D$1:$AM$1, 0), FALSE), 1)</f>
        <v>9.9045135000884882E-3</v>
      </c>
      <c r="V18" s="12">
        <f>$B18 * IFERROR(VLOOKUP(Substitution!$M$11 &amp; $A18, US_national_yearly!$D:$AM, MATCH(V$1, US_national_yearly!$D$1:$AM$1, 0), FALSE) / VLOOKUP(Substitution!$M$11 &amp; $A18, US_national_yearly!$D:$AM, MATCH(Keys!$C$7, US_national_yearly!$D$1:$AM$1, 0), FALSE), 1)</f>
        <v>9.9823382906896931E-3</v>
      </c>
      <c r="W18" s="12">
        <f>$B18 * IFERROR(VLOOKUP(Substitution!$M$11 &amp; $A18, US_national_yearly!$D:$AM, MATCH(W$1, US_national_yearly!$D$1:$AM$1, 0), FALSE) / VLOOKUP(Substitution!$M$11 &amp; $A18, US_national_yearly!$D:$AM, MATCH(Keys!$C$7, US_national_yearly!$D$1:$AM$1, 0), FALSE), 1)</f>
        <v>1.00601630812909E-2</v>
      </c>
      <c r="X18" s="12">
        <f>$B18 * IFERROR(VLOOKUP(Substitution!$M$11 &amp; $A18, US_national_yearly!$D:$AM, MATCH(X$1, US_national_yearly!$D$1:$AM$1, 0), FALSE) / VLOOKUP(Substitution!$M$11 &amp; $A18, US_national_yearly!$D:$AM, MATCH(Keys!$C$7, US_national_yearly!$D$1:$AM$1, 0), FALSE), 1)</f>
        <v>1.008394714752546E-2</v>
      </c>
      <c r="Y18" s="12">
        <f>$B18 * IFERROR(VLOOKUP(Substitution!$M$11 &amp; $A18, US_national_yearly!$D:$AM, MATCH(Y$1, US_national_yearly!$D$1:$AM$1, 0), FALSE) / VLOOKUP(Substitution!$M$11 &amp; $A18, US_national_yearly!$D:$AM, MATCH(Keys!$C$7, US_national_yearly!$D$1:$AM$1, 0), FALSE), 1)</f>
        <v>1.010773121376002E-2</v>
      </c>
      <c r="Z18" s="12">
        <f>$B18 * IFERROR(VLOOKUP(Substitution!$M$11 &amp; $A18, US_national_yearly!$D:$AM, MATCH(Z$1, US_national_yearly!$D$1:$AM$1, 0), FALSE) / VLOOKUP(Substitution!$M$11 &amp; $A18, US_national_yearly!$D:$AM, MATCH(Keys!$C$7, US_national_yearly!$D$1:$AM$1, 0), FALSE), 1)</f>
        <v>1.013151527999458E-2</v>
      </c>
      <c r="AA18" s="12">
        <f>$B18 * IFERROR(VLOOKUP(Substitution!$M$11 &amp; $A18, US_national_yearly!$D:$AM, MATCH(AA$1, US_national_yearly!$D$1:$AM$1, 0), FALSE) / VLOOKUP(Substitution!$M$11 &amp; $A18, US_national_yearly!$D:$AM, MATCH(Keys!$C$7, US_national_yearly!$D$1:$AM$1, 0), FALSE), 1)</f>
        <v>1.015529934622914E-2</v>
      </c>
      <c r="AB18" s="12">
        <f>$B18 * IFERROR(VLOOKUP(Substitution!$M$11 &amp; $A18, US_national_yearly!$D:$AM, MATCH(AB$1, US_national_yearly!$D$1:$AM$1, 0), FALSE) / VLOOKUP(Substitution!$M$11 &amp; $A18, US_national_yearly!$D:$AM, MATCH(Keys!$C$7, US_national_yearly!$D$1:$AM$1, 0), FALSE), 1)</f>
        <v>1.0179083412463701E-2</v>
      </c>
    </row>
    <row r="19" spans="1:28" x14ac:dyDescent="0.25">
      <c r="A19" s="4" t="s">
        <v>325</v>
      </c>
      <c r="B19" s="12">
        <f>IFERROR(VLOOKUP(Substitution!$M$11 &amp; $A19, US_national_yearly!$D:$AM, MATCH(Keys!$C$7, US_national_yearly!$D$1:$AM$1, 0), FALSE), 0)</f>
        <v>8.5099669363783534E-4</v>
      </c>
      <c r="C19" s="12">
        <f>$B19 * IFERROR(VLOOKUP(Substitution!$M$11 &amp; $A19, US_national_yearly!$D:$AM, MATCH(C$1, US_national_yearly!$D$1:$AM$1, 0), FALSE) / VLOOKUP(Substitution!$M$11 &amp; $A19, US_national_yearly!$D:$AM, MATCH(Keys!$C$7, US_national_yearly!$D$1:$AM$1, 0), FALSE), 1)</f>
        <v>8.7314628029788971E-4</v>
      </c>
      <c r="D19" s="12">
        <f>$B19 * IFERROR(VLOOKUP(Substitution!$M$11 &amp; $A19, US_national_yearly!$D:$AM, MATCH(D$1, US_national_yearly!$D$1:$AM$1, 0), FALSE) / VLOOKUP(Substitution!$M$11 &amp; $A19, US_national_yearly!$D:$AM, MATCH(Keys!$C$7, US_national_yearly!$D$1:$AM$1, 0), FALSE), 1)</f>
        <v>8.9529586695794407E-4</v>
      </c>
      <c r="E19" s="12">
        <f>$B19 * IFERROR(VLOOKUP(Substitution!$M$11 &amp; $A19, US_national_yearly!$D:$AM, MATCH(E$1, US_national_yearly!$D$1:$AM$1, 0), FALSE) / VLOOKUP(Substitution!$M$11 &amp; $A19, US_national_yearly!$D:$AM, MATCH(Keys!$C$7, US_national_yearly!$D$1:$AM$1, 0), FALSE), 1)</f>
        <v>9.1744545361799866E-4</v>
      </c>
      <c r="F19" s="12">
        <f>$B19 * IFERROR(VLOOKUP(Substitution!$M$11 &amp; $A19, US_national_yearly!$D:$AM, MATCH(F$1, US_national_yearly!$D$1:$AM$1, 0), FALSE) / VLOOKUP(Substitution!$M$11 &amp; $A19, US_national_yearly!$D:$AM, MATCH(Keys!$C$7, US_national_yearly!$D$1:$AM$1, 0), FALSE), 1)</f>
        <v>9.3959504027805313E-4</v>
      </c>
      <c r="G19" s="12">
        <f>$B19 * IFERROR(VLOOKUP(Substitution!$M$11 &amp; $A19, US_national_yearly!$D:$AM, MATCH(G$1, US_national_yearly!$D$1:$AM$1, 0), FALSE) / VLOOKUP(Substitution!$M$11 &amp; $A19, US_national_yearly!$D:$AM, MATCH(Keys!$C$7, US_national_yearly!$D$1:$AM$1, 0), FALSE), 1)</f>
        <v>9.5815668254178106E-4</v>
      </c>
      <c r="H19" s="12">
        <f>$B19 * IFERROR(VLOOKUP(Substitution!$M$11 &amp; $A19, US_national_yearly!$D:$AM, MATCH(H$1, US_national_yearly!$D$1:$AM$1, 0), FALSE) / VLOOKUP(Substitution!$M$11 &amp; $A19, US_national_yearly!$D:$AM, MATCH(Keys!$C$7, US_national_yearly!$D$1:$AM$1, 0), FALSE), 1)</f>
        <v>9.76718324805509E-4</v>
      </c>
      <c r="I19" s="12">
        <f>$B19 * IFERROR(VLOOKUP(Substitution!$M$11 &amp; $A19, US_national_yearly!$D:$AM, MATCH(I$1, US_national_yearly!$D$1:$AM$1, 0), FALSE) / VLOOKUP(Substitution!$M$11 &amp; $A19, US_national_yearly!$D:$AM, MATCH(Keys!$C$7, US_national_yearly!$D$1:$AM$1, 0), FALSE), 1)</f>
        <v>9.8888917426859127E-4</v>
      </c>
      <c r="J19" s="12">
        <f>$B19 * IFERROR(VLOOKUP(Substitution!$M$11 &amp; $A19, US_national_yearly!$D:$AM, MATCH(J$1, US_national_yearly!$D$1:$AM$1, 0), FALSE) / VLOOKUP(Substitution!$M$11 &amp; $A19, US_national_yearly!$D:$AM, MATCH(Keys!$C$7, US_national_yearly!$D$1:$AM$1, 0), FALSE), 1)</f>
        <v>1.0010600237316731E-3</v>
      </c>
      <c r="K19" s="12">
        <f>$B19 * IFERROR(VLOOKUP(Substitution!$M$11 &amp; $A19, US_national_yearly!$D:$AM, MATCH(K$1, US_national_yearly!$D$1:$AM$1, 0), FALSE) / VLOOKUP(Substitution!$M$11 &amp; $A19, US_national_yearly!$D:$AM, MATCH(Keys!$C$7, US_national_yearly!$D$1:$AM$1, 0), FALSE), 1)</f>
        <v>1.013230873194756E-3</v>
      </c>
      <c r="L19" s="12">
        <f>$B19 * IFERROR(VLOOKUP(Substitution!$M$11 &amp; $A19, US_national_yearly!$D:$AM, MATCH(L$1, US_national_yearly!$D$1:$AM$1, 0), FALSE) / VLOOKUP(Substitution!$M$11 &amp; $A19, US_national_yearly!$D:$AM, MATCH(Keys!$C$7, US_national_yearly!$D$1:$AM$1, 0), FALSE), 1)</f>
        <v>1.0254017226578381E-3</v>
      </c>
      <c r="M19" s="12">
        <f>$B19 * IFERROR(VLOOKUP(Substitution!$M$11 &amp; $A19, US_national_yearly!$D:$AM, MATCH(M$1, US_national_yearly!$D$1:$AM$1, 0), FALSE) / VLOOKUP(Substitution!$M$11 &amp; $A19, US_national_yearly!$D:$AM, MATCH(Keys!$C$7, US_national_yearly!$D$1:$AM$1, 0), FALSE), 1)</f>
        <v>1.0375725721209199E-3</v>
      </c>
      <c r="N19" s="12">
        <f>$B19 * IFERROR(VLOOKUP(Substitution!$M$11 &amp; $A19, US_national_yearly!$D:$AM, MATCH(N$1, US_national_yearly!$D$1:$AM$1, 0), FALSE) / VLOOKUP(Substitution!$M$11 &amp; $A19, US_national_yearly!$D:$AM, MATCH(Keys!$C$7, US_national_yearly!$D$1:$AM$1, 0), FALSE), 1)</f>
        <v>1.0435902065098761E-3</v>
      </c>
      <c r="O19" s="12">
        <f>$B19 * IFERROR(VLOOKUP(Substitution!$M$11 &amp; $A19, US_national_yearly!$D:$AM, MATCH(O$1, US_national_yearly!$D$1:$AM$1, 0), FALSE) / VLOOKUP(Substitution!$M$11 &amp; $A19, US_national_yearly!$D:$AM, MATCH(Keys!$C$7, US_national_yearly!$D$1:$AM$1, 0), FALSE), 1)</f>
        <v>1.049607840898832E-3</v>
      </c>
      <c r="P19" s="12">
        <f>$B19 * IFERROR(VLOOKUP(Substitution!$M$11 &amp; $A19, US_national_yearly!$D:$AM, MATCH(P$1, US_national_yearly!$D$1:$AM$1, 0), FALSE) / VLOOKUP(Substitution!$M$11 &amp; $A19, US_national_yearly!$D:$AM, MATCH(Keys!$C$7, US_national_yearly!$D$1:$AM$1, 0), FALSE), 1)</f>
        <v>1.055625475287788E-3</v>
      </c>
      <c r="Q19" s="12">
        <f>$B19 * IFERROR(VLOOKUP(Substitution!$M$11 &amp; $A19, US_national_yearly!$D:$AM, MATCH(Q$1, US_national_yearly!$D$1:$AM$1, 0), FALSE) / VLOOKUP(Substitution!$M$11 &amp; $A19, US_national_yearly!$D:$AM, MATCH(Keys!$C$7, US_national_yearly!$D$1:$AM$1, 0), FALSE), 1)</f>
        <v>1.061643109676744E-3</v>
      </c>
      <c r="R19" s="12">
        <f>$B19 * IFERROR(VLOOKUP(Substitution!$M$11 &amp; $A19, US_national_yearly!$D:$AM, MATCH(R$1, US_national_yearly!$D$1:$AM$1, 0), FALSE) / VLOOKUP(Substitution!$M$11 &amp; $A19, US_national_yearly!$D:$AM, MATCH(Keys!$C$7, US_national_yearly!$D$1:$AM$1, 0), FALSE), 1)</f>
        <v>1.0676607440656999E-3</v>
      </c>
      <c r="S19" s="12">
        <f>$B19 * IFERROR(VLOOKUP(Substitution!$M$11 &amp; $A19, US_national_yearly!$D:$AM, MATCH(S$1, US_national_yearly!$D$1:$AM$1, 0), FALSE) / VLOOKUP(Substitution!$M$11 &amp; $A19, US_national_yearly!$D:$AM, MATCH(Keys!$C$7, US_national_yearly!$D$1:$AM$1, 0), FALSE), 1)</f>
        <v>1.071237472825266E-3</v>
      </c>
      <c r="T19" s="12">
        <f>$B19 * IFERROR(VLOOKUP(Substitution!$M$11 &amp; $A19, US_national_yearly!$D:$AM, MATCH(T$1, US_national_yearly!$D$1:$AM$1, 0), FALSE) / VLOOKUP(Substitution!$M$11 &amp; $A19, US_national_yearly!$D:$AM, MATCH(Keys!$C$7, US_national_yearly!$D$1:$AM$1, 0), FALSE), 1)</f>
        <v>1.0748142015848321E-3</v>
      </c>
      <c r="U19" s="12">
        <f>$B19 * IFERROR(VLOOKUP(Substitution!$M$11 &amp; $A19, US_national_yearly!$D:$AM, MATCH(U$1, US_national_yearly!$D$1:$AM$1, 0), FALSE) / VLOOKUP(Substitution!$M$11 &amp; $A19, US_national_yearly!$D:$AM, MATCH(Keys!$C$7, US_national_yearly!$D$1:$AM$1, 0), FALSE), 1)</f>
        <v>1.0783909303443979E-3</v>
      </c>
      <c r="V19" s="12">
        <f>$B19 * IFERROR(VLOOKUP(Substitution!$M$11 &amp; $A19, US_national_yearly!$D:$AM, MATCH(V$1, US_national_yearly!$D$1:$AM$1, 0), FALSE) / VLOOKUP(Substitution!$M$11 &amp; $A19, US_national_yearly!$D:$AM, MATCH(Keys!$C$7, US_national_yearly!$D$1:$AM$1, 0), FALSE), 1)</f>
        <v>1.081967659103964E-3</v>
      </c>
      <c r="W19" s="12">
        <f>$B19 * IFERROR(VLOOKUP(Substitution!$M$11 &amp; $A19, US_national_yearly!$D:$AM, MATCH(W$1, US_national_yearly!$D$1:$AM$1, 0), FALSE) / VLOOKUP(Substitution!$M$11 &amp; $A19, US_national_yearly!$D:$AM, MATCH(Keys!$C$7, US_national_yearly!$D$1:$AM$1, 0), FALSE), 1)</f>
        <v>1.0855443878635301E-3</v>
      </c>
      <c r="X19" s="12">
        <f>$B19 * IFERROR(VLOOKUP(Substitution!$M$11 &amp; $A19, US_national_yearly!$D:$AM, MATCH(X$1, US_national_yearly!$D$1:$AM$1, 0), FALSE) / VLOOKUP(Substitution!$M$11 &amp; $A19, US_national_yearly!$D:$AM, MATCH(Keys!$C$7, US_national_yearly!$D$1:$AM$1, 0), FALSE), 1)</f>
        <v>1.0907268787358759E-3</v>
      </c>
      <c r="Y19" s="12">
        <f>$B19 * IFERROR(VLOOKUP(Substitution!$M$11 &amp; $A19, US_national_yearly!$D:$AM, MATCH(Y$1, US_national_yearly!$D$1:$AM$1, 0), FALSE) / VLOOKUP(Substitution!$M$11 &amp; $A19, US_national_yearly!$D:$AM, MATCH(Keys!$C$7, US_national_yearly!$D$1:$AM$1, 0), FALSE), 1)</f>
        <v>1.095909369608222E-3</v>
      </c>
      <c r="Z19" s="12">
        <f>$B19 * IFERROR(VLOOKUP(Substitution!$M$11 &amp; $A19, US_national_yearly!$D:$AM, MATCH(Z$1, US_national_yearly!$D$1:$AM$1, 0), FALSE) / VLOOKUP(Substitution!$M$11 &amp; $A19, US_national_yearly!$D:$AM, MATCH(Keys!$C$7, US_national_yearly!$D$1:$AM$1, 0), FALSE), 1)</f>
        <v>1.1010918604805681E-3</v>
      </c>
      <c r="AA19" s="12">
        <f>$B19 * IFERROR(VLOOKUP(Substitution!$M$11 &amp; $A19, US_national_yearly!$D:$AM, MATCH(AA$1, US_national_yearly!$D$1:$AM$1, 0), FALSE) / VLOOKUP(Substitution!$M$11 &amp; $A19, US_national_yearly!$D:$AM, MATCH(Keys!$C$7, US_national_yearly!$D$1:$AM$1, 0), FALSE), 1)</f>
        <v>1.106274351352914E-3</v>
      </c>
      <c r="AB19" s="12">
        <f>$B19 * IFERROR(VLOOKUP(Substitution!$M$11 &amp; $A19, US_national_yearly!$D:$AM, MATCH(AB$1, US_national_yearly!$D$1:$AM$1, 0), FALSE) / VLOOKUP(Substitution!$M$11 &amp; $A19, US_national_yearly!$D:$AM, MATCH(Keys!$C$7, US_national_yearly!$D$1:$AM$1, 0), FALSE), 1)</f>
        <v>1.1114568422252601E-3</v>
      </c>
    </row>
    <row r="20" spans="1:28" x14ac:dyDescent="0.25">
      <c r="A20" s="4" t="s">
        <v>327</v>
      </c>
      <c r="B20" s="12">
        <f>IFERROR(VLOOKUP(Substitution!$M$11 &amp; $A20, US_national_yearly!$D:$AM, MATCH(Keys!$C$7, US_national_yearly!$D$1:$AM$1, 0), FALSE), 0)</f>
        <v>7.8220345035732541E-4</v>
      </c>
      <c r="C20" s="12">
        <f>$B20 * IFERROR(VLOOKUP(Substitution!$M$11 &amp; $A20, US_national_yearly!$D:$AM, MATCH(C$1, US_national_yearly!$D$1:$AM$1, 0), FALSE) / VLOOKUP(Substitution!$M$11 &amp; $A20, US_national_yearly!$D:$AM, MATCH(Keys!$C$7, US_national_yearly!$D$1:$AM$1, 0), FALSE), 1)</f>
        <v>8.0282198082251566E-4</v>
      </c>
      <c r="D20" s="12">
        <f>$B20 * IFERROR(VLOOKUP(Substitution!$M$11 &amp; $A20, US_national_yearly!$D:$AM, MATCH(D$1, US_national_yearly!$D$1:$AM$1, 0), FALSE) / VLOOKUP(Substitution!$M$11 &amp; $A20, US_national_yearly!$D:$AM, MATCH(Keys!$C$7, US_national_yearly!$D$1:$AM$1, 0), FALSE), 1)</f>
        <v>8.2344051128770612E-4</v>
      </c>
      <c r="E20" s="12">
        <f>$B20 * IFERROR(VLOOKUP(Substitution!$M$11 &amp; $A20, US_national_yearly!$D:$AM, MATCH(E$1, US_national_yearly!$D$1:$AM$1, 0), FALSE) / VLOOKUP(Substitution!$M$11 &amp; $A20, US_national_yearly!$D:$AM, MATCH(Keys!$C$7, US_national_yearly!$D$1:$AM$1, 0), FALSE), 1)</f>
        <v>8.4405904175289658E-4</v>
      </c>
      <c r="F20" s="12">
        <f>$B20 * IFERROR(VLOOKUP(Substitution!$M$11 &amp; $A20, US_national_yearly!$D:$AM, MATCH(F$1, US_national_yearly!$D$1:$AM$1, 0), FALSE) / VLOOKUP(Substitution!$M$11 &amp; $A20, US_national_yearly!$D:$AM, MATCH(Keys!$C$7, US_national_yearly!$D$1:$AM$1, 0), FALSE), 1)</f>
        <v>8.6467757221808704E-4</v>
      </c>
      <c r="G20" s="12">
        <f>$B20 * IFERROR(VLOOKUP(Substitution!$M$11 &amp; $A20, US_national_yearly!$D:$AM, MATCH(G$1, US_national_yearly!$D$1:$AM$1, 0), FALSE) / VLOOKUP(Substitution!$M$11 &amp; $A20, US_national_yearly!$D:$AM, MATCH(Keys!$C$7, US_national_yearly!$D$1:$AM$1, 0), FALSE), 1)</f>
        <v>8.8173366318618001E-4</v>
      </c>
      <c r="H20" s="12">
        <f>$B20 * IFERROR(VLOOKUP(Substitution!$M$11 &amp; $A20, US_national_yearly!$D:$AM, MATCH(H$1, US_national_yearly!$D$1:$AM$1, 0), FALSE) / VLOOKUP(Substitution!$M$11 &amp; $A20, US_national_yearly!$D:$AM, MATCH(Keys!$C$7, US_national_yearly!$D$1:$AM$1, 0), FALSE), 1)</f>
        <v>8.9878975415427298E-4</v>
      </c>
      <c r="I20" s="12">
        <f>$B20 * IFERROR(VLOOKUP(Substitution!$M$11 &amp; $A20, US_national_yearly!$D:$AM, MATCH(I$1, US_national_yearly!$D$1:$AM$1, 0), FALSE) / VLOOKUP(Substitution!$M$11 &amp; $A20, US_national_yearly!$D:$AM, MATCH(Keys!$C$7, US_national_yearly!$D$1:$AM$1, 0), FALSE), 1)</f>
        <v>9.0929178771132575E-4</v>
      </c>
      <c r="J20" s="12">
        <f>$B20 * IFERROR(VLOOKUP(Substitution!$M$11 &amp; $A20, US_national_yearly!$D:$AM, MATCH(J$1, US_national_yearly!$D$1:$AM$1, 0), FALSE) / VLOOKUP(Substitution!$M$11 &amp; $A20, US_national_yearly!$D:$AM, MATCH(Keys!$C$7, US_national_yearly!$D$1:$AM$1, 0), FALSE), 1)</f>
        <v>9.1979382126837863E-4</v>
      </c>
      <c r="K20" s="12">
        <f>$B20 * IFERROR(VLOOKUP(Substitution!$M$11 &amp; $A20, US_national_yearly!$D:$AM, MATCH(K$1, US_national_yearly!$D$1:$AM$1, 0), FALSE) / VLOOKUP(Substitution!$M$11 &amp; $A20, US_national_yearly!$D:$AM, MATCH(Keys!$C$7, US_national_yearly!$D$1:$AM$1, 0), FALSE), 1)</f>
        <v>9.302958548254314E-4</v>
      </c>
      <c r="L20" s="12">
        <f>$B20 * IFERROR(VLOOKUP(Substitution!$M$11 &amp; $A20, US_national_yearly!$D:$AM, MATCH(L$1, US_national_yearly!$D$1:$AM$1, 0), FALSE) / VLOOKUP(Substitution!$M$11 &amp; $A20, US_national_yearly!$D:$AM, MATCH(Keys!$C$7, US_national_yearly!$D$1:$AM$1, 0), FALSE), 1)</f>
        <v>9.4079788838248427E-4</v>
      </c>
      <c r="M20" s="12">
        <f>$B20 * IFERROR(VLOOKUP(Substitution!$M$11 &amp; $A20, US_national_yearly!$D:$AM, MATCH(M$1, US_national_yearly!$D$1:$AM$1, 0), FALSE) / VLOOKUP(Substitution!$M$11 &amp; $A20, US_national_yearly!$D:$AM, MATCH(Keys!$C$7, US_national_yearly!$D$1:$AM$1, 0), FALSE), 1)</f>
        <v>9.5129992193953704E-4</v>
      </c>
      <c r="N20" s="12">
        <f>$B20 * IFERROR(VLOOKUP(Substitution!$M$11 &amp; $A20, US_national_yearly!$D:$AM, MATCH(N$1, US_national_yearly!$D$1:$AM$1, 0), FALSE) / VLOOKUP(Substitution!$M$11 &amp; $A20, US_national_yearly!$D:$AM, MATCH(Keys!$C$7, US_national_yearly!$D$1:$AM$1, 0), FALSE), 1)</f>
        <v>9.5627501297453651E-4</v>
      </c>
      <c r="O20" s="12">
        <f>$B20 * IFERROR(VLOOKUP(Substitution!$M$11 &amp; $A20, US_national_yearly!$D:$AM, MATCH(O$1, US_national_yearly!$D$1:$AM$1, 0), FALSE) / VLOOKUP(Substitution!$M$11 &amp; $A20, US_national_yearly!$D:$AM, MATCH(Keys!$C$7, US_national_yearly!$D$1:$AM$1, 0), FALSE), 1)</f>
        <v>9.6125010400953609E-4</v>
      </c>
      <c r="P20" s="12">
        <f>$B20 * IFERROR(VLOOKUP(Substitution!$M$11 &amp; $A20, US_national_yearly!$D:$AM, MATCH(P$1, US_national_yearly!$D$1:$AM$1, 0), FALSE) / VLOOKUP(Substitution!$M$11 &amp; $A20, US_national_yearly!$D:$AM, MATCH(Keys!$C$7, US_national_yearly!$D$1:$AM$1, 0), FALSE), 1)</f>
        <v>9.6622519504453589E-4</v>
      </c>
      <c r="Q20" s="12">
        <f>$B20 * IFERROR(VLOOKUP(Substitution!$M$11 &amp; $A20, US_national_yearly!$D:$AM, MATCH(Q$1, US_national_yearly!$D$1:$AM$1, 0), FALSE) / VLOOKUP(Substitution!$M$11 &amp; $A20, US_national_yearly!$D:$AM, MATCH(Keys!$C$7, US_national_yearly!$D$1:$AM$1, 0), FALSE), 1)</f>
        <v>9.7120028607953536E-4</v>
      </c>
      <c r="R20" s="12">
        <f>$B20 * IFERROR(VLOOKUP(Substitution!$M$11 &amp; $A20, US_national_yearly!$D:$AM, MATCH(R$1, US_national_yearly!$D$1:$AM$1, 0), FALSE) / VLOOKUP(Substitution!$M$11 &amp; $A20, US_national_yearly!$D:$AM, MATCH(Keys!$C$7, US_national_yearly!$D$1:$AM$1, 0), FALSE), 1)</f>
        <v>9.7617537711453515E-4</v>
      </c>
      <c r="S20" s="12">
        <f>$B20 * IFERROR(VLOOKUP(Substitution!$M$11 &amp; $A20, US_national_yearly!$D:$AM, MATCH(S$1, US_national_yearly!$D$1:$AM$1, 0), FALSE) / VLOOKUP(Substitution!$M$11 &amp; $A20, US_national_yearly!$D:$AM, MATCH(Keys!$C$7, US_national_yearly!$D$1:$AM$1, 0), FALSE), 1)</f>
        <v>9.7894777257171101E-4</v>
      </c>
      <c r="T20" s="12">
        <f>$B20 * IFERROR(VLOOKUP(Substitution!$M$11 &amp; $A20, US_national_yearly!$D:$AM, MATCH(T$1, US_national_yearly!$D$1:$AM$1, 0), FALSE) / VLOOKUP(Substitution!$M$11 &amp; $A20, US_national_yearly!$D:$AM, MATCH(Keys!$C$7, US_national_yearly!$D$1:$AM$1, 0), FALSE), 1)</f>
        <v>9.8172016802888697E-4</v>
      </c>
      <c r="U20" s="12">
        <f>$B20 * IFERROR(VLOOKUP(Substitution!$M$11 &amp; $A20, US_national_yearly!$D:$AM, MATCH(U$1, US_national_yearly!$D$1:$AM$1, 0), FALSE) / VLOOKUP(Substitution!$M$11 &amp; $A20, US_national_yearly!$D:$AM, MATCH(Keys!$C$7, US_national_yearly!$D$1:$AM$1, 0), FALSE), 1)</f>
        <v>9.8449256348606315E-4</v>
      </c>
      <c r="V20" s="12">
        <f>$B20 * IFERROR(VLOOKUP(Substitution!$M$11 &amp; $A20, US_national_yearly!$D:$AM, MATCH(V$1, US_national_yearly!$D$1:$AM$1, 0), FALSE) / VLOOKUP(Substitution!$M$11 &amp; $A20, US_national_yearly!$D:$AM, MATCH(Keys!$C$7, US_national_yearly!$D$1:$AM$1, 0), FALSE), 1)</f>
        <v>9.8726495894323912E-4</v>
      </c>
      <c r="W20" s="12">
        <f>$B20 * IFERROR(VLOOKUP(Substitution!$M$11 &amp; $A20, US_national_yearly!$D:$AM, MATCH(W$1, US_national_yearly!$D$1:$AM$1, 0), FALSE) / VLOOKUP(Substitution!$M$11 &amp; $A20, US_national_yearly!$D:$AM, MATCH(Keys!$C$7, US_national_yearly!$D$1:$AM$1, 0), FALSE), 1)</f>
        <v>9.9003735440041508E-4</v>
      </c>
      <c r="X20" s="12">
        <f>$B20 * IFERROR(VLOOKUP(Substitution!$M$11 &amp; $A20, US_national_yearly!$D:$AM, MATCH(X$1, US_national_yearly!$D$1:$AM$1, 0), FALSE) / VLOOKUP(Substitution!$M$11 &amp; $A20, US_national_yearly!$D:$AM, MATCH(Keys!$C$7, US_national_yearly!$D$1:$AM$1, 0), FALSE), 1)</f>
        <v>9.9488550563993816E-4</v>
      </c>
      <c r="Y20" s="12">
        <f>$B20 * IFERROR(VLOOKUP(Substitution!$M$11 &amp; $A20, US_national_yearly!$D:$AM, MATCH(Y$1, US_national_yearly!$D$1:$AM$1, 0), FALSE) / VLOOKUP(Substitution!$M$11 &amp; $A20, US_national_yearly!$D:$AM, MATCH(Keys!$C$7, US_national_yearly!$D$1:$AM$1, 0), FALSE), 1)</f>
        <v>9.9973365687946103E-4</v>
      </c>
      <c r="Z20" s="12">
        <f>$B20 * IFERROR(VLOOKUP(Substitution!$M$11 &amp; $A20, US_national_yearly!$D:$AM, MATCH(Z$1, US_national_yearly!$D$1:$AM$1, 0), FALSE) / VLOOKUP(Substitution!$M$11 &amp; $A20, US_national_yearly!$D:$AM, MATCH(Keys!$C$7, US_national_yearly!$D$1:$AM$1, 0), FALSE), 1)</f>
        <v>1.0045818081189841E-3</v>
      </c>
      <c r="AA20" s="12">
        <f>$B20 * IFERROR(VLOOKUP(Substitution!$M$11 &amp; $A20, US_national_yearly!$D:$AM, MATCH(AA$1, US_national_yearly!$D$1:$AM$1, 0), FALSE) / VLOOKUP(Substitution!$M$11 &amp; $A20, US_national_yearly!$D:$AM, MATCH(Keys!$C$7, US_national_yearly!$D$1:$AM$1, 0), FALSE), 1)</f>
        <v>1.009429959358507E-3</v>
      </c>
      <c r="AB20" s="12">
        <f>$B20 * IFERROR(VLOOKUP(Substitution!$M$11 &amp; $A20, US_national_yearly!$D:$AM, MATCH(AB$1, US_national_yearly!$D$1:$AM$1, 0), FALSE) / VLOOKUP(Substitution!$M$11 &amp; $A20, US_national_yearly!$D:$AM, MATCH(Keys!$C$7, US_national_yearly!$D$1:$AM$1, 0), FALSE), 1)</f>
        <v>1.0142781105980301E-3</v>
      </c>
    </row>
    <row r="21" spans="1:28" x14ac:dyDescent="0.25">
      <c r="A21" s="4" t="s">
        <v>329</v>
      </c>
      <c r="B21" s="12">
        <f>IFERROR(VLOOKUP(Substitution!$M$11 &amp; $A21, US_national_yearly!$D:$AM, MATCH(Keys!$C$7, US_national_yearly!$D$1:$AM$1, 0), FALSE), 0)</f>
        <v>1.8552982905714881E-4</v>
      </c>
      <c r="C21" s="12">
        <f>$B21 * IFERROR(VLOOKUP(Substitution!$M$11 &amp; $A21, US_national_yearly!$D:$AM, MATCH(C$1, US_national_yearly!$D$1:$AM$1, 0), FALSE) / VLOOKUP(Substitution!$M$11 &amp; $A21, US_national_yearly!$D:$AM, MATCH(Keys!$C$7, US_national_yearly!$D$1:$AM$1, 0), FALSE), 1)</f>
        <v>1.8828281361642256E-4</v>
      </c>
      <c r="D21" s="12">
        <f>$B21 * IFERROR(VLOOKUP(Substitution!$M$11 &amp; $A21, US_national_yearly!$D:$AM, MATCH(D$1, US_national_yearly!$D$1:$AM$1, 0), FALSE) / VLOOKUP(Substitution!$M$11 &amp; $A21, US_national_yearly!$D:$AM, MATCH(Keys!$C$7, US_national_yearly!$D$1:$AM$1, 0), FALSE), 1)</f>
        <v>1.9103579817569643E-4</v>
      </c>
      <c r="E21" s="12">
        <f>$B21 * IFERROR(VLOOKUP(Substitution!$M$11 &amp; $A21, US_national_yearly!$D:$AM, MATCH(E$1, US_national_yearly!$D$1:$AM$1, 0), FALSE) / VLOOKUP(Substitution!$M$11 &amp; $A21, US_national_yearly!$D:$AM, MATCH(Keys!$C$7, US_national_yearly!$D$1:$AM$1, 0), FALSE), 1)</f>
        <v>1.9378878273497023E-4</v>
      </c>
      <c r="F21" s="12">
        <f>$B21 * IFERROR(VLOOKUP(Substitution!$M$11 &amp; $A21, US_national_yearly!$D:$AM, MATCH(F$1, US_national_yearly!$D$1:$AM$1, 0), FALSE) / VLOOKUP(Substitution!$M$11 &amp; $A21, US_national_yearly!$D:$AM, MATCH(Keys!$C$7, US_national_yearly!$D$1:$AM$1, 0), FALSE), 1)</f>
        <v>1.9654176729424401E-4</v>
      </c>
      <c r="G21" s="12">
        <f>$B21 * IFERROR(VLOOKUP(Substitution!$M$11 &amp; $A21, US_national_yearly!$D:$AM, MATCH(G$1, US_national_yearly!$D$1:$AM$1, 0), FALSE) / VLOOKUP(Substitution!$M$11 &amp; $A21, US_national_yearly!$D:$AM, MATCH(Keys!$C$7, US_national_yearly!$D$1:$AM$1, 0), FALSE), 1)</f>
        <v>1.9912778384292097E-4</v>
      </c>
      <c r="H21" s="12">
        <f>$B21 * IFERROR(VLOOKUP(Substitution!$M$11 &amp; $A21, US_national_yearly!$D:$AM, MATCH(H$1, US_national_yearly!$D$1:$AM$1, 0), FALSE) / VLOOKUP(Substitution!$M$11 &amp; $A21, US_national_yearly!$D:$AM, MATCH(Keys!$C$7, US_national_yearly!$D$1:$AM$1, 0), FALSE), 1)</f>
        <v>2.0171380039159801E-4</v>
      </c>
      <c r="I21" s="12">
        <f>$B21 * IFERROR(VLOOKUP(Substitution!$M$11 &amp; $A21, US_national_yearly!$D:$AM, MATCH(I$1, US_national_yearly!$D$1:$AM$1, 0), FALSE) / VLOOKUP(Substitution!$M$11 &amp; $A21, US_national_yearly!$D:$AM, MATCH(Keys!$C$7, US_national_yearly!$D$1:$AM$1, 0), FALSE), 1)</f>
        <v>2.0374912070529461E-4</v>
      </c>
      <c r="J21" s="12">
        <f>$B21 * IFERROR(VLOOKUP(Substitution!$M$11 &amp; $A21, US_national_yearly!$D:$AM, MATCH(J$1, US_national_yearly!$D$1:$AM$1, 0), FALSE) / VLOOKUP(Substitution!$M$11 &amp; $A21, US_national_yearly!$D:$AM, MATCH(Keys!$C$7, US_national_yearly!$D$1:$AM$1, 0), FALSE), 1)</f>
        <v>2.0578444101899122E-4</v>
      </c>
      <c r="K21" s="12">
        <f>$B21 * IFERROR(VLOOKUP(Substitution!$M$11 &amp; $A21, US_national_yearly!$D:$AM, MATCH(K$1, US_national_yearly!$D$1:$AM$1, 0), FALSE) / VLOOKUP(Substitution!$M$11 &amp; $A21, US_national_yearly!$D:$AM, MATCH(Keys!$C$7, US_national_yearly!$D$1:$AM$1, 0), FALSE), 1)</f>
        <v>2.0781976133268779E-4</v>
      </c>
      <c r="L21" s="12">
        <f>$B21 * IFERROR(VLOOKUP(Substitution!$M$11 &amp; $A21, US_national_yearly!$D:$AM, MATCH(L$1, US_national_yearly!$D$1:$AM$1, 0), FALSE) / VLOOKUP(Substitution!$M$11 &amp; $A21, US_national_yearly!$D:$AM, MATCH(Keys!$C$7, US_national_yearly!$D$1:$AM$1, 0), FALSE), 1)</f>
        <v>2.098550816463844E-4</v>
      </c>
      <c r="M21" s="12">
        <f>$B21 * IFERROR(VLOOKUP(Substitution!$M$11 &amp; $A21, US_national_yearly!$D:$AM, MATCH(M$1, US_national_yearly!$D$1:$AM$1, 0), FALSE) / VLOOKUP(Substitution!$M$11 &amp; $A21, US_national_yearly!$D:$AM, MATCH(Keys!$C$7, US_national_yearly!$D$1:$AM$1, 0), FALSE), 1)</f>
        <v>2.11890401960081E-4</v>
      </c>
      <c r="N21" s="12">
        <f>$B21 * IFERROR(VLOOKUP(Substitution!$M$11 &amp; $A21, US_national_yearly!$D:$AM, MATCH(N$1, US_national_yearly!$D$1:$AM$1, 0), FALSE) / VLOOKUP(Substitution!$M$11 &amp; $A21, US_national_yearly!$D:$AM, MATCH(Keys!$C$7, US_national_yearly!$D$1:$AM$1, 0), FALSE), 1)</f>
        <v>2.1328941005429561E-4</v>
      </c>
      <c r="O21" s="12">
        <f>$B21 * IFERROR(VLOOKUP(Substitution!$M$11 &amp; $A21, US_national_yearly!$D:$AM, MATCH(O$1, US_national_yearly!$D$1:$AM$1, 0), FALSE) / VLOOKUP(Substitution!$M$11 &amp; $A21, US_national_yearly!$D:$AM, MATCH(Keys!$C$7, US_national_yearly!$D$1:$AM$1, 0), FALSE), 1)</f>
        <v>2.1468841814851019E-4</v>
      </c>
      <c r="P21" s="12">
        <f>$B21 * IFERROR(VLOOKUP(Substitution!$M$11 &amp; $A21, US_national_yearly!$D:$AM, MATCH(P$1, US_national_yearly!$D$1:$AM$1, 0), FALSE) / VLOOKUP(Substitution!$M$11 &amp; $A21, US_national_yearly!$D:$AM, MATCH(Keys!$C$7, US_national_yearly!$D$1:$AM$1, 0), FALSE), 1)</f>
        <v>2.1608742624272477E-4</v>
      </c>
      <c r="Q21" s="12">
        <f>$B21 * IFERROR(VLOOKUP(Substitution!$M$11 &amp; $A21, US_national_yearly!$D:$AM, MATCH(Q$1, US_national_yearly!$D$1:$AM$1, 0), FALSE) / VLOOKUP(Substitution!$M$11 &amp; $A21, US_national_yearly!$D:$AM, MATCH(Keys!$C$7, US_national_yearly!$D$1:$AM$1, 0), FALSE), 1)</f>
        <v>2.174864343369394E-4</v>
      </c>
      <c r="R21" s="12">
        <f>$B21 * IFERROR(VLOOKUP(Substitution!$M$11 &amp; $A21, US_national_yearly!$D:$AM, MATCH(R$1, US_national_yearly!$D$1:$AM$1, 0), FALSE) / VLOOKUP(Substitution!$M$11 &amp; $A21, US_national_yearly!$D:$AM, MATCH(Keys!$C$7, US_national_yearly!$D$1:$AM$1, 0), FALSE), 1)</f>
        <v>2.1888544243115401E-4</v>
      </c>
      <c r="S21" s="12">
        <f>$B21 * IFERROR(VLOOKUP(Substitution!$M$11 &amp; $A21, US_national_yearly!$D:$AM, MATCH(S$1, US_national_yearly!$D$1:$AM$1, 0), FALSE) / VLOOKUP(Substitution!$M$11 &amp; $A21, US_national_yearly!$D:$AM, MATCH(Keys!$C$7, US_national_yearly!$D$1:$AM$1, 0), FALSE), 1)</f>
        <v>2.200083175780022E-4</v>
      </c>
      <c r="T21" s="12">
        <f>$B21 * IFERROR(VLOOKUP(Substitution!$M$11 &amp; $A21, US_national_yearly!$D:$AM, MATCH(T$1, US_national_yearly!$D$1:$AM$1, 0), FALSE) / VLOOKUP(Substitution!$M$11 &amp; $A21, US_national_yearly!$D:$AM, MATCH(Keys!$C$7, US_national_yearly!$D$1:$AM$1, 0), FALSE), 1)</f>
        <v>2.2113119272485041E-4</v>
      </c>
      <c r="U21" s="12">
        <f>$B21 * IFERROR(VLOOKUP(Substitution!$M$11 &amp; $A21, US_national_yearly!$D:$AM, MATCH(U$1, US_national_yearly!$D$1:$AM$1, 0), FALSE) / VLOOKUP(Substitution!$M$11 &amp; $A21, US_national_yearly!$D:$AM, MATCH(Keys!$C$7, US_national_yearly!$D$1:$AM$1, 0), FALSE), 1)</f>
        <v>2.2225406787169859E-4</v>
      </c>
      <c r="V21" s="12">
        <f>$B21 * IFERROR(VLOOKUP(Substitution!$M$11 &amp; $A21, US_national_yearly!$D:$AM, MATCH(V$1, US_national_yearly!$D$1:$AM$1, 0), FALSE) / VLOOKUP(Substitution!$M$11 &amp; $A21, US_national_yearly!$D:$AM, MATCH(Keys!$C$7, US_national_yearly!$D$1:$AM$1, 0), FALSE), 1)</f>
        <v>2.2337694301854681E-4</v>
      </c>
      <c r="W21" s="12">
        <f>$B21 * IFERROR(VLOOKUP(Substitution!$M$11 &amp; $A21, US_national_yearly!$D:$AM, MATCH(W$1, US_national_yearly!$D$1:$AM$1, 0), FALSE) / VLOOKUP(Substitution!$M$11 &amp; $A21, US_national_yearly!$D:$AM, MATCH(Keys!$C$7, US_national_yearly!$D$1:$AM$1, 0), FALSE), 1)</f>
        <v>2.2449981816539499E-4</v>
      </c>
      <c r="X21" s="12">
        <f>$B21 * IFERROR(VLOOKUP(Substitution!$M$11 &amp; $A21, US_national_yearly!$D:$AM, MATCH(X$1, US_national_yearly!$D$1:$AM$1, 0), FALSE) / VLOOKUP(Substitution!$M$11 &amp; $A21, US_national_yearly!$D:$AM, MATCH(Keys!$C$7, US_national_yearly!$D$1:$AM$1, 0), FALSE), 1)</f>
        <v>2.2573934850370379E-4</v>
      </c>
      <c r="Y21" s="12">
        <f>$B21 * IFERROR(VLOOKUP(Substitution!$M$11 &amp; $A21, US_national_yearly!$D:$AM, MATCH(Y$1, US_national_yearly!$D$1:$AM$1, 0), FALSE) / VLOOKUP(Substitution!$M$11 &amp; $A21, US_national_yearly!$D:$AM, MATCH(Keys!$C$7, US_national_yearly!$D$1:$AM$1, 0), FALSE), 1)</f>
        <v>2.2697887884201261E-4</v>
      </c>
      <c r="Z21" s="12">
        <f>$B21 * IFERROR(VLOOKUP(Substitution!$M$11 &amp; $A21, US_national_yearly!$D:$AM, MATCH(Z$1, US_national_yearly!$D$1:$AM$1, 0), FALSE) / VLOOKUP(Substitution!$M$11 &amp; $A21, US_national_yearly!$D:$AM, MATCH(Keys!$C$7, US_national_yearly!$D$1:$AM$1, 0), FALSE), 1)</f>
        <v>2.2821840918032141E-4</v>
      </c>
      <c r="AA21" s="12">
        <f>$B21 * IFERROR(VLOOKUP(Substitution!$M$11 &amp; $A21, US_national_yearly!$D:$AM, MATCH(AA$1, US_national_yearly!$D$1:$AM$1, 0), FALSE) / VLOOKUP(Substitution!$M$11 &amp; $A21, US_national_yearly!$D:$AM, MATCH(Keys!$C$7, US_national_yearly!$D$1:$AM$1, 0), FALSE), 1)</f>
        <v>2.2945793951863021E-4</v>
      </c>
      <c r="AB21" s="12">
        <f>$B21 * IFERROR(VLOOKUP(Substitution!$M$11 &amp; $A21, US_national_yearly!$D:$AM, MATCH(AB$1, US_national_yearly!$D$1:$AM$1, 0), FALSE) / VLOOKUP(Substitution!$M$11 &amp; $A21, US_national_yearly!$D:$AM, MATCH(Keys!$C$7, US_national_yearly!$D$1:$AM$1, 0), FALSE), 1)</f>
        <v>2.30697469856939E-4</v>
      </c>
    </row>
    <row r="22" spans="1:28" x14ac:dyDescent="0.25">
      <c r="A22" s="4" t="s">
        <v>331</v>
      </c>
      <c r="B22" s="12">
        <f>IFERROR(VLOOKUP(Substitution!$M$11 &amp; $A22, US_national_yearly!$D:$AM, MATCH(Keys!$C$7, US_national_yearly!$D$1:$AM$1, 0), FALSE), 0)</f>
        <v>3.9914008667347456E-3</v>
      </c>
      <c r="C22" s="12">
        <f>$B22 * IFERROR(VLOOKUP(Substitution!$M$11 &amp; $A22, US_national_yearly!$D:$AM, MATCH(C$1, US_national_yearly!$D$1:$AM$1, 0), FALSE) / VLOOKUP(Substitution!$M$11 &amp; $A22, US_national_yearly!$D:$AM, MATCH(Keys!$C$7, US_national_yearly!$D$1:$AM$1, 0), FALSE), 1)</f>
        <v>4.0643782419975318E-3</v>
      </c>
      <c r="D22" s="12">
        <f>$B22 * IFERROR(VLOOKUP(Substitution!$M$11 &amp; $A22, US_national_yearly!$D:$AM, MATCH(D$1, US_national_yearly!$D$1:$AM$1, 0), FALSE) / VLOOKUP(Substitution!$M$11 &amp; $A22, US_national_yearly!$D:$AM, MATCH(Keys!$C$7, US_national_yearly!$D$1:$AM$1, 0), FALSE), 1)</f>
        <v>4.1373556172603181E-3</v>
      </c>
      <c r="E22" s="12">
        <f>$B22 * IFERROR(VLOOKUP(Substitution!$M$11 &amp; $A22, US_national_yearly!$D:$AM, MATCH(E$1, US_national_yearly!$D$1:$AM$1, 0), FALSE) / VLOOKUP(Substitution!$M$11 &amp; $A22, US_national_yearly!$D:$AM, MATCH(Keys!$C$7, US_national_yearly!$D$1:$AM$1, 0), FALSE), 1)</f>
        <v>4.2103329925231034E-3</v>
      </c>
      <c r="F22" s="12">
        <f>$B22 * IFERROR(VLOOKUP(Substitution!$M$11 &amp; $A22, US_national_yearly!$D:$AM, MATCH(F$1, US_national_yearly!$D$1:$AM$1, 0), FALSE) / VLOOKUP(Substitution!$M$11 &amp; $A22, US_national_yearly!$D:$AM, MATCH(Keys!$C$7, US_national_yearly!$D$1:$AM$1, 0), FALSE), 1)</f>
        <v>4.2833103677858897E-3</v>
      </c>
      <c r="G22" s="12">
        <f>$B22 * IFERROR(VLOOKUP(Substitution!$M$11 &amp; $A22, US_national_yearly!$D:$AM, MATCH(G$1, US_national_yearly!$D$1:$AM$1, 0), FALSE) / VLOOKUP(Substitution!$M$11 &amp; $A22, US_national_yearly!$D:$AM, MATCH(Keys!$C$7, US_national_yearly!$D$1:$AM$1, 0), FALSE), 1)</f>
        <v>4.3548122147141098E-3</v>
      </c>
      <c r="H22" s="12">
        <f>$B22 * IFERROR(VLOOKUP(Substitution!$M$11 &amp; $A22, US_national_yearly!$D:$AM, MATCH(H$1, US_national_yearly!$D$1:$AM$1, 0), FALSE) / VLOOKUP(Substitution!$M$11 &amp; $A22, US_national_yearly!$D:$AM, MATCH(Keys!$C$7, US_national_yearly!$D$1:$AM$1, 0), FALSE), 1)</f>
        <v>4.4263140616423299E-3</v>
      </c>
      <c r="I22" s="12">
        <f>$B22 * IFERROR(VLOOKUP(Substitution!$M$11 &amp; $A22, US_national_yearly!$D:$AM, MATCH(I$1, US_national_yearly!$D$1:$AM$1, 0), FALSE) / VLOOKUP(Substitution!$M$11 &amp; $A22, US_national_yearly!$D:$AM, MATCH(Keys!$C$7, US_national_yearly!$D$1:$AM$1, 0), FALSE), 1)</f>
        <v>4.495644168890112E-3</v>
      </c>
      <c r="J22" s="12">
        <f>$B22 * IFERROR(VLOOKUP(Substitution!$M$11 &amp; $A22, US_national_yearly!$D:$AM, MATCH(J$1, US_national_yearly!$D$1:$AM$1, 0), FALSE) / VLOOKUP(Substitution!$M$11 &amp; $A22, US_national_yearly!$D:$AM, MATCH(Keys!$C$7, US_national_yearly!$D$1:$AM$1, 0), FALSE), 1)</f>
        <v>4.5649742761378941E-3</v>
      </c>
      <c r="K22" s="12">
        <f>$B22 * IFERROR(VLOOKUP(Substitution!$M$11 &amp; $A22, US_national_yearly!$D:$AM, MATCH(K$1, US_national_yearly!$D$1:$AM$1, 0), FALSE) / VLOOKUP(Substitution!$M$11 &amp; $A22, US_national_yearly!$D:$AM, MATCH(Keys!$C$7, US_national_yearly!$D$1:$AM$1, 0), FALSE), 1)</f>
        <v>4.6343043833856762E-3</v>
      </c>
      <c r="L22" s="12">
        <f>$B22 * IFERROR(VLOOKUP(Substitution!$M$11 &amp; $A22, US_national_yearly!$D:$AM, MATCH(L$1, US_national_yearly!$D$1:$AM$1, 0), FALSE) / VLOOKUP(Substitution!$M$11 &amp; $A22, US_national_yearly!$D:$AM, MATCH(Keys!$C$7, US_national_yearly!$D$1:$AM$1, 0), FALSE), 1)</f>
        <v>4.7036344906334583E-3</v>
      </c>
      <c r="M22" s="12">
        <f>$B22 * IFERROR(VLOOKUP(Substitution!$M$11 &amp; $A22, US_national_yearly!$D:$AM, MATCH(M$1, US_national_yearly!$D$1:$AM$1, 0), FALSE) / VLOOKUP(Substitution!$M$11 &amp; $A22, US_national_yearly!$D:$AM, MATCH(Keys!$C$7, US_national_yearly!$D$1:$AM$1, 0), FALSE), 1)</f>
        <v>4.7729645978812404E-3</v>
      </c>
      <c r="N22" s="12">
        <f>$B22 * IFERROR(VLOOKUP(Substitution!$M$11 &amp; $A22, US_national_yearly!$D:$AM, MATCH(N$1, US_national_yearly!$D$1:$AM$1, 0), FALSE) / VLOOKUP(Substitution!$M$11 &amp; $A22, US_national_yearly!$D:$AM, MATCH(Keys!$C$7, US_national_yearly!$D$1:$AM$1, 0), FALSE), 1)</f>
        <v>4.8287390829326116E-3</v>
      </c>
      <c r="O22" s="12">
        <f>$B22 * IFERROR(VLOOKUP(Substitution!$M$11 &amp; $A22, US_national_yearly!$D:$AM, MATCH(O$1, US_national_yearly!$D$1:$AM$1, 0), FALSE) / VLOOKUP(Substitution!$M$11 &amp; $A22, US_national_yearly!$D:$AM, MATCH(Keys!$C$7, US_national_yearly!$D$1:$AM$1, 0), FALSE), 1)</f>
        <v>4.8845135679839854E-3</v>
      </c>
      <c r="P22" s="12">
        <f>$B22 * IFERROR(VLOOKUP(Substitution!$M$11 &amp; $A22, US_national_yearly!$D:$AM, MATCH(P$1, US_national_yearly!$D$1:$AM$1, 0), FALSE) / VLOOKUP(Substitution!$M$11 &amp; $A22, US_national_yearly!$D:$AM, MATCH(Keys!$C$7, US_national_yearly!$D$1:$AM$1, 0), FALSE), 1)</f>
        <v>4.9402880530353558E-3</v>
      </c>
      <c r="Q22" s="12">
        <f>$B22 * IFERROR(VLOOKUP(Substitution!$M$11 &amp; $A22, US_national_yearly!$D:$AM, MATCH(Q$1, US_national_yearly!$D$1:$AM$1, 0), FALSE) / VLOOKUP(Substitution!$M$11 &amp; $A22, US_national_yearly!$D:$AM, MATCH(Keys!$C$7, US_national_yearly!$D$1:$AM$1, 0), FALSE), 1)</f>
        <v>4.9960625380867279E-3</v>
      </c>
      <c r="R22" s="12">
        <f>$B22 * IFERROR(VLOOKUP(Substitution!$M$11 &amp; $A22, US_national_yearly!$D:$AM, MATCH(R$1, US_national_yearly!$D$1:$AM$1, 0), FALSE) / VLOOKUP(Substitution!$M$11 &amp; $A22, US_national_yearly!$D:$AM, MATCH(Keys!$C$7, US_national_yearly!$D$1:$AM$1, 0), FALSE), 1)</f>
        <v>5.0518370231380999E-3</v>
      </c>
      <c r="S22" s="12">
        <f>$B22 * IFERROR(VLOOKUP(Substitution!$M$11 &amp; $A22, US_national_yearly!$D:$AM, MATCH(S$1, US_national_yearly!$D$1:$AM$1, 0), FALSE) / VLOOKUP(Substitution!$M$11 &amp; $A22, US_national_yearly!$D:$AM, MATCH(Keys!$C$7, US_national_yearly!$D$1:$AM$1, 0), FALSE), 1)</f>
        <v>5.0906840653232024E-3</v>
      </c>
      <c r="T22" s="12">
        <f>$B22 * IFERROR(VLOOKUP(Substitution!$M$11 &amp; $A22, US_national_yearly!$D:$AM, MATCH(T$1, US_national_yearly!$D$1:$AM$1, 0), FALSE) / VLOOKUP(Substitution!$M$11 &amp; $A22, US_national_yearly!$D:$AM, MATCH(Keys!$C$7, US_national_yearly!$D$1:$AM$1, 0), FALSE), 1)</f>
        <v>5.129531107508304E-3</v>
      </c>
      <c r="U22" s="12">
        <f>$B22 * IFERROR(VLOOKUP(Substitution!$M$11 &amp; $A22, US_national_yearly!$D:$AM, MATCH(U$1, US_national_yearly!$D$1:$AM$1, 0), FALSE) / VLOOKUP(Substitution!$M$11 &amp; $A22, US_national_yearly!$D:$AM, MATCH(Keys!$C$7, US_national_yearly!$D$1:$AM$1, 0), FALSE), 1)</f>
        <v>5.1683781496934056E-3</v>
      </c>
      <c r="V22" s="12">
        <f>$B22 * IFERROR(VLOOKUP(Substitution!$M$11 &amp; $A22, US_national_yearly!$D:$AM, MATCH(V$1, US_national_yearly!$D$1:$AM$1, 0), FALSE) / VLOOKUP(Substitution!$M$11 &amp; $A22, US_national_yearly!$D:$AM, MATCH(Keys!$C$7, US_national_yearly!$D$1:$AM$1, 0), FALSE), 1)</f>
        <v>5.2072251918785081E-3</v>
      </c>
      <c r="W22" s="12">
        <f>$B22 * IFERROR(VLOOKUP(Substitution!$M$11 &amp; $A22, US_national_yearly!$D:$AM, MATCH(W$1, US_national_yearly!$D$1:$AM$1, 0), FALSE) / VLOOKUP(Substitution!$M$11 &amp; $A22, US_national_yearly!$D:$AM, MATCH(Keys!$C$7, US_national_yearly!$D$1:$AM$1, 0), FALSE), 1)</f>
        <v>5.2460722340636097E-3</v>
      </c>
      <c r="X22" s="12">
        <f>$B22 * IFERROR(VLOOKUP(Substitution!$M$11 &amp; $A22, US_national_yearly!$D:$AM, MATCH(X$1, US_national_yearly!$D$1:$AM$1, 0), FALSE) / VLOOKUP(Substitution!$M$11 &amp; $A22, US_national_yearly!$D:$AM, MATCH(Keys!$C$7, US_national_yearly!$D$1:$AM$1, 0), FALSE), 1)</f>
        <v>5.2752180102107957E-3</v>
      </c>
      <c r="Y22" s="12">
        <f>$B22 * IFERROR(VLOOKUP(Substitution!$M$11 &amp; $A22, US_national_yearly!$D:$AM, MATCH(Y$1, US_national_yearly!$D$1:$AM$1, 0), FALSE) / VLOOKUP(Substitution!$M$11 &amp; $A22, US_national_yearly!$D:$AM, MATCH(Keys!$C$7, US_national_yearly!$D$1:$AM$1, 0), FALSE), 1)</f>
        <v>5.3043637863579816E-3</v>
      </c>
      <c r="Z22" s="12">
        <f>$B22 * IFERROR(VLOOKUP(Substitution!$M$11 &amp; $A22, US_national_yearly!$D:$AM, MATCH(Z$1, US_national_yearly!$D$1:$AM$1, 0), FALSE) / VLOOKUP(Substitution!$M$11 &amp; $A22, US_national_yearly!$D:$AM, MATCH(Keys!$C$7, US_national_yearly!$D$1:$AM$1, 0), FALSE), 1)</f>
        <v>5.3335095625051676E-3</v>
      </c>
      <c r="AA22" s="12">
        <f>$B22 * IFERROR(VLOOKUP(Substitution!$M$11 &amp; $A22, US_national_yearly!$D:$AM, MATCH(AA$1, US_national_yearly!$D$1:$AM$1, 0), FALSE) / VLOOKUP(Substitution!$M$11 &amp; $A22, US_national_yearly!$D:$AM, MATCH(Keys!$C$7, US_national_yearly!$D$1:$AM$1, 0), FALSE), 1)</f>
        <v>5.3626553386523536E-3</v>
      </c>
      <c r="AB22" s="12">
        <f>$B22 * IFERROR(VLOOKUP(Substitution!$M$11 &amp; $A22, US_national_yearly!$D:$AM, MATCH(AB$1, US_national_yearly!$D$1:$AM$1, 0), FALSE) / VLOOKUP(Substitution!$M$11 &amp; $A22, US_national_yearly!$D:$AM, MATCH(Keys!$C$7, US_national_yearly!$D$1:$AM$1, 0), FALSE), 1)</f>
        <v>5.3918011147995404E-3</v>
      </c>
    </row>
    <row r="23" spans="1:28" x14ac:dyDescent="0.25">
      <c r="A23" s="4" t="s">
        <v>333</v>
      </c>
      <c r="B23" s="12">
        <f>IFERROR(VLOOKUP(Substitution!$M$11 &amp; $A23, US_national_yearly!$D:$AM, MATCH(Keys!$C$7, US_national_yearly!$D$1:$AM$1, 0), FALSE), 0)</f>
        <v>0</v>
      </c>
      <c r="C23" s="12">
        <f>$B23 * IFERROR(VLOOKUP(Substitution!$M$11 &amp; $A23, US_national_yearly!$D:$AM, MATCH(C$1, US_national_yearly!$D$1:$AM$1, 0), FALSE) / VLOOKUP(Substitution!$M$11 &amp; $A23, US_national_yearly!$D:$AM, MATCH(Keys!$C$7, US_national_yearly!$D$1:$AM$1, 0), FALSE), 1)</f>
        <v>0</v>
      </c>
      <c r="D23" s="12">
        <f>$B23 * IFERROR(VLOOKUP(Substitution!$M$11 &amp; $A23, US_national_yearly!$D:$AM, MATCH(D$1, US_national_yearly!$D$1:$AM$1, 0), FALSE) / VLOOKUP(Substitution!$M$11 &amp; $A23, US_national_yearly!$D:$AM, MATCH(Keys!$C$7, US_national_yearly!$D$1:$AM$1, 0), FALSE), 1)</f>
        <v>0</v>
      </c>
      <c r="E23" s="12">
        <f>$B23 * IFERROR(VLOOKUP(Substitution!$M$11 &amp; $A23, US_national_yearly!$D:$AM, MATCH(E$1, US_national_yearly!$D$1:$AM$1, 0), FALSE) / VLOOKUP(Substitution!$M$11 &amp; $A23, US_national_yearly!$D:$AM, MATCH(Keys!$C$7, US_national_yearly!$D$1:$AM$1, 0), FALSE), 1)</f>
        <v>0</v>
      </c>
      <c r="F23" s="12">
        <f>$B23 * IFERROR(VLOOKUP(Substitution!$M$11 &amp; $A23, US_national_yearly!$D:$AM, MATCH(F$1, US_national_yearly!$D$1:$AM$1, 0), FALSE) / VLOOKUP(Substitution!$M$11 &amp; $A23, US_national_yearly!$D:$AM, MATCH(Keys!$C$7, US_national_yearly!$D$1:$AM$1, 0), FALSE), 1)</f>
        <v>0</v>
      </c>
      <c r="G23" s="12">
        <f>$B23 * IFERROR(VLOOKUP(Substitution!$M$11 &amp; $A23, US_national_yearly!$D:$AM, MATCH(G$1, US_national_yearly!$D$1:$AM$1, 0), FALSE) / VLOOKUP(Substitution!$M$11 &amp; $A23, US_national_yearly!$D:$AM, MATCH(Keys!$C$7, US_national_yearly!$D$1:$AM$1, 0), FALSE), 1)</f>
        <v>0</v>
      </c>
      <c r="H23" s="12">
        <f>$B23 * IFERROR(VLOOKUP(Substitution!$M$11 &amp; $A23, US_national_yearly!$D:$AM, MATCH(H$1, US_national_yearly!$D$1:$AM$1, 0), FALSE) / VLOOKUP(Substitution!$M$11 &amp; $A23, US_national_yearly!$D:$AM, MATCH(Keys!$C$7, US_national_yearly!$D$1:$AM$1, 0), FALSE), 1)</f>
        <v>0</v>
      </c>
      <c r="I23" s="12">
        <f>$B23 * IFERROR(VLOOKUP(Substitution!$M$11 &amp; $A23, US_national_yearly!$D:$AM, MATCH(I$1, US_national_yearly!$D$1:$AM$1, 0), FALSE) / VLOOKUP(Substitution!$M$11 &amp; $A23, US_national_yearly!$D:$AM, MATCH(Keys!$C$7, US_national_yearly!$D$1:$AM$1, 0), FALSE), 1)</f>
        <v>0</v>
      </c>
      <c r="J23" s="12">
        <f>$B23 * IFERROR(VLOOKUP(Substitution!$M$11 &amp; $A23, US_national_yearly!$D:$AM, MATCH(J$1, US_national_yearly!$D$1:$AM$1, 0), FALSE) / VLOOKUP(Substitution!$M$11 &amp; $A23, US_national_yearly!$D:$AM, MATCH(Keys!$C$7, US_national_yearly!$D$1:$AM$1, 0), FALSE), 1)</f>
        <v>0</v>
      </c>
      <c r="K23" s="12">
        <f>$B23 * IFERROR(VLOOKUP(Substitution!$M$11 &amp; $A23, US_national_yearly!$D:$AM, MATCH(K$1, US_national_yearly!$D$1:$AM$1, 0), FALSE) / VLOOKUP(Substitution!$M$11 &amp; $A23, US_national_yearly!$D:$AM, MATCH(Keys!$C$7, US_national_yearly!$D$1:$AM$1, 0), FALSE), 1)</f>
        <v>0</v>
      </c>
      <c r="L23" s="12">
        <f>$B23 * IFERROR(VLOOKUP(Substitution!$M$11 &amp; $A23, US_national_yearly!$D:$AM, MATCH(L$1, US_national_yearly!$D$1:$AM$1, 0), FALSE) / VLOOKUP(Substitution!$M$11 &amp; $A23, US_national_yearly!$D:$AM, MATCH(Keys!$C$7, US_national_yearly!$D$1:$AM$1, 0), FALSE), 1)</f>
        <v>0</v>
      </c>
      <c r="M23" s="12">
        <f>$B23 * IFERROR(VLOOKUP(Substitution!$M$11 &amp; $A23, US_national_yearly!$D:$AM, MATCH(M$1, US_national_yearly!$D$1:$AM$1, 0), FALSE) / VLOOKUP(Substitution!$M$11 &amp; $A23, US_national_yearly!$D:$AM, MATCH(Keys!$C$7, US_national_yearly!$D$1:$AM$1, 0), FALSE), 1)</f>
        <v>0</v>
      </c>
      <c r="N23" s="12">
        <f>$B23 * IFERROR(VLOOKUP(Substitution!$M$11 &amp; $A23, US_national_yearly!$D:$AM, MATCH(N$1, US_national_yearly!$D$1:$AM$1, 0), FALSE) / VLOOKUP(Substitution!$M$11 &amp; $A23, US_national_yearly!$D:$AM, MATCH(Keys!$C$7, US_national_yearly!$D$1:$AM$1, 0), FALSE), 1)</f>
        <v>0</v>
      </c>
      <c r="O23" s="12">
        <f>$B23 * IFERROR(VLOOKUP(Substitution!$M$11 &amp; $A23, US_national_yearly!$D:$AM, MATCH(O$1, US_national_yearly!$D$1:$AM$1, 0), FALSE) / VLOOKUP(Substitution!$M$11 &amp; $A23, US_national_yearly!$D:$AM, MATCH(Keys!$C$7, US_national_yearly!$D$1:$AM$1, 0), FALSE), 1)</f>
        <v>0</v>
      </c>
      <c r="P23" s="12">
        <f>$B23 * IFERROR(VLOOKUP(Substitution!$M$11 &amp; $A23, US_national_yearly!$D:$AM, MATCH(P$1, US_national_yearly!$D$1:$AM$1, 0), FALSE) / VLOOKUP(Substitution!$M$11 &amp; $A23, US_national_yearly!$D:$AM, MATCH(Keys!$C$7, US_national_yearly!$D$1:$AM$1, 0), FALSE), 1)</f>
        <v>0</v>
      </c>
      <c r="Q23" s="12">
        <f>$B23 * IFERROR(VLOOKUP(Substitution!$M$11 &amp; $A23, US_national_yearly!$D:$AM, MATCH(Q$1, US_national_yearly!$D$1:$AM$1, 0), FALSE) / VLOOKUP(Substitution!$M$11 &amp; $A23, US_national_yearly!$D:$AM, MATCH(Keys!$C$7, US_national_yearly!$D$1:$AM$1, 0), FALSE), 1)</f>
        <v>0</v>
      </c>
      <c r="R23" s="12">
        <f>$B23 * IFERROR(VLOOKUP(Substitution!$M$11 &amp; $A23, US_national_yearly!$D:$AM, MATCH(R$1, US_national_yearly!$D$1:$AM$1, 0), FALSE) / VLOOKUP(Substitution!$M$11 &amp; $A23, US_national_yearly!$D:$AM, MATCH(Keys!$C$7, US_national_yearly!$D$1:$AM$1, 0), FALSE), 1)</f>
        <v>0</v>
      </c>
      <c r="S23" s="12">
        <f>$B23 * IFERROR(VLOOKUP(Substitution!$M$11 &amp; $A23, US_national_yearly!$D:$AM, MATCH(S$1, US_national_yearly!$D$1:$AM$1, 0), FALSE) / VLOOKUP(Substitution!$M$11 &amp; $A23, US_national_yearly!$D:$AM, MATCH(Keys!$C$7, US_national_yearly!$D$1:$AM$1, 0), FALSE), 1)</f>
        <v>0</v>
      </c>
      <c r="T23" s="12">
        <f>$B23 * IFERROR(VLOOKUP(Substitution!$M$11 &amp; $A23, US_national_yearly!$D:$AM, MATCH(T$1, US_national_yearly!$D$1:$AM$1, 0), FALSE) / VLOOKUP(Substitution!$M$11 &amp; $A23, US_national_yearly!$D:$AM, MATCH(Keys!$C$7, US_national_yearly!$D$1:$AM$1, 0), FALSE), 1)</f>
        <v>0</v>
      </c>
      <c r="U23" s="12">
        <f>$B23 * IFERROR(VLOOKUP(Substitution!$M$11 &amp; $A23, US_national_yearly!$D:$AM, MATCH(U$1, US_national_yearly!$D$1:$AM$1, 0), FALSE) / VLOOKUP(Substitution!$M$11 &amp; $A23, US_national_yearly!$D:$AM, MATCH(Keys!$C$7, US_national_yearly!$D$1:$AM$1, 0), FALSE), 1)</f>
        <v>0</v>
      </c>
      <c r="V23" s="12">
        <f>$B23 * IFERROR(VLOOKUP(Substitution!$M$11 &amp; $A23, US_national_yearly!$D:$AM, MATCH(V$1, US_national_yearly!$D$1:$AM$1, 0), FALSE) / VLOOKUP(Substitution!$M$11 &amp; $A23, US_national_yearly!$D:$AM, MATCH(Keys!$C$7, US_national_yearly!$D$1:$AM$1, 0), FALSE), 1)</f>
        <v>0</v>
      </c>
      <c r="W23" s="12">
        <f>$B23 * IFERROR(VLOOKUP(Substitution!$M$11 &amp; $A23, US_national_yearly!$D:$AM, MATCH(W$1, US_national_yearly!$D$1:$AM$1, 0), FALSE) / VLOOKUP(Substitution!$M$11 &amp; $A23, US_national_yearly!$D:$AM, MATCH(Keys!$C$7, US_national_yearly!$D$1:$AM$1, 0), FALSE), 1)</f>
        <v>0</v>
      </c>
      <c r="X23" s="12">
        <f>$B23 * IFERROR(VLOOKUP(Substitution!$M$11 &amp; $A23, US_national_yearly!$D:$AM, MATCH(X$1, US_national_yearly!$D$1:$AM$1, 0), FALSE) / VLOOKUP(Substitution!$M$11 &amp; $A23, US_national_yearly!$D:$AM, MATCH(Keys!$C$7, US_national_yearly!$D$1:$AM$1, 0), FALSE), 1)</f>
        <v>0</v>
      </c>
      <c r="Y23" s="12">
        <f>$B23 * IFERROR(VLOOKUP(Substitution!$M$11 &amp; $A23, US_national_yearly!$D:$AM, MATCH(Y$1, US_national_yearly!$D$1:$AM$1, 0), FALSE) / VLOOKUP(Substitution!$M$11 &amp; $A23, US_national_yearly!$D:$AM, MATCH(Keys!$C$7, US_national_yearly!$D$1:$AM$1, 0), FALSE), 1)</f>
        <v>0</v>
      </c>
      <c r="Z23" s="12">
        <f>$B23 * IFERROR(VLOOKUP(Substitution!$M$11 &amp; $A23, US_national_yearly!$D:$AM, MATCH(Z$1, US_national_yearly!$D$1:$AM$1, 0), FALSE) / VLOOKUP(Substitution!$M$11 &amp; $A23, US_national_yearly!$D:$AM, MATCH(Keys!$C$7, US_national_yearly!$D$1:$AM$1, 0), FALSE), 1)</f>
        <v>0</v>
      </c>
      <c r="AA23" s="12">
        <f>$B23 * IFERROR(VLOOKUP(Substitution!$M$11 &amp; $A23, US_national_yearly!$D:$AM, MATCH(AA$1, US_national_yearly!$D$1:$AM$1, 0), FALSE) / VLOOKUP(Substitution!$M$11 &amp; $A23, US_national_yearly!$D:$AM, MATCH(Keys!$C$7, US_national_yearly!$D$1:$AM$1, 0), FALSE), 1)</f>
        <v>0</v>
      </c>
      <c r="AB23" s="12">
        <f>$B23 * IFERROR(VLOOKUP(Substitution!$M$11 &amp; $A23, US_national_yearly!$D:$AM, MATCH(AB$1, US_national_yearly!$D$1:$AM$1, 0), FALSE) / VLOOKUP(Substitution!$M$11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Substitution!$G$12)/IFERROR(SUMIFS(COBRA_aggregated!$W:$W, COBRA_aggregated!$A:$A, About!$B$1, COBRA_aggregated!$B:$B, Substitution!$G$12), 1)</f>
        <v>2.2199334205901095E-3</v>
      </c>
      <c r="C2" s="12">
        <f>$B2 * IFERROR(VLOOKUP(Substitution!$M$12 &amp; $A2, US_national_yearly!$D:$AM, MATCH(C$1, US_national_yearly!$D$1:$AM$1, 0), FALSE) / VLOOKUP(Substitution!$M$12 &amp; $A2, US_national_yearly!$D:$AM, MATCH(Keys!$C$7, US_national_yearly!$D$1:$AM$1, 0), FALSE), 1)</f>
        <v>2.2525857196363671E-3</v>
      </c>
      <c r="D2" s="12">
        <f>$B2 * IFERROR(VLOOKUP(Substitution!$M$12 &amp; $A2, US_national_yearly!$D:$AM, MATCH(D$1, US_national_yearly!$D$1:$AM$1, 0), FALSE) / VLOOKUP(Substitution!$M$12 &amp; $A2, US_national_yearly!$D:$AM, MATCH(Keys!$C$7, US_national_yearly!$D$1:$AM$1, 0), FALSE), 1)</f>
        <v>2.2852380186826247E-3</v>
      </c>
      <c r="E2" s="12">
        <f>$B2 * IFERROR(VLOOKUP(Substitution!$M$12 &amp; $A2, US_national_yearly!$D:$AM, MATCH(E$1, US_national_yearly!$D$1:$AM$1, 0), FALSE) / VLOOKUP(Substitution!$M$12 &amp; $A2, US_national_yearly!$D:$AM, MATCH(Keys!$C$7, US_national_yearly!$D$1:$AM$1, 0), FALSE), 1)</f>
        <v>2.3178903177288822E-3</v>
      </c>
      <c r="F2" s="12">
        <f>$B2 * IFERROR(VLOOKUP(Substitution!$M$12 &amp; $A2, US_national_yearly!$D:$AM, MATCH(F$1, US_national_yearly!$D$1:$AM$1, 0), FALSE) / VLOOKUP(Substitution!$M$12 &amp; $A2, US_national_yearly!$D:$AM, MATCH(Keys!$C$7, US_national_yearly!$D$1:$AM$1, 0), FALSE), 1)</f>
        <v>2.3505426167751394E-3</v>
      </c>
      <c r="G2" s="12">
        <f>$B2 * IFERROR(VLOOKUP(Substitution!$M$12 &amp; $A2, US_national_yearly!$D:$AM, MATCH(G$1, US_national_yearly!$D$1:$AM$1, 0), FALSE) / VLOOKUP(Substitution!$M$12 &amp; $A2, US_national_yearly!$D:$AM, MATCH(Keys!$C$7, US_national_yearly!$D$1:$AM$1, 0), FALSE), 1)</f>
        <v>2.4091653257870865E-3</v>
      </c>
      <c r="H2" s="12">
        <f>$B2 * IFERROR(VLOOKUP(Substitution!$M$12 &amp; $A2, US_national_yearly!$D:$AM, MATCH(H$1, US_national_yearly!$D$1:$AM$1, 0), FALSE) / VLOOKUP(Substitution!$M$12 &amp; $A2, US_national_yearly!$D:$AM, MATCH(Keys!$C$7, US_national_yearly!$D$1:$AM$1, 0), FALSE), 1)</f>
        <v>2.4677880347990342E-3</v>
      </c>
      <c r="I2" s="12">
        <f>$B2 * IFERROR(VLOOKUP(Substitution!$M$12 &amp; $A2, US_national_yearly!$D:$AM, MATCH(I$1, US_national_yearly!$D$1:$AM$1, 0), FALSE) / VLOOKUP(Substitution!$M$12 &amp; $A2, US_national_yearly!$D:$AM, MATCH(Keys!$C$7, US_national_yearly!$D$1:$AM$1, 0), FALSE), 1)</f>
        <v>2.5056731872424931E-3</v>
      </c>
      <c r="J2" s="12">
        <f>$B2 * IFERROR(VLOOKUP(Substitution!$M$12 &amp; $A2, US_national_yearly!$D:$AM, MATCH(J$1, US_national_yearly!$D$1:$AM$1, 0), FALSE) / VLOOKUP(Substitution!$M$12 &amp; $A2, US_national_yearly!$D:$AM, MATCH(Keys!$C$7, US_national_yearly!$D$1:$AM$1, 0), FALSE), 1)</f>
        <v>2.5435583396859517E-3</v>
      </c>
      <c r="K2" s="12">
        <f>$B2 * IFERROR(VLOOKUP(Substitution!$M$12 &amp; $A2, US_national_yearly!$D:$AM, MATCH(K$1, US_national_yearly!$D$1:$AM$1, 0), FALSE) / VLOOKUP(Substitution!$M$12 &amp; $A2, US_national_yearly!$D:$AM, MATCH(Keys!$C$7, US_national_yearly!$D$1:$AM$1, 0), FALSE), 1)</f>
        <v>2.5814434921294111E-3</v>
      </c>
      <c r="L2" s="12">
        <f>$B2 * IFERROR(VLOOKUP(Substitution!$M$12 &amp; $A2, US_national_yearly!$D:$AM, MATCH(L$1, US_national_yearly!$D$1:$AM$1, 0), FALSE) / VLOOKUP(Substitution!$M$12 &amp; $A2, US_national_yearly!$D:$AM, MATCH(Keys!$C$7, US_national_yearly!$D$1:$AM$1, 0), FALSE), 1)</f>
        <v>2.6193286445728701E-3</v>
      </c>
      <c r="M2" s="12">
        <f>$B2 * IFERROR(VLOOKUP(Substitution!$M$12 &amp; $A2, US_national_yearly!$D:$AM, MATCH(M$1, US_national_yearly!$D$1:$AM$1, 0), FALSE) / VLOOKUP(Substitution!$M$12 &amp; $A2, US_national_yearly!$D:$AM, MATCH(Keys!$C$7, US_national_yearly!$D$1:$AM$1, 0), FALSE), 1)</f>
        <v>2.6572137970163291E-3</v>
      </c>
      <c r="N2" s="12">
        <f>$B2 * IFERROR(VLOOKUP(Substitution!$M$12 &amp; $A2, US_national_yearly!$D:$AM, MATCH(N$1, US_national_yearly!$D$1:$AM$1, 0), FALSE) / VLOOKUP(Substitution!$M$12 &amp; $A2, US_national_yearly!$D:$AM, MATCH(Keys!$C$7, US_national_yearly!$D$1:$AM$1, 0), FALSE), 1)</f>
        <v>2.6852852487835536E-3</v>
      </c>
      <c r="O2" s="12">
        <f>$B2 * IFERROR(VLOOKUP(Substitution!$M$12 &amp; $A2, US_national_yearly!$D:$AM, MATCH(O$1, US_national_yearly!$D$1:$AM$1, 0), FALSE) / VLOOKUP(Substitution!$M$12 &amp; $A2, US_national_yearly!$D:$AM, MATCH(Keys!$C$7, US_national_yearly!$D$1:$AM$1, 0), FALSE), 1)</f>
        <v>2.7133567005507785E-3</v>
      </c>
      <c r="P2" s="12">
        <f>$B2 * IFERROR(VLOOKUP(Substitution!$M$12 &amp; $A2, US_national_yearly!$D:$AM, MATCH(P$1, US_national_yearly!$D$1:$AM$1, 0), FALSE) / VLOOKUP(Substitution!$M$12 &amp; $A2, US_national_yearly!$D:$AM, MATCH(Keys!$C$7, US_national_yearly!$D$1:$AM$1, 0), FALSE), 1)</f>
        <v>2.7414281523180034E-3</v>
      </c>
      <c r="Q2" s="12">
        <f>$B2 * IFERROR(VLOOKUP(Substitution!$M$12 &amp; $A2, US_national_yearly!$D:$AM, MATCH(Q$1, US_national_yearly!$D$1:$AM$1, 0), FALSE) / VLOOKUP(Substitution!$M$12 &amp; $A2, US_national_yearly!$D:$AM, MATCH(Keys!$C$7, US_national_yearly!$D$1:$AM$1, 0), FALSE), 1)</f>
        <v>2.7694996040852279E-3</v>
      </c>
      <c r="R2" s="12">
        <f>$B2 * IFERROR(VLOOKUP(Substitution!$M$12 &amp; $A2, US_national_yearly!$D:$AM, MATCH(R$1, US_national_yearly!$D$1:$AM$1, 0), FALSE) / VLOOKUP(Substitution!$M$12 &amp; $A2, US_national_yearly!$D:$AM, MATCH(Keys!$C$7, US_national_yearly!$D$1:$AM$1, 0), FALSE), 1)</f>
        <v>2.7975710558524529E-3</v>
      </c>
      <c r="S2" s="12">
        <f>$B2 * IFERROR(VLOOKUP(Substitution!$M$12 &amp; $A2, US_national_yearly!$D:$AM, MATCH(S$1, US_national_yearly!$D$1:$AM$1, 0), FALSE) / VLOOKUP(Substitution!$M$12 &amp; $A2, US_national_yearly!$D:$AM, MATCH(Keys!$C$7, US_national_yearly!$D$1:$AM$1, 0), FALSE), 1)</f>
        <v>2.8103334445620507E-3</v>
      </c>
      <c r="T2" s="12">
        <f>$B2 * IFERROR(VLOOKUP(Substitution!$M$12 &amp; $A2, US_national_yearly!$D:$AM, MATCH(T$1, US_national_yearly!$D$1:$AM$1, 0), FALSE) / VLOOKUP(Substitution!$M$12 &amp; $A2, US_national_yearly!$D:$AM, MATCH(Keys!$C$7, US_national_yearly!$D$1:$AM$1, 0), FALSE), 1)</f>
        <v>2.8230958332716482E-3</v>
      </c>
      <c r="U2" s="12">
        <f>$B2 * IFERROR(VLOOKUP(Substitution!$M$12 &amp; $A2, US_national_yearly!$D:$AM, MATCH(U$1, US_national_yearly!$D$1:$AM$1, 0), FALSE) / VLOOKUP(Substitution!$M$12 &amp; $A2, US_national_yearly!$D:$AM, MATCH(Keys!$C$7, US_national_yearly!$D$1:$AM$1, 0), FALSE), 1)</f>
        <v>2.835858221981246E-3</v>
      </c>
      <c r="V2" s="12">
        <f>$B2 * IFERROR(VLOOKUP(Substitution!$M$12 &amp; $A2, US_national_yearly!$D:$AM, MATCH(V$1, US_national_yearly!$D$1:$AM$1, 0), FALSE) / VLOOKUP(Substitution!$M$12 &amp; $A2, US_national_yearly!$D:$AM, MATCH(Keys!$C$7, US_national_yearly!$D$1:$AM$1, 0), FALSE), 1)</f>
        <v>2.8486206106908439E-3</v>
      </c>
      <c r="W2" s="12">
        <f>$B2 * IFERROR(VLOOKUP(Substitution!$M$12 &amp; $A2, US_national_yearly!$D:$AM, MATCH(W$1, US_national_yearly!$D$1:$AM$1, 0), FALSE) / VLOOKUP(Substitution!$M$12 &amp; $A2, US_national_yearly!$D:$AM, MATCH(Keys!$C$7, US_national_yearly!$D$1:$AM$1, 0), FALSE), 1)</f>
        <v>2.8613829994004413E-3</v>
      </c>
      <c r="X2" s="12">
        <f>$B2 * IFERROR(VLOOKUP(Substitution!$M$12 &amp; $A2, US_national_yearly!$D:$AM, MATCH(X$1, US_national_yearly!$D$1:$AM$1, 0), FALSE) / VLOOKUP(Substitution!$M$12 &amp; $A2, US_national_yearly!$D:$AM, MATCH(Keys!$C$7, US_national_yearly!$D$1:$AM$1, 0), FALSE), 1)</f>
        <v>2.8618324803272948E-3</v>
      </c>
      <c r="Y2" s="12">
        <f>$B2 * IFERROR(VLOOKUP(Substitution!$M$12 &amp; $A2, US_national_yearly!$D:$AM, MATCH(Y$1, US_national_yearly!$D$1:$AM$1, 0), FALSE) / VLOOKUP(Substitution!$M$12 &amp; $A2, US_national_yearly!$D:$AM, MATCH(Keys!$C$7, US_national_yearly!$D$1:$AM$1, 0), FALSE), 1)</f>
        <v>2.8622819612541487E-3</v>
      </c>
      <c r="Z2" s="12">
        <f>$B2 * IFERROR(VLOOKUP(Substitution!$M$12 &amp; $A2, US_national_yearly!$D:$AM, MATCH(Z$1, US_national_yearly!$D$1:$AM$1, 0), FALSE) / VLOOKUP(Substitution!$M$12 &amp; $A2, US_national_yearly!$D:$AM, MATCH(Keys!$C$7, US_national_yearly!$D$1:$AM$1, 0), FALSE), 1)</f>
        <v>2.8627314421810022E-3</v>
      </c>
      <c r="AA2" s="12">
        <f>$B2 * IFERROR(VLOOKUP(Substitution!$M$12 &amp; $A2, US_national_yearly!$D:$AM, MATCH(AA$1, US_national_yearly!$D$1:$AM$1, 0), FALSE) / VLOOKUP(Substitution!$M$12 &amp; $A2, US_national_yearly!$D:$AM, MATCH(Keys!$C$7, US_national_yearly!$D$1:$AM$1, 0), FALSE), 1)</f>
        <v>2.8631809231078552E-3</v>
      </c>
      <c r="AB2" s="12">
        <f>$B2 * IFERROR(VLOOKUP(Substitution!$M$12 &amp; $A2, US_national_yearly!$D:$AM, MATCH(AB$1, US_national_yearly!$D$1:$AM$1, 0), FALSE) / VLOOKUP(Substitution!$M$12 &amp; $A2, US_national_yearly!$D:$AM, MATCH(Keys!$C$7, US_national_yearly!$D$1:$AM$1, 0), FALSE), 1)</f>
        <v>2.8636304040347092E-3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Substitution!$G$12)/IFERROR(SUMIFS(COBRA_aggregated!$W:$W, COBRA_aggregated!$A:$A, About!$B$1, COBRA_aggregated!$B:$B, Substitution!$G$12), 1)</f>
        <v>4.8609610546757918E-6</v>
      </c>
      <c r="C3" s="12">
        <f>$B3 * IFERROR(VLOOKUP(Substitution!$M$12 &amp; $A3, US_national_yearly!$D:$AM, MATCH(C$1, US_national_yearly!$D$1:$AM$1, 0), FALSE) / VLOOKUP(Substitution!$M$12 &amp; $A3, US_national_yearly!$D:$AM, MATCH(Keys!$C$7, US_national_yearly!$D$1:$AM$1, 0), FALSE), 1)</f>
        <v>4.8147876296579955E-6</v>
      </c>
      <c r="D3" s="12">
        <f>$B3 * IFERROR(VLOOKUP(Substitution!$M$12 &amp; $A3, US_national_yearly!$D:$AM, MATCH(D$1, US_national_yearly!$D$1:$AM$1, 0), FALSE) / VLOOKUP(Substitution!$M$12 &amp; $A3, US_national_yearly!$D:$AM, MATCH(Keys!$C$7, US_national_yearly!$D$1:$AM$1, 0), FALSE), 1)</f>
        <v>4.7686142046401975E-6</v>
      </c>
      <c r="E3" s="12">
        <f>$B3 * IFERROR(VLOOKUP(Substitution!$M$12 &amp; $A3, US_national_yearly!$D:$AM, MATCH(E$1, US_national_yearly!$D$1:$AM$1, 0), FALSE) / VLOOKUP(Substitution!$M$12 &amp; $A3, US_national_yearly!$D:$AM, MATCH(Keys!$C$7, US_national_yearly!$D$1:$AM$1, 0), FALSE), 1)</f>
        <v>4.7224407796224012E-6</v>
      </c>
      <c r="F3" s="12">
        <f>$B3 * IFERROR(VLOOKUP(Substitution!$M$12 &amp; $A3, US_national_yearly!$D:$AM, MATCH(F$1, US_national_yearly!$D$1:$AM$1, 0), FALSE) / VLOOKUP(Substitution!$M$12 &amp; $A3, US_national_yearly!$D:$AM, MATCH(Keys!$C$7, US_national_yearly!$D$1:$AM$1, 0), FALSE), 1)</f>
        <v>4.6762673546046032E-6</v>
      </c>
      <c r="G3" s="12">
        <f>$B3 * IFERROR(VLOOKUP(Substitution!$M$12 &amp; $A3, US_national_yearly!$D:$AM, MATCH(G$1, US_national_yearly!$D$1:$AM$1, 0), FALSE) / VLOOKUP(Substitution!$M$12 &amp; $A3, US_national_yearly!$D:$AM, MATCH(Keys!$C$7, US_national_yearly!$D$1:$AM$1, 0), FALSE), 1)</f>
        <v>3.1038137558513086E-6</v>
      </c>
      <c r="H3" s="12">
        <f>$B3 * IFERROR(VLOOKUP(Substitution!$M$12 &amp; $A3, US_national_yearly!$D:$AM, MATCH(H$1, US_national_yearly!$D$1:$AM$1, 0), FALSE) / VLOOKUP(Substitution!$M$12 &amp; $A3, US_national_yearly!$D:$AM, MATCH(Keys!$C$7, US_national_yearly!$D$1:$AM$1, 0), FALSE), 1)</f>
        <v>1.5313601570980143E-6</v>
      </c>
      <c r="I3" s="12">
        <f>$B3 * IFERROR(VLOOKUP(Substitution!$M$12 &amp; $A3, US_national_yearly!$D:$AM, MATCH(I$1, US_national_yearly!$D$1:$AM$1, 0), FALSE) / VLOOKUP(Substitution!$M$12 &amp; $A3, US_national_yearly!$D:$AM, MATCH(Keys!$C$7, US_national_yearly!$D$1:$AM$1, 0), FALSE), 1)</f>
        <v>1.5205417738727327E-6</v>
      </c>
      <c r="J3" s="12">
        <f>$B3 * IFERROR(VLOOKUP(Substitution!$M$12 &amp; $A3, US_national_yearly!$D:$AM, MATCH(J$1, US_national_yearly!$D$1:$AM$1, 0), FALSE) / VLOOKUP(Substitution!$M$12 &amp; $A3, US_national_yearly!$D:$AM, MATCH(Keys!$C$7, US_national_yearly!$D$1:$AM$1, 0), FALSE), 1)</f>
        <v>1.5097233906474507E-6</v>
      </c>
      <c r="K3" s="12">
        <f>$B3 * IFERROR(VLOOKUP(Substitution!$M$12 &amp; $A3, US_national_yearly!$D:$AM, MATCH(K$1, US_national_yearly!$D$1:$AM$1, 0), FALSE) / VLOOKUP(Substitution!$M$12 &amp; $A3, US_national_yearly!$D:$AM, MATCH(Keys!$C$7, US_national_yearly!$D$1:$AM$1, 0), FALSE), 1)</f>
        <v>1.4989050074221691E-6</v>
      </c>
      <c r="L3" s="12">
        <f>$B3 * IFERROR(VLOOKUP(Substitution!$M$12 &amp; $A3, US_national_yearly!$D:$AM, MATCH(L$1, US_national_yearly!$D$1:$AM$1, 0), FALSE) / VLOOKUP(Substitution!$M$12 &amp; $A3, US_national_yearly!$D:$AM, MATCH(Keys!$C$7, US_national_yearly!$D$1:$AM$1, 0), FALSE), 1)</f>
        <v>1.4880866241968873E-6</v>
      </c>
      <c r="M3" s="12">
        <f>$B3 * IFERROR(VLOOKUP(Substitution!$M$12 &amp; $A3, US_national_yearly!$D:$AM, MATCH(M$1, US_national_yearly!$D$1:$AM$1, 0), FALSE) / VLOOKUP(Substitution!$M$12 &amp; $A3, US_national_yearly!$D:$AM, MATCH(Keys!$C$7, US_national_yearly!$D$1:$AM$1, 0), FALSE), 1)</f>
        <v>1.4772682409716052E-6</v>
      </c>
      <c r="N3" s="12">
        <f>$B3 * IFERROR(VLOOKUP(Substitution!$M$12 &amp; $A3, US_national_yearly!$D:$AM, MATCH(N$1, US_national_yearly!$D$1:$AM$1, 0), FALSE) / VLOOKUP(Substitution!$M$12 &amp; $A3, US_national_yearly!$D:$AM, MATCH(Keys!$C$7, US_national_yearly!$D$1:$AM$1, 0), FALSE), 1)</f>
        <v>1.4700995041286967E-6</v>
      </c>
      <c r="O3" s="12">
        <f>$B3 * IFERROR(VLOOKUP(Substitution!$M$12 &amp; $A3, US_national_yearly!$D:$AM, MATCH(O$1, US_national_yearly!$D$1:$AM$1, 0), FALSE) / VLOOKUP(Substitution!$M$12 &amp; $A3, US_national_yearly!$D:$AM, MATCH(Keys!$C$7, US_national_yearly!$D$1:$AM$1, 0), FALSE), 1)</f>
        <v>1.462930767285788E-6</v>
      </c>
      <c r="P3" s="12">
        <f>$B3 * IFERROR(VLOOKUP(Substitution!$M$12 &amp; $A3, US_national_yearly!$D:$AM, MATCH(P$1, US_national_yearly!$D$1:$AM$1, 0), FALSE) / VLOOKUP(Substitution!$M$12 &amp; $A3, US_national_yearly!$D:$AM, MATCH(Keys!$C$7, US_national_yearly!$D$1:$AM$1, 0), FALSE), 1)</f>
        <v>1.4557620304428792E-6</v>
      </c>
      <c r="Q3" s="12">
        <f>$B3 * IFERROR(VLOOKUP(Substitution!$M$12 &amp; $A3, US_national_yearly!$D:$AM, MATCH(Q$1, US_national_yearly!$D$1:$AM$1, 0), FALSE) / VLOOKUP(Substitution!$M$12 &amp; $A3, US_national_yearly!$D:$AM, MATCH(Keys!$C$7, US_national_yearly!$D$1:$AM$1, 0), FALSE), 1)</f>
        <v>1.4485932935999707E-6</v>
      </c>
      <c r="R3" s="12">
        <f>$B3 * IFERROR(VLOOKUP(Substitution!$M$12 &amp; $A3, US_national_yearly!$D:$AM, MATCH(R$1, US_national_yearly!$D$1:$AM$1, 0), FALSE) / VLOOKUP(Substitution!$M$12 &amp; $A3, US_national_yearly!$D:$AM, MATCH(Keys!$C$7, US_national_yearly!$D$1:$AM$1, 0), FALSE), 1)</f>
        <v>1.441424556757062E-6</v>
      </c>
      <c r="S3" s="12">
        <f>$B3 * IFERROR(VLOOKUP(Substitution!$M$12 &amp; $A3, US_national_yearly!$D:$AM, MATCH(S$1, US_national_yearly!$D$1:$AM$1, 0), FALSE) / VLOOKUP(Substitution!$M$12 &amp; $A3, US_national_yearly!$D:$AM, MATCH(Keys!$C$7, US_national_yearly!$D$1:$AM$1, 0), FALSE), 1)</f>
        <v>1.432801024186704E-6</v>
      </c>
      <c r="T3" s="12">
        <f>$B3 * IFERROR(VLOOKUP(Substitution!$M$12 &amp; $A3, US_national_yearly!$D:$AM, MATCH(T$1, US_national_yearly!$D$1:$AM$1, 0), FALSE) / VLOOKUP(Substitution!$M$12 &amp; $A3, US_national_yearly!$D:$AM, MATCH(Keys!$C$7, US_national_yearly!$D$1:$AM$1, 0), FALSE), 1)</f>
        <v>1.4241774916163463E-6</v>
      </c>
      <c r="U3" s="12">
        <f>$B3 * IFERROR(VLOOKUP(Substitution!$M$12 &amp; $A3, US_national_yearly!$D:$AM, MATCH(U$1, US_national_yearly!$D$1:$AM$1, 0), FALSE) / VLOOKUP(Substitution!$M$12 &amp; $A3, US_national_yearly!$D:$AM, MATCH(Keys!$C$7, US_national_yearly!$D$1:$AM$1, 0), FALSE), 1)</f>
        <v>1.4155539590459884E-6</v>
      </c>
      <c r="V3" s="12">
        <f>$B3 * IFERROR(VLOOKUP(Substitution!$M$12 &amp; $A3, US_national_yearly!$D:$AM, MATCH(V$1, US_national_yearly!$D$1:$AM$1, 0), FALSE) / VLOOKUP(Substitution!$M$12 &amp; $A3, US_national_yearly!$D:$AM, MATCH(Keys!$C$7, US_national_yearly!$D$1:$AM$1, 0), FALSE), 1)</f>
        <v>1.4069304264756305E-6</v>
      </c>
      <c r="W3" s="12">
        <f>$B3 * IFERROR(VLOOKUP(Substitution!$M$12 &amp; $A3, US_national_yearly!$D:$AM, MATCH(W$1, US_national_yearly!$D$1:$AM$1, 0), FALSE) / VLOOKUP(Substitution!$M$12 &amp; $A3, US_national_yearly!$D:$AM, MATCH(Keys!$C$7, US_national_yearly!$D$1:$AM$1, 0), FALSE), 1)</f>
        <v>1.3983068939052727E-6</v>
      </c>
      <c r="X3" s="12">
        <f>$B3 * IFERROR(VLOOKUP(Substitution!$M$12 &amp; $A3, US_national_yearly!$D:$AM, MATCH(X$1, US_national_yearly!$D$1:$AM$1, 0), FALSE) / VLOOKUP(Substitution!$M$12 &amp; $A3, US_national_yearly!$D:$AM, MATCH(Keys!$C$7, US_national_yearly!$D$1:$AM$1, 0), FALSE), 1)</f>
        <v>1.3891824406438308E-6</v>
      </c>
      <c r="Y3" s="12">
        <f>$B3 * IFERROR(VLOOKUP(Substitution!$M$12 &amp; $A3, US_national_yearly!$D:$AM, MATCH(Y$1, US_national_yearly!$D$1:$AM$1, 0), FALSE) / VLOOKUP(Substitution!$M$12 &amp; $A3, US_national_yearly!$D:$AM, MATCH(Keys!$C$7, US_national_yearly!$D$1:$AM$1, 0), FALSE), 1)</f>
        <v>1.3800579873823891E-6</v>
      </c>
      <c r="Z3" s="12">
        <f>$B3 * IFERROR(VLOOKUP(Substitution!$M$12 &amp; $A3, US_national_yearly!$D:$AM, MATCH(Z$1, US_national_yearly!$D$1:$AM$1, 0), FALSE) / VLOOKUP(Substitution!$M$12 &amp; $A3, US_national_yearly!$D:$AM, MATCH(Keys!$C$7, US_national_yearly!$D$1:$AM$1, 0), FALSE), 1)</f>
        <v>1.370933534120947E-6</v>
      </c>
      <c r="AA3" s="12">
        <f>$B3 * IFERROR(VLOOKUP(Substitution!$M$12 &amp; $A3, US_national_yearly!$D:$AM, MATCH(AA$1, US_national_yearly!$D$1:$AM$1, 0), FALSE) / VLOOKUP(Substitution!$M$12 &amp; $A3, US_national_yearly!$D:$AM, MATCH(Keys!$C$7, US_national_yearly!$D$1:$AM$1, 0), FALSE), 1)</f>
        <v>1.361809080859505E-6</v>
      </c>
      <c r="AB3" s="12">
        <f>$B3 * IFERROR(VLOOKUP(Substitution!$M$12 &amp; $A3, US_national_yearly!$D:$AM, MATCH(AB$1, US_national_yearly!$D$1:$AM$1, 0), FALSE) / VLOOKUP(Substitution!$M$12 &amp; $A3, US_national_yearly!$D:$AM, MATCH(Keys!$C$7, US_national_yearly!$D$1:$AM$1, 0), FALSE), 1)</f>
        <v>1.3526846275980629E-6</v>
      </c>
    </row>
    <row r="4" spans="1:28" x14ac:dyDescent="0.25">
      <c r="A4" s="4" t="s">
        <v>295</v>
      </c>
      <c r="B4" s="12">
        <f>IFERROR(VLOOKUP(Substitution!$M$12 &amp; $A4, US_national_yearly!$D:$AM, MATCH(Keys!$C$7, US_national_yearly!$D$1:$AM$1, 0), FALSE), 0)</f>
        <v>0.53194308543096525</v>
      </c>
      <c r="C4" s="12">
        <f>$B4 * IFERROR(VLOOKUP(Substitution!$M$12 &amp; $A4, US_national_yearly!$D:$AM, MATCH(C$1, US_national_yearly!$D$1:$AM$1, 0), FALSE) / VLOOKUP(Substitution!$M$12 &amp; $A4, US_national_yearly!$D:$AM, MATCH(Keys!$C$7, US_national_yearly!$D$1:$AM$1, 0), FALSE), 1)</f>
        <v>0.53712659735871038</v>
      </c>
      <c r="D4" s="12">
        <f>$B4 * IFERROR(VLOOKUP(Substitution!$M$12 &amp; $A4, US_national_yearly!$D:$AM, MATCH(D$1, US_national_yearly!$D$1:$AM$1, 0), FALSE) / VLOOKUP(Substitution!$M$12 &amp; $A4, US_national_yearly!$D:$AM, MATCH(Keys!$C$7, US_national_yearly!$D$1:$AM$1, 0), FALSE), 1)</f>
        <v>0.54231010928645562</v>
      </c>
      <c r="E4" s="12">
        <f>$B4 * IFERROR(VLOOKUP(Substitution!$M$12 &amp; $A4, US_national_yearly!$D:$AM, MATCH(E$1, US_national_yearly!$D$1:$AM$1, 0), FALSE) / VLOOKUP(Substitution!$M$12 &amp; $A4, US_national_yearly!$D:$AM, MATCH(Keys!$C$7, US_national_yearly!$D$1:$AM$1, 0), FALSE), 1)</f>
        <v>0.54749362121420075</v>
      </c>
      <c r="F4" s="12">
        <f>$B4 * IFERROR(VLOOKUP(Substitution!$M$12 &amp; $A4, US_national_yearly!$D:$AM, MATCH(F$1, US_national_yearly!$D$1:$AM$1, 0), FALSE) / VLOOKUP(Substitution!$M$12 &amp; $A4, US_national_yearly!$D:$AM, MATCH(Keys!$C$7, US_national_yearly!$D$1:$AM$1, 0), FALSE), 1)</f>
        <v>0.55267713314194611</v>
      </c>
      <c r="G4" s="12">
        <f>$B4 * IFERROR(VLOOKUP(Substitution!$M$12 &amp; $A4, US_national_yearly!$D:$AM, MATCH(G$1, US_national_yearly!$D$1:$AM$1, 0), FALSE) / VLOOKUP(Substitution!$M$12 &amp; $A4, US_national_yearly!$D:$AM, MATCH(Keys!$C$7, US_national_yearly!$D$1:$AM$1, 0), FALSE), 1)</f>
        <v>0.55867472355408743</v>
      </c>
      <c r="H4" s="12">
        <f>$B4 * IFERROR(VLOOKUP(Substitution!$M$12 &amp; $A4, US_national_yearly!$D:$AM, MATCH(H$1, US_national_yearly!$D$1:$AM$1, 0), FALSE) / VLOOKUP(Substitution!$M$12 &amp; $A4, US_national_yearly!$D:$AM, MATCH(Keys!$C$7, US_national_yearly!$D$1:$AM$1, 0), FALSE), 1)</f>
        <v>0.56467231396622897</v>
      </c>
      <c r="I4" s="12">
        <f>$B4 * IFERROR(VLOOKUP(Substitution!$M$12 &amp; $A4, US_national_yearly!$D:$AM, MATCH(I$1, US_national_yearly!$D$1:$AM$1, 0), FALSE) / VLOOKUP(Substitution!$M$12 &amp; $A4, US_national_yearly!$D:$AM, MATCH(Keys!$C$7, US_national_yearly!$D$1:$AM$1, 0), FALSE), 1)</f>
        <v>0.5688062726519586</v>
      </c>
      <c r="J4" s="12">
        <f>$B4 * IFERROR(VLOOKUP(Substitution!$M$12 &amp; $A4, US_national_yearly!$D:$AM, MATCH(J$1, US_national_yearly!$D$1:$AM$1, 0), FALSE) / VLOOKUP(Substitution!$M$12 &amp; $A4, US_national_yearly!$D:$AM, MATCH(Keys!$C$7, US_national_yearly!$D$1:$AM$1, 0), FALSE), 1)</f>
        <v>0.57294023133768823</v>
      </c>
      <c r="K4" s="12">
        <f>$B4 * IFERROR(VLOOKUP(Substitution!$M$12 &amp; $A4, US_national_yearly!$D:$AM, MATCH(K$1, US_national_yearly!$D$1:$AM$1, 0), FALSE) / VLOOKUP(Substitution!$M$12 &amp; $A4, US_national_yearly!$D:$AM, MATCH(Keys!$C$7, US_national_yearly!$D$1:$AM$1, 0), FALSE), 1)</f>
        <v>0.57707419002341775</v>
      </c>
      <c r="L4" s="12">
        <f>$B4 * IFERROR(VLOOKUP(Substitution!$M$12 &amp; $A4, US_national_yearly!$D:$AM, MATCH(L$1, US_national_yearly!$D$1:$AM$1, 0), FALSE) / VLOOKUP(Substitution!$M$12 &amp; $A4, US_national_yearly!$D:$AM, MATCH(Keys!$C$7, US_national_yearly!$D$1:$AM$1, 0), FALSE), 1)</f>
        <v>0.58120814870914739</v>
      </c>
      <c r="M4" s="12">
        <f>$B4 * IFERROR(VLOOKUP(Substitution!$M$12 &amp; $A4, US_national_yearly!$D:$AM, MATCH(M$1, US_national_yearly!$D$1:$AM$1, 0), FALSE) / VLOOKUP(Substitution!$M$12 &amp; $A4, US_national_yearly!$D:$AM, MATCH(Keys!$C$7, US_national_yearly!$D$1:$AM$1, 0), FALSE), 1)</f>
        <v>0.58534210739487702</v>
      </c>
      <c r="N4" s="12">
        <f>$B4 * IFERROR(VLOOKUP(Substitution!$M$12 &amp; $A4, US_national_yearly!$D:$AM, MATCH(N$1, US_national_yearly!$D$1:$AM$1, 0), FALSE) / VLOOKUP(Substitution!$M$12 &amp; $A4, US_national_yearly!$D:$AM, MATCH(Keys!$C$7, US_national_yearly!$D$1:$AM$1, 0), FALSE), 1)</f>
        <v>0.58677505398928942</v>
      </c>
      <c r="O4" s="12">
        <f>$B4 * IFERROR(VLOOKUP(Substitution!$M$12 &amp; $A4, US_national_yearly!$D:$AM, MATCH(O$1, US_national_yearly!$D$1:$AM$1, 0), FALSE) / VLOOKUP(Substitution!$M$12 &amp; $A4, US_national_yearly!$D:$AM, MATCH(Keys!$C$7, US_national_yearly!$D$1:$AM$1, 0), FALSE), 1)</f>
        <v>0.58820800058370182</v>
      </c>
      <c r="P4" s="12">
        <f>$B4 * IFERROR(VLOOKUP(Substitution!$M$12 &amp; $A4, US_national_yearly!$D:$AM, MATCH(P$1, US_national_yearly!$D$1:$AM$1, 0), FALSE) / VLOOKUP(Substitution!$M$12 &amp; $A4, US_national_yearly!$D:$AM, MATCH(Keys!$C$7, US_national_yearly!$D$1:$AM$1, 0), FALSE), 1)</f>
        <v>0.58964094717811422</v>
      </c>
      <c r="Q4" s="12">
        <f>$B4 * IFERROR(VLOOKUP(Substitution!$M$12 &amp; $A4, US_national_yearly!$D:$AM, MATCH(Q$1, US_national_yearly!$D$1:$AM$1, 0), FALSE) / VLOOKUP(Substitution!$M$12 &amp; $A4, US_national_yearly!$D:$AM, MATCH(Keys!$C$7, US_national_yearly!$D$1:$AM$1, 0), FALSE), 1)</f>
        <v>0.59107389377252662</v>
      </c>
      <c r="R4" s="12">
        <f>$B4 * IFERROR(VLOOKUP(Substitution!$M$12 &amp; $A4, US_national_yearly!$D:$AM, MATCH(R$1, US_national_yearly!$D$1:$AM$1, 0), FALSE) / VLOOKUP(Substitution!$M$12 &amp; $A4, US_national_yearly!$D:$AM, MATCH(Keys!$C$7, US_national_yearly!$D$1:$AM$1, 0), FALSE), 1)</f>
        <v>0.59250684036693901</v>
      </c>
      <c r="S4" s="12">
        <f>$B4 * IFERROR(VLOOKUP(Substitution!$M$12 &amp; $A4, US_national_yearly!$D:$AM, MATCH(S$1, US_national_yearly!$D$1:$AM$1, 0), FALSE) / VLOOKUP(Substitution!$M$12 &amp; $A4, US_national_yearly!$D:$AM, MATCH(Keys!$C$7, US_national_yearly!$D$1:$AM$1, 0), FALSE), 1)</f>
        <v>0.59438585357628659</v>
      </c>
      <c r="T4" s="12">
        <f>$B4 * IFERROR(VLOOKUP(Substitution!$M$12 &amp; $A4, US_national_yearly!$D:$AM, MATCH(T$1, US_national_yearly!$D$1:$AM$1, 0), FALSE) / VLOOKUP(Substitution!$M$12 &amp; $A4, US_national_yearly!$D:$AM, MATCH(Keys!$C$7, US_national_yearly!$D$1:$AM$1, 0), FALSE), 1)</f>
        <v>0.59626486678563417</v>
      </c>
      <c r="U4" s="12">
        <f>$B4 * IFERROR(VLOOKUP(Substitution!$M$12 &amp; $A4, US_national_yearly!$D:$AM, MATCH(U$1, US_national_yearly!$D$1:$AM$1, 0), FALSE) / VLOOKUP(Substitution!$M$12 &amp; $A4, US_national_yearly!$D:$AM, MATCH(Keys!$C$7, US_national_yearly!$D$1:$AM$1, 0), FALSE), 1)</f>
        <v>0.59814387999498186</v>
      </c>
      <c r="V4" s="12">
        <f>$B4 * IFERROR(VLOOKUP(Substitution!$M$12 &amp; $A4, US_national_yearly!$D:$AM, MATCH(V$1, US_national_yearly!$D$1:$AM$1, 0), FALSE) / VLOOKUP(Substitution!$M$12 &amp; $A4, US_national_yearly!$D:$AM, MATCH(Keys!$C$7, US_national_yearly!$D$1:$AM$1, 0), FALSE), 1)</f>
        <v>0.60002289320432944</v>
      </c>
      <c r="W4" s="12">
        <f>$B4 * IFERROR(VLOOKUP(Substitution!$M$12 &amp; $A4, US_national_yearly!$D:$AM, MATCH(W$1, US_national_yearly!$D$1:$AM$1, 0), FALSE) / VLOOKUP(Substitution!$M$12 &amp; $A4, US_national_yearly!$D:$AM, MATCH(Keys!$C$7, US_national_yearly!$D$1:$AM$1, 0), FALSE), 1)</f>
        <v>0.60190190641367702</v>
      </c>
      <c r="X4" s="12">
        <f>$B4 * IFERROR(VLOOKUP(Substitution!$M$12 &amp; $A4, US_national_yearly!$D:$AM, MATCH(X$1, US_national_yearly!$D$1:$AM$1, 0), FALSE) / VLOOKUP(Substitution!$M$12 &amp; $A4, US_national_yearly!$D:$AM, MATCH(Keys!$C$7, US_national_yearly!$D$1:$AM$1, 0), FALSE), 1)</f>
        <v>0.60401727864546539</v>
      </c>
      <c r="Y4" s="12">
        <f>$B4 * IFERROR(VLOOKUP(Substitution!$M$12 &amp; $A4, US_national_yearly!$D:$AM, MATCH(Y$1, US_national_yearly!$D$1:$AM$1, 0), FALSE) / VLOOKUP(Substitution!$M$12 &amp; $A4, US_national_yearly!$D:$AM, MATCH(Keys!$C$7, US_national_yearly!$D$1:$AM$1, 0), FALSE), 1)</f>
        <v>0.60613265087725376</v>
      </c>
      <c r="Z4" s="12">
        <f>$B4 * IFERROR(VLOOKUP(Substitution!$M$12 &amp; $A4, US_national_yearly!$D:$AM, MATCH(Z$1, US_national_yearly!$D$1:$AM$1, 0), FALSE) / VLOOKUP(Substitution!$M$12 &amp; $A4, US_national_yearly!$D:$AM, MATCH(Keys!$C$7, US_national_yearly!$D$1:$AM$1, 0), FALSE), 1)</f>
        <v>0.60824802310904225</v>
      </c>
      <c r="AA4" s="12">
        <f>$B4 * IFERROR(VLOOKUP(Substitution!$M$12 &amp; $A4, US_national_yearly!$D:$AM, MATCH(AA$1, US_national_yearly!$D$1:$AM$1, 0), FALSE) / VLOOKUP(Substitution!$M$12 &amp; $A4, US_national_yearly!$D:$AM, MATCH(Keys!$C$7, US_national_yearly!$D$1:$AM$1, 0), FALSE), 1)</f>
        <v>0.61036339534083062</v>
      </c>
      <c r="AB4" s="12">
        <f>$B4 * IFERROR(VLOOKUP(Substitution!$M$12 &amp; $A4, US_national_yearly!$D:$AM, MATCH(AB$1, US_national_yearly!$D$1:$AM$1, 0), FALSE) / VLOOKUP(Substitution!$M$12 &amp; $A4, US_national_yearly!$D:$AM, MATCH(Keys!$C$7, US_national_yearly!$D$1:$AM$1, 0), FALSE), 1)</f>
        <v>0.61247876757261899</v>
      </c>
    </row>
    <row r="5" spans="1:28" x14ac:dyDescent="0.25">
      <c r="A5" s="4" t="s">
        <v>297</v>
      </c>
      <c r="B5" s="12">
        <f>IFERROR(VLOOKUP(Substitution!$M$12 &amp; $A5, US_national_yearly!$D:$AM, MATCH(Keys!$C$7, US_national_yearly!$D$1:$AM$1, 0), FALSE), 0)</f>
        <v>0.87537827526935286</v>
      </c>
      <c r="C5" s="12">
        <f>$B5 * IFERROR(VLOOKUP(Substitution!$M$12 &amp; $A5, US_national_yearly!$D:$AM, MATCH(C$1, US_national_yearly!$D$1:$AM$1, 0), FALSE) / VLOOKUP(Substitution!$M$12 &amp; $A5, US_national_yearly!$D:$AM, MATCH(Keys!$C$7, US_national_yearly!$D$1:$AM$1, 0), FALSE), 1)</f>
        <v>0.88735806539449968</v>
      </c>
      <c r="D5" s="12">
        <f>$B5 * IFERROR(VLOOKUP(Substitution!$M$12 &amp; $A5, US_national_yearly!$D:$AM, MATCH(D$1, US_national_yearly!$D$1:$AM$1, 0), FALSE) / VLOOKUP(Substitution!$M$12 &amp; $A5, US_national_yearly!$D:$AM, MATCH(Keys!$C$7, US_national_yearly!$D$1:$AM$1, 0), FALSE), 1)</f>
        <v>0.89933785551964651</v>
      </c>
      <c r="E5" s="12">
        <f>$B5 * IFERROR(VLOOKUP(Substitution!$M$12 &amp; $A5, US_national_yearly!$D:$AM, MATCH(E$1, US_national_yearly!$D$1:$AM$1, 0), FALSE) / VLOOKUP(Substitution!$M$12 &amp; $A5, US_national_yearly!$D:$AM, MATCH(Keys!$C$7, US_national_yearly!$D$1:$AM$1, 0), FALSE), 1)</f>
        <v>0.91131764564479312</v>
      </c>
      <c r="F5" s="12">
        <f>$B5 * IFERROR(VLOOKUP(Substitution!$M$12 &amp; $A5, US_national_yearly!$D:$AM, MATCH(F$1, US_national_yearly!$D$1:$AM$1, 0), FALSE) / VLOOKUP(Substitution!$M$12 &amp; $A5, US_national_yearly!$D:$AM, MATCH(Keys!$C$7, US_national_yearly!$D$1:$AM$1, 0), FALSE), 1)</f>
        <v>0.92329743576993983</v>
      </c>
      <c r="G5" s="12">
        <f>$B5 * IFERROR(VLOOKUP(Substitution!$M$12 &amp; $A5, US_national_yearly!$D:$AM, MATCH(G$1, US_national_yearly!$D$1:$AM$1, 0), FALSE) / VLOOKUP(Substitution!$M$12 &amp; $A5, US_national_yearly!$D:$AM, MATCH(Keys!$C$7, US_national_yearly!$D$1:$AM$1, 0), FALSE), 1)</f>
        <v>0.9328715328418461</v>
      </c>
      <c r="H5" s="12">
        <f>$B5 * IFERROR(VLOOKUP(Substitution!$M$12 &amp; $A5, US_national_yearly!$D:$AM, MATCH(H$1, US_national_yearly!$D$1:$AM$1, 0), FALSE) / VLOOKUP(Substitution!$M$12 &amp; $A5, US_national_yearly!$D:$AM, MATCH(Keys!$C$7, US_national_yearly!$D$1:$AM$1, 0), FALSE), 1)</f>
        <v>0.94244562991375203</v>
      </c>
      <c r="I5" s="12">
        <f>$B5 * IFERROR(VLOOKUP(Substitution!$M$12 &amp; $A5, US_national_yearly!$D:$AM, MATCH(I$1, US_national_yearly!$D$1:$AM$1, 0), FALSE) / VLOOKUP(Substitution!$M$12 &amp; $A5, US_national_yearly!$D:$AM, MATCH(Keys!$C$7, US_national_yearly!$D$1:$AM$1, 0), FALSE), 1)</f>
        <v>0.94575894212868261</v>
      </c>
      <c r="J5" s="12">
        <f>$B5 * IFERROR(VLOOKUP(Substitution!$M$12 &amp; $A5, US_national_yearly!$D:$AM, MATCH(J$1, US_national_yearly!$D$1:$AM$1, 0), FALSE) / VLOOKUP(Substitution!$M$12 &amp; $A5, US_national_yearly!$D:$AM, MATCH(Keys!$C$7, US_national_yearly!$D$1:$AM$1, 0), FALSE), 1)</f>
        <v>0.9490722543436132</v>
      </c>
      <c r="K5" s="12">
        <f>$B5 * IFERROR(VLOOKUP(Substitution!$M$12 &amp; $A5, US_national_yearly!$D:$AM, MATCH(K$1, US_national_yearly!$D$1:$AM$1, 0), FALSE) / VLOOKUP(Substitution!$M$12 &amp; $A5, US_national_yearly!$D:$AM, MATCH(Keys!$C$7, US_national_yearly!$D$1:$AM$1, 0), FALSE), 1)</f>
        <v>0.95238556655854378</v>
      </c>
      <c r="L5" s="12">
        <f>$B5 * IFERROR(VLOOKUP(Substitution!$M$12 &amp; $A5, US_national_yearly!$D:$AM, MATCH(L$1, US_national_yearly!$D$1:$AM$1, 0), FALSE) / VLOOKUP(Substitution!$M$12 &amp; $A5, US_national_yearly!$D:$AM, MATCH(Keys!$C$7, US_national_yearly!$D$1:$AM$1, 0), FALSE), 1)</f>
        <v>0.95569887877347437</v>
      </c>
      <c r="M5" s="12">
        <f>$B5 * IFERROR(VLOOKUP(Substitution!$M$12 &amp; $A5, US_national_yearly!$D:$AM, MATCH(M$1, US_national_yearly!$D$1:$AM$1, 0), FALSE) / VLOOKUP(Substitution!$M$12 &amp; $A5, US_national_yearly!$D:$AM, MATCH(Keys!$C$7, US_national_yearly!$D$1:$AM$1, 0), FALSE), 1)</f>
        <v>0.95901219098840496</v>
      </c>
      <c r="N5" s="12">
        <f>$B5 * IFERROR(VLOOKUP(Substitution!$M$12 &amp; $A5, US_national_yearly!$D:$AM, MATCH(N$1, US_national_yearly!$D$1:$AM$1, 0), FALSE) / VLOOKUP(Substitution!$M$12 &amp; $A5, US_national_yearly!$D:$AM, MATCH(Keys!$C$7, US_national_yearly!$D$1:$AM$1, 0), FALSE), 1)</f>
        <v>0.96284341469099222</v>
      </c>
      <c r="O5" s="12">
        <f>$B5 * IFERROR(VLOOKUP(Substitution!$M$12 &amp; $A5, US_national_yearly!$D:$AM, MATCH(O$1, US_national_yearly!$D$1:$AM$1, 0), FALSE) / VLOOKUP(Substitution!$M$12 &amp; $A5, US_national_yearly!$D:$AM, MATCH(Keys!$C$7, US_national_yearly!$D$1:$AM$1, 0), FALSE), 1)</f>
        <v>0.96667463839357937</v>
      </c>
      <c r="P5" s="12">
        <f>$B5 * IFERROR(VLOOKUP(Substitution!$M$12 &amp; $A5, US_national_yearly!$D:$AM, MATCH(P$1, US_national_yearly!$D$1:$AM$1, 0), FALSE) / VLOOKUP(Substitution!$M$12 &amp; $A5, US_national_yearly!$D:$AM, MATCH(Keys!$C$7, US_national_yearly!$D$1:$AM$1, 0), FALSE), 1)</f>
        <v>0.97050586209616652</v>
      </c>
      <c r="Q5" s="12">
        <f>$B5 * IFERROR(VLOOKUP(Substitution!$M$12 &amp; $A5, US_national_yearly!$D:$AM, MATCH(Q$1, US_national_yearly!$D$1:$AM$1, 0), FALSE) / VLOOKUP(Substitution!$M$12 &amp; $A5, US_national_yearly!$D:$AM, MATCH(Keys!$C$7, US_national_yearly!$D$1:$AM$1, 0), FALSE), 1)</f>
        <v>0.97433708579875367</v>
      </c>
      <c r="R5" s="12">
        <f>$B5 * IFERROR(VLOOKUP(Substitution!$M$12 &amp; $A5, US_national_yearly!$D:$AM, MATCH(R$1, US_national_yearly!$D$1:$AM$1, 0), FALSE) / VLOOKUP(Substitution!$M$12 &amp; $A5, US_national_yearly!$D:$AM, MATCH(Keys!$C$7, US_national_yearly!$D$1:$AM$1, 0), FALSE), 1)</f>
        <v>0.97816830950134104</v>
      </c>
      <c r="S5" s="12">
        <f>$B5 * IFERROR(VLOOKUP(Substitution!$M$12 &amp; $A5, US_national_yearly!$D:$AM, MATCH(S$1, US_national_yearly!$D$1:$AM$1, 0), FALSE) / VLOOKUP(Substitution!$M$12 &amp; $A5, US_national_yearly!$D:$AM, MATCH(Keys!$C$7, US_national_yearly!$D$1:$AM$1, 0), FALSE), 1)</f>
        <v>0.98317196886004687</v>
      </c>
      <c r="T5" s="12">
        <f>$B5 * IFERROR(VLOOKUP(Substitution!$M$12 &amp; $A5, US_national_yearly!$D:$AM, MATCH(T$1, US_national_yearly!$D$1:$AM$1, 0), FALSE) / VLOOKUP(Substitution!$M$12 &amp; $A5, US_national_yearly!$D:$AM, MATCH(Keys!$C$7, US_national_yearly!$D$1:$AM$1, 0), FALSE), 1)</f>
        <v>0.98817562821875271</v>
      </c>
      <c r="U5" s="12">
        <f>$B5 * IFERROR(VLOOKUP(Substitution!$M$12 &amp; $A5, US_national_yearly!$D:$AM, MATCH(U$1, US_national_yearly!$D$1:$AM$1, 0), FALSE) / VLOOKUP(Substitution!$M$12 &amp; $A5, US_national_yearly!$D:$AM, MATCH(Keys!$C$7, US_national_yearly!$D$1:$AM$1, 0), FALSE), 1)</f>
        <v>0.99317928757745844</v>
      </c>
      <c r="V5" s="12">
        <f>$B5 * IFERROR(VLOOKUP(Substitution!$M$12 &amp; $A5, US_national_yearly!$D:$AM, MATCH(V$1, US_national_yearly!$D$1:$AM$1, 0), FALSE) / VLOOKUP(Substitution!$M$12 &amp; $A5, US_national_yearly!$D:$AM, MATCH(Keys!$C$7, US_national_yearly!$D$1:$AM$1, 0), FALSE), 1)</f>
        <v>0.99818294693616416</v>
      </c>
      <c r="W5" s="12">
        <f>$B5 * IFERROR(VLOOKUP(Substitution!$M$12 &amp; $A5, US_national_yearly!$D:$AM, MATCH(W$1, US_national_yearly!$D$1:$AM$1, 0), FALSE) / VLOOKUP(Substitution!$M$12 &amp; $A5, US_national_yearly!$D:$AM, MATCH(Keys!$C$7, US_national_yearly!$D$1:$AM$1, 0), FALSE), 1)</f>
        <v>1.00318660629487</v>
      </c>
      <c r="X5" s="12">
        <f>$B5 * IFERROR(VLOOKUP(Substitution!$M$12 &amp; $A5, US_national_yearly!$D:$AM, MATCH(X$1, US_national_yearly!$D$1:$AM$1, 0), FALSE) / VLOOKUP(Substitution!$M$12 &amp; $A5, US_national_yearly!$D:$AM, MATCH(Keys!$C$7, US_national_yearly!$D$1:$AM$1, 0), FALSE), 1)</f>
        <v>1.0078356943536879</v>
      </c>
      <c r="Y5" s="12">
        <f>$B5 * IFERROR(VLOOKUP(Substitution!$M$12 &amp; $A5, US_national_yearly!$D:$AM, MATCH(Y$1, US_national_yearly!$D$1:$AM$1, 0), FALSE) / VLOOKUP(Substitution!$M$12 &amp; $A5, US_national_yearly!$D:$AM, MATCH(Keys!$C$7, US_national_yearly!$D$1:$AM$1, 0), FALSE), 1)</f>
        <v>1.0124847824125061</v>
      </c>
      <c r="Z5" s="12">
        <f>$B5 * IFERROR(VLOOKUP(Substitution!$M$12 &amp; $A5, US_national_yearly!$D:$AM, MATCH(Z$1, US_national_yearly!$D$1:$AM$1, 0), FALSE) / VLOOKUP(Substitution!$M$12 &amp; $A5, US_national_yearly!$D:$AM, MATCH(Keys!$C$7, US_national_yearly!$D$1:$AM$1, 0), FALSE), 1)</f>
        <v>1.017133870471324</v>
      </c>
      <c r="AA5" s="12">
        <f>$B5 * IFERROR(VLOOKUP(Substitution!$M$12 &amp; $A5, US_national_yearly!$D:$AM, MATCH(AA$1, US_national_yearly!$D$1:$AM$1, 0), FALSE) / VLOOKUP(Substitution!$M$12 &amp; $A5, US_national_yearly!$D:$AM, MATCH(Keys!$C$7, US_national_yearly!$D$1:$AM$1, 0), FALSE), 1)</f>
        <v>1.0217829585301419</v>
      </c>
      <c r="AB5" s="12">
        <f>$B5 * IFERROR(VLOOKUP(Substitution!$M$12 &amp; $A5, US_national_yearly!$D:$AM, MATCH(AB$1, US_national_yearly!$D$1:$AM$1, 0), FALSE) / VLOOKUP(Substitution!$M$12 &amp; $A5, US_national_yearly!$D:$AM, MATCH(Keys!$C$7, US_national_yearly!$D$1:$AM$1, 0), FALSE), 1)</f>
        <v>1.02643204658896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Substitution!$G$12)/IFERROR(SUMIFS(COBRA_aggregated!$W:$W, COBRA_aggregated!$A:$A, About!$B$1, COBRA_aggregated!$B:$B, Substitution!$G$12), 1)</f>
        <v>4.6460968775876802E-3</v>
      </c>
      <c r="C6" s="12">
        <f>$B6 * IFERROR(VLOOKUP(Substitution!$M$12 &amp; $A6, US_national_yearly!$D:$AM, MATCH(C$1, US_national_yearly!$D$1:$AM$1, 0), FALSE) / VLOOKUP(Substitution!$M$12 &amp; $A6, US_national_yearly!$D:$AM, MATCH(Keys!$C$7, US_national_yearly!$D$1:$AM$1, 0), FALSE), 1)</f>
        <v>4.7096799788683523E-3</v>
      </c>
      <c r="D6" s="12">
        <f>$B6 * IFERROR(VLOOKUP(Substitution!$M$12 &amp; $A6, US_national_yearly!$D:$AM, MATCH(D$1, US_national_yearly!$D$1:$AM$1, 0), FALSE) / VLOOKUP(Substitution!$M$12 &amp; $A6, US_national_yearly!$D:$AM, MATCH(Keys!$C$7, US_national_yearly!$D$1:$AM$1, 0), FALSE), 1)</f>
        <v>4.7732630801490261E-3</v>
      </c>
      <c r="E6" s="12">
        <f>$B6 * IFERROR(VLOOKUP(Substitution!$M$12 &amp; $A6, US_national_yearly!$D:$AM, MATCH(E$1, US_national_yearly!$D$1:$AM$1, 0), FALSE) / VLOOKUP(Substitution!$M$12 &amp; $A6, US_national_yearly!$D:$AM, MATCH(Keys!$C$7, US_national_yearly!$D$1:$AM$1, 0), FALSE), 1)</f>
        <v>4.8368461814296982E-3</v>
      </c>
      <c r="F6" s="12">
        <f>$B6 * IFERROR(VLOOKUP(Substitution!$M$12 &amp; $A6, US_national_yearly!$D:$AM, MATCH(F$1, US_national_yearly!$D$1:$AM$1, 0), FALSE) / VLOOKUP(Substitution!$M$12 &amp; $A6, US_national_yearly!$D:$AM, MATCH(Keys!$C$7, US_national_yearly!$D$1:$AM$1, 0), FALSE), 1)</f>
        <v>4.9004292827103712E-3</v>
      </c>
      <c r="G6" s="12">
        <f>$B6 * IFERROR(VLOOKUP(Substitution!$M$12 &amp; $A6, US_national_yearly!$D:$AM, MATCH(G$1, US_national_yearly!$D$1:$AM$1, 0), FALSE) / VLOOKUP(Substitution!$M$12 &amp; $A6, US_national_yearly!$D:$AM, MATCH(Keys!$C$7, US_national_yearly!$D$1:$AM$1, 0), FALSE), 1)</f>
        <v>4.9512440948106485E-3</v>
      </c>
      <c r="H6" s="12">
        <f>$B6 * IFERROR(VLOOKUP(Substitution!$M$12 &amp; $A6, US_national_yearly!$D:$AM, MATCH(H$1, US_national_yearly!$D$1:$AM$1, 0), FALSE) / VLOOKUP(Substitution!$M$12 &amp; $A6, US_national_yearly!$D:$AM, MATCH(Keys!$C$7, US_national_yearly!$D$1:$AM$1, 0), FALSE), 1)</f>
        <v>5.0020589069109259E-3</v>
      </c>
      <c r="I6" s="12">
        <f>$B6 * IFERROR(VLOOKUP(Substitution!$M$12 &amp; $A6, US_national_yearly!$D:$AM, MATCH(I$1, US_national_yearly!$D$1:$AM$1, 0), FALSE) / VLOOKUP(Substitution!$M$12 &amp; $A6, US_national_yearly!$D:$AM, MATCH(Keys!$C$7, US_national_yearly!$D$1:$AM$1, 0), FALSE), 1)</f>
        <v>5.0196444125706514E-3</v>
      </c>
      <c r="J6" s="12">
        <f>$B6 * IFERROR(VLOOKUP(Substitution!$M$12 &amp; $A6, US_national_yearly!$D:$AM, MATCH(J$1, US_national_yearly!$D$1:$AM$1, 0), FALSE) / VLOOKUP(Substitution!$M$12 &amp; $A6, US_national_yearly!$D:$AM, MATCH(Keys!$C$7, US_national_yearly!$D$1:$AM$1, 0), FALSE), 1)</f>
        <v>5.0372299182303779E-3</v>
      </c>
      <c r="K6" s="12">
        <f>$B6 * IFERROR(VLOOKUP(Substitution!$M$12 &amp; $A6, US_national_yearly!$D:$AM, MATCH(K$1, US_national_yearly!$D$1:$AM$1, 0), FALSE) / VLOOKUP(Substitution!$M$12 &amp; $A6, US_national_yearly!$D:$AM, MATCH(Keys!$C$7, US_national_yearly!$D$1:$AM$1, 0), FALSE), 1)</f>
        <v>5.0548154238901034E-3</v>
      </c>
      <c r="L6" s="12">
        <f>$B6 * IFERROR(VLOOKUP(Substitution!$M$12 &amp; $A6, US_national_yearly!$D:$AM, MATCH(L$1, US_national_yearly!$D$1:$AM$1, 0), FALSE) / VLOOKUP(Substitution!$M$12 &amp; $A6, US_national_yearly!$D:$AM, MATCH(Keys!$C$7, US_national_yearly!$D$1:$AM$1, 0), FALSE), 1)</f>
        <v>5.0724009295498289E-3</v>
      </c>
      <c r="M6" s="12">
        <f>$B6 * IFERROR(VLOOKUP(Substitution!$M$12 &amp; $A6, US_national_yearly!$D:$AM, MATCH(M$1, US_national_yearly!$D$1:$AM$1, 0), FALSE) / VLOOKUP(Substitution!$M$12 &amp; $A6, US_national_yearly!$D:$AM, MATCH(Keys!$C$7, US_national_yearly!$D$1:$AM$1, 0), FALSE), 1)</f>
        <v>5.0899864352095545E-3</v>
      </c>
      <c r="N6" s="12">
        <f>$B6 * IFERROR(VLOOKUP(Substitution!$M$12 &amp; $A6, US_national_yearly!$D:$AM, MATCH(N$1, US_national_yearly!$D$1:$AM$1, 0), FALSE) / VLOOKUP(Substitution!$M$12 &amp; $A6, US_national_yearly!$D:$AM, MATCH(Keys!$C$7, US_national_yearly!$D$1:$AM$1, 0), FALSE), 1)</f>
        <v>5.1103207718564527E-3</v>
      </c>
      <c r="O6" s="12">
        <f>$B6 * IFERROR(VLOOKUP(Substitution!$M$12 &amp; $A6, US_national_yearly!$D:$AM, MATCH(O$1, US_national_yearly!$D$1:$AM$1, 0), FALSE) / VLOOKUP(Substitution!$M$12 &amp; $A6, US_national_yearly!$D:$AM, MATCH(Keys!$C$7, US_national_yearly!$D$1:$AM$1, 0), FALSE), 1)</f>
        <v>5.1306551085033491E-3</v>
      </c>
      <c r="P6" s="12">
        <f>$B6 * IFERROR(VLOOKUP(Substitution!$M$12 &amp; $A6, US_national_yearly!$D:$AM, MATCH(P$1, US_national_yearly!$D$1:$AM$1, 0), FALSE) / VLOOKUP(Substitution!$M$12 &amp; $A6, US_national_yearly!$D:$AM, MATCH(Keys!$C$7, US_national_yearly!$D$1:$AM$1, 0), FALSE), 1)</f>
        <v>5.1509894451502464E-3</v>
      </c>
      <c r="Q6" s="12">
        <f>$B6 * IFERROR(VLOOKUP(Substitution!$M$12 &amp; $A6, US_national_yearly!$D:$AM, MATCH(Q$1, US_national_yearly!$D$1:$AM$1, 0), FALSE) / VLOOKUP(Substitution!$M$12 &amp; $A6, US_national_yearly!$D:$AM, MATCH(Keys!$C$7, US_national_yearly!$D$1:$AM$1, 0), FALSE), 1)</f>
        <v>5.1713237817971446E-3</v>
      </c>
      <c r="R6" s="12">
        <f>$B6 * IFERROR(VLOOKUP(Substitution!$M$12 &amp; $A6, US_national_yearly!$D:$AM, MATCH(R$1, US_national_yearly!$D$1:$AM$1, 0), FALSE) / VLOOKUP(Substitution!$M$12 &amp; $A6, US_national_yearly!$D:$AM, MATCH(Keys!$C$7, US_national_yearly!$D$1:$AM$1, 0), FALSE), 1)</f>
        <v>5.1916581184440411E-3</v>
      </c>
      <c r="S6" s="12">
        <f>$B6 * IFERROR(VLOOKUP(Substitution!$M$12 &amp; $A6, US_national_yearly!$D:$AM, MATCH(S$1, US_national_yearly!$D$1:$AM$1, 0), FALSE) / VLOOKUP(Substitution!$M$12 &amp; $A6, US_national_yearly!$D:$AM, MATCH(Keys!$C$7, US_national_yearly!$D$1:$AM$1, 0), FALSE), 1)</f>
        <v>5.2182151930451346E-3</v>
      </c>
      <c r="T6" s="12">
        <f>$B6 * IFERROR(VLOOKUP(Substitution!$M$12 &amp; $A6, US_national_yearly!$D:$AM, MATCH(T$1, US_national_yearly!$D$1:$AM$1, 0), FALSE) / VLOOKUP(Substitution!$M$12 &amp; $A6, US_national_yearly!$D:$AM, MATCH(Keys!$C$7, US_national_yearly!$D$1:$AM$1, 0), FALSE), 1)</f>
        <v>5.2447722676462272E-3</v>
      </c>
      <c r="U6" s="12">
        <f>$B6 * IFERROR(VLOOKUP(Substitution!$M$12 &amp; $A6, US_national_yearly!$D:$AM, MATCH(U$1, US_national_yearly!$D$1:$AM$1, 0), FALSE) / VLOOKUP(Substitution!$M$12 &amp; $A6, US_national_yearly!$D:$AM, MATCH(Keys!$C$7, US_national_yearly!$D$1:$AM$1, 0), FALSE), 1)</f>
        <v>5.2713293422473198E-3</v>
      </c>
      <c r="V6" s="12">
        <f>$B6 * IFERROR(VLOOKUP(Substitution!$M$12 &amp; $A6, US_national_yearly!$D:$AM, MATCH(V$1, US_national_yearly!$D$1:$AM$1, 0), FALSE) / VLOOKUP(Substitution!$M$12 &amp; $A6, US_national_yearly!$D:$AM, MATCH(Keys!$C$7, US_national_yearly!$D$1:$AM$1, 0), FALSE), 1)</f>
        <v>5.2978864168484142E-3</v>
      </c>
      <c r="W6" s="12">
        <f>$B6 * IFERROR(VLOOKUP(Substitution!$M$12 &amp; $A6, US_national_yearly!$D:$AM, MATCH(W$1, US_national_yearly!$D$1:$AM$1, 0), FALSE) / VLOOKUP(Substitution!$M$12 &amp; $A6, US_national_yearly!$D:$AM, MATCH(Keys!$C$7, US_national_yearly!$D$1:$AM$1, 0), FALSE), 1)</f>
        <v>5.3244434914495068E-3</v>
      </c>
      <c r="X6" s="12">
        <f>$B6 * IFERROR(VLOOKUP(Substitution!$M$12 &amp; $A6, US_national_yearly!$D:$AM, MATCH(X$1, US_national_yearly!$D$1:$AM$1, 0), FALSE) / VLOOKUP(Substitution!$M$12 &amp; $A6, US_national_yearly!$D:$AM, MATCH(Keys!$C$7, US_national_yearly!$D$1:$AM$1, 0), FALSE), 1)</f>
        <v>5.3491186680781413E-3</v>
      </c>
      <c r="Y6" s="12">
        <f>$B6 * IFERROR(VLOOKUP(Substitution!$M$12 &amp; $A6, US_national_yearly!$D:$AM, MATCH(Y$1, US_national_yearly!$D$1:$AM$1, 0), FALSE) / VLOOKUP(Substitution!$M$12 &amp; $A6, US_national_yearly!$D:$AM, MATCH(Keys!$C$7, US_national_yearly!$D$1:$AM$1, 0), FALSE), 1)</f>
        <v>5.3737938447067767E-3</v>
      </c>
      <c r="Z6" s="12">
        <f>$B6 * IFERROR(VLOOKUP(Substitution!$M$12 &amp; $A6, US_national_yearly!$D:$AM, MATCH(Z$1, US_national_yearly!$D$1:$AM$1, 0), FALSE) / VLOOKUP(Substitution!$M$12 &amp; $A6, US_national_yearly!$D:$AM, MATCH(Keys!$C$7, US_national_yearly!$D$1:$AM$1, 0), FALSE), 1)</f>
        <v>5.398469021335413E-3</v>
      </c>
      <c r="AA6" s="12">
        <f>$B6 * IFERROR(VLOOKUP(Substitution!$M$12 &amp; $A6, US_national_yearly!$D:$AM, MATCH(AA$1, US_national_yearly!$D$1:$AM$1, 0), FALSE) / VLOOKUP(Substitution!$M$12 &amp; $A6, US_national_yearly!$D:$AM, MATCH(Keys!$C$7, US_national_yearly!$D$1:$AM$1, 0), FALSE), 1)</f>
        <v>5.4231441979640483E-3</v>
      </c>
      <c r="AB6" s="12">
        <f>$B6 * IFERROR(VLOOKUP(Substitution!$M$12 &amp; $A6, US_national_yearly!$D:$AM, MATCH(AB$1, US_national_yearly!$D$1:$AM$1, 0), FALSE) / VLOOKUP(Substitution!$M$12 &amp; $A6, US_national_yearly!$D:$AM, MATCH(Keys!$C$7, US_national_yearly!$D$1:$AM$1, 0), FALSE), 1)</f>
        <v>5.4478193745926846E-3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Substitution!$G$12)/IFERROR(SUMIFS(COBRA_aggregated!$W:$W, COBRA_aggregated!$A:$A, About!$B$1, COBRA_aggregated!$B:$B, Substitution!$G$12), 1)</f>
        <v>6.2565678632236178E-3</v>
      </c>
      <c r="C7" s="12">
        <f>$B7 * IFERROR(VLOOKUP(Substitution!$M$12 &amp; $A7, US_national_yearly!$D:$AM, MATCH(C$1, US_national_yearly!$D$1:$AM$1, 0), FALSE) / VLOOKUP(Substitution!$M$12 &amp; $A7, US_national_yearly!$D:$AM, MATCH(Keys!$C$7, US_national_yearly!$D$1:$AM$1, 0), FALSE), 1)</f>
        <v>6.3421906984357547E-3</v>
      </c>
      <c r="D7" s="12">
        <f>$B7 * IFERROR(VLOOKUP(Substitution!$M$12 &amp; $A7, US_national_yearly!$D:$AM, MATCH(D$1, US_national_yearly!$D$1:$AM$1, 0), FALSE) / VLOOKUP(Substitution!$M$12 &amp; $A7, US_national_yearly!$D:$AM, MATCH(Keys!$C$7, US_national_yearly!$D$1:$AM$1, 0), FALSE), 1)</f>
        <v>6.4278135336478916E-3</v>
      </c>
      <c r="E7" s="12">
        <f>$B7 * IFERROR(VLOOKUP(Substitution!$M$12 &amp; $A7, US_national_yearly!$D:$AM, MATCH(E$1, US_national_yearly!$D$1:$AM$1, 0), FALSE) / VLOOKUP(Substitution!$M$12 &amp; $A7, US_national_yearly!$D:$AM, MATCH(Keys!$C$7, US_national_yearly!$D$1:$AM$1, 0), FALSE), 1)</f>
        <v>6.5134363688600285E-3</v>
      </c>
      <c r="F7" s="12">
        <f>$B7 * IFERROR(VLOOKUP(Substitution!$M$12 &amp; $A7, US_national_yearly!$D:$AM, MATCH(F$1, US_national_yearly!$D$1:$AM$1, 0), FALSE) / VLOOKUP(Substitution!$M$12 &amp; $A7, US_national_yearly!$D:$AM, MATCH(Keys!$C$7, US_national_yearly!$D$1:$AM$1, 0), FALSE), 1)</f>
        <v>6.5990592040721654E-3</v>
      </c>
      <c r="G7" s="12">
        <f>$B7 * IFERROR(VLOOKUP(Substitution!$M$12 &amp; $A7, US_national_yearly!$D:$AM, MATCH(G$1, US_national_yearly!$D$1:$AM$1, 0), FALSE) / VLOOKUP(Substitution!$M$12 &amp; $A7, US_national_yearly!$D:$AM, MATCH(Keys!$C$7, US_national_yearly!$D$1:$AM$1, 0), FALSE), 1)</f>
        <v>6.6674878932462094E-3</v>
      </c>
      <c r="H7" s="12">
        <f>$B7 * IFERROR(VLOOKUP(Substitution!$M$12 &amp; $A7, US_national_yearly!$D:$AM, MATCH(H$1, US_national_yearly!$D$1:$AM$1, 0), FALSE) / VLOOKUP(Substitution!$M$12 &amp; $A7, US_national_yearly!$D:$AM, MATCH(Keys!$C$7, US_national_yearly!$D$1:$AM$1, 0), FALSE), 1)</f>
        <v>6.7359165824202533E-3</v>
      </c>
      <c r="I7" s="12">
        <f>$B7 * IFERROR(VLOOKUP(Substitution!$M$12 &amp; $A7, US_national_yearly!$D:$AM, MATCH(I$1, US_national_yearly!$D$1:$AM$1, 0), FALSE) / VLOOKUP(Substitution!$M$12 &amp; $A7, US_national_yearly!$D:$AM, MATCH(Keys!$C$7, US_national_yearly!$D$1:$AM$1, 0), FALSE), 1)</f>
        <v>6.7595977304783558E-3</v>
      </c>
      <c r="J7" s="12">
        <f>$B7 * IFERROR(VLOOKUP(Substitution!$M$12 &amp; $A7, US_national_yearly!$D:$AM, MATCH(J$1, US_national_yearly!$D$1:$AM$1, 0), FALSE) / VLOOKUP(Substitution!$M$12 &amp; $A7, US_national_yearly!$D:$AM, MATCH(Keys!$C$7, US_national_yearly!$D$1:$AM$1, 0), FALSE), 1)</f>
        <v>6.7832788785364573E-3</v>
      </c>
      <c r="K7" s="12">
        <f>$B7 * IFERROR(VLOOKUP(Substitution!$M$12 &amp; $A7, US_national_yearly!$D:$AM, MATCH(K$1, US_national_yearly!$D$1:$AM$1, 0), FALSE) / VLOOKUP(Substitution!$M$12 &amp; $A7, US_national_yearly!$D:$AM, MATCH(Keys!$C$7, US_national_yearly!$D$1:$AM$1, 0), FALSE), 1)</f>
        <v>6.8069600265945615E-3</v>
      </c>
      <c r="L7" s="12">
        <f>$B7 * IFERROR(VLOOKUP(Substitution!$M$12 &amp; $A7, US_national_yearly!$D:$AM, MATCH(L$1, US_national_yearly!$D$1:$AM$1, 0), FALSE) / VLOOKUP(Substitution!$M$12 &amp; $A7, US_national_yearly!$D:$AM, MATCH(Keys!$C$7, US_national_yearly!$D$1:$AM$1, 0), FALSE), 1)</f>
        <v>6.830641174652664E-3</v>
      </c>
      <c r="M7" s="12">
        <f>$B7 * IFERROR(VLOOKUP(Substitution!$M$12 &amp; $A7, US_national_yearly!$D:$AM, MATCH(M$1, US_national_yearly!$D$1:$AM$1, 0), FALSE) / VLOOKUP(Substitution!$M$12 &amp; $A7, US_national_yearly!$D:$AM, MATCH(Keys!$C$7, US_national_yearly!$D$1:$AM$1, 0), FALSE), 1)</f>
        <v>6.8543223227107665E-3</v>
      </c>
      <c r="N7" s="12">
        <f>$B7 * IFERROR(VLOOKUP(Substitution!$M$12 &amp; $A7, US_national_yearly!$D:$AM, MATCH(N$1, US_national_yearly!$D$1:$AM$1, 0), FALSE) / VLOOKUP(Substitution!$M$12 &amp; $A7, US_national_yearly!$D:$AM, MATCH(Keys!$C$7, US_national_yearly!$D$1:$AM$1, 0), FALSE), 1)</f>
        <v>6.8817051257880017E-3</v>
      </c>
      <c r="O7" s="12">
        <f>$B7 * IFERROR(VLOOKUP(Substitution!$M$12 &amp; $A7, US_national_yearly!$D:$AM, MATCH(O$1, US_national_yearly!$D$1:$AM$1, 0), FALSE) / VLOOKUP(Substitution!$M$12 &amp; $A7, US_national_yearly!$D:$AM, MATCH(Keys!$C$7, US_national_yearly!$D$1:$AM$1, 0), FALSE), 1)</f>
        <v>6.9090879288652369E-3</v>
      </c>
      <c r="P7" s="12">
        <f>$B7 * IFERROR(VLOOKUP(Substitution!$M$12 &amp; $A7, US_national_yearly!$D:$AM, MATCH(P$1, US_national_yearly!$D$1:$AM$1, 0), FALSE) / VLOOKUP(Substitution!$M$12 &amp; $A7, US_national_yearly!$D:$AM, MATCH(Keys!$C$7, US_national_yearly!$D$1:$AM$1, 0), FALSE), 1)</f>
        <v>6.936470731942472E-3</v>
      </c>
      <c r="Q7" s="12">
        <f>$B7 * IFERROR(VLOOKUP(Substitution!$M$12 &amp; $A7, US_national_yearly!$D:$AM, MATCH(Q$1, US_national_yearly!$D$1:$AM$1, 0), FALSE) / VLOOKUP(Substitution!$M$12 &amp; $A7, US_national_yearly!$D:$AM, MATCH(Keys!$C$7, US_national_yearly!$D$1:$AM$1, 0), FALSE), 1)</f>
        <v>6.9638535350197081E-3</v>
      </c>
      <c r="R7" s="12">
        <f>$B7 * IFERROR(VLOOKUP(Substitution!$M$12 &amp; $A7, US_national_yearly!$D:$AM, MATCH(R$1, US_national_yearly!$D$1:$AM$1, 0), FALSE) / VLOOKUP(Substitution!$M$12 &amp; $A7, US_national_yearly!$D:$AM, MATCH(Keys!$C$7, US_national_yearly!$D$1:$AM$1, 0), FALSE), 1)</f>
        <v>6.9912363380969433E-3</v>
      </c>
      <c r="S7" s="12">
        <f>$B7 * IFERROR(VLOOKUP(Substitution!$M$12 &amp; $A7, US_national_yearly!$D:$AM, MATCH(S$1, US_national_yearly!$D$1:$AM$1, 0), FALSE) / VLOOKUP(Substitution!$M$12 &amp; $A7, US_national_yearly!$D:$AM, MATCH(Keys!$C$7, US_national_yearly!$D$1:$AM$1, 0), FALSE), 1)</f>
        <v>7.0269988594137437E-3</v>
      </c>
      <c r="T7" s="12">
        <f>$B7 * IFERROR(VLOOKUP(Substitution!$M$12 &amp; $A7, US_national_yearly!$D:$AM, MATCH(T$1, US_national_yearly!$D$1:$AM$1, 0), FALSE) / VLOOKUP(Substitution!$M$12 &amp; $A7, US_national_yearly!$D:$AM, MATCH(Keys!$C$7, US_national_yearly!$D$1:$AM$1, 0), FALSE), 1)</f>
        <v>7.0627613807305442E-3</v>
      </c>
      <c r="U7" s="12">
        <f>$B7 * IFERROR(VLOOKUP(Substitution!$M$12 &amp; $A7, US_national_yearly!$D:$AM, MATCH(U$1, US_national_yearly!$D$1:$AM$1, 0), FALSE) / VLOOKUP(Substitution!$M$12 &amp; $A7, US_national_yearly!$D:$AM, MATCH(Keys!$C$7, US_national_yearly!$D$1:$AM$1, 0), FALSE), 1)</f>
        <v>7.0985239020473438E-3</v>
      </c>
      <c r="V7" s="12">
        <f>$B7 * IFERROR(VLOOKUP(Substitution!$M$12 &amp; $A7, US_national_yearly!$D:$AM, MATCH(V$1, US_national_yearly!$D$1:$AM$1, 0), FALSE) / VLOOKUP(Substitution!$M$12 &amp; $A7, US_national_yearly!$D:$AM, MATCH(Keys!$C$7, US_national_yearly!$D$1:$AM$1, 0), FALSE), 1)</f>
        <v>7.1342864233641425E-3</v>
      </c>
      <c r="W7" s="12">
        <f>$B7 * IFERROR(VLOOKUP(Substitution!$M$12 &amp; $A7, US_national_yearly!$D:$AM, MATCH(W$1, US_national_yearly!$D$1:$AM$1, 0), FALSE) / VLOOKUP(Substitution!$M$12 &amp; $A7, US_national_yearly!$D:$AM, MATCH(Keys!$C$7, US_national_yearly!$D$1:$AM$1, 0), FALSE), 1)</f>
        <v>7.1700489446809429E-3</v>
      </c>
      <c r="X7" s="12">
        <f>$B7 * IFERROR(VLOOKUP(Substitution!$M$12 &amp; $A7, US_national_yearly!$D:$AM, MATCH(X$1, US_national_yearly!$D$1:$AM$1, 0), FALSE) / VLOOKUP(Substitution!$M$12 &amp; $A7, US_national_yearly!$D:$AM, MATCH(Keys!$C$7, US_national_yearly!$D$1:$AM$1, 0), FALSE), 1)</f>
        <v>7.2032772479817715E-3</v>
      </c>
      <c r="Y7" s="12">
        <f>$B7 * IFERROR(VLOOKUP(Substitution!$M$12 &amp; $A7, US_national_yearly!$D:$AM, MATCH(Y$1, US_national_yearly!$D$1:$AM$1, 0), FALSE) / VLOOKUP(Substitution!$M$12 &amp; $A7, US_national_yearly!$D:$AM, MATCH(Keys!$C$7, US_national_yearly!$D$1:$AM$1, 0), FALSE), 1)</f>
        <v>7.2365055512825984E-3</v>
      </c>
      <c r="Z7" s="12">
        <f>$B7 * IFERROR(VLOOKUP(Substitution!$M$12 &amp; $A7, US_national_yearly!$D:$AM, MATCH(Z$1, US_national_yearly!$D$1:$AM$1, 0), FALSE) / VLOOKUP(Substitution!$M$12 &amp; $A7, US_national_yearly!$D:$AM, MATCH(Keys!$C$7, US_national_yearly!$D$1:$AM$1, 0), FALSE), 1)</f>
        <v>7.2697338545834262E-3</v>
      </c>
      <c r="AA7" s="12">
        <f>$B7 * IFERROR(VLOOKUP(Substitution!$M$12 &amp; $A7, US_national_yearly!$D:$AM, MATCH(AA$1, US_national_yearly!$D$1:$AM$1, 0), FALSE) / VLOOKUP(Substitution!$M$12 &amp; $A7, US_national_yearly!$D:$AM, MATCH(Keys!$C$7, US_national_yearly!$D$1:$AM$1, 0), FALSE), 1)</f>
        <v>7.3029621578842522E-3</v>
      </c>
      <c r="AB7" s="12">
        <f>$B7 * IFERROR(VLOOKUP(Substitution!$M$12 &amp; $A7, US_national_yearly!$D:$AM, MATCH(AB$1, US_national_yearly!$D$1:$AM$1, 0), FALSE) / VLOOKUP(Substitution!$M$12 &amp; $A7, US_national_yearly!$D:$AM, MATCH(Keys!$C$7, US_national_yearly!$D$1:$AM$1, 0), FALSE), 1)</f>
        <v>7.33619046118508E-3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Substitution!$G$12)/IFERROR(SUMIFS(COBRA_aggregated!$W:$W, COBRA_aggregated!$A:$A, About!$B$1, COBRA_aggregated!$B:$B, Substitution!$G$12), 1)</f>
        <v>9.5592455151373781E-3</v>
      </c>
      <c r="C8" s="12">
        <f>$B8 * IFERROR(VLOOKUP(Substitution!$M$12 &amp; $A8, US_national_yearly!$D:$AM, MATCH(C$1, US_national_yearly!$D$1:$AM$1, 0), FALSE) / VLOOKUP(Substitution!$M$12 &amp; $A8, US_national_yearly!$D:$AM, MATCH(Keys!$C$7, US_national_yearly!$D$1:$AM$1, 0), FALSE), 1)</f>
        <v>9.6900663938254469E-3</v>
      </c>
      <c r="D8" s="12">
        <f>$B8 * IFERROR(VLOOKUP(Substitution!$M$12 &amp; $A8, US_national_yearly!$D:$AM, MATCH(D$1, US_national_yearly!$D$1:$AM$1, 0), FALSE) / VLOOKUP(Substitution!$M$12 &amp; $A8, US_national_yearly!$D:$AM, MATCH(Keys!$C$7, US_national_yearly!$D$1:$AM$1, 0), FALSE), 1)</f>
        <v>9.8208872725135173E-3</v>
      </c>
      <c r="E8" s="12">
        <f>$B8 * IFERROR(VLOOKUP(Substitution!$M$12 &amp; $A8, US_national_yearly!$D:$AM, MATCH(E$1, US_national_yearly!$D$1:$AM$1, 0), FALSE) / VLOOKUP(Substitution!$M$12 &amp; $A8, US_national_yearly!$D:$AM, MATCH(Keys!$C$7, US_national_yearly!$D$1:$AM$1, 0), FALSE), 1)</f>
        <v>9.9517081512015843E-3</v>
      </c>
      <c r="F8" s="12">
        <f>$B8 * IFERROR(VLOOKUP(Substitution!$M$12 &amp; $A8, US_national_yearly!$D:$AM, MATCH(F$1, US_national_yearly!$D$1:$AM$1, 0), FALSE) / VLOOKUP(Substitution!$M$12 &amp; $A8, US_national_yearly!$D:$AM, MATCH(Keys!$C$7, US_national_yearly!$D$1:$AM$1, 0), FALSE), 1)</f>
        <v>1.0082529029889657E-2</v>
      </c>
      <c r="G8" s="12">
        <f>$B8 * IFERROR(VLOOKUP(Substitution!$M$12 &amp; $A8, US_national_yearly!$D:$AM, MATCH(G$1, US_national_yearly!$D$1:$AM$1, 0), FALSE) / VLOOKUP(Substitution!$M$12 &amp; $A8, US_national_yearly!$D:$AM, MATCH(Keys!$C$7, US_national_yearly!$D$1:$AM$1, 0), FALSE), 1)</f>
        <v>1.0187079425129326E-2</v>
      </c>
      <c r="H8" s="12">
        <f>$B8 * IFERROR(VLOOKUP(Substitution!$M$12 &amp; $A8, US_national_yearly!$D:$AM, MATCH(H$1, US_national_yearly!$D$1:$AM$1, 0), FALSE) / VLOOKUP(Substitution!$M$12 &amp; $A8, US_national_yearly!$D:$AM, MATCH(Keys!$C$7, US_national_yearly!$D$1:$AM$1, 0), FALSE), 1)</f>
        <v>1.0291629820368995E-2</v>
      </c>
      <c r="I8" s="12">
        <f>$B8 * IFERROR(VLOOKUP(Substitution!$M$12 &amp; $A8, US_national_yearly!$D:$AM, MATCH(I$1, US_national_yearly!$D$1:$AM$1, 0), FALSE) / VLOOKUP(Substitution!$M$12 &amp; $A8, US_national_yearly!$D:$AM, MATCH(Keys!$C$7, US_national_yearly!$D$1:$AM$1, 0), FALSE), 1)</f>
        <v>1.032781162428611E-2</v>
      </c>
      <c r="J8" s="12">
        <f>$B8 * IFERROR(VLOOKUP(Substitution!$M$12 &amp; $A8, US_national_yearly!$D:$AM, MATCH(J$1, US_national_yearly!$D$1:$AM$1, 0), FALSE) / VLOOKUP(Substitution!$M$12 &amp; $A8, US_national_yearly!$D:$AM, MATCH(Keys!$C$7, US_national_yearly!$D$1:$AM$1, 0), FALSE), 1)</f>
        <v>1.0363993428203223E-2</v>
      </c>
      <c r="K8" s="12">
        <f>$B8 * IFERROR(VLOOKUP(Substitution!$M$12 &amp; $A8, US_national_yearly!$D:$AM, MATCH(K$1, US_national_yearly!$D$1:$AM$1, 0), FALSE) / VLOOKUP(Substitution!$M$12 &amp; $A8, US_national_yearly!$D:$AM, MATCH(Keys!$C$7, US_national_yearly!$D$1:$AM$1, 0), FALSE), 1)</f>
        <v>1.0400175232120336E-2</v>
      </c>
      <c r="L8" s="12">
        <f>$B8 * IFERROR(VLOOKUP(Substitution!$M$12 &amp; $A8, US_national_yearly!$D:$AM, MATCH(L$1, US_national_yearly!$D$1:$AM$1, 0), FALSE) / VLOOKUP(Substitution!$M$12 &amp; $A8, US_national_yearly!$D:$AM, MATCH(Keys!$C$7, US_national_yearly!$D$1:$AM$1, 0), FALSE), 1)</f>
        <v>1.0436357036037449E-2</v>
      </c>
      <c r="M8" s="12">
        <f>$B8 * IFERROR(VLOOKUP(Substitution!$M$12 &amp; $A8, US_national_yearly!$D:$AM, MATCH(M$1, US_national_yearly!$D$1:$AM$1, 0), FALSE) / VLOOKUP(Substitution!$M$12 &amp; $A8, US_national_yearly!$D:$AM, MATCH(Keys!$C$7, US_national_yearly!$D$1:$AM$1, 0), FALSE), 1)</f>
        <v>1.0472538839954564E-2</v>
      </c>
      <c r="N8" s="12">
        <f>$B8 * IFERROR(VLOOKUP(Substitution!$M$12 &amp; $A8, US_national_yearly!$D:$AM, MATCH(N$1, US_national_yearly!$D$1:$AM$1, 0), FALSE) / VLOOKUP(Substitution!$M$12 &amp; $A8, US_national_yearly!$D:$AM, MATCH(Keys!$C$7, US_national_yearly!$D$1:$AM$1, 0), FALSE), 1)</f>
        <v>1.0514376305172003E-2</v>
      </c>
      <c r="O8" s="12">
        <f>$B8 * IFERROR(VLOOKUP(Substitution!$M$12 &amp; $A8, US_national_yearly!$D:$AM, MATCH(O$1, US_national_yearly!$D$1:$AM$1, 0), FALSE) / VLOOKUP(Substitution!$M$12 &amp; $A8, US_national_yearly!$D:$AM, MATCH(Keys!$C$7, US_national_yearly!$D$1:$AM$1, 0), FALSE), 1)</f>
        <v>1.0556213770389443E-2</v>
      </c>
      <c r="P8" s="12">
        <f>$B8 * IFERROR(VLOOKUP(Substitution!$M$12 &amp; $A8, US_national_yearly!$D:$AM, MATCH(P$1, US_national_yearly!$D$1:$AM$1, 0), FALSE) / VLOOKUP(Substitution!$M$12 &amp; $A8, US_national_yearly!$D:$AM, MATCH(Keys!$C$7, US_national_yearly!$D$1:$AM$1, 0), FALSE), 1)</f>
        <v>1.059805123560688E-2</v>
      </c>
      <c r="Q8" s="12">
        <f>$B8 * IFERROR(VLOOKUP(Substitution!$M$12 &amp; $A8, US_national_yearly!$D:$AM, MATCH(Q$1, US_national_yearly!$D$1:$AM$1, 0), FALSE) / VLOOKUP(Substitution!$M$12 &amp; $A8, US_national_yearly!$D:$AM, MATCH(Keys!$C$7, US_national_yearly!$D$1:$AM$1, 0), FALSE), 1)</f>
        <v>1.0639888700824321E-2</v>
      </c>
      <c r="R8" s="12">
        <f>$B8 * IFERROR(VLOOKUP(Substitution!$M$12 &amp; $A8, US_national_yearly!$D:$AM, MATCH(R$1, US_national_yearly!$D$1:$AM$1, 0), FALSE) / VLOOKUP(Substitution!$M$12 &amp; $A8, US_national_yearly!$D:$AM, MATCH(Keys!$C$7, US_national_yearly!$D$1:$AM$1, 0), FALSE), 1)</f>
        <v>1.0681726166041759E-2</v>
      </c>
      <c r="S8" s="12">
        <f>$B8 * IFERROR(VLOOKUP(Substitution!$M$12 &amp; $A8, US_national_yearly!$D:$AM, MATCH(S$1, US_national_yearly!$D$1:$AM$1, 0), FALSE) / VLOOKUP(Substitution!$M$12 &amp; $A8, US_national_yearly!$D:$AM, MATCH(Keys!$C$7, US_national_yearly!$D$1:$AM$1, 0), FALSE), 1)</f>
        <v>1.0736366782279027E-2</v>
      </c>
      <c r="T8" s="12">
        <f>$B8 * IFERROR(VLOOKUP(Substitution!$M$12 &amp; $A8, US_national_yearly!$D:$AM, MATCH(T$1, US_national_yearly!$D$1:$AM$1, 0), FALSE) / VLOOKUP(Substitution!$M$12 &amp; $A8, US_national_yearly!$D:$AM, MATCH(Keys!$C$7, US_national_yearly!$D$1:$AM$1, 0), FALSE), 1)</f>
        <v>1.0791007398516293E-2</v>
      </c>
      <c r="U8" s="12">
        <f>$B8 * IFERROR(VLOOKUP(Substitution!$M$12 &amp; $A8, US_national_yearly!$D:$AM, MATCH(U$1, US_national_yearly!$D$1:$AM$1, 0), FALSE) / VLOOKUP(Substitution!$M$12 &amp; $A8, US_national_yearly!$D:$AM, MATCH(Keys!$C$7, US_national_yearly!$D$1:$AM$1, 0), FALSE), 1)</f>
        <v>1.0845648014753561E-2</v>
      </c>
      <c r="V8" s="12">
        <f>$B8 * IFERROR(VLOOKUP(Substitution!$M$12 &amp; $A8, US_national_yearly!$D:$AM, MATCH(V$1, US_national_yearly!$D$1:$AM$1, 0), FALSE) / VLOOKUP(Substitution!$M$12 &amp; $A8, US_national_yearly!$D:$AM, MATCH(Keys!$C$7, US_national_yearly!$D$1:$AM$1, 0), FALSE), 1)</f>
        <v>1.0900288630990828E-2</v>
      </c>
      <c r="W8" s="12">
        <f>$B8 * IFERROR(VLOOKUP(Substitution!$M$12 &amp; $A8, US_national_yearly!$D:$AM, MATCH(W$1, US_national_yearly!$D$1:$AM$1, 0), FALSE) / VLOOKUP(Substitution!$M$12 &amp; $A8, US_national_yearly!$D:$AM, MATCH(Keys!$C$7, US_national_yearly!$D$1:$AM$1, 0), FALSE), 1)</f>
        <v>1.0954929247228094E-2</v>
      </c>
      <c r="X8" s="12">
        <f>$B8 * IFERROR(VLOOKUP(Substitution!$M$12 &amp; $A8, US_national_yearly!$D:$AM, MATCH(X$1, US_national_yearly!$D$1:$AM$1, 0), FALSE) / VLOOKUP(Substitution!$M$12 &amp; $A8, US_national_yearly!$D:$AM, MATCH(Keys!$C$7, US_national_yearly!$D$1:$AM$1, 0), FALSE), 1)</f>
        <v>1.1005697898409498E-2</v>
      </c>
      <c r="Y8" s="12">
        <f>$B8 * IFERROR(VLOOKUP(Substitution!$M$12 &amp; $A8, US_national_yearly!$D:$AM, MATCH(Y$1, US_national_yearly!$D$1:$AM$1, 0), FALSE) / VLOOKUP(Substitution!$M$12 &amp; $A8, US_national_yearly!$D:$AM, MATCH(Keys!$C$7, US_national_yearly!$D$1:$AM$1, 0), FALSE), 1)</f>
        <v>1.10564665495909E-2</v>
      </c>
      <c r="Z8" s="12">
        <f>$B8 * IFERROR(VLOOKUP(Substitution!$M$12 &amp; $A8, US_national_yearly!$D:$AM, MATCH(Z$1, US_national_yearly!$D$1:$AM$1, 0), FALSE) / VLOOKUP(Substitution!$M$12 &amp; $A8, US_national_yearly!$D:$AM, MATCH(Keys!$C$7, US_national_yearly!$D$1:$AM$1, 0), FALSE), 1)</f>
        <v>1.1107235200772305E-2</v>
      </c>
      <c r="AA8" s="12">
        <f>$B8 * IFERROR(VLOOKUP(Substitution!$M$12 &amp; $A8, US_national_yearly!$D:$AM, MATCH(AA$1, US_national_yearly!$D$1:$AM$1, 0), FALSE) / VLOOKUP(Substitution!$M$12 &amp; $A8, US_national_yearly!$D:$AM, MATCH(Keys!$C$7, US_national_yearly!$D$1:$AM$1, 0), FALSE), 1)</f>
        <v>1.1158003851953709E-2</v>
      </c>
      <c r="AB8" s="12">
        <f>$B8 * IFERROR(VLOOKUP(Substitution!$M$12 &amp; $A8, US_national_yearly!$D:$AM, MATCH(AB$1, US_national_yearly!$D$1:$AM$1, 0), FALSE) / VLOOKUP(Substitution!$M$12 &amp; $A8, US_national_yearly!$D:$AM, MATCH(Keys!$C$7, US_national_yearly!$D$1:$AM$1, 0), FALSE), 1)</f>
        <v>1.1208772503135114E-2</v>
      </c>
    </row>
    <row r="9" spans="1:28" x14ac:dyDescent="0.25">
      <c r="A9" s="4" t="s">
        <v>305</v>
      </c>
      <c r="B9" s="12">
        <f>IFERROR(VLOOKUP(Substitution!$M$12 &amp; $A9, US_national_yearly!$D:$AM, MATCH(Keys!$C$7, US_national_yearly!$D$1:$AM$1, 0), FALSE), 0)</f>
        <v>2.366770950675286E-2</v>
      </c>
      <c r="C9" s="12">
        <f>$B9 * IFERROR(VLOOKUP(Substitution!$M$12 &amp; $A9, US_national_yearly!$D:$AM, MATCH(C$1, US_national_yearly!$D$1:$AM$1, 0), FALSE) / VLOOKUP(Substitution!$M$12 &amp; $A9, US_national_yearly!$D:$AM, MATCH(Keys!$C$7, US_national_yearly!$D$1:$AM$1, 0), FALSE), 1)</f>
        <v>2.3817436108018522E-2</v>
      </c>
      <c r="D9" s="12">
        <f>$B9 * IFERROR(VLOOKUP(Substitution!$M$12 &amp; $A9, US_national_yearly!$D:$AM, MATCH(D$1, US_national_yearly!$D$1:$AM$1, 0), FALSE) / VLOOKUP(Substitution!$M$12 &amp; $A9, US_national_yearly!$D:$AM, MATCH(Keys!$C$7, US_national_yearly!$D$1:$AM$1, 0), FALSE), 1)</f>
        <v>2.396716270928418E-2</v>
      </c>
      <c r="E9" s="12">
        <f>$B9 * IFERROR(VLOOKUP(Substitution!$M$12 &amp; $A9, US_national_yearly!$D:$AM, MATCH(E$1, US_national_yearly!$D$1:$AM$1, 0), FALSE) / VLOOKUP(Substitution!$M$12 &amp; $A9, US_national_yearly!$D:$AM, MATCH(Keys!$C$7, US_national_yearly!$D$1:$AM$1, 0), FALSE), 1)</f>
        <v>2.4116889310549842E-2</v>
      </c>
      <c r="F9" s="12">
        <f>$B9 * IFERROR(VLOOKUP(Substitution!$M$12 &amp; $A9, US_national_yearly!$D:$AM, MATCH(F$1, US_national_yearly!$D$1:$AM$1, 0), FALSE) / VLOOKUP(Substitution!$M$12 &amp; $A9, US_national_yearly!$D:$AM, MATCH(Keys!$C$7, US_national_yearly!$D$1:$AM$1, 0), FALSE), 1)</f>
        <v>2.42666159118155E-2</v>
      </c>
      <c r="G9" s="12">
        <f>$B9 * IFERROR(VLOOKUP(Substitution!$M$12 &amp; $A9, US_national_yearly!$D:$AM, MATCH(G$1, US_national_yearly!$D$1:$AM$1, 0), FALSE) / VLOOKUP(Substitution!$M$12 &amp; $A9, US_national_yearly!$D:$AM, MATCH(Keys!$C$7, US_national_yearly!$D$1:$AM$1, 0), FALSE), 1)</f>
        <v>2.44143497316547E-2</v>
      </c>
      <c r="H9" s="12">
        <f>$B9 * IFERROR(VLOOKUP(Substitution!$M$12 &amp; $A9, US_national_yearly!$D:$AM, MATCH(H$1, US_national_yearly!$D$1:$AM$1, 0), FALSE) / VLOOKUP(Substitution!$M$12 &amp; $A9, US_national_yearly!$D:$AM, MATCH(Keys!$C$7, US_national_yearly!$D$1:$AM$1, 0), FALSE), 1)</f>
        <v>2.4562083551493901E-2</v>
      </c>
      <c r="I9" s="12">
        <f>$B9 * IFERROR(VLOOKUP(Substitution!$M$12 &amp; $A9, US_national_yearly!$D:$AM, MATCH(I$1, US_national_yearly!$D$1:$AM$1, 0), FALSE) / VLOOKUP(Substitution!$M$12 &amp; $A9, US_national_yearly!$D:$AM, MATCH(Keys!$C$7, US_national_yearly!$D$1:$AM$1, 0), FALSE), 1)</f>
        <v>2.4694250837278119E-2</v>
      </c>
      <c r="J9" s="12">
        <f>$B9 * IFERROR(VLOOKUP(Substitution!$M$12 &amp; $A9, US_national_yearly!$D:$AM, MATCH(J$1, US_national_yearly!$D$1:$AM$1, 0), FALSE) / VLOOKUP(Substitution!$M$12 &amp; $A9, US_national_yearly!$D:$AM, MATCH(Keys!$C$7, US_national_yearly!$D$1:$AM$1, 0), FALSE), 1)</f>
        <v>2.4826418123062341E-2</v>
      </c>
      <c r="K9" s="12">
        <f>$B9 * IFERROR(VLOOKUP(Substitution!$M$12 &amp; $A9, US_national_yearly!$D:$AM, MATCH(K$1, US_national_yearly!$D$1:$AM$1, 0), FALSE) / VLOOKUP(Substitution!$M$12 &amp; $A9, US_national_yearly!$D:$AM, MATCH(Keys!$C$7, US_national_yearly!$D$1:$AM$1, 0), FALSE), 1)</f>
        <v>2.4958585408846559E-2</v>
      </c>
      <c r="L9" s="12">
        <f>$B9 * IFERROR(VLOOKUP(Substitution!$M$12 &amp; $A9, US_national_yearly!$D:$AM, MATCH(L$1, US_national_yearly!$D$1:$AM$1, 0), FALSE) / VLOOKUP(Substitution!$M$12 &amp; $A9, US_national_yearly!$D:$AM, MATCH(Keys!$C$7, US_national_yearly!$D$1:$AM$1, 0), FALSE), 1)</f>
        <v>2.5090752694630784E-2</v>
      </c>
      <c r="M9" s="12">
        <f>$B9 * IFERROR(VLOOKUP(Substitution!$M$12 &amp; $A9, US_national_yearly!$D:$AM, MATCH(M$1, US_national_yearly!$D$1:$AM$1, 0), FALSE) / VLOOKUP(Substitution!$M$12 &amp; $A9, US_national_yearly!$D:$AM, MATCH(Keys!$C$7, US_national_yearly!$D$1:$AM$1, 0), FALSE), 1)</f>
        <v>2.5222919980414999E-2</v>
      </c>
      <c r="N9" s="12">
        <f>$B9 * IFERROR(VLOOKUP(Substitution!$M$12 &amp; $A9, US_national_yearly!$D:$AM, MATCH(N$1, US_national_yearly!$D$1:$AM$1, 0), FALSE) / VLOOKUP(Substitution!$M$12 &amp; $A9, US_national_yearly!$D:$AM, MATCH(Keys!$C$7, US_national_yearly!$D$1:$AM$1, 0), FALSE), 1)</f>
        <v>2.5343280992590922E-2</v>
      </c>
      <c r="O9" s="12">
        <f>$B9 * IFERROR(VLOOKUP(Substitution!$M$12 &amp; $A9, US_national_yearly!$D:$AM, MATCH(O$1, US_national_yearly!$D$1:$AM$1, 0), FALSE) / VLOOKUP(Substitution!$M$12 &amp; $A9, US_national_yearly!$D:$AM, MATCH(Keys!$C$7, US_national_yearly!$D$1:$AM$1, 0), FALSE), 1)</f>
        <v>2.5463642004766845E-2</v>
      </c>
      <c r="P9" s="12">
        <f>$B9 * IFERROR(VLOOKUP(Substitution!$M$12 &amp; $A9, US_national_yearly!$D:$AM, MATCH(P$1, US_national_yearly!$D$1:$AM$1, 0), FALSE) / VLOOKUP(Substitution!$M$12 &amp; $A9, US_national_yearly!$D:$AM, MATCH(Keys!$C$7, US_national_yearly!$D$1:$AM$1, 0), FALSE), 1)</f>
        <v>2.5584003016942761E-2</v>
      </c>
      <c r="Q9" s="12">
        <f>$B9 * IFERROR(VLOOKUP(Substitution!$M$12 &amp; $A9, US_national_yearly!$D:$AM, MATCH(Q$1, US_national_yearly!$D$1:$AM$1, 0), FALSE) / VLOOKUP(Substitution!$M$12 &amp; $A9, US_national_yearly!$D:$AM, MATCH(Keys!$C$7, US_national_yearly!$D$1:$AM$1, 0), FALSE), 1)</f>
        <v>2.570436402911868E-2</v>
      </c>
      <c r="R9" s="12">
        <f>$B9 * IFERROR(VLOOKUP(Substitution!$M$12 &amp; $A9, US_national_yearly!$D:$AM, MATCH(R$1, US_national_yearly!$D$1:$AM$1, 0), FALSE) / VLOOKUP(Substitution!$M$12 &amp; $A9, US_national_yearly!$D:$AM, MATCH(Keys!$C$7, US_national_yearly!$D$1:$AM$1, 0), FALSE), 1)</f>
        <v>2.5824725041294596E-2</v>
      </c>
      <c r="S9" s="12">
        <f>$B9 * IFERROR(VLOOKUP(Substitution!$M$12 &amp; $A9, US_national_yearly!$D:$AM, MATCH(S$1, US_national_yearly!$D$1:$AM$1, 0), FALSE) / VLOOKUP(Substitution!$M$12 &amp; $A9, US_national_yearly!$D:$AM, MATCH(Keys!$C$7, US_national_yearly!$D$1:$AM$1, 0), FALSE), 1)</f>
        <v>2.5935908375199265E-2</v>
      </c>
      <c r="T9" s="12">
        <f>$B9 * IFERROR(VLOOKUP(Substitution!$M$12 &amp; $A9, US_national_yearly!$D:$AM, MATCH(T$1, US_national_yearly!$D$1:$AM$1, 0), FALSE) / VLOOKUP(Substitution!$M$12 &amp; $A9, US_national_yearly!$D:$AM, MATCH(Keys!$C$7, US_national_yearly!$D$1:$AM$1, 0), FALSE), 1)</f>
        <v>2.6047091709103919E-2</v>
      </c>
      <c r="U9" s="12">
        <f>$B9 * IFERROR(VLOOKUP(Substitution!$M$12 &amp; $A9, US_national_yearly!$D:$AM, MATCH(U$1, US_national_yearly!$D$1:$AM$1, 0), FALSE) / VLOOKUP(Substitution!$M$12 &amp; $A9, US_national_yearly!$D:$AM, MATCH(Keys!$C$7, US_national_yearly!$D$1:$AM$1, 0), FALSE), 1)</f>
        <v>2.6158275043008581E-2</v>
      </c>
      <c r="V9" s="12">
        <f>$B9 * IFERROR(VLOOKUP(Substitution!$M$12 &amp; $A9, US_national_yearly!$D:$AM, MATCH(V$1, US_national_yearly!$D$1:$AM$1, 0), FALSE) / VLOOKUP(Substitution!$M$12 &amp; $A9, US_national_yearly!$D:$AM, MATCH(Keys!$C$7, US_national_yearly!$D$1:$AM$1, 0), FALSE), 1)</f>
        <v>2.6269458376913239E-2</v>
      </c>
      <c r="W9" s="12">
        <f>$B9 * IFERROR(VLOOKUP(Substitution!$M$12 &amp; $A9, US_national_yearly!$D:$AM, MATCH(W$1, US_national_yearly!$D$1:$AM$1, 0), FALSE) / VLOOKUP(Substitution!$M$12 &amp; $A9, US_national_yearly!$D:$AM, MATCH(Keys!$C$7, US_national_yearly!$D$1:$AM$1, 0), FALSE), 1)</f>
        <v>2.6380641710817901E-2</v>
      </c>
      <c r="X9" s="12">
        <f>$B9 * IFERROR(VLOOKUP(Substitution!$M$12 &amp; $A9, US_national_yearly!$D:$AM, MATCH(X$1, US_national_yearly!$D$1:$AM$1, 0), FALSE) / VLOOKUP(Substitution!$M$12 &amp; $A9, US_national_yearly!$D:$AM, MATCH(Keys!$C$7, US_national_yearly!$D$1:$AM$1, 0), FALSE), 1)</f>
        <v>2.6483107851080382E-2</v>
      </c>
      <c r="Y9" s="12">
        <f>$B9 * IFERROR(VLOOKUP(Substitution!$M$12 &amp; $A9, US_national_yearly!$D:$AM, MATCH(Y$1, US_national_yearly!$D$1:$AM$1, 0), FALSE) / VLOOKUP(Substitution!$M$12 &amp; $A9, US_national_yearly!$D:$AM, MATCH(Keys!$C$7, US_national_yearly!$D$1:$AM$1, 0), FALSE), 1)</f>
        <v>2.6585573991342863E-2</v>
      </c>
      <c r="Z9" s="12">
        <f>$B9 * IFERROR(VLOOKUP(Substitution!$M$12 &amp; $A9, US_national_yearly!$D:$AM, MATCH(Z$1, US_national_yearly!$D$1:$AM$1, 0), FALSE) / VLOOKUP(Substitution!$M$12 &amp; $A9, US_national_yearly!$D:$AM, MATCH(Keys!$C$7, US_national_yearly!$D$1:$AM$1, 0), FALSE), 1)</f>
        <v>2.6688040131605341E-2</v>
      </c>
      <c r="AA9" s="12">
        <f>$B9 * IFERROR(VLOOKUP(Substitution!$M$12 &amp; $A9, US_national_yearly!$D:$AM, MATCH(AA$1, US_national_yearly!$D$1:$AM$1, 0), FALSE) / VLOOKUP(Substitution!$M$12 &amp; $A9, US_national_yearly!$D:$AM, MATCH(Keys!$C$7, US_national_yearly!$D$1:$AM$1, 0), FALSE), 1)</f>
        <v>2.6790506271867819E-2</v>
      </c>
      <c r="AB9" s="12">
        <f>$B9 * IFERROR(VLOOKUP(Substitution!$M$12 &amp; $A9, US_national_yearly!$D:$AM, MATCH(AB$1, US_national_yearly!$D$1:$AM$1, 0), FALSE) / VLOOKUP(Substitution!$M$12 &amp; $A9, US_national_yearly!$D:$AM, MATCH(Keys!$C$7, US_national_yearly!$D$1:$AM$1, 0), FALSE), 1)</f>
        <v>2.6892972412130296E-2</v>
      </c>
    </row>
    <row r="10" spans="1:28" x14ac:dyDescent="0.25">
      <c r="A10" s="4" t="s">
        <v>307</v>
      </c>
      <c r="B10" s="12">
        <f>IFERROR(VLOOKUP(Substitution!$M$12 &amp; $A10, US_national_yearly!$D:$AM, MATCH(Keys!$C$7, US_national_yearly!$D$1:$AM$1, 0), FALSE), 0)</f>
        <v>0.15206000085186461</v>
      </c>
      <c r="C10" s="12">
        <f>$B10 * IFERROR(VLOOKUP(Substitution!$M$12 &amp; $A10, US_national_yearly!$D:$AM, MATCH(C$1, US_national_yearly!$D$1:$AM$1, 0), FALSE) / VLOOKUP(Substitution!$M$12 &amp; $A10, US_national_yearly!$D:$AM, MATCH(Keys!$C$7, US_national_yearly!$D$1:$AM$1, 0), FALSE), 1)</f>
        <v>0.15349417304944921</v>
      </c>
      <c r="D10" s="12">
        <f>$B10 * IFERROR(VLOOKUP(Substitution!$M$12 &amp; $A10, US_national_yearly!$D:$AM, MATCH(D$1, US_national_yearly!$D$1:$AM$1, 0), FALSE) / VLOOKUP(Substitution!$M$12 &amp; $A10, US_national_yearly!$D:$AM, MATCH(Keys!$C$7, US_national_yearly!$D$1:$AM$1, 0), FALSE), 1)</f>
        <v>0.15492834524703381</v>
      </c>
      <c r="E10" s="12">
        <f>$B10 * IFERROR(VLOOKUP(Substitution!$M$12 &amp; $A10, US_national_yearly!$D:$AM, MATCH(E$1, US_national_yearly!$D$1:$AM$1, 0), FALSE) / VLOOKUP(Substitution!$M$12 &amp; $A10, US_national_yearly!$D:$AM, MATCH(Keys!$C$7, US_national_yearly!$D$1:$AM$1, 0), FALSE), 1)</f>
        <v>0.1563625174446184</v>
      </c>
      <c r="F10" s="12">
        <f>$B10 * IFERROR(VLOOKUP(Substitution!$M$12 &amp; $A10, US_national_yearly!$D:$AM, MATCH(F$1, US_national_yearly!$D$1:$AM$1, 0), FALSE) / VLOOKUP(Substitution!$M$12 &amp; $A10, US_national_yearly!$D:$AM, MATCH(Keys!$C$7, US_national_yearly!$D$1:$AM$1, 0), FALSE), 1)</f>
        <v>0.15779668964220298</v>
      </c>
      <c r="G10" s="12">
        <f>$B10 * IFERROR(VLOOKUP(Substitution!$M$12 &amp; $A10, US_national_yearly!$D:$AM, MATCH(G$1, US_national_yearly!$D$1:$AM$1, 0), FALSE) / VLOOKUP(Substitution!$M$12 &amp; $A10, US_national_yearly!$D:$AM, MATCH(Keys!$C$7, US_national_yearly!$D$1:$AM$1, 0), FALSE), 1)</f>
        <v>0.15937324053733201</v>
      </c>
      <c r="H10" s="12">
        <f>$B10 * IFERROR(VLOOKUP(Substitution!$M$12 &amp; $A10, US_national_yearly!$D:$AM, MATCH(H$1, US_national_yearly!$D$1:$AM$1, 0), FALSE) / VLOOKUP(Substitution!$M$12 &amp; $A10, US_national_yearly!$D:$AM, MATCH(Keys!$C$7, US_national_yearly!$D$1:$AM$1, 0), FALSE), 1)</f>
        <v>0.16094979143246099</v>
      </c>
      <c r="I10" s="12">
        <f>$B10 * IFERROR(VLOOKUP(Substitution!$M$12 &amp; $A10, US_national_yearly!$D:$AM, MATCH(I$1, US_national_yearly!$D$1:$AM$1, 0), FALSE) / VLOOKUP(Substitution!$M$12 &amp; $A10, US_national_yearly!$D:$AM, MATCH(Keys!$C$7, US_national_yearly!$D$1:$AM$1, 0), FALSE), 1)</f>
        <v>0.16216880322822441</v>
      </c>
      <c r="J10" s="12">
        <f>$B10 * IFERROR(VLOOKUP(Substitution!$M$12 &amp; $A10, US_national_yearly!$D:$AM, MATCH(J$1, US_national_yearly!$D$1:$AM$1, 0), FALSE) / VLOOKUP(Substitution!$M$12 &amp; $A10, US_national_yearly!$D:$AM, MATCH(Keys!$C$7, US_national_yearly!$D$1:$AM$1, 0), FALSE), 1)</f>
        <v>0.1633878150239878</v>
      </c>
      <c r="K10" s="12">
        <f>$B10 * IFERROR(VLOOKUP(Substitution!$M$12 &amp; $A10, US_national_yearly!$D:$AM, MATCH(K$1, US_national_yearly!$D$1:$AM$1, 0), FALSE) / VLOOKUP(Substitution!$M$12 &amp; $A10, US_national_yearly!$D:$AM, MATCH(Keys!$C$7, US_national_yearly!$D$1:$AM$1, 0), FALSE), 1)</f>
        <v>0.1646068268197512</v>
      </c>
      <c r="L10" s="12">
        <f>$B10 * IFERROR(VLOOKUP(Substitution!$M$12 &amp; $A10, US_national_yearly!$D:$AM, MATCH(L$1, US_national_yearly!$D$1:$AM$1, 0), FALSE) / VLOOKUP(Substitution!$M$12 &amp; $A10, US_national_yearly!$D:$AM, MATCH(Keys!$C$7, US_national_yearly!$D$1:$AM$1, 0), FALSE), 1)</f>
        <v>0.16582583861551459</v>
      </c>
      <c r="M10" s="12">
        <f>$B10 * IFERROR(VLOOKUP(Substitution!$M$12 &amp; $A10, US_national_yearly!$D:$AM, MATCH(M$1, US_national_yearly!$D$1:$AM$1, 0), FALSE) / VLOOKUP(Substitution!$M$12 &amp; $A10, US_national_yearly!$D:$AM, MATCH(Keys!$C$7, US_national_yearly!$D$1:$AM$1, 0), FALSE), 1)</f>
        <v>0.16704485041127801</v>
      </c>
      <c r="N10" s="12">
        <f>$B10 * IFERROR(VLOOKUP(Substitution!$M$12 &amp; $A10, US_national_yearly!$D:$AM, MATCH(N$1, US_national_yearly!$D$1:$AM$1, 0), FALSE) / VLOOKUP(Substitution!$M$12 &amp; $A10, US_national_yearly!$D:$AM, MATCH(Keys!$C$7, US_national_yearly!$D$1:$AM$1, 0), FALSE), 1)</f>
        <v>0.16769563575655941</v>
      </c>
      <c r="O10" s="12">
        <f>$B10 * IFERROR(VLOOKUP(Substitution!$M$12 &amp; $A10, US_national_yearly!$D:$AM, MATCH(O$1, US_national_yearly!$D$1:$AM$1, 0), FALSE) / VLOOKUP(Substitution!$M$12 &amp; $A10, US_national_yearly!$D:$AM, MATCH(Keys!$C$7, US_national_yearly!$D$1:$AM$1, 0), FALSE), 1)</f>
        <v>0.16834642110184081</v>
      </c>
      <c r="P10" s="12">
        <f>$B10 * IFERROR(VLOOKUP(Substitution!$M$12 &amp; $A10, US_national_yearly!$D:$AM, MATCH(P$1, US_national_yearly!$D$1:$AM$1, 0), FALSE) / VLOOKUP(Substitution!$M$12 &amp; $A10, US_national_yearly!$D:$AM, MATCH(Keys!$C$7, US_national_yearly!$D$1:$AM$1, 0), FALSE), 1)</f>
        <v>0.16899720644712221</v>
      </c>
      <c r="Q10" s="12">
        <f>$B10 * IFERROR(VLOOKUP(Substitution!$M$12 &amp; $A10, US_national_yearly!$D:$AM, MATCH(Q$1, US_national_yearly!$D$1:$AM$1, 0), FALSE) / VLOOKUP(Substitution!$M$12 &amp; $A10, US_national_yearly!$D:$AM, MATCH(Keys!$C$7, US_national_yearly!$D$1:$AM$1, 0), FALSE), 1)</f>
        <v>0.16964799179240361</v>
      </c>
      <c r="R10" s="12">
        <f>$B10 * IFERROR(VLOOKUP(Substitution!$M$12 &amp; $A10, US_national_yearly!$D:$AM, MATCH(R$1, US_national_yearly!$D$1:$AM$1, 0), FALSE) / VLOOKUP(Substitution!$M$12 &amp; $A10, US_national_yearly!$D:$AM, MATCH(Keys!$C$7, US_national_yearly!$D$1:$AM$1, 0), FALSE), 1)</f>
        <v>0.17029877713768499</v>
      </c>
      <c r="S10" s="12">
        <f>$B10 * IFERROR(VLOOKUP(Substitution!$M$12 &amp; $A10, US_national_yearly!$D:$AM, MATCH(S$1, US_national_yearly!$D$1:$AM$1, 0), FALSE) / VLOOKUP(Substitution!$M$12 &amp; $A10, US_national_yearly!$D:$AM, MATCH(Keys!$C$7, US_national_yearly!$D$1:$AM$1, 0), FALSE), 1)</f>
        <v>0.17103886242719099</v>
      </c>
      <c r="T10" s="12">
        <f>$B10 * IFERROR(VLOOKUP(Substitution!$M$12 &amp; $A10, US_national_yearly!$D:$AM, MATCH(T$1, US_national_yearly!$D$1:$AM$1, 0), FALSE) / VLOOKUP(Substitution!$M$12 &amp; $A10, US_national_yearly!$D:$AM, MATCH(Keys!$C$7, US_national_yearly!$D$1:$AM$1, 0), FALSE), 1)</f>
        <v>0.17177894771669697</v>
      </c>
      <c r="U10" s="12">
        <f>$B10 * IFERROR(VLOOKUP(Substitution!$M$12 &amp; $A10, US_national_yearly!$D:$AM, MATCH(U$1, US_national_yearly!$D$1:$AM$1, 0), FALSE) / VLOOKUP(Substitution!$M$12 &amp; $A10, US_national_yearly!$D:$AM, MATCH(Keys!$C$7, US_national_yearly!$D$1:$AM$1, 0), FALSE), 1)</f>
        <v>0.172519033006203</v>
      </c>
      <c r="V10" s="12">
        <f>$B10 * IFERROR(VLOOKUP(Substitution!$M$12 &amp; $A10, US_national_yearly!$D:$AM, MATCH(V$1, US_national_yearly!$D$1:$AM$1, 0), FALSE) / VLOOKUP(Substitution!$M$12 &amp; $A10, US_national_yearly!$D:$AM, MATCH(Keys!$C$7, US_national_yearly!$D$1:$AM$1, 0), FALSE), 1)</f>
        <v>0.173259118295709</v>
      </c>
      <c r="W10" s="12">
        <f>$B10 * IFERROR(VLOOKUP(Substitution!$M$12 &amp; $A10, US_national_yearly!$D:$AM, MATCH(W$1, US_national_yearly!$D$1:$AM$1, 0), FALSE) / VLOOKUP(Substitution!$M$12 &amp; $A10, US_national_yearly!$D:$AM, MATCH(Keys!$C$7, US_national_yearly!$D$1:$AM$1, 0), FALSE), 1)</f>
        <v>0.17399920358521501</v>
      </c>
      <c r="X10" s="12">
        <f>$B10 * IFERROR(VLOOKUP(Substitution!$M$12 &amp; $A10, US_national_yearly!$D:$AM, MATCH(X$1, US_national_yearly!$D$1:$AM$1, 0), FALSE) / VLOOKUP(Substitution!$M$12 &amp; $A10, US_national_yearly!$D:$AM, MATCH(Keys!$C$7, US_national_yearly!$D$1:$AM$1, 0), FALSE), 1)</f>
        <v>0.17476336312128921</v>
      </c>
      <c r="Y10" s="12">
        <f>$B10 * IFERROR(VLOOKUP(Substitution!$M$12 &amp; $A10, US_national_yearly!$D:$AM, MATCH(Y$1, US_national_yearly!$D$1:$AM$1, 0), FALSE) / VLOOKUP(Substitution!$M$12 &amp; $A10, US_national_yearly!$D:$AM, MATCH(Keys!$C$7, US_national_yearly!$D$1:$AM$1, 0), FALSE), 1)</f>
        <v>0.17552752265736341</v>
      </c>
      <c r="Z10" s="12">
        <f>$B10 * IFERROR(VLOOKUP(Substitution!$M$12 &amp; $A10, US_national_yearly!$D:$AM, MATCH(Z$1, US_national_yearly!$D$1:$AM$1, 0), FALSE) / VLOOKUP(Substitution!$M$12 &amp; $A10, US_national_yearly!$D:$AM, MATCH(Keys!$C$7, US_national_yearly!$D$1:$AM$1, 0), FALSE), 1)</f>
        <v>0.1762916821934376</v>
      </c>
      <c r="AA10" s="12">
        <f>$B10 * IFERROR(VLOOKUP(Substitution!$M$12 &amp; $A10, US_national_yearly!$D:$AM, MATCH(AA$1, US_national_yearly!$D$1:$AM$1, 0), FALSE) / VLOOKUP(Substitution!$M$12 &amp; $A10, US_national_yearly!$D:$AM, MATCH(Keys!$C$7, US_national_yearly!$D$1:$AM$1, 0), FALSE), 1)</f>
        <v>0.17705584172951183</v>
      </c>
      <c r="AB10" s="12">
        <f>$B10 * IFERROR(VLOOKUP(Substitution!$M$12 &amp; $A10, US_national_yearly!$D:$AM, MATCH(AB$1, US_national_yearly!$D$1:$AM$1, 0), FALSE) / VLOOKUP(Substitution!$M$12 &amp; $A10, US_national_yearly!$D:$AM, MATCH(Keys!$C$7, US_national_yearly!$D$1:$AM$1, 0), FALSE), 1)</f>
        <v>0.177820001265586</v>
      </c>
    </row>
    <row r="11" spans="1:28" x14ac:dyDescent="0.25">
      <c r="A11" s="4" t="s">
        <v>309</v>
      </c>
      <c r="B11" s="12">
        <f>IFERROR(VLOOKUP(Substitution!$M$12 &amp; $A11, US_national_yearly!$D:$AM, MATCH(Keys!$C$7, US_national_yearly!$D$1:$AM$1, 0), FALSE), 0)</f>
        <v>9.1482683424529074E-3</v>
      </c>
      <c r="C11" s="12">
        <f>$B11 * IFERROR(VLOOKUP(Substitution!$M$12 &amp; $A11, US_national_yearly!$D:$AM, MATCH(C$1, US_national_yearly!$D$1:$AM$1, 0), FALSE) / VLOOKUP(Substitution!$M$12 &amp; $A11, US_national_yearly!$D:$AM, MATCH(Keys!$C$7, US_national_yearly!$D$1:$AM$1, 0), FALSE), 1)</f>
        <v>9.2379510337514022E-3</v>
      </c>
      <c r="D11" s="12">
        <f>$B11 * IFERROR(VLOOKUP(Substitution!$M$12 &amp; $A11, US_national_yearly!$D:$AM, MATCH(D$1, US_national_yearly!$D$1:$AM$1, 0), FALSE) / VLOOKUP(Substitution!$M$12 &amp; $A11, US_national_yearly!$D:$AM, MATCH(Keys!$C$7, US_national_yearly!$D$1:$AM$1, 0), FALSE), 1)</f>
        <v>9.3276337250499004E-3</v>
      </c>
      <c r="E11" s="12">
        <f>$B11 * IFERROR(VLOOKUP(Substitution!$M$12 &amp; $A11, US_national_yearly!$D:$AM, MATCH(E$1, US_national_yearly!$D$1:$AM$1, 0), FALSE) / VLOOKUP(Substitution!$M$12 &amp; $A11, US_national_yearly!$D:$AM, MATCH(Keys!$C$7, US_national_yearly!$D$1:$AM$1, 0), FALSE), 1)</f>
        <v>9.4173164163483935E-3</v>
      </c>
      <c r="F11" s="12">
        <f>$B11 * IFERROR(VLOOKUP(Substitution!$M$12 &amp; $A11, US_national_yearly!$D:$AM, MATCH(F$1, US_national_yearly!$D$1:$AM$1, 0), FALSE) / VLOOKUP(Substitution!$M$12 &amp; $A11, US_national_yearly!$D:$AM, MATCH(Keys!$C$7, US_national_yearly!$D$1:$AM$1, 0), FALSE), 1)</f>
        <v>9.50699910764689E-3</v>
      </c>
      <c r="G11" s="12">
        <f>$B11 * IFERROR(VLOOKUP(Substitution!$M$12 &amp; $A11, US_national_yearly!$D:$AM, MATCH(G$1, US_national_yearly!$D$1:$AM$1, 0), FALSE) / VLOOKUP(Substitution!$M$12 &amp; $A11, US_national_yearly!$D:$AM, MATCH(Keys!$C$7, US_national_yearly!$D$1:$AM$1, 0), FALSE), 1)</f>
        <v>9.5997797159761145E-3</v>
      </c>
      <c r="H11" s="12">
        <f>$B11 * IFERROR(VLOOKUP(Substitution!$M$12 &amp; $A11, US_national_yearly!$D:$AM, MATCH(H$1, US_national_yearly!$D$1:$AM$1, 0), FALSE) / VLOOKUP(Substitution!$M$12 &amp; $A11, US_national_yearly!$D:$AM, MATCH(Keys!$C$7, US_national_yearly!$D$1:$AM$1, 0), FALSE), 1)</f>
        <v>9.6925603243053424E-3</v>
      </c>
      <c r="I11" s="12">
        <f>$B11 * IFERROR(VLOOKUP(Substitution!$M$12 &amp; $A11, US_national_yearly!$D:$AM, MATCH(I$1, US_national_yearly!$D$1:$AM$1, 0), FALSE) / VLOOKUP(Substitution!$M$12 &amp; $A11, US_national_yearly!$D:$AM, MATCH(Keys!$C$7, US_national_yearly!$D$1:$AM$1, 0), FALSE), 1)</f>
        <v>9.7801020956247327E-3</v>
      </c>
      <c r="J11" s="12">
        <f>$B11 * IFERROR(VLOOKUP(Substitution!$M$12 &amp; $A11, US_national_yearly!$D:$AM, MATCH(J$1, US_national_yearly!$D$1:$AM$1, 0), FALSE) / VLOOKUP(Substitution!$M$12 &amp; $A11, US_national_yearly!$D:$AM, MATCH(Keys!$C$7, US_national_yearly!$D$1:$AM$1, 0), FALSE), 1)</f>
        <v>9.8676438669441247E-3</v>
      </c>
      <c r="K11" s="12">
        <f>$B11 * IFERROR(VLOOKUP(Substitution!$M$12 &amp; $A11, US_national_yearly!$D:$AM, MATCH(K$1, US_national_yearly!$D$1:$AM$1, 0), FALSE) / VLOOKUP(Substitution!$M$12 &amp; $A11, US_national_yearly!$D:$AM, MATCH(Keys!$C$7, US_national_yearly!$D$1:$AM$1, 0), FALSE), 1)</f>
        <v>9.955185638263515E-3</v>
      </c>
      <c r="L11" s="12">
        <f>$B11 * IFERROR(VLOOKUP(Substitution!$M$12 &amp; $A11, US_national_yearly!$D:$AM, MATCH(L$1, US_national_yearly!$D$1:$AM$1, 0), FALSE) / VLOOKUP(Substitution!$M$12 &amp; $A11, US_national_yearly!$D:$AM, MATCH(Keys!$C$7, US_national_yearly!$D$1:$AM$1, 0), FALSE), 1)</f>
        <v>1.0042727409582911E-2</v>
      </c>
      <c r="M11" s="12">
        <f>$B11 * IFERROR(VLOOKUP(Substitution!$M$12 &amp; $A11, US_national_yearly!$D:$AM, MATCH(M$1, US_national_yearly!$D$1:$AM$1, 0), FALSE) / VLOOKUP(Substitution!$M$12 &amp; $A11, US_national_yearly!$D:$AM, MATCH(Keys!$C$7, US_national_yearly!$D$1:$AM$1, 0), FALSE), 1)</f>
        <v>1.0130269180902301E-2</v>
      </c>
      <c r="N11" s="12">
        <f>$B11 * IFERROR(VLOOKUP(Substitution!$M$12 &amp; $A11, US_national_yearly!$D:$AM, MATCH(N$1, US_national_yearly!$D$1:$AM$1, 0), FALSE) / VLOOKUP(Substitution!$M$12 &amp; $A11, US_national_yearly!$D:$AM, MATCH(Keys!$C$7, US_national_yearly!$D$1:$AM$1, 0), FALSE), 1)</f>
        <v>1.0204730716784099E-2</v>
      </c>
      <c r="O11" s="12">
        <f>$B11 * IFERROR(VLOOKUP(Substitution!$M$12 &amp; $A11, US_national_yearly!$D:$AM, MATCH(O$1, US_national_yearly!$D$1:$AM$1, 0), FALSE) / VLOOKUP(Substitution!$M$12 &amp; $A11, US_national_yearly!$D:$AM, MATCH(Keys!$C$7, US_national_yearly!$D$1:$AM$1, 0), FALSE), 1)</f>
        <v>1.02791922526659E-2</v>
      </c>
      <c r="P11" s="12">
        <f>$B11 * IFERROR(VLOOKUP(Substitution!$M$12 &amp; $A11, US_national_yearly!$D:$AM, MATCH(P$1, US_national_yearly!$D$1:$AM$1, 0), FALSE) / VLOOKUP(Substitution!$M$12 &amp; $A11, US_national_yearly!$D:$AM, MATCH(Keys!$C$7, US_national_yearly!$D$1:$AM$1, 0), FALSE), 1)</f>
        <v>1.03536537885477E-2</v>
      </c>
      <c r="Q11" s="12">
        <f>$B11 * IFERROR(VLOOKUP(Substitution!$M$12 &amp; $A11, US_national_yearly!$D:$AM, MATCH(Q$1, US_national_yearly!$D$1:$AM$1, 0), FALSE) / VLOOKUP(Substitution!$M$12 &amp; $A11, US_national_yearly!$D:$AM, MATCH(Keys!$C$7, US_national_yearly!$D$1:$AM$1, 0), FALSE), 1)</f>
        <v>1.0428115324429501E-2</v>
      </c>
      <c r="R11" s="12">
        <f>$B11 * IFERROR(VLOOKUP(Substitution!$M$12 &amp; $A11, US_national_yearly!$D:$AM, MATCH(R$1, US_national_yearly!$D$1:$AM$1, 0), FALSE) / VLOOKUP(Substitution!$M$12 &amp; $A11, US_national_yearly!$D:$AM, MATCH(Keys!$C$7, US_national_yearly!$D$1:$AM$1, 0), FALSE), 1)</f>
        <v>1.0502576860311299E-2</v>
      </c>
      <c r="S11" s="12">
        <f>$B11 * IFERROR(VLOOKUP(Substitution!$M$12 &amp; $A11, US_national_yearly!$D:$AM, MATCH(S$1, US_national_yearly!$D$1:$AM$1, 0), FALSE) / VLOOKUP(Substitution!$M$12 &amp; $A11, US_national_yearly!$D:$AM, MATCH(Keys!$C$7, US_national_yearly!$D$1:$AM$1, 0), FALSE), 1)</f>
        <v>1.0566688583258779E-2</v>
      </c>
      <c r="T11" s="12">
        <f>$B11 * IFERROR(VLOOKUP(Substitution!$M$12 &amp; $A11, US_national_yearly!$D:$AM, MATCH(T$1, US_national_yearly!$D$1:$AM$1, 0), FALSE) / VLOOKUP(Substitution!$M$12 &amp; $A11, US_national_yearly!$D:$AM, MATCH(Keys!$C$7, US_national_yearly!$D$1:$AM$1, 0), FALSE), 1)</f>
        <v>1.0630800306206259E-2</v>
      </c>
      <c r="U11" s="12">
        <f>$B11 * IFERROR(VLOOKUP(Substitution!$M$12 &amp; $A11, US_national_yearly!$D:$AM, MATCH(U$1, US_national_yearly!$D$1:$AM$1, 0), FALSE) / VLOOKUP(Substitution!$M$12 &amp; $A11, US_national_yearly!$D:$AM, MATCH(Keys!$C$7, US_national_yearly!$D$1:$AM$1, 0), FALSE), 1)</f>
        <v>1.0694912029153739E-2</v>
      </c>
      <c r="V11" s="12">
        <f>$B11 * IFERROR(VLOOKUP(Substitution!$M$12 &amp; $A11, US_national_yearly!$D:$AM, MATCH(V$1, US_national_yearly!$D$1:$AM$1, 0), FALSE) / VLOOKUP(Substitution!$M$12 &amp; $A11, US_national_yearly!$D:$AM, MATCH(Keys!$C$7, US_national_yearly!$D$1:$AM$1, 0), FALSE), 1)</f>
        <v>1.0759023752101219E-2</v>
      </c>
      <c r="W11" s="12">
        <f>$B11 * IFERROR(VLOOKUP(Substitution!$M$12 &amp; $A11, US_national_yearly!$D:$AM, MATCH(W$1, US_national_yearly!$D$1:$AM$1, 0), FALSE) / VLOOKUP(Substitution!$M$12 &amp; $A11, US_national_yearly!$D:$AM, MATCH(Keys!$C$7, US_national_yearly!$D$1:$AM$1, 0), FALSE), 1)</f>
        <v>1.0823135475048699E-2</v>
      </c>
      <c r="X11" s="12">
        <f>$B11 * IFERROR(VLOOKUP(Substitution!$M$12 &amp; $A11, US_national_yearly!$D:$AM, MATCH(X$1, US_national_yearly!$D$1:$AM$1, 0), FALSE) / VLOOKUP(Substitution!$M$12 &amp; $A11, US_national_yearly!$D:$AM, MATCH(Keys!$C$7, US_national_yearly!$D$1:$AM$1, 0), FALSE), 1)</f>
        <v>1.0882903367319738E-2</v>
      </c>
      <c r="Y11" s="12">
        <f>$B11 * IFERROR(VLOOKUP(Substitution!$M$12 &amp; $A11, US_national_yearly!$D:$AM, MATCH(Y$1, US_national_yearly!$D$1:$AM$1, 0), FALSE) / VLOOKUP(Substitution!$M$12 &amp; $A11, US_national_yearly!$D:$AM, MATCH(Keys!$C$7, US_national_yearly!$D$1:$AM$1, 0), FALSE), 1)</f>
        <v>1.094267125959078E-2</v>
      </c>
      <c r="Z11" s="12">
        <f>$B11 * IFERROR(VLOOKUP(Substitution!$M$12 &amp; $A11, US_national_yearly!$D:$AM, MATCH(Z$1, US_national_yearly!$D$1:$AM$1, 0), FALSE) / VLOOKUP(Substitution!$M$12 &amp; $A11, US_national_yearly!$D:$AM, MATCH(Keys!$C$7, US_national_yearly!$D$1:$AM$1, 0), FALSE), 1)</f>
        <v>1.1002439151861819E-2</v>
      </c>
      <c r="AA11" s="12">
        <f>$B11 * IFERROR(VLOOKUP(Substitution!$M$12 &amp; $A11, US_national_yearly!$D:$AM, MATCH(AA$1, US_national_yearly!$D$1:$AM$1, 0), FALSE) / VLOOKUP(Substitution!$M$12 &amp; $A11, US_national_yearly!$D:$AM, MATCH(Keys!$C$7, US_national_yearly!$D$1:$AM$1, 0), FALSE), 1)</f>
        <v>1.106220704413286E-2</v>
      </c>
      <c r="AB11" s="12">
        <f>$B11 * IFERROR(VLOOKUP(Substitution!$M$12 &amp; $A11, US_national_yearly!$D:$AM, MATCH(AB$1, US_national_yearly!$D$1:$AM$1, 0), FALSE) / VLOOKUP(Substitution!$M$12 &amp; $A11, US_national_yearly!$D:$AM, MATCH(Keys!$C$7, US_national_yearly!$D$1:$AM$1, 0), FALSE), 1)</f>
        <v>1.11219749364039E-2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Substitution!$G$12)/IFERROR(SUMIFS(COBRA_aggregated!$W:$W, COBRA_aggregated!$A:$A, About!$B$1, COBRA_aggregated!$B:$B, Substitution!$G$12), 1)</f>
        <v>1.3344696780753023E-4</v>
      </c>
      <c r="C12" s="12">
        <f>$B12 * IFERROR(VLOOKUP(Substitution!$M$12 &amp; $A12, US_national_yearly!$D:$AM, MATCH(C$1, US_national_yearly!$D$1:$AM$1, 0), FALSE) / VLOOKUP(Substitution!$M$12 &amp; $A12, US_national_yearly!$D:$AM, MATCH(Keys!$C$7, US_national_yearly!$D$1:$AM$1, 0), FALSE), 1)</f>
        <v>1.3678105362300444E-4</v>
      </c>
      <c r="D12" s="12">
        <f>$B12 * IFERROR(VLOOKUP(Substitution!$M$12 &amp; $A12, US_national_yearly!$D:$AM, MATCH(D$1, US_national_yearly!$D$1:$AM$1, 0), FALSE) / VLOOKUP(Substitution!$M$12 &amp; $A12, US_national_yearly!$D:$AM, MATCH(Keys!$C$7, US_national_yearly!$D$1:$AM$1, 0), FALSE), 1)</f>
        <v>1.4011513943847868E-4</v>
      </c>
      <c r="E12" s="12">
        <f>$B12 * IFERROR(VLOOKUP(Substitution!$M$12 &amp; $A12, US_national_yearly!$D:$AM, MATCH(E$1, US_national_yearly!$D$1:$AM$1, 0), FALSE) / VLOOKUP(Substitution!$M$12 &amp; $A12, US_national_yearly!$D:$AM, MATCH(Keys!$C$7, US_national_yearly!$D$1:$AM$1, 0), FALSE), 1)</f>
        <v>1.4344922525395289E-4</v>
      </c>
      <c r="F12" s="12">
        <f>$B12 * IFERROR(VLOOKUP(Substitution!$M$12 &amp; $A12, US_national_yearly!$D:$AM, MATCH(F$1, US_national_yearly!$D$1:$AM$1, 0), FALSE) / VLOOKUP(Substitution!$M$12 &amp; $A12, US_national_yearly!$D:$AM, MATCH(Keys!$C$7, US_national_yearly!$D$1:$AM$1, 0), FALSE), 1)</f>
        <v>1.4678331106942713E-4</v>
      </c>
      <c r="G12" s="12">
        <f>$B12 * IFERROR(VLOOKUP(Substitution!$M$12 &amp; $A12, US_national_yearly!$D:$AM, MATCH(G$1, US_national_yearly!$D$1:$AM$1, 0), FALSE) / VLOOKUP(Substitution!$M$12 &amp; $A12, US_national_yearly!$D:$AM, MATCH(Keys!$C$7, US_national_yearly!$D$1:$AM$1, 0), FALSE), 1)</f>
        <v>1.4997079856452812E-4</v>
      </c>
      <c r="H12" s="12">
        <f>$B12 * IFERROR(VLOOKUP(Substitution!$M$12 &amp; $A12, US_national_yearly!$D:$AM, MATCH(H$1, US_national_yearly!$D$1:$AM$1, 0), FALSE) / VLOOKUP(Substitution!$M$12 &amp; $A12, US_national_yearly!$D:$AM, MATCH(Keys!$C$7, US_national_yearly!$D$1:$AM$1, 0), FALSE), 1)</f>
        <v>1.5315828605962905E-4</v>
      </c>
      <c r="I12" s="12">
        <f>$B12 * IFERROR(VLOOKUP(Substitution!$M$12 &amp; $A12, US_national_yearly!$D:$AM, MATCH(I$1, US_national_yearly!$D$1:$AM$1, 0), FALSE) / VLOOKUP(Substitution!$M$12 &amp; $A12, US_national_yearly!$D:$AM, MATCH(Keys!$C$7, US_national_yearly!$D$1:$AM$1, 0), FALSE), 1)</f>
        <v>1.5586598158866589E-4</v>
      </c>
      <c r="J12" s="12">
        <f>$B12 * IFERROR(VLOOKUP(Substitution!$M$12 &amp; $A12, US_national_yearly!$D:$AM, MATCH(J$1, US_national_yearly!$D$1:$AM$1, 0), FALSE) / VLOOKUP(Substitution!$M$12 &amp; $A12, US_national_yearly!$D:$AM, MATCH(Keys!$C$7, US_national_yearly!$D$1:$AM$1, 0), FALSE), 1)</f>
        <v>1.5857367711770269E-4</v>
      </c>
      <c r="K12" s="12">
        <f>$B12 * IFERROR(VLOOKUP(Substitution!$M$12 &amp; $A12, US_national_yearly!$D:$AM, MATCH(K$1, US_national_yearly!$D$1:$AM$1, 0), FALSE) / VLOOKUP(Substitution!$M$12 &amp; $A12, US_national_yearly!$D:$AM, MATCH(Keys!$C$7, US_national_yearly!$D$1:$AM$1, 0), FALSE), 1)</f>
        <v>1.6128137264673949E-4</v>
      </c>
      <c r="L12" s="12">
        <f>$B12 * IFERROR(VLOOKUP(Substitution!$M$12 &amp; $A12, US_national_yearly!$D:$AM, MATCH(L$1, US_national_yearly!$D$1:$AM$1, 0), FALSE) / VLOOKUP(Substitution!$M$12 &amp; $A12, US_national_yearly!$D:$AM, MATCH(Keys!$C$7, US_national_yearly!$D$1:$AM$1, 0), FALSE), 1)</f>
        <v>1.6398906817577629E-4</v>
      </c>
      <c r="M12" s="12">
        <f>$B12 * IFERROR(VLOOKUP(Substitution!$M$12 &amp; $A12, US_national_yearly!$D:$AM, MATCH(M$1, US_national_yearly!$D$1:$AM$1, 0), FALSE) / VLOOKUP(Substitution!$M$12 &amp; $A12, US_national_yearly!$D:$AM, MATCH(Keys!$C$7, US_national_yearly!$D$1:$AM$1, 0), FALSE), 1)</f>
        <v>1.6669676370481313E-4</v>
      </c>
      <c r="N12" s="12">
        <f>$B12 * IFERROR(VLOOKUP(Substitution!$M$12 &amp; $A12, US_national_yearly!$D:$AM, MATCH(N$1, US_national_yearly!$D$1:$AM$1, 0), FALSE) / VLOOKUP(Substitution!$M$12 &amp; $A12, US_national_yearly!$D:$AM, MATCH(Keys!$C$7, US_national_yearly!$D$1:$AM$1, 0), FALSE), 1)</f>
        <v>1.6850684326767237E-4</v>
      </c>
      <c r="O12" s="12">
        <f>$B12 * IFERROR(VLOOKUP(Substitution!$M$12 &amp; $A12, US_national_yearly!$D:$AM, MATCH(O$1, US_national_yearly!$D$1:$AM$1, 0), FALSE) / VLOOKUP(Substitution!$M$12 &amp; $A12, US_national_yearly!$D:$AM, MATCH(Keys!$C$7, US_national_yearly!$D$1:$AM$1, 0), FALSE), 1)</f>
        <v>1.7031692283053161E-4</v>
      </c>
      <c r="P12" s="12">
        <f>$B12 * IFERROR(VLOOKUP(Substitution!$M$12 &amp; $A12, US_national_yearly!$D:$AM, MATCH(P$1, US_national_yearly!$D$1:$AM$1, 0), FALSE) / VLOOKUP(Substitution!$M$12 &amp; $A12, US_national_yearly!$D:$AM, MATCH(Keys!$C$7, US_national_yearly!$D$1:$AM$1, 0), FALSE), 1)</f>
        <v>1.7212700239339085E-4</v>
      </c>
      <c r="Q12" s="12">
        <f>$B12 * IFERROR(VLOOKUP(Substitution!$M$12 &amp; $A12, US_national_yearly!$D:$AM, MATCH(Q$1, US_national_yearly!$D$1:$AM$1, 0), FALSE) / VLOOKUP(Substitution!$M$12 &amp; $A12, US_national_yearly!$D:$AM, MATCH(Keys!$C$7, US_national_yearly!$D$1:$AM$1, 0), FALSE), 1)</f>
        <v>1.7393708195625012E-4</v>
      </c>
      <c r="R12" s="12">
        <f>$B12 * IFERROR(VLOOKUP(Substitution!$M$12 &amp; $A12, US_national_yearly!$D:$AM, MATCH(R$1, US_national_yearly!$D$1:$AM$1, 0), FALSE) / VLOOKUP(Substitution!$M$12 &amp; $A12, US_national_yearly!$D:$AM, MATCH(Keys!$C$7, US_national_yearly!$D$1:$AM$1, 0), FALSE), 1)</f>
        <v>1.7574716151910934E-4</v>
      </c>
      <c r="S12" s="12">
        <f>$B12 * IFERROR(VLOOKUP(Substitution!$M$12 &amp; $A12, US_national_yearly!$D:$AM, MATCH(S$1, US_national_yearly!$D$1:$AM$1, 0), FALSE) / VLOOKUP(Substitution!$M$12 &amp; $A12, US_national_yearly!$D:$AM, MATCH(Keys!$C$7, US_national_yearly!$D$1:$AM$1, 0), FALSE), 1)</f>
        <v>1.7671767136487581E-4</v>
      </c>
      <c r="T12" s="12">
        <f>$B12 * IFERROR(VLOOKUP(Substitution!$M$12 &amp; $A12, US_national_yearly!$D:$AM, MATCH(T$1, US_national_yearly!$D$1:$AM$1, 0), FALSE) / VLOOKUP(Substitution!$M$12 &amp; $A12, US_national_yearly!$D:$AM, MATCH(Keys!$C$7, US_national_yearly!$D$1:$AM$1, 0), FALSE), 1)</f>
        <v>1.7768818121064229E-4</v>
      </c>
      <c r="U12" s="12">
        <f>$B12 * IFERROR(VLOOKUP(Substitution!$M$12 &amp; $A12, US_national_yearly!$D:$AM, MATCH(U$1, US_national_yearly!$D$1:$AM$1, 0), FALSE) / VLOOKUP(Substitution!$M$12 &amp; $A12, US_national_yearly!$D:$AM, MATCH(Keys!$C$7, US_national_yearly!$D$1:$AM$1, 0), FALSE), 1)</f>
        <v>1.7865869105640876E-4</v>
      </c>
      <c r="V12" s="12">
        <f>$B12 * IFERROR(VLOOKUP(Substitution!$M$12 &amp; $A12, US_national_yearly!$D:$AM, MATCH(V$1, US_national_yearly!$D$1:$AM$1, 0), FALSE) / VLOOKUP(Substitution!$M$12 &amp; $A12, US_national_yearly!$D:$AM, MATCH(Keys!$C$7, US_national_yearly!$D$1:$AM$1, 0), FALSE), 1)</f>
        <v>1.7962920090217524E-4</v>
      </c>
      <c r="W12" s="12">
        <f>$B12 * IFERROR(VLOOKUP(Substitution!$M$12 &amp; $A12, US_national_yearly!$D:$AM, MATCH(W$1, US_national_yearly!$D$1:$AM$1, 0), FALSE) / VLOOKUP(Substitution!$M$12 &amp; $A12, US_national_yearly!$D:$AM, MATCH(Keys!$C$7, US_national_yearly!$D$1:$AM$1, 0), FALSE), 1)</f>
        <v>1.8059971074794166E-4</v>
      </c>
      <c r="X12" s="12">
        <f>$B12 * IFERROR(VLOOKUP(Substitution!$M$12 &amp; $A12, US_national_yearly!$D:$AM, MATCH(X$1, US_national_yearly!$D$1:$AM$1, 0), FALSE) / VLOOKUP(Substitution!$M$12 &amp; $A12, US_national_yearly!$D:$AM, MATCH(Keys!$C$7, US_national_yearly!$D$1:$AM$1, 0), FALSE), 1)</f>
        <v>1.8126407053046725E-4</v>
      </c>
      <c r="Y12" s="12">
        <f>$B12 * IFERROR(VLOOKUP(Substitution!$M$12 &amp; $A12, US_national_yearly!$D:$AM, MATCH(Y$1, US_national_yearly!$D$1:$AM$1, 0), FALSE) / VLOOKUP(Substitution!$M$12 &amp; $A12, US_national_yearly!$D:$AM, MATCH(Keys!$C$7, US_national_yearly!$D$1:$AM$1, 0), FALSE), 1)</f>
        <v>1.819284303129928E-4</v>
      </c>
      <c r="Z12" s="12">
        <f>$B12 * IFERROR(VLOOKUP(Substitution!$M$12 &amp; $A12, US_national_yearly!$D:$AM, MATCH(Z$1, US_national_yearly!$D$1:$AM$1, 0), FALSE) / VLOOKUP(Substitution!$M$12 &amp; $A12, US_national_yearly!$D:$AM, MATCH(Keys!$C$7, US_national_yearly!$D$1:$AM$1, 0), FALSE), 1)</f>
        <v>1.8259279009551842E-4</v>
      </c>
      <c r="AA12" s="12">
        <f>$B12 * IFERROR(VLOOKUP(Substitution!$M$12 &amp; $A12, US_national_yearly!$D:$AM, MATCH(AA$1, US_national_yearly!$D$1:$AM$1, 0), FALSE) / VLOOKUP(Substitution!$M$12 &amp; $A12, US_national_yearly!$D:$AM, MATCH(Keys!$C$7, US_national_yearly!$D$1:$AM$1, 0), FALSE), 1)</f>
        <v>1.8325714987804396E-4</v>
      </c>
      <c r="AB12" s="12">
        <f>$B12 * IFERROR(VLOOKUP(Substitution!$M$12 &amp; $A12, US_national_yearly!$D:$AM, MATCH(AB$1, US_national_yearly!$D$1:$AM$1, 0), FALSE) / VLOOKUP(Substitution!$M$12 &amp; $A12, US_national_yearly!$D:$AM, MATCH(Keys!$C$7, US_national_yearly!$D$1:$AM$1, 0), FALSE), 1)</f>
        <v>1.8392150966056956E-4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Substitution!$G$12)/IFERROR(SUMIFS(COBRA_aggregated!$W:$W, COBRA_aggregated!$A:$A, About!$B$1, COBRA_aggregated!$B:$B, Substitution!$G$12), 1)</f>
        <v>8.523288820431273E-4</v>
      </c>
      <c r="C13" s="12">
        <f>$B13 * IFERROR(VLOOKUP(Substitution!$M$12 &amp; $A13, US_national_yearly!$D:$AM, MATCH(C$1, US_national_yearly!$D$1:$AM$1, 0), FALSE) / VLOOKUP(Substitution!$M$12 &amp; $A13, US_national_yearly!$D:$AM, MATCH(Keys!$C$7, US_national_yearly!$D$1:$AM$1, 0), FALSE), 1)</f>
        <v>8.7671227357653011E-4</v>
      </c>
      <c r="D13" s="12">
        <f>$B13 * IFERROR(VLOOKUP(Substitution!$M$12 &amp; $A13, US_national_yearly!$D:$AM, MATCH(D$1, US_national_yearly!$D$1:$AM$1, 0), FALSE) / VLOOKUP(Substitution!$M$12 &amp; $A13, US_national_yearly!$D:$AM, MATCH(Keys!$C$7, US_national_yearly!$D$1:$AM$1, 0), FALSE), 1)</f>
        <v>9.0109566510993325E-4</v>
      </c>
      <c r="E13" s="12">
        <f>$B13 * IFERROR(VLOOKUP(Substitution!$M$12 &amp; $A13, US_national_yearly!$D:$AM, MATCH(E$1, US_national_yearly!$D$1:$AM$1, 0), FALSE) / VLOOKUP(Substitution!$M$12 &amp; $A13, US_national_yearly!$D:$AM, MATCH(Keys!$C$7, US_national_yearly!$D$1:$AM$1, 0), FALSE), 1)</f>
        <v>9.2547905664333596E-4</v>
      </c>
      <c r="F13" s="12">
        <f>$B13 * IFERROR(VLOOKUP(Substitution!$M$12 &amp; $A13, US_national_yearly!$D:$AM, MATCH(F$1, US_national_yearly!$D$1:$AM$1, 0), FALSE) / VLOOKUP(Substitution!$M$12 &amp; $A13, US_national_yearly!$D:$AM, MATCH(Keys!$C$7, US_national_yearly!$D$1:$AM$1, 0), FALSE), 1)</f>
        <v>9.4986244817673877E-4</v>
      </c>
      <c r="G13" s="12">
        <f>$B13 * IFERROR(VLOOKUP(Substitution!$M$12 &amp; $A13, US_national_yearly!$D:$AM, MATCH(G$1, US_national_yearly!$D$1:$AM$1, 0), FALSE) / VLOOKUP(Substitution!$M$12 &amp; $A13, US_national_yearly!$D:$AM, MATCH(Keys!$C$7, US_national_yearly!$D$1:$AM$1, 0), FALSE), 1)</f>
        <v>9.7265352223094824E-4</v>
      </c>
      <c r="H13" s="12">
        <f>$B13 * IFERROR(VLOOKUP(Substitution!$M$12 &amp; $A13, US_national_yearly!$D:$AM, MATCH(H$1, US_national_yearly!$D$1:$AM$1, 0), FALSE) / VLOOKUP(Substitution!$M$12 &amp; $A13, US_national_yearly!$D:$AM, MATCH(Keys!$C$7, US_national_yearly!$D$1:$AM$1, 0), FALSE), 1)</f>
        <v>9.9544459628515781E-4</v>
      </c>
      <c r="I13" s="12">
        <f>$B13 * IFERROR(VLOOKUP(Substitution!$M$12 &amp; $A13, US_national_yearly!$D:$AM, MATCH(I$1, US_national_yearly!$D$1:$AM$1, 0), FALSE) / VLOOKUP(Substitution!$M$12 &amp; $A13, US_national_yearly!$D:$AM, MATCH(Keys!$C$7, US_national_yearly!$D$1:$AM$1, 0), FALSE), 1)</f>
        <v>1.0134251153878398E-3</v>
      </c>
      <c r="J13" s="12">
        <f>$B13 * IFERROR(VLOOKUP(Substitution!$M$12 &amp; $A13, US_national_yearly!$D:$AM, MATCH(J$1, US_national_yearly!$D$1:$AM$1, 0), FALSE) / VLOOKUP(Substitution!$M$12 &amp; $A13, US_national_yearly!$D:$AM, MATCH(Keys!$C$7, US_national_yearly!$D$1:$AM$1, 0), FALSE), 1)</f>
        <v>1.0314056344905217E-3</v>
      </c>
      <c r="K13" s="12">
        <f>$B13 * IFERROR(VLOOKUP(Substitution!$M$12 &amp; $A13, US_national_yearly!$D:$AM, MATCH(K$1, US_national_yearly!$D$1:$AM$1, 0), FALSE) / VLOOKUP(Substitution!$M$12 &amp; $A13, US_national_yearly!$D:$AM, MATCH(Keys!$C$7, US_national_yearly!$D$1:$AM$1, 0), FALSE), 1)</f>
        <v>1.0493861535932039E-3</v>
      </c>
      <c r="L13" s="12">
        <f>$B13 * IFERROR(VLOOKUP(Substitution!$M$12 &amp; $A13, US_national_yearly!$D:$AM, MATCH(L$1, US_national_yearly!$D$1:$AM$1, 0), FALSE) / VLOOKUP(Substitution!$M$12 &amp; $A13, US_national_yearly!$D:$AM, MATCH(Keys!$C$7, US_national_yearly!$D$1:$AM$1, 0), FALSE), 1)</f>
        <v>1.0673666726958853E-3</v>
      </c>
      <c r="M13" s="12">
        <f>$B13 * IFERROR(VLOOKUP(Substitution!$M$12 &amp; $A13, US_national_yearly!$D:$AM, MATCH(M$1, US_national_yearly!$D$1:$AM$1, 0), FALSE) / VLOOKUP(Substitution!$M$12 &amp; $A13, US_national_yearly!$D:$AM, MATCH(Keys!$C$7, US_national_yearly!$D$1:$AM$1, 0), FALSE), 1)</f>
        <v>1.0853471917985677E-3</v>
      </c>
      <c r="N13" s="12">
        <f>$B13 * IFERROR(VLOOKUP(Substitution!$M$12 &amp; $A13, US_national_yearly!$D:$AM, MATCH(N$1, US_national_yearly!$D$1:$AM$1, 0), FALSE) / VLOOKUP(Substitution!$M$12 &amp; $A13, US_national_yearly!$D:$AM, MATCH(Keys!$C$7, US_national_yearly!$D$1:$AM$1, 0), FALSE), 1)</f>
        <v>1.0961684132565423E-3</v>
      </c>
      <c r="O13" s="12">
        <f>$B13 * IFERROR(VLOOKUP(Substitution!$M$12 &amp; $A13, US_national_yearly!$D:$AM, MATCH(O$1, US_national_yearly!$D$1:$AM$1, 0), FALSE) / VLOOKUP(Substitution!$M$12 &amp; $A13, US_national_yearly!$D:$AM, MATCH(Keys!$C$7, US_national_yearly!$D$1:$AM$1, 0), FALSE), 1)</f>
        <v>1.1069896347145167E-3</v>
      </c>
      <c r="P13" s="12">
        <f>$B13 * IFERROR(VLOOKUP(Substitution!$M$12 &amp; $A13, US_national_yearly!$D:$AM, MATCH(P$1, US_national_yearly!$D$1:$AM$1, 0), FALSE) / VLOOKUP(Substitution!$M$12 &amp; $A13, US_national_yearly!$D:$AM, MATCH(Keys!$C$7, US_national_yearly!$D$1:$AM$1, 0), FALSE), 1)</f>
        <v>1.1178108561724913E-3</v>
      </c>
      <c r="Q13" s="12">
        <f>$B13 * IFERROR(VLOOKUP(Substitution!$M$12 &amp; $A13, US_national_yearly!$D:$AM, MATCH(Q$1, US_national_yearly!$D$1:$AM$1, 0), FALSE) / VLOOKUP(Substitution!$M$12 &amp; $A13, US_national_yearly!$D:$AM, MATCH(Keys!$C$7, US_national_yearly!$D$1:$AM$1, 0), FALSE), 1)</f>
        <v>1.1286320776304659E-3</v>
      </c>
      <c r="R13" s="12">
        <f>$B13 * IFERROR(VLOOKUP(Substitution!$M$12 &amp; $A13, US_national_yearly!$D:$AM, MATCH(R$1, US_national_yearly!$D$1:$AM$1, 0), FALSE) / VLOOKUP(Substitution!$M$12 &amp; $A13, US_national_yearly!$D:$AM, MATCH(Keys!$C$7, US_national_yearly!$D$1:$AM$1, 0), FALSE), 1)</f>
        <v>1.1394532990884406E-3</v>
      </c>
      <c r="S13" s="12">
        <f>$B13 * IFERROR(VLOOKUP(Substitution!$M$12 &amp; $A13, US_national_yearly!$D:$AM, MATCH(S$1, US_national_yearly!$D$1:$AM$1, 0), FALSE) / VLOOKUP(Substitution!$M$12 &amp; $A13, US_national_yearly!$D:$AM, MATCH(Keys!$C$7, US_national_yearly!$D$1:$AM$1, 0), FALSE), 1)</f>
        <v>1.144370886637132E-3</v>
      </c>
      <c r="T13" s="12">
        <f>$B13 * IFERROR(VLOOKUP(Substitution!$M$12 &amp; $A13, US_national_yearly!$D:$AM, MATCH(T$1, US_national_yearly!$D$1:$AM$1, 0), FALSE) / VLOOKUP(Substitution!$M$12 &amp; $A13, US_national_yearly!$D:$AM, MATCH(Keys!$C$7, US_national_yearly!$D$1:$AM$1, 0), FALSE), 1)</f>
        <v>1.1492884741858241E-3</v>
      </c>
      <c r="U13" s="12">
        <f>$B13 * IFERROR(VLOOKUP(Substitution!$M$12 &amp; $A13, US_national_yearly!$D:$AM, MATCH(U$1, US_national_yearly!$D$1:$AM$1, 0), FALSE) / VLOOKUP(Substitution!$M$12 &amp; $A13, US_national_yearly!$D:$AM, MATCH(Keys!$C$7, US_national_yearly!$D$1:$AM$1, 0), FALSE), 1)</f>
        <v>1.1542060617345156E-3</v>
      </c>
      <c r="V13" s="12">
        <f>$B13 * IFERROR(VLOOKUP(Substitution!$M$12 &amp; $A13, US_national_yearly!$D:$AM, MATCH(V$1, US_national_yearly!$D$1:$AM$1, 0), FALSE) / VLOOKUP(Substitution!$M$12 &amp; $A13, US_national_yearly!$D:$AM, MATCH(Keys!$C$7, US_national_yearly!$D$1:$AM$1, 0), FALSE), 1)</f>
        <v>1.1591236492832072E-3</v>
      </c>
      <c r="W13" s="12">
        <f>$B13 * IFERROR(VLOOKUP(Substitution!$M$12 &amp; $A13, US_national_yearly!$D:$AM, MATCH(W$1, US_national_yearly!$D$1:$AM$1, 0), FALSE) / VLOOKUP(Substitution!$M$12 &amp; $A13, US_national_yearly!$D:$AM, MATCH(Keys!$C$7, US_national_yearly!$D$1:$AM$1, 0), FALSE), 1)</f>
        <v>1.1640412368318991E-3</v>
      </c>
      <c r="X13" s="12">
        <f>$B13 * IFERROR(VLOOKUP(Substitution!$M$12 &amp; $A13, US_national_yearly!$D:$AM, MATCH(X$1, US_national_yearly!$D$1:$AM$1, 0), FALSE) / VLOOKUP(Substitution!$M$12 &amp; $A13, US_national_yearly!$D:$AM, MATCH(Keys!$C$7, US_national_yearly!$D$1:$AM$1, 0), FALSE), 1)</f>
        <v>1.1673307024554496E-3</v>
      </c>
      <c r="Y13" s="12">
        <f>$B13 * IFERROR(VLOOKUP(Substitution!$M$12 &amp; $A13, US_national_yearly!$D:$AM, MATCH(Y$1, US_national_yearly!$D$1:$AM$1, 0), FALSE) / VLOOKUP(Substitution!$M$12 &amp; $A13, US_national_yearly!$D:$AM, MATCH(Keys!$C$7, US_national_yearly!$D$1:$AM$1, 0), FALSE), 1)</f>
        <v>1.1706201680790002E-3</v>
      </c>
      <c r="Z13" s="12">
        <f>$B13 * IFERROR(VLOOKUP(Substitution!$M$12 &amp; $A13, US_national_yearly!$D:$AM, MATCH(Z$1, US_national_yearly!$D$1:$AM$1, 0), FALSE) / VLOOKUP(Substitution!$M$12 &amp; $A13, US_national_yearly!$D:$AM, MATCH(Keys!$C$7, US_national_yearly!$D$1:$AM$1, 0), FALSE), 1)</f>
        <v>1.173909633702551E-3</v>
      </c>
      <c r="AA13" s="12">
        <f>$B13 * IFERROR(VLOOKUP(Substitution!$M$12 &amp; $A13, US_national_yearly!$D:$AM, MATCH(AA$1, US_national_yearly!$D$1:$AM$1, 0), FALSE) / VLOOKUP(Substitution!$M$12 &amp; $A13, US_national_yearly!$D:$AM, MATCH(Keys!$C$7, US_national_yearly!$D$1:$AM$1, 0), FALSE), 1)</f>
        <v>1.1771990993261015E-3</v>
      </c>
      <c r="AB13" s="12">
        <f>$B13 * IFERROR(VLOOKUP(Substitution!$M$12 &amp; $A13, US_national_yearly!$D:$AM, MATCH(AB$1, US_national_yearly!$D$1:$AM$1, 0), FALSE) / VLOOKUP(Substitution!$M$12 &amp; $A13, US_national_yearly!$D:$AM, MATCH(Keys!$C$7, US_national_yearly!$D$1:$AM$1, 0), FALSE), 1)</f>
        <v>1.1804885649496521E-3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Substitution!$G$12)/IFERROR(SUMIFS(COBRA_aggregated!$W:$W, COBRA_aggregated!$A:$A, About!$B$1, COBRA_aggregated!$B:$B, Substitution!$G$12), 1)</f>
        <v>0.6021883218432289</v>
      </c>
      <c r="C14" s="12">
        <f>$B14 * IFERROR(VLOOKUP(Substitution!$M$12 &amp; $A14, US_national_yearly!$D:$AM, MATCH(C$1, US_national_yearly!$D$1:$AM$1, 0), FALSE) / VLOOKUP(Substitution!$M$12 &amp; $A14, US_national_yearly!$D:$AM, MATCH(Keys!$C$7, US_national_yearly!$D$1:$AM$1, 0), FALSE), 1)</f>
        <v>0.60312277570546213</v>
      </c>
      <c r="D14" s="12">
        <f>$B14 * IFERROR(VLOOKUP(Substitution!$M$12 &amp; $A14, US_national_yearly!$D:$AM, MATCH(D$1, US_national_yearly!$D$1:$AM$1, 0), FALSE) / VLOOKUP(Substitution!$M$12 &amp; $A14, US_national_yearly!$D:$AM, MATCH(Keys!$C$7, US_national_yearly!$D$1:$AM$1, 0), FALSE), 1)</f>
        <v>0.60405722956769536</v>
      </c>
      <c r="E14" s="12">
        <f>$B14 * IFERROR(VLOOKUP(Substitution!$M$12 &amp; $A14, US_national_yearly!$D:$AM, MATCH(E$1, US_national_yearly!$D$1:$AM$1, 0), FALSE) / VLOOKUP(Substitution!$M$12 &amp; $A14, US_national_yearly!$D:$AM, MATCH(Keys!$C$7, US_national_yearly!$D$1:$AM$1, 0), FALSE), 1)</f>
        <v>0.60499168342992848</v>
      </c>
      <c r="F14" s="12">
        <f>$B14 * IFERROR(VLOOKUP(Substitution!$M$12 &amp; $A14, US_national_yearly!$D:$AM, MATCH(F$1, US_national_yearly!$D$1:$AM$1, 0), FALSE) / VLOOKUP(Substitution!$M$12 &amp; $A14, US_national_yearly!$D:$AM, MATCH(Keys!$C$7, US_national_yearly!$D$1:$AM$1, 0), FALSE), 1)</f>
        <v>0.60592613729216172</v>
      </c>
      <c r="G14" s="12">
        <f>$B14 * IFERROR(VLOOKUP(Substitution!$M$12 &amp; $A14, US_national_yearly!$D:$AM, MATCH(G$1, US_national_yearly!$D$1:$AM$1, 0), FALSE) / VLOOKUP(Substitution!$M$12 &amp; $A14, US_national_yearly!$D:$AM, MATCH(Keys!$C$7, US_national_yearly!$D$1:$AM$1, 0), FALSE), 1)</f>
        <v>0.60760488527723799</v>
      </c>
      <c r="H14" s="12">
        <f>$B14 * IFERROR(VLOOKUP(Substitution!$M$12 &amp; $A14, US_national_yearly!$D:$AM, MATCH(H$1, US_national_yearly!$D$1:$AM$1, 0), FALSE) / VLOOKUP(Substitution!$M$12 &amp; $A14, US_national_yearly!$D:$AM, MATCH(Keys!$C$7, US_national_yearly!$D$1:$AM$1, 0), FALSE), 1)</f>
        <v>0.60928363326231427</v>
      </c>
      <c r="I14" s="12">
        <f>$B14 * IFERROR(VLOOKUP(Substitution!$M$12 &amp; $A14, US_national_yearly!$D:$AM, MATCH(I$1, US_national_yearly!$D$1:$AM$1, 0), FALSE) / VLOOKUP(Substitution!$M$12 &amp; $A14, US_national_yearly!$D:$AM, MATCH(Keys!$C$7, US_national_yearly!$D$1:$AM$1, 0), FALSE), 1)</f>
        <v>0.61255671288399527</v>
      </c>
      <c r="J14" s="12">
        <f>$B14 * IFERROR(VLOOKUP(Substitution!$M$12 &amp; $A14, US_national_yearly!$D:$AM, MATCH(J$1, US_national_yearly!$D$1:$AM$1, 0), FALSE) / VLOOKUP(Substitution!$M$12 &amp; $A14, US_national_yearly!$D:$AM, MATCH(Keys!$C$7, US_national_yearly!$D$1:$AM$1, 0), FALSE), 1)</f>
        <v>0.61582979250567627</v>
      </c>
      <c r="K14" s="12">
        <f>$B14 * IFERROR(VLOOKUP(Substitution!$M$12 &amp; $A14, US_national_yearly!$D:$AM, MATCH(K$1, US_national_yearly!$D$1:$AM$1, 0), FALSE) / VLOOKUP(Substitution!$M$12 &amp; $A14, US_national_yearly!$D:$AM, MATCH(Keys!$C$7, US_national_yearly!$D$1:$AM$1, 0), FALSE), 1)</f>
        <v>0.61910287212735715</v>
      </c>
      <c r="L14" s="12">
        <f>$B14 * IFERROR(VLOOKUP(Substitution!$M$12 &amp; $A14, US_national_yearly!$D:$AM, MATCH(L$1, US_national_yearly!$D$1:$AM$1, 0), FALSE) / VLOOKUP(Substitution!$M$12 &amp; $A14, US_national_yearly!$D:$AM, MATCH(Keys!$C$7, US_national_yearly!$D$1:$AM$1, 0), FALSE), 1)</f>
        <v>0.62237595174903815</v>
      </c>
      <c r="M14" s="12">
        <f>$B14 * IFERROR(VLOOKUP(Substitution!$M$12 &amp; $A14, US_national_yearly!$D:$AM, MATCH(M$1, US_national_yearly!$D$1:$AM$1, 0), FALSE) / VLOOKUP(Substitution!$M$12 &amp; $A14, US_national_yearly!$D:$AM, MATCH(Keys!$C$7, US_national_yearly!$D$1:$AM$1, 0), FALSE), 1)</f>
        <v>0.62564903137071914</v>
      </c>
      <c r="N14" s="12">
        <f>$B14 * IFERROR(VLOOKUP(Substitution!$M$12 &amp; $A14, US_national_yearly!$D:$AM, MATCH(N$1, US_national_yearly!$D$1:$AM$1, 0), FALSE) / VLOOKUP(Substitution!$M$12 &amp; $A14, US_national_yearly!$D:$AM, MATCH(Keys!$C$7, US_national_yearly!$D$1:$AM$1, 0), FALSE), 1)</f>
        <v>0.63033152619513755</v>
      </c>
      <c r="O14" s="12">
        <f>$B14 * IFERROR(VLOOKUP(Substitution!$M$12 &amp; $A14, US_national_yearly!$D:$AM, MATCH(O$1, US_national_yearly!$D$1:$AM$1, 0), FALSE) / VLOOKUP(Substitution!$M$12 &amp; $A14, US_national_yearly!$D:$AM, MATCH(Keys!$C$7, US_national_yearly!$D$1:$AM$1, 0), FALSE), 1)</f>
        <v>0.63501402101955584</v>
      </c>
      <c r="P14" s="12">
        <f>$B14 * IFERROR(VLOOKUP(Substitution!$M$12 &amp; $A14, US_national_yearly!$D:$AM, MATCH(P$1, US_national_yearly!$D$1:$AM$1, 0), FALSE) / VLOOKUP(Substitution!$M$12 &amp; $A14, US_national_yearly!$D:$AM, MATCH(Keys!$C$7, US_national_yearly!$D$1:$AM$1, 0), FALSE), 1)</f>
        <v>0.63969651584397424</v>
      </c>
      <c r="Q14" s="12">
        <f>$B14 * IFERROR(VLOOKUP(Substitution!$M$12 &amp; $A14, US_national_yearly!$D:$AM, MATCH(Q$1, US_national_yearly!$D$1:$AM$1, 0), FALSE) / VLOOKUP(Substitution!$M$12 &amp; $A14, US_national_yearly!$D:$AM, MATCH(Keys!$C$7, US_national_yearly!$D$1:$AM$1, 0), FALSE), 1)</f>
        <v>0.64437901066839254</v>
      </c>
      <c r="R14" s="12">
        <f>$B14 * IFERROR(VLOOKUP(Substitution!$M$12 &amp; $A14, US_national_yearly!$D:$AM, MATCH(R$1, US_national_yearly!$D$1:$AM$1, 0), FALSE) / VLOOKUP(Substitution!$M$12 &amp; $A14, US_national_yearly!$D:$AM, MATCH(Keys!$C$7, US_national_yearly!$D$1:$AM$1, 0), FALSE), 1)</f>
        <v>0.64906150549281083</v>
      </c>
      <c r="S14" s="12">
        <f>$B14 * IFERROR(VLOOKUP(Substitution!$M$12 &amp; $A14, US_national_yearly!$D:$AM, MATCH(S$1, US_national_yearly!$D$1:$AM$1, 0), FALSE) / VLOOKUP(Substitution!$M$12 &amp; $A14, US_national_yearly!$D:$AM, MATCH(Keys!$C$7, US_national_yearly!$D$1:$AM$1, 0), FALSE), 1)</f>
        <v>0.65374265235410522</v>
      </c>
      <c r="T14" s="12">
        <f>$B14 * IFERROR(VLOOKUP(Substitution!$M$12 &amp; $A14, US_national_yearly!$D:$AM, MATCH(T$1, US_national_yearly!$D$1:$AM$1, 0), FALSE) / VLOOKUP(Substitution!$M$12 &amp; $A14, US_national_yearly!$D:$AM, MATCH(Keys!$C$7, US_national_yearly!$D$1:$AM$1, 0), FALSE), 1)</f>
        <v>0.65842379921539962</v>
      </c>
      <c r="U14" s="12">
        <f>$B14 * IFERROR(VLOOKUP(Substitution!$M$12 &amp; $A14, US_national_yearly!$D:$AM, MATCH(U$1, US_national_yearly!$D$1:$AM$1, 0), FALSE) / VLOOKUP(Substitution!$M$12 &amp; $A14, US_national_yearly!$D:$AM, MATCH(Keys!$C$7, US_national_yearly!$D$1:$AM$1, 0), FALSE), 1)</f>
        <v>0.66310494607669401</v>
      </c>
      <c r="V14" s="12">
        <f>$B14 * IFERROR(VLOOKUP(Substitution!$M$12 &amp; $A14, US_national_yearly!$D:$AM, MATCH(V$1, US_national_yearly!$D$1:$AM$1, 0), FALSE) / VLOOKUP(Substitution!$M$12 &amp; $A14, US_national_yearly!$D:$AM, MATCH(Keys!$C$7, US_national_yearly!$D$1:$AM$1, 0), FALSE), 1)</f>
        <v>0.66778609293798841</v>
      </c>
      <c r="W14" s="12">
        <f>$B14 * IFERROR(VLOOKUP(Substitution!$M$12 &amp; $A14, US_national_yearly!$D:$AM, MATCH(W$1, US_national_yearly!$D$1:$AM$1, 0), FALSE) / VLOOKUP(Substitution!$M$12 &amp; $A14, US_national_yearly!$D:$AM, MATCH(Keys!$C$7, US_national_yearly!$D$1:$AM$1, 0), FALSE), 1)</f>
        <v>0.6724672397992828</v>
      </c>
      <c r="X14" s="12">
        <f>$B14 * IFERROR(VLOOKUP(Substitution!$M$12 &amp; $A14, US_national_yearly!$D:$AM, MATCH(X$1, US_national_yearly!$D$1:$AM$1, 0), FALSE) / VLOOKUP(Substitution!$M$12 &amp; $A14, US_national_yearly!$D:$AM, MATCH(Keys!$C$7, US_national_yearly!$D$1:$AM$1, 0), FALSE), 1)</f>
        <v>0.67642627798680754</v>
      </c>
      <c r="Y14" s="12">
        <f>$B14 * IFERROR(VLOOKUP(Substitution!$M$12 &amp; $A14, US_national_yearly!$D:$AM, MATCH(Y$1, US_national_yearly!$D$1:$AM$1, 0), FALSE) / VLOOKUP(Substitution!$M$12 &amp; $A14, US_national_yearly!$D:$AM, MATCH(Keys!$C$7, US_national_yearly!$D$1:$AM$1, 0), FALSE), 1)</f>
        <v>0.68038531617433251</v>
      </c>
      <c r="Z14" s="12">
        <f>$B14 * IFERROR(VLOOKUP(Substitution!$M$12 &amp; $A14, US_national_yearly!$D:$AM, MATCH(Z$1, US_national_yearly!$D$1:$AM$1, 0), FALSE) / VLOOKUP(Substitution!$M$12 &amp; $A14, US_national_yearly!$D:$AM, MATCH(Keys!$C$7, US_national_yearly!$D$1:$AM$1, 0), FALSE), 1)</f>
        <v>0.68434435436185714</v>
      </c>
      <c r="AA14" s="12">
        <f>$B14 * IFERROR(VLOOKUP(Substitution!$M$12 &amp; $A14, US_national_yearly!$D:$AM, MATCH(AA$1, US_national_yearly!$D$1:$AM$1, 0), FALSE) / VLOOKUP(Substitution!$M$12 &amp; $A14, US_national_yearly!$D:$AM, MATCH(Keys!$C$7, US_national_yearly!$D$1:$AM$1, 0), FALSE), 1)</f>
        <v>0.68830339254938211</v>
      </c>
      <c r="AB14" s="12">
        <f>$B14 * IFERROR(VLOOKUP(Substitution!$M$12 &amp; $A14, US_national_yearly!$D:$AM, MATCH(AB$1, US_national_yearly!$D$1:$AM$1, 0), FALSE) / VLOOKUP(Substitution!$M$12 &amp; $A14, US_national_yearly!$D:$AM, MATCH(Keys!$C$7, US_national_yearly!$D$1:$AM$1, 0), FALSE), 1)</f>
        <v>0.69226243073690685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Substitution!$G$12)/IFERROR(SUMIFS(COBRA_aggregated!$W:$W, COBRA_aggregated!$A:$A, About!$B$1, COBRA_aggregated!$B:$B, Substitution!$G$12), 1)</f>
        <v>0.10208090185967915</v>
      </c>
      <c r="C15" s="12">
        <f>$B15 * IFERROR(VLOOKUP(Substitution!$M$12 &amp; $A15, US_national_yearly!$D:$AM, MATCH(C$1, US_national_yearly!$D$1:$AM$1, 0), FALSE) / VLOOKUP(Substitution!$M$12 &amp; $A15, US_national_yearly!$D:$AM, MATCH(Keys!$C$7, US_national_yearly!$D$1:$AM$1, 0), FALSE), 1)</f>
        <v>0.10230974019648037</v>
      </c>
      <c r="D15" s="12">
        <f>$B15 * IFERROR(VLOOKUP(Substitution!$M$12 &amp; $A15, US_national_yearly!$D:$AM, MATCH(D$1, US_national_yearly!$D$1:$AM$1, 0), FALSE) / VLOOKUP(Substitution!$M$12 &amp; $A15, US_national_yearly!$D:$AM, MATCH(Keys!$C$7, US_national_yearly!$D$1:$AM$1, 0), FALSE), 1)</f>
        <v>0.10253857853328158</v>
      </c>
      <c r="E15" s="12">
        <f>$B15 * IFERROR(VLOOKUP(Substitution!$M$12 &amp; $A15, US_national_yearly!$D:$AM, MATCH(E$1, US_national_yearly!$D$1:$AM$1, 0), FALSE) / VLOOKUP(Substitution!$M$12 &amp; $A15, US_national_yearly!$D:$AM, MATCH(Keys!$C$7, US_national_yearly!$D$1:$AM$1, 0), FALSE), 1)</f>
        <v>0.10276741687008278</v>
      </c>
      <c r="F15" s="12">
        <f>$B15 * IFERROR(VLOOKUP(Substitution!$M$12 &amp; $A15, US_national_yearly!$D:$AM, MATCH(F$1, US_national_yearly!$D$1:$AM$1, 0), FALSE) / VLOOKUP(Substitution!$M$12 &amp; $A15, US_national_yearly!$D:$AM, MATCH(Keys!$C$7, US_national_yearly!$D$1:$AM$1, 0), FALSE), 1)</f>
        <v>0.102996255206884</v>
      </c>
      <c r="G15" s="12">
        <f>$B15 * IFERROR(VLOOKUP(Substitution!$M$12 &amp; $A15, US_national_yearly!$D:$AM, MATCH(G$1, US_national_yearly!$D$1:$AM$1, 0), FALSE) / VLOOKUP(Substitution!$M$12 &amp; $A15, US_national_yearly!$D:$AM, MATCH(Keys!$C$7, US_national_yearly!$D$1:$AM$1, 0), FALSE), 1)</f>
        <v>0.10332958390066523</v>
      </c>
      <c r="H15" s="12">
        <f>$B15 * IFERROR(VLOOKUP(Substitution!$M$12 &amp; $A15, US_national_yearly!$D:$AM, MATCH(H$1, US_national_yearly!$D$1:$AM$1, 0), FALSE) / VLOOKUP(Substitution!$M$12 &amp; $A15, US_national_yearly!$D:$AM, MATCH(Keys!$C$7, US_national_yearly!$D$1:$AM$1, 0), FALSE), 1)</f>
        <v>0.10366291259444645</v>
      </c>
      <c r="I15" s="12">
        <f>$B15 * IFERROR(VLOOKUP(Substitution!$M$12 &amp; $A15, US_national_yearly!$D:$AM, MATCH(I$1, US_national_yearly!$D$1:$AM$1, 0), FALSE) / VLOOKUP(Substitution!$M$12 &amp; $A15, US_national_yearly!$D:$AM, MATCH(Keys!$C$7, US_national_yearly!$D$1:$AM$1, 0), FALSE), 1)</f>
        <v>0.10420200556355648</v>
      </c>
      <c r="J15" s="12">
        <f>$B15 * IFERROR(VLOOKUP(Substitution!$M$12 &amp; $A15, US_national_yearly!$D:$AM, MATCH(J$1, US_national_yearly!$D$1:$AM$1, 0), FALSE) / VLOOKUP(Substitution!$M$12 &amp; $A15, US_national_yearly!$D:$AM, MATCH(Keys!$C$7, US_national_yearly!$D$1:$AM$1, 0), FALSE), 1)</f>
        <v>0.1047410985326665</v>
      </c>
      <c r="K15" s="12">
        <f>$B15 * IFERROR(VLOOKUP(Substitution!$M$12 &amp; $A15, US_national_yearly!$D:$AM, MATCH(K$1, US_national_yearly!$D$1:$AM$1, 0), FALSE) / VLOOKUP(Substitution!$M$12 &amp; $A15, US_national_yearly!$D:$AM, MATCH(Keys!$C$7, US_national_yearly!$D$1:$AM$1, 0), FALSE), 1)</f>
        <v>0.10528019150177653</v>
      </c>
      <c r="L15" s="12">
        <f>$B15 * IFERROR(VLOOKUP(Substitution!$M$12 &amp; $A15, US_national_yearly!$D:$AM, MATCH(L$1, US_national_yearly!$D$1:$AM$1, 0), FALSE) / VLOOKUP(Substitution!$M$12 &amp; $A15, US_national_yearly!$D:$AM, MATCH(Keys!$C$7, US_national_yearly!$D$1:$AM$1, 0), FALSE), 1)</f>
        <v>0.10581928447088655</v>
      </c>
      <c r="M15" s="12">
        <f>$B15 * IFERROR(VLOOKUP(Substitution!$M$12 &amp; $A15, US_national_yearly!$D:$AM, MATCH(M$1, US_national_yearly!$D$1:$AM$1, 0), FALSE) / VLOOKUP(Substitution!$M$12 &amp; $A15, US_national_yearly!$D:$AM, MATCH(Keys!$C$7, US_national_yearly!$D$1:$AM$1, 0), FALSE), 1)</f>
        <v>0.10635837743999657</v>
      </c>
      <c r="N15" s="12">
        <f>$B15 * IFERROR(VLOOKUP(Substitution!$M$12 &amp; $A15, US_national_yearly!$D:$AM, MATCH(N$1, US_national_yearly!$D$1:$AM$1, 0), FALSE) / VLOOKUP(Substitution!$M$12 &amp; $A15, US_national_yearly!$D:$AM, MATCH(Keys!$C$7, US_national_yearly!$D$1:$AM$1, 0), FALSE), 1)</f>
        <v>0.10705973828203386</v>
      </c>
      <c r="O15" s="12">
        <f>$B15 * IFERROR(VLOOKUP(Substitution!$M$12 &amp; $A15, US_national_yearly!$D:$AM, MATCH(O$1, US_national_yearly!$D$1:$AM$1, 0), FALSE) / VLOOKUP(Substitution!$M$12 &amp; $A15, US_national_yearly!$D:$AM, MATCH(Keys!$C$7, US_national_yearly!$D$1:$AM$1, 0), FALSE), 1)</f>
        <v>0.10776109912407114</v>
      </c>
      <c r="P15" s="12">
        <f>$B15 * IFERROR(VLOOKUP(Substitution!$M$12 &amp; $A15, US_national_yearly!$D:$AM, MATCH(P$1, US_national_yearly!$D$1:$AM$1, 0), FALSE) / VLOOKUP(Substitution!$M$12 &amp; $A15, US_national_yearly!$D:$AM, MATCH(Keys!$C$7, US_national_yearly!$D$1:$AM$1, 0), FALSE), 1)</f>
        <v>0.10846245996610843</v>
      </c>
      <c r="Q15" s="12">
        <f>$B15 * IFERROR(VLOOKUP(Substitution!$M$12 &amp; $A15, US_national_yearly!$D:$AM, MATCH(Q$1, US_national_yearly!$D$1:$AM$1, 0), FALSE) / VLOOKUP(Substitution!$M$12 &amp; $A15, US_national_yearly!$D:$AM, MATCH(Keys!$C$7, US_national_yearly!$D$1:$AM$1, 0), FALSE), 1)</f>
        <v>0.10916382080814574</v>
      </c>
      <c r="R15" s="12">
        <f>$B15 * IFERROR(VLOOKUP(Substitution!$M$12 &amp; $A15, US_national_yearly!$D:$AM, MATCH(R$1, US_national_yearly!$D$1:$AM$1, 0), FALSE) / VLOOKUP(Substitution!$M$12 &amp; $A15, US_national_yearly!$D:$AM, MATCH(Keys!$C$7, US_national_yearly!$D$1:$AM$1, 0), FALSE), 1)</f>
        <v>0.10986518165018302</v>
      </c>
      <c r="S15" s="12">
        <f>$B15 * IFERROR(VLOOKUP(Substitution!$M$12 &amp; $A15, US_national_yearly!$D:$AM, MATCH(S$1, US_national_yearly!$D$1:$AM$1, 0), FALSE) / VLOOKUP(Substitution!$M$12 &amp; $A15, US_national_yearly!$D:$AM, MATCH(Keys!$C$7, US_national_yearly!$D$1:$AM$1, 0), FALSE), 1)</f>
        <v>0.11064672539607555</v>
      </c>
      <c r="T15" s="12">
        <f>$B15 * IFERROR(VLOOKUP(Substitution!$M$12 &amp; $A15, US_national_yearly!$D:$AM, MATCH(T$1, US_national_yearly!$D$1:$AM$1, 0), FALSE) / VLOOKUP(Substitution!$M$12 &amp; $A15, US_national_yearly!$D:$AM, MATCH(Keys!$C$7, US_national_yearly!$D$1:$AM$1, 0), FALSE), 1)</f>
        <v>0.11142826914196811</v>
      </c>
      <c r="U15" s="12">
        <f>$B15 * IFERROR(VLOOKUP(Substitution!$M$12 &amp; $A15, US_national_yearly!$D:$AM, MATCH(U$1, US_national_yearly!$D$1:$AM$1, 0), FALSE) / VLOOKUP(Substitution!$M$12 &amp; $A15, US_national_yearly!$D:$AM, MATCH(Keys!$C$7, US_national_yearly!$D$1:$AM$1, 0), FALSE), 1)</f>
        <v>0.11220981288786065</v>
      </c>
      <c r="V15" s="12">
        <f>$B15 * IFERROR(VLOOKUP(Substitution!$M$12 &amp; $A15, US_national_yearly!$D:$AM, MATCH(V$1, US_national_yearly!$D$1:$AM$1, 0), FALSE) / VLOOKUP(Substitution!$M$12 &amp; $A15, US_national_yearly!$D:$AM, MATCH(Keys!$C$7, US_national_yearly!$D$1:$AM$1, 0), FALSE), 1)</f>
        <v>0.11299135663375319</v>
      </c>
      <c r="W15" s="12">
        <f>$B15 * IFERROR(VLOOKUP(Substitution!$M$12 &amp; $A15, US_national_yearly!$D:$AM, MATCH(W$1, US_national_yearly!$D$1:$AM$1, 0), FALSE) / VLOOKUP(Substitution!$M$12 &amp; $A15, US_national_yearly!$D:$AM, MATCH(Keys!$C$7, US_national_yearly!$D$1:$AM$1, 0), FALSE), 1)</f>
        <v>0.11377290037964573</v>
      </c>
      <c r="X15" s="12">
        <f>$B15 * IFERROR(VLOOKUP(Substitution!$M$12 &amp; $A15, US_national_yearly!$D:$AM, MATCH(X$1, US_national_yearly!$D$1:$AM$1, 0), FALSE) / VLOOKUP(Substitution!$M$12 &amp; $A15, US_national_yearly!$D:$AM, MATCH(Keys!$C$7, US_national_yearly!$D$1:$AM$1, 0), FALSE), 1)</f>
        <v>0.11445144364466417</v>
      </c>
      <c r="Y15" s="12">
        <f>$B15 * IFERROR(VLOOKUP(Substitution!$M$12 &amp; $A15, US_national_yearly!$D:$AM, MATCH(Y$1, US_national_yearly!$D$1:$AM$1, 0), FALSE) / VLOOKUP(Substitution!$M$12 &amp; $A15, US_national_yearly!$D:$AM, MATCH(Keys!$C$7, US_national_yearly!$D$1:$AM$1, 0), FALSE), 1)</f>
        <v>0.1151299869096826</v>
      </c>
      <c r="Z15" s="12">
        <f>$B15 * IFERROR(VLOOKUP(Substitution!$M$12 &amp; $A15, US_national_yearly!$D:$AM, MATCH(Z$1, US_national_yearly!$D$1:$AM$1, 0), FALSE) / VLOOKUP(Substitution!$M$12 &amp; $A15, US_national_yearly!$D:$AM, MATCH(Keys!$C$7, US_national_yearly!$D$1:$AM$1, 0), FALSE), 1)</f>
        <v>0.11580853017470104</v>
      </c>
      <c r="AA15" s="12">
        <f>$B15 * IFERROR(VLOOKUP(Substitution!$M$12 &amp; $A15, US_national_yearly!$D:$AM, MATCH(AA$1, US_national_yearly!$D$1:$AM$1, 0), FALSE) / VLOOKUP(Substitution!$M$12 &amp; $A15, US_national_yearly!$D:$AM, MATCH(Keys!$C$7, US_national_yearly!$D$1:$AM$1, 0), FALSE), 1)</f>
        <v>0.11648707343971948</v>
      </c>
      <c r="AB15" s="12">
        <f>$B15 * IFERROR(VLOOKUP(Substitution!$M$12 &amp; $A15, US_national_yearly!$D:$AM, MATCH(AB$1, US_national_yearly!$D$1:$AM$1, 0), FALSE) / VLOOKUP(Substitution!$M$12 &amp; $A15, US_national_yearly!$D:$AM, MATCH(Keys!$C$7, US_national_yearly!$D$1:$AM$1, 0), FALSE), 1)</f>
        <v>0.11716561670473792</v>
      </c>
    </row>
    <row r="16" spans="1:28" x14ac:dyDescent="0.25">
      <c r="A16" s="4" t="s">
        <v>319</v>
      </c>
      <c r="B16" s="12">
        <f>IFERROR(VLOOKUP(Substitution!$M$12 &amp; $A16, US_national_yearly!$D:$AM, MATCH(Keys!$C$7, US_national_yearly!$D$1:$AM$1, 0), FALSE), 0)</f>
        <v>8.0726700653854582E-5</v>
      </c>
      <c r="C16" s="12">
        <f>$B16 * IFERROR(VLOOKUP(Substitution!$M$12 &amp; $A16, US_national_yearly!$D:$AM, MATCH(C$1, US_national_yearly!$D$1:$AM$1, 0), FALSE) / VLOOKUP(Substitution!$M$12 &amp; $A16, US_national_yearly!$D:$AM, MATCH(Keys!$C$7, US_national_yearly!$D$1:$AM$1, 0), FALSE), 1)</f>
        <v>8.225314067511545E-5</v>
      </c>
      <c r="D16" s="12">
        <f>$B16 * IFERROR(VLOOKUP(Substitution!$M$12 &amp; $A16, US_national_yearly!$D:$AM, MATCH(D$1, US_national_yearly!$D$1:$AM$1, 0), FALSE) / VLOOKUP(Substitution!$M$12 &amp; $A16, US_national_yearly!$D:$AM, MATCH(Keys!$C$7, US_national_yearly!$D$1:$AM$1, 0), FALSE), 1)</f>
        <v>8.3779580696376332E-5</v>
      </c>
      <c r="E16" s="12">
        <f>$B16 * IFERROR(VLOOKUP(Substitution!$M$12 &amp; $A16, US_national_yearly!$D:$AM, MATCH(E$1, US_national_yearly!$D$1:$AM$1, 0), FALSE) / VLOOKUP(Substitution!$M$12 &amp; $A16, US_national_yearly!$D:$AM, MATCH(Keys!$C$7, US_national_yearly!$D$1:$AM$1, 0), FALSE), 1)</f>
        <v>8.5306020717637214E-5</v>
      </c>
      <c r="F16" s="12">
        <f>$B16 * IFERROR(VLOOKUP(Substitution!$M$12 &amp; $A16, US_national_yearly!$D:$AM, MATCH(F$1, US_national_yearly!$D$1:$AM$1, 0), FALSE) / VLOOKUP(Substitution!$M$12 &amp; $A16, US_national_yearly!$D:$AM, MATCH(Keys!$C$7, US_national_yearly!$D$1:$AM$1, 0), FALSE), 1)</f>
        <v>8.6832460738898095E-5</v>
      </c>
      <c r="G16" s="12">
        <f>$B16 * IFERROR(VLOOKUP(Substitution!$M$12 &amp; $A16, US_national_yearly!$D:$AM, MATCH(G$1, US_national_yearly!$D$1:$AM$1, 0), FALSE) / VLOOKUP(Substitution!$M$12 &amp; $A16, US_national_yearly!$D:$AM, MATCH(Keys!$C$7, US_national_yearly!$D$1:$AM$1, 0), FALSE), 1)</f>
        <v>8.8460756752722691E-5</v>
      </c>
      <c r="H16" s="12">
        <f>$B16 * IFERROR(VLOOKUP(Substitution!$M$12 &amp; $A16, US_national_yearly!$D:$AM, MATCH(H$1, US_national_yearly!$D$1:$AM$1, 0), FALSE) / VLOOKUP(Substitution!$M$12 &amp; $A16, US_national_yearly!$D:$AM, MATCH(Keys!$C$7, US_national_yearly!$D$1:$AM$1, 0), FALSE), 1)</f>
        <v>9.00890527665473E-5</v>
      </c>
      <c r="I16" s="12">
        <f>$B16 * IFERROR(VLOOKUP(Substitution!$M$12 &amp; $A16, US_national_yearly!$D:$AM, MATCH(I$1, US_national_yearly!$D$1:$AM$1, 0), FALSE) / VLOOKUP(Substitution!$M$12 &amp; $A16, US_national_yearly!$D:$AM, MATCH(Keys!$C$7, US_national_yearly!$D$1:$AM$1, 0), FALSE), 1)</f>
        <v>9.1823611552394505E-5</v>
      </c>
      <c r="J16" s="12">
        <f>$B16 * IFERROR(VLOOKUP(Substitution!$M$12 &amp; $A16, US_national_yearly!$D:$AM, MATCH(J$1, US_national_yearly!$D$1:$AM$1, 0), FALSE) / VLOOKUP(Substitution!$M$12 &amp; $A16, US_national_yearly!$D:$AM, MATCH(Keys!$C$7, US_national_yearly!$D$1:$AM$1, 0), FALSE), 1)</f>
        <v>9.3558170338241682E-5</v>
      </c>
      <c r="K16" s="12">
        <f>$B16 * IFERROR(VLOOKUP(Substitution!$M$12 &amp; $A16, US_national_yearly!$D:$AM, MATCH(K$1, US_national_yearly!$D$1:$AM$1, 0), FALSE) / VLOOKUP(Substitution!$M$12 &amp; $A16, US_national_yearly!$D:$AM, MATCH(Keys!$C$7, US_national_yearly!$D$1:$AM$1, 0), FALSE), 1)</f>
        <v>9.52927291240889E-5</v>
      </c>
      <c r="L16" s="12">
        <f>$B16 * IFERROR(VLOOKUP(Substitution!$M$12 &amp; $A16, US_national_yearly!$D:$AM, MATCH(L$1, US_national_yearly!$D$1:$AM$1, 0), FALSE) / VLOOKUP(Substitution!$M$12 &amp; $A16, US_national_yearly!$D:$AM, MATCH(Keys!$C$7, US_national_yearly!$D$1:$AM$1, 0), FALSE), 1)</f>
        <v>9.702728790993609E-5</v>
      </c>
      <c r="M16" s="12">
        <f>$B16 * IFERROR(VLOOKUP(Substitution!$M$12 &amp; $A16, US_national_yearly!$D:$AM, MATCH(M$1, US_national_yearly!$D$1:$AM$1, 0), FALSE) / VLOOKUP(Substitution!$M$12 &amp; $A16, US_national_yearly!$D:$AM, MATCH(Keys!$C$7, US_national_yearly!$D$1:$AM$1, 0), FALSE), 1)</f>
        <v>9.8761846695783308E-5</v>
      </c>
      <c r="N16" s="12">
        <f>$B16 * IFERROR(VLOOKUP(Substitution!$M$12 &amp; $A16, US_national_yearly!$D:$AM, MATCH(N$1, US_national_yearly!$D$1:$AM$1, 0), FALSE) / VLOOKUP(Substitution!$M$12 &amp; $A16, US_national_yearly!$D:$AM, MATCH(Keys!$C$7, US_national_yearly!$D$1:$AM$1, 0), FALSE), 1)</f>
        <v>1.0018018332958541E-4</v>
      </c>
      <c r="O16" s="12">
        <f>$B16 * IFERROR(VLOOKUP(Substitution!$M$12 &amp; $A16, US_national_yearly!$D:$AM, MATCH(O$1, US_national_yearly!$D$1:$AM$1, 0), FALSE) / VLOOKUP(Substitution!$M$12 &amp; $A16, US_national_yearly!$D:$AM, MATCH(Keys!$C$7, US_national_yearly!$D$1:$AM$1, 0), FALSE), 1)</f>
        <v>1.015985199633876E-4</v>
      </c>
      <c r="P16" s="12">
        <f>$B16 * IFERROR(VLOOKUP(Substitution!$M$12 &amp; $A16, US_national_yearly!$D:$AM, MATCH(P$1, US_national_yearly!$D$1:$AM$1, 0), FALSE) / VLOOKUP(Substitution!$M$12 &amp; $A16, US_national_yearly!$D:$AM, MATCH(Keys!$C$7, US_national_yearly!$D$1:$AM$1, 0), FALSE), 1)</f>
        <v>1.030168565971897E-4</v>
      </c>
      <c r="Q16" s="12">
        <f>$B16 * IFERROR(VLOOKUP(Substitution!$M$12 &amp; $A16, US_national_yearly!$D:$AM, MATCH(Q$1, US_national_yearly!$D$1:$AM$1, 0), FALSE) / VLOOKUP(Substitution!$M$12 &amp; $A16, US_national_yearly!$D:$AM, MATCH(Keys!$C$7, US_national_yearly!$D$1:$AM$1, 0), FALSE), 1)</f>
        <v>1.044351932309919E-4</v>
      </c>
      <c r="R16" s="12">
        <f>$B16 * IFERROR(VLOOKUP(Substitution!$M$12 &amp; $A16, US_national_yearly!$D:$AM, MATCH(R$1, US_national_yearly!$D$1:$AM$1, 0), FALSE) / VLOOKUP(Substitution!$M$12 &amp; $A16, US_national_yearly!$D:$AM, MATCH(Keys!$C$7, US_national_yearly!$D$1:$AM$1, 0), FALSE), 1)</f>
        <v>1.05853529864794E-4</v>
      </c>
      <c r="S16" s="12">
        <f>$B16 * IFERROR(VLOOKUP(Substitution!$M$12 &amp; $A16, US_national_yearly!$D:$AM, MATCH(S$1, US_national_yearly!$D$1:$AM$1, 0), FALSE) / VLOOKUP(Substitution!$M$12 &amp; $A16, US_national_yearly!$D:$AM, MATCH(Keys!$C$7, US_national_yearly!$D$1:$AM$1, 0), FALSE), 1)</f>
        <v>1.064759086253324E-4</v>
      </c>
      <c r="T16" s="12">
        <f>$B16 * IFERROR(VLOOKUP(Substitution!$M$12 &amp; $A16, US_national_yearly!$D:$AM, MATCH(T$1, US_national_yearly!$D$1:$AM$1, 0), FALSE) / VLOOKUP(Substitution!$M$12 &amp; $A16, US_national_yearly!$D:$AM, MATCH(Keys!$C$7, US_national_yearly!$D$1:$AM$1, 0), FALSE), 1)</f>
        <v>1.0709828738587079E-4</v>
      </c>
      <c r="U16" s="12">
        <f>$B16 * IFERROR(VLOOKUP(Substitution!$M$12 &amp; $A16, US_national_yearly!$D:$AM, MATCH(U$1, US_national_yearly!$D$1:$AM$1, 0), FALSE) / VLOOKUP(Substitution!$M$12 &amp; $A16, US_national_yearly!$D:$AM, MATCH(Keys!$C$7, US_national_yearly!$D$1:$AM$1, 0), FALSE), 1)</f>
        <v>1.0772066614640921E-4</v>
      </c>
      <c r="V16" s="12">
        <f>$B16 * IFERROR(VLOOKUP(Substitution!$M$12 &amp; $A16, US_national_yearly!$D:$AM, MATCH(V$1, US_national_yearly!$D$1:$AM$1, 0), FALSE) / VLOOKUP(Substitution!$M$12 &amp; $A16, US_national_yearly!$D:$AM, MATCH(Keys!$C$7, US_national_yearly!$D$1:$AM$1, 0), FALSE), 1)</f>
        <v>1.083430449069476E-4</v>
      </c>
      <c r="W16" s="12">
        <f>$B16 * IFERROR(VLOOKUP(Substitution!$M$12 &amp; $A16, US_national_yearly!$D:$AM, MATCH(W$1, US_national_yearly!$D$1:$AM$1, 0), FALSE) / VLOOKUP(Substitution!$M$12 &amp; $A16, US_national_yearly!$D:$AM, MATCH(Keys!$C$7, US_national_yearly!$D$1:$AM$1, 0), FALSE), 1)</f>
        <v>1.0896542366748601E-4</v>
      </c>
      <c r="X16" s="12">
        <f>$B16 * IFERROR(VLOOKUP(Substitution!$M$12 &amp; $A16, US_national_yearly!$D:$AM, MATCH(X$1, US_national_yearly!$D$1:$AM$1, 0), FALSE) / VLOOKUP(Substitution!$M$12 &amp; $A16, US_national_yearly!$D:$AM, MATCH(Keys!$C$7, US_national_yearly!$D$1:$AM$1, 0), FALSE), 1)</f>
        <v>1.091869854157268E-4</v>
      </c>
      <c r="Y16" s="12">
        <f>$B16 * IFERROR(VLOOKUP(Substitution!$M$12 &amp; $A16, US_national_yearly!$D:$AM, MATCH(Y$1, US_national_yearly!$D$1:$AM$1, 0), FALSE) / VLOOKUP(Substitution!$M$12 &amp; $A16, US_national_yearly!$D:$AM, MATCH(Keys!$C$7, US_national_yearly!$D$1:$AM$1, 0), FALSE), 1)</f>
        <v>1.094085471639676E-4</v>
      </c>
      <c r="Z16" s="12">
        <f>$B16 * IFERROR(VLOOKUP(Substitution!$M$12 &amp; $A16, US_national_yearly!$D:$AM, MATCH(Z$1, US_national_yearly!$D$1:$AM$1, 0), FALSE) / VLOOKUP(Substitution!$M$12 &amp; $A16, US_national_yearly!$D:$AM, MATCH(Keys!$C$7, US_national_yearly!$D$1:$AM$1, 0), FALSE), 1)</f>
        <v>1.096301089122084E-4</v>
      </c>
      <c r="AA16" s="12">
        <f>$B16 * IFERROR(VLOOKUP(Substitution!$M$12 &amp; $A16, US_national_yearly!$D:$AM, MATCH(AA$1, US_national_yearly!$D$1:$AM$1, 0), FALSE) / VLOOKUP(Substitution!$M$12 &amp; $A16, US_national_yearly!$D:$AM, MATCH(Keys!$C$7, US_national_yearly!$D$1:$AM$1, 0), FALSE), 1)</f>
        <v>1.098516706604492E-4</v>
      </c>
      <c r="AB16" s="12">
        <f>$B16 * IFERROR(VLOOKUP(Substitution!$M$12 &amp; $A16, US_national_yearly!$D:$AM, MATCH(AB$1, US_national_yearly!$D$1:$AM$1, 0), FALSE) / VLOOKUP(Substitution!$M$12 &amp; $A16, US_national_yearly!$D:$AM, MATCH(Keys!$C$7, US_national_yearly!$D$1:$AM$1, 0), FALSE), 1)</f>
        <v>1.1007323240869E-4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Substitution!$G$12)/IFERROR(SUMIFS(COBRA_aggregated!$W:$W, COBRA_aggregated!$A:$A, About!$B$1, COBRA_aggregated!$B:$B, Substitution!$G$12), 1)</f>
        <v>2.320248157892467E-4</v>
      </c>
      <c r="C17" s="12">
        <f>$B17 * IFERROR(VLOOKUP(Substitution!$M$12 &amp; $A17, US_national_yearly!$D:$AM, MATCH(C$1, US_national_yearly!$D$1:$AM$1, 0), FALSE) / VLOOKUP(Substitution!$M$12 &amp; $A17, US_national_yearly!$D:$AM, MATCH(Keys!$C$7, US_national_yearly!$D$1:$AM$1, 0), FALSE), 1)</f>
        <v>2.3884636599099147E-4</v>
      </c>
      <c r="D17" s="12">
        <f>$B17 * IFERROR(VLOOKUP(Substitution!$M$12 &amp; $A17, US_national_yearly!$D:$AM, MATCH(D$1, US_national_yearly!$D$1:$AM$1, 0), FALSE) / VLOOKUP(Substitution!$M$12 &amp; $A17, US_national_yearly!$D:$AM, MATCH(Keys!$C$7, US_national_yearly!$D$1:$AM$1, 0), FALSE), 1)</f>
        <v>2.4566791619273629E-4</v>
      </c>
      <c r="E17" s="12">
        <f>$B17 * IFERROR(VLOOKUP(Substitution!$M$12 &amp; $A17, US_national_yearly!$D:$AM, MATCH(E$1, US_national_yearly!$D$1:$AM$1, 0), FALSE) / VLOOKUP(Substitution!$M$12 &amp; $A17, US_national_yearly!$D:$AM, MATCH(Keys!$C$7, US_national_yearly!$D$1:$AM$1, 0), FALSE), 1)</f>
        <v>2.5248946639448109E-4</v>
      </c>
      <c r="F17" s="12">
        <f>$B17 * IFERROR(VLOOKUP(Substitution!$M$12 &amp; $A17, US_national_yearly!$D:$AM, MATCH(F$1, US_national_yearly!$D$1:$AM$1, 0), FALSE) / VLOOKUP(Substitution!$M$12 &amp; $A17, US_national_yearly!$D:$AM, MATCH(Keys!$C$7, US_national_yearly!$D$1:$AM$1, 0), FALSE), 1)</f>
        <v>2.5931101659622588E-4</v>
      </c>
      <c r="G17" s="12">
        <f>$B17 * IFERROR(VLOOKUP(Substitution!$M$12 &amp; $A17, US_national_yearly!$D:$AM, MATCH(G$1, US_national_yearly!$D$1:$AM$1, 0), FALSE) / VLOOKUP(Substitution!$M$12 &amp; $A17, US_national_yearly!$D:$AM, MATCH(Keys!$C$7, US_national_yearly!$D$1:$AM$1, 0), FALSE), 1)</f>
        <v>2.6579136522026032E-4</v>
      </c>
      <c r="H17" s="12">
        <f>$B17 * IFERROR(VLOOKUP(Substitution!$M$12 &amp; $A17, US_national_yearly!$D:$AM, MATCH(H$1, US_national_yearly!$D$1:$AM$1, 0), FALSE) / VLOOKUP(Substitution!$M$12 &amp; $A17, US_national_yearly!$D:$AM, MATCH(Keys!$C$7, US_national_yearly!$D$1:$AM$1, 0), FALSE), 1)</f>
        <v>2.722717138442948E-4</v>
      </c>
      <c r="I17" s="12">
        <f>$B17 * IFERROR(VLOOKUP(Substitution!$M$12 &amp; $A17, US_national_yearly!$D:$AM, MATCH(I$1, US_national_yearly!$D$1:$AM$1, 0), FALSE) / VLOOKUP(Substitution!$M$12 &amp; $A17, US_national_yearly!$D:$AM, MATCH(Keys!$C$7, US_national_yearly!$D$1:$AM$1, 0), FALSE), 1)</f>
        <v>2.7772428740543921E-4</v>
      </c>
      <c r="J17" s="12">
        <f>$B17 * IFERROR(VLOOKUP(Substitution!$M$12 &amp; $A17, US_national_yearly!$D:$AM, MATCH(J$1, US_national_yearly!$D$1:$AM$1, 0), FALSE) / VLOOKUP(Substitution!$M$12 &amp; $A17, US_national_yearly!$D:$AM, MATCH(Keys!$C$7, US_national_yearly!$D$1:$AM$1, 0), FALSE), 1)</f>
        <v>2.8317686096658356E-4</v>
      </c>
      <c r="K17" s="12">
        <f>$B17 * IFERROR(VLOOKUP(Substitution!$M$12 &amp; $A17, US_national_yearly!$D:$AM, MATCH(K$1, US_national_yearly!$D$1:$AM$1, 0), FALSE) / VLOOKUP(Substitution!$M$12 &amp; $A17, US_national_yearly!$D:$AM, MATCH(Keys!$C$7, US_national_yearly!$D$1:$AM$1, 0), FALSE), 1)</f>
        <v>2.8862943452772786E-4</v>
      </c>
      <c r="L17" s="12">
        <f>$B17 * IFERROR(VLOOKUP(Substitution!$M$12 &amp; $A17, US_national_yearly!$D:$AM, MATCH(L$1, US_national_yearly!$D$1:$AM$1, 0), FALSE) / VLOOKUP(Substitution!$M$12 &amp; $A17, US_national_yearly!$D:$AM, MATCH(Keys!$C$7, US_national_yearly!$D$1:$AM$1, 0), FALSE), 1)</f>
        <v>2.9408200808887222E-4</v>
      </c>
      <c r="M17" s="12">
        <f>$B17 * IFERROR(VLOOKUP(Substitution!$M$12 &amp; $A17, US_national_yearly!$D:$AM, MATCH(M$1, US_national_yearly!$D$1:$AM$1, 0), FALSE) / VLOOKUP(Substitution!$M$12 &amp; $A17, US_national_yearly!$D:$AM, MATCH(Keys!$C$7, US_national_yearly!$D$1:$AM$1, 0), FALSE), 1)</f>
        <v>2.9953458165001652E-4</v>
      </c>
      <c r="N17" s="12">
        <f>$B17 * IFERROR(VLOOKUP(Substitution!$M$12 &amp; $A17, US_national_yearly!$D:$AM, MATCH(N$1, US_national_yearly!$D$1:$AM$1, 0), FALSE) / VLOOKUP(Substitution!$M$12 &amp; $A17, US_national_yearly!$D:$AM, MATCH(Keys!$C$7, US_national_yearly!$D$1:$AM$1, 0), FALSE), 1)</f>
        <v>3.0294535266833696E-4</v>
      </c>
      <c r="O17" s="12">
        <f>$B17 * IFERROR(VLOOKUP(Substitution!$M$12 &amp; $A17, US_national_yearly!$D:$AM, MATCH(O$1, US_national_yearly!$D$1:$AM$1, 0), FALSE) / VLOOKUP(Substitution!$M$12 &amp; $A17, US_national_yearly!$D:$AM, MATCH(Keys!$C$7, US_national_yearly!$D$1:$AM$1, 0), FALSE), 1)</f>
        <v>3.063561236866573E-4</v>
      </c>
      <c r="P17" s="12">
        <f>$B17 * IFERROR(VLOOKUP(Substitution!$M$12 &amp; $A17, US_national_yearly!$D:$AM, MATCH(P$1, US_national_yearly!$D$1:$AM$1, 0), FALSE) / VLOOKUP(Substitution!$M$12 &amp; $A17, US_national_yearly!$D:$AM, MATCH(Keys!$C$7, US_national_yearly!$D$1:$AM$1, 0), FALSE), 1)</f>
        <v>3.097668947049777E-4</v>
      </c>
      <c r="Q17" s="12">
        <f>$B17 * IFERROR(VLOOKUP(Substitution!$M$12 &amp; $A17, US_national_yearly!$D:$AM, MATCH(Q$1, US_national_yearly!$D$1:$AM$1, 0), FALSE) / VLOOKUP(Substitution!$M$12 &amp; $A17, US_national_yearly!$D:$AM, MATCH(Keys!$C$7, US_national_yearly!$D$1:$AM$1, 0), FALSE), 1)</f>
        <v>3.1317766572329814E-4</v>
      </c>
      <c r="R17" s="12">
        <f>$B17 * IFERROR(VLOOKUP(Substitution!$M$12 &amp; $A17, US_national_yearly!$D:$AM, MATCH(R$1, US_national_yearly!$D$1:$AM$1, 0), FALSE) / VLOOKUP(Substitution!$M$12 &amp; $A17, US_national_yearly!$D:$AM, MATCH(Keys!$C$7, US_national_yearly!$D$1:$AM$1, 0), FALSE), 1)</f>
        <v>3.1658843674161848E-4</v>
      </c>
      <c r="S17" s="12">
        <f>$B17 * IFERROR(VLOOKUP(Substitution!$M$12 &amp; $A17, US_national_yearly!$D:$AM, MATCH(S$1, US_national_yearly!$D$1:$AM$1, 0), FALSE) / VLOOKUP(Substitution!$M$12 &amp; $A17, US_national_yearly!$D:$AM, MATCH(Keys!$C$7, US_national_yearly!$D$1:$AM$1, 0), FALSE), 1)</f>
        <v>3.1814691506640785E-4</v>
      </c>
      <c r="T17" s="12">
        <f>$B17 * IFERROR(VLOOKUP(Substitution!$M$12 &amp; $A17, US_national_yearly!$D:$AM, MATCH(T$1, US_national_yearly!$D$1:$AM$1, 0), FALSE) / VLOOKUP(Substitution!$M$12 &amp; $A17, US_national_yearly!$D:$AM, MATCH(Keys!$C$7, US_national_yearly!$D$1:$AM$1, 0), FALSE), 1)</f>
        <v>3.1970539339119721E-4</v>
      </c>
      <c r="U17" s="12">
        <f>$B17 * IFERROR(VLOOKUP(Substitution!$M$12 &amp; $A17, US_national_yearly!$D:$AM, MATCH(U$1, US_national_yearly!$D$1:$AM$1, 0), FALSE) / VLOOKUP(Substitution!$M$12 &amp; $A17, US_national_yearly!$D:$AM, MATCH(Keys!$C$7, US_national_yearly!$D$1:$AM$1, 0), FALSE), 1)</f>
        <v>3.2126387171598658E-4</v>
      </c>
      <c r="V17" s="12">
        <f>$B17 * IFERROR(VLOOKUP(Substitution!$M$12 &amp; $A17, US_national_yearly!$D:$AM, MATCH(V$1, US_national_yearly!$D$1:$AM$1, 0), FALSE) / VLOOKUP(Substitution!$M$12 &amp; $A17, US_national_yearly!$D:$AM, MATCH(Keys!$C$7, US_national_yearly!$D$1:$AM$1, 0), FALSE), 1)</f>
        <v>3.2282235004077589E-4</v>
      </c>
      <c r="W17" s="12">
        <f>$B17 * IFERROR(VLOOKUP(Substitution!$M$12 &amp; $A17, US_national_yearly!$D:$AM, MATCH(W$1, US_national_yearly!$D$1:$AM$1, 0), FALSE) / VLOOKUP(Substitution!$M$12 &amp; $A17, US_national_yearly!$D:$AM, MATCH(Keys!$C$7, US_national_yearly!$D$1:$AM$1, 0), FALSE), 1)</f>
        <v>3.243808283655653E-4</v>
      </c>
      <c r="X17" s="12">
        <f>$B17 * IFERROR(VLOOKUP(Substitution!$M$12 &amp; $A17, US_national_yearly!$D:$AM, MATCH(X$1, US_national_yearly!$D$1:$AM$1, 0), FALSE) / VLOOKUP(Substitution!$M$12 &amp; $A17, US_national_yearly!$D:$AM, MATCH(Keys!$C$7, US_national_yearly!$D$1:$AM$1, 0), FALSE), 1)</f>
        <v>3.2524950844810979E-4</v>
      </c>
      <c r="Y17" s="12">
        <f>$B17 * IFERROR(VLOOKUP(Substitution!$M$12 &amp; $A17, US_national_yearly!$D:$AM, MATCH(Y$1, US_national_yearly!$D$1:$AM$1, 0), FALSE) / VLOOKUP(Substitution!$M$12 &amp; $A17, US_national_yearly!$D:$AM, MATCH(Keys!$C$7, US_national_yearly!$D$1:$AM$1, 0), FALSE), 1)</f>
        <v>3.2611818853065438E-4</v>
      </c>
      <c r="Z17" s="12">
        <f>$B17 * IFERROR(VLOOKUP(Substitution!$M$12 &amp; $A17, US_national_yearly!$D:$AM, MATCH(Z$1, US_national_yearly!$D$1:$AM$1, 0), FALSE) / VLOOKUP(Substitution!$M$12 &amp; $A17, US_national_yearly!$D:$AM, MATCH(Keys!$C$7, US_national_yearly!$D$1:$AM$1, 0), FALSE), 1)</f>
        <v>3.2698686861319892E-4</v>
      </c>
      <c r="AA17" s="12">
        <f>$B17 * IFERROR(VLOOKUP(Substitution!$M$12 &amp; $A17, US_national_yearly!$D:$AM, MATCH(AA$1, US_national_yearly!$D$1:$AM$1, 0), FALSE) / VLOOKUP(Substitution!$M$12 &amp; $A17, US_national_yearly!$D:$AM, MATCH(Keys!$C$7, US_national_yearly!$D$1:$AM$1, 0), FALSE), 1)</f>
        <v>3.2785554869574346E-4</v>
      </c>
      <c r="AB17" s="12">
        <f>$B17 * IFERROR(VLOOKUP(Substitution!$M$12 &amp; $A17, US_national_yearly!$D:$AM, MATCH(AB$1, US_national_yearly!$D$1:$AM$1, 0), FALSE) / VLOOKUP(Substitution!$M$12 &amp; $A17, US_national_yearly!$D:$AM, MATCH(Keys!$C$7, US_national_yearly!$D$1:$AM$1, 0), FALSE), 1)</f>
        <v>3.28724228778288E-4</v>
      </c>
    </row>
    <row r="18" spans="1:28" x14ac:dyDescent="0.25">
      <c r="A18" s="4" t="s">
        <v>323</v>
      </c>
      <c r="B18" s="12">
        <f>IFERROR(VLOOKUP(Substitution!$M$12 &amp; $A18, US_national_yearly!$D:$AM, MATCH(Keys!$C$7, US_national_yearly!$D$1:$AM$1, 0), FALSE), 0)</f>
        <v>5.8207572259364241E-4</v>
      </c>
      <c r="C18" s="12">
        <f>$B18 * IFERROR(VLOOKUP(Substitution!$M$12 &amp; $A18, US_national_yearly!$D:$AM, MATCH(C$1, US_national_yearly!$D$1:$AM$1, 0), FALSE) / VLOOKUP(Substitution!$M$12 &amp; $A18, US_national_yearly!$D:$AM, MATCH(Keys!$C$7, US_national_yearly!$D$1:$AM$1, 0), FALSE), 1)</f>
        <v>6.0089502274750586E-4</v>
      </c>
      <c r="D18" s="12">
        <f>$B18 * IFERROR(VLOOKUP(Substitution!$M$12 &amp; $A18, US_national_yearly!$D:$AM, MATCH(D$1, US_national_yearly!$D$1:$AM$1, 0), FALSE) / VLOOKUP(Substitution!$M$12 &amp; $A18, US_national_yearly!$D:$AM, MATCH(Keys!$C$7, US_national_yearly!$D$1:$AM$1, 0), FALSE), 1)</f>
        <v>6.1971432290136921E-4</v>
      </c>
      <c r="E18" s="12">
        <f>$B18 * IFERROR(VLOOKUP(Substitution!$M$12 &amp; $A18, US_national_yearly!$D:$AM, MATCH(E$1, US_national_yearly!$D$1:$AM$1, 0), FALSE) / VLOOKUP(Substitution!$M$12 &amp; $A18, US_national_yearly!$D:$AM, MATCH(Keys!$C$7, US_national_yearly!$D$1:$AM$1, 0), FALSE), 1)</f>
        <v>6.3853362305523245E-4</v>
      </c>
      <c r="F18" s="12">
        <f>$B18 * IFERROR(VLOOKUP(Substitution!$M$12 &amp; $A18, US_national_yearly!$D:$AM, MATCH(F$1, US_national_yearly!$D$1:$AM$1, 0), FALSE) / VLOOKUP(Substitution!$M$12 &amp; $A18, US_national_yearly!$D:$AM, MATCH(Keys!$C$7, US_national_yearly!$D$1:$AM$1, 0), FALSE), 1)</f>
        <v>6.5735292320909602E-4</v>
      </c>
      <c r="G18" s="12">
        <f>$B18 * IFERROR(VLOOKUP(Substitution!$M$12 &amp; $A18, US_national_yearly!$D:$AM, MATCH(G$1, US_national_yearly!$D$1:$AM$1, 0), FALSE) / VLOOKUP(Substitution!$M$12 &amp; $A18, US_national_yearly!$D:$AM, MATCH(Keys!$C$7, US_national_yearly!$D$1:$AM$1, 0), FALSE), 1)</f>
        <v>6.7724933786648695E-4</v>
      </c>
      <c r="H18" s="12">
        <f>$B18 * IFERROR(VLOOKUP(Substitution!$M$12 &amp; $A18, US_national_yearly!$D:$AM, MATCH(H$1, US_national_yearly!$D$1:$AM$1, 0), FALSE) / VLOOKUP(Substitution!$M$12 &amp; $A18, US_national_yearly!$D:$AM, MATCH(Keys!$C$7, US_national_yearly!$D$1:$AM$1, 0), FALSE), 1)</f>
        <v>6.9714575252387799E-4</v>
      </c>
      <c r="I18" s="12">
        <f>$B18 * IFERROR(VLOOKUP(Substitution!$M$12 &amp; $A18, US_national_yearly!$D:$AM, MATCH(I$1, US_national_yearly!$D$1:$AM$1, 0), FALSE) / VLOOKUP(Substitution!$M$12 &amp; $A18, US_national_yearly!$D:$AM, MATCH(Keys!$C$7, US_national_yearly!$D$1:$AM$1, 0), FALSE), 1)</f>
        <v>7.1687014281255159E-4</v>
      </c>
      <c r="J18" s="12">
        <f>$B18 * IFERROR(VLOOKUP(Substitution!$M$12 &amp; $A18, US_national_yearly!$D:$AM, MATCH(J$1, US_national_yearly!$D$1:$AM$1, 0), FALSE) / VLOOKUP(Substitution!$M$12 &amp; $A18, US_national_yearly!$D:$AM, MATCH(Keys!$C$7, US_national_yearly!$D$1:$AM$1, 0), FALSE), 1)</f>
        <v>7.3659453310122519E-4</v>
      </c>
      <c r="K18" s="12">
        <f>$B18 * IFERROR(VLOOKUP(Substitution!$M$12 &amp; $A18, US_national_yearly!$D:$AM, MATCH(K$1, US_national_yearly!$D$1:$AM$1, 0), FALSE) / VLOOKUP(Substitution!$M$12 &amp; $A18, US_national_yearly!$D:$AM, MATCH(Keys!$C$7, US_national_yearly!$D$1:$AM$1, 0), FALSE), 1)</f>
        <v>7.563189233898988E-4</v>
      </c>
      <c r="L18" s="12">
        <f>$B18 * IFERROR(VLOOKUP(Substitution!$M$12 &amp; $A18, US_national_yearly!$D:$AM, MATCH(L$1, US_national_yearly!$D$1:$AM$1, 0), FALSE) / VLOOKUP(Substitution!$M$12 &amp; $A18, US_national_yearly!$D:$AM, MATCH(Keys!$C$7, US_national_yearly!$D$1:$AM$1, 0), FALSE), 1)</f>
        <v>7.760433136785724E-4</v>
      </c>
      <c r="M18" s="12">
        <f>$B18 * IFERROR(VLOOKUP(Substitution!$M$12 &amp; $A18, US_national_yearly!$D:$AM, MATCH(M$1, US_national_yearly!$D$1:$AM$1, 0), FALSE) / VLOOKUP(Substitution!$M$12 &amp; $A18, US_national_yearly!$D:$AM, MATCH(Keys!$C$7, US_national_yearly!$D$1:$AM$1, 0), FALSE), 1)</f>
        <v>7.95767703967246E-4</v>
      </c>
      <c r="N18" s="12">
        <f>$B18 * IFERROR(VLOOKUP(Substitution!$M$12 &amp; $A18, US_national_yearly!$D:$AM, MATCH(N$1, US_national_yearly!$D$1:$AM$1, 0), FALSE) / VLOOKUP(Substitution!$M$12 &amp; $A18, US_national_yearly!$D:$AM, MATCH(Keys!$C$7, US_national_yearly!$D$1:$AM$1, 0), FALSE), 1)</f>
        <v>8.0943602216734778E-4</v>
      </c>
      <c r="O18" s="12">
        <f>$B18 * IFERROR(VLOOKUP(Substitution!$M$12 &amp; $A18, US_national_yearly!$D:$AM, MATCH(O$1, US_national_yearly!$D$1:$AM$1, 0), FALSE) / VLOOKUP(Substitution!$M$12 &amp; $A18, US_national_yearly!$D:$AM, MATCH(Keys!$C$7, US_national_yearly!$D$1:$AM$1, 0), FALSE), 1)</f>
        <v>8.2310434036744957E-4</v>
      </c>
      <c r="P18" s="12">
        <f>$B18 * IFERROR(VLOOKUP(Substitution!$M$12 &amp; $A18, US_national_yearly!$D:$AM, MATCH(P$1, US_national_yearly!$D$1:$AM$1, 0), FALSE) / VLOOKUP(Substitution!$M$12 &amp; $A18, US_national_yearly!$D:$AM, MATCH(Keys!$C$7, US_national_yearly!$D$1:$AM$1, 0), FALSE), 1)</f>
        <v>8.3677265856755146E-4</v>
      </c>
      <c r="Q18" s="12">
        <f>$B18 * IFERROR(VLOOKUP(Substitution!$M$12 &amp; $A18, US_national_yearly!$D:$AM, MATCH(Q$1, US_national_yearly!$D$1:$AM$1, 0), FALSE) / VLOOKUP(Substitution!$M$12 &amp; $A18, US_national_yearly!$D:$AM, MATCH(Keys!$C$7, US_national_yearly!$D$1:$AM$1, 0), FALSE), 1)</f>
        <v>8.5044097676765325E-4</v>
      </c>
      <c r="R18" s="12">
        <f>$B18 * IFERROR(VLOOKUP(Substitution!$M$12 &amp; $A18, US_national_yearly!$D:$AM, MATCH(R$1, US_national_yearly!$D$1:$AM$1, 0), FALSE) / VLOOKUP(Substitution!$M$12 &amp; $A18, US_national_yearly!$D:$AM, MATCH(Keys!$C$7, US_national_yearly!$D$1:$AM$1, 0), FALSE), 1)</f>
        <v>8.6410929496775492E-4</v>
      </c>
      <c r="S18" s="12">
        <f>$B18 * IFERROR(VLOOKUP(Substitution!$M$12 &amp; $A18, US_national_yearly!$D:$AM, MATCH(S$1, US_national_yearly!$D$1:$AM$1, 0), FALSE) / VLOOKUP(Substitution!$M$12 &amp; $A18, US_national_yearly!$D:$AM, MATCH(Keys!$C$7, US_national_yearly!$D$1:$AM$1, 0), FALSE), 1)</f>
        <v>8.7000887327631164E-4</v>
      </c>
      <c r="T18" s="12">
        <f>$B18 * IFERROR(VLOOKUP(Substitution!$M$12 &amp; $A18, US_national_yearly!$D:$AM, MATCH(T$1, US_national_yearly!$D$1:$AM$1, 0), FALSE) / VLOOKUP(Substitution!$M$12 &amp; $A18, US_national_yearly!$D:$AM, MATCH(Keys!$C$7, US_national_yearly!$D$1:$AM$1, 0), FALSE), 1)</f>
        <v>8.7590845158486824E-4</v>
      </c>
      <c r="U18" s="12">
        <f>$B18 * IFERROR(VLOOKUP(Substitution!$M$12 &amp; $A18, US_national_yearly!$D:$AM, MATCH(U$1, US_national_yearly!$D$1:$AM$1, 0), FALSE) / VLOOKUP(Substitution!$M$12 &amp; $A18, US_national_yearly!$D:$AM, MATCH(Keys!$C$7, US_national_yearly!$D$1:$AM$1, 0), FALSE), 1)</f>
        <v>8.8180802989342474E-4</v>
      </c>
      <c r="V18" s="12">
        <f>$B18 * IFERROR(VLOOKUP(Substitution!$M$12 &amp; $A18, US_national_yearly!$D:$AM, MATCH(V$1, US_national_yearly!$D$1:$AM$1, 0), FALSE) / VLOOKUP(Substitution!$M$12 &amp; $A18, US_national_yearly!$D:$AM, MATCH(Keys!$C$7, US_national_yearly!$D$1:$AM$1, 0), FALSE), 1)</f>
        <v>8.8770760820198135E-4</v>
      </c>
      <c r="W18" s="12">
        <f>$B18 * IFERROR(VLOOKUP(Substitution!$M$12 &amp; $A18, US_national_yearly!$D:$AM, MATCH(W$1, US_national_yearly!$D$1:$AM$1, 0), FALSE) / VLOOKUP(Substitution!$M$12 &amp; $A18, US_national_yearly!$D:$AM, MATCH(Keys!$C$7, US_national_yearly!$D$1:$AM$1, 0), FALSE), 1)</f>
        <v>8.9360718651053796E-4</v>
      </c>
      <c r="X18" s="12">
        <f>$B18 * IFERROR(VLOOKUP(Substitution!$M$12 &amp; $A18, US_national_yearly!$D:$AM, MATCH(X$1, US_national_yearly!$D$1:$AM$1, 0), FALSE) / VLOOKUP(Substitution!$M$12 &amp; $A18, US_national_yearly!$D:$AM, MATCH(Keys!$C$7, US_national_yearly!$D$1:$AM$1, 0), FALSE), 1)</f>
        <v>8.9458183467369201E-4</v>
      </c>
      <c r="Y18" s="12">
        <f>$B18 * IFERROR(VLOOKUP(Substitution!$M$12 &amp; $A18, US_national_yearly!$D:$AM, MATCH(Y$1, US_national_yearly!$D$1:$AM$1, 0), FALSE) / VLOOKUP(Substitution!$M$12 &amp; $A18, US_national_yearly!$D:$AM, MATCH(Keys!$C$7, US_national_yearly!$D$1:$AM$1, 0), FALSE), 1)</f>
        <v>8.9555648283684596E-4</v>
      </c>
      <c r="Z18" s="12">
        <f>$B18 * IFERROR(VLOOKUP(Substitution!$M$12 &amp; $A18, US_national_yearly!$D:$AM, MATCH(Z$1, US_national_yearly!$D$1:$AM$1, 0), FALSE) / VLOOKUP(Substitution!$M$12 &amp; $A18, US_national_yearly!$D:$AM, MATCH(Keys!$C$7, US_national_yearly!$D$1:$AM$1, 0), FALSE), 1)</f>
        <v>8.9653113100000002E-4</v>
      </c>
      <c r="AA18" s="12">
        <f>$B18 * IFERROR(VLOOKUP(Substitution!$M$12 &amp; $A18, US_national_yearly!$D:$AM, MATCH(AA$1, US_national_yearly!$D$1:$AM$1, 0), FALSE) / VLOOKUP(Substitution!$M$12 &amp; $A18, US_national_yearly!$D:$AM, MATCH(Keys!$C$7, US_national_yearly!$D$1:$AM$1, 0), FALSE), 1)</f>
        <v>8.9750577916315397E-4</v>
      </c>
      <c r="AB18" s="12">
        <f>$B18 * IFERROR(VLOOKUP(Substitution!$M$12 &amp; $A18, US_national_yearly!$D:$AM, MATCH(AB$1, US_national_yearly!$D$1:$AM$1, 0), FALSE) / VLOOKUP(Substitution!$M$12 &amp; $A18, US_national_yearly!$D:$AM, MATCH(Keys!$C$7, US_national_yearly!$D$1:$AM$1, 0), FALSE), 1)</f>
        <v>8.9848042732630802E-4</v>
      </c>
    </row>
    <row r="19" spans="1:28" x14ac:dyDescent="0.25">
      <c r="A19" s="4" t="s">
        <v>325</v>
      </c>
      <c r="B19" s="12">
        <f>IFERROR(VLOOKUP(Substitution!$M$12 &amp; $A19, US_national_yearly!$D:$AM, MATCH(Keys!$C$7, US_national_yearly!$D$1:$AM$1, 0), FALSE), 0)</f>
        <v>7.7130845069563455E-5</v>
      </c>
      <c r="C19" s="12">
        <f>$B19 * IFERROR(VLOOKUP(Substitution!$M$12 &amp; $A19, US_national_yearly!$D:$AM, MATCH(C$1, US_national_yearly!$D$1:$AM$1, 0), FALSE) / VLOOKUP(Substitution!$M$12 &amp; $A19, US_national_yearly!$D:$AM, MATCH(Keys!$C$7, US_national_yearly!$D$1:$AM$1, 0), FALSE), 1)</f>
        <v>7.9111379155281914E-5</v>
      </c>
      <c r="D19" s="12">
        <f>$B19 * IFERROR(VLOOKUP(Substitution!$M$12 &amp; $A19, US_national_yearly!$D:$AM, MATCH(D$1, US_national_yearly!$D$1:$AM$1, 0), FALSE) / VLOOKUP(Substitution!$M$12 &amp; $A19, US_national_yearly!$D:$AM, MATCH(Keys!$C$7, US_national_yearly!$D$1:$AM$1, 0), FALSE), 1)</f>
        <v>8.1091913241000387E-5</v>
      </c>
      <c r="E19" s="12">
        <f>$B19 * IFERROR(VLOOKUP(Substitution!$M$12 &amp; $A19, US_national_yearly!$D:$AM, MATCH(E$1, US_national_yearly!$D$1:$AM$1, 0), FALSE) / VLOOKUP(Substitution!$M$12 &amp; $A19, US_national_yearly!$D:$AM, MATCH(Keys!$C$7, US_national_yearly!$D$1:$AM$1, 0), FALSE), 1)</f>
        <v>8.3072447326718846E-5</v>
      </c>
      <c r="F19" s="12">
        <f>$B19 * IFERROR(VLOOKUP(Substitution!$M$12 &amp; $A19, US_national_yearly!$D:$AM, MATCH(F$1, US_national_yearly!$D$1:$AM$1, 0), FALSE) / VLOOKUP(Substitution!$M$12 &amp; $A19, US_national_yearly!$D:$AM, MATCH(Keys!$C$7, US_national_yearly!$D$1:$AM$1, 0), FALSE), 1)</f>
        <v>8.5052981412437305E-5</v>
      </c>
      <c r="G19" s="12">
        <f>$B19 * IFERROR(VLOOKUP(Substitution!$M$12 &amp; $A19, US_national_yearly!$D:$AM, MATCH(G$1, US_national_yearly!$D$1:$AM$1, 0), FALSE) / VLOOKUP(Substitution!$M$12 &amp; $A19, US_national_yearly!$D:$AM, MATCH(Keys!$C$7, US_national_yearly!$D$1:$AM$1, 0), FALSE), 1)</f>
        <v>8.6682157054090552E-5</v>
      </c>
      <c r="H19" s="12">
        <f>$B19 * IFERROR(VLOOKUP(Substitution!$M$12 &amp; $A19, US_national_yearly!$D:$AM, MATCH(H$1, US_national_yearly!$D$1:$AM$1, 0), FALSE) / VLOOKUP(Substitution!$M$12 &amp; $A19, US_national_yearly!$D:$AM, MATCH(Keys!$C$7, US_national_yearly!$D$1:$AM$1, 0), FALSE), 1)</f>
        <v>8.83113326957438E-5</v>
      </c>
      <c r="I19" s="12">
        <f>$B19 * IFERROR(VLOOKUP(Substitution!$M$12 &amp; $A19, US_national_yearly!$D:$AM, MATCH(I$1, US_national_yearly!$D$1:$AM$1, 0), FALSE) / VLOOKUP(Substitution!$M$12 &amp; $A19, US_national_yearly!$D:$AM, MATCH(Keys!$C$7, US_national_yearly!$D$1:$AM$1, 0), FALSE), 1)</f>
        <v>8.9339383762965517E-5</v>
      </c>
      <c r="J19" s="12">
        <f>$B19 * IFERROR(VLOOKUP(Substitution!$M$12 &amp; $A19, US_national_yearly!$D:$AM, MATCH(J$1, US_national_yearly!$D$1:$AM$1, 0), FALSE) / VLOOKUP(Substitution!$M$12 &amp; $A19, US_national_yearly!$D:$AM, MATCH(Keys!$C$7, US_national_yearly!$D$1:$AM$1, 0), FALSE), 1)</f>
        <v>9.0367434830187249E-5</v>
      </c>
      <c r="K19" s="12">
        <f>$B19 * IFERROR(VLOOKUP(Substitution!$M$12 &amp; $A19, US_national_yearly!$D:$AM, MATCH(K$1, US_national_yearly!$D$1:$AM$1, 0), FALSE) / VLOOKUP(Substitution!$M$12 &amp; $A19, US_national_yearly!$D:$AM, MATCH(Keys!$C$7, US_national_yearly!$D$1:$AM$1, 0), FALSE), 1)</f>
        <v>9.1395485897408966E-5</v>
      </c>
      <c r="L19" s="12">
        <f>$B19 * IFERROR(VLOOKUP(Substitution!$M$12 &amp; $A19, US_national_yearly!$D:$AM, MATCH(L$1, US_national_yearly!$D$1:$AM$1, 0), FALSE) / VLOOKUP(Substitution!$M$12 &amp; $A19, US_national_yearly!$D:$AM, MATCH(Keys!$C$7, US_national_yearly!$D$1:$AM$1, 0), FALSE), 1)</f>
        <v>9.2423536964630684E-5</v>
      </c>
      <c r="M19" s="12">
        <f>$B19 * IFERROR(VLOOKUP(Substitution!$M$12 &amp; $A19, US_national_yearly!$D:$AM, MATCH(M$1, US_national_yearly!$D$1:$AM$1, 0), FALSE) / VLOOKUP(Substitution!$M$12 &amp; $A19, US_national_yearly!$D:$AM, MATCH(Keys!$C$7, US_national_yearly!$D$1:$AM$1, 0), FALSE), 1)</f>
        <v>9.3451588031852402E-5</v>
      </c>
      <c r="N19" s="12">
        <f>$B19 * IFERROR(VLOOKUP(Substitution!$M$12 &amp; $A19, US_national_yearly!$D:$AM, MATCH(N$1, US_national_yearly!$D$1:$AM$1, 0), FALSE) / VLOOKUP(Substitution!$M$12 &amp; $A19, US_national_yearly!$D:$AM, MATCH(Keys!$C$7, US_national_yearly!$D$1:$AM$1, 0), FALSE), 1)</f>
        <v>9.3885914990076924E-5</v>
      </c>
      <c r="O19" s="12">
        <f>$B19 * IFERROR(VLOOKUP(Substitution!$M$12 &amp; $A19, US_national_yearly!$D:$AM, MATCH(O$1, US_national_yearly!$D$1:$AM$1, 0), FALSE) / VLOOKUP(Substitution!$M$12 &amp; $A19, US_national_yearly!$D:$AM, MATCH(Keys!$C$7, US_national_yearly!$D$1:$AM$1, 0), FALSE), 1)</f>
        <v>9.4320241948301446E-5</v>
      </c>
      <c r="P19" s="12">
        <f>$B19 * IFERROR(VLOOKUP(Substitution!$M$12 &amp; $A19, US_national_yearly!$D:$AM, MATCH(P$1, US_national_yearly!$D$1:$AM$1, 0), FALSE) / VLOOKUP(Substitution!$M$12 &amp; $A19, US_national_yearly!$D:$AM, MATCH(Keys!$C$7, US_national_yearly!$D$1:$AM$1, 0), FALSE), 1)</f>
        <v>9.4754568906525955E-5</v>
      </c>
      <c r="Q19" s="12">
        <f>$B19 * IFERROR(VLOOKUP(Substitution!$M$12 &amp; $A19, US_national_yearly!$D:$AM, MATCH(Q$1, US_national_yearly!$D$1:$AM$1, 0), FALSE) / VLOOKUP(Substitution!$M$12 &amp; $A19, US_national_yearly!$D:$AM, MATCH(Keys!$C$7, US_national_yearly!$D$1:$AM$1, 0), FALSE), 1)</f>
        <v>9.5188895864750477E-5</v>
      </c>
      <c r="R19" s="12">
        <f>$B19 * IFERROR(VLOOKUP(Substitution!$M$12 &amp; $A19, US_national_yearly!$D:$AM, MATCH(R$1, US_national_yearly!$D$1:$AM$1, 0), FALSE) / VLOOKUP(Substitution!$M$12 &amp; $A19, US_national_yearly!$D:$AM, MATCH(Keys!$C$7, US_national_yearly!$D$1:$AM$1, 0), FALSE), 1)</f>
        <v>9.5623222822974985E-5</v>
      </c>
      <c r="S19" s="12">
        <f>$B19 * IFERROR(VLOOKUP(Substitution!$M$12 &amp; $A19, US_national_yearly!$D:$AM, MATCH(S$1, US_national_yearly!$D$1:$AM$1, 0), FALSE) / VLOOKUP(Substitution!$M$12 &amp; $A19, US_national_yearly!$D:$AM, MATCH(Keys!$C$7, US_national_yearly!$D$1:$AM$1, 0), FALSE), 1)</f>
        <v>9.5827942066533563E-5</v>
      </c>
      <c r="T19" s="12">
        <f>$B19 * IFERROR(VLOOKUP(Substitution!$M$12 &amp; $A19, US_national_yearly!$D:$AM, MATCH(T$1, US_national_yearly!$D$1:$AM$1, 0), FALSE) / VLOOKUP(Substitution!$M$12 &amp; $A19, US_national_yearly!$D:$AM, MATCH(Keys!$C$7, US_national_yearly!$D$1:$AM$1, 0), FALSE), 1)</f>
        <v>9.6032661310092114E-5</v>
      </c>
      <c r="U19" s="12">
        <f>$B19 * IFERROR(VLOOKUP(Substitution!$M$12 &amp; $A19, US_national_yearly!$D:$AM, MATCH(U$1, US_national_yearly!$D$1:$AM$1, 0), FALSE) / VLOOKUP(Substitution!$M$12 &amp; $A19, US_national_yearly!$D:$AM, MATCH(Keys!$C$7, US_national_yearly!$D$1:$AM$1, 0), FALSE), 1)</f>
        <v>9.6237380553650678E-5</v>
      </c>
      <c r="V19" s="12">
        <f>$B19 * IFERROR(VLOOKUP(Substitution!$M$12 &amp; $A19, US_national_yearly!$D:$AM, MATCH(V$1, US_national_yearly!$D$1:$AM$1, 0), FALSE) / VLOOKUP(Substitution!$M$12 &amp; $A19, US_national_yearly!$D:$AM, MATCH(Keys!$C$7, US_national_yearly!$D$1:$AM$1, 0), FALSE), 1)</f>
        <v>9.6442099797209229E-5</v>
      </c>
      <c r="W19" s="12">
        <f>$B19 * IFERROR(VLOOKUP(Substitution!$M$12 &amp; $A19, US_national_yearly!$D:$AM, MATCH(W$1, US_national_yearly!$D$1:$AM$1, 0), FALSE) / VLOOKUP(Substitution!$M$12 &amp; $A19, US_national_yearly!$D:$AM, MATCH(Keys!$C$7, US_national_yearly!$D$1:$AM$1, 0), FALSE), 1)</f>
        <v>9.6646819040767794E-5</v>
      </c>
      <c r="X19" s="12">
        <f>$B19 * IFERROR(VLOOKUP(Substitution!$M$12 &amp; $A19, US_national_yearly!$D:$AM, MATCH(X$1, US_national_yearly!$D$1:$AM$1, 0), FALSE) / VLOOKUP(Substitution!$M$12 &amp; $A19, US_national_yearly!$D:$AM, MATCH(Keys!$C$7, US_national_yearly!$D$1:$AM$1, 0), FALSE), 1)</f>
        <v>9.6991718010265847E-5</v>
      </c>
      <c r="Y19" s="12">
        <f>$B19 * IFERROR(VLOOKUP(Substitution!$M$12 &amp; $A19, US_national_yearly!$D:$AM, MATCH(Y$1, US_national_yearly!$D$1:$AM$1, 0), FALSE) / VLOOKUP(Substitution!$M$12 &amp; $A19, US_national_yearly!$D:$AM, MATCH(Keys!$C$7, US_national_yearly!$D$1:$AM$1, 0), FALSE), 1)</f>
        <v>9.7336616979763914E-5</v>
      </c>
      <c r="Z19" s="12">
        <f>$B19 * IFERROR(VLOOKUP(Substitution!$M$12 &amp; $A19, US_national_yearly!$D:$AM, MATCH(Z$1, US_national_yearly!$D$1:$AM$1, 0), FALSE) / VLOOKUP(Substitution!$M$12 &amp; $A19, US_national_yearly!$D:$AM, MATCH(Keys!$C$7, US_national_yearly!$D$1:$AM$1, 0), FALSE), 1)</f>
        <v>9.7681515949261981E-5</v>
      </c>
      <c r="AA19" s="12">
        <f>$B19 * IFERROR(VLOOKUP(Substitution!$M$12 &amp; $A19, US_national_yearly!$D:$AM, MATCH(AA$1, US_national_yearly!$D$1:$AM$1, 0), FALSE) / VLOOKUP(Substitution!$M$12 &amp; $A19, US_national_yearly!$D:$AM, MATCH(Keys!$C$7, US_national_yearly!$D$1:$AM$1, 0), FALSE), 1)</f>
        <v>9.8026414918760048E-5</v>
      </c>
      <c r="AB19" s="12">
        <f>$B19 * IFERROR(VLOOKUP(Substitution!$M$12 &amp; $A19, US_national_yearly!$D:$AM, MATCH(AB$1, US_national_yearly!$D$1:$AM$1, 0), FALSE) / VLOOKUP(Substitution!$M$12 &amp; $A19, US_national_yearly!$D:$AM, MATCH(Keys!$C$7, US_national_yearly!$D$1:$AM$1, 0), FALSE), 1)</f>
        <v>9.8371313888258102E-5</v>
      </c>
    </row>
    <row r="20" spans="1:28" x14ac:dyDescent="0.25">
      <c r="A20" s="4" t="s">
        <v>327</v>
      </c>
      <c r="B20" s="12">
        <f>IFERROR(VLOOKUP(Substitution!$M$12 &amp; $A20, US_national_yearly!$D:$AM, MATCH(Keys!$C$7, US_national_yearly!$D$1:$AM$1, 0), FALSE), 0)</f>
        <v>6.9519931600912145E-5</v>
      </c>
      <c r="C20" s="12">
        <f>$B20 * IFERROR(VLOOKUP(Substitution!$M$12 &amp; $A20, US_national_yearly!$D:$AM, MATCH(C$1, US_national_yearly!$D$1:$AM$1, 0), FALSE) / VLOOKUP(Substitution!$M$12 &amp; $A20, US_national_yearly!$D:$AM, MATCH(Keys!$C$7, US_national_yearly!$D$1:$AM$1, 0), FALSE), 1)</f>
        <v>7.1320864777535376E-5</v>
      </c>
      <c r="D20" s="12">
        <f>$B20 * IFERROR(VLOOKUP(Substitution!$M$12 &amp; $A20, US_national_yearly!$D:$AM, MATCH(D$1, US_national_yearly!$D$1:$AM$1, 0), FALSE) / VLOOKUP(Substitution!$M$12 &amp; $A20, US_national_yearly!$D:$AM, MATCH(Keys!$C$7, US_national_yearly!$D$1:$AM$1, 0), FALSE), 1)</f>
        <v>7.3121797954158621E-5</v>
      </c>
      <c r="E20" s="12">
        <f>$B20 * IFERROR(VLOOKUP(Substitution!$M$12 &amp; $A20, US_national_yearly!$D:$AM, MATCH(E$1, US_national_yearly!$D$1:$AM$1, 0), FALSE) / VLOOKUP(Substitution!$M$12 &amp; $A20, US_national_yearly!$D:$AM, MATCH(Keys!$C$7, US_national_yearly!$D$1:$AM$1, 0), FALSE), 1)</f>
        <v>7.4922731130781851E-5</v>
      </c>
      <c r="F20" s="12">
        <f>$B20 * IFERROR(VLOOKUP(Substitution!$M$12 &amp; $A20, US_national_yearly!$D:$AM, MATCH(F$1, US_national_yearly!$D$1:$AM$1, 0), FALSE) / VLOOKUP(Substitution!$M$12 &amp; $A20, US_national_yearly!$D:$AM, MATCH(Keys!$C$7, US_national_yearly!$D$1:$AM$1, 0), FALSE), 1)</f>
        <v>7.6723664307405096E-5</v>
      </c>
      <c r="G20" s="12">
        <f>$B20 * IFERROR(VLOOKUP(Substitution!$M$12 &amp; $A20, US_national_yearly!$D:$AM, MATCH(G$1, US_national_yearly!$D$1:$AM$1, 0), FALSE) / VLOOKUP(Substitution!$M$12 &amp; $A20, US_national_yearly!$D:$AM, MATCH(Keys!$C$7, US_national_yearly!$D$1:$AM$1, 0), FALSE), 1)</f>
        <v>7.8185175878647296E-5</v>
      </c>
      <c r="H20" s="12">
        <f>$B20 * IFERROR(VLOOKUP(Substitution!$M$12 &amp; $A20, US_national_yearly!$D:$AM, MATCH(H$1, US_national_yearly!$D$1:$AM$1, 0), FALSE) / VLOOKUP(Substitution!$M$12 &amp; $A20, US_national_yearly!$D:$AM, MATCH(Keys!$C$7, US_national_yearly!$D$1:$AM$1, 0), FALSE), 1)</f>
        <v>7.9646687449889511E-5</v>
      </c>
      <c r="I20" s="12">
        <f>$B20 * IFERROR(VLOOKUP(Substitution!$M$12 &amp; $A20, US_national_yearly!$D:$AM, MATCH(I$1, US_national_yearly!$D$1:$AM$1, 0), FALSE) / VLOOKUP(Substitution!$M$12 &amp; $A20, US_national_yearly!$D:$AM, MATCH(Keys!$C$7, US_national_yearly!$D$1:$AM$1, 0), FALSE), 1)</f>
        <v>8.0505852582623291E-5</v>
      </c>
      <c r="J20" s="12">
        <f>$B20 * IFERROR(VLOOKUP(Substitution!$M$12 &amp; $A20, US_national_yearly!$D:$AM, MATCH(J$1, US_national_yearly!$D$1:$AM$1, 0), FALSE) / VLOOKUP(Substitution!$M$12 &amp; $A20, US_national_yearly!$D:$AM, MATCH(Keys!$C$7, US_national_yearly!$D$1:$AM$1, 0), FALSE), 1)</f>
        <v>8.1365017715357099E-5</v>
      </c>
      <c r="K20" s="12">
        <f>$B20 * IFERROR(VLOOKUP(Substitution!$M$12 &amp; $A20, US_national_yearly!$D:$AM, MATCH(K$1, US_national_yearly!$D$1:$AM$1, 0), FALSE) / VLOOKUP(Substitution!$M$12 &amp; $A20, US_national_yearly!$D:$AM, MATCH(Keys!$C$7, US_national_yearly!$D$1:$AM$1, 0), FALSE), 1)</f>
        <v>8.2224182848090893E-5</v>
      </c>
      <c r="L20" s="12">
        <f>$B20 * IFERROR(VLOOKUP(Substitution!$M$12 &amp; $A20, US_national_yearly!$D:$AM, MATCH(L$1, US_national_yearly!$D$1:$AM$1, 0), FALSE) / VLOOKUP(Substitution!$M$12 &amp; $A20, US_national_yearly!$D:$AM, MATCH(Keys!$C$7, US_national_yearly!$D$1:$AM$1, 0), FALSE), 1)</f>
        <v>8.3083347980824701E-5</v>
      </c>
      <c r="M20" s="12">
        <f>$B20 * IFERROR(VLOOKUP(Substitution!$M$12 &amp; $A20, US_national_yearly!$D:$AM, MATCH(M$1, US_national_yearly!$D$1:$AM$1, 0), FALSE) / VLOOKUP(Substitution!$M$12 &amp; $A20, US_national_yearly!$D:$AM, MATCH(Keys!$C$7, US_national_yearly!$D$1:$AM$1, 0), FALSE), 1)</f>
        <v>8.3942513113558496E-5</v>
      </c>
      <c r="N20" s="12">
        <f>$B20 * IFERROR(VLOOKUP(Substitution!$M$12 &amp; $A20, US_national_yearly!$D:$AM, MATCH(N$1, US_national_yearly!$D$1:$AM$1, 0), FALSE) / VLOOKUP(Substitution!$M$12 &amp; $A20, US_national_yearly!$D:$AM, MATCH(Keys!$C$7, US_national_yearly!$D$1:$AM$1, 0), FALSE), 1)</f>
        <v>8.4278940983991256E-5</v>
      </c>
      <c r="O20" s="12">
        <f>$B20 * IFERROR(VLOOKUP(Substitution!$M$12 &amp; $A20, US_national_yearly!$D:$AM, MATCH(O$1, US_national_yearly!$D$1:$AM$1, 0), FALSE) / VLOOKUP(Substitution!$M$12 &amp; $A20, US_national_yearly!$D:$AM, MATCH(Keys!$C$7, US_national_yearly!$D$1:$AM$1, 0), FALSE), 1)</f>
        <v>8.4615368854424017E-5</v>
      </c>
      <c r="P20" s="12">
        <f>$B20 * IFERROR(VLOOKUP(Substitution!$M$12 &amp; $A20, US_national_yearly!$D:$AM, MATCH(P$1, US_national_yearly!$D$1:$AM$1, 0), FALSE) / VLOOKUP(Substitution!$M$12 &amp; $A20, US_national_yearly!$D:$AM, MATCH(Keys!$C$7, US_national_yearly!$D$1:$AM$1, 0), FALSE), 1)</f>
        <v>8.4951796724856777E-5</v>
      </c>
      <c r="Q20" s="12">
        <f>$B20 * IFERROR(VLOOKUP(Substitution!$M$12 &amp; $A20, US_national_yearly!$D:$AM, MATCH(Q$1, US_national_yearly!$D$1:$AM$1, 0), FALSE) / VLOOKUP(Substitution!$M$12 &amp; $A20, US_national_yearly!$D:$AM, MATCH(Keys!$C$7, US_national_yearly!$D$1:$AM$1, 0), FALSE), 1)</f>
        <v>8.5288224595289538E-5</v>
      </c>
      <c r="R20" s="12">
        <f>$B20 * IFERROR(VLOOKUP(Substitution!$M$12 &amp; $A20, US_national_yearly!$D:$AM, MATCH(R$1, US_national_yearly!$D$1:$AM$1, 0), FALSE) / VLOOKUP(Substitution!$M$12 &amp; $A20, US_national_yearly!$D:$AM, MATCH(Keys!$C$7, US_national_yearly!$D$1:$AM$1, 0), FALSE), 1)</f>
        <v>8.5624652465722298E-5</v>
      </c>
      <c r="S20" s="12">
        <f>$B20 * IFERROR(VLOOKUP(Substitution!$M$12 &amp; $A20, US_national_yearly!$D:$AM, MATCH(S$1, US_national_yearly!$D$1:$AM$1, 0), FALSE) / VLOOKUP(Substitution!$M$12 &amp; $A20, US_national_yearly!$D:$AM, MATCH(Keys!$C$7, US_national_yearly!$D$1:$AM$1, 0), FALSE), 1)</f>
        <v>8.5761522908954317E-5</v>
      </c>
      <c r="T20" s="12">
        <f>$B20 * IFERROR(VLOOKUP(Substitution!$M$12 &amp; $A20, US_national_yearly!$D:$AM, MATCH(T$1, US_national_yearly!$D$1:$AM$1, 0), FALSE) / VLOOKUP(Substitution!$M$12 &amp; $A20, US_national_yearly!$D:$AM, MATCH(Keys!$C$7, US_national_yearly!$D$1:$AM$1, 0), FALSE), 1)</f>
        <v>8.5898393352186337E-5</v>
      </c>
      <c r="U20" s="12">
        <f>$B20 * IFERROR(VLOOKUP(Substitution!$M$12 &amp; $A20, US_national_yearly!$D:$AM, MATCH(U$1, US_national_yearly!$D$1:$AM$1, 0), FALSE) / VLOOKUP(Substitution!$M$12 &amp; $A20, US_national_yearly!$D:$AM, MATCH(Keys!$C$7, US_national_yearly!$D$1:$AM$1, 0), FALSE), 1)</f>
        <v>8.6035263795418356E-5</v>
      </c>
      <c r="V20" s="12">
        <f>$B20 * IFERROR(VLOOKUP(Substitution!$M$12 &amp; $A20, US_national_yearly!$D:$AM, MATCH(V$1, US_national_yearly!$D$1:$AM$1, 0), FALSE) / VLOOKUP(Substitution!$M$12 &amp; $A20, US_national_yearly!$D:$AM, MATCH(Keys!$C$7, US_national_yearly!$D$1:$AM$1, 0), FALSE), 1)</f>
        <v>8.6172134238650375E-5</v>
      </c>
      <c r="W20" s="12">
        <f>$B20 * IFERROR(VLOOKUP(Substitution!$M$12 &amp; $A20, US_national_yearly!$D:$AM, MATCH(W$1, US_national_yearly!$D$1:$AM$1, 0), FALSE) / VLOOKUP(Substitution!$M$12 &amp; $A20, US_national_yearly!$D:$AM, MATCH(Keys!$C$7, US_national_yearly!$D$1:$AM$1, 0), FALSE), 1)</f>
        <v>8.6309004681882394E-5</v>
      </c>
      <c r="X20" s="12">
        <f>$B20 * IFERROR(VLOOKUP(Substitution!$M$12 &amp; $A20, US_national_yearly!$D:$AM, MATCH(X$1, US_national_yearly!$D$1:$AM$1, 0), FALSE) / VLOOKUP(Substitution!$M$12 &amp; $A20, US_national_yearly!$D:$AM, MATCH(Keys!$C$7, US_national_yearly!$D$1:$AM$1, 0), FALSE), 1)</f>
        <v>8.6627384294053633E-5</v>
      </c>
      <c r="Y20" s="12">
        <f>$B20 * IFERROR(VLOOKUP(Substitution!$M$12 &amp; $A20, US_national_yearly!$D:$AM, MATCH(Y$1, US_national_yearly!$D$1:$AM$1, 0), FALSE) / VLOOKUP(Substitution!$M$12 &amp; $A20, US_national_yearly!$D:$AM, MATCH(Keys!$C$7, US_national_yearly!$D$1:$AM$1, 0), FALSE), 1)</f>
        <v>8.6945763906224872E-5</v>
      </c>
      <c r="Z20" s="12">
        <f>$B20 * IFERROR(VLOOKUP(Substitution!$M$12 &amp; $A20, US_national_yearly!$D:$AM, MATCH(Z$1, US_national_yearly!$D$1:$AM$1, 0), FALSE) / VLOOKUP(Substitution!$M$12 &amp; $A20, US_national_yearly!$D:$AM, MATCH(Keys!$C$7, US_national_yearly!$D$1:$AM$1, 0), FALSE), 1)</f>
        <v>8.7264143518396125E-5</v>
      </c>
      <c r="AA20" s="12">
        <f>$B20 * IFERROR(VLOOKUP(Substitution!$M$12 &amp; $A20, US_national_yearly!$D:$AM, MATCH(AA$1, US_national_yearly!$D$1:$AM$1, 0), FALSE) / VLOOKUP(Substitution!$M$12 &amp; $A20, US_national_yearly!$D:$AM, MATCH(Keys!$C$7, US_national_yearly!$D$1:$AM$1, 0), FALSE), 1)</f>
        <v>8.7582523130567351E-5</v>
      </c>
      <c r="AB20" s="12">
        <f>$B20 * IFERROR(VLOOKUP(Substitution!$M$12 &amp; $A20, US_national_yearly!$D:$AM, MATCH(AB$1, US_national_yearly!$D$1:$AM$1, 0), FALSE) / VLOOKUP(Substitution!$M$12 &amp; $A20, US_national_yearly!$D:$AM, MATCH(Keys!$C$7, US_national_yearly!$D$1:$AM$1, 0), FALSE), 1)</f>
        <v>8.7900902742738603E-5</v>
      </c>
    </row>
    <row r="21" spans="1:28" x14ac:dyDescent="0.25">
      <c r="A21" s="4" t="s">
        <v>329</v>
      </c>
      <c r="B21" s="12">
        <f>IFERROR(VLOOKUP(Substitution!$M$12 &amp; $A21, US_national_yearly!$D:$AM, MATCH(Keys!$C$7, US_national_yearly!$D$1:$AM$1, 0), FALSE), 0)</f>
        <v>1.6365733673628439E-5</v>
      </c>
      <c r="C21" s="12">
        <f>$B21 * IFERROR(VLOOKUP(Substitution!$M$12 &amp; $A21, US_national_yearly!$D:$AM, MATCH(C$1, US_national_yearly!$D$1:$AM$1, 0), FALSE) / VLOOKUP(Substitution!$M$12 &amp; $A21, US_national_yearly!$D:$AM, MATCH(Keys!$C$7, US_national_yearly!$D$1:$AM$1, 0), FALSE), 1)</f>
        <v>1.659787934403148E-5</v>
      </c>
      <c r="D21" s="12">
        <f>$B21 * IFERROR(VLOOKUP(Substitution!$M$12 &amp; $A21, US_national_yearly!$D:$AM, MATCH(D$1, US_national_yearly!$D$1:$AM$1, 0), FALSE) / VLOOKUP(Substitution!$M$12 &amp; $A21, US_national_yearly!$D:$AM, MATCH(Keys!$C$7, US_national_yearly!$D$1:$AM$1, 0), FALSE), 1)</f>
        <v>1.6830025014434524E-5</v>
      </c>
      <c r="E21" s="12">
        <f>$B21 * IFERROR(VLOOKUP(Substitution!$M$12 &amp; $A21, US_national_yearly!$D:$AM, MATCH(E$1, US_national_yearly!$D$1:$AM$1, 0), FALSE) / VLOOKUP(Substitution!$M$12 &amp; $A21, US_national_yearly!$D:$AM, MATCH(Keys!$C$7, US_national_yearly!$D$1:$AM$1, 0), FALSE), 1)</f>
        <v>1.7062170684837561E-5</v>
      </c>
      <c r="F21" s="12">
        <f>$B21 * IFERROR(VLOOKUP(Substitution!$M$12 &amp; $A21, US_national_yearly!$D:$AM, MATCH(F$1, US_national_yearly!$D$1:$AM$1, 0), FALSE) / VLOOKUP(Substitution!$M$12 &amp; $A21, US_national_yearly!$D:$AM, MATCH(Keys!$C$7, US_national_yearly!$D$1:$AM$1, 0), FALSE), 1)</f>
        <v>1.7294316355240599E-5</v>
      </c>
      <c r="G21" s="12">
        <f>$B21 * IFERROR(VLOOKUP(Substitution!$M$12 &amp; $A21, US_national_yearly!$D:$AM, MATCH(G$1, US_national_yearly!$D$1:$AM$1, 0), FALSE) / VLOOKUP(Substitution!$M$12 &amp; $A21, US_national_yearly!$D:$AM, MATCH(Keys!$C$7, US_national_yearly!$D$1:$AM$1, 0), FALSE), 1)</f>
        <v>1.75087611129633E-5</v>
      </c>
      <c r="H21" s="12">
        <f>$B21 * IFERROR(VLOOKUP(Substitution!$M$12 &amp; $A21, US_national_yearly!$D:$AM, MATCH(H$1, US_national_yearly!$D$1:$AM$1, 0), FALSE) / VLOOKUP(Substitution!$M$12 &amp; $A21, US_national_yearly!$D:$AM, MATCH(Keys!$C$7, US_national_yearly!$D$1:$AM$1, 0), FALSE), 1)</f>
        <v>1.7723205870686E-5</v>
      </c>
      <c r="I21" s="12">
        <f>$B21 * IFERROR(VLOOKUP(Substitution!$M$12 &amp; $A21, US_national_yearly!$D:$AM, MATCH(I$1, US_national_yearly!$D$1:$AM$1, 0), FALSE) / VLOOKUP(Substitution!$M$12 &amp; $A21, US_national_yearly!$D:$AM, MATCH(Keys!$C$7, US_national_yearly!$D$1:$AM$1, 0), FALSE), 1)</f>
        <v>1.788858090361184E-5</v>
      </c>
      <c r="J21" s="12">
        <f>$B21 * IFERROR(VLOOKUP(Substitution!$M$12 &amp; $A21, US_national_yearly!$D:$AM, MATCH(J$1, US_national_yearly!$D$1:$AM$1, 0), FALSE) / VLOOKUP(Substitution!$M$12 &amp; $A21, US_national_yearly!$D:$AM, MATCH(Keys!$C$7, US_national_yearly!$D$1:$AM$1, 0), FALSE), 1)</f>
        <v>1.8053955936537679E-5</v>
      </c>
      <c r="K21" s="12">
        <f>$B21 * IFERROR(VLOOKUP(Substitution!$M$12 &amp; $A21, US_national_yearly!$D:$AM, MATCH(K$1, US_national_yearly!$D$1:$AM$1, 0), FALSE) / VLOOKUP(Substitution!$M$12 &amp; $A21, US_national_yearly!$D:$AM, MATCH(Keys!$C$7, US_national_yearly!$D$1:$AM$1, 0), FALSE), 1)</f>
        <v>1.8219330969463519E-5</v>
      </c>
      <c r="L21" s="12">
        <f>$B21 * IFERROR(VLOOKUP(Substitution!$M$12 &amp; $A21, US_national_yearly!$D:$AM, MATCH(L$1, US_national_yearly!$D$1:$AM$1, 0), FALSE) / VLOOKUP(Substitution!$M$12 &amp; $A21, US_national_yearly!$D:$AM, MATCH(Keys!$C$7, US_national_yearly!$D$1:$AM$1, 0), FALSE), 1)</f>
        <v>1.8384706002389361E-5</v>
      </c>
      <c r="M21" s="12">
        <f>$B21 * IFERROR(VLOOKUP(Substitution!$M$12 &amp; $A21, US_national_yearly!$D:$AM, MATCH(M$1, US_national_yearly!$D$1:$AM$1, 0), FALSE) / VLOOKUP(Substitution!$M$12 &amp; $A21, US_national_yearly!$D:$AM, MATCH(Keys!$C$7, US_national_yearly!$D$1:$AM$1, 0), FALSE), 1)</f>
        <v>1.8550081035315201E-5</v>
      </c>
      <c r="N21" s="12">
        <f>$B21 * IFERROR(VLOOKUP(Substitution!$M$12 &amp; $A21, US_national_yearly!$D:$AM, MATCH(N$1, US_national_yearly!$D$1:$AM$1, 0), FALSE) / VLOOKUP(Substitution!$M$12 &amp; $A21, US_national_yearly!$D:$AM, MATCH(Keys!$C$7, US_national_yearly!$D$1:$AM$1, 0), FALSE), 1)</f>
        <v>1.8655132539179081E-5</v>
      </c>
      <c r="O21" s="12">
        <f>$B21 * IFERROR(VLOOKUP(Substitution!$M$12 &amp; $A21, US_national_yearly!$D:$AM, MATCH(O$1, US_national_yearly!$D$1:$AM$1, 0), FALSE) / VLOOKUP(Substitution!$M$12 &amp; $A21, US_national_yearly!$D:$AM, MATCH(Keys!$C$7, US_national_yearly!$D$1:$AM$1, 0), FALSE), 1)</f>
        <v>1.8760184043042958E-5</v>
      </c>
      <c r="P21" s="12">
        <f>$B21 * IFERROR(VLOOKUP(Substitution!$M$12 &amp; $A21, US_national_yearly!$D:$AM, MATCH(P$1, US_national_yearly!$D$1:$AM$1, 0), FALSE) / VLOOKUP(Substitution!$M$12 &amp; $A21, US_national_yearly!$D:$AM, MATCH(Keys!$C$7, US_national_yearly!$D$1:$AM$1, 0), FALSE), 1)</f>
        <v>1.8865235546906839E-5</v>
      </c>
      <c r="Q21" s="12">
        <f>$B21 * IFERROR(VLOOKUP(Substitution!$M$12 &amp; $A21, US_national_yearly!$D:$AM, MATCH(Q$1, US_national_yearly!$D$1:$AM$1, 0), FALSE) / VLOOKUP(Substitution!$M$12 &amp; $A21, US_national_yearly!$D:$AM, MATCH(Keys!$C$7, US_national_yearly!$D$1:$AM$1, 0), FALSE), 1)</f>
        <v>1.8970287050770719E-5</v>
      </c>
      <c r="R21" s="12">
        <f>$B21 * IFERROR(VLOOKUP(Substitution!$M$12 &amp; $A21, US_national_yearly!$D:$AM, MATCH(R$1, US_national_yearly!$D$1:$AM$1, 0), FALSE) / VLOOKUP(Substitution!$M$12 &amp; $A21, US_national_yearly!$D:$AM, MATCH(Keys!$C$7, US_national_yearly!$D$1:$AM$1, 0), FALSE), 1)</f>
        <v>1.90753385546346E-5</v>
      </c>
      <c r="S21" s="12">
        <f>$B21 * IFERROR(VLOOKUP(Substitution!$M$12 &amp; $A21, US_national_yearly!$D:$AM, MATCH(S$1, US_national_yearly!$D$1:$AM$1, 0), FALSE) / VLOOKUP(Substitution!$M$12 &amp; $A21, US_national_yearly!$D:$AM, MATCH(Keys!$C$7, US_national_yearly!$D$1:$AM$1, 0), FALSE), 1)</f>
        <v>1.91544739093777E-5</v>
      </c>
      <c r="T21" s="12">
        <f>$B21 * IFERROR(VLOOKUP(Substitution!$M$12 &amp; $A21, US_national_yearly!$D:$AM, MATCH(T$1, US_national_yearly!$D$1:$AM$1, 0), FALSE) / VLOOKUP(Substitution!$M$12 &amp; $A21, US_national_yearly!$D:$AM, MATCH(Keys!$C$7, US_national_yearly!$D$1:$AM$1, 0), FALSE), 1)</f>
        <v>1.9233609264120804E-5</v>
      </c>
      <c r="U21" s="12">
        <f>$B21 * IFERROR(VLOOKUP(Substitution!$M$12 &amp; $A21, US_national_yearly!$D:$AM, MATCH(U$1, US_national_yearly!$D$1:$AM$1, 0), FALSE) / VLOOKUP(Substitution!$M$12 &amp; $A21, US_national_yearly!$D:$AM, MATCH(Keys!$C$7, US_national_yearly!$D$1:$AM$1, 0), FALSE), 1)</f>
        <v>1.93127446188639E-5</v>
      </c>
      <c r="V21" s="12">
        <f>$B21 * IFERROR(VLOOKUP(Substitution!$M$12 &amp; $A21, US_national_yearly!$D:$AM, MATCH(V$1, US_national_yearly!$D$1:$AM$1, 0), FALSE) / VLOOKUP(Substitution!$M$12 &amp; $A21, US_national_yearly!$D:$AM, MATCH(Keys!$C$7, US_national_yearly!$D$1:$AM$1, 0), FALSE), 1)</f>
        <v>1.9391879973607001E-5</v>
      </c>
      <c r="W21" s="12">
        <f>$B21 * IFERROR(VLOOKUP(Substitution!$M$12 &amp; $A21, US_national_yearly!$D:$AM, MATCH(W$1, US_national_yearly!$D$1:$AM$1, 0), FALSE) / VLOOKUP(Substitution!$M$12 &amp; $A21, US_national_yearly!$D:$AM, MATCH(Keys!$C$7, US_national_yearly!$D$1:$AM$1, 0), FALSE), 1)</f>
        <v>1.9471015328350101E-5</v>
      </c>
      <c r="X21" s="12">
        <f>$B21 * IFERROR(VLOOKUP(Substitution!$M$12 &amp; $A21, US_national_yearly!$D:$AM, MATCH(X$1, US_national_yearly!$D$1:$AM$1, 0), FALSE) / VLOOKUP(Substitution!$M$12 &amp; $A21, US_national_yearly!$D:$AM, MATCH(Keys!$C$7, US_national_yearly!$D$1:$AM$1, 0), FALSE), 1)</f>
        <v>1.9559177896614761E-5</v>
      </c>
      <c r="Y21" s="12">
        <f>$B21 * IFERROR(VLOOKUP(Substitution!$M$12 &amp; $A21, US_national_yearly!$D:$AM, MATCH(Y$1, US_national_yearly!$D$1:$AM$1, 0), FALSE) / VLOOKUP(Substitution!$M$12 &amp; $A21, US_national_yearly!$D:$AM, MATCH(Keys!$C$7, US_national_yearly!$D$1:$AM$1, 0), FALSE), 1)</f>
        <v>1.964734046487942E-5</v>
      </c>
      <c r="Z21" s="12">
        <f>$B21 * IFERROR(VLOOKUP(Substitution!$M$12 &amp; $A21, US_national_yearly!$D:$AM, MATCH(Z$1, US_national_yearly!$D$1:$AM$1, 0), FALSE) / VLOOKUP(Substitution!$M$12 &amp; $A21, US_national_yearly!$D:$AM, MATCH(Keys!$C$7, US_national_yearly!$D$1:$AM$1, 0), FALSE), 1)</f>
        <v>1.9735503033144077E-5</v>
      </c>
      <c r="AA21" s="12">
        <f>$B21 * IFERROR(VLOOKUP(Substitution!$M$12 &amp; $A21, US_national_yearly!$D:$AM, MATCH(AA$1, US_national_yearly!$D$1:$AM$1, 0), FALSE) / VLOOKUP(Substitution!$M$12 &amp; $A21, US_national_yearly!$D:$AM, MATCH(Keys!$C$7, US_national_yearly!$D$1:$AM$1, 0), FALSE), 1)</f>
        <v>1.9823665601408743E-5</v>
      </c>
      <c r="AB21" s="12">
        <f>$B21 * IFERROR(VLOOKUP(Substitution!$M$12 &amp; $A21, US_national_yearly!$D:$AM, MATCH(AB$1, US_national_yearly!$D$1:$AM$1, 0), FALSE) / VLOOKUP(Substitution!$M$12 &amp; $A21, US_national_yearly!$D:$AM, MATCH(Keys!$C$7, US_national_yearly!$D$1:$AM$1, 0), FALSE), 1)</f>
        <v>1.9911828169673399E-5</v>
      </c>
    </row>
    <row r="22" spans="1:28" x14ac:dyDescent="0.25">
      <c r="A22" s="4" t="s">
        <v>331</v>
      </c>
      <c r="B22" s="12">
        <f>IFERROR(VLOOKUP(Substitution!$M$12 &amp; $A22, US_national_yearly!$D:$AM, MATCH(Keys!$C$7, US_national_yearly!$D$1:$AM$1, 0), FALSE), 0)</f>
        <v>3.4975576668980278E-4</v>
      </c>
      <c r="C22" s="12">
        <f>$B22 * IFERROR(VLOOKUP(Substitution!$M$12 &amp; $A22, US_national_yearly!$D:$AM, MATCH(C$1, US_national_yearly!$D$1:$AM$1, 0), FALSE) / VLOOKUP(Substitution!$M$12 &amp; $A22, US_national_yearly!$D:$AM, MATCH(Keys!$C$7, US_national_yearly!$D$1:$AM$1, 0), FALSE), 1)</f>
        <v>3.5593746826953661E-4</v>
      </c>
      <c r="D22" s="12">
        <f>$B22 * IFERROR(VLOOKUP(Substitution!$M$12 &amp; $A22, US_national_yearly!$D:$AM, MATCH(D$1, US_national_yearly!$D$1:$AM$1, 0), FALSE) / VLOOKUP(Substitution!$M$12 &amp; $A22, US_national_yearly!$D:$AM, MATCH(Keys!$C$7, US_national_yearly!$D$1:$AM$1, 0), FALSE), 1)</f>
        <v>3.6211916984927038E-4</v>
      </c>
      <c r="E22" s="12">
        <f>$B22 * IFERROR(VLOOKUP(Substitution!$M$12 &amp; $A22, US_national_yearly!$D:$AM, MATCH(E$1, US_national_yearly!$D$1:$AM$1, 0), FALSE) / VLOOKUP(Substitution!$M$12 &amp; $A22, US_national_yearly!$D:$AM, MATCH(Keys!$C$7, US_national_yearly!$D$1:$AM$1, 0), FALSE), 1)</f>
        <v>3.6830087142900421E-4</v>
      </c>
      <c r="F22" s="12">
        <f>$B22 * IFERROR(VLOOKUP(Substitution!$M$12 &amp; $A22, US_national_yearly!$D:$AM, MATCH(F$1, US_national_yearly!$D$1:$AM$1, 0), FALSE) / VLOOKUP(Substitution!$M$12 &amp; $A22, US_national_yearly!$D:$AM, MATCH(Keys!$C$7, US_national_yearly!$D$1:$AM$1, 0), FALSE), 1)</f>
        <v>3.7448257300873799E-4</v>
      </c>
      <c r="G22" s="12">
        <f>$B22 * IFERROR(VLOOKUP(Substitution!$M$12 &amp; $A22, US_national_yearly!$D:$AM, MATCH(G$1, US_national_yearly!$D$1:$AM$1, 0), FALSE) / VLOOKUP(Substitution!$M$12 &amp; $A22, US_national_yearly!$D:$AM, MATCH(Keys!$C$7, US_national_yearly!$D$1:$AM$1, 0), FALSE), 1)</f>
        <v>3.8050246937433851E-4</v>
      </c>
      <c r="H22" s="12">
        <f>$B22 * IFERROR(VLOOKUP(Substitution!$M$12 &amp; $A22, US_national_yearly!$D:$AM, MATCH(H$1, US_national_yearly!$D$1:$AM$1, 0), FALSE) / VLOOKUP(Substitution!$M$12 &amp; $A22, US_national_yearly!$D:$AM, MATCH(Keys!$C$7, US_national_yearly!$D$1:$AM$1, 0), FALSE), 1)</f>
        <v>3.8652236573993897E-4</v>
      </c>
      <c r="I22" s="12">
        <f>$B22 * IFERROR(VLOOKUP(Substitution!$M$12 &amp; $A22, US_national_yearly!$D:$AM, MATCH(I$1, US_national_yearly!$D$1:$AM$1, 0), FALSE) / VLOOKUP(Substitution!$M$12 &amp; $A22, US_national_yearly!$D:$AM, MATCH(Keys!$C$7, US_national_yearly!$D$1:$AM$1, 0), FALSE), 1)</f>
        <v>3.9227089881987341E-4</v>
      </c>
      <c r="J22" s="12">
        <f>$B22 * IFERROR(VLOOKUP(Substitution!$M$12 &amp; $A22, US_national_yearly!$D:$AM, MATCH(J$1, US_national_yearly!$D$1:$AM$1, 0), FALSE) / VLOOKUP(Substitution!$M$12 &amp; $A22, US_national_yearly!$D:$AM, MATCH(Keys!$C$7, US_national_yearly!$D$1:$AM$1, 0), FALSE), 1)</f>
        <v>3.980194318998078E-4</v>
      </c>
      <c r="K22" s="12">
        <f>$B22 * IFERROR(VLOOKUP(Substitution!$M$12 &amp; $A22, US_national_yearly!$D:$AM, MATCH(K$1, US_national_yearly!$D$1:$AM$1, 0), FALSE) / VLOOKUP(Substitution!$M$12 &amp; $A22, US_national_yearly!$D:$AM, MATCH(Keys!$C$7, US_national_yearly!$D$1:$AM$1, 0), FALSE), 1)</f>
        <v>4.0376796497974219E-4</v>
      </c>
      <c r="L22" s="12">
        <f>$B22 * IFERROR(VLOOKUP(Substitution!$M$12 &amp; $A22, US_national_yearly!$D:$AM, MATCH(L$1, US_national_yearly!$D$1:$AM$1, 0), FALSE) / VLOOKUP(Substitution!$M$12 &amp; $A22, US_national_yearly!$D:$AM, MATCH(Keys!$C$7, US_national_yearly!$D$1:$AM$1, 0), FALSE), 1)</f>
        <v>4.0951649805967658E-4</v>
      </c>
      <c r="M22" s="12">
        <f>$B22 * IFERROR(VLOOKUP(Substitution!$M$12 &amp; $A22, US_national_yearly!$D:$AM, MATCH(M$1, US_national_yearly!$D$1:$AM$1, 0), FALSE) / VLOOKUP(Substitution!$M$12 &amp; $A22, US_national_yearly!$D:$AM, MATCH(Keys!$C$7, US_national_yearly!$D$1:$AM$1, 0), FALSE), 1)</f>
        <v>4.1526503113961102E-4</v>
      </c>
      <c r="N22" s="12">
        <f>$B22 * IFERROR(VLOOKUP(Substitution!$M$12 &amp; $A22, US_national_yearly!$D:$AM, MATCH(N$1, US_national_yearly!$D$1:$AM$1, 0), FALSE) / VLOOKUP(Substitution!$M$12 &amp; $A22, US_national_yearly!$D:$AM, MATCH(Keys!$C$7, US_national_yearly!$D$1:$AM$1, 0), FALSE), 1)</f>
        <v>4.1969313713545778E-4</v>
      </c>
      <c r="O22" s="12">
        <f>$B22 * IFERROR(VLOOKUP(Substitution!$M$12 &amp; $A22, US_national_yearly!$D:$AM, MATCH(O$1, US_national_yearly!$D$1:$AM$1, 0), FALSE) / VLOOKUP(Substitution!$M$12 &amp; $A22, US_national_yearly!$D:$AM, MATCH(Keys!$C$7, US_national_yearly!$D$1:$AM$1, 0), FALSE), 1)</f>
        <v>4.241212431313046E-4</v>
      </c>
      <c r="P22" s="12">
        <f>$B22 * IFERROR(VLOOKUP(Substitution!$M$12 &amp; $A22, US_national_yearly!$D:$AM, MATCH(P$1, US_national_yearly!$D$1:$AM$1, 0), FALSE) / VLOOKUP(Substitution!$M$12 &amp; $A22, US_national_yearly!$D:$AM, MATCH(Keys!$C$7, US_national_yearly!$D$1:$AM$1, 0), FALSE), 1)</f>
        <v>4.2854934912715136E-4</v>
      </c>
      <c r="Q22" s="12">
        <f>$B22 * IFERROR(VLOOKUP(Substitution!$M$12 &amp; $A22, US_national_yearly!$D:$AM, MATCH(Q$1, US_national_yearly!$D$1:$AM$1, 0), FALSE) / VLOOKUP(Substitution!$M$12 &amp; $A22, US_national_yearly!$D:$AM, MATCH(Keys!$C$7, US_national_yearly!$D$1:$AM$1, 0), FALSE), 1)</f>
        <v>4.3297745512299812E-4</v>
      </c>
      <c r="R22" s="12">
        <f>$B22 * IFERROR(VLOOKUP(Substitution!$M$12 &amp; $A22, US_national_yearly!$D:$AM, MATCH(R$1, US_national_yearly!$D$1:$AM$1, 0), FALSE) / VLOOKUP(Substitution!$M$12 &amp; $A22, US_national_yearly!$D:$AM, MATCH(Keys!$C$7, US_national_yearly!$D$1:$AM$1, 0), FALSE), 1)</f>
        <v>4.37405561118845E-4</v>
      </c>
      <c r="S22" s="12">
        <f>$B22 * IFERROR(VLOOKUP(Substitution!$M$12 &amp; $A22, US_national_yearly!$D:$AM, MATCH(S$1, US_national_yearly!$D$1:$AM$1, 0), FALSE) / VLOOKUP(Substitution!$M$12 &amp; $A22, US_national_yearly!$D:$AM, MATCH(Keys!$C$7, US_national_yearly!$D$1:$AM$1, 0), FALSE), 1)</f>
        <v>4.402401317311484E-4</v>
      </c>
      <c r="T22" s="12">
        <f>$B22 * IFERROR(VLOOKUP(Substitution!$M$12 &amp; $A22, US_national_yearly!$D:$AM, MATCH(T$1, US_national_yearly!$D$1:$AM$1, 0), FALSE) / VLOOKUP(Substitution!$M$12 &amp; $A22, US_national_yearly!$D:$AM, MATCH(Keys!$C$7, US_national_yearly!$D$1:$AM$1, 0), FALSE), 1)</f>
        <v>4.430747023434518E-4</v>
      </c>
      <c r="U22" s="12">
        <f>$B22 * IFERROR(VLOOKUP(Substitution!$M$12 &amp; $A22, US_national_yearly!$D:$AM, MATCH(U$1, US_national_yearly!$D$1:$AM$1, 0), FALSE) / VLOOKUP(Substitution!$M$12 &amp; $A22, US_national_yearly!$D:$AM, MATCH(Keys!$C$7, US_national_yearly!$D$1:$AM$1, 0), FALSE), 1)</f>
        <v>4.459092729557552E-4</v>
      </c>
      <c r="V22" s="12">
        <f>$B22 * IFERROR(VLOOKUP(Substitution!$M$12 &amp; $A22, US_national_yearly!$D:$AM, MATCH(V$1, US_national_yearly!$D$1:$AM$1, 0), FALSE) / VLOOKUP(Substitution!$M$12 &amp; $A22, US_national_yearly!$D:$AM, MATCH(Keys!$C$7, US_national_yearly!$D$1:$AM$1, 0), FALSE), 1)</f>
        <v>4.487438435680586E-4</v>
      </c>
      <c r="W22" s="12">
        <f>$B22 * IFERROR(VLOOKUP(Substitution!$M$12 &amp; $A22, US_national_yearly!$D:$AM, MATCH(W$1, US_national_yearly!$D$1:$AM$1, 0), FALSE) / VLOOKUP(Substitution!$M$12 &amp; $A22, US_national_yearly!$D:$AM, MATCH(Keys!$C$7, US_national_yearly!$D$1:$AM$1, 0), FALSE), 1)</f>
        <v>4.51578414180362E-4</v>
      </c>
      <c r="X22" s="12">
        <f>$B22 * IFERROR(VLOOKUP(Substitution!$M$12 &amp; $A22, US_national_yearly!$D:$AM, MATCH(X$1, US_national_yearly!$D$1:$AM$1, 0), FALSE) / VLOOKUP(Substitution!$M$12 &amp; $A22, US_national_yearly!$D:$AM, MATCH(Keys!$C$7, US_national_yearly!$D$1:$AM$1, 0), FALSE), 1)</f>
        <v>4.5352876877260739E-4</v>
      </c>
      <c r="Y22" s="12">
        <f>$B22 * IFERROR(VLOOKUP(Substitution!$M$12 &amp; $A22, US_national_yearly!$D:$AM, MATCH(Y$1, US_national_yearly!$D$1:$AM$1, 0), FALSE) / VLOOKUP(Substitution!$M$12 &amp; $A22, US_national_yearly!$D:$AM, MATCH(Keys!$C$7, US_national_yearly!$D$1:$AM$1, 0), FALSE), 1)</f>
        <v>4.5547912336485279E-4</v>
      </c>
      <c r="Z22" s="12">
        <f>$B22 * IFERROR(VLOOKUP(Substitution!$M$12 &amp; $A22, US_national_yearly!$D:$AM, MATCH(Z$1, US_national_yearly!$D$1:$AM$1, 0), FALSE) / VLOOKUP(Substitution!$M$12 &amp; $A22, US_national_yearly!$D:$AM, MATCH(Keys!$C$7, US_national_yearly!$D$1:$AM$1, 0), FALSE), 1)</f>
        <v>4.5742947795709819E-4</v>
      </c>
      <c r="AA22" s="12">
        <f>$B22 * IFERROR(VLOOKUP(Substitution!$M$12 &amp; $A22, US_national_yearly!$D:$AM, MATCH(AA$1, US_national_yearly!$D$1:$AM$1, 0), FALSE) / VLOOKUP(Substitution!$M$12 &amp; $A22, US_national_yearly!$D:$AM, MATCH(Keys!$C$7, US_national_yearly!$D$1:$AM$1, 0), FALSE), 1)</f>
        <v>4.5937983254934359E-4</v>
      </c>
      <c r="AB22" s="12">
        <f>$B22 * IFERROR(VLOOKUP(Substitution!$M$12 &amp; $A22, US_national_yearly!$D:$AM, MATCH(AB$1, US_national_yearly!$D$1:$AM$1, 0), FALSE) / VLOOKUP(Substitution!$M$12 &amp; $A22, US_national_yearly!$D:$AM, MATCH(Keys!$C$7, US_national_yearly!$D$1:$AM$1, 0), FALSE), 1)</f>
        <v>4.6133018714158898E-4</v>
      </c>
    </row>
    <row r="23" spans="1:28" x14ac:dyDescent="0.25">
      <c r="A23" s="4" t="s">
        <v>333</v>
      </c>
      <c r="B23" s="12">
        <f>IFERROR(VLOOKUP(Substitution!$M$12 &amp; $A23, US_national_yearly!$D:$AM, MATCH(Keys!$C$7, US_national_yearly!$D$1:$AM$1, 0), FALSE), 0)</f>
        <v>1.9702925067027639</v>
      </c>
      <c r="C23" s="12">
        <f>$B23 * IFERROR(VLOOKUP(Substitution!$M$12 &amp; $A23, US_national_yearly!$D:$AM, MATCH(C$1, US_national_yearly!$D$1:$AM$1, 0), FALSE) / VLOOKUP(Substitution!$M$12 &amp; $A23, US_national_yearly!$D:$AM, MATCH(Keys!$C$7, US_national_yearly!$D$1:$AM$1, 0), FALSE), 1)</f>
        <v>1.9910279582655783</v>
      </c>
      <c r="D23" s="12">
        <f>$B23 * IFERROR(VLOOKUP(Substitution!$M$12 &amp; $A23, US_national_yearly!$D:$AM, MATCH(D$1, US_national_yearly!$D$1:$AM$1, 0), FALSE) / VLOOKUP(Substitution!$M$12 &amp; $A23, US_national_yearly!$D:$AM, MATCH(Keys!$C$7, US_national_yearly!$D$1:$AM$1, 0), FALSE), 1)</f>
        <v>2.0117634098283919</v>
      </c>
      <c r="E23" s="12">
        <f>$B23 * IFERROR(VLOOKUP(Substitution!$M$12 &amp; $A23, US_national_yearly!$D:$AM, MATCH(E$1, US_national_yearly!$D$1:$AM$1, 0), FALSE) / VLOOKUP(Substitution!$M$12 &amp; $A23, US_national_yearly!$D:$AM, MATCH(Keys!$C$7, US_national_yearly!$D$1:$AM$1, 0), FALSE), 1)</f>
        <v>2.0324988613912058</v>
      </c>
      <c r="F23" s="12">
        <f>$B23 * IFERROR(VLOOKUP(Substitution!$M$12 &amp; $A23, US_national_yearly!$D:$AM, MATCH(F$1, US_national_yearly!$D$1:$AM$1, 0), FALSE) / VLOOKUP(Substitution!$M$12 &amp; $A23, US_national_yearly!$D:$AM, MATCH(Keys!$C$7, US_national_yearly!$D$1:$AM$1, 0), FALSE), 1)</f>
        <v>2.0532343129540198</v>
      </c>
      <c r="G23" s="12">
        <f>$B23 * IFERROR(VLOOKUP(Substitution!$M$12 &amp; $A23, US_national_yearly!$D:$AM, MATCH(G$1, US_national_yearly!$D$1:$AM$1, 0), FALSE) / VLOOKUP(Substitution!$M$12 &amp; $A23, US_national_yearly!$D:$AM, MATCH(Keys!$C$7, US_national_yearly!$D$1:$AM$1, 0), FALSE), 1)</f>
        <v>2.0763917655566702</v>
      </c>
      <c r="H23" s="12">
        <f>$B23 * IFERROR(VLOOKUP(Substitution!$M$12 &amp; $A23, US_national_yearly!$D:$AM, MATCH(H$1, US_national_yearly!$D$1:$AM$1, 0), FALSE) / VLOOKUP(Substitution!$M$12 &amp; $A23, US_national_yearly!$D:$AM, MATCH(Keys!$C$7, US_national_yearly!$D$1:$AM$1, 0), FALSE), 1)</f>
        <v>2.0995492181593201</v>
      </c>
      <c r="I23" s="12">
        <f>$B23 * IFERROR(VLOOKUP(Substitution!$M$12 &amp; $A23, US_national_yearly!$D:$AM, MATCH(I$1, US_national_yearly!$D$1:$AM$1, 0), FALSE) / VLOOKUP(Substitution!$M$12 &amp; $A23, US_national_yearly!$D:$AM, MATCH(Keys!$C$7, US_national_yearly!$D$1:$AM$1, 0), FALSE), 1)</f>
        <v>2.1168908893421081</v>
      </c>
      <c r="J23" s="12">
        <f>$B23 * IFERROR(VLOOKUP(Substitution!$M$12 &amp; $A23, US_national_yearly!$D:$AM, MATCH(J$1, US_national_yearly!$D$1:$AM$1, 0), FALSE) / VLOOKUP(Substitution!$M$12 &amp; $A23, US_national_yearly!$D:$AM, MATCH(Keys!$C$7, US_national_yearly!$D$1:$AM$1, 0), FALSE), 1)</f>
        <v>2.1342325605248962</v>
      </c>
      <c r="K23" s="12">
        <f>$B23 * IFERROR(VLOOKUP(Substitution!$M$12 &amp; $A23, US_national_yearly!$D:$AM, MATCH(K$1, US_national_yearly!$D$1:$AM$1, 0), FALSE) / VLOOKUP(Substitution!$M$12 &amp; $A23, US_national_yearly!$D:$AM, MATCH(Keys!$C$7, US_national_yearly!$D$1:$AM$1, 0), FALSE), 1)</f>
        <v>2.1515742317076838</v>
      </c>
      <c r="L23" s="12">
        <f>$B23 * IFERROR(VLOOKUP(Substitution!$M$12 &amp; $A23, US_national_yearly!$D:$AM, MATCH(L$1, US_national_yearly!$D$1:$AM$1, 0), FALSE) / VLOOKUP(Substitution!$M$12 &amp; $A23, US_national_yearly!$D:$AM, MATCH(Keys!$C$7, US_national_yearly!$D$1:$AM$1, 0), FALSE), 1)</f>
        <v>2.1689159028904719</v>
      </c>
      <c r="M23" s="12">
        <f>$B23 * IFERROR(VLOOKUP(Substitution!$M$12 &amp; $A23, US_national_yearly!$D:$AM, MATCH(M$1, US_national_yearly!$D$1:$AM$1, 0), FALSE) / VLOOKUP(Substitution!$M$12 &amp; $A23, US_national_yearly!$D:$AM, MATCH(Keys!$C$7, US_national_yearly!$D$1:$AM$1, 0), FALSE), 1)</f>
        <v>2.1862575740732599</v>
      </c>
      <c r="N23" s="12">
        <f>$B23 * IFERROR(VLOOKUP(Substitution!$M$12 &amp; $A23, US_national_yearly!$D:$AM, MATCH(N$1, US_national_yearly!$D$1:$AM$1, 0), FALSE) / VLOOKUP(Substitution!$M$12 &amp; $A23, US_national_yearly!$D:$AM, MATCH(Keys!$C$7, US_national_yearly!$D$1:$AM$1, 0), FALSE), 1)</f>
        <v>2.1945582806293702</v>
      </c>
      <c r="O23" s="12">
        <f>$B23 * IFERROR(VLOOKUP(Substitution!$M$12 &amp; $A23, US_national_yearly!$D:$AM, MATCH(O$1, US_national_yearly!$D$1:$AM$1, 0), FALSE) / VLOOKUP(Substitution!$M$12 &amp; $A23, US_national_yearly!$D:$AM, MATCH(Keys!$C$7, US_national_yearly!$D$1:$AM$1, 0), FALSE), 1)</f>
        <v>2.20285898718548</v>
      </c>
      <c r="P23" s="12">
        <f>$B23 * IFERROR(VLOOKUP(Substitution!$M$12 &amp; $A23, US_national_yearly!$D:$AM, MATCH(P$1, US_national_yearly!$D$1:$AM$1, 0), FALSE) / VLOOKUP(Substitution!$M$12 &amp; $A23, US_national_yearly!$D:$AM, MATCH(Keys!$C$7, US_national_yearly!$D$1:$AM$1, 0), FALSE), 1)</f>
        <v>2.2111596937415898</v>
      </c>
      <c r="Q23" s="12">
        <f>$B23 * IFERROR(VLOOKUP(Substitution!$M$12 &amp; $A23, US_national_yearly!$D:$AM, MATCH(Q$1, US_national_yearly!$D$1:$AM$1, 0), FALSE) / VLOOKUP(Substitution!$M$12 &amp; $A23, US_national_yearly!$D:$AM, MATCH(Keys!$C$7, US_national_yearly!$D$1:$AM$1, 0), FALSE), 1)</f>
        <v>2.2194604002977001</v>
      </c>
      <c r="R23" s="12">
        <f>$B23 * IFERROR(VLOOKUP(Substitution!$M$12 &amp; $A23, US_national_yearly!$D:$AM, MATCH(R$1, US_national_yearly!$D$1:$AM$1, 0), FALSE) / VLOOKUP(Substitution!$M$12 &amp; $A23, US_national_yearly!$D:$AM, MATCH(Keys!$C$7, US_national_yearly!$D$1:$AM$1, 0), FALSE), 1)</f>
        <v>2.2277611068538099</v>
      </c>
      <c r="S23" s="12">
        <f>$B23 * IFERROR(VLOOKUP(Substitution!$M$12 &amp; $A23, US_national_yearly!$D:$AM, MATCH(S$1, US_national_yearly!$D$1:$AM$1, 0), FALSE) / VLOOKUP(Substitution!$M$12 &amp; $A23, US_national_yearly!$D:$AM, MATCH(Keys!$C$7, US_national_yearly!$D$1:$AM$1, 0), FALSE), 1)</f>
        <v>2.2377990603146078</v>
      </c>
      <c r="T23" s="12">
        <f>$B23 * IFERROR(VLOOKUP(Substitution!$M$12 &amp; $A23, US_national_yearly!$D:$AM, MATCH(T$1, US_national_yearly!$D$1:$AM$1, 0), FALSE) / VLOOKUP(Substitution!$M$12 &amp; $A23, US_national_yearly!$D:$AM, MATCH(Keys!$C$7, US_national_yearly!$D$1:$AM$1, 0), FALSE), 1)</f>
        <v>2.2478370137754058</v>
      </c>
      <c r="U23" s="12">
        <f>$B23 * IFERROR(VLOOKUP(Substitution!$M$12 &amp; $A23, US_national_yearly!$D:$AM, MATCH(U$1, US_national_yearly!$D$1:$AM$1, 0), FALSE) / VLOOKUP(Substitution!$M$12 &amp; $A23, US_national_yearly!$D:$AM, MATCH(Keys!$C$7, US_national_yearly!$D$1:$AM$1, 0), FALSE), 1)</f>
        <v>2.2578749672362042</v>
      </c>
      <c r="V23" s="12">
        <f>$B23 * IFERROR(VLOOKUP(Substitution!$M$12 &amp; $A23, US_national_yearly!$D:$AM, MATCH(V$1, US_national_yearly!$D$1:$AM$1, 0), FALSE) / VLOOKUP(Substitution!$M$12 &amp; $A23, US_national_yearly!$D:$AM, MATCH(Keys!$C$7, US_national_yearly!$D$1:$AM$1, 0), FALSE), 1)</f>
        <v>2.2679129206970021</v>
      </c>
      <c r="W23" s="12">
        <f>$B23 * IFERROR(VLOOKUP(Substitution!$M$12 &amp; $A23, US_national_yearly!$D:$AM, MATCH(W$1, US_national_yearly!$D$1:$AM$1, 0), FALSE) / VLOOKUP(Substitution!$M$12 &amp; $A23, US_national_yearly!$D:$AM, MATCH(Keys!$C$7, US_national_yearly!$D$1:$AM$1, 0), FALSE), 1)</f>
        <v>2.2779508741578001</v>
      </c>
      <c r="X23" s="12">
        <f>$B23 * IFERROR(VLOOKUP(Substitution!$M$12 &amp; $A23, US_national_yearly!$D:$AM, MATCH(X$1, US_national_yearly!$D$1:$AM$1, 0), FALSE) / VLOOKUP(Substitution!$M$12 &amp; $A23, US_national_yearly!$D:$AM, MATCH(Keys!$C$7, US_national_yearly!$D$1:$AM$1, 0), FALSE), 1)</f>
        <v>2.2885679190643078</v>
      </c>
      <c r="Y23" s="12">
        <f>$B23 * IFERROR(VLOOKUP(Substitution!$M$12 &amp; $A23, US_national_yearly!$D:$AM, MATCH(Y$1, US_national_yearly!$D$1:$AM$1, 0), FALSE) / VLOOKUP(Substitution!$M$12 &amp; $A23, US_national_yearly!$D:$AM, MATCH(Keys!$C$7, US_national_yearly!$D$1:$AM$1, 0), FALSE), 1)</f>
        <v>2.299184963970816</v>
      </c>
      <c r="Z23" s="12">
        <f>$B23 * IFERROR(VLOOKUP(Substitution!$M$12 &amp; $A23, US_national_yearly!$D:$AM, MATCH(Z$1, US_national_yearly!$D$1:$AM$1, 0), FALSE) / VLOOKUP(Substitution!$M$12 &amp; $A23, US_national_yearly!$D:$AM, MATCH(Keys!$C$7, US_national_yearly!$D$1:$AM$1, 0), FALSE), 1)</f>
        <v>2.3098020088773241</v>
      </c>
      <c r="AA23" s="12">
        <f>$B23 * IFERROR(VLOOKUP(Substitution!$M$12 &amp; $A23, US_national_yearly!$D:$AM, MATCH(AA$1, US_national_yearly!$D$1:$AM$1, 0), FALSE) / VLOOKUP(Substitution!$M$12 &amp; $A23, US_national_yearly!$D:$AM, MATCH(Keys!$C$7, US_national_yearly!$D$1:$AM$1, 0), FALSE), 1)</f>
        <v>2.3204190537838318</v>
      </c>
      <c r="AB23" s="12">
        <f>$B23 * IFERROR(VLOOKUP(Substitution!$M$12 &amp; $A23, US_national_yearly!$D:$AM, MATCH(AB$1, US_national_yearly!$D$1:$AM$1, 0), FALSE) / VLOOKUP(Substitution!$M$12 &amp; $A23, US_national_yearly!$D:$AM, MATCH(Keys!$C$7, US_national_yearly!$D$1:$AM$1, 0), FALSE), 1)</f>
        <v>2.33103609869034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Substitution!$G$13)/IFERROR(SUMIFS(COBRA_aggregated!$V:$V, COBRA_aggregated!$A:$A, About!$B$1, COBRA_aggregated!$B:$B, Substitution!$G$13), 1)</f>
        <v>6.728547864114409E-3</v>
      </c>
      <c r="C2" s="12">
        <f>$B2 * IFERROR(VLOOKUP(Substitution!$M$13 &amp; $A2, US_national_yearly!$D:$AM, MATCH(C$1, US_national_yearly!$D$1:$AM$1, 0), FALSE) / VLOOKUP(Substitution!$M$13 &amp; $A2, US_national_yearly!$D:$AM, MATCH(Keys!$C$7, US_national_yearly!$D$1:$AM$1, 0), FALSE), 1)</f>
        <v>6.8137878795055586E-3</v>
      </c>
      <c r="D2" s="12">
        <f>$B2 * IFERROR(VLOOKUP(Substitution!$M$13 &amp; $A2, US_national_yearly!$D:$AM, MATCH(D$1, US_national_yearly!$D$1:$AM$1, 0), FALSE) / VLOOKUP(Substitution!$M$13 &amp; $A2, US_national_yearly!$D:$AM, MATCH(Keys!$C$7, US_national_yearly!$D$1:$AM$1, 0), FALSE), 1)</f>
        <v>6.8990278948967074E-3</v>
      </c>
      <c r="E2" s="12">
        <f>$B2 * IFERROR(VLOOKUP(Substitution!$M$13 &amp; $A2, US_national_yearly!$D:$AM, MATCH(E$1, US_national_yearly!$D$1:$AM$1, 0), FALSE) / VLOOKUP(Substitution!$M$13 &amp; $A2, US_national_yearly!$D:$AM, MATCH(Keys!$C$7, US_national_yearly!$D$1:$AM$1, 0), FALSE), 1)</f>
        <v>6.984267910287857E-3</v>
      </c>
      <c r="F2" s="12">
        <f>$B2 * IFERROR(VLOOKUP(Substitution!$M$13 &amp; $A2, US_national_yearly!$D:$AM, MATCH(F$1, US_national_yearly!$D$1:$AM$1, 0), FALSE) / VLOOKUP(Substitution!$M$13 &amp; $A2, US_national_yearly!$D:$AM, MATCH(Keys!$C$7, US_national_yearly!$D$1:$AM$1, 0), FALSE), 1)</f>
        <v>7.0695079256790066E-3</v>
      </c>
      <c r="G2" s="12">
        <f>$B2 * IFERROR(VLOOKUP(Substitution!$M$13 &amp; $A2, US_national_yearly!$D:$AM, MATCH(G$1, US_national_yearly!$D$1:$AM$1, 0), FALSE) / VLOOKUP(Substitution!$M$13 &amp; $A2, US_national_yearly!$D:$AM, MATCH(Keys!$C$7, US_national_yearly!$D$1:$AM$1, 0), FALSE), 1)</f>
        <v>7.2337481395290228E-3</v>
      </c>
      <c r="H2" s="12">
        <f>$B2 * IFERROR(VLOOKUP(Substitution!$M$13 &amp; $A2, US_national_yearly!$D:$AM, MATCH(H$1, US_national_yearly!$D$1:$AM$1, 0), FALSE) / VLOOKUP(Substitution!$M$13 &amp; $A2, US_national_yearly!$D:$AM, MATCH(Keys!$C$7, US_national_yearly!$D$1:$AM$1, 0), FALSE), 1)</f>
        <v>7.3979883533790416E-3</v>
      </c>
      <c r="I2" s="12">
        <f>$B2 * IFERROR(VLOOKUP(Substitution!$M$13 &amp; $A2, US_national_yearly!$D:$AM, MATCH(I$1, US_national_yearly!$D$1:$AM$1, 0), FALSE) / VLOOKUP(Substitution!$M$13 &amp; $A2, US_national_yearly!$D:$AM, MATCH(Keys!$C$7, US_national_yearly!$D$1:$AM$1, 0), FALSE), 1)</f>
        <v>7.5065830394083185E-3</v>
      </c>
      <c r="J2" s="12">
        <f>$B2 * IFERROR(VLOOKUP(Substitution!$M$13 &amp; $A2, US_national_yearly!$D:$AM, MATCH(J$1, US_national_yearly!$D$1:$AM$1, 0), FALSE) / VLOOKUP(Substitution!$M$13 &amp; $A2, US_national_yearly!$D:$AM, MATCH(Keys!$C$7, US_national_yearly!$D$1:$AM$1, 0), FALSE), 1)</f>
        <v>7.6151777254375936E-3</v>
      </c>
      <c r="K2" s="12">
        <f>$B2 * IFERROR(VLOOKUP(Substitution!$M$13 &amp; $A2, US_national_yearly!$D:$AM, MATCH(K$1, US_national_yearly!$D$1:$AM$1, 0), FALSE) / VLOOKUP(Substitution!$M$13 &amp; $A2, US_national_yearly!$D:$AM, MATCH(Keys!$C$7, US_national_yearly!$D$1:$AM$1, 0), FALSE), 1)</f>
        <v>7.7237724114668704E-3</v>
      </c>
      <c r="L2" s="12">
        <f>$B2 * IFERROR(VLOOKUP(Substitution!$M$13 &amp; $A2, US_national_yearly!$D:$AM, MATCH(L$1, US_national_yearly!$D$1:$AM$1, 0), FALSE) / VLOOKUP(Substitution!$M$13 &amp; $A2, US_national_yearly!$D:$AM, MATCH(Keys!$C$7, US_national_yearly!$D$1:$AM$1, 0), FALSE), 1)</f>
        <v>7.8323670974961464E-3</v>
      </c>
      <c r="M2" s="12">
        <f>$B2 * IFERROR(VLOOKUP(Substitution!$M$13 &amp; $A2, US_national_yearly!$D:$AM, MATCH(M$1, US_national_yearly!$D$1:$AM$1, 0), FALSE) / VLOOKUP(Substitution!$M$13 &amp; $A2, US_national_yearly!$D:$AM, MATCH(Keys!$C$7, US_national_yearly!$D$1:$AM$1, 0), FALSE), 1)</f>
        <v>7.9409617835254232E-3</v>
      </c>
      <c r="N2" s="12">
        <f>$B2 * IFERROR(VLOOKUP(Substitution!$M$13 &amp; $A2, US_national_yearly!$D:$AM, MATCH(N$1, US_national_yearly!$D$1:$AM$1, 0), FALSE) / VLOOKUP(Substitution!$M$13 &amp; $A2, US_national_yearly!$D:$AM, MATCH(Keys!$C$7, US_national_yearly!$D$1:$AM$1, 0), FALSE), 1)</f>
        <v>8.0257921377846139E-3</v>
      </c>
      <c r="O2" s="12">
        <f>$B2 * IFERROR(VLOOKUP(Substitution!$M$13 &amp; $A2, US_national_yearly!$D:$AM, MATCH(O$1, US_national_yearly!$D$1:$AM$1, 0), FALSE) / VLOOKUP(Substitution!$M$13 &amp; $A2, US_national_yearly!$D:$AM, MATCH(Keys!$C$7, US_national_yearly!$D$1:$AM$1, 0), FALSE), 1)</f>
        <v>8.1106224920438012E-3</v>
      </c>
      <c r="P2" s="12">
        <f>$B2 * IFERROR(VLOOKUP(Substitution!$M$13 &amp; $A2, US_national_yearly!$D:$AM, MATCH(P$1, US_national_yearly!$D$1:$AM$1, 0), FALSE) / VLOOKUP(Substitution!$M$13 &amp; $A2, US_national_yearly!$D:$AM, MATCH(Keys!$C$7, US_national_yearly!$D$1:$AM$1, 0), FALSE), 1)</f>
        <v>8.1954528463029901E-3</v>
      </c>
      <c r="Q2" s="12">
        <f>$B2 * IFERROR(VLOOKUP(Substitution!$M$13 &amp; $A2, US_national_yearly!$D:$AM, MATCH(Q$1, US_national_yearly!$D$1:$AM$1, 0), FALSE) / VLOOKUP(Substitution!$M$13 &amp; $A2, US_national_yearly!$D:$AM, MATCH(Keys!$C$7, US_national_yearly!$D$1:$AM$1, 0), FALSE), 1)</f>
        <v>8.2802832005621791E-3</v>
      </c>
      <c r="R2" s="12">
        <f>$B2 * IFERROR(VLOOKUP(Substitution!$M$13 &amp; $A2, US_national_yearly!$D:$AM, MATCH(R$1, US_national_yearly!$D$1:$AM$1, 0), FALSE) / VLOOKUP(Substitution!$M$13 &amp; $A2, US_national_yearly!$D:$AM, MATCH(Keys!$C$7, US_national_yearly!$D$1:$AM$1, 0), FALSE), 1)</f>
        <v>8.3651135548213698E-3</v>
      </c>
      <c r="S2" s="12">
        <f>$B2 * IFERROR(VLOOKUP(Substitution!$M$13 &amp; $A2, US_national_yearly!$D:$AM, MATCH(S$1, US_national_yearly!$D$1:$AM$1, 0), FALSE) / VLOOKUP(Substitution!$M$13 &amp; $A2, US_national_yearly!$D:$AM, MATCH(Keys!$C$7, US_national_yearly!$D$1:$AM$1, 0), FALSE), 1)</f>
        <v>8.4105157287374197E-3</v>
      </c>
      <c r="T2" s="12">
        <f>$B2 * IFERROR(VLOOKUP(Substitution!$M$13 &amp; $A2, US_national_yearly!$D:$AM, MATCH(T$1, US_national_yearly!$D$1:$AM$1, 0), FALSE) / VLOOKUP(Substitution!$M$13 &amp; $A2, US_national_yearly!$D:$AM, MATCH(Keys!$C$7, US_national_yearly!$D$1:$AM$1, 0), FALSE), 1)</f>
        <v>8.4559179026534696E-3</v>
      </c>
      <c r="U2" s="12">
        <f>$B2 * IFERROR(VLOOKUP(Substitution!$M$13 &amp; $A2, US_national_yearly!$D:$AM, MATCH(U$1, US_national_yearly!$D$1:$AM$1, 0), FALSE) / VLOOKUP(Substitution!$M$13 &amp; $A2, US_national_yearly!$D:$AM, MATCH(Keys!$C$7, US_national_yearly!$D$1:$AM$1, 0), FALSE), 1)</f>
        <v>8.5013200765695195E-3</v>
      </c>
      <c r="V2" s="12">
        <f>$B2 * IFERROR(VLOOKUP(Substitution!$M$13 &amp; $A2, US_national_yearly!$D:$AM, MATCH(V$1, US_national_yearly!$D$1:$AM$1, 0), FALSE) / VLOOKUP(Substitution!$M$13 &amp; $A2, US_national_yearly!$D:$AM, MATCH(Keys!$C$7, US_national_yearly!$D$1:$AM$1, 0), FALSE), 1)</f>
        <v>8.5467222504855712E-3</v>
      </c>
      <c r="W2" s="12">
        <f>$B2 * IFERROR(VLOOKUP(Substitution!$M$13 &amp; $A2, US_national_yearly!$D:$AM, MATCH(W$1, US_national_yearly!$D$1:$AM$1, 0), FALSE) / VLOOKUP(Substitution!$M$13 &amp; $A2, US_national_yearly!$D:$AM, MATCH(Keys!$C$7, US_national_yearly!$D$1:$AM$1, 0), FALSE), 1)</f>
        <v>8.5921244244016211E-3</v>
      </c>
      <c r="X2" s="12">
        <f>$B2 * IFERROR(VLOOKUP(Substitution!$M$13 &amp; $A2, US_national_yearly!$D:$AM, MATCH(X$1, US_national_yearly!$D$1:$AM$1, 0), FALSE) / VLOOKUP(Substitution!$M$13 &amp; $A2, US_national_yearly!$D:$AM, MATCH(Keys!$C$7, US_national_yearly!$D$1:$AM$1, 0), FALSE), 1)</f>
        <v>8.6012986126790571E-3</v>
      </c>
      <c r="Y2" s="12">
        <f>$B2 * IFERROR(VLOOKUP(Substitution!$M$13 &amp; $A2, US_national_yearly!$D:$AM, MATCH(Y$1, US_national_yearly!$D$1:$AM$1, 0), FALSE) / VLOOKUP(Substitution!$M$13 &amp; $A2, US_national_yearly!$D:$AM, MATCH(Keys!$C$7, US_national_yearly!$D$1:$AM$1, 0), FALSE), 1)</f>
        <v>8.6104728009564948E-3</v>
      </c>
      <c r="Z2" s="12">
        <f>$B2 * IFERROR(VLOOKUP(Substitution!$M$13 &amp; $A2, US_national_yearly!$D:$AM, MATCH(Z$1, US_national_yearly!$D$1:$AM$1, 0), FALSE) / VLOOKUP(Substitution!$M$13 &amp; $A2, US_national_yearly!$D:$AM, MATCH(Keys!$C$7, US_national_yearly!$D$1:$AM$1, 0), FALSE), 1)</f>
        <v>8.6196469892339308E-3</v>
      </c>
      <c r="AA2" s="12">
        <f>$B2 * IFERROR(VLOOKUP(Substitution!$M$13 &amp; $A2, US_national_yearly!$D:$AM, MATCH(AA$1, US_national_yearly!$D$1:$AM$1, 0), FALSE) / VLOOKUP(Substitution!$M$13 &amp; $A2, US_national_yearly!$D:$AM, MATCH(Keys!$C$7, US_national_yearly!$D$1:$AM$1, 0), FALSE), 1)</f>
        <v>8.6288211775113685E-3</v>
      </c>
      <c r="AB2" s="12">
        <f>$B2 * IFERROR(VLOOKUP(Substitution!$M$13 &amp; $A2, US_national_yearly!$D:$AM, MATCH(AB$1, US_national_yearly!$D$1:$AM$1, 0), FALSE) / VLOOKUP(Substitution!$M$13 &amp; $A2, US_national_yearly!$D:$AM, MATCH(Keys!$C$7, US_national_yearly!$D$1:$AM$1, 0), FALSE), 1)</f>
        <v>8.6379953657888062E-3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Substitution!$G$13)/IFERROR(SUMIFS(COBRA_aggregated!$V:$V, COBRA_aggregated!$A:$A, About!$B$1, COBRA_aggregated!$B:$B, Substitution!$G$13), 1)</f>
        <v>1.3335868048609015E-5</v>
      </c>
      <c r="C3" s="12">
        <f>$B3 * IFERROR(VLOOKUP(Substitution!$M$13 &amp; $A3, US_national_yearly!$D:$AM, MATCH(C$1, US_national_yearly!$D$1:$AM$1, 0), FALSE) / VLOOKUP(Substitution!$M$13 &amp; $A3, US_national_yearly!$D:$AM, MATCH(Keys!$C$7, US_national_yearly!$D$1:$AM$1, 0), FALSE), 1)</f>
        <v>1.3221560893150553E-5</v>
      </c>
      <c r="D3" s="12">
        <f>$B3 * IFERROR(VLOOKUP(Substitution!$M$13 &amp; $A3, US_national_yearly!$D:$AM, MATCH(D$1, US_national_yearly!$D$1:$AM$1, 0), FALSE) / VLOOKUP(Substitution!$M$13 &amp; $A3, US_national_yearly!$D:$AM, MATCH(Keys!$C$7, US_national_yearly!$D$1:$AM$1, 0), FALSE), 1)</f>
        <v>1.3107253737692092E-5</v>
      </c>
      <c r="E3" s="12">
        <f>$B3 * IFERROR(VLOOKUP(Substitution!$M$13 &amp; $A3, US_national_yearly!$D:$AM, MATCH(E$1, US_national_yearly!$D$1:$AM$1, 0), FALSE) / VLOOKUP(Substitution!$M$13 &amp; $A3, US_national_yearly!$D:$AM, MATCH(Keys!$C$7, US_national_yearly!$D$1:$AM$1, 0), FALSE), 1)</f>
        <v>1.2992946582233634E-5</v>
      </c>
      <c r="F3" s="12">
        <f>$B3 * IFERROR(VLOOKUP(Substitution!$M$13 &amp; $A3, US_national_yearly!$D:$AM, MATCH(F$1, US_national_yearly!$D$1:$AM$1, 0), FALSE) / VLOOKUP(Substitution!$M$13 &amp; $A3, US_national_yearly!$D:$AM, MATCH(Keys!$C$7, US_national_yearly!$D$1:$AM$1, 0), FALSE), 1)</f>
        <v>1.2878639426775174E-5</v>
      </c>
      <c r="G3" s="12">
        <f>$B3 * IFERROR(VLOOKUP(Substitution!$M$13 &amp; $A3, US_national_yearly!$D:$AM, MATCH(G$1, US_national_yearly!$D$1:$AM$1, 0), FALSE) / VLOOKUP(Substitution!$M$13 &amp; $A3, US_national_yearly!$D:$AM, MATCH(Keys!$C$7, US_national_yearly!$D$1:$AM$1, 0), FALSE), 1)</f>
        <v>8.5766636484789334E-6</v>
      </c>
      <c r="H3" s="12">
        <f>$B3 * IFERROR(VLOOKUP(Substitution!$M$13 &amp; $A3, US_national_yearly!$D:$AM, MATCH(H$1, US_national_yearly!$D$1:$AM$1, 0), FALSE) / VLOOKUP(Substitution!$M$13 &amp; $A3, US_national_yearly!$D:$AM, MATCH(Keys!$C$7, US_national_yearly!$D$1:$AM$1, 0), FALSE), 1)</f>
        <v>4.2746878701826925E-6</v>
      </c>
      <c r="I3" s="12">
        <f>$B3 * IFERROR(VLOOKUP(Substitution!$M$13 &amp; $A3, US_national_yearly!$D:$AM, MATCH(I$1, US_national_yearly!$D$1:$AM$1, 0), FALSE) / VLOOKUP(Substitution!$M$13 &amp; $A3, US_national_yearly!$D:$AM, MATCH(Keys!$C$7, US_national_yearly!$D$1:$AM$1, 0), FALSE), 1)</f>
        <v>4.2478680064315351E-6</v>
      </c>
      <c r="J3" s="12">
        <f>$B3 * IFERROR(VLOOKUP(Substitution!$M$13 &amp; $A3, US_national_yearly!$D:$AM, MATCH(J$1, US_national_yearly!$D$1:$AM$1, 0), FALSE) / VLOOKUP(Substitution!$M$13 &amp; $A3, US_national_yearly!$D:$AM, MATCH(Keys!$C$7, US_national_yearly!$D$1:$AM$1, 0), FALSE), 1)</f>
        <v>4.2210481426803778E-6</v>
      </c>
      <c r="K3" s="12">
        <f>$B3 * IFERROR(VLOOKUP(Substitution!$M$13 &amp; $A3, US_national_yearly!$D:$AM, MATCH(K$1, US_national_yearly!$D$1:$AM$1, 0), FALSE) / VLOOKUP(Substitution!$M$13 &amp; $A3, US_national_yearly!$D:$AM, MATCH(Keys!$C$7, US_national_yearly!$D$1:$AM$1, 0), FALSE), 1)</f>
        <v>4.1942282789292213E-6</v>
      </c>
      <c r="L3" s="12">
        <f>$B3 * IFERROR(VLOOKUP(Substitution!$M$13 &amp; $A3, US_national_yearly!$D:$AM, MATCH(L$1, US_national_yearly!$D$1:$AM$1, 0), FALSE) / VLOOKUP(Substitution!$M$13 &amp; $A3, US_national_yearly!$D:$AM, MATCH(Keys!$C$7, US_national_yearly!$D$1:$AM$1, 0), FALSE), 1)</f>
        <v>4.1674084151780639E-6</v>
      </c>
      <c r="M3" s="12">
        <f>$B3 * IFERROR(VLOOKUP(Substitution!$M$13 &amp; $A3, US_national_yearly!$D:$AM, MATCH(M$1, US_national_yearly!$D$1:$AM$1, 0), FALSE) / VLOOKUP(Substitution!$M$13 &amp; $A3, US_national_yearly!$D:$AM, MATCH(Keys!$C$7, US_national_yearly!$D$1:$AM$1, 0), FALSE), 1)</f>
        <v>4.1405885514269074E-6</v>
      </c>
      <c r="N3" s="12">
        <f>$B3 * IFERROR(VLOOKUP(Substitution!$M$13 &amp; $A3, US_national_yearly!$D:$AM, MATCH(N$1, US_national_yearly!$D$1:$AM$1, 0), FALSE) / VLOOKUP(Substitution!$M$13 &amp; $A3, US_national_yearly!$D:$AM, MATCH(Keys!$C$7, US_national_yearly!$D$1:$AM$1, 0), FALSE), 1)</f>
        <v>4.1237753459833358E-6</v>
      </c>
      <c r="O3" s="12">
        <f>$B3 * IFERROR(VLOOKUP(Substitution!$M$13 &amp; $A3, US_national_yearly!$D:$AM, MATCH(O$1, US_national_yearly!$D$1:$AM$1, 0), FALSE) / VLOOKUP(Substitution!$M$13 &amp; $A3, US_national_yearly!$D:$AM, MATCH(Keys!$C$7, US_national_yearly!$D$1:$AM$1, 0), FALSE), 1)</f>
        <v>4.1069621405397642E-6</v>
      </c>
      <c r="P3" s="12">
        <f>$B3 * IFERROR(VLOOKUP(Substitution!$M$13 &amp; $A3, US_national_yearly!$D:$AM, MATCH(P$1, US_national_yearly!$D$1:$AM$1, 0), FALSE) / VLOOKUP(Substitution!$M$13 &amp; $A3, US_national_yearly!$D:$AM, MATCH(Keys!$C$7, US_national_yearly!$D$1:$AM$1, 0), FALSE), 1)</f>
        <v>4.0901489350961926E-6</v>
      </c>
      <c r="Q3" s="12">
        <f>$B3 * IFERROR(VLOOKUP(Substitution!$M$13 &amp; $A3, US_national_yearly!$D:$AM, MATCH(Q$1, US_national_yearly!$D$1:$AM$1, 0), FALSE) / VLOOKUP(Substitution!$M$13 &amp; $A3, US_national_yearly!$D:$AM, MATCH(Keys!$C$7, US_national_yearly!$D$1:$AM$1, 0), FALSE), 1)</f>
        <v>4.0733357296526219E-6</v>
      </c>
      <c r="R3" s="12">
        <f>$B3 * IFERROR(VLOOKUP(Substitution!$M$13 &amp; $A3, US_national_yearly!$D:$AM, MATCH(R$1, US_national_yearly!$D$1:$AM$1, 0), FALSE) / VLOOKUP(Substitution!$M$13 &amp; $A3, US_national_yearly!$D:$AM, MATCH(Keys!$C$7, US_national_yearly!$D$1:$AM$1, 0), FALSE), 1)</f>
        <v>4.0565225242090503E-6</v>
      </c>
      <c r="S3" s="12">
        <f>$B3 * IFERROR(VLOOKUP(Substitution!$M$13 &amp; $A3, US_national_yearly!$D:$AM, MATCH(S$1, US_national_yearly!$D$1:$AM$1, 0), FALSE) / VLOOKUP(Substitution!$M$13 &amp; $A3, US_national_yearly!$D:$AM, MATCH(Keys!$C$7, US_national_yearly!$D$1:$AM$1, 0), FALSE), 1)</f>
        <v>4.0354104684792222E-6</v>
      </c>
      <c r="T3" s="12">
        <f>$B3 * IFERROR(VLOOKUP(Substitution!$M$13 &amp; $A3, US_national_yearly!$D:$AM, MATCH(T$1, US_national_yearly!$D$1:$AM$1, 0), FALSE) / VLOOKUP(Substitution!$M$13 &amp; $A3, US_national_yearly!$D:$AM, MATCH(Keys!$C$7, US_national_yearly!$D$1:$AM$1, 0), FALSE), 1)</f>
        <v>4.014298412749395E-6</v>
      </c>
      <c r="U3" s="12">
        <f>$B3 * IFERROR(VLOOKUP(Substitution!$M$13 &amp; $A3, US_national_yearly!$D:$AM, MATCH(U$1, US_national_yearly!$D$1:$AM$1, 0), FALSE) / VLOOKUP(Substitution!$M$13 &amp; $A3, US_national_yearly!$D:$AM, MATCH(Keys!$C$7, US_national_yearly!$D$1:$AM$1, 0), FALSE), 1)</f>
        <v>3.993186357019567E-6</v>
      </c>
      <c r="V3" s="12">
        <f>$B3 * IFERROR(VLOOKUP(Substitution!$M$13 &amp; $A3, US_national_yearly!$D:$AM, MATCH(V$1, US_national_yearly!$D$1:$AM$1, 0), FALSE) / VLOOKUP(Substitution!$M$13 &amp; $A3, US_national_yearly!$D:$AM, MATCH(Keys!$C$7, US_national_yearly!$D$1:$AM$1, 0), FALSE), 1)</f>
        <v>3.972074301289739E-6</v>
      </c>
      <c r="W3" s="12">
        <f>$B3 * IFERROR(VLOOKUP(Substitution!$M$13 &amp; $A3, US_national_yearly!$D:$AM, MATCH(W$1, US_national_yearly!$D$1:$AM$1, 0), FALSE) / VLOOKUP(Substitution!$M$13 &amp; $A3, US_national_yearly!$D:$AM, MATCH(Keys!$C$7, US_national_yearly!$D$1:$AM$1, 0), FALSE), 1)</f>
        <v>3.9509622455599118E-6</v>
      </c>
      <c r="X3" s="12">
        <f>$B3 * IFERROR(VLOOKUP(Substitution!$M$13 &amp; $A3, US_national_yearly!$D:$AM, MATCH(X$1, US_national_yearly!$D$1:$AM$1, 0), FALSE) / VLOOKUP(Substitution!$M$13 &amp; $A3, US_national_yearly!$D:$AM, MATCH(Keys!$C$7, US_national_yearly!$D$1:$AM$1, 0), FALSE), 1)</f>
        <v>3.9279045354643834E-6</v>
      </c>
      <c r="Y3" s="12">
        <f>$B3 * IFERROR(VLOOKUP(Substitution!$M$13 &amp; $A3, US_national_yearly!$D:$AM, MATCH(Y$1, US_national_yearly!$D$1:$AM$1, 0), FALSE) / VLOOKUP(Substitution!$M$13 &amp; $A3, US_national_yearly!$D:$AM, MATCH(Keys!$C$7, US_national_yearly!$D$1:$AM$1, 0), FALSE), 1)</f>
        <v>3.904846825368856E-6</v>
      </c>
      <c r="Z3" s="12">
        <f>$B3 * IFERROR(VLOOKUP(Substitution!$M$13 &amp; $A3, US_national_yearly!$D:$AM, MATCH(Z$1, US_national_yearly!$D$1:$AM$1, 0), FALSE) / VLOOKUP(Substitution!$M$13 &amp; $A3, US_national_yearly!$D:$AM, MATCH(Keys!$C$7, US_national_yearly!$D$1:$AM$1, 0), FALSE), 1)</f>
        <v>3.8817891152733285E-6</v>
      </c>
      <c r="AA3" s="12">
        <f>$B3 * IFERROR(VLOOKUP(Substitution!$M$13 &amp; $A3, US_national_yearly!$D:$AM, MATCH(AA$1, US_national_yearly!$D$1:$AM$1, 0), FALSE) / VLOOKUP(Substitution!$M$13 &amp; $A3, US_national_yearly!$D:$AM, MATCH(Keys!$C$7, US_national_yearly!$D$1:$AM$1, 0), FALSE), 1)</f>
        <v>3.8587314051777993E-6</v>
      </c>
      <c r="AB3" s="12">
        <f>$B3 * IFERROR(VLOOKUP(Substitution!$M$13 &amp; $A3, US_national_yearly!$D:$AM, MATCH(AB$1, US_national_yearly!$D$1:$AM$1, 0), FALSE) / VLOOKUP(Substitution!$M$13 &amp; $A3, US_national_yearly!$D:$AM, MATCH(Keys!$C$7, US_national_yearly!$D$1:$AM$1, 0), FALSE), 1)</f>
        <v>3.8356736950822727E-6</v>
      </c>
    </row>
    <row r="4" spans="1:28" x14ac:dyDescent="0.25">
      <c r="A4" s="4" t="s">
        <v>295</v>
      </c>
      <c r="B4" s="12">
        <f>IFERROR(VLOOKUP(Substitution!$M$13 &amp; $A4, US_national_yearly!$D:$AM, MATCH(Keys!$C$7, US_national_yearly!$D$1:$AM$1, 0), FALSE), 0)</f>
        <v>1.1115144082731541</v>
      </c>
      <c r="C4" s="12">
        <f>$B4 * IFERROR(VLOOKUP(Substitution!$M$13 &amp; $A4, US_national_yearly!$D:$AM, MATCH(C$1, US_national_yearly!$D$1:$AM$1, 0), FALSE) / VLOOKUP(Substitution!$M$13 &amp; $A4, US_national_yearly!$D:$AM, MATCH(Keys!$C$7, US_national_yearly!$D$1:$AM$1, 0), FALSE), 1)</f>
        <v>1.1229835916898581</v>
      </c>
      <c r="D4" s="12">
        <f>$B4 * IFERROR(VLOOKUP(Substitution!$M$13 &amp; $A4, US_national_yearly!$D:$AM, MATCH(D$1, US_national_yearly!$D$1:$AM$1, 0), FALSE) / VLOOKUP(Substitution!$M$13 &amp; $A4, US_national_yearly!$D:$AM, MATCH(Keys!$C$7, US_national_yearly!$D$1:$AM$1, 0), FALSE), 1)</f>
        <v>1.1344527751065621</v>
      </c>
      <c r="E4" s="12">
        <f>$B4 * IFERROR(VLOOKUP(Substitution!$M$13 &amp; $A4, US_national_yearly!$D:$AM, MATCH(E$1, US_national_yearly!$D$1:$AM$1, 0), FALSE) / VLOOKUP(Substitution!$M$13 &amp; $A4, US_national_yearly!$D:$AM, MATCH(Keys!$C$7, US_national_yearly!$D$1:$AM$1, 0), FALSE), 1)</f>
        <v>1.1459219585232661</v>
      </c>
      <c r="F4" s="12">
        <f>$B4 * IFERROR(VLOOKUP(Substitution!$M$13 &amp; $A4, US_national_yearly!$D:$AM, MATCH(F$1, US_national_yearly!$D$1:$AM$1, 0), FALSE) / VLOOKUP(Substitution!$M$13 &amp; $A4, US_national_yearly!$D:$AM, MATCH(Keys!$C$7, US_national_yearly!$D$1:$AM$1, 0), FALSE), 1)</f>
        <v>1.1573911419399701</v>
      </c>
      <c r="G4" s="12">
        <f>$B4 * IFERROR(VLOOKUP(Substitution!$M$13 &amp; $A4, US_national_yearly!$D:$AM, MATCH(G$1, US_national_yearly!$D$1:$AM$1, 0), FALSE) / VLOOKUP(Substitution!$M$13 &amp; $A4, US_national_yearly!$D:$AM, MATCH(Keys!$C$7, US_national_yearly!$D$1:$AM$1, 0), FALSE), 1)</f>
        <v>1.17077804966775</v>
      </c>
      <c r="H4" s="12">
        <f>$B4 * IFERROR(VLOOKUP(Substitution!$M$13 &amp; $A4, US_national_yearly!$D:$AM, MATCH(H$1, US_national_yearly!$D$1:$AM$1, 0), FALSE) / VLOOKUP(Substitution!$M$13 &amp; $A4, US_national_yearly!$D:$AM, MATCH(Keys!$C$7, US_national_yearly!$D$1:$AM$1, 0), FALSE), 1)</f>
        <v>1.18416495739553</v>
      </c>
      <c r="I4" s="12">
        <f>$B4 * IFERROR(VLOOKUP(Substitution!$M$13 &amp; $A4, US_national_yearly!$D:$AM, MATCH(I$1, US_national_yearly!$D$1:$AM$1, 0), FALSE) / VLOOKUP(Substitution!$M$13 &amp; $A4, US_national_yearly!$D:$AM, MATCH(Keys!$C$7, US_national_yearly!$D$1:$AM$1, 0), FALSE), 1)</f>
        <v>1.193931105722398</v>
      </c>
      <c r="J4" s="12">
        <f>$B4 * IFERROR(VLOOKUP(Substitution!$M$13 &amp; $A4, US_national_yearly!$D:$AM, MATCH(J$1, US_national_yearly!$D$1:$AM$1, 0), FALSE) / VLOOKUP(Substitution!$M$13 &amp; $A4, US_national_yearly!$D:$AM, MATCH(Keys!$C$7, US_national_yearly!$D$1:$AM$1, 0), FALSE), 1)</f>
        <v>1.2036972540492661</v>
      </c>
      <c r="K4" s="12">
        <f>$B4 * IFERROR(VLOOKUP(Substitution!$M$13 &amp; $A4, US_national_yearly!$D:$AM, MATCH(K$1, US_national_yearly!$D$1:$AM$1, 0), FALSE) / VLOOKUP(Substitution!$M$13 &amp; $A4, US_national_yearly!$D:$AM, MATCH(Keys!$C$7, US_national_yearly!$D$1:$AM$1, 0), FALSE), 1)</f>
        <v>1.2134634023761339</v>
      </c>
      <c r="L4" s="12">
        <f>$B4 * IFERROR(VLOOKUP(Substitution!$M$13 &amp; $A4, US_national_yearly!$D:$AM, MATCH(L$1, US_national_yearly!$D$1:$AM$1, 0), FALSE) / VLOOKUP(Substitution!$M$13 &amp; $A4, US_national_yearly!$D:$AM, MATCH(Keys!$C$7, US_national_yearly!$D$1:$AM$1, 0), FALSE), 1)</f>
        <v>1.223229550703002</v>
      </c>
      <c r="M4" s="12">
        <f>$B4 * IFERROR(VLOOKUP(Substitution!$M$13 &amp; $A4, US_national_yearly!$D:$AM, MATCH(M$1, US_national_yearly!$D$1:$AM$1, 0), FALSE) / VLOOKUP(Substitution!$M$13 &amp; $A4, US_national_yearly!$D:$AM, MATCH(Keys!$C$7, US_national_yearly!$D$1:$AM$1, 0), FALSE), 1)</f>
        <v>1.2329956990298701</v>
      </c>
      <c r="N4" s="12">
        <f>$B4 * IFERROR(VLOOKUP(Substitution!$M$13 &amp; $A4, US_national_yearly!$D:$AM, MATCH(N$1, US_national_yearly!$D$1:$AM$1, 0), FALSE) / VLOOKUP(Substitution!$M$13 &amp; $A4, US_national_yearly!$D:$AM, MATCH(Keys!$C$7, US_national_yearly!$D$1:$AM$1, 0), FALSE), 1)</f>
        <v>1.2371755849834583</v>
      </c>
      <c r="O4" s="12">
        <f>$B4 * IFERROR(VLOOKUP(Substitution!$M$13 &amp; $A4, US_national_yearly!$D:$AM, MATCH(O$1, US_national_yearly!$D$1:$AM$1, 0), FALSE) / VLOOKUP(Substitution!$M$13 &amp; $A4, US_national_yearly!$D:$AM, MATCH(Keys!$C$7, US_national_yearly!$D$1:$AM$1, 0), FALSE), 1)</f>
        <v>1.241355470937046</v>
      </c>
      <c r="P4" s="12">
        <f>$B4 * IFERROR(VLOOKUP(Substitution!$M$13 &amp; $A4, US_national_yearly!$D:$AM, MATCH(P$1, US_national_yearly!$D$1:$AM$1, 0), FALSE) / VLOOKUP(Substitution!$M$13 &amp; $A4, US_national_yearly!$D:$AM, MATCH(Keys!$C$7, US_national_yearly!$D$1:$AM$1, 0), FALSE), 1)</f>
        <v>1.245535356890634</v>
      </c>
      <c r="Q4" s="12">
        <f>$B4 * IFERROR(VLOOKUP(Substitution!$M$13 &amp; $A4, US_national_yearly!$D:$AM, MATCH(Q$1, US_national_yearly!$D$1:$AM$1, 0), FALSE) / VLOOKUP(Substitution!$M$13 &amp; $A4, US_national_yearly!$D:$AM, MATCH(Keys!$C$7, US_national_yearly!$D$1:$AM$1, 0), FALSE), 1)</f>
        <v>1.249715242844222</v>
      </c>
      <c r="R4" s="12">
        <f>$B4 * IFERROR(VLOOKUP(Substitution!$M$13 &amp; $A4, US_national_yearly!$D:$AM, MATCH(R$1, US_national_yearly!$D$1:$AM$1, 0), FALSE) / VLOOKUP(Substitution!$M$13 &amp; $A4, US_national_yearly!$D:$AM, MATCH(Keys!$C$7, US_national_yearly!$D$1:$AM$1, 0), FALSE), 1)</f>
        <v>1.25389512879781</v>
      </c>
      <c r="S4" s="12">
        <f>$B4 * IFERROR(VLOOKUP(Substitution!$M$13 &amp; $A4, US_national_yearly!$D:$AM, MATCH(S$1, US_national_yearly!$D$1:$AM$1, 0), FALSE) / VLOOKUP(Substitution!$M$13 &amp; $A4, US_national_yearly!$D:$AM, MATCH(Keys!$C$7, US_national_yearly!$D$1:$AM$1, 0), FALSE), 1)</f>
        <v>1.2589784798019841</v>
      </c>
      <c r="T4" s="12">
        <f>$B4 * IFERROR(VLOOKUP(Substitution!$M$13 &amp; $A4, US_national_yearly!$D:$AM, MATCH(T$1, US_national_yearly!$D$1:$AM$1, 0), FALSE) / VLOOKUP(Substitution!$M$13 &amp; $A4, US_national_yearly!$D:$AM, MATCH(Keys!$C$7, US_national_yearly!$D$1:$AM$1, 0), FALSE), 1)</f>
        <v>1.264061830806158</v>
      </c>
      <c r="U4" s="12">
        <f>$B4 * IFERROR(VLOOKUP(Substitution!$M$13 &amp; $A4, US_national_yearly!$D:$AM, MATCH(U$1, US_national_yearly!$D$1:$AM$1, 0), FALSE) / VLOOKUP(Substitution!$M$13 &amp; $A4, US_national_yearly!$D:$AM, MATCH(Keys!$C$7, US_national_yearly!$D$1:$AM$1, 0), FALSE), 1)</f>
        <v>1.2691451818103321</v>
      </c>
      <c r="V4" s="12">
        <f>$B4 * IFERROR(VLOOKUP(Substitution!$M$13 &amp; $A4, US_national_yearly!$D:$AM, MATCH(V$1, US_national_yearly!$D$1:$AM$1, 0), FALSE) / VLOOKUP(Substitution!$M$13 &amp; $A4, US_national_yearly!$D:$AM, MATCH(Keys!$C$7, US_national_yearly!$D$1:$AM$1, 0), FALSE), 1)</f>
        <v>1.274228532814506</v>
      </c>
      <c r="W4" s="12">
        <f>$B4 * IFERROR(VLOOKUP(Substitution!$M$13 &amp; $A4, US_national_yearly!$D:$AM, MATCH(W$1, US_national_yearly!$D$1:$AM$1, 0), FALSE) / VLOOKUP(Substitution!$M$13 &amp; $A4, US_national_yearly!$D:$AM, MATCH(Keys!$C$7, US_national_yearly!$D$1:$AM$1, 0), FALSE), 1)</f>
        <v>1.2793118838186801</v>
      </c>
      <c r="X4" s="12">
        <f>$B4 * IFERROR(VLOOKUP(Substitution!$M$13 &amp; $A4, US_national_yearly!$D:$AM, MATCH(X$1, US_national_yearly!$D$1:$AM$1, 0), FALSE) / VLOOKUP(Substitution!$M$13 &amp; $A4, US_national_yearly!$D:$AM, MATCH(Keys!$C$7, US_national_yearly!$D$1:$AM$1, 0), FALSE), 1)</f>
        <v>1.2849206351925599</v>
      </c>
      <c r="Y4" s="12">
        <f>$B4 * IFERROR(VLOOKUP(Substitution!$M$13 &amp; $A4, US_national_yearly!$D:$AM, MATCH(Y$1, US_national_yearly!$D$1:$AM$1, 0), FALSE) / VLOOKUP(Substitution!$M$13 &amp; $A4, US_national_yearly!$D:$AM, MATCH(Keys!$C$7, US_national_yearly!$D$1:$AM$1, 0), FALSE), 1)</f>
        <v>1.29052938656644</v>
      </c>
      <c r="Z4" s="12">
        <f>$B4 * IFERROR(VLOOKUP(Substitution!$M$13 &amp; $A4, US_national_yearly!$D:$AM, MATCH(Z$1, US_national_yearly!$D$1:$AM$1, 0), FALSE) / VLOOKUP(Substitution!$M$13 &amp; $A4, US_national_yearly!$D:$AM, MATCH(Keys!$C$7, US_national_yearly!$D$1:$AM$1, 0), FALSE), 1)</f>
        <v>1.2961381379403201</v>
      </c>
      <c r="AA4" s="12">
        <f>$B4 * IFERROR(VLOOKUP(Substitution!$M$13 &amp; $A4, US_national_yearly!$D:$AM, MATCH(AA$1, US_national_yearly!$D$1:$AM$1, 0), FALSE) / VLOOKUP(Substitution!$M$13 &amp; $A4, US_national_yearly!$D:$AM, MATCH(Keys!$C$7, US_national_yearly!$D$1:$AM$1, 0), FALSE), 1)</f>
        <v>1.3017468893141999</v>
      </c>
      <c r="AB4" s="12">
        <f>$B4 * IFERROR(VLOOKUP(Substitution!$M$13 &amp; $A4, US_national_yearly!$D:$AM, MATCH(AB$1, US_national_yearly!$D$1:$AM$1, 0), FALSE) / VLOOKUP(Substitution!$M$13 &amp; $A4, US_national_yearly!$D:$AM, MATCH(Keys!$C$7, US_national_yearly!$D$1:$AM$1, 0), FALSE), 1)</f>
        <v>1.30735564068808</v>
      </c>
    </row>
    <row r="5" spans="1:28" x14ac:dyDescent="0.25">
      <c r="A5" s="4" t="s">
        <v>297</v>
      </c>
      <c r="B5" s="12">
        <f>IFERROR(VLOOKUP(Substitution!$M$13 &amp; $A5, US_national_yearly!$D:$AM, MATCH(Keys!$C$7, US_national_yearly!$D$1:$AM$1, 0), FALSE), 0)</f>
        <v>0</v>
      </c>
      <c r="C5" s="12">
        <f>$B5 * IFERROR(VLOOKUP(Substitution!$M$13 &amp; $A5, US_national_yearly!$D:$AM, MATCH(C$1, US_national_yearly!$D$1:$AM$1, 0), FALSE) / VLOOKUP(Substitution!$M$13 &amp; $A5, US_national_yearly!$D:$AM, MATCH(Keys!$C$7, US_national_yearly!$D$1:$AM$1, 0), FALSE), 1)</f>
        <v>0</v>
      </c>
      <c r="D5" s="12">
        <f>$B5 * IFERROR(VLOOKUP(Substitution!$M$13 &amp; $A5, US_national_yearly!$D:$AM, MATCH(D$1, US_national_yearly!$D$1:$AM$1, 0), FALSE) / VLOOKUP(Substitution!$M$13 &amp; $A5, US_national_yearly!$D:$AM, MATCH(Keys!$C$7, US_national_yearly!$D$1:$AM$1, 0), FALSE), 1)</f>
        <v>0</v>
      </c>
      <c r="E5" s="12">
        <f>$B5 * IFERROR(VLOOKUP(Substitution!$M$13 &amp; $A5, US_national_yearly!$D:$AM, MATCH(E$1, US_national_yearly!$D$1:$AM$1, 0), FALSE) / VLOOKUP(Substitution!$M$13 &amp; $A5, US_national_yearly!$D:$AM, MATCH(Keys!$C$7, US_national_yearly!$D$1:$AM$1, 0), FALSE), 1)</f>
        <v>0</v>
      </c>
      <c r="F5" s="12">
        <f>$B5 * IFERROR(VLOOKUP(Substitution!$M$13 &amp; $A5, US_national_yearly!$D:$AM, MATCH(F$1, US_national_yearly!$D$1:$AM$1, 0), FALSE) / VLOOKUP(Substitution!$M$13 &amp; $A5, US_national_yearly!$D:$AM, MATCH(Keys!$C$7, US_national_yearly!$D$1:$AM$1, 0), FALSE), 1)</f>
        <v>0</v>
      </c>
      <c r="G5" s="12">
        <f>$B5 * IFERROR(VLOOKUP(Substitution!$M$13 &amp; $A5, US_national_yearly!$D:$AM, MATCH(G$1, US_national_yearly!$D$1:$AM$1, 0), FALSE) / VLOOKUP(Substitution!$M$13 &amp; $A5, US_national_yearly!$D:$AM, MATCH(Keys!$C$7, US_national_yearly!$D$1:$AM$1, 0), FALSE), 1)</f>
        <v>0</v>
      </c>
      <c r="H5" s="12">
        <f>$B5 * IFERROR(VLOOKUP(Substitution!$M$13 &amp; $A5, US_national_yearly!$D:$AM, MATCH(H$1, US_national_yearly!$D$1:$AM$1, 0), FALSE) / VLOOKUP(Substitution!$M$13 &amp; $A5, US_national_yearly!$D:$AM, MATCH(Keys!$C$7, US_national_yearly!$D$1:$AM$1, 0), FALSE), 1)</f>
        <v>0</v>
      </c>
      <c r="I5" s="12">
        <f>$B5 * IFERROR(VLOOKUP(Substitution!$M$13 &amp; $A5, US_national_yearly!$D:$AM, MATCH(I$1, US_national_yearly!$D$1:$AM$1, 0), FALSE) / VLOOKUP(Substitution!$M$13 &amp; $A5, US_national_yearly!$D:$AM, MATCH(Keys!$C$7, US_national_yearly!$D$1:$AM$1, 0), FALSE), 1)</f>
        <v>0</v>
      </c>
      <c r="J5" s="12">
        <f>$B5 * IFERROR(VLOOKUP(Substitution!$M$13 &amp; $A5, US_national_yearly!$D:$AM, MATCH(J$1, US_national_yearly!$D$1:$AM$1, 0), FALSE) / VLOOKUP(Substitution!$M$13 &amp; $A5, US_national_yearly!$D:$AM, MATCH(Keys!$C$7, US_national_yearly!$D$1:$AM$1, 0), FALSE), 1)</f>
        <v>0</v>
      </c>
      <c r="K5" s="12">
        <f>$B5 * IFERROR(VLOOKUP(Substitution!$M$13 &amp; $A5, US_national_yearly!$D:$AM, MATCH(K$1, US_national_yearly!$D$1:$AM$1, 0), FALSE) / VLOOKUP(Substitution!$M$13 &amp; $A5, US_national_yearly!$D:$AM, MATCH(Keys!$C$7, US_national_yearly!$D$1:$AM$1, 0), FALSE), 1)</f>
        <v>0</v>
      </c>
      <c r="L5" s="12">
        <f>$B5 * IFERROR(VLOOKUP(Substitution!$M$13 &amp; $A5, US_national_yearly!$D:$AM, MATCH(L$1, US_national_yearly!$D$1:$AM$1, 0), FALSE) / VLOOKUP(Substitution!$M$13 &amp; $A5, US_national_yearly!$D:$AM, MATCH(Keys!$C$7, US_national_yearly!$D$1:$AM$1, 0), FALSE), 1)</f>
        <v>0</v>
      </c>
      <c r="M5" s="12">
        <f>$B5 * IFERROR(VLOOKUP(Substitution!$M$13 &amp; $A5, US_national_yearly!$D:$AM, MATCH(M$1, US_national_yearly!$D$1:$AM$1, 0), FALSE) / VLOOKUP(Substitution!$M$13 &amp; $A5, US_national_yearly!$D:$AM, MATCH(Keys!$C$7, US_national_yearly!$D$1:$AM$1, 0), FALSE), 1)</f>
        <v>0</v>
      </c>
      <c r="N5" s="12">
        <f>$B5 * IFERROR(VLOOKUP(Substitution!$M$13 &amp; $A5, US_national_yearly!$D:$AM, MATCH(N$1, US_national_yearly!$D$1:$AM$1, 0), FALSE) / VLOOKUP(Substitution!$M$13 &amp; $A5, US_national_yearly!$D:$AM, MATCH(Keys!$C$7, US_national_yearly!$D$1:$AM$1, 0), FALSE), 1)</f>
        <v>0</v>
      </c>
      <c r="O5" s="12">
        <f>$B5 * IFERROR(VLOOKUP(Substitution!$M$13 &amp; $A5, US_national_yearly!$D:$AM, MATCH(O$1, US_national_yearly!$D$1:$AM$1, 0), FALSE) / VLOOKUP(Substitution!$M$13 &amp; $A5, US_national_yearly!$D:$AM, MATCH(Keys!$C$7, US_national_yearly!$D$1:$AM$1, 0), FALSE), 1)</f>
        <v>0</v>
      </c>
      <c r="P5" s="12">
        <f>$B5 * IFERROR(VLOOKUP(Substitution!$M$13 &amp; $A5, US_national_yearly!$D:$AM, MATCH(P$1, US_national_yearly!$D$1:$AM$1, 0), FALSE) / VLOOKUP(Substitution!$M$13 &amp; $A5, US_national_yearly!$D:$AM, MATCH(Keys!$C$7, US_national_yearly!$D$1:$AM$1, 0), FALSE), 1)</f>
        <v>0</v>
      </c>
      <c r="Q5" s="12">
        <f>$B5 * IFERROR(VLOOKUP(Substitution!$M$13 &amp; $A5, US_national_yearly!$D:$AM, MATCH(Q$1, US_national_yearly!$D$1:$AM$1, 0), FALSE) / VLOOKUP(Substitution!$M$13 &amp; $A5, US_national_yearly!$D:$AM, MATCH(Keys!$C$7, US_national_yearly!$D$1:$AM$1, 0), FALSE), 1)</f>
        <v>0</v>
      </c>
      <c r="R5" s="12">
        <f>$B5 * IFERROR(VLOOKUP(Substitution!$M$13 &amp; $A5, US_national_yearly!$D:$AM, MATCH(R$1, US_national_yearly!$D$1:$AM$1, 0), FALSE) / VLOOKUP(Substitution!$M$13 &amp; $A5, US_national_yearly!$D:$AM, MATCH(Keys!$C$7, US_national_yearly!$D$1:$AM$1, 0), FALSE), 1)</f>
        <v>0</v>
      </c>
      <c r="S5" s="12">
        <f>$B5 * IFERROR(VLOOKUP(Substitution!$M$13 &amp; $A5, US_national_yearly!$D:$AM, MATCH(S$1, US_national_yearly!$D$1:$AM$1, 0), FALSE) / VLOOKUP(Substitution!$M$13 &amp; $A5, US_national_yearly!$D:$AM, MATCH(Keys!$C$7, US_national_yearly!$D$1:$AM$1, 0), FALSE), 1)</f>
        <v>0</v>
      </c>
      <c r="T5" s="12">
        <f>$B5 * IFERROR(VLOOKUP(Substitution!$M$13 &amp; $A5, US_national_yearly!$D:$AM, MATCH(T$1, US_national_yearly!$D$1:$AM$1, 0), FALSE) / VLOOKUP(Substitution!$M$13 &amp; $A5, US_national_yearly!$D:$AM, MATCH(Keys!$C$7, US_national_yearly!$D$1:$AM$1, 0), FALSE), 1)</f>
        <v>0</v>
      </c>
      <c r="U5" s="12">
        <f>$B5 * IFERROR(VLOOKUP(Substitution!$M$13 &amp; $A5, US_national_yearly!$D:$AM, MATCH(U$1, US_national_yearly!$D$1:$AM$1, 0), FALSE) / VLOOKUP(Substitution!$M$13 &amp; $A5, US_national_yearly!$D:$AM, MATCH(Keys!$C$7, US_national_yearly!$D$1:$AM$1, 0), FALSE), 1)</f>
        <v>0</v>
      </c>
      <c r="V5" s="12">
        <f>$B5 * IFERROR(VLOOKUP(Substitution!$M$13 &amp; $A5, US_national_yearly!$D:$AM, MATCH(V$1, US_national_yearly!$D$1:$AM$1, 0), FALSE) / VLOOKUP(Substitution!$M$13 &amp; $A5, US_national_yearly!$D:$AM, MATCH(Keys!$C$7, US_national_yearly!$D$1:$AM$1, 0), FALSE), 1)</f>
        <v>0</v>
      </c>
      <c r="W5" s="12">
        <f>$B5 * IFERROR(VLOOKUP(Substitution!$M$13 &amp; $A5, US_national_yearly!$D:$AM, MATCH(W$1, US_national_yearly!$D$1:$AM$1, 0), FALSE) / VLOOKUP(Substitution!$M$13 &amp; $A5, US_national_yearly!$D:$AM, MATCH(Keys!$C$7, US_national_yearly!$D$1:$AM$1, 0), FALSE), 1)</f>
        <v>0</v>
      </c>
      <c r="X5" s="12">
        <f>$B5 * IFERROR(VLOOKUP(Substitution!$M$13 &amp; $A5, US_national_yearly!$D:$AM, MATCH(X$1, US_national_yearly!$D$1:$AM$1, 0), FALSE) / VLOOKUP(Substitution!$M$13 &amp; $A5, US_national_yearly!$D:$AM, MATCH(Keys!$C$7, US_national_yearly!$D$1:$AM$1, 0), FALSE), 1)</f>
        <v>0</v>
      </c>
      <c r="Y5" s="12">
        <f>$B5 * IFERROR(VLOOKUP(Substitution!$M$13 &amp; $A5, US_national_yearly!$D:$AM, MATCH(Y$1, US_national_yearly!$D$1:$AM$1, 0), FALSE) / VLOOKUP(Substitution!$M$13 &amp; $A5, US_national_yearly!$D:$AM, MATCH(Keys!$C$7, US_national_yearly!$D$1:$AM$1, 0), FALSE), 1)</f>
        <v>0</v>
      </c>
      <c r="Z5" s="12">
        <f>$B5 * IFERROR(VLOOKUP(Substitution!$M$13 &amp; $A5, US_national_yearly!$D:$AM, MATCH(Z$1, US_national_yearly!$D$1:$AM$1, 0), FALSE) / VLOOKUP(Substitution!$M$13 &amp; $A5, US_national_yearly!$D:$AM, MATCH(Keys!$C$7, US_national_yearly!$D$1:$AM$1, 0), FALSE), 1)</f>
        <v>0</v>
      </c>
      <c r="AA5" s="12">
        <f>$B5 * IFERROR(VLOOKUP(Substitution!$M$13 &amp; $A5, US_national_yearly!$D:$AM, MATCH(AA$1, US_national_yearly!$D$1:$AM$1, 0), FALSE) / VLOOKUP(Substitution!$M$13 &amp; $A5, US_national_yearly!$D:$AM, MATCH(Keys!$C$7, US_national_yearly!$D$1:$AM$1, 0), FALSE), 1)</f>
        <v>0</v>
      </c>
      <c r="AB5" s="12">
        <f>$B5 * IFERROR(VLOOKUP(Substitution!$M$13 &amp; $A5, US_national_yearly!$D:$AM, MATCH(AB$1, US_national_yearly!$D$1:$AM$1, 0), FALSE) / VLOOKUP(Substitution!$M$13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Substitution!$G$13)/IFERROR(SUMIFS(COBRA_aggregated!$V:$V, COBRA_aggregated!$A:$A, About!$B$1, COBRA_aggregated!$B:$B, Substitution!$G$13), 1)</f>
        <v>1.3870069455928028E-2</v>
      </c>
      <c r="C6" s="12">
        <f>$B6 * IFERROR(VLOOKUP(Substitution!$M$13 &amp; $A6, US_national_yearly!$D:$AM, MATCH(C$1, US_national_yearly!$D$1:$AM$1, 0), FALSE) / VLOOKUP(Substitution!$M$13 &amp; $A6, US_national_yearly!$D:$AM, MATCH(Keys!$C$7, US_national_yearly!$D$1:$AM$1, 0), FALSE), 1)</f>
        <v>1.3870069455928028E-2</v>
      </c>
      <c r="D6" s="12">
        <f>$B6 * IFERROR(VLOOKUP(Substitution!$M$13 &amp; $A6, US_national_yearly!$D:$AM, MATCH(D$1, US_national_yearly!$D$1:$AM$1, 0), FALSE) / VLOOKUP(Substitution!$M$13 &amp; $A6, US_national_yearly!$D:$AM, MATCH(Keys!$C$7, US_national_yearly!$D$1:$AM$1, 0), FALSE), 1)</f>
        <v>1.3870069455928028E-2</v>
      </c>
      <c r="E6" s="12">
        <f>$B6 * IFERROR(VLOOKUP(Substitution!$M$13 &amp; $A6, US_national_yearly!$D:$AM, MATCH(E$1, US_national_yearly!$D$1:$AM$1, 0), FALSE) / VLOOKUP(Substitution!$M$13 &amp; $A6, US_national_yearly!$D:$AM, MATCH(Keys!$C$7, US_national_yearly!$D$1:$AM$1, 0), FALSE), 1)</f>
        <v>1.3870069455928028E-2</v>
      </c>
      <c r="F6" s="12">
        <f>$B6 * IFERROR(VLOOKUP(Substitution!$M$13 &amp; $A6, US_national_yearly!$D:$AM, MATCH(F$1, US_national_yearly!$D$1:$AM$1, 0), FALSE) / VLOOKUP(Substitution!$M$13 &amp; $A6, US_national_yearly!$D:$AM, MATCH(Keys!$C$7, US_national_yearly!$D$1:$AM$1, 0), FALSE), 1)</f>
        <v>1.3870069455928028E-2</v>
      </c>
      <c r="G6" s="12">
        <f>$B6 * IFERROR(VLOOKUP(Substitution!$M$13 &amp; $A6, US_national_yearly!$D:$AM, MATCH(G$1, US_national_yearly!$D$1:$AM$1, 0), FALSE) / VLOOKUP(Substitution!$M$13 &amp; $A6, US_national_yearly!$D:$AM, MATCH(Keys!$C$7, US_national_yearly!$D$1:$AM$1, 0), FALSE), 1)</f>
        <v>1.3870069455928028E-2</v>
      </c>
      <c r="H6" s="12">
        <f>$B6 * IFERROR(VLOOKUP(Substitution!$M$13 &amp; $A6, US_national_yearly!$D:$AM, MATCH(H$1, US_national_yearly!$D$1:$AM$1, 0), FALSE) / VLOOKUP(Substitution!$M$13 &amp; $A6, US_national_yearly!$D:$AM, MATCH(Keys!$C$7, US_national_yearly!$D$1:$AM$1, 0), FALSE), 1)</f>
        <v>1.3870069455928028E-2</v>
      </c>
      <c r="I6" s="12">
        <f>$B6 * IFERROR(VLOOKUP(Substitution!$M$13 &amp; $A6, US_national_yearly!$D:$AM, MATCH(I$1, US_national_yearly!$D$1:$AM$1, 0), FALSE) / VLOOKUP(Substitution!$M$13 &amp; $A6, US_national_yearly!$D:$AM, MATCH(Keys!$C$7, US_national_yearly!$D$1:$AM$1, 0), FALSE), 1)</f>
        <v>1.3870069455928028E-2</v>
      </c>
      <c r="J6" s="12">
        <f>$B6 * IFERROR(VLOOKUP(Substitution!$M$13 &amp; $A6, US_national_yearly!$D:$AM, MATCH(J$1, US_national_yearly!$D$1:$AM$1, 0), FALSE) / VLOOKUP(Substitution!$M$13 &amp; $A6, US_national_yearly!$D:$AM, MATCH(Keys!$C$7, US_national_yearly!$D$1:$AM$1, 0), FALSE), 1)</f>
        <v>1.3870069455928028E-2</v>
      </c>
      <c r="K6" s="12">
        <f>$B6 * IFERROR(VLOOKUP(Substitution!$M$13 &amp; $A6, US_national_yearly!$D:$AM, MATCH(K$1, US_national_yearly!$D$1:$AM$1, 0), FALSE) / VLOOKUP(Substitution!$M$13 &amp; $A6, US_national_yearly!$D:$AM, MATCH(Keys!$C$7, US_national_yearly!$D$1:$AM$1, 0), FALSE), 1)</f>
        <v>1.3870069455928028E-2</v>
      </c>
      <c r="L6" s="12">
        <f>$B6 * IFERROR(VLOOKUP(Substitution!$M$13 &amp; $A6, US_national_yearly!$D:$AM, MATCH(L$1, US_national_yearly!$D$1:$AM$1, 0), FALSE) / VLOOKUP(Substitution!$M$13 &amp; $A6, US_national_yearly!$D:$AM, MATCH(Keys!$C$7, US_national_yearly!$D$1:$AM$1, 0), FALSE), 1)</f>
        <v>1.3870069455928028E-2</v>
      </c>
      <c r="M6" s="12">
        <f>$B6 * IFERROR(VLOOKUP(Substitution!$M$13 &amp; $A6, US_national_yearly!$D:$AM, MATCH(M$1, US_national_yearly!$D$1:$AM$1, 0), FALSE) / VLOOKUP(Substitution!$M$13 &amp; $A6, US_national_yearly!$D:$AM, MATCH(Keys!$C$7, US_national_yearly!$D$1:$AM$1, 0), FALSE), 1)</f>
        <v>1.3870069455928028E-2</v>
      </c>
      <c r="N6" s="12">
        <f>$B6 * IFERROR(VLOOKUP(Substitution!$M$13 &amp; $A6, US_national_yearly!$D:$AM, MATCH(N$1, US_national_yearly!$D$1:$AM$1, 0), FALSE) / VLOOKUP(Substitution!$M$13 &amp; $A6, US_national_yearly!$D:$AM, MATCH(Keys!$C$7, US_national_yearly!$D$1:$AM$1, 0), FALSE), 1)</f>
        <v>1.3870069455928028E-2</v>
      </c>
      <c r="O6" s="12">
        <f>$B6 * IFERROR(VLOOKUP(Substitution!$M$13 &amp; $A6, US_national_yearly!$D:$AM, MATCH(O$1, US_national_yearly!$D$1:$AM$1, 0), FALSE) / VLOOKUP(Substitution!$M$13 &amp; $A6, US_national_yearly!$D:$AM, MATCH(Keys!$C$7, US_national_yearly!$D$1:$AM$1, 0), FALSE), 1)</f>
        <v>1.3870069455928028E-2</v>
      </c>
      <c r="P6" s="12">
        <f>$B6 * IFERROR(VLOOKUP(Substitution!$M$13 &amp; $A6, US_national_yearly!$D:$AM, MATCH(P$1, US_national_yearly!$D$1:$AM$1, 0), FALSE) / VLOOKUP(Substitution!$M$13 &amp; $A6, US_national_yearly!$D:$AM, MATCH(Keys!$C$7, US_national_yearly!$D$1:$AM$1, 0), FALSE), 1)</f>
        <v>1.3870069455928028E-2</v>
      </c>
      <c r="Q6" s="12">
        <f>$B6 * IFERROR(VLOOKUP(Substitution!$M$13 &amp; $A6, US_national_yearly!$D:$AM, MATCH(Q$1, US_national_yearly!$D$1:$AM$1, 0), FALSE) / VLOOKUP(Substitution!$M$13 &amp; $A6, US_national_yearly!$D:$AM, MATCH(Keys!$C$7, US_national_yearly!$D$1:$AM$1, 0), FALSE), 1)</f>
        <v>1.3870069455928028E-2</v>
      </c>
      <c r="R6" s="12">
        <f>$B6 * IFERROR(VLOOKUP(Substitution!$M$13 &amp; $A6, US_national_yearly!$D:$AM, MATCH(R$1, US_national_yearly!$D$1:$AM$1, 0), FALSE) / VLOOKUP(Substitution!$M$13 &amp; $A6, US_national_yearly!$D:$AM, MATCH(Keys!$C$7, US_national_yearly!$D$1:$AM$1, 0), FALSE), 1)</f>
        <v>1.3870069455928028E-2</v>
      </c>
      <c r="S6" s="12">
        <f>$B6 * IFERROR(VLOOKUP(Substitution!$M$13 &amp; $A6, US_national_yearly!$D:$AM, MATCH(S$1, US_national_yearly!$D$1:$AM$1, 0), FALSE) / VLOOKUP(Substitution!$M$13 &amp; $A6, US_national_yearly!$D:$AM, MATCH(Keys!$C$7, US_national_yearly!$D$1:$AM$1, 0), FALSE), 1)</f>
        <v>1.3870069455928028E-2</v>
      </c>
      <c r="T6" s="12">
        <f>$B6 * IFERROR(VLOOKUP(Substitution!$M$13 &amp; $A6, US_national_yearly!$D:$AM, MATCH(T$1, US_national_yearly!$D$1:$AM$1, 0), FALSE) / VLOOKUP(Substitution!$M$13 &amp; $A6, US_national_yearly!$D:$AM, MATCH(Keys!$C$7, US_national_yearly!$D$1:$AM$1, 0), FALSE), 1)</f>
        <v>1.3870069455928028E-2</v>
      </c>
      <c r="U6" s="12">
        <f>$B6 * IFERROR(VLOOKUP(Substitution!$M$13 &amp; $A6, US_national_yearly!$D:$AM, MATCH(U$1, US_national_yearly!$D$1:$AM$1, 0), FALSE) / VLOOKUP(Substitution!$M$13 &amp; $A6, US_national_yearly!$D:$AM, MATCH(Keys!$C$7, US_national_yearly!$D$1:$AM$1, 0), FALSE), 1)</f>
        <v>1.3870069455928028E-2</v>
      </c>
      <c r="V6" s="12">
        <f>$B6 * IFERROR(VLOOKUP(Substitution!$M$13 &amp; $A6, US_national_yearly!$D:$AM, MATCH(V$1, US_national_yearly!$D$1:$AM$1, 0), FALSE) / VLOOKUP(Substitution!$M$13 &amp; $A6, US_national_yearly!$D:$AM, MATCH(Keys!$C$7, US_national_yearly!$D$1:$AM$1, 0), FALSE), 1)</f>
        <v>1.3870069455928028E-2</v>
      </c>
      <c r="W6" s="12">
        <f>$B6 * IFERROR(VLOOKUP(Substitution!$M$13 &amp; $A6, US_national_yearly!$D:$AM, MATCH(W$1, US_national_yearly!$D$1:$AM$1, 0), FALSE) / VLOOKUP(Substitution!$M$13 &amp; $A6, US_national_yearly!$D:$AM, MATCH(Keys!$C$7, US_national_yearly!$D$1:$AM$1, 0), FALSE), 1)</f>
        <v>1.3870069455928028E-2</v>
      </c>
      <c r="X6" s="12">
        <f>$B6 * IFERROR(VLOOKUP(Substitution!$M$13 &amp; $A6, US_national_yearly!$D:$AM, MATCH(X$1, US_national_yearly!$D$1:$AM$1, 0), FALSE) / VLOOKUP(Substitution!$M$13 &amp; $A6, US_national_yearly!$D:$AM, MATCH(Keys!$C$7, US_national_yearly!$D$1:$AM$1, 0), FALSE), 1)</f>
        <v>1.3870069455928028E-2</v>
      </c>
      <c r="Y6" s="12">
        <f>$B6 * IFERROR(VLOOKUP(Substitution!$M$13 &amp; $A6, US_national_yearly!$D:$AM, MATCH(Y$1, US_national_yearly!$D$1:$AM$1, 0), FALSE) / VLOOKUP(Substitution!$M$13 &amp; $A6, US_national_yearly!$D:$AM, MATCH(Keys!$C$7, US_national_yearly!$D$1:$AM$1, 0), FALSE), 1)</f>
        <v>1.3870069455928028E-2</v>
      </c>
      <c r="Z6" s="12">
        <f>$B6 * IFERROR(VLOOKUP(Substitution!$M$13 &amp; $A6, US_national_yearly!$D:$AM, MATCH(Z$1, US_national_yearly!$D$1:$AM$1, 0), FALSE) / VLOOKUP(Substitution!$M$13 &amp; $A6, US_national_yearly!$D:$AM, MATCH(Keys!$C$7, US_national_yearly!$D$1:$AM$1, 0), FALSE), 1)</f>
        <v>1.3870069455928028E-2</v>
      </c>
      <c r="AA6" s="12">
        <f>$B6 * IFERROR(VLOOKUP(Substitution!$M$13 &amp; $A6, US_national_yearly!$D:$AM, MATCH(AA$1, US_national_yearly!$D$1:$AM$1, 0), FALSE) / VLOOKUP(Substitution!$M$13 &amp; $A6, US_national_yearly!$D:$AM, MATCH(Keys!$C$7, US_national_yearly!$D$1:$AM$1, 0), FALSE), 1)</f>
        <v>1.3870069455928028E-2</v>
      </c>
      <c r="AB6" s="12">
        <f>$B6 * IFERROR(VLOOKUP(Substitution!$M$13 &amp; $A6, US_national_yearly!$D:$AM, MATCH(AB$1, US_national_yearly!$D$1:$AM$1, 0), FALSE) / VLOOKUP(Substitution!$M$13 &amp; $A6, US_national_yearly!$D:$AM, MATCH(Keys!$C$7, US_national_yearly!$D$1:$AM$1, 0), FALSE), 1)</f>
        <v>1.3870069455928028E-2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Substitution!$G$13)/IFERROR(SUMIFS(COBRA_aggregated!$V:$V, COBRA_aggregated!$A:$A, About!$B$1, COBRA_aggregated!$B:$B, Substitution!$G$13), 1)</f>
        <v>1.8678055428091551E-2</v>
      </c>
      <c r="C7" s="12">
        <f>$B7 * IFERROR(VLOOKUP(Substitution!$M$13 &amp; $A7, US_national_yearly!$D:$AM, MATCH(C$1, US_national_yearly!$D$1:$AM$1, 0), FALSE) / VLOOKUP(Substitution!$M$13 &amp; $A7, US_national_yearly!$D:$AM, MATCH(Keys!$C$7, US_national_yearly!$D$1:$AM$1, 0), FALSE), 1)</f>
        <v>1.8678055428091551E-2</v>
      </c>
      <c r="D7" s="12">
        <f>$B7 * IFERROR(VLOOKUP(Substitution!$M$13 &amp; $A7, US_national_yearly!$D:$AM, MATCH(D$1, US_national_yearly!$D$1:$AM$1, 0), FALSE) / VLOOKUP(Substitution!$M$13 &amp; $A7, US_national_yearly!$D:$AM, MATCH(Keys!$C$7, US_national_yearly!$D$1:$AM$1, 0), FALSE), 1)</f>
        <v>1.8678055428091551E-2</v>
      </c>
      <c r="E7" s="12">
        <f>$B7 * IFERROR(VLOOKUP(Substitution!$M$13 &amp; $A7, US_national_yearly!$D:$AM, MATCH(E$1, US_national_yearly!$D$1:$AM$1, 0), FALSE) / VLOOKUP(Substitution!$M$13 &amp; $A7, US_national_yearly!$D:$AM, MATCH(Keys!$C$7, US_national_yearly!$D$1:$AM$1, 0), FALSE), 1)</f>
        <v>1.8678055428091551E-2</v>
      </c>
      <c r="F7" s="12">
        <f>$B7 * IFERROR(VLOOKUP(Substitution!$M$13 &amp; $A7, US_national_yearly!$D:$AM, MATCH(F$1, US_national_yearly!$D$1:$AM$1, 0), FALSE) / VLOOKUP(Substitution!$M$13 &amp; $A7, US_national_yearly!$D:$AM, MATCH(Keys!$C$7, US_national_yearly!$D$1:$AM$1, 0), FALSE), 1)</f>
        <v>1.8678055428091551E-2</v>
      </c>
      <c r="G7" s="12">
        <f>$B7 * IFERROR(VLOOKUP(Substitution!$M$13 &amp; $A7, US_national_yearly!$D:$AM, MATCH(G$1, US_national_yearly!$D$1:$AM$1, 0), FALSE) / VLOOKUP(Substitution!$M$13 &amp; $A7, US_national_yearly!$D:$AM, MATCH(Keys!$C$7, US_national_yearly!$D$1:$AM$1, 0), FALSE), 1)</f>
        <v>1.8678055428091551E-2</v>
      </c>
      <c r="H7" s="12">
        <f>$B7 * IFERROR(VLOOKUP(Substitution!$M$13 &amp; $A7, US_national_yearly!$D:$AM, MATCH(H$1, US_national_yearly!$D$1:$AM$1, 0), FALSE) / VLOOKUP(Substitution!$M$13 &amp; $A7, US_national_yearly!$D:$AM, MATCH(Keys!$C$7, US_national_yearly!$D$1:$AM$1, 0), FALSE), 1)</f>
        <v>1.8678055428091551E-2</v>
      </c>
      <c r="I7" s="12">
        <f>$B7 * IFERROR(VLOOKUP(Substitution!$M$13 &amp; $A7, US_national_yearly!$D:$AM, MATCH(I$1, US_national_yearly!$D$1:$AM$1, 0), FALSE) / VLOOKUP(Substitution!$M$13 &amp; $A7, US_national_yearly!$D:$AM, MATCH(Keys!$C$7, US_national_yearly!$D$1:$AM$1, 0), FALSE), 1)</f>
        <v>1.8678055428091551E-2</v>
      </c>
      <c r="J7" s="12">
        <f>$B7 * IFERROR(VLOOKUP(Substitution!$M$13 &amp; $A7, US_national_yearly!$D:$AM, MATCH(J$1, US_national_yearly!$D$1:$AM$1, 0), FALSE) / VLOOKUP(Substitution!$M$13 &amp; $A7, US_national_yearly!$D:$AM, MATCH(Keys!$C$7, US_national_yearly!$D$1:$AM$1, 0), FALSE), 1)</f>
        <v>1.8678055428091551E-2</v>
      </c>
      <c r="K7" s="12">
        <f>$B7 * IFERROR(VLOOKUP(Substitution!$M$13 &amp; $A7, US_national_yearly!$D:$AM, MATCH(K$1, US_national_yearly!$D$1:$AM$1, 0), FALSE) / VLOOKUP(Substitution!$M$13 &amp; $A7, US_national_yearly!$D:$AM, MATCH(Keys!$C$7, US_national_yearly!$D$1:$AM$1, 0), FALSE), 1)</f>
        <v>1.8678055428091551E-2</v>
      </c>
      <c r="L7" s="12">
        <f>$B7 * IFERROR(VLOOKUP(Substitution!$M$13 &amp; $A7, US_national_yearly!$D:$AM, MATCH(L$1, US_national_yearly!$D$1:$AM$1, 0), FALSE) / VLOOKUP(Substitution!$M$13 &amp; $A7, US_national_yearly!$D:$AM, MATCH(Keys!$C$7, US_national_yearly!$D$1:$AM$1, 0), FALSE), 1)</f>
        <v>1.8678055428091551E-2</v>
      </c>
      <c r="M7" s="12">
        <f>$B7 * IFERROR(VLOOKUP(Substitution!$M$13 &amp; $A7, US_national_yearly!$D:$AM, MATCH(M$1, US_national_yearly!$D$1:$AM$1, 0), FALSE) / VLOOKUP(Substitution!$M$13 &amp; $A7, US_national_yearly!$D:$AM, MATCH(Keys!$C$7, US_national_yearly!$D$1:$AM$1, 0), FALSE), 1)</f>
        <v>1.8678055428091551E-2</v>
      </c>
      <c r="N7" s="12">
        <f>$B7 * IFERROR(VLOOKUP(Substitution!$M$13 &amp; $A7, US_national_yearly!$D:$AM, MATCH(N$1, US_national_yearly!$D$1:$AM$1, 0), FALSE) / VLOOKUP(Substitution!$M$13 &amp; $A7, US_national_yearly!$D:$AM, MATCH(Keys!$C$7, US_national_yearly!$D$1:$AM$1, 0), FALSE), 1)</f>
        <v>1.8678055428091551E-2</v>
      </c>
      <c r="O7" s="12">
        <f>$B7 * IFERROR(VLOOKUP(Substitution!$M$13 &amp; $A7, US_national_yearly!$D:$AM, MATCH(O$1, US_national_yearly!$D$1:$AM$1, 0), FALSE) / VLOOKUP(Substitution!$M$13 &amp; $A7, US_national_yearly!$D:$AM, MATCH(Keys!$C$7, US_national_yearly!$D$1:$AM$1, 0), FALSE), 1)</f>
        <v>1.8678055428091551E-2</v>
      </c>
      <c r="P7" s="12">
        <f>$B7 * IFERROR(VLOOKUP(Substitution!$M$13 &amp; $A7, US_national_yearly!$D:$AM, MATCH(P$1, US_national_yearly!$D$1:$AM$1, 0), FALSE) / VLOOKUP(Substitution!$M$13 &amp; $A7, US_national_yearly!$D:$AM, MATCH(Keys!$C$7, US_national_yearly!$D$1:$AM$1, 0), FALSE), 1)</f>
        <v>1.8678055428091551E-2</v>
      </c>
      <c r="Q7" s="12">
        <f>$B7 * IFERROR(VLOOKUP(Substitution!$M$13 &amp; $A7, US_national_yearly!$D:$AM, MATCH(Q$1, US_national_yearly!$D$1:$AM$1, 0), FALSE) / VLOOKUP(Substitution!$M$13 &amp; $A7, US_national_yearly!$D:$AM, MATCH(Keys!$C$7, US_national_yearly!$D$1:$AM$1, 0), FALSE), 1)</f>
        <v>1.8678055428091551E-2</v>
      </c>
      <c r="R7" s="12">
        <f>$B7 * IFERROR(VLOOKUP(Substitution!$M$13 &amp; $A7, US_national_yearly!$D:$AM, MATCH(R$1, US_national_yearly!$D$1:$AM$1, 0), FALSE) / VLOOKUP(Substitution!$M$13 &amp; $A7, US_national_yearly!$D:$AM, MATCH(Keys!$C$7, US_national_yearly!$D$1:$AM$1, 0), FALSE), 1)</f>
        <v>1.8678055428091551E-2</v>
      </c>
      <c r="S7" s="12">
        <f>$B7 * IFERROR(VLOOKUP(Substitution!$M$13 &amp; $A7, US_national_yearly!$D:$AM, MATCH(S$1, US_national_yearly!$D$1:$AM$1, 0), FALSE) / VLOOKUP(Substitution!$M$13 &amp; $A7, US_national_yearly!$D:$AM, MATCH(Keys!$C$7, US_national_yearly!$D$1:$AM$1, 0), FALSE), 1)</f>
        <v>1.8678055428091551E-2</v>
      </c>
      <c r="T7" s="12">
        <f>$B7 * IFERROR(VLOOKUP(Substitution!$M$13 &amp; $A7, US_national_yearly!$D:$AM, MATCH(T$1, US_national_yearly!$D$1:$AM$1, 0), FALSE) / VLOOKUP(Substitution!$M$13 &amp; $A7, US_national_yearly!$D:$AM, MATCH(Keys!$C$7, US_national_yearly!$D$1:$AM$1, 0), FALSE), 1)</f>
        <v>1.8678055428091551E-2</v>
      </c>
      <c r="U7" s="12">
        <f>$B7 * IFERROR(VLOOKUP(Substitution!$M$13 &amp; $A7, US_national_yearly!$D:$AM, MATCH(U$1, US_national_yearly!$D$1:$AM$1, 0), FALSE) / VLOOKUP(Substitution!$M$13 &amp; $A7, US_national_yearly!$D:$AM, MATCH(Keys!$C$7, US_national_yearly!$D$1:$AM$1, 0), FALSE), 1)</f>
        <v>1.8678055428091551E-2</v>
      </c>
      <c r="V7" s="12">
        <f>$B7 * IFERROR(VLOOKUP(Substitution!$M$13 &amp; $A7, US_national_yearly!$D:$AM, MATCH(V$1, US_national_yearly!$D$1:$AM$1, 0), FALSE) / VLOOKUP(Substitution!$M$13 &amp; $A7, US_national_yearly!$D:$AM, MATCH(Keys!$C$7, US_national_yearly!$D$1:$AM$1, 0), FALSE), 1)</f>
        <v>1.8678055428091551E-2</v>
      </c>
      <c r="W7" s="12">
        <f>$B7 * IFERROR(VLOOKUP(Substitution!$M$13 &amp; $A7, US_national_yearly!$D:$AM, MATCH(W$1, US_national_yearly!$D$1:$AM$1, 0), FALSE) / VLOOKUP(Substitution!$M$13 &amp; $A7, US_national_yearly!$D:$AM, MATCH(Keys!$C$7, US_national_yearly!$D$1:$AM$1, 0), FALSE), 1)</f>
        <v>1.8678055428091551E-2</v>
      </c>
      <c r="X7" s="12">
        <f>$B7 * IFERROR(VLOOKUP(Substitution!$M$13 &amp; $A7, US_national_yearly!$D:$AM, MATCH(X$1, US_national_yearly!$D$1:$AM$1, 0), FALSE) / VLOOKUP(Substitution!$M$13 &amp; $A7, US_national_yearly!$D:$AM, MATCH(Keys!$C$7, US_national_yearly!$D$1:$AM$1, 0), FALSE), 1)</f>
        <v>1.8678055428091551E-2</v>
      </c>
      <c r="Y7" s="12">
        <f>$B7 * IFERROR(VLOOKUP(Substitution!$M$13 &amp; $A7, US_national_yearly!$D:$AM, MATCH(Y$1, US_national_yearly!$D$1:$AM$1, 0), FALSE) / VLOOKUP(Substitution!$M$13 &amp; $A7, US_national_yearly!$D:$AM, MATCH(Keys!$C$7, US_national_yearly!$D$1:$AM$1, 0), FALSE), 1)</f>
        <v>1.8678055428091551E-2</v>
      </c>
      <c r="Z7" s="12">
        <f>$B7 * IFERROR(VLOOKUP(Substitution!$M$13 &amp; $A7, US_national_yearly!$D:$AM, MATCH(Z$1, US_national_yearly!$D$1:$AM$1, 0), FALSE) / VLOOKUP(Substitution!$M$13 &amp; $A7, US_national_yearly!$D:$AM, MATCH(Keys!$C$7, US_national_yearly!$D$1:$AM$1, 0), FALSE), 1)</f>
        <v>1.8678055428091551E-2</v>
      </c>
      <c r="AA7" s="12">
        <f>$B7 * IFERROR(VLOOKUP(Substitution!$M$13 &amp; $A7, US_national_yearly!$D:$AM, MATCH(AA$1, US_national_yearly!$D$1:$AM$1, 0), FALSE) / VLOOKUP(Substitution!$M$13 &amp; $A7, US_national_yearly!$D:$AM, MATCH(Keys!$C$7, US_national_yearly!$D$1:$AM$1, 0), FALSE), 1)</f>
        <v>1.8678055428091551E-2</v>
      </c>
      <c r="AB7" s="12">
        <f>$B7 * IFERROR(VLOOKUP(Substitution!$M$13 &amp; $A7, US_national_yearly!$D:$AM, MATCH(AB$1, US_national_yearly!$D$1:$AM$1, 0), FALSE) / VLOOKUP(Substitution!$M$13 &amp; $A7, US_national_yearly!$D:$AM, MATCH(Keys!$C$7, US_national_yearly!$D$1:$AM$1, 0), FALSE), 1)</f>
        <v>1.8678055428091551E-2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Substitution!$G$13)/IFERROR(SUMIFS(COBRA_aggregated!$V:$V, COBRA_aggregated!$A:$A, About!$B$1, COBRA_aggregated!$B:$B, Substitution!$G$13), 1)</f>
        <v>2.8536923572900448E-2</v>
      </c>
      <c r="C8" s="12">
        <f>$B8 * IFERROR(VLOOKUP(Substitution!$M$13 &amp; $A8, US_national_yearly!$D:$AM, MATCH(C$1, US_national_yearly!$D$1:$AM$1, 0), FALSE) / VLOOKUP(Substitution!$M$13 &amp; $A8, US_national_yearly!$D:$AM, MATCH(Keys!$C$7, US_national_yearly!$D$1:$AM$1, 0), FALSE), 1)</f>
        <v>2.8536923572900448E-2</v>
      </c>
      <c r="D8" s="12">
        <f>$B8 * IFERROR(VLOOKUP(Substitution!$M$13 &amp; $A8, US_national_yearly!$D:$AM, MATCH(D$1, US_national_yearly!$D$1:$AM$1, 0), FALSE) / VLOOKUP(Substitution!$M$13 &amp; $A8, US_national_yearly!$D:$AM, MATCH(Keys!$C$7, US_national_yearly!$D$1:$AM$1, 0), FALSE), 1)</f>
        <v>2.8536923572900448E-2</v>
      </c>
      <c r="E8" s="12">
        <f>$B8 * IFERROR(VLOOKUP(Substitution!$M$13 &amp; $A8, US_national_yearly!$D:$AM, MATCH(E$1, US_national_yearly!$D$1:$AM$1, 0), FALSE) / VLOOKUP(Substitution!$M$13 &amp; $A8, US_national_yearly!$D:$AM, MATCH(Keys!$C$7, US_national_yearly!$D$1:$AM$1, 0), FALSE), 1)</f>
        <v>2.8536923572900448E-2</v>
      </c>
      <c r="F8" s="12">
        <f>$B8 * IFERROR(VLOOKUP(Substitution!$M$13 &amp; $A8, US_national_yearly!$D:$AM, MATCH(F$1, US_national_yearly!$D$1:$AM$1, 0), FALSE) / VLOOKUP(Substitution!$M$13 &amp; $A8, US_national_yearly!$D:$AM, MATCH(Keys!$C$7, US_national_yearly!$D$1:$AM$1, 0), FALSE), 1)</f>
        <v>2.8536923572900448E-2</v>
      </c>
      <c r="G8" s="12">
        <f>$B8 * IFERROR(VLOOKUP(Substitution!$M$13 &amp; $A8, US_national_yearly!$D:$AM, MATCH(G$1, US_national_yearly!$D$1:$AM$1, 0), FALSE) / VLOOKUP(Substitution!$M$13 &amp; $A8, US_national_yearly!$D:$AM, MATCH(Keys!$C$7, US_national_yearly!$D$1:$AM$1, 0), FALSE), 1)</f>
        <v>2.8536923572900448E-2</v>
      </c>
      <c r="H8" s="12">
        <f>$B8 * IFERROR(VLOOKUP(Substitution!$M$13 &amp; $A8, US_national_yearly!$D:$AM, MATCH(H$1, US_national_yearly!$D$1:$AM$1, 0), FALSE) / VLOOKUP(Substitution!$M$13 &amp; $A8, US_national_yearly!$D:$AM, MATCH(Keys!$C$7, US_national_yearly!$D$1:$AM$1, 0), FALSE), 1)</f>
        <v>2.8536923572900448E-2</v>
      </c>
      <c r="I8" s="12">
        <f>$B8 * IFERROR(VLOOKUP(Substitution!$M$13 &amp; $A8, US_national_yearly!$D:$AM, MATCH(I$1, US_national_yearly!$D$1:$AM$1, 0), FALSE) / VLOOKUP(Substitution!$M$13 &amp; $A8, US_national_yearly!$D:$AM, MATCH(Keys!$C$7, US_national_yearly!$D$1:$AM$1, 0), FALSE), 1)</f>
        <v>2.8536923572900448E-2</v>
      </c>
      <c r="J8" s="12">
        <f>$B8 * IFERROR(VLOOKUP(Substitution!$M$13 &amp; $A8, US_national_yearly!$D:$AM, MATCH(J$1, US_national_yearly!$D$1:$AM$1, 0), FALSE) / VLOOKUP(Substitution!$M$13 &amp; $A8, US_national_yearly!$D:$AM, MATCH(Keys!$C$7, US_national_yearly!$D$1:$AM$1, 0), FALSE), 1)</f>
        <v>2.8536923572900448E-2</v>
      </c>
      <c r="K8" s="12">
        <f>$B8 * IFERROR(VLOOKUP(Substitution!$M$13 &amp; $A8, US_national_yearly!$D:$AM, MATCH(K$1, US_national_yearly!$D$1:$AM$1, 0), FALSE) / VLOOKUP(Substitution!$M$13 &amp; $A8, US_national_yearly!$D:$AM, MATCH(Keys!$C$7, US_national_yearly!$D$1:$AM$1, 0), FALSE), 1)</f>
        <v>2.8536923572900448E-2</v>
      </c>
      <c r="L8" s="12">
        <f>$B8 * IFERROR(VLOOKUP(Substitution!$M$13 &amp; $A8, US_national_yearly!$D:$AM, MATCH(L$1, US_national_yearly!$D$1:$AM$1, 0), FALSE) / VLOOKUP(Substitution!$M$13 &amp; $A8, US_national_yearly!$D:$AM, MATCH(Keys!$C$7, US_national_yearly!$D$1:$AM$1, 0), FALSE), 1)</f>
        <v>2.8536923572900448E-2</v>
      </c>
      <c r="M8" s="12">
        <f>$B8 * IFERROR(VLOOKUP(Substitution!$M$13 &amp; $A8, US_national_yearly!$D:$AM, MATCH(M$1, US_national_yearly!$D$1:$AM$1, 0), FALSE) / VLOOKUP(Substitution!$M$13 &amp; $A8, US_national_yearly!$D:$AM, MATCH(Keys!$C$7, US_national_yearly!$D$1:$AM$1, 0), FALSE), 1)</f>
        <v>2.8536923572900448E-2</v>
      </c>
      <c r="N8" s="12">
        <f>$B8 * IFERROR(VLOOKUP(Substitution!$M$13 &amp; $A8, US_national_yearly!$D:$AM, MATCH(N$1, US_national_yearly!$D$1:$AM$1, 0), FALSE) / VLOOKUP(Substitution!$M$13 &amp; $A8, US_national_yearly!$D:$AM, MATCH(Keys!$C$7, US_national_yearly!$D$1:$AM$1, 0), FALSE), 1)</f>
        <v>2.8536923572900448E-2</v>
      </c>
      <c r="O8" s="12">
        <f>$B8 * IFERROR(VLOOKUP(Substitution!$M$13 &amp; $A8, US_national_yearly!$D:$AM, MATCH(O$1, US_national_yearly!$D$1:$AM$1, 0), FALSE) / VLOOKUP(Substitution!$M$13 &amp; $A8, US_national_yearly!$D:$AM, MATCH(Keys!$C$7, US_national_yearly!$D$1:$AM$1, 0), FALSE), 1)</f>
        <v>2.8536923572900448E-2</v>
      </c>
      <c r="P8" s="12">
        <f>$B8 * IFERROR(VLOOKUP(Substitution!$M$13 &amp; $A8, US_national_yearly!$D:$AM, MATCH(P$1, US_national_yearly!$D$1:$AM$1, 0), FALSE) / VLOOKUP(Substitution!$M$13 &amp; $A8, US_national_yearly!$D:$AM, MATCH(Keys!$C$7, US_national_yearly!$D$1:$AM$1, 0), FALSE), 1)</f>
        <v>2.8536923572900448E-2</v>
      </c>
      <c r="Q8" s="12">
        <f>$B8 * IFERROR(VLOOKUP(Substitution!$M$13 &amp; $A8, US_national_yearly!$D:$AM, MATCH(Q$1, US_national_yearly!$D$1:$AM$1, 0), FALSE) / VLOOKUP(Substitution!$M$13 &amp; $A8, US_national_yearly!$D:$AM, MATCH(Keys!$C$7, US_national_yearly!$D$1:$AM$1, 0), FALSE), 1)</f>
        <v>2.8536923572900448E-2</v>
      </c>
      <c r="R8" s="12">
        <f>$B8 * IFERROR(VLOOKUP(Substitution!$M$13 &amp; $A8, US_national_yearly!$D:$AM, MATCH(R$1, US_national_yearly!$D$1:$AM$1, 0), FALSE) / VLOOKUP(Substitution!$M$13 &amp; $A8, US_national_yearly!$D:$AM, MATCH(Keys!$C$7, US_national_yearly!$D$1:$AM$1, 0), FALSE), 1)</f>
        <v>2.8536923572900448E-2</v>
      </c>
      <c r="S8" s="12">
        <f>$B8 * IFERROR(VLOOKUP(Substitution!$M$13 &amp; $A8, US_national_yearly!$D:$AM, MATCH(S$1, US_national_yearly!$D$1:$AM$1, 0), FALSE) / VLOOKUP(Substitution!$M$13 &amp; $A8, US_national_yearly!$D:$AM, MATCH(Keys!$C$7, US_national_yearly!$D$1:$AM$1, 0), FALSE), 1)</f>
        <v>2.8536923572900448E-2</v>
      </c>
      <c r="T8" s="12">
        <f>$B8 * IFERROR(VLOOKUP(Substitution!$M$13 &amp; $A8, US_national_yearly!$D:$AM, MATCH(T$1, US_national_yearly!$D$1:$AM$1, 0), FALSE) / VLOOKUP(Substitution!$M$13 &amp; $A8, US_national_yearly!$D:$AM, MATCH(Keys!$C$7, US_national_yearly!$D$1:$AM$1, 0), FALSE), 1)</f>
        <v>2.8536923572900448E-2</v>
      </c>
      <c r="U8" s="12">
        <f>$B8 * IFERROR(VLOOKUP(Substitution!$M$13 &amp; $A8, US_national_yearly!$D:$AM, MATCH(U$1, US_national_yearly!$D$1:$AM$1, 0), FALSE) / VLOOKUP(Substitution!$M$13 &amp; $A8, US_national_yearly!$D:$AM, MATCH(Keys!$C$7, US_national_yearly!$D$1:$AM$1, 0), FALSE), 1)</f>
        <v>2.8536923572900448E-2</v>
      </c>
      <c r="V8" s="12">
        <f>$B8 * IFERROR(VLOOKUP(Substitution!$M$13 &amp; $A8, US_national_yearly!$D:$AM, MATCH(V$1, US_national_yearly!$D$1:$AM$1, 0), FALSE) / VLOOKUP(Substitution!$M$13 &amp; $A8, US_national_yearly!$D:$AM, MATCH(Keys!$C$7, US_national_yearly!$D$1:$AM$1, 0), FALSE), 1)</f>
        <v>2.8536923572900448E-2</v>
      </c>
      <c r="W8" s="12">
        <f>$B8 * IFERROR(VLOOKUP(Substitution!$M$13 &amp; $A8, US_national_yearly!$D:$AM, MATCH(W$1, US_national_yearly!$D$1:$AM$1, 0), FALSE) / VLOOKUP(Substitution!$M$13 &amp; $A8, US_national_yearly!$D:$AM, MATCH(Keys!$C$7, US_national_yearly!$D$1:$AM$1, 0), FALSE), 1)</f>
        <v>2.8536923572900448E-2</v>
      </c>
      <c r="X8" s="12">
        <f>$B8 * IFERROR(VLOOKUP(Substitution!$M$13 &amp; $A8, US_national_yearly!$D:$AM, MATCH(X$1, US_national_yearly!$D$1:$AM$1, 0), FALSE) / VLOOKUP(Substitution!$M$13 &amp; $A8, US_national_yearly!$D:$AM, MATCH(Keys!$C$7, US_national_yearly!$D$1:$AM$1, 0), FALSE), 1)</f>
        <v>2.8536923572900448E-2</v>
      </c>
      <c r="Y8" s="12">
        <f>$B8 * IFERROR(VLOOKUP(Substitution!$M$13 &amp; $A8, US_national_yearly!$D:$AM, MATCH(Y$1, US_national_yearly!$D$1:$AM$1, 0), FALSE) / VLOOKUP(Substitution!$M$13 &amp; $A8, US_national_yearly!$D:$AM, MATCH(Keys!$C$7, US_national_yearly!$D$1:$AM$1, 0), FALSE), 1)</f>
        <v>2.8536923572900448E-2</v>
      </c>
      <c r="Z8" s="12">
        <f>$B8 * IFERROR(VLOOKUP(Substitution!$M$13 &amp; $A8, US_national_yearly!$D:$AM, MATCH(Z$1, US_national_yearly!$D$1:$AM$1, 0), FALSE) / VLOOKUP(Substitution!$M$13 &amp; $A8, US_national_yearly!$D:$AM, MATCH(Keys!$C$7, US_national_yearly!$D$1:$AM$1, 0), FALSE), 1)</f>
        <v>2.8536923572900448E-2</v>
      </c>
      <c r="AA8" s="12">
        <f>$B8 * IFERROR(VLOOKUP(Substitution!$M$13 &amp; $A8, US_national_yearly!$D:$AM, MATCH(AA$1, US_national_yearly!$D$1:$AM$1, 0), FALSE) / VLOOKUP(Substitution!$M$13 &amp; $A8, US_national_yearly!$D:$AM, MATCH(Keys!$C$7, US_national_yearly!$D$1:$AM$1, 0), FALSE), 1)</f>
        <v>2.8536923572900448E-2</v>
      </c>
      <c r="AB8" s="12">
        <f>$B8 * IFERROR(VLOOKUP(Substitution!$M$13 &amp; $A8, US_national_yearly!$D:$AM, MATCH(AB$1, US_national_yearly!$D$1:$AM$1, 0), FALSE) / VLOOKUP(Substitution!$M$13 &amp; $A8, US_national_yearly!$D:$AM, MATCH(Keys!$C$7, US_national_yearly!$D$1:$AM$1, 0), FALSE), 1)</f>
        <v>2.8536923572900448E-2</v>
      </c>
    </row>
    <row r="9" spans="1:28" x14ac:dyDescent="0.25">
      <c r="A9" s="4" t="s">
        <v>305</v>
      </c>
      <c r="B9" s="12">
        <f>IFERROR(VLOOKUP(Substitution!$M$13 &amp; $A9, US_national_yearly!$D:$AM, MATCH(Keys!$C$7, US_national_yearly!$D$1:$AM$1, 0), FALSE), 0)</f>
        <v>6.0137868457517119E-3</v>
      </c>
      <c r="C9" s="12">
        <f>$B9 * IFERROR(VLOOKUP(Substitution!$M$13 &amp; $A9, US_national_yearly!$D:$AM, MATCH(C$1, US_national_yearly!$D$1:$AM$1, 0), FALSE) / VLOOKUP(Substitution!$M$13 &amp; $A9, US_national_yearly!$D:$AM, MATCH(Keys!$C$7, US_national_yearly!$D$1:$AM$1, 0), FALSE), 1)</f>
        <v>6.0540114922716928E-3</v>
      </c>
      <c r="D9" s="12">
        <f>$B9 * IFERROR(VLOOKUP(Substitution!$M$13 &amp; $A9, US_national_yearly!$D:$AM, MATCH(D$1, US_national_yearly!$D$1:$AM$1, 0), FALSE) / VLOOKUP(Substitution!$M$13 &amp; $A9, US_national_yearly!$D:$AM, MATCH(Keys!$C$7, US_national_yearly!$D$1:$AM$1, 0), FALSE), 1)</f>
        <v>6.0942361387916772E-3</v>
      </c>
      <c r="E9" s="12">
        <f>$B9 * IFERROR(VLOOKUP(Substitution!$M$13 &amp; $A9, US_national_yearly!$D:$AM, MATCH(E$1, US_national_yearly!$D$1:$AM$1, 0), FALSE) / VLOOKUP(Substitution!$M$13 &amp; $A9, US_national_yearly!$D:$AM, MATCH(Keys!$C$7, US_national_yearly!$D$1:$AM$1, 0), FALSE), 1)</f>
        <v>6.1344607853116582E-3</v>
      </c>
      <c r="F9" s="12">
        <f>$B9 * IFERROR(VLOOKUP(Substitution!$M$13 &amp; $A9, US_national_yearly!$D:$AM, MATCH(F$1, US_national_yearly!$D$1:$AM$1, 0), FALSE) / VLOOKUP(Substitution!$M$13 &amp; $A9, US_national_yearly!$D:$AM, MATCH(Keys!$C$7, US_national_yearly!$D$1:$AM$1, 0), FALSE), 1)</f>
        <v>6.1746854318316408E-3</v>
      </c>
      <c r="G9" s="12">
        <f>$B9 * IFERROR(VLOOKUP(Substitution!$M$13 &amp; $A9, US_national_yearly!$D:$AM, MATCH(G$1, US_national_yearly!$D$1:$AM$1, 0), FALSE) / VLOOKUP(Substitution!$M$13 &amp; $A9, US_national_yearly!$D:$AM, MATCH(Keys!$C$7, US_national_yearly!$D$1:$AM$1, 0), FALSE), 1)</f>
        <v>6.2109304056397439E-3</v>
      </c>
      <c r="H9" s="12">
        <f>$B9 * IFERROR(VLOOKUP(Substitution!$M$13 &amp; $A9, US_national_yearly!$D:$AM, MATCH(H$1, US_national_yearly!$D$1:$AM$1, 0), FALSE) / VLOOKUP(Substitution!$M$13 &amp; $A9, US_national_yearly!$D:$AM, MATCH(Keys!$C$7, US_national_yearly!$D$1:$AM$1, 0), FALSE), 1)</f>
        <v>6.2471753794478497E-3</v>
      </c>
      <c r="I9" s="12">
        <f>$B9 * IFERROR(VLOOKUP(Substitution!$M$13 &amp; $A9, US_national_yearly!$D:$AM, MATCH(I$1, US_national_yearly!$D$1:$AM$1, 0), FALSE) / VLOOKUP(Substitution!$M$13 &amp; $A9, US_national_yearly!$D:$AM, MATCH(Keys!$C$7, US_national_yearly!$D$1:$AM$1, 0), FALSE), 1)</f>
        <v>6.2776180453156596E-3</v>
      </c>
      <c r="J9" s="12">
        <f>$B9 * IFERROR(VLOOKUP(Substitution!$M$13 &amp; $A9, US_national_yearly!$D:$AM, MATCH(J$1, US_national_yearly!$D$1:$AM$1, 0), FALSE) / VLOOKUP(Substitution!$M$13 &amp; $A9, US_national_yearly!$D:$AM, MATCH(Keys!$C$7, US_national_yearly!$D$1:$AM$1, 0), FALSE), 1)</f>
        <v>6.3080607111834705E-3</v>
      </c>
      <c r="K9" s="12">
        <f>$B9 * IFERROR(VLOOKUP(Substitution!$M$13 &amp; $A9, US_national_yearly!$D:$AM, MATCH(K$1, US_national_yearly!$D$1:$AM$1, 0), FALSE) / VLOOKUP(Substitution!$M$13 &amp; $A9, US_national_yearly!$D:$AM, MATCH(Keys!$C$7, US_national_yearly!$D$1:$AM$1, 0), FALSE), 1)</f>
        <v>6.3385033770512788E-3</v>
      </c>
      <c r="L9" s="12">
        <f>$B9 * IFERROR(VLOOKUP(Substitution!$M$13 &amp; $A9, US_national_yearly!$D:$AM, MATCH(L$1, US_national_yearly!$D$1:$AM$1, 0), FALSE) / VLOOKUP(Substitution!$M$13 &amp; $A9, US_national_yearly!$D:$AM, MATCH(Keys!$C$7, US_national_yearly!$D$1:$AM$1, 0), FALSE), 1)</f>
        <v>6.3689460429190896E-3</v>
      </c>
      <c r="M9" s="12">
        <f>$B9 * IFERROR(VLOOKUP(Substitution!$M$13 &amp; $A9, US_national_yearly!$D:$AM, MATCH(M$1, US_national_yearly!$D$1:$AM$1, 0), FALSE) / VLOOKUP(Substitution!$M$13 &amp; $A9, US_national_yearly!$D:$AM, MATCH(Keys!$C$7, US_national_yearly!$D$1:$AM$1, 0), FALSE), 1)</f>
        <v>6.3993887087868996E-3</v>
      </c>
      <c r="N9" s="12">
        <f>$B9 * IFERROR(VLOOKUP(Substitution!$M$13 &amp; $A9, US_national_yearly!$D:$AM, MATCH(N$1, US_national_yearly!$D$1:$AM$1, 0), FALSE) / VLOOKUP(Substitution!$M$13 &amp; $A9, US_national_yearly!$D:$AM, MATCH(Keys!$C$7, US_national_yearly!$D$1:$AM$1, 0), FALSE), 1)</f>
        <v>6.4280339655596978E-3</v>
      </c>
      <c r="O9" s="12">
        <f>$B9 * IFERROR(VLOOKUP(Substitution!$M$13 &amp; $A9, US_national_yearly!$D:$AM, MATCH(O$1, US_national_yearly!$D$1:$AM$1, 0), FALSE) / VLOOKUP(Substitution!$M$13 &amp; $A9, US_national_yearly!$D:$AM, MATCH(Keys!$C$7, US_national_yearly!$D$1:$AM$1, 0), FALSE), 1)</f>
        <v>6.4566792223324969E-3</v>
      </c>
      <c r="P9" s="12">
        <f>$B9 * IFERROR(VLOOKUP(Substitution!$M$13 &amp; $A9, US_national_yearly!$D:$AM, MATCH(P$1, US_national_yearly!$D$1:$AM$1, 0), FALSE) / VLOOKUP(Substitution!$M$13 &amp; $A9, US_national_yearly!$D:$AM, MATCH(Keys!$C$7, US_national_yearly!$D$1:$AM$1, 0), FALSE), 1)</f>
        <v>6.4853244791052943E-3</v>
      </c>
      <c r="Q9" s="12">
        <f>$B9 * IFERROR(VLOOKUP(Substitution!$M$13 &amp; $A9, US_national_yearly!$D:$AM, MATCH(Q$1, US_national_yearly!$D$1:$AM$1, 0), FALSE) / VLOOKUP(Substitution!$M$13 &amp; $A9, US_national_yearly!$D:$AM, MATCH(Keys!$C$7, US_national_yearly!$D$1:$AM$1, 0), FALSE), 1)</f>
        <v>6.5139697358780908E-3</v>
      </c>
      <c r="R9" s="12">
        <f>$B9 * IFERROR(VLOOKUP(Substitution!$M$13 &amp; $A9, US_national_yearly!$D:$AM, MATCH(R$1, US_national_yearly!$D$1:$AM$1, 0), FALSE) / VLOOKUP(Substitution!$M$13 &amp; $A9, US_national_yearly!$D:$AM, MATCH(Keys!$C$7, US_national_yearly!$D$1:$AM$1, 0), FALSE), 1)</f>
        <v>6.5426149926508899E-3</v>
      </c>
      <c r="S9" s="12">
        <f>$B9 * IFERROR(VLOOKUP(Substitution!$M$13 &amp; $A9, US_national_yearly!$D:$AM, MATCH(S$1, US_national_yearly!$D$1:$AM$1, 0), FALSE) / VLOOKUP(Substitution!$M$13 &amp; $A9, US_national_yearly!$D:$AM, MATCH(Keys!$C$7, US_national_yearly!$D$1:$AM$1, 0), FALSE), 1)</f>
        <v>6.5703260419886656E-3</v>
      </c>
      <c r="T9" s="12">
        <f>$B9 * IFERROR(VLOOKUP(Substitution!$M$13 &amp; $A9, US_national_yearly!$D:$AM, MATCH(T$1, US_national_yearly!$D$1:$AM$1, 0), FALSE) / VLOOKUP(Substitution!$M$13 &amp; $A9, US_national_yearly!$D:$AM, MATCH(Keys!$C$7, US_national_yearly!$D$1:$AM$1, 0), FALSE), 1)</f>
        <v>6.5980370913264422E-3</v>
      </c>
      <c r="U9" s="12">
        <f>$B9 * IFERROR(VLOOKUP(Substitution!$M$13 &amp; $A9, US_national_yearly!$D:$AM, MATCH(U$1, US_national_yearly!$D$1:$AM$1, 0), FALSE) / VLOOKUP(Substitution!$M$13 &amp; $A9, US_national_yearly!$D:$AM, MATCH(Keys!$C$7, US_national_yearly!$D$1:$AM$1, 0), FALSE), 1)</f>
        <v>6.625748140664218E-3</v>
      </c>
      <c r="V9" s="12">
        <f>$B9 * IFERROR(VLOOKUP(Substitution!$M$13 &amp; $A9, US_national_yearly!$D:$AM, MATCH(V$1, US_national_yearly!$D$1:$AM$1, 0), FALSE) / VLOOKUP(Substitution!$M$13 &amp; $A9, US_national_yearly!$D:$AM, MATCH(Keys!$C$7, US_national_yearly!$D$1:$AM$1, 0), FALSE), 1)</f>
        <v>6.6534591900019938E-3</v>
      </c>
      <c r="W9" s="12">
        <f>$B9 * IFERROR(VLOOKUP(Substitution!$M$13 &amp; $A9, US_national_yearly!$D:$AM, MATCH(W$1, US_national_yearly!$D$1:$AM$1, 0), FALSE) / VLOOKUP(Substitution!$M$13 &amp; $A9, US_national_yearly!$D:$AM, MATCH(Keys!$C$7, US_national_yearly!$D$1:$AM$1, 0), FALSE), 1)</f>
        <v>6.6811702393397695E-3</v>
      </c>
      <c r="X9" s="12">
        <f>$B9 * IFERROR(VLOOKUP(Substitution!$M$13 &amp; $A9, US_national_yearly!$D:$AM, MATCH(X$1, US_national_yearly!$D$1:$AM$1, 0), FALSE) / VLOOKUP(Substitution!$M$13 &amp; $A9, US_national_yearly!$D:$AM, MATCH(Keys!$C$7, US_national_yearly!$D$1:$AM$1, 0), FALSE), 1)</f>
        <v>6.7065306331350249E-3</v>
      </c>
      <c r="Y9" s="12">
        <f>$B9 * IFERROR(VLOOKUP(Substitution!$M$13 &amp; $A9, US_national_yearly!$D:$AM, MATCH(Y$1, US_national_yearly!$D$1:$AM$1, 0), FALSE) / VLOOKUP(Substitution!$M$13 &amp; $A9, US_national_yearly!$D:$AM, MATCH(Keys!$C$7, US_national_yearly!$D$1:$AM$1, 0), FALSE), 1)</f>
        <v>6.7318910269302777E-3</v>
      </c>
      <c r="Z9" s="12">
        <f>$B9 * IFERROR(VLOOKUP(Substitution!$M$13 &amp; $A9, US_national_yearly!$D:$AM, MATCH(Z$1, US_national_yearly!$D$1:$AM$1, 0), FALSE) / VLOOKUP(Substitution!$M$13 &amp; $A9, US_national_yearly!$D:$AM, MATCH(Keys!$C$7, US_national_yearly!$D$1:$AM$1, 0), FALSE), 1)</f>
        <v>6.7572514207255331E-3</v>
      </c>
      <c r="AA9" s="12">
        <f>$B9 * IFERROR(VLOOKUP(Substitution!$M$13 &amp; $A9, US_national_yearly!$D:$AM, MATCH(AA$1, US_national_yearly!$D$1:$AM$1, 0), FALSE) / VLOOKUP(Substitution!$M$13 &amp; $A9, US_national_yearly!$D:$AM, MATCH(Keys!$C$7, US_national_yearly!$D$1:$AM$1, 0), FALSE), 1)</f>
        <v>6.7826118145207859E-3</v>
      </c>
      <c r="AB9" s="12">
        <f>$B9 * IFERROR(VLOOKUP(Substitution!$M$13 &amp; $A9, US_national_yearly!$D:$AM, MATCH(AB$1, US_national_yearly!$D$1:$AM$1, 0), FALSE) / VLOOKUP(Substitution!$M$13 &amp; $A9, US_national_yearly!$D:$AM, MATCH(Keys!$C$7, US_national_yearly!$D$1:$AM$1, 0), FALSE), 1)</f>
        <v>6.8079722083160396E-3</v>
      </c>
    </row>
    <row r="10" spans="1:28" x14ac:dyDescent="0.25">
      <c r="A10" s="4" t="s">
        <v>307</v>
      </c>
      <c r="B10" s="12">
        <f>IFERROR(VLOOKUP(Substitution!$M$13 &amp; $A10, US_national_yearly!$D:$AM, MATCH(Keys!$C$7, US_national_yearly!$D$1:$AM$1, 0), FALSE), 0)</f>
        <v>3.8307187885936837E-2</v>
      </c>
      <c r="C10" s="12">
        <f>$B10 * IFERROR(VLOOKUP(Substitution!$M$13 &amp; $A10, US_national_yearly!$D:$AM, MATCH(C$1, US_national_yearly!$D$1:$AM$1, 0), FALSE) / VLOOKUP(Substitution!$M$13 &amp; $A10, US_national_yearly!$D:$AM, MATCH(Keys!$C$7, US_national_yearly!$D$1:$AM$1, 0), FALSE), 1)</f>
        <v>3.8663803300469583E-2</v>
      </c>
      <c r="D10" s="12">
        <f>$B10 * IFERROR(VLOOKUP(Substitution!$M$13 &amp; $A10, US_national_yearly!$D:$AM, MATCH(D$1, US_national_yearly!$D$1:$AM$1, 0), FALSE) / VLOOKUP(Substitution!$M$13 &amp; $A10, US_national_yearly!$D:$AM, MATCH(Keys!$C$7, US_national_yearly!$D$1:$AM$1, 0), FALSE), 1)</f>
        <v>3.9020418715002329E-2</v>
      </c>
      <c r="E10" s="12">
        <f>$B10 * IFERROR(VLOOKUP(Substitution!$M$13 &amp; $A10, US_national_yearly!$D:$AM, MATCH(E$1, US_national_yearly!$D$1:$AM$1, 0), FALSE) / VLOOKUP(Substitution!$M$13 &amp; $A10, US_national_yearly!$D:$AM, MATCH(Keys!$C$7, US_national_yearly!$D$1:$AM$1, 0), FALSE), 1)</f>
        <v>3.9377034129535061E-2</v>
      </c>
      <c r="F10" s="12">
        <f>$B10 * IFERROR(VLOOKUP(Substitution!$M$13 &amp; $A10, US_national_yearly!$D:$AM, MATCH(F$1, US_national_yearly!$D$1:$AM$1, 0), FALSE) / VLOOKUP(Substitution!$M$13 &amp; $A10, US_national_yearly!$D:$AM, MATCH(Keys!$C$7, US_national_yearly!$D$1:$AM$1, 0), FALSE), 1)</f>
        <v>3.9733649544067801E-2</v>
      </c>
      <c r="G10" s="12">
        <f>$B10 * IFERROR(VLOOKUP(Substitution!$M$13 &amp; $A10, US_national_yearly!$D:$AM, MATCH(G$1, US_national_yearly!$D$1:$AM$1, 0), FALSE) / VLOOKUP(Substitution!$M$13 &amp; $A10, US_national_yearly!$D:$AM, MATCH(Keys!$C$7, US_national_yearly!$D$1:$AM$1, 0), FALSE), 1)</f>
        <v>4.0122391652295752E-2</v>
      </c>
      <c r="H10" s="12">
        <f>$B10 * IFERROR(VLOOKUP(Substitution!$M$13 &amp; $A10, US_national_yearly!$D:$AM, MATCH(H$1, US_national_yearly!$D$1:$AM$1, 0), FALSE) / VLOOKUP(Substitution!$M$13 &amp; $A10, US_national_yearly!$D:$AM, MATCH(Keys!$C$7, US_national_yearly!$D$1:$AM$1, 0), FALSE), 1)</f>
        <v>4.0511133760523697E-2</v>
      </c>
      <c r="I10" s="12">
        <f>$B10 * IFERROR(VLOOKUP(Substitution!$M$13 &amp; $A10, US_national_yearly!$D:$AM, MATCH(I$1, US_national_yearly!$D$1:$AM$1, 0), FALSE) / VLOOKUP(Substitution!$M$13 &amp; $A10, US_national_yearly!$D:$AM, MATCH(Keys!$C$7, US_national_yearly!$D$1:$AM$1, 0), FALSE), 1)</f>
        <v>4.0807149553309593E-2</v>
      </c>
      <c r="J10" s="12">
        <f>$B10 * IFERROR(VLOOKUP(Substitution!$M$13 &amp; $A10, US_national_yearly!$D:$AM, MATCH(J$1, US_national_yearly!$D$1:$AM$1, 0), FALSE) / VLOOKUP(Substitution!$M$13 &amp; $A10, US_national_yearly!$D:$AM, MATCH(Keys!$C$7, US_national_yearly!$D$1:$AM$1, 0), FALSE), 1)</f>
        <v>4.1103165346095497E-2</v>
      </c>
      <c r="K10" s="12">
        <f>$B10 * IFERROR(VLOOKUP(Substitution!$M$13 &amp; $A10, US_national_yearly!$D:$AM, MATCH(K$1, US_national_yearly!$D$1:$AM$1, 0), FALSE) / VLOOKUP(Substitution!$M$13 &amp; $A10, US_national_yearly!$D:$AM, MATCH(Keys!$C$7, US_national_yearly!$D$1:$AM$1, 0), FALSE), 1)</f>
        <v>4.13991811388814E-2</v>
      </c>
      <c r="L10" s="12">
        <f>$B10 * IFERROR(VLOOKUP(Substitution!$M$13 &amp; $A10, US_national_yearly!$D:$AM, MATCH(L$1, US_national_yearly!$D$1:$AM$1, 0), FALSE) / VLOOKUP(Substitution!$M$13 &amp; $A10, US_national_yearly!$D:$AM, MATCH(Keys!$C$7, US_national_yearly!$D$1:$AM$1, 0), FALSE), 1)</f>
        <v>4.1695196931667296E-2</v>
      </c>
      <c r="M10" s="12">
        <f>$B10 * IFERROR(VLOOKUP(Substitution!$M$13 &amp; $A10, US_national_yearly!$D:$AM, MATCH(M$1, US_national_yearly!$D$1:$AM$1, 0), FALSE) / VLOOKUP(Substitution!$M$13 &amp; $A10, US_national_yearly!$D:$AM, MATCH(Keys!$C$7, US_national_yearly!$D$1:$AM$1, 0), FALSE), 1)</f>
        <v>4.1991212724453199E-2</v>
      </c>
      <c r="N10" s="12">
        <f>$B10 * IFERROR(VLOOKUP(Substitution!$M$13 &amp; $A10, US_national_yearly!$D:$AM, MATCH(N$1, US_national_yearly!$D$1:$AM$1, 0), FALSE) / VLOOKUP(Substitution!$M$13 &amp; $A10, US_national_yearly!$D:$AM, MATCH(Keys!$C$7, US_national_yearly!$D$1:$AM$1, 0), FALSE), 1)</f>
        <v>4.214605625494712E-2</v>
      </c>
      <c r="O10" s="12">
        <f>$B10 * IFERROR(VLOOKUP(Substitution!$M$13 &amp; $A10, US_national_yearly!$D:$AM, MATCH(O$1, US_national_yearly!$D$1:$AM$1, 0), FALSE) / VLOOKUP(Substitution!$M$13 &amp; $A10, US_national_yearly!$D:$AM, MATCH(Keys!$C$7, US_national_yearly!$D$1:$AM$1, 0), FALSE), 1)</f>
        <v>4.2300899785441048E-2</v>
      </c>
      <c r="P10" s="12">
        <f>$B10 * IFERROR(VLOOKUP(Substitution!$M$13 &amp; $A10, US_national_yearly!$D:$AM, MATCH(P$1, US_national_yearly!$D$1:$AM$1, 0), FALSE) / VLOOKUP(Substitution!$M$13 &amp; $A10, US_national_yearly!$D:$AM, MATCH(Keys!$C$7, US_national_yearly!$D$1:$AM$1, 0), FALSE), 1)</f>
        <v>4.2455743315934963E-2</v>
      </c>
      <c r="Q10" s="12">
        <f>$B10 * IFERROR(VLOOKUP(Substitution!$M$13 &amp; $A10, US_national_yearly!$D:$AM, MATCH(Q$1, US_national_yearly!$D$1:$AM$1, 0), FALSE) / VLOOKUP(Substitution!$M$13 &amp; $A10, US_national_yearly!$D:$AM, MATCH(Keys!$C$7, US_national_yearly!$D$1:$AM$1, 0), FALSE), 1)</f>
        <v>4.261058684642887E-2</v>
      </c>
      <c r="R10" s="12">
        <f>$B10 * IFERROR(VLOOKUP(Substitution!$M$13 &amp; $A10, US_national_yearly!$D:$AM, MATCH(R$1, US_national_yearly!$D$1:$AM$1, 0), FALSE) / VLOOKUP(Substitution!$M$13 &amp; $A10, US_national_yearly!$D:$AM, MATCH(Keys!$C$7, US_national_yearly!$D$1:$AM$1, 0), FALSE), 1)</f>
        <v>4.2765430376922799E-2</v>
      </c>
      <c r="S10" s="12">
        <f>$B10 * IFERROR(VLOOKUP(Substitution!$M$13 &amp; $A10, US_national_yearly!$D:$AM, MATCH(S$1, US_national_yearly!$D$1:$AM$1, 0), FALSE) / VLOOKUP(Substitution!$M$13 &amp; $A10, US_national_yearly!$D:$AM, MATCH(Keys!$C$7, US_national_yearly!$D$1:$AM$1, 0), FALSE), 1)</f>
        <v>4.2942419453289665E-2</v>
      </c>
      <c r="T10" s="12">
        <f>$B10 * IFERROR(VLOOKUP(Substitution!$M$13 &amp; $A10, US_national_yearly!$D:$AM, MATCH(T$1, US_national_yearly!$D$1:$AM$1, 0), FALSE) / VLOOKUP(Substitution!$M$13 &amp; $A10, US_national_yearly!$D:$AM, MATCH(Keys!$C$7, US_national_yearly!$D$1:$AM$1, 0), FALSE), 1)</f>
        <v>4.3119408529656518E-2</v>
      </c>
      <c r="U10" s="12">
        <f>$B10 * IFERROR(VLOOKUP(Substitution!$M$13 &amp; $A10, US_national_yearly!$D:$AM, MATCH(U$1, US_national_yearly!$D$1:$AM$1, 0), FALSE) / VLOOKUP(Substitution!$M$13 &amp; $A10, US_national_yearly!$D:$AM, MATCH(Keys!$C$7, US_national_yearly!$D$1:$AM$1, 0), FALSE), 1)</f>
        <v>4.3296397606023378E-2</v>
      </c>
      <c r="V10" s="12">
        <f>$B10 * IFERROR(VLOOKUP(Substitution!$M$13 &amp; $A10, US_national_yearly!$D:$AM, MATCH(V$1, US_national_yearly!$D$1:$AM$1, 0), FALSE) / VLOOKUP(Substitution!$M$13 &amp; $A10, US_national_yearly!$D:$AM, MATCH(Keys!$C$7, US_national_yearly!$D$1:$AM$1, 0), FALSE), 1)</f>
        <v>4.3473386682390237E-2</v>
      </c>
      <c r="W10" s="12">
        <f>$B10 * IFERROR(VLOOKUP(Substitution!$M$13 &amp; $A10, US_national_yearly!$D:$AM, MATCH(W$1, US_national_yearly!$D$1:$AM$1, 0), FALSE) / VLOOKUP(Substitution!$M$13 &amp; $A10, US_national_yearly!$D:$AM, MATCH(Keys!$C$7, US_national_yearly!$D$1:$AM$1, 0), FALSE), 1)</f>
        <v>4.3650375758757097E-2</v>
      </c>
      <c r="X10" s="12">
        <f>$B10 * IFERROR(VLOOKUP(Substitution!$M$13 &amp; $A10, US_national_yearly!$D:$AM, MATCH(X$1, US_national_yearly!$D$1:$AM$1, 0), FALSE) / VLOOKUP(Substitution!$M$13 &amp; $A10, US_national_yearly!$D:$AM, MATCH(Keys!$C$7, US_national_yearly!$D$1:$AM$1, 0), FALSE), 1)</f>
        <v>4.3835064603359737E-2</v>
      </c>
      <c r="Y10" s="12">
        <f>$B10 * IFERROR(VLOOKUP(Substitution!$M$13 &amp; $A10, US_national_yearly!$D:$AM, MATCH(Y$1, US_national_yearly!$D$1:$AM$1, 0), FALSE) / VLOOKUP(Substitution!$M$13 &amp; $A10, US_national_yearly!$D:$AM, MATCH(Keys!$C$7, US_national_yearly!$D$1:$AM$1, 0), FALSE), 1)</f>
        <v>4.4019753447962377E-2</v>
      </c>
      <c r="Z10" s="12">
        <f>$B10 * IFERROR(VLOOKUP(Substitution!$M$13 &amp; $A10, US_national_yearly!$D:$AM, MATCH(Z$1, US_national_yearly!$D$1:$AM$1, 0), FALSE) / VLOOKUP(Substitution!$M$13 &amp; $A10, US_national_yearly!$D:$AM, MATCH(Keys!$C$7, US_national_yearly!$D$1:$AM$1, 0), FALSE), 1)</f>
        <v>4.4204442292565017E-2</v>
      </c>
      <c r="AA10" s="12">
        <f>$B10 * IFERROR(VLOOKUP(Substitution!$M$13 &amp; $A10, US_national_yearly!$D:$AM, MATCH(AA$1, US_national_yearly!$D$1:$AM$1, 0), FALSE) / VLOOKUP(Substitution!$M$13 &amp; $A10, US_national_yearly!$D:$AM, MATCH(Keys!$C$7, US_national_yearly!$D$1:$AM$1, 0), FALSE), 1)</f>
        <v>4.4389131137167658E-2</v>
      </c>
      <c r="AB10" s="12">
        <f>$B10 * IFERROR(VLOOKUP(Substitution!$M$13 &amp; $A10, US_national_yearly!$D:$AM, MATCH(AB$1, US_national_yearly!$D$1:$AM$1, 0), FALSE) / VLOOKUP(Substitution!$M$13 &amp; $A10, US_national_yearly!$D:$AM, MATCH(Keys!$C$7, US_national_yearly!$D$1:$AM$1, 0), FALSE), 1)</f>
        <v>4.4573819981770298E-2</v>
      </c>
    </row>
    <row r="11" spans="1:28" x14ac:dyDescent="0.25">
      <c r="A11" s="4" t="s">
        <v>309</v>
      </c>
      <c r="B11" s="12">
        <f>IFERROR(VLOOKUP(Substitution!$M$13 &amp; $A11, US_national_yearly!$D:$AM, MATCH(Keys!$C$7, US_national_yearly!$D$1:$AM$1, 0), FALSE), 0)</f>
        <v>1.800531112752636E-3</v>
      </c>
      <c r="C11" s="12">
        <f>$B11 * IFERROR(VLOOKUP(Substitution!$M$13 &amp; $A11, US_national_yearly!$D:$AM, MATCH(C$1, US_national_yearly!$D$1:$AM$1, 0), FALSE) / VLOOKUP(Substitution!$M$13 &amp; $A11, US_national_yearly!$D:$AM, MATCH(Keys!$C$7, US_national_yearly!$D$1:$AM$1, 0), FALSE), 1)</f>
        <v>1.8178666679103321E-3</v>
      </c>
      <c r="D11" s="12">
        <f>$B11 * IFERROR(VLOOKUP(Substitution!$M$13 &amp; $A11, US_national_yearly!$D:$AM, MATCH(D$1, US_national_yearly!$D$1:$AM$1, 0), FALSE) / VLOOKUP(Substitution!$M$13 &amp; $A11, US_national_yearly!$D:$AM, MATCH(Keys!$C$7, US_national_yearly!$D$1:$AM$1, 0), FALSE), 1)</f>
        <v>1.8352022230680282E-3</v>
      </c>
      <c r="E11" s="12">
        <f>$B11 * IFERROR(VLOOKUP(Substitution!$M$13 &amp; $A11, US_national_yearly!$D:$AM, MATCH(E$1, US_national_yearly!$D$1:$AM$1, 0), FALSE) / VLOOKUP(Substitution!$M$13 &amp; $A11, US_national_yearly!$D:$AM, MATCH(Keys!$C$7, US_national_yearly!$D$1:$AM$1, 0), FALSE), 1)</f>
        <v>1.8525377782257239E-3</v>
      </c>
      <c r="F11" s="12">
        <f>$B11 * IFERROR(VLOOKUP(Substitution!$M$13 &amp; $A11, US_national_yearly!$D:$AM, MATCH(F$1, US_national_yearly!$D$1:$AM$1, 0), FALSE) / VLOOKUP(Substitution!$M$13 &amp; $A11, US_national_yearly!$D:$AM, MATCH(Keys!$C$7, US_national_yearly!$D$1:$AM$1, 0), FALSE), 1)</f>
        <v>1.86987333338342E-3</v>
      </c>
      <c r="G11" s="12">
        <f>$B11 * IFERROR(VLOOKUP(Substitution!$M$13 &amp; $A11, US_national_yearly!$D:$AM, MATCH(G$1, US_national_yearly!$D$1:$AM$1, 0), FALSE) / VLOOKUP(Substitution!$M$13 &amp; $A11, US_national_yearly!$D:$AM, MATCH(Keys!$C$7, US_national_yearly!$D$1:$AM$1, 0), FALSE), 1)</f>
        <v>1.8877921457788548E-3</v>
      </c>
      <c r="H11" s="12">
        <f>$B11 * IFERROR(VLOOKUP(Substitution!$M$13 &amp; $A11, US_national_yearly!$D:$AM, MATCH(H$1, US_national_yearly!$D$1:$AM$1, 0), FALSE) / VLOOKUP(Substitution!$M$13 &amp; $A11, US_national_yearly!$D:$AM, MATCH(Keys!$C$7, US_national_yearly!$D$1:$AM$1, 0), FALSE), 1)</f>
        <v>1.9057109581742903E-3</v>
      </c>
      <c r="I11" s="12">
        <f>$B11 * IFERROR(VLOOKUP(Substitution!$M$13 &amp; $A11, US_national_yearly!$D:$AM, MATCH(I$1, US_national_yearly!$D$1:$AM$1, 0), FALSE) / VLOOKUP(Substitution!$M$13 &amp; $A11, US_national_yearly!$D:$AM, MATCH(Keys!$C$7, US_national_yearly!$D$1:$AM$1, 0), FALSE), 1)</f>
        <v>1.922543899624052E-3</v>
      </c>
      <c r="J11" s="12">
        <f>$B11 * IFERROR(VLOOKUP(Substitution!$M$13 &amp; $A11, US_national_yearly!$D:$AM, MATCH(J$1, US_national_yearly!$D$1:$AM$1, 0), FALSE) / VLOOKUP(Substitution!$M$13 &amp; $A11, US_national_yearly!$D:$AM, MATCH(Keys!$C$7, US_national_yearly!$D$1:$AM$1, 0), FALSE), 1)</f>
        <v>1.9393768410738139E-3</v>
      </c>
      <c r="K11" s="12">
        <f>$B11 * IFERROR(VLOOKUP(Substitution!$M$13 &amp; $A11, US_national_yearly!$D:$AM, MATCH(K$1, US_national_yearly!$D$1:$AM$1, 0), FALSE) / VLOOKUP(Substitution!$M$13 &amp; $A11, US_national_yearly!$D:$AM, MATCH(Keys!$C$7, US_national_yearly!$D$1:$AM$1, 0), FALSE), 1)</f>
        <v>1.9562097825235759E-3</v>
      </c>
      <c r="L11" s="12">
        <f>$B11 * IFERROR(VLOOKUP(Substitution!$M$13 &amp; $A11, US_national_yearly!$D:$AM, MATCH(L$1, US_national_yearly!$D$1:$AM$1, 0), FALSE) / VLOOKUP(Substitution!$M$13 &amp; $A11, US_national_yearly!$D:$AM, MATCH(Keys!$C$7, US_national_yearly!$D$1:$AM$1, 0), FALSE), 1)</f>
        <v>1.9730427239733378E-3</v>
      </c>
      <c r="M11" s="12">
        <f>$B11 * IFERROR(VLOOKUP(Substitution!$M$13 &amp; $A11, US_national_yearly!$D:$AM, MATCH(M$1, US_national_yearly!$D$1:$AM$1, 0), FALSE) / VLOOKUP(Substitution!$M$13 &amp; $A11, US_national_yearly!$D:$AM, MATCH(Keys!$C$7, US_national_yearly!$D$1:$AM$1, 0), FALSE), 1)</f>
        <v>1.9898756654231002E-3</v>
      </c>
      <c r="N11" s="12">
        <f>$B11 * IFERROR(VLOOKUP(Substitution!$M$13 &amp; $A11, US_national_yearly!$D:$AM, MATCH(N$1, US_national_yearly!$D$1:$AM$1, 0), FALSE) / VLOOKUP(Substitution!$M$13 &amp; $A11, US_national_yearly!$D:$AM, MATCH(Keys!$C$7, US_national_yearly!$D$1:$AM$1, 0), FALSE), 1)</f>
        <v>2.0041259119837639E-3</v>
      </c>
      <c r="O11" s="12">
        <f>$B11 * IFERROR(VLOOKUP(Substitution!$M$13 &amp; $A11, US_national_yearly!$D:$AM, MATCH(O$1, US_national_yearly!$D$1:$AM$1, 0), FALSE) / VLOOKUP(Substitution!$M$13 &amp; $A11, US_national_yearly!$D:$AM, MATCH(Keys!$C$7, US_national_yearly!$D$1:$AM$1, 0), FALSE), 1)</f>
        <v>2.0183761585444281E-3</v>
      </c>
      <c r="P11" s="12">
        <f>$B11 * IFERROR(VLOOKUP(Substitution!$M$13 &amp; $A11, US_national_yearly!$D:$AM, MATCH(P$1, US_national_yearly!$D$1:$AM$1, 0), FALSE) / VLOOKUP(Substitution!$M$13 &amp; $A11, US_national_yearly!$D:$AM, MATCH(Keys!$C$7, US_national_yearly!$D$1:$AM$1, 0), FALSE), 1)</f>
        <v>2.0326264051050919E-3</v>
      </c>
      <c r="Q11" s="12">
        <f>$B11 * IFERROR(VLOOKUP(Substitution!$M$13 &amp; $A11, US_national_yearly!$D:$AM, MATCH(Q$1, US_national_yearly!$D$1:$AM$1, 0), FALSE) / VLOOKUP(Substitution!$M$13 &amp; $A11, US_national_yearly!$D:$AM, MATCH(Keys!$C$7, US_national_yearly!$D$1:$AM$1, 0), FALSE), 1)</f>
        <v>2.0468766516657561E-3</v>
      </c>
      <c r="R11" s="12">
        <f>$B11 * IFERROR(VLOOKUP(Substitution!$M$13 &amp; $A11, US_national_yearly!$D:$AM, MATCH(R$1, US_national_yearly!$D$1:$AM$1, 0), FALSE) / VLOOKUP(Substitution!$M$13 &amp; $A11, US_national_yearly!$D:$AM, MATCH(Keys!$C$7, US_national_yearly!$D$1:$AM$1, 0), FALSE), 1)</f>
        <v>2.0611268982264198E-3</v>
      </c>
      <c r="S11" s="12">
        <f>$B11 * IFERROR(VLOOKUP(Substitution!$M$13 &amp; $A11, US_national_yearly!$D:$AM, MATCH(S$1, US_national_yearly!$D$1:$AM$1, 0), FALSE) / VLOOKUP(Substitution!$M$13 &amp; $A11, US_national_yearly!$D:$AM, MATCH(Keys!$C$7, US_national_yearly!$D$1:$AM$1, 0), FALSE), 1)</f>
        <v>2.0733836707117321E-3</v>
      </c>
      <c r="T11" s="12">
        <f>$B11 * IFERROR(VLOOKUP(Substitution!$M$13 &amp; $A11, US_national_yearly!$D:$AM, MATCH(T$1, US_national_yearly!$D$1:$AM$1, 0), FALSE) / VLOOKUP(Substitution!$M$13 &amp; $A11, US_national_yearly!$D:$AM, MATCH(Keys!$C$7, US_national_yearly!$D$1:$AM$1, 0), FALSE), 1)</f>
        <v>2.0856404431970439E-3</v>
      </c>
      <c r="U11" s="12">
        <f>$B11 * IFERROR(VLOOKUP(Substitution!$M$13 &amp; $A11, US_national_yearly!$D:$AM, MATCH(U$1, US_national_yearly!$D$1:$AM$1, 0), FALSE) / VLOOKUP(Substitution!$M$13 &amp; $A11, US_national_yearly!$D:$AM, MATCH(Keys!$C$7, US_national_yearly!$D$1:$AM$1, 0), FALSE), 1)</f>
        <v>2.0978972156823561E-3</v>
      </c>
      <c r="V11" s="12">
        <f>$B11 * IFERROR(VLOOKUP(Substitution!$M$13 &amp; $A11, US_national_yearly!$D:$AM, MATCH(V$1, US_national_yearly!$D$1:$AM$1, 0), FALSE) / VLOOKUP(Substitution!$M$13 &amp; $A11, US_national_yearly!$D:$AM, MATCH(Keys!$C$7, US_national_yearly!$D$1:$AM$1, 0), FALSE), 1)</f>
        <v>2.1101539881676679E-3</v>
      </c>
      <c r="W11" s="12">
        <f>$B11 * IFERROR(VLOOKUP(Substitution!$M$13 &amp; $A11, US_national_yearly!$D:$AM, MATCH(W$1, US_national_yearly!$D$1:$AM$1, 0), FALSE) / VLOOKUP(Substitution!$M$13 &amp; $A11, US_national_yearly!$D:$AM, MATCH(Keys!$C$7, US_national_yearly!$D$1:$AM$1, 0), FALSE), 1)</f>
        <v>2.1224107606529802E-3</v>
      </c>
      <c r="X11" s="12">
        <f>$B11 * IFERROR(VLOOKUP(Substitution!$M$13 &amp; $A11, US_national_yearly!$D:$AM, MATCH(X$1, US_national_yearly!$D$1:$AM$1, 0), FALSE) / VLOOKUP(Substitution!$M$13 &amp; $A11, US_national_yearly!$D:$AM, MATCH(Keys!$C$7, US_national_yearly!$D$1:$AM$1, 0), FALSE), 1)</f>
        <v>2.1338730954020939E-3</v>
      </c>
      <c r="Y11" s="12">
        <f>$B11 * IFERROR(VLOOKUP(Substitution!$M$13 &amp; $A11, US_national_yearly!$D:$AM, MATCH(Y$1, US_national_yearly!$D$1:$AM$1, 0), FALSE) / VLOOKUP(Substitution!$M$13 &amp; $A11, US_national_yearly!$D:$AM, MATCH(Keys!$C$7, US_national_yearly!$D$1:$AM$1, 0), FALSE), 1)</f>
        <v>2.145335430151208E-3</v>
      </c>
      <c r="Z11" s="12">
        <f>$B11 * IFERROR(VLOOKUP(Substitution!$M$13 &amp; $A11, US_national_yearly!$D:$AM, MATCH(Z$1, US_national_yearly!$D$1:$AM$1, 0), FALSE) / VLOOKUP(Substitution!$M$13 &amp; $A11, US_national_yearly!$D:$AM, MATCH(Keys!$C$7, US_national_yearly!$D$1:$AM$1, 0), FALSE), 1)</f>
        <v>2.1567977649003221E-3</v>
      </c>
      <c r="AA11" s="12">
        <f>$B11 * IFERROR(VLOOKUP(Substitution!$M$13 &amp; $A11, US_national_yearly!$D:$AM, MATCH(AA$1, US_national_yearly!$D$1:$AM$1, 0), FALSE) / VLOOKUP(Substitution!$M$13 &amp; $A11, US_national_yearly!$D:$AM, MATCH(Keys!$C$7, US_national_yearly!$D$1:$AM$1, 0), FALSE), 1)</f>
        <v>2.1682600996494358E-3</v>
      </c>
      <c r="AB11" s="12">
        <f>$B11 * IFERROR(VLOOKUP(Substitution!$M$13 &amp; $A11, US_national_yearly!$D:$AM, MATCH(AB$1, US_national_yearly!$D$1:$AM$1, 0), FALSE) / VLOOKUP(Substitution!$M$13 &amp; $A11, US_national_yearly!$D:$AM, MATCH(Keys!$C$7, US_national_yearly!$D$1:$AM$1, 0), FALSE), 1)</f>
        <v>2.1797224343985499E-3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Substitution!$G$13)/IFERROR(SUMIFS(COBRA_aggregated!$V:$V, COBRA_aggregated!$A:$A, About!$B$1, COBRA_aggregated!$B:$B, Substitution!$G$13), 1)</f>
        <v>4.3912502542291085E-4</v>
      </c>
      <c r="C12" s="12">
        <f>$B12 * IFERROR(VLOOKUP(Substitution!$M$13 &amp; $A12, US_national_yearly!$D:$AM, MATCH(C$1, US_national_yearly!$D$1:$AM$1, 0), FALSE) / VLOOKUP(Substitution!$M$13 &amp; $A12, US_national_yearly!$D:$AM, MATCH(Keys!$C$7, US_national_yearly!$D$1:$AM$1, 0), FALSE), 1)</f>
        <v>4.4171866601686169E-4</v>
      </c>
      <c r="D12" s="12">
        <f>$B12 * IFERROR(VLOOKUP(Substitution!$M$13 &amp; $A12, US_national_yearly!$D:$AM, MATCH(D$1, US_national_yearly!$D$1:$AM$1, 0), FALSE) / VLOOKUP(Substitution!$M$13 &amp; $A12, US_national_yearly!$D:$AM, MATCH(Keys!$C$7, US_national_yearly!$D$1:$AM$1, 0), FALSE), 1)</f>
        <v>4.4431230661081252E-4</v>
      </c>
      <c r="E12" s="12">
        <f>$B12 * IFERROR(VLOOKUP(Substitution!$M$13 &amp; $A12, US_national_yearly!$D:$AM, MATCH(E$1, US_national_yearly!$D$1:$AM$1, 0), FALSE) / VLOOKUP(Substitution!$M$13 &amp; $A12, US_national_yearly!$D:$AM, MATCH(Keys!$C$7, US_national_yearly!$D$1:$AM$1, 0), FALSE), 1)</f>
        <v>4.4690594720476335E-4</v>
      </c>
      <c r="F12" s="12">
        <f>$B12 * IFERROR(VLOOKUP(Substitution!$M$13 &amp; $A12, US_national_yearly!$D:$AM, MATCH(F$1, US_national_yearly!$D$1:$AM$1, 0), FALSE) / VLOOKUP(Substitution!$M$13 &amp; $A12, US_national_yearly!$D:$AM, MATCH(Keys!$C$7, US_national_yearly!$D$1:$AM$1, 0), FALSE), 1)</f>
        <v>4.4949958779871407E-4</v>
      </c>
      <c r="G12" s="12">
        <f>$B12 * IFERROR(VLOOKUP(Substitution!$M$13 &amp; $A12, US_national_yearly!$D:$AM, MATCH(G$1, US_national_yearly!$D$1:$AM$1, 0), FALSE) / VLOOKUP(Substitution!$M$13 &amp; $A12, US_national_yearly!$D:$AM, MATCH(Keys!$C$7, US_national_yearly!$D$1:$AM$1, 0), FALSE), 1)</f>
        <v>4.5232632928371723E-4</v>
      </c>
      <c r="H12" s="12">
        <f>$B12 * IFERROR(VLOOKUP(Substitution!$M$13 &amp; $A12, US_national_yearly!$D:$AM, MATCH(H$1, US_national_yearly!$D$1:$AM$1, 0), FALSE) / VLOOKUP(Substitution!$M$13 &amp; $A12, US_national_yearly!$D:$AM, MATCH(Keys!$C$7, US_national_yearly!$D$1:$AM$1, 0), FALSE), 1)</f>
        <v>4.5515307076872034E-4</v>
      </c>
      <c r="I12" s="12">
        <f>$B12 * IFERROR(VLOOKUP(Substitution!$M$13 &amp; $A12, US_national_yearly!$D:$AM, MATCH(I$1, US_national_yearly!$D$1:$AM$1, 0), FALSE) / VLOOKUP(Substitution!$M$13 &amp; $A12, US_national_yearly!$D:$AM, MATCH(Keys!$C$7, US_national_yearly!$D$1:$AM$1, 0), FALSE), 1)</f>
        <v>4.5793489623666985E-4</v>
      </c>
      <c r="J12" s="12">
        <f>$B12 * IFERROR(VLOOKUP(Substitution!$M$13 &amp; $A12, US_national_yearly!$D:$AM, MATCH(J$1, US_national_yearly!$D$1:$AM$1, 0), FALSE) / VLOOKUP(Substitution!$M$13 &amp; $A12, US_national_yearly!$D:$AM, MATCH(Keys!$C$7, US_national_yearly!$D$1:$AM$1, 0), FALSE), 1)</f>
        <v>4.6071672170461942E-4</v>
      </c>
      <c r="K12" s="12">
        <f>$B12 * IFERROR(VLOOKUP(Substitution!$M$13 &amp; $A12, US_national_yearly!$D:$AM, MATCH(K$1, US_national_yearly!$D$1:$AM$1, 0), FALSE) / VLOOKUP(Substitution!$M$13 &amp; $A12, US_national_yearly!$D:$AM, MATCH(Keys!$C$7, US_national_yearly!$D$1:$AM$1, 0), FALSE), 1)</f>
        <v>4.6349854717256893E-4</v>
      </c>
      <c r="L12" s="12">
        <f>$B12 * IFERROR(VLOOKUP(Substitution!$M$13 &amp; $A12, US_national_yearly!$D:$AM, MATCH(L$1, US_national_yearly!$D$1:$AM$1, 0), FALSE) / VLOOKUP(Substitution!$M$13 &amp; $A12, US_national_yearly!$D:$AM, MATCH(Keys!$C$7, US_national_yearly!$D$1:$AM$1, 0), FALSE), 1)</f>
        <v>4.6628037264051845E-4</v>
      </c>
      <c r="M12" s="12">
        <f>$B12 * IFERROR(VLOOKUP(Substitution!$M$13 &amp; $A12, US_national_yearly!$D:$AM, MATCH(M$1, US_national_yearly!$D$1:$AM$1, 0), FALSE) / VLOOKUP(Substitution!$M$13 &amp; $A12, US_national_yearly!$D:$AM, MATCH(Keys!$C$7, US_national_yearly!$D$1:$AM$1, 0), FALSE), 1)</f>
        <v>4.6906219810846801E-4</v>
      </c>
      <c r="N12" s="12">
        <f>$B12 * IFERROR(VLOOKUP(Substitution!$M$13 &amp; $A12, US_national_yearly!$D:$AM, MATCH(N$1, US_national_yearly!$D$1:$AM$1, 0), FALSE) / VLOOKUP(Substitution!$M$13 &amp; $A12, US_national_yearly!$D:$AM, MATCH(Keys!$C$7, US_national_yearly!$D$1:$AM$1, 0), FALSE), 1)</f>
        <v>4.7109339120554654E-4</v>
      </c>
      <c r="O12" s="12">
        <f>$B12 * IFERROR(VLOOKUP(Substitution!$M$13 &amp; $A12, US_national_yearly!$D:$AM, MATCH(O$1, US_national_yearly!$D$1:$AM$1, 0), FALSE) / VLOOKUP(Substitution!$M$13 &amp; $A12, US_national_yearly!$D:$AM, MATCH(Keys!$C$7, US_national_yearly!$D$1:$AM$1, 0), FALSE), 1)</f>
        <v>4.7312458430262512E-4</v>
      </c>
      <c r="P12" s="12">
        <f>$B12 * IFERROR(VLOOKUP(Substitution!$M$13 &amp; $A12, US_national_yearly!$D:$AM, MATCH(P$1, US_national_yearly!$D$1:$AM$1, 0), FALSE) / VLOOKUP(Substitution!$M$13 &amp; $A12, US_national_yearly!$D:$AM, MATCH(Keys!$C$7, US_national_yearly!$D$1:$AM$1, 0), FALSE), 1)</f>
        <v>4.7515577739970364E-4</v>
      </c>
      <c r="Q12" s="12">
        <f>$B12 * IFERROR(VLOOKUP(Substitution!$M$13 &amp; $A12, US_national_yearly!$D:$AM, MATCH(Q$1, US_national_yearly!$D$1:$AM$1, 0), FALSE) / VLOOKUP(Substitution!$M$13 &amp; $A12, US_national_yearly!$D:$AM, MATCH(Keys!$C$7, US_national_yearly!$D$1:$AM$1, 0), FALSE), 1)</f>
        <v>4.7718697049678222E-4</v>
      </c>
      <c r="R12" s="12">
        <f>$B12 * IFERROR(VLOOKUP(Substitution!$M$13 &amp; $A12, US_national_yearly!$D:$AM, MATCH(R$1, US_national_yearly!$D$1:$AM$1, 0), FALSE) / VLOOKUP(Substitution!$M$13 &amp; $A12, US_national_yearly!$D:$AM, MATCH(Keys!$C$7, US_national_yearly!$D$1:$AM$1, 0), FALSE), 1)</f>
        <v>4.7921816359386074E-4</v>
      </c>
      <c r="S12" s="12">
        <f>$B12 * IFERROR(VLOOKUP(Substitution!$M$13 &amp; $A12, US_national_yearly!$D:$AM, MATCH(S$1, US_national_yearly!$D$1:$AM$1, 0), FALSE) / VLOOKUP(Substitution!$M$13 &amp; $A12, US_national_yearly!$D:$AM, MATCH(Keys!$C$7, US_national_yearly!$D$1:$AM$1, 0), FALSE), 1)</f>
        <v>4.8115493005465267E-4</v>
      </c>
      <c r="T12" s="12">
        <f>$B12 * IFERROR(VLOOKUP(Substitution!$M$13 &amp; $A12, US_national_yearly!$D:$AM, MATCH(T$1, US_national_yearly!$D$1:$AM$1, 0), FALSE) / VLOOKUP(Substitution!$M$13 &amp; $A12, US_national_yearly!$D:$AM, MATCH(Keys!$C$7, US_national_yearly!$D$1:$AM$1, 0), FALSE), 1)</f>
        <v>4.8309169651544466E-4</v>
      </c>
      <c r="U12" s="12">
        <f>$B12 * IFERROR(VLOOKUP(Substitution!$M$13 &amp; $A12, US_national_yearly!$D:$AM, MATCH(U$1, US_national_yearly!$D$1:$AM$1, 0), FALSE) / VLOOKUP(Substitution!$M$13 &amp; $A12, US_national_yearly!$D:$AM, MATCH(Keys!$C$7, US_national_yearly!$D$1:$AM$1, 0), FALSE), 1)</f>
        <v>4.8502846297623654E-4</v>
      </c>
      <c r="V12" s="12">
        <f>$B12 * IFERROR(VLOOKUP(Substitution!$M$13 &amp; $A12, US_national_yearly!$D:$AM, MATCH(V$1, US_national_yearly!$D$1:$AM$1, 0), FALSE) / VLOOKUP(Substitution!$M$13 &amp; $A12, US_national_yearly!$D:$AM, MATCH(Keys!$C$7, US_national_yearly!$D$1:$AM$1, 0), FALSE), 1)</f>
        <v>4.8696522943702847E-4</v>
      </c>
      <c r="W12" s="12">
        <f>$B12 * IFERROR(VLOOKUP(Substitution!$M$13 &amp; $A12, US_national_yearly!$D:$AM, MATCH(W$1, US_national_yearly!$D$1:$AM$1, 0), FALSE) / VLOOKUP(Substitution!$M$13 &amp; $A12, US_national_yearly!$D:$AM, MATCH(Keys!$C$7, US_national_yearly!$D$1:$AM$1, 0), FALSE), 1)</f>
        <v>4.889019958978204E-4</v>
      </c>
      <c r="X12" s="12">
        <f>$B12 * IFERROR(VLOOKUP(Substitution!$M$13 &amp; $A12, US_national_yearly!$D:$AM, MATCH(X$1, US_national_yearly!$D$1:$AM$1, 0), FALSE) / VLOOKUP(Substitution!$M$13 &amp; $A12, US_national_yearly!$D:$AM, MATCH(Keys!$C$7, US_national_yearly!$D$1:$AM$1, 0), FALSE), 1)</f>
        <v>4.9074242936455667E-4</v>
      </c>
      <c r="Y12" s="12">
        <f>$B12 * IFERROR(VLOOKUP(Substitution!$M$13 &amp; $A12, US_national_yearly!$D:$AM, MATCH(Y$1, US_national_yearly!$D$1:$AM$1, 0), FALSE) / VLOOKUP(Substitution!$M$13 &amp; $A12, US_national_yearly!$D:$AM, MATCH(Keys!$C$7, US_national_yearly!$D$1:$AM$1, 0), FALSE), 1)</f>
        <v>4.9258286283129294E-4</v>
      </c>
      <c r="Z12" s="12">
        <f>$B12 * IFERROR(VLOOKUP(Substitution!$M$13 &amp; $A12, US_national_yearly!$D:$AM, MATCH(Z$1, US_national_yearly!$D$1:$AM$1, 0), FALSE) / VLOOKUP(Substitution!$M$13 &amp; $A12, US_national_yearly!$D:$AM, MATCH(Keys!$C$7, US_national_yearly!$D$1:$AM$1, 0), FALSE), 1)</f>
        <v>4.9442329629802921E-4</v>
      </c>
      <c r="AA12" s="12">
        <f>$B12 * IFERROR(VLOOKUP(Substitution!$M$13 &amp; $A12, US_national_yearly!$D:$AM, MATCH(AA$1, US_national_yearly!$D$1:$AM$1, 0), FALSE) / VLOOKUP(Substitution!$M$13 &amp; $A12, US_national_yearly!$D:$AM, MATCH(Keys!$C$7, US_national_yearly!$D$1:$AM$1, 0), FALSE), 1)</f>
        <v>4.9626372976476537E-4</v>
      </c>
      <c r="AB12" s="12">
        <f>$B12 * IFERROR(VLOOKUP(Substitution!$M$13 &amp; $A12, US_national_yearly!$D:$AM, MATCH(AB$1, US_national_yearly!$D$1:$AM$1, 0), FALSE) / VLOOKUP(Substitution!$M$13 &amp; $A12, US_national_yearly!$D:$AM, MATCH(Keys!$C$7, US_national_yearly!$D$1:$AM$1, 0), FALSE), 1)</f>
        <v>4.9810416323150175E-4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Substitution!$G$13)/IFERROR(SUMIFS(COBRA_aggregated!$V:$V, COBRA_aggregated!$A:$A, About!$B$1, COBRA_aggregated!$B:$B, Substitution!$G$13), 1)</f>
        <v>2.6986717585177084E-3</v>
      </c>
      <c r="C13" s="12">
        <f>$B13 * IFERROR(VLOOKUP(Substitution!$M$13 &amp; $A13, US_national_yearly!$D:$AM, MATCH(C$1, US_national_yearly!$D$1:$AM$1, 0), FALSE) / VLOOKUP(Substitution!$M$13 &amp; $A13, US_national_yearly!$D:$AM, MATCH(Keys!$C$7, US_national_yearly!$D$1:$AM$1, 0), FALSE), 1)</f>
        <v>2.777920572675301E-3</v>
      </c>
      <c r="D13" s="12">
        <f>$B13 * IFERROR(VLOOKUP(Substitution!$M$13 &amp; $A13, US_national_yearly!$D:$AM, MATCH(D$1, US_national_yearly!$D$1:$AM$1, 0), FALSE) / VLOOKUP(Substitution!$M$13 &amp; $A13, US_national_yearly!$D:$AM, MATCH(Keys!$C$7, US_national_yearly!$D$1:$AM$1, 0), FALSE), 1)</f>
        <v>2.8571693868328935E-3</v>
      </c>
      <c r="E13" s="12">
        <f>$B13 * IFERROR(VLOOKUP(Substitution!$M$13 &amp; $A13, US_national_yearly!$D:$AM, MATCH(E$1, US_national_yearly!$D$1:$AM$1, 0), FALSE) / VLOOKUP(Substitution!$M$13 &amp; $A13, US_national_yearly!$D:$AM, MATCH(Keys!$C$7, US_national_yearly!$D$1:$AM$1, 0), FALSE), 1)</f>
        <v>2.9364182009904856E-3</v>
      </c>
      <c r="F13" s="12">
        <f>$B13 * IFERROR(VLOOKUP(Substitution!$M$13 &amp; $A13, US_national_yearly!$D:$AM, MATCH(F$1, US_national_yearly!$D$1:$AM$1, 0), FALSE) / VLOOKUP(Substitution!$M$13 &amp; $A13, US_national_yearly!$D:$AM, MATCH(Keys!$C$7, US_national_yearly!$D$1:$AM$1, 0), FALSE), 1)</f>
        <v>3.0156670151480782E-3</v>
      </c>
      <c r="G13" s="12">
        <f>$B13 * IFERROR(VLOOKUP(Substitution!$M$13 &amp; $A13, US_national_yearly!$D:$AM, MATCH(G$1, US_national_yearly!$D$1:$AM$1, 0), FALSE) / VLOOKUP(Substitution!$M$13 &amp; $A13, US_national_yearly!$D:$AM, MATCH(Keys!$C$7, US_national_yearly!$D$1:$AM$1, 0), FALSE), 1)</f>
        <v>3.0904114281705853E-3</v>
      </c>
      <c r="H13" s="12">
        <f>$B13 * IFERROR(VLOOKUP(Substitution!$M$13 &amp; $A13, US_national_yearly!$D:$AM, MATCH(H$1, US_national_yearly!$D$1:$AM$1, 0), FALSE) / VLOOKUP(Substitution!$M$13 &amp; $A13, US_national_yearly!$D:$AM, MATCH(Keys!$C$7, US_national_yearly!$D$1:$AM$1, 0), FALSE), 1)</f>
        <v>3.1651558411930933E-3</v>
      </c>
      <c r="I13" s="12">
        <f>$B13 * IFERROR(VLOOKUP(Substitution!$M$13 &amp; $A13, US_national_yearly!$D:$AM, MATCH(I$1, US_national_yearly!$D$1:$AM$1, 0), FALSE) / VLOOKUP(Substitution!$M$13 &amp; $A13, US_national_yearly!$D:$AM, MATCH(Keys!$C$7, US_national_yearly!$D$1:$AM$1, 0), FALSE), 1)</f>
        <v>3.2253201393347567E-3</v>
      </c>
      <c r="J13" s="12">
        <f>$B13 * IFERROR(VLOOKUP(Substitution!$M$13 &amp; $A13, US_national_yearly!$D:$AM, MATCH(J$1, US_national_yearly!$D$1:$AM$1, 0), FALSE) / VLOOKUP(Substitution!$M$13 &amp; $A13, US_national_yearly!$D:$AM, MATCH(Keys!$C$7, US_national_yearly!$D$1:$AM$1, 0), FALSE), 1)</f>
        <v>3.2854844374764205E-3</v>
      </c>
      <c r="K13" s="12">
        <f>$B13 * IFERROR(VLOOKUP(Substitution!$M$13 &amp; $A13, US_national_yearly!$D:$AM, MATCH(K$1, US_national_yearly!$D$1:$AM$1, 0), FALSE) / VLOOKUP(Substitution!$M$13 &amp; $A13, US_national_yearly!$D:$AM, MATCH(Keys!$C$7, US_national_yearly!$D$1:$AM$1, 0), FALSE), 1)</f>
        <v>3.3456487356180848E-3</v>
      </c>
      <c r="L13" s="12">
        <f>$B13 * IFERROR(VLOOKUP(Substitution!$M$13 &amp; $A13, US_national_yearly!$D:$AM, MATCH(L$1, US_national_yearly!$D$1:$AM$1, 0), FALSE) / VLOOKUP(Substitution!$M$13 &amp; $A13, US_national_yearly!$D:$AM, MATCH(Keys!$C$7, US_national_yearly!$D$1:$AM$1, 0), FALSE), 1)</f>
        <v>3.4058130337597491E-3</v>
      </c>
      <c r="M13" s="12">
        <f>$B13 * IFERROR(VLOOKUP(Substitution!$M$13 &amp; $A13, US_national_yearly!$D:$AM, MATCH(M$1, US_national_yearly!$D$1:$AM$1, 0), FALSE) / VLOOKUP(Substitution!$M$13 &amp; $A13, US_national_yearly!$D:$AM, MATCH(Keys!$C$7, US_national_yearly!$D$1:$AM$1, 0), FALSE), 1)</f>
        <v>3.4659773319014129E-3</v>
      </c>
      <c r="N13" s="12">
        <f>$B13 * IFERROR(VLOOKUP(Substitution!$M$13 &amp; $A13, US_national_yearly!$D:$AM, MATCH(N$1, US_national_yearly!$D$1:$AM$1, 0), FALSE) / VLOOKUP(Substitution!$M$13 &amp; $A13, US_national_yearly!$D:$AM, MATCH(Keys!$C$7, US_national_yearly!$D$1:$AM$1, 0), FALSE), 1)</f>
        <v>3.5050267581830338E-3</v>
      </c>
      <c r="O13" s="12">
        <f>$B13 * IFERROR(VLOOKUP(Substitution!$M$13 &amp; $A13, US_national_yearly!$D:$AM, MATCH(O$1, US_national_yearly!$D$1:$AM$1, 0), FALSE) / VLOOKUP(Substitution!$M$13 &amp; $A13, US_national_yearly!$D:$AM, MATCH(Keys!$C$7, US_national_yearly!$D$1:$AM$1, 0), FALSE), 1)</f>
        <v>3.5440761844646551E-3</v>
      </c>
      <c r="P13" s="12">
        <f>$B13 * IFERROR(VLOOKUP(Substitution!$M$13 &amp; $A13, US_national_yearly!$D:$AM, MATCH(P$1, US_national_yearly!$D$1:$AM$1, 0), FALSE) / VLOOKUP(Substitution!$M$13 &amp; $A13, US_national_yearly!$D:$AM, MATCH(Keys!$C$7, US_national_yearly!$D$1:$AM$1, 0), FALSE), 1)</f>
        <v>3.5831256107462755E-3</v>
      </c>
      <c r="Q13" s="12">
        <f>$B13 * IFERROR(VLOOKUP(Substitution!$M$13 &amp; $A13, US_national_yearly!$D:$AM, MATCH(Q$1, US_national_yearly!$D$1:$AM$1, 0), FALSE) / VLOOKUP(Substitution!$M$13 &amp; $A13, US_national_yearly!$D:$AM, MATCH(Keys!$C$7, US_national_yearly!$D$1:$AM$1, 0), FALSE), 1)</f>
        <v>3.6221750370278964E-3</v>
      </c>
      <c r="R13" s="12">
        <f>$B13 * IFERROR(VLOOKUP(Substitution!$M$13 &amp; $A13, US_national_yearly!$D:$AM, MATCH(R$1, US_national_yearly!$D$1:$AM$1, 0), FALSE) / VLOOKUP(Substitution!$M$13 &amp; $A13, US_national_yearly!$D:$AM, MATCH(Keys!$C$7, US_national_yearly!$D$1:$AM$1, 0), FALSE), 1)</f>
        <v>3.6612244633095177E-3</v>
      </c>
      <c r="S13" s="12">
        <f>$B13 * IFERROR(VLOOKUP(Substitution!$M$13 &amp; $A13, US_national_yearly!$D:$AM, MATCH(S$1, US_national_yearly!$D$1:$AM$1, 0), FALSE) / VLOOKUP(Substitution!$M$13 &amp; $A13, US_national_yearly!$D:$AM, MATCH(Keys!$C$7, US_national_yearly!$D$1:$AM$1, 0), FALSE), 1)</f>
        <v>3.6816160097751555E-3</v>
      </c>
      <c r="T13" s="12">
        <f>$B13 * IFERROR(VLOOKUP(Substitution!$M$13 &amp; $A13, US_national_yearly!$D:$AM, MATCH(T$1, US_national_yearly!$D$1:$AM$1, 0), FALSE) / VLOOKUP(Substitution!$M$13 &amp; $A13, US_national_yearly!$D:$AM, MATCH(Keys!$C$7, US_national_yearly!$D$1:$AM$1, 0), FALSE), 1)</f>
        <v>3.7020075562407928E-3</v>
      </c>
      <c r="U13" s="12">
        <f>$B13 * IFERROR(VLOOKUP(Substitution!$M$13 &amp; $A13, US_national_yearly!$D:$AM, MATCH(U$1, US_national_yearly!$D$1:$AM$1, 0), FALSE) / VLOOKUP(Substitution!$M$13 &amp; $A13, US_national_yearly!$D:$AM, MATCH(Keys!$C$7, US_national_yearly!$D$1:$AM$1, 0), FALSE), 1)</f>
        <v>3.7223991027064297E-3</v>
      </c>
      <c r="V13" s="12">
        <f>$B13 * IFERROR(VLOOKUP(Substitution!$M$13 &amp; $A13, US_national_yearly!$D:$AM, MATCH(V$1, US_national_yearly!$D$1:$AM$1, 0), FALSE) / VLOOKUP(Substitution!$M$13 &amp; $A13, US_national_yearly!$D:$AM, MATCH(Keys!$C$7, US_national_yearly!$D$1:$AM$1, 0), FALSE), 1)</f>
        <v>3.742790649172067E-3</v>
      </c>
      <c r="W13" s="12">
        <f>$B13 * IFERROR(VLOOKUP(Substitution!$M$13 &amp; $A13, US_national_yearly!$D:$AM, MATCH(W$1, US_national_yearly!$D$1:$AM$1, 0), FALSE) / VLOOKUP(Substitution!$M$13 &amp; $A13, US_national_yearly!$D:$AM, MATCH(Keys!$C$7, US_national_yearly!$D$1:$AM$1, 0), FALSE), 1)</f>
        <v>3.7631821956377043E-3</v>
      </c>
      <c r="X13" s="12">
        <f>$B13 * IFERROR(VLOOKUP(Substitution!$M$13 &amp; $A13, US_national_yearly!$D:$AM, MATCH(X$1, US_national_yearly!$D$1:$AM$1, 0), FALSE) / VLOOKUP(Substitution!$M$13 &amp; $A13, US_national_yearly!$D:$AM, MATCH(Keys!$C$7, US_national_yearly!$D$1:$AM$1, 0), FALSE), 1)</f>
        <v>3.7785833889717908E-3</v>
      </c>
      <c r="Y13" s="12">
        <f>$B13 * IFERROR(VLOOKUP(Substitution!$M$13 &amp; $A13, US_national_yearly!$D:$AM, MATCH(Y$1, US_national_yearly!$D$1:$AM$1, 0), FALSE) / VLOOKUP(Substitution!$M$13 &amp; $A13, US_national_yearly!$D:$AM, MATCH(Keys!$C$7, US_national_yearly!$D$1:$AM$1, 0), FALSE), 1)</f>
        <v>3.7939845823058774E-3</v>
      </c>
      <c r="Z13" s="12">
        <f>$B13 * IFERROR(VLOOKUP(Substitution!$M$13 &amp; $A13, US_national_yearly!$D:$AM, MATCH(Z$1, US_national_yearly!$D$1:$AM$1, 0), FALSE) / VLOOKUP(Substitution!$M$13 &amp; $A13, US_national_yearly!$D:$AM, MATCH(Keys!$C$7, US_national_yearly!$D$1:$AM$1, 0), FALSE), 1)</f>
        <v>3.8093857756399626E-3</v>
      </c>
      <c r="AA13" s="12">
        <f>$B13 * IFERROR(VLOOKUP(Substitution!$M$13 &amp; $A13, US_national_yearly!$D:$AM, MATCH(AA$1, US_national_yearly!$D$1:$AM$1, 0), FALSE) / VLOOKUP(Substitution!$M$13 &amp; $A13, US_national_yearly!$D:$AM, MATCH(Keys!$C$7, US_national_yearly!$D$1:$AM$1, 0), FALSE), 1)</f>
        <v>3.8247869689740492E-3</v>
      </c>
      <c r="AB13" s="12">
        <f>$B13 * IFERROR(VLOOKUP(Substitution!$M$13 &amp; $A13, US_national_yearly!$D:$AM, MATCH(AB$1, US_national_yearly!$D$1:$AM$1, 0), FALSE) / VLOOKUP(Substitution!$M$13 &amp; $A13, US_national_yearly!$D:$AM, MATCH(Keys!$C$7, US_national_yearly!$D$1:$AM$1, 0), FALSE), 1)</f>
        <v>3.8401881623081353E-3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Substitution!$G$13)/IFERROR(SUMIFS(COBRA_aggregated!$V:$V, COBRA_aggregated!$A:$A, About!$B$1, COBRA_aggregated!$B:$B, Substitution!$G$13), 1)</f>
        <v>1.7916601880627534</v>
      </c>
      <c r="C14" s="12">
        <f>$B14 * IFERROR(VLOOKUP(Substitution!$M$13 &amp; $A14, US_national_yearly!$D:$AM, MATCH(C$1, US_national_yearly!$D$1:$AM$1, 0), FALSE) / VLOOKUP(Substitution!$M$13 &amp; $A14, US_national_yearly!$D:$AM, MATCH(Keys!$C$7, US_national_yearly!$D$1:$AM$1, 0), FALSE), 1)</f>
        <v>1.7961956814472519</v>
      </c>
      <c r="D14" s="12">
        <f>$B14 * IFERROR(VLOOKUP(Substitution!$M$13 &amp; $A14, US_national_yearly!$D:$AM, MATCH(D$1, US_national_yearly!$D$1:$AM$1, 0), FALSE) / VLOOKUP(Substitution!$M$13 &amp; $A14, US_national_yearly!$D:$AM, MATCH(Keys!$C$7, US_national_yearly!$D$1:$AM$1, 0), FALSE), 1)</f>
        <v>1.8007311748317509</v>
      </c>
      <c r="E14" s="12">
        <f>$B14 * IFERROR(VLOOKUP(Substitution!$M$13 &amp; $A14, US_national_yearly!$D:$AM, MATCH(E$1, US_national_yearly!$D$1:$AM$1, 0), FALSE) / VLOOKUP(Substitution!$M$13 &amp; $A14, US_national_yearly!$D:$AM, MATCH(Keys!$C$7, US_national_yearly!$D$1:$AM$1, 0), FALSE), 1)</f>
        <v>1.8052666682162499</v>
      </c>
      <c r="F14" s="12">
        <f>$B14 * IFERROR(VLOOKUP(Substitution!$M$13 &amp; $A14, US_national_yearly!$D:$AM, MATCH(F$1, US_national_yearly!$D$1:$AM$1, 0), FALSE) / VLOOKUP(Substitution!$M$13 &amp; $A14, US_national_yearly!$D:$AM, MATCH(Keys!$C$7, US_national_yearly!$D$1:$AM$1, 0), FALSE), 1)</f>
        <v>1.8098021616007485</v>
      </c>
      <c r="G14" s="12">
        <f>$B14 * IFERROR(VLOOKUP(Substitution!$M$13 &amp; $A14, US_national_yearly!$D:$AM, MATCH(G$1, US_national_yearly!$D$1:$AM$1, 0), FALSE) / VLOOKUP(Substitution!$M$13 &amp; $A14, US_national_yearly!$D:$AM, MATCH(Keys!$C$7, US_national_yearly!$D$1:$AM$1, 0), FALSE), 1)</f>
        <v>1.816471133946657</v>
      </c>
      <c r="H14" s="12">
        <f>$B14 * IFERROR(VLOOKUP(Substitution!$M$13 &amp; $A14, US_national_yearly!$D:$AM, MATCH(H$1, US_national_yearly!$D$1:$AM$1, 0), FALSE) / VLOOKUP(Substitution!$M$13 &amp; $A14, US_national_yearly!$D:$AM, MATCH(Keys!$C$7, US_national_yearly!$D$1:$AM$1, 0), FALSE), 1)</f>
        <v>1.8231401062925658</v>
      </c>
      <c r="I14" s="12">
        <f>$B14 * IFERROR(VLOOKUP(Substitution!$M$13 &amp; $A14, US_national_yearly!$D:$AM, MATCH(I$1, US_national_yearly!$D$1:$AM$1, 0), FALSE) / VLOOKUP(Substitution!$M$13 &amp; $A14, US_national_yearly!$D:$AM, MATCH(Keys!$C$7, US_national_yearly!$D$1:$AM$1, 0), FALSE), 1)</f>
        <v>1.8344980373334971</v>
      </c>
      <c r="J14" s="12">
        <f>$B14 * IFERROR(VLOOKUP(Substitution!$M$13 &amp; $A14, US_national_yearly!$D:$AM, MATCH(J$1, US_national_yearly!$D$1:$AM$1, 0), FALSE) / VLOOKUP(Substitution!$M$13 &amp; $A14, US_national_yearly!$D:$AM, MATCH(Keys!$C$7, US_national_yearly!$D$1:$AM$1, 0), FALSE), 1)</f>
        <v>1.8458559683744289</v>
      </c>
      <c r="K14" s="12">
        <f>$B14 * IFERROR(VLOOKUP(Substitution!$M$13 &amp; $A14, US_national_yearly!$D:$AM, MATCH(K$1, US_national_yearly!$D$1:$AM$1, 0), FALSE) / VLOOKUP(Substitution!$M$13 &amp; $A14, US_national_yearly!$D:$AM, MATCH(Keys!$C$7, US_national_yearly!$D$1:$AM$1, 0), FALSE), 1)</f>
        <v>1.85721389941536</v>
      </c>
      <c r="L14" s="12">
        <f>$B14 * IFERROR(VLOOKUP(Substitution!$M$13 &amp; $A14, US_national_yearly!$D:$AM, MATCH(L$1, US_national_yearly!$D$1:$AM$1, 0), FALSE) / VLOOKUP(Substitution!$M$13 &amp; $A14, US_national_yearly!$D:$AM, MATCH(Keys!$C$7, US_national_yearly!$D$1:$AM$1, 0), FALSE), 1)</f>
        <v>1.8685718304562913</v>
      </c>
      <c r="M14" s="12">
        <f>$B14 * IFERROR(VLOOKUP(Substitution!$M$13 &amp; $A14, US_national_yearly!$D:$AM, MATCH(M$1, US_national_yearly!$D$1:$AM$1, 0), FALSE) / VLOOKUP(Substitution!$M$13 &amp; $A14, US_national_yearly!$D:$AM, MATCH(Keys!$C$7, US_national_yearly!$D$1:$AM$1, 0), FALSE), 1)</f>
        <v>1.8799297614972226</v>
      </c>
      <c r="N14" s="12">
        <f>$B14 * IFERROR(VLOOKUP(Substitution!$M$13 &amp; $A14, US_national_yearly!$D:$AM, MATCH(N$1, US_national_yearly!$D$1:$AM$1, 0), FALSE) / VLOOKUP(Substitution!$M$13 &amp; $A14, US_national_yearly!$D:$AM, MATCH(Keys!$C$7, US_national_yearly!$D$1:$AM$1, 0), FALSE), 1)</f>
        <v>1.8954611353456432</v>
      </c>
      <c r="O14" s="12">
        <f>$B14 * IFERROR(VLOOKUP(Substitution!$M$13 &amp; $A14, US_national_yearly!$D:$AM, MATCH(O$1, US_national_yearly!$D$1:$AM$1, 0), FALSE) / VLOOKUP(Substitution!$M$13 &amp; $A14, US_national_yearly!$D:$AM, MATCH(Keys!$C$7, US_national_yearly!$D$1:$AM$1, 0), FALSE), 1)</f>
        <v>1.9109925091940638</v>
      </c>
      <c r="P14" s="12">
        <f>$B14 * IFERROR(VLOOKUP(Substitution!$M$13 &amp; $A14, US_national_yearly!$D:$AM, MATCH(P$1, US_national_yearly!$D$1:$AM$1, 0), FALSE) / VLOOKUP(Substitution!$M$13 &amp; $A14, US_national_yearly!$D:$AM, MATCH(Keys!$C$7, US_national_yearly!$D$1:$AM$1, 0), FALSE), 1)</f>
        <v>1.9265238830424842</v>
      </c>
      <c r="Q14" s="12">
        <f>$B14 * IFERROR(VLOOKUP(Substitution!$M$13 &amp; $A14, US_national_yearly!$D:$AM, MATCH(Q$1, US_national_yearly!$D$1:$AM$1, 0), FALSE) / VLOOKUP(Substitution!$M$13 &amp; $A14, US_national_yearly!$D:$AM, MATCH(Keys!$C$7, US_national_yearly!$D$1:$AM$1, 0), FALSE), 1)</f>
        <v>1.9420552568909049</v>
      </c>
      <c r="R14" s="12">
        <f>$B14 * IFERROR(VLOOKUP(Substitution!$M$13 &amp; $A14, US_national_yearly!$D:$AM, MATCH(R$1, US_national_yearly!$D$1:$AM$1, 0), FALSE) / VLOOKUP(Substitution!$M$13 &amp; $A14, US_national_yearly!$D:$AM, MATCH(Keys!$C$7, US_national_yearly!$D$1:$AM$1, 0), FALSE), 1)</f>
        <v>1.9575866307393255</v>
      </c>
      <c r="S14" s="12">
        <f>$B14 * IFERROR(VLOOKUP(Substitution!$M$13 &amp; $A14, US_national_yearly!$D:$AM, MATCH(S$1, US_national_yearly!$D$1:$AM$1, 0), FALSE) / VLOOKUP(Substitution!$M$13 &amp; $A14, US_national_yearly!$D:$AM, MATCH(Keys!$C$7, US_national_yearly!$D$1:$AM$1, 0), FALSE), 1)</f>
        <v>1.9734198580540565</v>
      </c>
      <c r="T14" s="12">
        <f>$B14 * IFERROR(VLOOKUP(Substitution!$M$13 &amp; $A14, US_national_yearly!$D:$AM, MATCH(T$1, US_national_yearly!$D$1:$AM$1, 0), FALSE) / VLOOKUP(Substitution!$M$13 &amp; $A14, US_national_yearly!$D:$AM, MATCH(Keys!$C$7, US_national_yearly!$D$1:$AM$1, 0), FALSE), 1)</f>
        <v>1.9892530853687875</v>
      </c>
      <c r="U14" s="12">
        <f>$B14 * IFERROR(VLOOKUP(Substitution!$M$13 &amp; $A14, US_national_yearly!$D:$AM, MATCH(U$1, US_national_yearly!$D$1:$AM$1, 0), FALSE) / VLOOKUP(Substitution!$M$13 &amp; $A14, US_national_yearly!$D:$AM, MATCH(Keys!$C$7, US_national_yearly!$D$1:$AM$1, 0), FALSE), 1)</f>
        <v>2.0050863126835186</v>
      </c>
      <c r="V14" s="12">
        <f>$B14 * IFERROR(VLOOKUP(Substitution!$M$13 &amp; $A14, US_national_yearly!$D:$AM, MATCH(V$1, US_national_yearly!$D$1:$AM$1, 0), FALSE) / VLOOKUP(Substitution!$M$13 &amp; $A14, US_national_yearly!$D:$AM, MATCH(Keys!$C$7, US_national_yearly!$D$1:$AM$1, 0), FALSE), 1)</f>
        <v>2.0209195399982498</v>
      </c>
      <c r="W14" s="12">
        <f>$B14 * IFERROR(VLOOKUP(Substitution!$M$13 &amp; $A14, US_national_yearly!$D:$AM, MATCH(W$1, US_national_yearly!$D$1:$AM$1, 0), FALSE) / VLOOKUP(Substitution!$M$13 &amp; $A14, US_national_yearly!$D:$AM, MATCH(Keys!$C$7, US_national_yearly!$D$1:$AM$1, 0), FALSE), 1)</f>
        <v>2.036752767312981</v>
      </c>
      <c r="X14" s="12">
        <f>$B14 * IFERROR(VLOOKUP(Substitution!$M$13 &amp; $A14, US_national_yearly!$D:$AM, MATCH(X$1, US_national_yearly!$D$1:$AM$1, 0), FALSE) / VLOOKUP(Substitution!$M$13 &amp; $A14, US_national_yearly!$D:$AM, MATCH(Keys!$C$7, US_national_yearly!$D$1:$AM$1, 0), FALSE), 1)</f>
        <v>2.0506771744519967</v>
      </c>
      <c r="Y14" s="12">
        <f>$B14 * IFERROR(VLOOKUP(Substitution!$M$13 &amp; $A14, US_national_yearly!$D:$AM, MATCH(Y$1, US_national_yearly!$D$1:$AM$1, 0), FALSE) / VLOOKUP(Substitution!$M$13 &amp; $A14, US_national_yearly!$D:$AM, MATCH(Keys!$C$7, US_national_yearly!$D$1:$AM$1, 0), FALSE), 1)</f>
        <v>2.0646015815910128</v>
      </c>
      <c r="Z14" s="12">
        <f>$B14 * IFERROR(VLOOKUP(Substitution!$M$13 &amp; $A14, US_national_yearly!$D:$AM, MATCH(Z$1, US_national_yearly!$D$1:$AM$1, 0), FALSE) / VLOOKUP(Substitution!$M$13 &amp; $A14, US_national_yearly!$D:$AM, MATCH(Keys!$C$7, US_national_yearly!$D$1:$AM$1, 0), FALSE), 1)</f>
        <v>2.0785259887300285</v>
      </c>
      <c r="AA14" s="12">
        <f>$B14 * IFERROR(VLOOKUP(Substitution!$M$13 &amp; $A14, US_national_yearly!$D:$AM, MATCH(AA$1, US_national_yearly!$D$1:$AM$1, 0), FALSE) / VLOOKUP(Substitution!$M$13 &amp; $A14, US_national_yearly!$D:$AM, MATCH(Keys!$C$7, US_national_yearly!$D$1:$AM$1, 0), FALSE), 1)</f>
        <v>2.0924503958690446</v>
      </c>
      <c r="AB14" s="12">
        <f>$B14 * IFERROR(VLOOKUP(Substitution!$M$13 &amp; $A14, US_national_yearly!$D:$AM, MATCH(AB$1, US_national_yearly!$D$1:$AM$1, 0), FALSE) / VLOOKUP(Substitution!$M$13 &amp; $A14, US_national_yearly!$D:$AM, MATCH(Keys!$C$7, US_national_yearly!$D$1:$AM$1, 0), FALSE), 1)</f>
        <v>2.1063748030080602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Substitution!$G$13)/IFERROR(SUMIFS(COBRA_aggregated!$V:$V, COBRA_aggregated!$A:$A, About!$B$1, COBRA_aggregated!$B:$B, Substitution!$G$13), 1)</f>
        <v>0.30213931587059806</v>
      </c>
      <c r="C15" s="12">
        <f>$B15 * IFERROR(VLOOKUP(Substitution!$M$13 &amp; $A15, US_national_yearly!$D:$AM, MATCH(C$1, US_national_yearly!$D$1:$AM$1, 0), FALSE) / VLOOKUP(Substitution!$M$13 &amp; $A15, US_national_yearly!$D:$AM, MATCH(Keys!$C$7, US_national_yearly!$D$1:$AM$1, 0), FALSE), 1)</f>
        <v>0.3031209615874248</v>
      </c>
      <c r="D15" s="12">
        <f>$B15 * IFERROR(VLOOKUP(Substitution!$M$13 &amp; $A15, US_national_yearly!$D:$AM, MATCH(D$1, US_national_yearly!$D$1:$AM$1, 0), FALSE) / VLOOKUP(Substitution!$M$13 &amp; $A15, US_national_yearly!$D:$AM, MATCH(Keys!$C$7, US_national_yearly!$D$1:$AM$1, 0), FALSE), 1)</f>
        <v>0.30410260730425154</v>
      </c>
      <c r="E15" s="12">
        <f>$B15 * IFERROR(VLOOKUP(Substitution!$M$13 &amp; $A15, US_national_yearly!$D:$AM, MATCH(E$1, US_national_yearly!$D$1:$AM$1, 0), FALSE) / VLOOKUP(Substitution!$M$13 &amp; $A15, US_national_yearly!$D:$AM, MATCH(Keys!$C$7, US_national_yearly!$D$1:$AM$1, 0), FALSE), 1)</f>
        <v>0.30508425302107828</v>
      </c>
      <c r="F15" s="12">
        <f>$B15 * IFERROR(VLOOKUP(Substitution!$M$13 &amp; $A15, US_national_yearly!$D:$AM, MATCH(F$1, US_national_yearly!$D$1:$AM$1, 0), FALSE) / VLOOKUP(Substitution!$M$13 &amp; $A15, US_national_yearly!$D:$AM, MATCH(Keys!$C$7, US_national_yearly!$D$1:$AM$1, 0), FALSE), 1)</f>
        <v>0.30606589873790496</v>
      </c>
      <c r="G15" s="12">
        <f>$B15 * IFERROR(VLOOKUP(Substitution!$M$13 &amp; $A15, US_national_yearly!$D:$AM, MATCH(G$1, US_national_yearly!$D$1:$AM$1, 0), FALSE) / VLOOKUP(Substitution!$M$13 &amp; $A15, US_national_yearly!$D:$AM, MATCH(Keys!$C$7, US_national_yearly!$D$1:$AM$1, 0), FALSE), 1)</f>
        <v>0.30734798236700095</v>
      </c>
      <c r="H15" s="12">
        <f>$B15 * IFERROR(VLOOKUP(Substitution!$M$13 &amp; $A15, US_national_yearly!$D:$AM, MATCH(H$1, US_national_yearly!$D$1:$AM$1, 0), FALSE) / VLOOKUP(Substitution!$M$13 &amp; $A15, US_national_yearly!$D:$AM, MATCH(Keys!$C$7, US_national_yearly!$D$1:$AM$1, 0), FALSE), 1)</f>
        <v>0.30863006599609699</v>
      </c>
      <c r="I15" s="12">
        <f>$B15 * IFERROR(VLOOKUP(Substitution!$M$13 &amp; $A15, US_national_yearly!$D:$AM, MATCH(I$1, US_national_yearly!$D$1:$AM$1, 0), FALSE) / VLOOKUP(Substitution!$M$13 &amp; $A15, US_national_yearly!$D:$AM, MATCH(Keys!$C$7, US_national_yearly!$D$1:$AM$1, 0), FALSE), 1)</f>
        <v>0.3105045440228334</v>
      </c>
      <c r="J15" s="12">
        <f>$B15 * IFERROR(VLOOKUP(Substitution!$M$13 &amp; $A15, US_national_yearly!$D:$AM, MATCH(J$1, US_national_yearly!$D$1:$AM$1, 0), FALSE) / VLOOKUP(Substitution!$M$13 &amp; $A15, US_national_yearly!$D:$AM, MATCH(Keys!$C$7, US_national_yearly!$D$1:$AM$1, 0), FALSE), 1)</f>
        <v>0.31237902204956974</v>
      </c>
      <c r="K15" s="12">
        <f>$B15 * IFERROR(VLOOKUP(Substitution!$M$13 &amp; $A15, US_national_yearly!$D:$AM, MATCH(K$1, US_national_yearly!$D$1:$AM$1, 0), FALSE) / VLOOKUP(Substitution!$M$13 &amp; $A15, US_national_yearly!$D:$AM, MATCH(Keys!$C$7, US_national_yearly!$D$1:$AM$1, 0), FALSE), 1)</f>
        <v>0.31425350007630615</v>
      </c>
      <c r="L15" s="12">
        <f>$B15 * IFERROR(VLOOKUP(Substitution!$M$13 &amp; $A15, US_national_yearly!$D:$AM, MATCH(L$1, US_national_yearly!$D$1:$AM$1, 0), FALSE) / VLOOKUP(Substitution!$M$13 &amp; $A15, US_national_yearly!$D:$AM, MATCH(Keys!$C$7, US_national_yearly!$D$1:$AM$1, 0), FALSE), 1)</f>
        <v>0.31612797810304244</v>
      </c>
      <c r="M15" s="12">
        <f>$B15 * IFERROR(VLOOKUP(Substitution!$M$13 &amp; $A15, US_national_yearly!$D:$AM, MATCH(M$1, US_national_yearly!$D$1:$AM$1, 0), FALSE) / VLOOKUP(Substitution!$M$13 &amp; $A15, US_national_yearly!$D:$AM, MATCH(Keys!$C$7, US_national_yearly!$D$1:$AM$1, 0), FALSE), 1)</f>
        <v>0.31800245612977879</v>
      </c>
      <c r="N15" s="12">
        <f>$B15 * IFERROR(VLOOKUP(Substitution!$M$13 &amp; $A15, US_national_yearly!$D:$AM, MATCH(N$1, US_national_yearly!$D$1:$AM$1, 0), FALSE) / VLOOKUP(Substitution!$M$13 &amp; $A15, US_national_yearly!$D:$AM, MATCH(Keys!$C$7, US_national_yearly!$D$1:$AM$1, 0), FALSE), 1)</f>
        <v>0.32035302086894707</v>
      </c>
      <c r="O15" s="12">
        <f>$B15 * IFERROR(VLOOKUP(Substitution!$M$13 &amp; $A15, US_national_yearly!$D:$AM, MATCH(O$1, US_national_yearly!$D$1:$AM$1, 0), FALSE) / VLOOKUP(Substitution!$M$13 &amp; $A15, US_national_yearly!$D:$AM, MATCH(Keys!$C$7, US_national_yearly!$D$1:$AM$1, 0), FALSE), 1)</f>
        <v>0.3227035856081153</v>
      </c>
      <c r="P15" s="12">
        <f>$B15 * IFERROR(VLOOKUP(Substitution!$M$13 &amp; $A15, US_national_yearly!$D:$AM, MATCH(P$1, US_national_yearly!$D$1:$AM$1, 0), FALSE) / VLOOKUP(Substitution!$M$13 &amp; $A15, US_national_yearly!$D:$AM, MATCH(Keys!$C$7, US_national_yearly!$D$1:$AM$1, 0), FALSE), 1)</f>
        <v>0.32505415034728352</v>
      </c>
      <c r="Q15" s="12">
        <f>$B15 * IFERROR(VLOOKUP(Substitution!$M$13 &amp; $A15, US_national_yearly!$D:$AM, MATCH(Q$1, US_national_yearly!$D$1:$AM$1, 0), FALSE) / VLOOKUP(Substitution!$M$13 &amp; $A15, US_national_yearly!$D:$AM, MATCH(Keys!$C$7, US_national_yearly!$D$1:$AM$1, 0), FALSE), 1)</f>
        <v>0.3274047150864518</v>
      </c>
      <c r="R15" s="12">
        <f>$B15 * IFERROR(VLOOKUP(Substitution!$M$13 &amp; $A15, US_national_yearly!$D:$AM, MATCH(R$1, US_national_yearly!$D$1:$AM$1, 0), FALSE) / VLOOKUP(Substitution!$M$13 &amp; $A15, US_national_yearly!$D:$AM, MATCH(Keys!$C$7, US_national_yearly!$D$1:$AM$1, 0), FALSE), 1)</f>
        <v>0.32975527982561992</v>
      </c>
      <c r="S15" s="12">
        <f>$B15 * IFERROR(VLOOKUP(Substitution!$M$13 &amp; $A15, US_national_yearly!$D:$AM, MATCH(S$1, US_national_yearly!$D$1:$AM$1, 0), FALSE) / VLOOKUP(Substitution!$M$13 &amp; $A15, US_national_yearly!$D:$AM, MATCH(Keys!$C$7, US_national_yearly!$D$1:$AM$1, 0), FALSE), 1)</f>
        <v>0.33238106653587296</v>
      </c>
      <c r="T15" s="12">
        <f>$B15 * IFERROR(VLOOKUP(Substitution!$M$13 &amp; $A15, US_national_yearly!$D:$AM, MATCH(T$1, US_national_yearly!$D$1:$AM$1, 0), FALSE) / VLOOKUP(Substitution!$M$13 &amp; $A15, US_national_yearly!$D:$AM, MATCH(Keys!$C$7, US_national_yearly!$D$1:$AM$1, 0), FALSE), 1)</f>
        <v>0.335006853246126</v>
      </c>
      <c r="U15" s="12">
        <f>$B15 * IFERROR(VLOOKUP(Substitution!$M$13 &amp; $A15, US_national_yearly!$D:$AM, MATCH(U$1, US_national_yearly!$D$1:$AM$1, 0), FALSE) / VLOOKUP(Substitution!$M$13 &amp; $A15, US_national_yearly!$D:$AM, MATCH(Keys!$C$7, US_national_yearly!$D$1:$AM$1, 0), FALSE), 1)</f>
        <v>0.33763263995637904</v>
      </c>
      <c r="V15" s="12">
        <f>$B15 * IFERROR(VLOOKUP(Substitution!$M$13 &amp; $A15, US_national_yearly!$D:$AM, MATCH(V$1, US_national_yearly!$D$1:$AM$1, 0), FALSE) / VLOOKUP(Substitution!$M$13 &amp; $A15, US_national_yearly!$D:$AM, MATCH(Keys!$C$7, US_national_yearly!$D$1:$AM$1, 0), FALSE), 1)</f>
        <v>0.34025842666663203</v>
      </c>
      <c r="W15" s="12">
        <f>$B15 * IFERROR(VLOOKUP(Substitution!$M$13 &amp; $A15, US_national_yearly!$D:$AM, MATCH(W$1, US_national_yearly!$D$1:$AM$1, 0), FALSE) / VLOOKUP(Substitution!$M$13 &amp; $A15, US_national_yearly!$D:$AM, MATCH(Keys!$C$7, US_national_yearly!$D$1:$AM$1, 0), FALSE), 1)</f>
        <v>0.34288421337688507</v>
      </c>
      <c r="X15" s="12">
        <f>$B15 * IFERROR(VLOOKUP(Substitution!$M$13 &amp; $A15, US_national_yearly!$D:$AM, MATCH(X$1, US_national_yearly!$D$1:$AM$1, 0), FALSE) / VLOOKUP(Substitution!$M$13 &amp; $A15, US_national_yearly!$D:$AM, MATCH(Keys!$C$7, US_national_yearly!$D$1:$AM$1, 0), FALSE), 1)</f>
        <v>0.34524186033084181</v>
      </c>
      <c r="Y15" s="12">
        <f>$B15 * IFERROR(VLOOKUP(Substitution!$M$13 &amp; $A15, US_national_yearly!$D:$AM, MATCH(Y$1, US_national_yearly!$D$1:$AM$1, 0), FALSE) / VLOOKUP(Substitution!$M$13 &amp; $A15, US_national_yearly!$D:$AM, MATCH(Keys!$C$7, US_national_yearly!$D$1:$AM$1, 0), FALSE), 1)</f>
        <v>0.34759950728479855</v>
      </c>
      <c r="Z15" s="12">
        <f>$B15 * IFERROR(VLOOKUP(Substitution!$M$13 &amp; $A15, US_national_yearly!$D:$AM, MATCH(Z$1, US_national_yearly!$D$1:$AM$1, 0), FALSE) / VLOOKUP(Substitution!$M$13 &amp; $A15, US_national_yearly!$D:$AM, MATCH(Keys!$C$7, US_national_yearly!$D$1:$AM$1, 0), FALSE), 1)</f>
        <v>0.34995715423875529</v>
      </c>
      <c r="AA15" s="12">
        <f>$B15 * IFERROR(VLOOKUP(Substitution!$M$13 &amp; $A15, US_national_yearly!$D:$AM, MATCH(AA$1, US_national_yearly!$D$1:$AM$1, 0), FALSE) / VLOOKUP(Substitution!$M$13 &amp; $A15, US_national_yearly!$D:$AM, MATCH(Keys!$C$7, US_national_yearly!$D$1:$AM$1, 0), FALSE), 1)</f>
        <v>0.35231480119271202</v>
      </c>
      <c r="AB15" s="12">
        <f>$B15 * IFERROR(VLOOKUP(Substitution!$M$13 &amp; $A15, US_national_yearly!$D:$AM, MATCH(AB$1, US_national_yearly!$D$1:$AM$1, 0), FALSE) / VLOOKUP(Substitution!$M$13 &amp; $A15, US_national_yearly!$D:$AM, MATCH(Keys!$C$7, US_national_yearly!$D$1:$AM$1, 0), FALSE), 1)</f>
        <v>0.35467244814666871</v>
      </c>
    </row>
    <row r="16" spans="1:28" x14ac:dyDescent="0.25">
      <c r="A16" s="4" t="s">
        <v>319</v>
      </c>
      <c r="B16" s="12">
        <f>IFERROR(VLOOKUP(Substitution!$M$13 &amp; $A16, US_national_yearly!$D:$AM, MATCH(Keys!$C$7, US_national_yearly!$D$1:$AM$1, 0), FALSE), 0)</f>
        <v>1.6839578659580339E-4</v>
      </c>
      <c r="C16" s="12">
        <f>$B16 * IFERROR(VLOOKUP(Substitution!$M$13 &amp; $A16, US_national_yearly!$D:$AM, MATCH(C$1, US_national_yearly!$D$1:$AM$1, 0), FALSE) / VLOOKUP(Substitution!$M$13 &amp; $A16, US_national_yearly!$D:$AM, MATCH(Keys!$C$7, US_national_yearly!$D$1:$AM$1, 0), FALSE), 1)</f>
        <v>1.7173500327212479E-4</v>
      </c>
      <c r="D16" s="12">
        <f>$B16 * IFERROR(VLOOKUP(Substitution!$M$13 &amp; $A16, US_national_yearly!$D:$AM, MATCH(D$1, US_national_yearly!$D$1:$AM$1, 0), FALSE) / VLOOKUP(Substitution!$M$13 &amp; $A16, US_national_yearly!$D:$AM, MATCH(Keys!$C$7, US_national_yearly!$D$1:$AM$1, 0), FALSE), 1)</f>
        <v>1.750742199484462E-4</v>
      </c>
      <c r="E16" s="12">
        <f>$B16 * IFERROR(VLOOKUP(Substitution!$M$13 &amp; $A16, US_national_yearly!$D:$AM, MATCH(E$1, US_national_yearly!$D$1:$AM$1, 0), FALSE) / VLOOKUP(Substitution!$M$13 &amp; $A16, US_national_yearly!$D:$AM, MATCH(Keys!$C$7, US_national_yearly!$D$1:$AM$1, 0), FALSE), 1)</f>
        <v>1.7841343662476761E-4</v>
      </c>
      <c r="F16" s="12">
        <f>$B16 * IFERROR(VLOOKUP(Substitution!$M$13 &amp; $A16, US_national_yearly!$D:$AM, MATCH(F$1, US_national_yearly!$D$1:$AM$1, 0), FALSE) / VLOOKUP(Substitution!$M$13 &amp; $A16, US_national_yearly!$D:$AM, MATCH(Keys!$C$7, US_national_yearly!$D$1:$AM$1, 0), FALSE), 1)</f>
        <v>1.8175265330108904E-4</v>
      </c>
      <c r="G16" s="12">
        <f>$B16 * IFERROR(VLOOKUP(Substitution!$M$13 &amp; $A16, US_national_yearly!$D:$AM, MATCH(G$1, US_national_yearly!$D$1:$AM$1, 0), FALSE) / VLOOKUP(Substitution!$M$13 &amp; $A16, US_national_yearly!$D:$AM, MATCH(Keys!$C$7, US_national_yearly!$D$1:$AM$1, 0), FALSE), 1)</f>
        <v>1.852872602718115E-4</v>
      </c>
      <c r="H16" s="12">
        <f>$B16 * IFERROR(VLOOKUP(Substitution!$M$13 &amp; $A16, US_national_yearly!$D:$AM, MATCH(H$1, US_national_yearly!$D$1:$AM$1, 0), FALSE) / VLOOKUP(Substitution!$M$13 &amp; $A16, US_national_yearly!$D:$AM, MATCH(Keys!$C$7, US_national_yearly!$D$1:$AM$1, 0), FALSE), 1)</f>
        <v>1.8882186724253401E-4</v>
      </c>
      <c r="I16" s="12">
        <f>$B16 * IFERROR(VLOOKUP(Substitution!$M$13 &amp; $A16, US_national_yearly!$D:$AM, MATCH(I$1, US_national_yearly!$D$1:$AM$1, 0), FALSE) / VLOOKUP(Substitution!$M$13 &amp; $A16, US_national_yearly!$D:$AM, MATCH(Keys!$C$7, US_national_yearly!$D$1:$AM$1, 0), FALSE), 1)</f>
        <v>1.9261384146019141E-4</v>
      </c>
      <c r="J16" s="12">
        <f>$B16 * IFERROR(VLOOKUP(Substitution!$M$13 &amp; $A16, US_national_yearly!$D:$AM, MATCH(J$1, US_national_yearly!$D$1:$AM$1, 0), FALSE) / VLOOKUP(Substitution!$M$13 &amp; $A16, US_national_yearly!$D:$AM, MATCH(Keys!$C$7, US_national_yearly!$D$1:$AM$1, 0), FALSE), 1)</f>
        <v>1.9640581567784878E-4</v>
      </c>
      <c r="K16" s="12">
        <f>$B16 * IFERROR(VLOOKUP(Substitution!$M$13 &amp; $A16, US_national_yearly!$D:$AM, MATCH(K$1, US_national_yearly!$D$1:$AM$1, 0), FALSE) / VLOOKUP(Substitution!$M$13 &amp; $A16, US_national_yearly!$D:$AM, MATCH(Keys!$C$7, US_national_yearly!$D$1:$AM$1, 0), FALSE), 1)</f>
        <v>2.001977898955062E-4</v>
      </c>
      <c r="L16" s="12">
        <f>$B16 * IFERROR(VLOOKUP(Substitution!$M$13 &amp; $A16, US_national_yearly!$D:$AM, MATCH(L$1, US_national_yearly!$D$1:$AM$1, 0), FALSE) / VLOOKUP(Substitution!$M$13 &amp; $A16, US_national_yearly!$D:$AM, MATCH(Keys!$C$7, US_national_yearly!$D$1:$AM$1, 0), FALSE), 1)</f>
        <v>2.039897641131636E-4</v>
      </c>
      <c r="M16" s="12">
        <f>$B16 * IFERROR(VLOOKUP(Substitution!$M$13 &amp; $A16, US_national_yearly!$D:$AM, MATCH(M$1, US_national_yearly!$D$1:$AM$1, 0), FALSE) / VLOOKUP(Substitution!$M$13 &amp; $A16, US_national_yearly!$D:$AM, MATCH(Keys!$C$7, US_national_yearly!$D$1:$AM$1, 0), FALSE), 1)</f>
        <v>2.07781738330821E-4</v>
      </c>
      <c r="N16" s="12">
        <f>$B16 * IFERROR(VLOOKUP(Substitution!$M$13 &amp; $A16, US_national_yearly!$D:$AM, MATCH(N$1, US_national_yearly!$D$1:$AM$1, 0), FALSE) / VLOOKUP(Substitution!$M$13 &amp; $A16, US_national_yearly!$D:$AM, MATCH(Keys!$C$7, US_national_yearly!$D$1:$AM$1, 0), FALSE), 1)</f>
        <v>2.109962617515032E-4</v>
      </c>
      <c r="O16" s="12">
        <f>$B16 * IFERROR(VLOOKUP(Substitution!$M$13 &amp; $A16, US_national_yearly!$D:$AM, MATCH(O$1, US_national_yearly!$D$1:$AM$1, 0), FALSE) / VLOOKUP(Substitution!$M$13 &amp; $A16, US_national_yearly!$D:$AM, MATCH(Keys!$C$7, US_national_yearly!$D$1:$AM$1, 0), FALSE), 1)</f>
        <v>2.142107851721854E-4</v>
      </c>
      <c r="P16" s="12">
        <f>$B16 * IFERROR(VLOOKUP(Substitution!$M$13 &amp; $A16, US_national_yearly!$D:$AM, MATCH(P$1, US_national_yearly!$D$1:$AM$1, 0), FALSE) / VLOOKUP(Substitution!$M$13 &amp; $A16, US_national_yearly!$D:$AM, MATCH(Keys!$C$7, US_national_yearly!$D$1:$AM$1, 0), FALSE), 1)</f>
        <v>2.1742530859286761E-4</v>
      </c>
      <c r="Q16" s="12">
        <f>$B16 * IFERROR(VLOOKUP(Substitution!$M$13 &amp; $A16, US_national_yearly!$D:$AM, MATCH(Q$1, US_national_yearly!$D$1:$AM$1, 0), FALSE) / VLOOKUP(Substitution!$M$13 &amp; $A16, US_national_yearly!$D:$AM, MATCH(Keys!$C$7, US_national_yearly!$D$1:$AM$1, 0), FALSE), 1)</f>
        <v>2.2063983201354978E-4</v>
      </c>
      <c r="R16" s="12">
        <f>$B16 * IFERROR(VLOOKUP(Substitution!$M$13 &amp; $A16, US_national_yearly!$D:$AM, MATCH(R$1, US_national_yearly!$D$1:$AM$1, 0), FALSE) / VLOOKUP(Substitution!$M$13 &amp; $A16, US_national_yearly!$D:$AM, MATCH(Keys!$C$7, US_national_yearly!$D$1:$AM$1, 0), FALSE), 1)</f>
        <v>2.2385435543423202E-4</v>
      </c>
      <c r="S16" s="12">
        <f>$B16 * IFERROR(VLOOKUP(Substitution!$M$13 &amp; $A16, US_national_yearly!$D:$AM, MATCH(S$1, US_national_yearly!$D$1:$AM$1, 0), FALSE) / VLOOKUP(Substitution!$M$13 &amp; $A16, US_national_yearly!$D:$AM, MATCH(Keys!$C$7, US_national_yearly!$D$1:$AM$1, 0), FALSE), 1)</f>
        <v>2.254961670786466E-4</v>
      </c>
      <c r="T16" s="12">
        <f>$B16 * IFERROR(VLOOKUP(Substitution!$M$13 &amp; $A16, US_national_yearly!$D:$AM, MATCH(T$1, US_national_yearly!$D$1:$AM$1, 0), FALSE) / VLOOKUP(Substitution!$M$13 &amp; $A16, US_national_yearly!$D:$AM, MATCH(Keys!$C$7, US_national_yearly!$D$1:$AM$1, 0), FALSE), 1)</f>
        <v>2.271379787230612E-4</v>
      </c>
      <c r="U16" s="12">
        <f>$B16 * IFERROR(VLOOKUP(Substitution!$M$13 &amp; $A16, US_national_yearly!$D:$AM, MATCH(U$1, US_national_yearly!$D$1:$AM$1, 0), FALSE) / VLOOKUP(Substitution!$M$13 &amp; $A16, US_national_yearly!$D:$AM, MATCH(Keys!$C$7, US_national_yearly!$D$1:$AM$1, 0), FALSE), 1)</f>
        <v>2.2877979036747581E-4</v>
      </c>
      <c r="V16" s="12">
        <f>$B16 * IFERROR(VLOOKUP(Substitution!$M$13 &amp; $A16, US_national_yearly!$D:$AM, MATCH(V$1, US_national_yearly!$D$1:$AM$1, 0), FALSE) / VLOOKUP(Substitution!$M$13 &amp; $A16, US_national_yearly!$D:$AM, MATCH(Keys!$C$7, US_national_yearly!$D$1:$AM$1, 0), FALSE), 1)</f>
        <v>2.3042160201189039E-4</v>
      </c>
      <c r="W16" s="12">
        <f>$B16 * IFERROR(VLOOKUP(Substitution!$M$13 &amp; $A16, US_national_yearly!$D:$AM, MATCH(W$1, US_national_yearly!$D$1:$AM$1, 0), FALSE) / VLOOKUP(Substitution!$M$13 &amp; $A16, US_national_yearly!$D:$AM, MATCH(Keys!$C$7, US_national_yearly!$D$1:$AM$1, 0), FALSE), 1)</f>
        <v>2.32063413656305E-4</v>
      </c>
      <c r="X16" s="12">
        <f>$B16 * IFERROR(VLOOKUP(Substitution!$M$13 &amp; $A16, US_national_yearly!$D:$AM, MATCH(X$1, US_national_yearly!$D$1:$AM$1, 0), FALSE) / VLOOKUP(Substitution!$M$13 &amp; $A16, US_national_yearly!$D:$AM, MATCH(Keys!$C$7, US_national_yearly!$D$1:$AM$1, 0), FALSE), 1)</f>
        <v>2.3289089858067301E-4</v>
      </c>
      <c r="Y16" s="12">
        <f>$B16 * IFERROR(VLOOKUP(Substitution!$M$13 &amp; $A16, US_national_yearly!$D:$AM, MATCH(Y$1, US_national_yearly!$D$1:$AM$1, 0), FALSE) / VLOOKUP(Substitution!$M$13 &amp; $A16, US_national_yearly!$D:$AM, MATCH(Keys!$C$7, US_national_yearly!$D$1:$AM$1, 0), FALSE), 1)</f>
        <v>2.3371838350504101E-4</v>
      </c>
      <c r="Z16" s="12">
        <f>$B16 * IFERROR(VLOOKUP(Substitution!$M$13 &amp; $A16, US_national_yearly!$D:$AM, MATCH(Z$1, US_national_yearly!$D$1:$AM$1, 0), FALSE) / VLOOKUP(Substitution!$M$13 &amp; $A16, US_national_yearly!$D:$AM, MATCH(Keys!$C$7, US_national_yearly!$D$1:$AM$1, 0), FALSE), 1)</f>
        <v>2.3454586842940899E-4</v>
      </c>
      <c r="AA16" s="12">
        <f>$B16 * IFERROR(VLOOKUP(Substitution!$M$13 &amp; $A16, US_national_yearly!$D:$AM, MATCH(AA$1, US_national_yearly!$D$1:$AM$1, 0), FALSE) / VLOOKUP(Substitution!$M$13 &amp; $A16, US_national_yearly!$D:$AM, MATCH(Keys!$C$7, US_national_yearly!$D$1:$AM$1, 0), FALSE), 1)</f>
        <v>2.35373353353777E-4</v>
      </c>
      <c r="AB16" s="12">
        <f>$B16 * IFERROR(VLOOKUP(Substitution!$M$13 &amp; $A16, US_national_yearly!$D:$AM, MATCH(AB$1, US_national_yearly!$D$1:$AM$1, 0), FALSE) / VLOOKUP(Substitution!$M$13 &amp; $A16, US_national_yearly!$D:$AM, MATCH(Keys!$C$7, US_national_yearly!$D$1:$AM$1, 0), FALSE), 1)</f>
        <v>2.36200838278145E-4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Substitution!$G$13)/IFERROR(SUMIFS(COBRA_aggregated!$V:$V, COBRA_aggregated!$A:$A, About!$B$1, COBRA_aggregated!$B:$B, Substitution!$G$13), 1)</f>
        <v>7.3843356780236593E-4</v>
      </c>
      <c r="C17" s="12">
        <f>$B17 * IFERROR(VLOOKUP(Substitution!$M$13 &amp; $A17, US_national_yearly!$D:$AM, MATCH(C$1, US_national_yearly!$D$1:$AM$1, 0), FALSE) / VLOOKUP(Substitution!$M$13 &amp; $A17, US_national_yearly!$D:$AM, MATCH(Keys!$C$7, US_national_yearly!$D$1:$AM$1, 0), FALSE), 1)</f>
        <v>7.607707095199117E-4</v>
      </c>
      <c r="D17" s="12">
        <f>$B17 * IFERROR(VLOOKUP(Substitution!$M$13 &amp; $A17, US_national_yearly!$D:$AM, MATCH(D$1, US_national_yearly!$D$1:$AM$1, 0), FALSE) / VLOOKUP(Substitution!$M$13 &amp; $A17, US_national_yearly!$D:$AM, MATCH(Keys!$C$7, US_national_yearly!$D$1:$AM$1, 0), FALSE), 1)</f>
        <v>7.8310785123745748E-4</v>
      </c>
      <c r="E17" s="12">
        <f>$B17 * IFERROR(VLOOKUP(Substitution!$M$13 &amp; $A17, US_national_yearly!$D:$AM, MATCH(E$1, US_national_yearly!$D$1:$AM$1, 0), FALSE) / VLOOKUP(Substitution!$M$13 &amp; $A17, US_national_yearly!$D:$AM, MATCH(Keys!$C$7, US_national_yearly!$D$1:$AM$1, 0), FALSE), 1)</f>
        <v>8.0544499295500348E-4</v>
      </c>
      <c r="F17" s="12">
        <f>$B17 * IFERROR(VLOOKUP(Substitution!$M$13 &amp; $A17, US_national_yearly!$D:$AM, MATCH(F$1, US_national_yearly!$D$1:$AM$1, 0), FALSE) / VLOOKUP(Substitution!$M$13 &amp; $A17, US_national_yearly!$D:$AM, MATCH(Keys!$C$7, US_national_yearly!$D$1:$AM$1, 0), FALSE), 1)</f>
        <v>8.2778213467254926E-4</v>
      </c>
      <c r="G17" s="12">
        <f>$B17 * IFERROR(VLOOKUP(Substitution!$M$13 &amp; $A17, US_national_yearly!$D:$AM, MATCH(G$1, US_national_yearly!$D$1:$AM$1, 0), FALSE) / VLOOKUP(Substitution!$M$13 &amp; $A17, US_national_yearly!$D:$AM, MATCH(Keys!$C$7, US_national_yearly!$D$1:$AM$1, 0), FALSE), 1)</f>
        <v>8.4917977847205357E-4</v>
      </c>
      <c r="H17" s="12">
        <f>$B17 * IFERROR(VLOOKUP(Substitution!$M$13 &amp; $A17, US_national_yearly!$D:$AM, MATCH(H$1, US_national_yearly!$D$1:$AM$1, 0), FALSE) / VLOOKUP(Substitution!$M$13 &amp; $A17, US_national_yearly!$D:$AM, MATCH(Keys!$C$7, US_national_yearly!$D$1:$AM$1, 0), FALSE), 1)</f>
        <v>8.7057742227155776E-4</v>
      </c>
      <c r="I17" s="12">
        <f>$B17 * IFERROR(VLOOKUP(Substitution!$M$13 &amp; $A17, US_national_yearly!$D:$AM, MATCH(I$1, US_national_yearly!$D$1:$AM$1, 0), FALSE) / VLOOKUP(Substitution!$M$13 &amp; $A17, US_national_yearly!$D:$AM, MATCH(Keys!$C$7, US_national_yearly!$D$1:$AM$1, 0), FALSE), 1)</f>
        <v>8.8891515990273645E-4</v>
      </c>
      <c r="J17" s="12">
        <f>$B17 * IFERROR(VLOOKUP(Substitution!$M$13 &amp; $A17, US_national_yearly!$D:$AM, MATCH(J$1, US_national_yearly!$D$1:$AM$1, 0), FALSE) / VLOOKUP(Substitution!$M$13 &amp; $A17, US_national_yearly!$D:$AM, MATCH(Keys!$C$7, US_national_yearly!$D$1:$AM$1, 0), FALSE), 1)</f>
        <v>9.0725289753391491E-4</v>
      </c>
      <c r="K17" s="12">
        <f>$B17 * IFERROR(VLOOKUP(Substitution!$M$13 &amp; $A17, US_national_yearly!$D:$AM, MATCH(K$1, US_national_yearly!$D$1:$AM$1, 0), FALSE) / VLOOKUP(Substitution!$M$13 &amp; $A17, US_national_yearly!$D:$AM, MATCH(Keys!$C$7, US_national_yearly!$D$1:$AM$1, 0), FALSE), 1)</f>
        <v>9.255906351650936E-4</v>
      </c>
      <c r="L17" s="12">
        <f>$B17 * IFERROR(VLOOKUP(Substitution!$M$13 &amp; $A17, US_national_yearly!$D:$AM, MATCH(L$1, US_national_yearly!$D$1:$AM$1, 0), FALSE) / VLOOKUP(Substitution!$M$13 &amp; $A17, US_national_yearly!$D:$AM, MATCH(Keys!$C$7, US_national_yearly!$D$1:$AM$1, 0), FALSE), 1)</f>
        <v>9.4392837279627217E-4</v>
      </c>
      <c r="M17" s="12">
        <f>$B17 * IFERROR(VLOOKUP(Substitution!$M$13 &amp; $A17, US_national_yearly!$D:$AM, MATCH(M$1, US_national_yearly!$D$1:$AM$1, 0), FALSE) / VLOOKUP(Substitution!$M$13 &amp; $A17, US_national_yearly!$D:$AM, MATCH(Keys!$C$7, US_national_yearly!$D$1:$AM$1, 0), FALSE), 1)</f>
        <v>9.6226611042745064E-4</v>
      </c>
      <c r="N17" s="12">
        <f>$B17 * IFERROR(VLOOKUP(Substitution!$M$13 &amp; $A17, US_national_yearly!$D:$AM, MATCH(N$1, US_national_yearly!$D$1:$AM$1, 0), FALSE) / VLOOKUP(Substitution!$M$13 &amp; $A17, US_national_yearly!$D:$AM, MATCH(Keys!$C$7, US_national_yearly!$D$1:$AM$1, 0), FALSE), 1)</f>
        <v>9.7457953373812948E-4</v>
      </c>
      <c r="O17" s="12">
        <f>$B17 * IFERROR(VLOOKUP(Substitution!$M$13 &amp; $A17, US_national_yearly!$D:$AM, MATCH(O$1, US_national_yearly!$D$1:$AM$1, 0), FALSE) / VLOOKUP(Substitution!$M$13 &amp; $A17, US_national_yearly!$D:$AM, MATCH(Keys!$C$7, US_national_yearly!$D$1:$AM$1, 0), FALSE), 1)</f>
        <v>9.8689295704880832E-4</v>
      </c>
      <c r="P17" s="12">
        <f>$B17 * IFERROR(VLOOKUP(Substitution!$M$13 &amp; $A17, US_national_yearly!$D:$AM, MATCH(P$1, US_national_yearly!$D$1:$AM$1, 0), FALSE) / VLOOKUP(Substitution!$M$13 &amp; $A17, US_national_yearly!$D:$AM, MATCH(Keys!$C$7, US_national_yearly!$D$1:$AM$1, 0), FALSE), 1)</f>
        <v>9.9920638035948727E-4</v>
      </c>
      <c r="Q17" s="12">
        <f>$B17 * IFERROR(VLOOKUP(Substitution!$M$13 &amp; $A17, US_national_yearly!$D:$AM, MATCH(Q$1, US_national_yearly!$D$1:$AM$1, 0), FALSE) / VLOOKUP(Substitution!$M$13 &amp; $A17, US_national_yearly!$D:$AM, MATCH(Keys!$C$7, US_national_yearly!$D$1:$AM$1, 0), FALSE), 1)</f>
        <v>1.011519803670166E-3</v>
      </c>
      <c r="R17" s="12">
        <f>$B17 * IFERROR(VLOOKUP(Substitution!$M$13 &amp; $A17, US_national_yearly!$D:$AM, MATCH(R$1, US_national_yearly!$D$1:$AM$1, 0), FALSE) / VLOOKUP(Substitution!$M$13 &amp; $A17, US_national_yearly!$D:$AM, MATCH(Keys!$C$7, US_national_yearly!$D$1:$AM$1, 0), FALSE), 1)</f>
        <v>1.023833226980845E-3</v>
      </c>
      <c r="S17" s="12">
        <f>$B17 * IFERROR(VLOOKUP(Substitution!$M$13 &amp; $A17, US_national_yearly!$D:$AM, MATCH(S$1, US_national_yearly!$D$1:$AM$1, 0), FALSE) / VLOOKUP(Substitution!$M$13 &amp; $A17, US_national_yearly!$D:$AM, MATCH(Keys!$C$7, US_national_yearly!$D$1:$AM$1, 0), FALSE), 1)</f>
        <v>1.0303085961823073E-3</v>
      </c>
      <c r="T17" s="12">
        <f>$B17 * IFERROR(VLOOKUP(Substitution!$M$13 &amp; $A17, US_national_yearly!$D:$AM, MATCH(T$1, US_national_yearly!$D$1:$AM$1, 0), FALSE) / VLOOKUP(Substitution!$M$13 &amp; $A17, US_national_yearly!$D:$AM, MATCH(Keys!$C$7, US_national_yearly!$D$1:$AM$1, 0), FALSE), 1)</f>
        <v>1.0367839653837698E-3</v>
      </c>
      <c r="U17" s="12">
        <f>$B17 * IFERROR(VLOOKUP(Substitution!$M$13 &amp; $A17, US_national_yearly!$D:$AM, MATCH(U$1, US_national_yearly!$D$1:$AM$1, 0), FALSE) / VLOOKUP(Substitution!$M$13 &amp; $A17, US_national_yearly!$D:$AM, MATCH(Keys!$C$7, US_national_yearly!$D$1:$AM$1, 0), FALSE), 1)</f>
        <v>1.0432593345852321E-3</v>
      </c>
      <c r="V17" s="12">
        <f>$B17 * IFERROR(VLOOKUP(Substitution!$M$13 &amp; $A17, US_national_yearly!$D:$AM, MATCH(V$1, US_national_yearly!$D$1:$AM$1, 0), FALSE) / VLOOKUP(Substitution!$M$13 &amp; $A17, US_national_yearly!$D:$AM, MATCH(Keys!$C$7, US_national_yearly!$D$1:$AM$1, 0), FALSE), 1)</f>
        <v>1.0497347037866946E-3</v>
      </c>
      <c r="W17" s="12">
        <f>$B17 * IFERROR(VLOOKUP(Substitution!$M$13 &amp; $A17, US_national_yearly!$D:$AM, MATCH(W$1, US_national_yearly!$D$1:$AM$1, 0), FALSE) / VLOOKUP(Substitution!$M$13 &amp; $A17, US_national_yearly!$D:$AM, MATCH(Keys!$C$7, US_national_yearly!$D$1:$AM$1, 0), FALSE), 1)</f>
        <v>1.0562100729881569E-3</v>
      </c>
      <c r="X17" s="12">
        <f>$B17 * IFERROR(VLOOKUP(Substitution!$M$13 &amp; $A17, US_national_yearly!$D:$AM, MATCH(X$1, US_national_yearly!$D$1:$AM$1, 0), FALSE) / VLOOKUP(Substitution!$M$13 &amp; $A17, US_national_yearly!$D:$AM, MATCH(Keys!$C$7, US_national_yearly!$D$1:$AM$1, 0), FALSE), 1)</f>
        <v>1.0605582979638459E-3</v>
      </c>
      <c r="Y17" s="12">
        <f>$B17 * IFERROR(VLOOKUP(Substitution!$M$13 &amp; $A17, US_national_yearly!$D:$AM, MATCH(Y$1, US_national_yearly!$D$1:$AM$1, 0), FALSE) / VLOOKUP(Substitution!$M$13 &amp; $A17, US_national_yearly!$D:$AM, MATCH(Keys!$C$7, US_national_yearly!$D$1:$AM$1, 0), FALSE), 1)</f>
        <v>1.064906522939535E-3</v>
      </c>
      <c r="Z17" s="12">
        <f>$B17 * IFERROR(VLOOKUP(Substitution!$M$13 &amp; $A17, US_national_yearly!$D:$AM, MATCH(Z$1, US_national_yearly!$D$1:$AM$1, 0), FALSE) / VLOOKUP(Substitution!$M$13 &amp; $A17, US_national_yearly!$D:$AM, MATCH(Keys!$C$7, US_national_yearly!$D$1:$AM$1, 0), FALSE), 1)</f>
        <v>1.0692547479152241E-3</v>
      </c>
      <c r="AA17" s="12">
        <f>$B17 * IFERROR(VLOOKUP(Substitution!$M$13 &amp; $A17, US_national_yearly!$D:$AM, MATCH(AA$1, US_national_yearly!$D$1:$AM$1, 0), FALSE) / VLOOKUP(Substitution!$M$13 &amp; $A17, US_national_yearly!$D:$AM, MATCH(Keys!$C$7, US_national_yearly!$D$1:$AM$1, 0), FALSE), 1)</f>
        <v>1.0736029728909133E-3</v>
      </c>
      <c r="AB17" s="12">
        <f>$B17 * IFERROR(VLOOKUP(Substitution!$M$13 &amp; $A17, US_national_yearly!$D:$AM, MATCH(AB$1, US_national_yearly!$D$1:$AM$1, 0), FALSE) / VLOOKUP(Substitution!$M$13 &amp; $A17, US_national_yearly!$D:$AM, MATCH(Keys!$C$7, US_national_yearly!$D$1:$AM$1, 0), FALSE), 1)</f>
        <v>1.0779511978666024E-3</v>
      </c>
    </row>
    <row r="18" spans="1:28" x14ac:dyDescent="0.25">
      <c r="A18" s="4" t="s">
        <v>323</v>
      </c>
      <c r="B18" s="12">
        <f>IFERROR(VLOOKUP(Substitution!$M$13 &amp; $A18, US_national_yearly!$D:$AM, MATCH(Keys!$C$7, US_national_yearly!$D$1:$AM$1, 0), FALSE), 0)</f>
        <v>1.21168213421891E-3</v>
      </c>
      <c r="C18" s="12">
        <f>$B18 * IFERROR(VLOOKUP(Substitution!$M$13 &amp; $A18, US_national_yearly!$D:$AM, MATCH(C$1, US_national_yearly!$D$1:$AM$1, 0), FALSE) / VLOOKUP(Substitution!$M$13 &amp; $A18, US_national_yearly!$D:$AM, MATCH(Keys!$C$7, US_national_yearly!$D$1:$AM$1, 0), FALSE), 1)</f>
        <v>1.2515332545745201E-3</v>
      </c>
      <c r="D18" s="12">
        <f>$B18 * IFERROR(VLOOKUP(Substitution!$M$13 &amp; $A18, US_national_yearly!$D:$AM, MATCH(D$1, US_national_yearly!$D$1:$AM$1, 0), FALSE) / VLOOKUP(Substitution!$M$13 &amp; $A18, US_national_yearly!$D:$AM, MATCH(Keys!$C$7, US_national_yearly!$D$1:$AM$1, 0), FALSE), 1)</f>
        <v>1.2913843749301297E-3</v>
      </c>
      <c r="E18" s="12">
        <f>$B18 * IFERROR(VLOOKUP(Substitution!$M$13 &amp; $A18, US_national_yearly!$D:$AM, MATCH(E$1, US_national_yearly!$D$1:$AM$1, 0), FALSE) / VLOOKUP(Substitution!$M$13 &amp; $A18, US_national_yearly!$D:$AM, MATCH(Keys!$C$7, US_national_yearly!$D$1:$AM$1, 0), FALSE), 1)</f>
        <v>1.3312354952857402E-3</v>
      </c>
      <c r="F18" s="12">
        <f>$B18 * IFERROR(VLOOKUP(Substitution!$M$13 &amp; $A18, US_national_yearly!$D:$AM, MATCH(F$1, US_national_yearly!$D$1:$AM$1, 0), FALSE) / VLOOKUP(Substitution!$M$13 &amp; $A18, US_national_yearly!$D:$AM, MATCH(Keys!$C$7, US_national_yearly!$D$1:$AM$1, 0), FALSE), 1)</f>
        <v>1.3710866156413501E-3</v>
      </c>
      <c r="G18" s="12">
        <f>$B18 * IFERROR(VLOOKUP(Substitution!$M$13 &amp; $A18, US_national_yearly!$D:$AM, MATCH(G$1, US_national_yearly!$D$1:$AM$1, 0), FALSE) / VLOOKUP(Substitution!$M$13 &amp; $A18, US_national_yearly!$D:$AM, MATCH(Keys!$C$7, US_national_yearly!$D$1:$AM$1, 0), FALSE), 1)</f>
        <v>1.41337218965251E-3</v>
      </c>
      <c r="H18" s="12">
        <f>$B18 * IFERROR(VLOOKUP(Substitution!$M$13 &amp; $A18, US_national_yearly!$D:$AM, MATCH(H$1, US_national_yearly!$D$1:$AM$1, 0), FALSE) / VLOOKUP(Substitution!$M$13 &amp; $A18, US_national_yearly!$D:$AM, MATCH(Keys!$C$7, US_national_yearly!$D$1:$AM$1, 0), FALSE), 1)</f>
        <v>1.45565776366367E-3</v>
      </c>
      <c r="I18" s="12">
        <f>$B18 * IFERROR(VLOOKUP(Substitution!$M$13 &amp; $A18, US_national_yearly!$D:$AM, MATCH(I$1, US_national_yearly!$D$1:$AM$1, 0), FALSE) / VLOOKUP(Substitution!$M$13 &amp; $A18, US_national_yearly!$D:$AM, MATCH(Keys!$C$7, US_national_yearly!$D$1:$AM$1, 0), FALSE), 1)</f>
        <v>1.4979446046031199E-3</v>
      </c>
      <c r="J18" s="12">
        <f>$B18 * IFERROR(VLOOKUP(Substitution!$M$13 &amp; $A18, US_national_yearly!$D:$AM, MATCH(J$1, US_national_yearly!$D$1:$AM$1, 0), FALSE) / VLOOKUP(Substitution!$M$13 &amp; $A18, US_national_yearly!$D:$AM, MATCH(Keys!$C$7, US_national_yearly!$D$1:$AM$1, 0), FALSE), 1)</f>
        <v>1.54023144554257E-3</v>
      </c>
      <c r="K18" s="12">
        <f>$B18 * IFERROR(VLOOKUP(Substitution!$M$13 &amp; $A18, US_national_yearly!$D:$AM, MATCH(K$1, US_national_yearly!$D$1:$AM$1, 0), FALSE) / VLOOKUP(Substitution!$M$13 &amp; $A18, US_national_yearly!$D:$AM, MATCH(Keys!$C$7, US_national_yearly!$D$1:$AM$1, 0), FALSE), 1)</f>
        <v>1.58251828648202E-3</v>
      </c>
      <c r="L18" s="12">
        <f>$B18 * IFERROR(VLOOKUP(Substitution!$M$13 &amp; $A18, US_national_yearly!$D:$AM, MATCH(L$1, US_national_yearly!$D$1:$AM$1, 0), FALSE) / VLOOKUP(Substitution!$M$13 &amp; $A18, US_national_yearly!$D:$AM, MATCH(Keys!$C$7, US_national_yearly!$D$1:$AM$1, 0), FALSE), 1)</f>
        <v>1.6248051274214703E-3</v>
      </c>
      <c r="M18" s="12">
        <f>$B18 * IFERROR(VLOOKUP(Substitution!$M$13 &amp; $A18, US_national_yearly!$D:$AM, MATCH(M$1, US_national_yearly!$D$1:$AM$1, 0), FALSE) / VLOOKUP(Substitution!$M$13 &amp; $A18, US_national_yearly!$D:$AM, MATCH(Keys!$C$7, US_national_yearly!$D$1:$AM$1, 0), FALSE), 1)</f>
        <v>1.6670919683609198E-3</v>
      </c>
      <c r="N18" s="12">
        <f>$B18 * IFERROR(VLOOKUP(Substitution!$M$13 &amp; $A18, US_national_yearly!$D:$AM, MATCH(N$1, US_national_yearly!$D$1:$AM$1, 0), FALSE) / VLOOKUP(Substitution!$M$13 &amp; $A18, US_national_yearly!$D:$AM, MATCH(Keys!$C$7, US_national_yearly!$D$1:$AM$1, 0), FALSE), 1)</f>
        <v>1.6976738288138578E-3</v>
      </c>
      <c r="O18" s="12">
        <f>$B18 * IFERROR(VLOOKUP(Substitution!$M$13 &amp; $A18, US_national_yearly!$D:$AM, MATCH(O$1, US_national_yearly!$D$1:$AM$1, 0), FALSE) / VLOOKUP(Substitution!$M$13 &amp; $A18, US_national_yearly!$D:$AM, MATCH(Keys!$C$7, US_national_yearly!$D$1:$AM$1, 0), FALSE), 1)</f>
        <v>1.7282556892667961E-3</v>
      </c>
      <c r="P18" s="12">
        <f>$B18 * IFERROR(VLOOKUP(Substitution!$M$13 &amp; $A18, US_national_yearly!$D:$AM, MATCH(P$1, US_national_yearly!$D$1:$AM$1, 0), FALSE) / VLOOKUP(Substitution!$M$13 &amp; $A18, US_national_yearly!$D:$AM, MATCH(Keys!$C$7, US_national_yearly!$D$1:$AM$1, 0), FALSE), 1)</f>
        <v>1.7588375497197342E-3</v>
      </c>
      <c r="Q18" s="12">
        <f>$B18 * IFERROR(VLOOKUP(Substitution!$M$13 &amp; $A18, US_national_yearly!$D:$AM, MATCH(Q$1, US_national_yearly!$D$1:$AM$1, 0), FALSE) / VLOOKUP(Substitution!$M$13 &amp; $A18, US_national_yearly!$D:$AM, MATCH(Keys!$C$7, US_national_yearly!$D$1:$AM$1, 0), FALSE), 1)</f>
        <v>1.7894194101726723E-3</v>
      </c>
      <c r="R18" s="12">
        <f>$B18 * IFERROR(VLOOKUP(Substitution!$M$13 &amp; $A18, US_national_yearly!$D:$AM, MATCH(R$1, US_national_yearly!$D$1:$AM$1, 0), FALSE) / VLOOKUP(Substitution!$M$13 &amp; $A18, US_national_yearly!$D:$AM, MATCH(Keys!$C$7, US_national_yearly!$D$1:$AM$1, 0), FALSE), 1)</f>
        <v>1.8200012706256099E-3</v>
      </c>
      <c r="S18" s="12">
        <f>$B18 * IFERROR(VLOOKUP(Substitution!$M$13 &amp; $A18, US_national_yearly!$D:$AM, MATCH(S$1, US_national_yearly!$D$1:$AM$1, 0), FALSE) / VLOOKUP(Substitution!$M$13 &amp; $A18, US_national_yearly!$D:$AM, MATCH(Keys!$C$7, US_national_yearly!$D$1:$AM$1, 0), FALSE), 1)</f>
        <v>1.834729815891186E-3</v>
      </c>
      <c r="T18" s="12">
        <f>$B18 * IFERROR(VLOOKUP(Substitution!$M$13 &amp; $A18, US_national_yearly!$D:$AM, MATCH(T$1, US_national_yearly!$D$1:$AM$1, 0), FALSE) / VLOOKUP(Substitution!$M$13 &amp; $A18, US_national_yearly!$D:$AM, MATCH(Keys!$C$7, US_national_yearly!$D$1:$AM$1, 0), FALSE), 1)</f>
        <v>1.8494583611567621E-3</v>
      </c>
      <c r="U18" s="12">
        <f>$B18 * IFERROR(VLOOKUP(Substitution!$M$13 &amp; $A18, US_national_yearly!$D:$AM, MATCH(U$1, US_national_yearly!$D$1:$AM$1, 0), FALSE) / VLOOKUP(Substitution!$M$13 &amp; $A18, US_national_yearly!$D:$AM, MATCH(Keys!$C$7, US_national_yearly!$D$1:$AM$1, 0), FALSE), 1)</f>
        <v>1.8641869064223379E-3</v>
      </c>
      <c r="V18" s="12">
        <f>$B18 * IFERROR(VLOOKUP(Substitution!$M$13 &amp; $A18, US_national_yearly!$D:$AM, MATCH(V$1, US_national_yearly!$D$1:$AM$1, 0), FALSE) / VLOOKUP(Substitution!$M$13 &amp; $A18, US_national_yearly!$D:$AM, MATCH(Keys!$C$7, US_national_yearly!$D$1:$AM$1, 0), FALSE), 1)</f>
        <v>1.878915451687914E-3</v>
      </c>
      <c r="W18" s="12">
        <f>$B18 * IFERROR(VLOOKUP(Substitution!$M$13 &amp; $A18, US_national_yearly!$D:$AM, MATCH(W$1, US_national_yearly!$D$1:$AM$1, 0), FALSE) / VLOOKUP(Substitution!$M$13 &amp; $A18, US_national_yearly!$D:$AM, MATCH(Keys!$C$7, US_national_yearly!$D$1:$AM$1, 0), FALSE), 1)</f>
        <v>1.8936439969534898E-3</v>
      </c>
      <c r="X18" s="12">
        <f>$B18 * IFERROR(VLOOKUP(Substitution!$M$13 &amp; $A18, US_national_yearly!$D:$AM, MATCH(X$1, US_national_yearly!$D$1:$AM$1, 0), FALSE) / VLOOKUP(Substitution!$M$13 &amp; $A18, US_national_yearly!$D:$AM, MATCH(Keys!$C$7, US_national_yearly!$D$1:$AM$1, 0), FALSE), 1)</f>
        <v>1.898208261817854E-3</v>
      </c>
      <c r="Y18" s="12">
        <f>$B18 * IFERROR(VLOOKUP(Substitution!$M$13 &amp; $A18, US_national_yearly!$D:$AM, MATCH(Y$1, US_national_yearly!$D$1:$AM$1, 0), FALSE) / VLOOKUP(Substitution!$M$13 &amp; $A18, US_national_yearly!$D:$AM, MATCH(Keys!$C$7, US_national_yearly!$D$1:$AM$1, 0), FALSE), 1)</f>
        <v>1.9027725266822181E-3</v>
      </c>
      <c r="Z18" s="12">
        <f>$B18 * IFERROR(VLOOKUP(Substitution!$M$13 &amp; $A18, US_national_yearly!$D:$AM, MATCH(Z$1, US_national_yearly!$D$1:$AM$1, 0), FALSE) / VLOOKUP(Substitution!$M$13 &amp; $A18, US_national_yearly!$D:$AM, MATCH(Keys!$C$7, US_national_yearly!$D$1:$AM$1, 0), FALSE), 1)</f>
        <v>1.9073367915465819E-3</v>
      </c>
      <c r="AA18" s="12">
        <f>$B18 * IFERROR(VLOOKUP(Substitution!$M$13 &amp; $A18, US_national_yearly!$D:$AM, MATCH(AA$1, US_national_yearly!$D$1:$AM$1, 0), FALSE) / VLOOKUP(Substitution!$M$13 &amp; $A18, US_national_yearly!$D:$AM, MATCH(Keys!$C$7, US_national_yearly!$D$1:$AM$1, 0), FALSE), 1)</f>
        <v>1.9119010564109459E-3</v>
      </c>
      <c r="AB18" s="12">
        <f>$B18 * IFERROR(VLOOKUP(Substitution!$M$13 &amp; $A18, US_national_yearly!$D:$AM, MATCH(AB$1, US_national_yearly!$D$1:$AM$1, 0), FALSE) / VLOOKUP(Substitution!$M$13 &amp; $A18, US_national_yearly!$D:$AM, MATCH(Keys!$C$7, US_national_yearly!$D$1:$AM$1, 0), FALSE), 1)</f>
        <v>1.91646532127531E-3</v>
      </c>
    </row>
    <row r="19" spans="1:28" x14ac:dyDescent="0.25">
      <c r="A19" s="4" t="s">
        <v>325</v>
      </c>
      <c r="B19" s="12">
        <f>IFERROR(VLOOKUP(Substitution!$M$13 &amp; $A19, US_national_yearly!$D:$AM, MATCH(Keys!$C$7, US_national_yearly!$D$1:$AM$1, 0), FALSE), 0)</f>
        <v>1.56711721327517E-4</v>
      </c>
      <c r="C19" s="12">
        <f>$B19 * IFERROR(VLOOKUP(Substitution!$M$13 &amp; $A19, US_national_yearly!$D:$AM, MATCH(C$1, US_national_yearly!$D$1:$AM$1, 0), FALSE) / VLOOKUP(Substitution!$M$13 &amp; $A19, US_national_yearly!$D:$AM, MATCH(Keys!$C$7, US_national_yearly!$D$1:$AM$1, 0), FALSE), 1)</f>
        <v>1.6085386237042E-4</v>
      </c>
      <c r="D19" s="12">
        <f>$B19 * IFERROR(VLOOKUP(Substitution!$M$13 &amp; $A19, US_national_yearly!$D:$AM, MATCH(D$1, US_national_yearly!$D$1:$AM$1, 0), FALSE) / VLOOKUP(Substitution!$M$13 &amp; $A19, US_national_yearly!$D:$AM, MATCH(Keys!$C$7, US_national_yearly!$D$1:$AM$1, 0), FALSE), 1)</f>
        <v>1.64996003413323E-4</v>
      </c>
      <c r="E19" s="12">
        <f>$B19 * IFERROR(VLOOKUP(Substitution!$M$13 &amp; $A19, US_national_yearly!$D:$AM, MATCH(E$1, US_national_yearly!$D$1:$AM$1, 0), FALSE) / VLOOKUP(Substitution!$M$13 &amp; $A19, US_national_yearly!$D:$AM, MATCH(Keys!$C$7, US_national_yearly!$D$1:$AM$1, 0), FALSE), 1)</f>
        <v>1.69138144456226E-4</v>
      </c>
      <c r="F19" s="12">
        <f>$B19 * IFERROR(VLOOKUP(Substitution!$M$13 &amp; $A19, US_national_yearly!$D:$AM, MATCH(F$1, US_national_yearly!$D$1:$AM$1, 0), FALSE) / VLOOKUP(Substitution!$M$13 &amp; $A19, US_national_yearly!$D:$AM, MATCH(Keys!$C$7, US_national_yearly!$D$1:$AM$1, 0), FALSE), 1)</f>
        <v>1.73280285499129E-4</v>
      </c>
      <c r="G19" s="12">
        <f>$B19 * IFERROR(VLOOKUP(Substitution!$M$13 &amp; $A19, US_national_yearly!$D:$AM, MATCH(G$1, US_national_yearly!$D$1:$AM$1, 0), FALSE) / VLOOKUP(Substitution!$M$13 &amp; $A19, US_national_yearly!$D:$AM, MATCH(Keys!$C$7, US_national_yearly!$D$1:$AM$1, 0), FALSE), 1)</f>
        <v>1.767473935009565E-4</v>
      </c>
      <c r="H19" s="12">
        <f>$B19 * IFERROR(VLOOKUP(Substitution!$M$13 &amp; $A19, US_national_yearly!$D:$AM, MATCH(H$1, US_national_yearly!$D$1:$AM$1, 0), FALSE) / VLOOKUP(Substitution!$M$13 &amp; $A19, US_national_yearly!$D:$AM, MATCH(Keys!$C$7, US_national_yearly!$D$1:$AM$1, 0), FALSE), 1)</f>
        <v>1.8021450150278401E-4</v>
      </c>
      <c r="I19" s="12">
        <f>$B19 * IFERROR(VLOOKUP(Substitution!$M$13 &amp; $A19, US_national_yearly!$D:$AM, MATCH(I$1, US_national_yearly!$D$1:$AM$1, 0), FALSE) / VLOOKUP(Substitution!$M$13 &amp; $A19, US_national_yearly!$D:$AM, MATCH(Keys!$C$7, US_national_yearly!$D$1:$AM$1, 0), FALSE), 1)</f>
        <v>1.8249253460977241E-4</v>
      </c>
      <c r="J19" s="12">
        <f>$B19 * IFERROR(VLOOKUP(Substitution!$M$13 &amp; $A19, US_national_yearly!$D:$AM, MATCH(J$1, US_national_yearly!$D$1:$AM$1, 0), FALSE) / VLOOKUP(Substitution!$M$13 &amp; $A19, US_national_yearly!$D:$AM, MATCH(Keys!$C$7, US_national_yearly!$D$1:$AM$1, 0), FALSE), 1)</f>
        <v>1.8477056771676079E-4</v>
      </c>
      <c r="K19" s="12">
        <f>$B19 * IFERROR(VLOOKUP(Substitution!$M$13 &amp; $A19, US_national_yearly!$D:$AM, MATCH(K$1, US_national_yearly!$D$1:$AM$1, 0), FALSE) / VLOOKUP(Substitution!$M$13 &amp; $A19, US_national_yearly!$D:$AM, MATCH(Keys!$C$7, US_national_yearly!$D$1:$AM$1, 0), FALSE), 1)</f>
        <v>1.8704860082374919E-4</v>
      </c>
      <c r="L19" s="12">
        <f>$B19 * IFERROR(VLOOKUP(Substitution!$M$13 &amp; $A19, US_national_yearly!$D:$AM, MATCH(L$1, US_national_yearly!$D$1:$AM$1, 0), FALSE) / VLOOKUP(Substitution!$M$13 &amp; $A19, US_national_yearly!$D:$AM, MATCH(Keys!$C$7, US_national_yearly!$D$1:$AM$1, 0), FALSE), 1)</f>
        <v>1.893266339307376E-4</v>
      </c>
      <c r="M19" s="12">
        <f>$B19 * IFERROR(VLOOKUP(Substitution!$M$13 &amp; $A19, US_national_yearly!$D:$AM, MATCH(M$1, US_national_yearly!$D$1:$AM$1, 0), FALSE) / VLOOKUP(Substitution!$M$13 &amp; $A19, US_national_yearly!$D:$AM, MATCH(Keys!$C$7, US_national_yearly!$D$1:$AM$1, 0), FALSE), 1)</f>
        <v>1.91604667037726E-4</v>
      </c>
      <c r="N19" s="12">
        <f>$B19 * IFERROR(VLOOKUP(Substitution!$M$13 &amp; $A19, US_national_yearly!$D:$AM, MATCH(N$1, US_national_yearly!$D$1:$AM$1, 0), FALSE) / VLOOKUP(Substitution!$M$13 &amp; $A19, US_national_yearly!$D:$AM, MATCH(Keys!$C$7, US_national_yearly!$D$1:$AM$1, 0), FALSE), 1)</f>
        <v>1.9274090346764339E-4</v>
      </c>
      <c r="O19" s="12">
        <f>$B19 * IFERROR(VLOOKUP(Substitution!$M$13 &amp; $A19, US_national_yearly!$D:$AM, MATCH(O$1, US_national_yearly!$D$1:$AM$1, 0), FALSE) / VLOOKUP(Substitution!$M$13 &amp; $A19, US_national_yearly!$D:$AM, MATCH(Keys!$C$7, US_national_yearly!$D$1:$AM$1, 0), FALSE), 1)</f>
        <v>1.9387713989756081E-4</v>
      </c>
      <c r="P19" s="12">
        <f>$B19 * IFERROR(VLOOKUP(Substitution!$M$13 &amp; $A19, US_national_yearly!$D:$AM, MATCH(P$1, US_national_yearly!$D$1:$AM$1, 0), FALSE) / VLOOKUP(Substitution!$M$13 &amp; $A19, US_national_yearly!$D:$AM, MATCH(Keys!$C$7, US_national_yearly!$D$1:$AM$1, 0), FALSE), 1)</f>
        <v>1.950133763274782E-4</v>
      </c>
      <c r="Q19" s="12">
        <f>$B19 * IFERROR(VLOOKUP(Substitution!$M$13 &amp; $A19, US_national_yearly!$D:$AM, MATCH(Q$1, US_national_yearly!$D$1:$AM$1, 0), FALSE) / VLOOKUP(Substitution!$M$13 &amp; $A19, US_national_yearly!$D:$AM, MATCH(Keys!$C$7, US_national_yearly!$D$1:$AM$1, 0), FALSE), 1)</f>
        <v>1.9614961275739559E-4</v>
      </c>
      <c r="R19" s="12">
        <f>$B19 * IFERROR(VLOOKUP(Substitution!$M$13 &amp; $A19, US_national_yearly!$D:$AM, MATCH(R$1, US_national_yearly!$D$1:$AM$1, 0), FALSE) / VLOOKUP(Substitution!$M$13 &amp; $A19, US_national_yearly!$D:$AM, MATCH(Keys!$C$7, US_national_yearly!$D$1:$AM$1, 0), FALSE), 1)</f>
        <v>1.97285849187313E-4</v>
      </c>
      <c r="S19" s="12">
        <f>$B19 * IFERROR(VLOOKUP(Substitution!$M$13 &amp; $A19, US_national_yearly!$D:$AM, MATCH(S$1, US_national_yearly!$D$1:$AM$1, 0), FALSE) / VLOOKUP(Substitution!$M$13 &amp; $A19, US_national_yearly!$D:$AM, MATCH(Keys!$C$7, US_national_yearly!$D$1:$AM$1, 0), FALSE), 1)</f>
        <v>1.9793294721978498E-4</v>
      </c>
      <c r="T19" s="12">
        <f>$B19 * IFERROR(VLOOKUP(Substitution!$M$13 &amp; $A19, US_national_yearly!$D:$AM, MATCH(T$1, US_national_yearly!$D$1:$AM$1, 0), FALSE) / VLOOKUP(Substitution!$M$13 &amp; $A19, US_national_yearly!$D:$AM, MATCH(Keys!$C$7, US_national_yearly!$D$1:$AM$1, 0), FALSE), 1)</f>
        <v>1.9858004525225701E-4</v>
      </c>
      <c r="U19" s="12">
        <f>$B19 * IFERROR(VLOOKUP(Substitution!$M$13 &amp; $A19, US_national_yearly!$D:$AM, MATCH(U$1, US_national_yearly!$D$1:$AM$1, 0), FALSE) / VLOOKUP(Substitution!$M$13 &amp; $A19, US_national_yearly!$D:$AM, MATCH(Keys!$C$7, US_national_yearly!$D$1:$AM$1, 0), FALSE), 1)</f>
        <v>1.9922714328472901E-4</v>
      </c>
      <c r="V19" s="12">
        <f>$B19 * IFERROR(VLOOKUP(Substitution!$M$13 &amp; $A19, US_national_yearly!$D:$AM, MATCH(V$1, US_national_yearly!$D$1:$AM$1, 0), FALSE) / VLOOKUP(Substitution!$M$13 &amp; $A19, US_national_yearly!$D:$AM, MATCH(Keys!$C$7, US_national_yearly!$D$1:$AM$1, 0), FALSE), 1)</f>
        <v>1.9987424131720101E-4</v>
      </c>
      <c r="W19" s="12">
        <f>$B19 * IFERROR(VLOOKUP(Substitution!$M$13 &amp; $A19, US_national_yearly!$D:$AM, MATCH(W$1, US_national_yearly!$D$1:$AM$1, 0), FALSE) / VLOOKUP(Substitution!$M$13 &amp; $A19, US_national_yearly!$D:$AM, MATCH(Keys!$C$7, US_national_yearly!$D$1:$AM$1, 0), FALSE), 1)</f>
        <v>2.0052133934967298E-4</v>
      </c>
      <c r="X19" s="12">
        <f>$B19 * IFERROR(VLOOKUP(Substitution!$M$13 &amp; $A19, US_national_yearly!$D:$AM, MATCH(X$1, US_national_yearly!$D$1:$AM$1, 0), FALSE) / VLOOKUP(Substitution!$M$13 &amp; $A19, US_national_yearly!$D:$AM, MATCH(Keys!$C$7, US_national_yearly!$D$1:$AM$1, 0), FALSE), 1)</f>
        <v>2.0145172612914141E-4</v>
      </c>
      <c r="Y19" s="12">
        <f>$B19 * IFERROR(VLOOKUP(Substitution!$M$13 &amp; $A19, US_national_yearly!$D:$AM, MATCH(Y$1, US_national_yearly!$D$1:$AM$1, 0), FALSE) / VLOOKUP(Substitution!$M$13 &amp; $A19, US_national_yearly!$D:$AM, MATCH(Keys!$C$7, US_national_yearly!$D$1:$AM$1, 0), FALSE), 1)</f>
        <v>2.0238211290860979E-4</v>
      </c>
      <c r="Z19" s="12">
        <f>$B19 * IFERROR(VLOOKUP(Substitution!$M$13 &amp; $A19, US_national_yearly!$D:$AM, MATCH(Z$1, US_national_yearly!$D$1:$AM$1, 0), FALSE) / VLOOKUP(Substitution!$M$13 &amp; $A19, US_national_yearly!$D:$AM, MATCH(Keys!$C$7, US_national_yearly!$D$1:$AM$1, 0), FALSE), 1)</f>
        <v>2.0331249968807819E-4</v>
      </c>
      <c r="AA19" s="12">
        <f>$B19 * IFERROR(VLOOKUP(Substitution!$M$13 &amp; $A19, US_national_yearly!$D:$AM, MATCH(AA$1, US_national_yearly!$D$1:$AM$1, 0), FALSE) / VLOOKUP(Substitution!$M$13 &amp; $A19, US_national_yearly!$D:$AM, MATCH(Keys!$C$7, US_national_yearly!$D$1:$AM$1, 0), FALSE), 1)</f>
        <v>2.0424288646754663E-4</v>
      </c>
      <c r="AB19" s="12">
        <f>$B19 * IFERROR(VLOOKUP(Substitution!$M$13 &amp; $A19, US_national_yearly!$D:$AM, MATCH(AB$1, US_national_yearly!$D$1:$AM$1, 0), FALSE) / VLOOKUP(Substitution!$M$13 &amp; $A19, US_national_yearly!$D:$AM, MATCH(Keys!$C$7, US_national_yearly!$D$1:$AM$1, 0), FALSE), 1)</f>
        <v>2.05173273247015E-4</v>
      </c>
    </row>
    <row r="20" spans="1:28" x14ac:dyDescent="0.25">
      <c r="A20" s="4" t="s">
        <v>327</v>
      </c>
      <c r="B20" s="12">
        <f>IFERROR(VLOOKUP(Substitution!$M$13 &amp; $A20, US_national_yearly!$D:$AM, MATCH(Keys!$C$7, US_national_yearly!$D$1:$AM$1, 0), FALSE), 0)</f>
        <v>1.452577082401758E-4</v>
      </c>
      <c r="C20" s="12">
        <f>$B20 * IFERROR(VLOOKUP(Substitution!$M$13 &amp; $A20, US_national_yearly!$D:$AM, MATCH(C$1, US_national_yearly!$D$1:$AM$1, 0), FALSE) / VLOOKUP(Substitution!$M$13 &amp; $A20, US_national_yearly!$D:$AM, MATCH(Keys!$C$7, US_national_yearly!$D$1:$AM$1, 0), FALSE), 1)</f>
        <v>1.4913751243887958E-4</v>
      </c>
      <c r="D20" s="12">
        <f>$B20 * IFERROR(VLOOKUP(Substitution!$M$13 &amp; $A20, US_national_yearly!$D:$AM, MATCH(D$1, US_national_yearly!$D$1:$AM$1, 0), FALSE) / VLOOKUP(Substitution!$M$13 &amp; $A20, US_national_yearly!$D:$AM, MATCH(Keys!$C$7, US_national_yearly!$D$1:$AM$1, 0), FALSE), 1)</f>
        <v>1.530173166375834E-4</v>
      </c>
      <c r="E20" s="12">
        <f>$B20 * IFERROR(VLOOKUP(Substitution!$M$13 &amp; $A20, US_national_yearly!$D:$AM, MATCH(E$1, US_national_yearly!$D$1:$AM$1, 0), FALSE) / VLOOKUP(Substitution!$M$13 &amp; $A20, US_national_yearly!$D:$AM, MATCH(Keys!$C$7, US_national_yearly!$D$1:$AM$1, 0), FALSE), 1)</f>
        <v>1.5689712083628721E-4</v>
      </c>
      <c r="F20" s="12">
        <f>$B20 * IFERROR(VLOOKUP(Substitution!$M$13 &amp; $A20, US_national_yearly!$D:$AM, MATCH(F$1, US_national_yearly!$D$1:$AM$1, 0), FALSE) / VLOOKUP(Substitution!$M$13 &amp; $A20, US_national_yearly!$D:$AM, MATCH(Keys!$C$7, US_national_yearly!$D$1:$AM$1, 0), FALSE), 1)</f>
        <v>1.60776925034991E-4</v>
      </c>
      <c r="G20" s="12">
        <f>$B20 * IFERROR(VLOOKUP(Substitution!$M$13 &amp; $A20, US_national_yearly!$D:$AM, MATCH(G$1, US_national_yearly!$D$1:$AM$1, 0), FALSE) / VLOOKUP(Substitution!$M$13 &amp; $A20, US_national_yearly!$D:$AM, MATCH(Keys!$C$7, US_national_yearly!$D$1:$AM$1, 0), FALSE), 1)</f>
        <v>1.6398597103066699E-4</v>
      </c>
      <c r="H20" s="12">
        <f>$B20 * IFERROR(VLOOKUP(Substitution!$M$13 &amp; $A20, US_national_yearly!$D:$AM, MATCH(H$1, US_national_yearly!$D$1:$AM$1, 0), FALSE) / VLOOKUP(Substitution!$M$13 &amp; $A20, US_national_yearly!$D:$AM, MATCH(Keys!$C$7, US_national_yearly!$D$1:$AM$1, 0), FALSE), 1)</f>
        <v>1.6719501702634301E-4</v>
      </c>
      <c r="I20" s="12">
        <f>$B20 * IFERROR(VLOOKUP(Substitution!$M$13 &amp; $A20, US_national_yearly!$D:$AM, MATCH(I$1, US_national_yearly!$D$1:$AM$1, 0), FALSE) / VLOOKUP(Substitution!$M$13 &amp; $A20, US_national_yearly!$D:$AM, MATCH(Keys!$C$7, US_national_yearly!$D$1:$AM$1, 0), FALSE), 1)</f>
        <v>1.69177630710103E-4</v>
      </c>
      <c r="J20" s="12">
        <f>$B20 * IFERROR(VLOOKUP(Substitution!$M$13 &amp; $A20, US_national_yearly!$D:$AM, MATCH(J$1, US_national_yearly!$D$1:$AM$1, 0), FALSE) / VLOOKUP(Substitution!$M$13 &amp; $A20, US_national_yearly!$D:$AM, MATCH(Keys!$C$7, US_national_yearly!$D$1:$AM$1, 0), FALSE), 1)</f>
        <v>1.7116024439386301E-4</v>
      </c>
      <c r="K20" s="12">
        <f>$B20 * IFERROR(VLOOKUP(Substitution!$M$13 &amp; $A20, US_national_yearly!$D:$AM, MATCH(K$1, US_national_yearly!$D$1:$AM$1, 0), FALSE) / VLOOKUP(Substitution!$M$13 &amp; $A20, US_national_yearly!$D:$AM, MATCH(Keys!$C$7, US_national_yearly!$D$1:$AM$1, 0), FALSE), 1)</f>
        <v>1.73142858077623E-4</v>
      </c>
      <c r="L20" s="12">
        <f>$B20 * IFERROR(VLOOKUP(Substitution!$M$13 &amp; $A20, US_national_yearly!$D:$AM, MATCH(L$1, US_national_yearly!$D$1:$AM$1, 0), FALSE) / VLOOKUP(Substitution!$M$13 &amp; $A20, US_national_yearly!$D:$AM, MATCH(Keys!$C$7, US_national_yearly!$D$1:$AM$1, 0), FALSE), 1)</f>
        <v>1.7512547176138298E-4</v>
      </c>
      <c r="M20" s="12">
        <f>$B20 * IFERROR(VLOOKUP(Substitution!$M$13 &amp; $A20, US_national_yearly!$D:$AM, MATCH(M$1, US_national_yearly!$D$1:$AM$1, 0), FALSE) / VLOOKUP(Substitution!$M$13 &amp; $A20, US_national_yearly!$D:$AM, MATCH(Keys!$C$7, US_national_yearly!$D$1:$AM$1, 0), FALSE), 1)</f>
        <v>1.77108085445143E-4</v>
      </c>
      <c r="N20" s="12">
        <f>$B20 * IFERROR(VLOOKUP(Substitution!$M$13 &amp; $A20, US_national_yearly!$D:$AM, MATCH(N$1, US_national_yearly!$D$1:$AM$1, 0), FALSE) / VLOOKUP(Substitution!$M$13 &amp; $A20, US_national_yearly!$D:$AM, MATCH(Keys!$C$7, US_national_yearly!$D$1:$AM$1, 0), FALSE), 1)</f>
        <v>1.7805993864763921E-4</v>
      </c>
      <c r="O20" s="12">
        <f>$B20 * IFERROR(VLOOKUP(Substitution!$M$13 &amp; $A20, US_national_yearly!$D:$AM, MATCH(O$1, US_national_yearly!$D$1:$AM$1, 0), FALSE) / VLOOKUP(Substitution!$M$13 &amp; $A20, US_national_yearly!$D:$AM, MATCH(Keys!$C$7, US_national_yearly!$D$1:$AM$1, 0), FALSE), 1)</f>
        <v>1.790117918501354E-4</v>
      </c>
      <c r="P20" s="12">
        <f>$B20 * IFERROR(VLOOKUP(Substitution!$M$13 &amp; $A20, US_national_yearly!$D:$AM, MATCH(P$1, US_national_yearly!$D$1:$AM$1, 0), FALSE) / VLOOKUP(Substitution!$M$13 &amp; $A20, US_national_yearly!$D:$AM, MATCH(Keys!$C$7, US_national_yearly!$D$1:$AM$1, 0), FALSE), 1)</f>
        <v>1.7996364505263161E-4</v>
      </c>
      <c r="Q20" s="12">
        <f>$B20 * IFERROR(VLOOKUP(Substitution!$M$13 &amp; $A20, US_national_yearly!$D:$AM, MATCH(Q$1, US_national_yearly!$D$1:$AM$1, 0), FALSE) / VLOOKUP(Substitution!$M$13 &amp; $A20, US_national_yearly!$D:$AM, MATCH(Keys!$C$7, US_national_yearly!$D$1:$AM$1, 0), FALSE), 1)</f>
        <v>1.809154982551278E-4</v>
      </c>
      <c r="R20" s="12">
        <f>$B20 * IFERROR(VLOOKUP(Substitution!$M$13 &amp; $A20, US_national_yearly!$D:$AM, MATCH(R$1, US_national_yearly!$D$1:$AM$1, 0), FALSE) / VLOOKUP(Substitution!$M$13 &amp; $A20, US_national_yearly!$D:$AM, MATCH(Keys!$C$7, US_national_yearly!$D$1:$AM$1, 0), FALSE), 1)</f>
        <v>1.8186735145762399E-4</v>
      </c>
      <c r="S20" s="12">
        <f>$B20 * IFERROR(VLOOKUP(Substitution!$M$13 &amp; $A20, US_national_yearly!$D:$AM, MATCH(S$1, US_national_yearly!$D$1:$AM$1, 0), FALSE) / VLOOKUP(Substitution!$M$13 &amp; $A20, US_national_yearly!$D:$AM, MATCH(Keys!$C$7, US_national_yearly!$D$1:$AM$1, 0), FALSE), 1)</f>
        <v>1.8237389485504401E-4</v>
      </c>
      <c r="T20" s="12">
        <f>$B20 * IFERROR(VLOOKUP(Substitution!$M$13 &amp; $A20, US_national_yearly!$D:$AM, MATCH(T$1, US_national_yearly!$D$1:$AM$1, 0), FALSE) / VLOOKUP(Substitution!$M$13 &amp; $A20, US_national_yearly!$D:$AM, MATCH(Keys!$C$7, US_national_yearly!$D$1:$AM$1, 0), FALSE), 1)</f>
        <v>1.8288043825246401E-4</v>
      </c>
      <c r="U20" s="12">
        <f>$B20 * IFERROR(VLOOKUP(Substitution!$M$13 &amp; $A20, US_national_yearly!$D:$AM, MATCH(U$1, US_national_yearly!$D$1:$AM$1, 0), FALSE) / VLOOKUP(Substitution!$M$13 &amp; $A20, US_national_yearly!$D:$AM, MATCH(Keys!$C$7, US_national_yearly!$D$1:$AM$1, 0), FALSE), 1)</f>
        <v>1.83386981649884E-4</v>
      </c>
      <c r="V20" s="12">
        <f>$B20 * IFERROR(VLOOKUP(Substitution!$M$13 &amp; $A20, US_national_yearly!$D:$AM, MATCH(V$1, US_national_yearly!$D$1:$AM$1, 0), FALSE) / VLOOKUP(Substitution!$M$13 &amp; $A20, US_national_yearly!$D:$AM, MATCH(Keys!$C$7, US_national_yearly!$D$1:$AM$1, 0), FALSE), 1)</f>
        <v>1.83893525047304E-4</v>
      </c>
      <c r="W20" s="12">
        <f>$B20 * IFERROR(VLOOKUP(Substitution!$M$13 &amp; $A20, US_national_yearly!$D:$AM, MATCH(W$1, US_national_yearly!$D$1:$AM$1, 0), FALSE) / VLOOKUP(Substitution!$M$13 &amp; $A20, US_national_yearly!$D:$AM, MATCH(Keys!$C$7, US_national_yearly!$D$1:$AM$1, 0), FALSE), 1)</f>
        <v>1.8440006844472399E-4</v>
      </c>
      <c r="X20" s="12">
        <f>$B20 * IFERROR(VLOOKUP(Substitution!$M$13 &amp; $A20, US_national_yearly!$D:$AM, MATCH(X$1, US_national_yearly!$D$1:$AM$1, 0), FALSE) / VLOOKUP(Substitution!$M$13 &amp; $A20, US_national_yearly!$D:$AM, MATCH(Keys!$C$7, US_national_yearly!$D$1:$AM$1, 0), FALSE), 1)</f>
        <v>1.8528048521818959E-4</v>
      </c>
      <c r="Y20" s="12">
        <f>$B20 * IFERROR(VLOOKUP(Substitution!$M$13 &amp; $A20, US_national_yearly!$D:$AM, MATCH(Y$1, US_national_yearly!$D$1:$AM$1, 0), FALSE) / VLOOKUP(Substitution!$M$13 &amp; $A20, US_national_yearly!$D:$AM, MATCH(Keys!$C$7, US_national_yearly!$D$1:$AM$1, 0), FALSE), 1)</f>
        <v>1.8616090199165519E-4</v>
      </c>
      <c r="Z20" s="12">
        <f>$B20 * IFERROR(VLOOKUP(Substitution!$M$13 &amp; $A20, US_national_yearly!$D:$AM, MATCH(Z$1, US_national_yearly!$D$1:$AM$1, 0), FALSE) / VLOOKUP(Substitution!$M$13 &amp; $A20, US_national_yearly!$D:$AM, MATCH(Keys!$C$7, US_national_yearly!$D$1:$AM$1, 0), FALSE), 1)</f>
        <v>1.8704131876512081E-4</v>
      </c>
      <c r="AA20" s="12">
        <f>$B20 * IFERROR(VLOOKUP(Substitution!$M$13 &amp; $A20, US_national_yearly!$D:$AM, MATCH(AA$1, US_national_yearly!$D$1:$AM$1, 0), FALSE) / VLOOKUP(Substitution!$M$13 &amp; $A20, US_national_yearly!$D:$AM, MATCH(Keys!$C$7, US_national_yearly!$D$1:$AM$1, 0), FALSE), 1)</f>
        <v>1.8792173553858641E-4</v>
      </c>
      <c r="AB20" s="12">
        <f>$B20 * IFERROR(VLOOKUP(Substitution!$M$13 &amp; $A20, US_national_yearly!$D:$AM, MATCH(AB$1, US_national_yearly!$D$1:$AM$1, 0), FALSE) / VLOOKUP(Substitution!$M$13 &amp; $A20, US_national_yearly!$D:$AM, MATCH(Keys!$C$7, US_national_yearly!$D$1:$AM$1, 0), FALSE), 1)</f>
        <v>1.8880215231205201E-4</v>
      </c>
    </row>
    <row r="21" spans="1:28" x14ac:dyDescent="0.25">
      <c r="A21" s="4" t="s">
        <v>329</v>
      </c>
      <c r="B21" s="12">
        <f>IFERROR(VLOOKUP(Substitution!$M$13 &amp; $A21, US_national_yearly!$D:$AM, MATCH(Keys!$C$7, US_national_yearly!$D$1:$AM$1, 0), FALSE), 0)</f>
        <v>3.4182436257568379E-5</v>
      </c>
      <c r="C21" s="12">
        <f>$B21 * IFERROR(VLOOKUP(Substitution!$M$13 &amp; $A21, US_national_yearly!$D:$AM, MATCH(C$1, US_national_yearly!$D$1:$AM$1, 0), FALSE) / VLOOKUP(Substitution!$M$13 &amp; $A21, US_national_yearly!$D:$AM, MATCH(Keys!$C$7, US_national_yearly!$D$1:$AM$1, 0), FALSE), 1)</f>
        <v>3.469668412716866E-5</v>
      </c>
      <c r="D21" s="12">
        <f>$B21 * IFERROR(VLOOKUP(Substitution!$M$13 &amp; $A21, US_national_yearly!$D:$AM, MATCH(D$1, US_national_yearly!$D$1:$AM$1, 0), FALSE) / VLOOKUP(Substitution!$M$13 &amp; $A21, US_national_yearly!$D:$AM, MATCH(Keys!$C$7, US_national_yearly!$D$1:$AM$1, 0), FALSE), 1)</f>
        <v>3.5210931996768921E-5</v>
      </c>
      <c r="E21" s="12">
        <f>$B21 * IFERROR(VLOOKUP(Substitution!$M$13 &amp; $A21, US_national_yearly!$D:$AM, MATCH(E$1, US_national_yearly!$D$1:$AM$1, 0), FALSE) / VLOOKUP(Substitution!$M$13 &amp; $A21, US_national_yearly!$D:$AM, MATCH(Keys!$C$7, US_national_yearly!$D$1:$AM$1, 0), FALSE), 1)</f>
        <v>3.5725179866369223E-5</v>
      </c>
      <c r="F21" s="12">
        <f>$B21 * IFERROR(VLOOKUP(Substitution!$M$13 &amp; $A21, US_national_yearly!$D:$AM, MATCH(F$1, US_national_yearly!$D$1:$AM$1, 0), FALSE) / VLOOKUP(Substitution!$M$13 &amp; $A21, US_national_yearly!$D:$AM, MATCH(Keys!$C$7, US_national_yearly!$D$1:$AM$1, 0), FALSE), 1)</f>
        <v>3.6239427735969497E-5</v>
      </c>
      <c r="G21" s="12">
        <f>$B21 * IFERROR(VLOOKUP(Substitution!$M$13 &amp; $A21, US_national_yearly!$D:$AM, MATCH(G$1, US_national_yearly!$D$1:$AM$1, 0), FALSE) / VLOOKUP(Substitution!$M$13 &amp; $A21, US_national_yearly!$D:$AM, MATCH(Keys!$C$7, US_national_yearly!$D$1:$AM$1, 0), FALSE), 1)</f>
        <v>3.6724188027025647E-5</v>
      </c>
      <c r="H21" s="12">
        <f>$B21 * IFERROR(VLOOKUP(Substitution!$M$13 &amp; $A21, US_national_yearly!$D:$AM, MATCH(H$1, US_national_yearly!$D$1:$AM$1, 0), FALSE) / VLOOKUP(Substitution!$M$13 &amp; $A21, US_national_yearly!$D:$AM, MATCH(Keys!$C$7, US_national_yearly!$D$1:$AM$1, 0), FALSE), 1)</f>
        <v>3.7208948318081797E-5</v>
      </c>
      <c r="I21" s="12">
        <f>$B21 * IFERROR(VLOOKUP(Substitution!$M$13 &amp; $A21, US_national_yearly!$D:$AM, MATCH(I$1, US_national_yearly!$D$1:$AM$1, 0), FALSE) / VLOOKUP(Substitution!$M$13 &amp; $A21, US_national_yearly!$D:$AM, MATCH(Keys!$C$7, US_national_yearly!$D$1:$AM$1, 0), FALSE), 1)</f>
        <v>3.7592093776262223E-5</v>
      </c>
      <c r="J21" s="12">
        <f>$B21 * IFERROR(VLOOKUP(Substitution!$M$13 &amp; $A21, US_national_yearly!$D:$AM, MATCH(J$1, US_national_yearly!$D$1:$AM$1, 0), FALSE) / VLOOKUP(Substitution!$M$13 &amp; $A21, US_national_yearly!$D:$AM, MATCH(Keys!$C$7, US_national_yearly!$D$1:$AM$1, 0), FALSE), 1)</f>
        <v>3.7975239234442628E-5</v>
      </c>
      <c r="K21" s="12">
        <f>$B21 * IFERROR(VLOOKUP(Substitution!$M$13 &amp; $A21, US_national_yearly!$D:$AM, MATCH(K$1, US_national_yearly!$D$1:$AM$1, 0), FALSE) / VLOOKUP(Substitution!$M$13 &amp; $A21, US_national_yearly!$D:$AM, MATCH(Keys!$C$7, US_national_yearly!$D$1:$AM$1, 0), FALSE), 1)</f>
        <v>3.8358384692623061E-5</v>
      </c>
      <c r="L21" s="12">
        <f>$B21 * IFERROR(VLOOKUP(Substitution!$M$13 &amp; $A21, US_national_yearly!$D:$AM, MATCH(L$1, US_national_yearly!$D$1:$AM$1, 0), FALSE) / VLOOKUP(Substitution!$M$13 &amp; $A21, US_national_yearly!$D:$AM, MATCH(Keys!$C$7, US_national_yearly!$D$1:$AM$1, 0), FALSE), 1)</f>
        <v>3.874153015080348E-5</v>
      </c>
      <c r="M21" s="12">
        <f>$B21 * IFERROR(VLOOKUP(Substitution!$M$13 &amp; $A21, US_national_yearly!$D:$AM, MATCH(M$1, US_national_yearly!$D$1:$AM$1, 0), FALSE) / VLOOKUP(Substitution!$M$13 &amp; $A21, US_national_yearly!$D:$AM, MATCH(Keys!$C$7, US_national_yearly!$D$1:$AM$1, 0), FALSE), 1)</f>
        <v>3.9124675608983899E-5</v>
      </c>
      <c r="N21" s="12">
        <f>$B21 * IFERROR(VLOOKUP(Substitution!$M$13 &amp; $A21, US_national_yearly!$D:$AM, MATCH(N$1, US_national_yearly!$D$1:$AM$1, 0), FALSE) / VLOOKUP(Substitution!$M$13 &amp; $A21, US_national_yearly!$D:$AM, MATCH(Keys!$C$7, US_national_yearly!$D$1:$AM$1, 0), FALSE), 1)</f>
        <v>3.9391333720738797E-5</v>
      </c>
      <c r="O21" s="12">
        <f>$B21 * IFERROR(VLOOKUP(Substitution!$M$13 &amp; $A21, US_national_yearly!$D:$AM, MATCH(O$1, US_national_yearly!$D$1:$AM$1, 0), FALSE) / VLOOKUP(Substitution!$M$13 &amp; $A21, US_national_yearly!$D:$AM, MATCH(Keys!$C$7, US_national_yearly!$D$1:$AM$1, 0), FALSE), 1)</f>
        <v>3.9657991832493702E-5</v>
      </c>
      <c r="P21" s="12">
        <f>$B21 * IFERROR(VLOOKUP(Substitution!$M$13 &amp; $A21, US_national_yearly!$D:$AM, MATCH(P$1, US_national_yearly!$D$1:$AM$1, 0), FALSE) / VLOOKUP(Substitution!$M$13 &amp; $A21, US_national_yearly!$D:$AM, MATCH(Keys!$C$7, US_national_yearly!$D$1:$AM$1, 0), FALSE), 1)</f>
        <v>3.99246499442486E-5</v>
      </c>
      <c r="Q21" s="12">
        <f>$B21 * IFERROR(VLOOKUP(Substitution!$M$13 &amp; $A21, US_national_yearly!$D:$AM, MATCH(Q$1, US_national_yearly!$D$1:$AM$1, 0), FALSE) / VLOOKUP(Substitution!$M$13 &amp; $A21, US_national_yearly!$D:$AM, MATCH(Keys!$C$7, US_national_yearly!$D$1:$AM$1, 0), FALSE), 1)</f>
        <v>4.0191308056003499E-5</v>
      </c>
      <c r="R21" s="12">
        <f>$B21 * IFERROR(VLOOKUP(Substitution!$M$13 &amp; $A21, US_national_yearly!$D:$AM, MATCH(R$1, US_national_yearly!$D$1:$AM$1, 0), FALSE) / VLOOKUP(Substitution!$M$13 &amp; $A21, US_national_yearly!$D:$AM, MATCH(Keys!$C$7, US_national_yearly!$D$1:$AM$1, 0), FALSE), 1)</f>
        <v>4.0457966167758397E-5</v>
      </c>
      <c r="S21" s="12">
        <f>$B21 * IFERROR(VLOOKUP(Substitution!$M$13 &amp; $A21, US_national_yearly!$D:$AM, MATCH(S$1, US_national_yearly!$D$1:$AM$1, 0), FALSE) / VLOOKUP(Substitution!$M$13 &amp; $A21, US_national_yearly!$D:$AM, MATCH(Keys!$C$7, US_national_yearly!$D$1:$AM$1, 0), FALSE), 1)</f>
        <v>4.0670868529574238E-5</v>
      </c>
      <c r="T21" s="12">
        <f>$B21 * IFERROR(VLOOKUP(Substitution!$M$13 &amp; $A21, US_national_yearly!$D:$AM, MATCH(T$1, US_national_yearly!$D$1:$AM$1, 0), FALSE) / VLOOKUP(Substitution!$M$13 &amp; $A21, US_national_yearly!$D:$AM, MATCH(Keys!$C$7, US_national_yearly!$D$1:$AM$1, 0), FALSE), 1)</f>
        <v>4.0883770891390078E-5</v>
      </c>
      <c r="U21" s="12">
        <f>$B21 * IFERROR(VLOOKUP(Substitution!$M$13 &amp; $A21, US_national_yearly!$D:$AM, MATCH(U$1, US_national_yearly!$D$1:$AM$1, 0), FALSE) / VLOOKUP(Substitution!$M$13 &amp; $A21, US_national_yearly!$D:$AM, MATCH(Keys!$C$7, US_national_yearly!$D$1:$AM$1, 0), FALSE), 1)</f>
        <v>4.1096673253205919E-5</v>
      </c>
      <c r="V21" s="12">
        <f>$B21 * IFERROR(VLOOKUP(Substitution!$M$13 &amp; $A21, US_national_yearly!$D:$AM, MATCH(V$1, US_national_yearly!$D$1:$AM$1, 0), FALSE) / VLOOKUP(Substitution!$M$13 &amp; $A21, US_national_yearly!$D:$AM, MATCH(Keys!$C$7, US_national_yearly!$D$1:$AM$1, 0), FALSE), 1)</f>
        <v>4.130957561502176E-5</v>
      </c>
      <c r="W21" s="12">
        <f>$B21 * IFERROR(VLOOKUP(Substitution!$M$13 &amp; $A21, US_national_yearly!$D:$AM, MATCH(W$1, US_national_yearly!$D$1:$AM$1, 0), FALSE) / VLOOKUP(Substitution!$M$13 &amp; $A21, US_national_yearly!$D:$AM, MATCH(Keys!$C$7, US_national_yearly!$D$1:$AM$1, 0), FALSE), 1)</f>
        <v>4.15224779768376E-5</v>
      </c>
      <c r="X21" s="12">
        <f>$B21 * IFERROR(VLOOKUP(Substitution!$M$13 &amp; $A21, US_national_yearly!$D:$AM, MATCH(X$1, US_national_yearly!$D$1:$AM$1, 0), FALSE) / VLOOKUP(Substitution!$M$13 &amp; $A21, US_national_yearly!$D:$AM, MATCH(Keys!$C$7, US_national_yearly!$D$1:$AM$1, 0), FALSE), 1)</f>
        <v>4.1755765816380338E-5</v>
      </c>
      <c r="Y21" s="12">
        <f>$B21 * IFERROR(VLOOKUP(Substitution!$M$13 &amp; $A21, US_national_yearly!$D:$AM, MATCH(Y$1, US_national_yearly!$D$1:$AM$1, 0), FALSE) / VLOOKUP(Substitution!$M$13 &amp; $A21, US_national_yearly!$D:$AM, MATCH(Keys!$C$7, US_national_yearly!$D$1:$AM$1, 0), FALSE), 1)</f>
        <v>4.1989053655923082E-5</v>
      </c>
      <c r="Z21" s="12">
        <f>$B21 * IFERROR(VLOOKUP(Substitution!$M$13 &amp; $A21, US_national_yearly!$D:$AM, MATCH(Z$1, US_national_yearly!$D$1:$AM$1, 0), FALSE) / VLOOKUP(Substitution!$M$13 &amp; $A21, US_national_yearly!$D:$AM, MATCH(Keys!$C$7, US_national_yearly!$D$1:$AM$1, 0), FALSE), 1)</f>
        <v>4.222234149546582E-5</v>
      </c>
      <c r="AA21" s="12">
        <f>$B21 * IFERROR(VLOOKUP(Substitution!$M$13 &amp; $A21, US_national_yearly!$D:$AM, MATCH(AA$1, US_national_yearly!$D$1:$AM$1, 0), FALSE) / VLOOKUP(Substitution!$M$13 &amp; $A21, US_national_yearly!$D:$AM, MATCH(Keys!$C$7, US_national_yearly!$D$1:$AM$1, 0), FALSE), 1)</f>
        <v>4.2455629335008558E-5</v>
      </c>
      <c r="AB21" s="12">
        <f>$B21 * IFERROR(VLOOKUP(Substitution!$M$13 &amp; $A21, US_national_yearly!$D:$AM, MATCH(AB$1, US_national_yearly!$D$1:$AM$1, 0), FALSE) / VLOOKUP(Substitution!$M$13 &amp; $A21, US_national_yearly!$D:$AM, MATCH(Keys!$C$7, US_national_yearly!$D$1:$AM$1, 0), FALSE), 1)</f>
        <v>4.2688917174551302E-5</v>
      </c>
    </row>
    <row r="22" spans="1:28" x14ac:dyDescent="0.25">
      <c r="A22" s="4" t="s">
        <v>331</v>
      </c>
      <c r="B22" s="12">
        <f>IFERROR(VLOOKUP(Substitution!$M$13 &amp; $A22, US_national_yearly!$D:$AM, MATCH(Keys!$C$7, US_national_yearly!$D$1:$AM$1, 0), FALSE), 0)</f>
        <v>7.3893417106603223E-4</v>
      </c>
      <c r="C22" s="12">
        <f>$B22 * IFERROR(VLOOKUP(Substitution!$M$13 &amp; $A22, US_national_yearly!$D:$AM, MATCH(C$1, US_national_yearly!$D$1:$AM$1, 0), FALSE) / VLOOKUP(Substitution!$M$13 &amp; $A22, US_national_yearly!$D:$AM, MATCH(Keys!$C$7, US_national_yearly!$D$1:$AM$1, 0), FALSE), 1)</f>
        <v>7.5262186961819351E-4</v>
      </c>
      <c r="D22" s="12">
        <f>$B22 * IFERROR(VLOOKUP(Substitution!$M$13 &amp; $A22, US_national_yearly!$D:$AM, MATCH(D$1, US_national_yearly!$D$1:$AM$1, 0), FALSE) / VLOOKUP(Substitution!$M$13 &amp; $A22, US_national_yearly!$D:$AM, MATCH(Keys!$C$7, US_national_yearly!$D$1:$AM$1, 0), FALSE), 1)</f>
        <v>7.6630956817035469E-4</v>
      </c>
      <c r="E22" s="12">
        <f>$B22 * IFERROR(VLOOKUP(Substitution!$M$13 &amp; $A22, US_national_yearly!$D:$AM, MATCH(E$1, US_national_yearly!$D$1:$AM$1, 0), FALSE) / VLOOKUP(Substitution!$M$13 &amp; $A22, US_national_yearly!$D:$AM, MATCH(Keys!$C$7, US_national_yearly!$D$1:$AM$1, 0), FALSE), 1)</f>
        <v>7.7999726672251597E-4</v>
      </c>
      <c r="F22" s="12">
        <f>$B22 * IFERROR(VLOOKUP(Substitution!$M$13 &amp; $A22, US_national_yearly!$D:$AM, MATCH(F$1, US_national_yearly!$D$1:$AM$1, 0), FALSE) / VLOOKUP(Substitution!$M$13 &amp; $A22, US_national_yearly!$D:$AM, MATCH(Keys!$C$7, US_national_yearly!$D$1:$AM$1, 0), FALSE), 1)</f>
        <v>7.9368496527467704E-4</v>
      </c>
      <c r="G22" s="12">
        <f>$B22 * IFERROR(VLOOKUP(Substitution!$M$13 &amp; $A22, US_national_yearly!$D:$AM, MATCH(G$1, US_national_yearly!$D$1:$AM$1, 0), FALSE) / VLOOKUP(Substitution!$M$13 &amp; $A22, US_national_yearly!$D:$AM, MATCH(Keys!$C$7, US_national_yearly!$D$1:$AM$1, 0), FALSE), 1)</f>
        <v>8.0708566813982702E-4</v>
      </c>
      <c r="H22" s="12">
        <f>$B22 * IFERROR(VLOOKUP(Substitution!$M$13 &amp; $A22, US_national_yearly!$D:$AM, MATCH(H$1, US_national_yearly!$D$1:$AM$1, 0), FALSE) / VLOOKUP(Substitution!$M$13 &amp; $A22, US_national_yearly!$D:$AM, MATCH(Keys!$C$7, US_national_yearly!$D$1:$AM$1, 0), FALSE), 1)</f>
        <v>8.20486371004977E-4</v>
      </c>
      <c r="I22" s="12">
        <f>$B22 * IFERROR(VLOOKUP(Substitution!$M$13 &amp; $A22, US_national_yearly!$D:$AM, MATCH(I$1, US_national_yearly!$D$1:$AM$1, 0), FALSE) / VLOOKUP(Substitution!$M$13 &amp; $A22, US_national_yearly!$D:$AM, MATCH(Keys!$C$7, US_national_yearly!$D$1:$AM$1, 0), FALSE), 1)</f>
        <v>8.3349708085875545E-4</v>
      </c>
      <c r="J22" s="12">
        <f>$B22 * IFERROR(VLOOKUP(Substitution!$M$13 &amp; $A22, US_national_yearly!$D:$AM, MATCH(J$1, US_national_yearly!$D$1:$AM$1, 0), FALSE) / VLOOKUP(Substitution!$M$13 &amp; $A22, US_national_yearly!$D:$AM, MATCH(Keys!$C$7, US_national_yearly!$D$1:$AM$1, 0), FALSE), 1)</f>
        <v>8.4650779071253378E-4</v>
      </c>
      <c r="K22" s="12">
        <f>$B22 * IFERROR(VLOOKUP(Substitution!$M$13 &amp; $A22, US_national_yearly!$D:$AM, MATCH(K$1, US_national_yearly!$D$1:$AM$1, 0), FALSE) / VLOOKUP(Substitution!$M$13 &amp; $A22, US_national_yearly!$D:$AM, MATCH(Keys!$C$7, US_national_yearly!$D$1:$AM$1, 0), FALSE), 1)</f>
        <v>8.5951850056631234E-4</v>
      </c>
      <c r="L22" s="12">
        <f>$B22 * IFERROR(VLOOKUP(Substitution!$M$13 &amp; $A22, US_national_yearly!$D:$AM, MATCH(L$1, US_national_yearly!$D$1:$AM$1, 0), FALSE) / VLOOKUP(Substitution!$M$13 &amp; $A22, US_national_yearly!$D:$AM, MATCH(Keys!$C$7, US_national_yearly!$D$1:$AM$1, 0), FALSE), 1)</f>
        <v>8.7252921042009067E-4</v>
      </c>
      <c r="M22" s="12">
        <f>$B22 * IFERROR(VLOOKUP(Substitution!$M$13 &amp; $A22, US_national_yearly!$D:$AM, MATCH(M$1, US_national_yearly!$D$1:$AM$1, 0), FALSE) / VLOOKUP(Substitution!$M$13 &amp; $A22, US_national_yearly!$D:$AM, MATCH(Keys!$C$7, US_national_yearly!$D$1:$AM$1, 0), FALSE), 1)</f>
        <v>8.8553992027386901E-4</v>
      </c>
      <c r="N22" s="12">
        <f>$B22 * IFERROR(VLOOKUP(Substitution!$M$13 &amp; $A22, US_national_yearly!$D:$AM, MATCH(N$1, US_national_yearly!$D$1:$AM$1, 0), FALSE) / VLOOKUP(Substitution!$M$13 &amp; $A22, US_national_yearly!$D:$AM, MATCH(Keys!$C$7, US_national_yearly!$D$1:$AM$1, 0), FALSE), 1)</f>
        <v>8.9605479730298261E-4</v>
      </c>
      <c r="O22" s="12">
        <f>$B22 * IFERROR(VLOOKUP(Substitution!$M$13 &amp; $A22, US_national_yearly!$D:$AM, MATCH(O$1, US_national_yearly!$D$1:$AM$1, 0), FALSE) / VLOOKUP(Substitution!$M$13 &amp; $A22, US_national_yearly!$D:$AM, MATCH(Keys!$C$7, US_national_yearly!$D$1:$AM$1, 0), FALSE), 1)</f>
        <v>9.0656967433209621E-4</v>
      </c>
      <c r="P22" s="12">
        <f>$B22 * IFERROR(VLOOKUP(Substitution!$M$13 &amp; $A22, US_national_yearly!$D:$AM, MATCH(P$1, US_national_yearly!$D$1:$AM$1, 0), FALSE) / VLOOKUP(Substitution!$M$13 &amp; $A22, US_national_yearly!$D:$AM, MATCH(Keys!$C$7, US_national_yearly!$D$1:$AM$1, 0), FALSE), 1)</f>
        <v>9.1708455136120992E-4</v>
      </c>
      <c r="Q22" s="12">
        <f>$B22 * IFERROR(VLOOKUP(Substitution!$M$13 &amp; $A22, US_national_yearly!$D:$AM, MATCH(Q$1, US_national_yearly!$D$1:$AM$1, 0), FALSE) / VLOOKUP(Substitution!$M$13 &amp; $A22, US_national_yearly!$D:$AM, MATCH(Keys!$C$7, US_national_yearly!$D$1:$AM$1, 0), FALSE), 1)</f>
        <v>9.2759942839032341E-4</v>
      </c>
      <c r="R22" s="12">
        <f>$B22 * IFERROR(VLOOKUP(Substitution!$M$13 &amp; $A22, US_national_yearly!$D:$AM, MATCH(R$1, US_national_yearly!$D$1:$AM$1, 0), FALSE) / VLOOKUP(Substitution!$M$13 &amp; $A22, US_national_yearly!$D:$AM, MATCH(Keys!$C$7, US_national_yearly!$D$1:$AM$1, 0), FALSE), 1)</f>
        <v>9.381143054194369E-4</v>
      </c>
      <c r="S22" s="12">
        <f>$B22 * IFERROR(VLOOKUP(Substitution!$M$13 &amp; $A22, US_national_yearly!$D:$AM, MATCH(S$1, US_national_yearly!$D$1:$AM$1, 0), FALSE) / VLOOKUP(Substitution!$M$13 &amp; $A22, US_national_yearly!$D:$AM, MATCH(Keys!$C$7, US_national_yearly!$D$1:$AM$1, 0), FALSE), 1)</f>
        <v>9.4544993545370398E-4</v>
      </c>
      <c r="T22" s="12">
        <f>$B22 * IFERROR(VLOOKUP(Substitution!$M$13 &amp; $A22, US_national_yearly!$D:$AM, MATCH(T$1, US_national_yearly!$D$1:$AM$1, 0), FALSE) / VLOOKUP(Substitution!$M$13 &amp; $A22, US_national_yearly!$D:$AM, MATCH(Keys!$C$7, US_national_yearly!$D$1:$AM$1, 0), FALSE), 1)</f>
        <v>9.5278556548797095E-4</v>
      </c>
      <c r="U22" s="12">
        <f>$B22 * IFERROR(VLOOKUP(Substitution!$M$13 &amp; $A22, US_national_yearly!$D:$AM, MATCH(U$1, US_national_yearly!$D$1:$AM$1, 0), FALSE) / VLOOKUP(Substitution!$M$13 &amp; $A22, US_national_yearly!$D:$AM, MATCH(Keys!$C$7, US_national_yearly!$D$1:$AM$1, 0), FALSE), 1)</f>
        <v>9.6012119552223792E-4</v>
      </c>
      <c r="V22" s="12">
        <f>$B22 * IFERROR(VLOOKUP(Substitution!$M$13 &amp; $A22, US_national_yearly!$D:$AM, MATCH(V$1, US_national_yearly!$D$1:$AM$1, 0), FALSE) / VLOOKUP(Substitution!$M$13 &amp; $A22, US_national_yearly!$D:$AM, MATCH(Keys!$C$7, US_national_yearly!$D$1:$AM$1, 0), FALSE), 1)</f>
        <v>9.67456825556505E-4</v>
      </c>
      <c r="W22" s="12">
        <f>$B22 * IFERROR(VLOOKUP(Substitution!$M$13 &amp; $A22, US_national_yearly!$D:$AM, MATCH(W$1, US_national_yearly!$D$1:$AM$1, 0), FALSE) / VLOOKUP(Substitution!$M$13 &amp; $A22, US_national_yearly!$D:$AM, MATCH(Keys!$C$7, US_national_yearly!$D$1:$AM$1, 0), FALSE), 1)</f>
        <v>9.7479245559077186E-4</v>
      </c>
      <c r="X22" s="12">
        <f>$B22 * IFERROR(VLOOKUP(Substitution!$M$13 &amp; $A22, US_national_yearly!$D:$AM, MATCH(X$1, US_national_yearly!$D$1:$AM$1, 0), FALSE) / VLOOKUP(Substitution!$M$13 &amp; $A22, US_national_yearly!$D:$AM, MATCH(Keys!$C$7, US_national_yearly!$D$1:$AM$1, 0), FALSE), 1)</f>
        <v>9.8033329992352754E-4</v>
      </c>
      <c r="Y22" s="12">
        <f>$B22 * IFERROR(VLOOKUP(Substitution!$M$13 &amp; $A22, US_national_yearly!$D:$AM, MATCH(Y$1, US_national_yearly!$D$1:$AM$1, 0), FALSE) / VLOOKUP(Substitution!$M$13 &amp; $A22, US_national_yearly!$D:$AM, MATCH(Keys!$C$7, US_national_yearly!$D$1:$AM$1, 0), FALSE), 1)</f>
        <v>9.8587414425628322E-4</v>
      </c>
      <c r="Z22" s="12">
        <f>$B22 * IFERROR(VLOOKUP(Substitution!$M$13 &amp; $A22, US_national_yearly!$D:$AM, MATCH(Z$1, US_national_yearly!$D$1:$AM$1, 0), FALSE) / VLOOKUP(Substitution!$M$13 &amp; $A22, US_national_yearly!$D:$AM, MATCH(Keys!$C$7, US_national_yearly!$D$1:$AM$1, 0), FALSE), 1)</f>
        <v>9.914149885890389E-4</v>
      </c>
      <c r="AA22" s="12">
        <f>$B22 * IFERROR(VLOOKUP(Substitution!$M$13 &amp; $A22, US_national_yearly!$D:$AM, MATCH(AA$1, US_national_yearly!$D$1:$AM$1, 0), FALSE) / VLOOKUP(Substitution!$M$13 &amp; $A22, US_national_yearly!$D:$AM, MATCH(Keys!$C$7, US_national_yearly!$D$1:$AM$1, 0), FALSE), 1)</f>
        <v>9.9695583292179436E-4</v>
      </c>
      <c r="AB22" s="12">
        <f>$B22 * IFERROR(VLOOKUP(Substitution!$M$13 &amp; $A22, US_national_yearly!$D:$AM, MATCH(AB$1, US_national_yearly!$D$1:$AM$1, 0), FALSE) / VLOOKUP(Substitution!$M$13 &amp; $A22, US_national_yearly!$D:$AM, MATCH(Keys!$C$7, US_national_yearly!$D$1:$AM$1, 0), FALSE), 1)</f>
        <v>1.00249667725455E-3</v>
      </c>
    </row>
    <row r="23" spans="1:28" x14ac:dyDescent="0.25">
      <c r="A23" s="4" t="s">
        <v>333</v>
      </c>
      <c r="B23" s="12">
        <f>IFERROR(VLOOKUP(Substitution!$M$13 &amp; $A23, US_national_yearly!$D:$AM, MATCH(Keys!$C$7, US_national_yearly!$D$1:$AM$1, 0), FALSE), 0)</f>
        <v>0</v>
      </c>
      <c r="C23" s="12">
        <f>$B23 * IFERROR(VLOOKUP(Substitution!$M$13 &amp; $A23, US_national_yearly!$D:$AM, MATCH(C$1, US_national_yearly!$D$1:$AM$1, 0), FALSE) / VLOOKUP(Substitution!$M$13 &amp; $A23, US_national_yearly!$D:$AM, MATCH(Keys!$C$7, US_national_yearly!$D$1:$AM$1, 0), FALSE), 1)</f>
        <v>0</v>
      </c>
      <c r="D23" s="12">
        <f>$B23 * IFERROR(VLOOKUP(Substitution!$M$13 &amp; $A23, US_national_yearly!$D:$AM, MATCH(D$1, US_national_yearly!$D$1:$AM$1, 0), FALSE) / VLOOKUP(Substitution!$M$13 &amp; $A23, US_national_yearly!$D:$AM, MATCH(Keys!$C$7, US_national_yearly!$D$1:$AM$1, 0), FALSE), 1)</f>
        <v>0</v>
      </c>
      <c r="E23" s="12">
        <f>$B23 * IFERROR(VLOOKUP(Substitution!$M$13 &amp; $A23, US_national_yearly!$D:$AM, MATCH(E$1, US_national_yearly!$D$1:$AM$1, 0), FALSE) / VLOOKUP(Substitution!$M$13 &amp; $A23, US_national_yearly!$D:$AM, MATCH(Keys!$C$7, US_national_yearly!$D$1:$AM$1, 0), FALSE), 1)</f>
        <v>0</v>
      </c>
      <c r="F23" s="12">
        <f>$B23 * IFERROR(VLOOKUP(Substitution!$M$13 &amp; $A23, US_national_yearly!$D:$AM, MATCH(F$1, US_national_yearly!$D$1:$AM$1, 0), FALSE) / VLOOKUP(Substitution!$M$13 &amp; $A23, US_national_yearly!$D:$AM, MATCH(Keys!$C$7, US_national_yearly!$D$1:$AM$1, 0), FALSE), 1)</f>
        <v>0</v>
      </c>
      <c r="G23" s="12">
        <f>$B23 * IFERROR(VLOOKUP(Substitution!$M$13 &amp; $A23, US_national_yearly!$D:$AM, MATCH(G$1, US_national_yearly!$D$1:$AM$1, 0), FALSE) / VLOOKUP(Substitution!$M$13 &amp; $A23, US_national_yearly!$D:$AM, MATCH(Keys!$C$7, US_national_yearly!$D$1:$AM$1, 0), FALSE), 1)</f>
        <v>0</v>
      </c>
      <c r="H23" s="12">
        <f>$B23 * IFERROR(VLOOKUP(Substitution!$M$13 &amp; $A23, US_national_yearly!$D:$AM, MATCH(H$1, US_national_yearly!$D$1:$AM$1, 0), FALSE) / VLOOKUP(Substitution!$M$13 &amp; $A23, US_national_yearly!$D:$AM, MATCH(Keys!$C$7, US_national_yearly!$D$1:$AM$1, 0), FALSE), 1)</f>
        <v>0</v>
      </c>
      <c r="I23" s="12">
        <f>$B23 * IFERROR(VLOOKUP(Substitution!$M$13 &amp; $A23, US_national_yearly!$D:$AM, MATCH(I$1, US_national_yearly!$D$1:$AM$1, 0), FALSE) / VLOOKUP(Substitution!$M$13 &amp; $A23, US_national_yearly!$D:$AM, MATCH(Keys!$C$7, US_national_yearly!$D$1:$AM$1, 0), FALSE), 1)</f>
        <v>0</v>
      </c>
      <c r="J23" s="12">
        <f>$B23 * IFERROR(VLOOKUP(Substitution!$M$13 &amp; $A23, US_national_yearly!$D:$AM, MATCH(J$1, US_national_yearly!$D$1:$AM$1, 0), FALSE) / VLOOKUP(Substitution!$M$13 &amp; $A23, US_national_yearly!$D:$AM, MATCH(Keys!$C$7, US_national_yearly!$D$1:$AM$1, 0), FALSE), 1)</f>
        <v>0</v>
      </c>
      <c r="K23" s="12">
        <f>$B23 * IFERROR(VLOOKUP(Substitution!$M$13 &amp; $A23, US_national_yearly!$D:$AM, MATCH(K$1, US_national_yearly!$D$1:$AM$1, 0), FALSE) / VLOOKUP(Substitution!$M$13 &amp; $A23, US_national_yearly!$D:$AM, MATCH(Keys!$C$7, US_national_yearly!$D$1:$AM$1, 0), FALSE), 1)</f>
        <v>0</v>
      </c>
      <c r="L23" s="12">
        <f>$B23 * IFERROR(VLOOKUP(Substitution!$M$13 &amp; $A23, US_national_yearly!$D:$AM, MATCH(L$1, US_national_yearly!$D$1:$AM$1, 0), FALSE) / VLOOKUP(Substitution!$M$13 &amp; $A23, US_national_yearly!$D:$AM, MATCH(Keys!$C$7, US_national_yearly!$D$1:$AM$1, 0), FALSE), 1)</f>
        <v>0</v>
      </c>
      <c r="M23" s="12">
        <f>$B23 * IFERROR(VLOOKUP(Substitution!$M$13 &amp; $A23, US_national_yearly!$D:$AM, MATCH(M$1, US_national_yearly!$D$1:$AM$1, 0), FALSE) / VLOOKUP(Substitution!$M$13 &amp; $A23, US_national_yearly!$D:$AM, MATCH(Keys!$C$7, US_national_yearly!$D$1:$AM$1, 0), FALSE), 1)</f>
        <v>0</v>
      </c>
      <c r="N23" s="12">
        <f>$B23 * IFERROR(VLOOKUP(Substitution!$M$13 &amp; $A23, US_national_yearly!$D:$AM, MATCH(N$1, US_national_yearly!$D$1:$AM$1, 0), FALSE) / VLOOKUP(Substitution!$M$13 &amp; $A23, US_national_yearly!$D:$AM, MATCH(Keys!$C$7, US_national_yearly!$D$1:$AM$1, 0), FALSE), 1)</f>
        <v>0</v>
      </c>
      <c r="O23" s="12">
        <f>$B23 * IFERROR(VLOOKUP(Substitution!$M$13 &amp; $A23, US_national_yearly!$D:$AM, MATCH(O$1, US_national_yearly!$D$1:$AM$1, 0), FALSE) / VLOOKUP(Substitution!$M$13 &amp; $A23, US_national_yearly!$D:$AM, MATCH(Keys!$C$7, US_national_yearly!$D$1:$AM$1, 0), FALSE), 1)</f>
        <v>0</v>
      </c>
      <c r="P23" s="12">
        <f>$B23 * IFERROR(VLOOKUP(Substitution!$M$13 &amp; $A23, US_national_yearly!$D:$AM, MATCH(P$1, US_national_yearly!$D$1:$AM$1, 0), FALSE) / VLOOKUP(Substitution!$M$13 &amp; $A23, US_national_yearly!$D:$AM, MATCH(Keys!$C$7, US_national_yearly!$D$1:$AM$1, 0), FALSE), 1)</f>
        <v>0</v>
      </c>
      <c r="Q23" s="12">
        <f>$B23 * IFERROR(VLOOKUP(Substitution!$M$13 &amp; $A23, US_national_yearly!$D:$AM, MATCH(Q$1, US_national_yearly!$D$1:$AM$1, 0), FALSE) / VLOOKUP(Substitution!$M$13 &amp; $A23, US_national_yearly!$D:$AM, MATCH(Keys!$C$7, US_national_yearly!$D$1:$AM$1, 0), FALSE), 1)</f>
        <v>0</v>
      </c>
      <c r="R23" s="12">
        <f>$B23 * IFERROR(VLOOKUP(Substitution!$M$13 &amp; $A23, US_national_yearly!$D:$AM, MATCH(R$1, US_national_yearly!$D$1:$AM$1, 0), FALSE) / VLOOKUP(Substitution!$M$13 &amp; $A23, US_national_yearly!$D:$AM, MATCH(Keys!$C$7, US_national_yearly!$D$1:$AM$1, 0), FALSE), 1)</f>
        <v>0</v>
      </c>
      <c r="S23" s="12">
        <f>$B23 * IFERROR(VLOOKUP(Substitution!$M$13 &amp; $A23, US_national_yearly!$D:$AM, MATCH(S$1, US_national_yearly!$D$1:$AM$1, 0), FALSE) / VLOOKUP(Substitution!$M$13 &amp; $A23, US_national_yearly!$D:$AM, MATCH(Keys!$C$7, US_national_yearly!$D$1:$AM$1, 0), FALSE), 1)</f>
        <v>0</v>
      </c>
      <c r="T23" s="12">
        <f>$B23 * IFERROR(VLOOKUP(Substitution!$M$13 &amp; $A23, US_national_yearly!$D:$AM, MATCH(T$1, US_national_yearly!$D$1:$AM$1, 0), FALSE) / VLOOKUP(Substitution!$M$13 &amp; $A23, US_national_yearly!$D:$AM, MATCH(Keys!$C$7, US_national_yearly!$D$1:$AM$1, 0), FALSE), 1)</f>
        <v>0</v>
      </c>
      <c r="U23" s="12">
        <f>$B23 * IFERROR(VLOOKUP(Substitution!$M$13 &amp; $A23, US_national_yearly!$D:$AM, MATCH(U$1, US_national_yearly!$D$1:$AM$1, 0), FALSE) / VLOOKUP(Substitution!$M$13 &amp; $A23, US_national_yearly!$D:$AM, MATCH(Keys!$C$7, US_national_yearly!$D$1:$AM$1, 0), FALSE), 1)</f>
        <v>0</v>
      </c>
      <c r="V23" s="12">
        <f>$B23 * IFERROR(VLOOKUP(Substitution!$M$13 &amp; $A23, US_national_yearly!$D:$AM, MATCH(V$1, US_national_yearly!$D$1:$AM$1, 0), FALSE) / VLOOKUP(Substitution!$M$13 &amp; $A23, US_national_yearly!$D:$AM, MATCH(Keys!$C$7, US_national_yearly!$D$1:$AM$1, 0), FALSE), 1)</f>
        <v>0</v>
      </c>
      <c r="W23" s="12">
        <f>$B23 * IFERROR(VLOOKUP(Substitution!$M$13 &amp; $A23, US_national_yearly!$D:$AM, MATCH(W$1, US_national_yearly!$D$1:$AM$1, 0), FALSE) / VLOOKUP(Substitution!$M$13 &amp; $A23, US_national_yearly!$D:$AM, MATCH(Keys!$C$7, US_national_yearly!$D$1:$AM$1, 0), FALSE), 1)</f>
        <v>0</v>
      </c>
      <c r="X23" s="12">
        <f>$B23 * IFERROR(VLOOKUP(Substitution!$M$13 &amp; $A23, US_national_yearly!$D:$AM, MATCH(X$1, US_national_yearly!$D$1:$AM$1, 0), FALSE) / VLOOKUP(Substitution!$M$13 &amp; $A23, US_national_yearly!$D:$AM, MATCH(Keys!$C$7, US_national_yearly!$D$1:$AM$1, 0), FALSE), 1)</f>
        <v>0</v>
      </c>
      <c r="Y23" s="12">
        <f>$B23 * IFERROR(VLOOKUP(Substitution!$M$13 &amp; $A23, US_national_yearly!$D:$AM, MATCH(Y$1, US_national_yearly!$D$1:$AM$1, 0), FALSE) / VLOOKUP(Substitution!$M$13 &amp; $A23, US_national_yearly!$D:$AM, MATCH(Keys!$C$7, US_national_yearly!$D$1:$AM$1, 0), FALSE), 1)</f>
        <v>0</v>
      </c>
      <c r="Z23" s="12">
        <f>$B23 * IFERROR(VLOOKUP(Substitution!$M$13 &amp; $A23, US_national_yearly!$D:$AM, MATCH(Z$1, US_national_yearly!$D$1:$AM$1, 0), FALSE) / VLOOKUP(Substitution!$M$13 &amp; $A23, US_national_yearly!$D:$AM, MATCH(Keys!$C$7, US_national_yearly!$D$1:$AM$1, 0), FALSE), 1)</f>
        <v>0</v>
      </c>
      <c r="AA23" s="12">
        <f>$B23 * IFERROR(VLOOKUP(Substitution!$M$13 &amp; $A23, US_national_yearly!$D:$AM, MATCH(AA$1, US_national_yearly!$D$1:$AM$1, 0), FALSE) / VLOOKUP(Substitution!$M$13 &amp; $A23, US_national_yearly!$D:$AM, MATCH(Keys!$C$7, US_national_yearly!$D$1:$AM$1, 0), FALSE), 1)</f>
        <v>0</v>
      </c>
      <c r="AB23" s="12">
        <f>$B23 * IFERROR(VLOOKUP(Substitution!$M$13 &amp; $A23, US_national_yearly!$D:$AM, MATCH(AB$1, US_national_yearly!$D$1:$AM$1, 0), FALSE) / VLOOKUP(Substitution!$M$13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Substitution!$G$14)/IFERROR(SUMIFS(COBRA_aggregated!$U:$U, COBRA_aggregated!$A:$A, About!$B$1, COBRA_aggregated!$B:$B, Substitution!$G$14), 1)</f>
        <v>4.6396808210625869E-2</v>
      </c>
      <c r="C2" s="12">
        <f>$B2 * IFERROR(VLOOKUP(Substitution!$M$14 &amp; $A2, US_national_yearly!$D:$AM, MATCH(C$1, US_national_yearly!$D$1:$AM$1, 0), FALSE) / VLOOKUP(Substitution!$M$14 &amp; $A2, US_national_yearly!$D:$AM, MATCH(Keys!$C$7, US_national_yearly!$D$1:$AM$1, 0), FALSE), 1)</f>
        <v>4.6974600092720517E-2</v>
      </c>
      <c r="D2" s="12">
        <f>$B2 * IFERROR(VLOOKUP(Substitution!$M$14 &amp; $A2, US_national_yearly!$D:$AM, MATCH(D$1, US_national_yearly!$D$1:$AM$1, 0), FALSE) / VLOOKUP(Substitution!$M$14 &amp; $A2, US_national_yearly!$D:$AM, MATCH(Keys!$C$7, US_national_yearly!$D$1:$AM$1, 0), FALSE), 1)</f>
        <v>4.7552391974815159E-2</v>
      </c>
      <c r="E2" s="12">
        <f>$B2 * IFERROR(VLOOKUP(Substitution!$M$14 &amp; $A2, US_national_yearly!$D:$AM, MATCH(E$1, US_national_yearly!$D$1:$AM$1, 0), FALSE) / VLOOKUP(Substitution!$M$14 &amp; $A2, US_national_yearly!$D:$AM, MATCH(Keys!$C$7, US_national_yearly!$D$1:$AM$1, 0), FALSE), 1)</f>
        <v>4.8130183856909807E-2</v>
      </c>
      <c r="F2" s="12">
        <f>$B2 * IFERROR(VLOOKUP(Substitution!$M$14 &amp; $A2, US_national_yearly!$D:$AM, MATCH(F$1, US_national_yearly!$D$1:$AM$1, 0), FALSE) / VLOOKUP(Substitution!$M$14 &amp; $A2, US_national_yearly!$D:$AM, MATCH(Keys!$C$7, US_national_yearly!$D$1:$AM$1, 0), FALSE), 1)</f>
        <v>4.8707975739004448E-2</v>
      </c>
      <c r="G2" s="12">
        <f>$B2 * IFERROR(VLOOKUP(Substitution!$M$14 &amp; $A2, US_national_yearly!$D:$AM, MATCH(G$1, US_national_yearly!$D$1:$AM$1, 0), FALSE) / VLOOKUP(Substitution!$M$14 &amp; $A2, US_national_yearly!$D:$AM, MATCH(Keys!$C$7, US_national_yearly!$D$1:$AM$1, 0), FALSE), 1)</f>
        <v>4.9832060871097789E-2</v>
      </c>
      <c r="H2" s="12">
        <f>$B2 * IFERROR(VLOOKUP(Substitution!$M$14 &amp; $A2, US_national_yearly!$D:$AM, MATCH(H$1, US_national_yearly!$D$1:$AM$1, 0), FALSE) / VLOOKUP(Substitution!$M$14 &amp; $A2, US_national_yearly!$D:$AM, MATCH(Keys!$C$7, US_national_yearly!$D$1:$AM$1, 0), FALSE), 1)</f>
        <v>5.0956146003191136E-2</v>
      </c>
      <c r="I2" s="12">
        <f>$B2 * IFERROR(VLOOKUP(Substitution!$M$14 &amp; $A2, US_national_yearly!$D:$AM, MATCH(I$1, US_national_yearly!$D$1:$AM$1, 0), FALSE) / VLOOKUP(Substitution!$M$14 &amp; $A2, US_national_yearly!$D:$AM, MATCH(Keys!$C$7, US_national_yearly!$D$1:$AM$1, 0), FALSE), 1)</f>
        <v>5.1698375679089303E-2</v>
      </c>
      <c r="J2" s="12">
        <f>$B2 * IFERROR(VLOOKUP(Substitution!$M$14 &amp; $A2, US_national_yearly!$D:$AM, MATCH(J$1, US_national_yearly!$D$1:$AM$1, 0), FALSE) / VLOOKUP(Substitution!$M$14 &amp; $A2, US_national_yearly!$D:$AM, MATCH(Keys!$C$7, US_national_yearly!$D$1:$AM$1, 0), FALSE), 1)</f>
        <v>5.2440605354987457E-2</v>
      </c>
      <c r="K2" s="12">
        <f>$B2 * IFERROR(VLOOKUP(Substitution!$M$14 &amp; $A2, US_national_yearly!$D:$AM, MATCH(K$1, US_national_yearly!$D$1:$AM$1, 0), FALSE) / VLOOKUP(Substitution!$M$14 &amp; $A2, US_national_yearly!$D:$AM, MATCH(Keys!$C$7, US_national_yearly!$D$1:$AM$1, 0), FALSE), 1)</f>
        <v>5.3182835030885618E-2</v>
      </c>
      <c r="L2" s="12">
        <f>$B2 * IFERROR(VLOOKUP(Substitution!$M$14 &amp; $A2, US_national_yearly!$D:$AM, MATCH(L$1, US_national_yearly!$D$1:$AM$1, 0), FALSE) / VLOOKUP(Substitution!$M$14 &amp; $A2, US_national_yearly!$D:$AM, MATCH(Keys!$C$7, US_national_yearly!$D$1:$AM$1, 0), FALSE), 1)</f>
        <v>5.3925064706783779E-2</v>
      </c>
      <c r="M2" s="12">
        <f>$B2 * IFERROR(VLOOKUP(Substitution!$M$14 &amp; $A2, US_national_yearly!$D:$AM, MATCH(M$1, US_national_yearly!$D$1:$AM$1, 0), FALSE) / VLOOKUP(Substitution!$M$14 &amp; $A2, US_national_yearly!$D:$AM, MATCH(Keys!$C$7, US_national_yearly!$D$1:$AM$1, 0), FALSE), 1)</f>
        <v>5.4667294382681947E-2</v>
      </c>
      <c r="N2" s="12">
        <f>$B2 * IFERROR(VLOOKUP(Substitution!$M$14 &amp; $A2, US_national_yearly!$D:$AM, MATCH(N$1, US_national_yearly!$D$1:$AM$1, 0), FALSE) / VLOOKUP(Substitution!$M$14 &amp; $A2, US_national_yearly!$D:$AM, MATCH(Keys!$C$7, US_national_yearly!$D$1:$AM$1, 0), FALSE), 1)</f>
        <v>5.5245554758517376E-2</v>
      </c>
      <c r="O2" s="12">
        <f>$B2 * IFERROR(VLOOKUP(Substitution!$M$14 &amp; $A2, US_national_yearly!$D:$AM, MATCH(O$1, US_national_yearly!$D$1:$AM$1, 0), FALSE) / VLOOKUP(Substitution!$M$14 &amp; $A2, US_national_yearly!$D:$AM, MATCH(Keys!$C$7, US_national_yearly!$D$1:$AM$1, 0), FALSE), 1)</f>
        <v>5.5823815134352792E-2</v>
      </c>
      <c r="P2" s="12">
        <f>$B2 * IFERROR(VLOOKUP(Substitution!$M$14 &amp; $A2, US_national_yearly!$D:$AM, MATCH(P$1, US_national_yearly!$D$1:$AM$1, 0), FALSE) / VLOOKUP(Substitution!$M$14 &amp; $A2, US_national_yearly!$D:$AM, MATCH(Keys!$C$7, US_national_yearly!$D$1:$AM$1, 0), FALSE), 1)</f>
        <v>5.6402075510188221E-2</v>
      </c>
      <c r="Q2" s="12">
        <f>$B2 * IFERROR(VLOOKUP(Substitution!$M$14 &amp; $A2, US_national_yearly!$D:$AM, MATCH(Q$1, US_national_yearly!$D$1:$AM$1, 0), FALSE) / VLOOKUP(Substitution!$M$14 &amp; $A2, US_national_yearly!$D:$AM, MATCH(Keys!$C$7, US_national_yearly!$D$1:$AM$1, 0), FALSE), 1)</f>
        <v>5.698033588602365E-2</v>
      </c>
      <c r="R2" s="12">
        <f>$B2 * IFERROR(VLOOKUP(Substitution!$M$14 &amp; $A2, US_national_yearly!$D:$AM, MATCH(R$1, US_national_yearly!$D$1:$AM$1, 0), FALSE) / VLOOKUP(Substitution!$M$14 &amp; $A2, US_national_yearly!$D:$AM, MATCH(Keys!$C$7, US_national_yearly!$D$1:$AM$1, 0), FALSE), 1)</f>
        <v>5.7558596261859073E-2</v>
      </c>
      <c r="S2" s="12">
        <f>$B2 * IFERROR(VLOOKUP(Substitution!$M$14 &amp; $A2, US_national_yearly!$D:$AM, MATCH(S$1, US_national_yearly!$D$1:$AM$1, 0), FALSE) / VLOOKUP(Substitution!$M$14 &amp; $A2, US_national_yearly!$D:$AM, MATCH(Keys!$C$7, US_national_yearly!$D$1:$AM$1, 0), FALSE), 1)</f>
        <v>5.7870835417292821E-2</v>
      </c>
      <c r="T2" s="12">
        <f>$B2 * IFERROR(VLOOKUP(Substitution!$M$14 &amp; $A2, US_national_yearly!$D:$AM, MATCH(T$1, US_national_yearly!$D$1:$AM$1, 0), FALSE) / VLOOKUP(Substitution!$M$14 &amp; $A2, US_national_yearly!$D:$AM, MATCH(Keys!$C$7, US_national_yearly!$D$1:$AM$1, 0), FALSE), 1)</f>
        <v>5.8183074572726562E-2</v>
      </c>
      <c r="U2" s="12">
        <f>$B2 * IFERROR(VLOOKUP(Substitution!$M$14 &amp; $A2, US_national_yearly!$D:$AM, MATCH(U$1, US_national_yearly!$D$1:$AM$1, 0), FALSE) / VLOOKUP(Substitution!$M$14 &amp; $A2, US_national_yearly!$D:$AM, MATCH(Keys!$C$7, US_national_yearly!$D$1:$AM$1, 0), FALSE), 1)</f>
        <v>5.8495313728160331E-2</v>
      </c>
      <c r="V2" s="12">
        <f>$B2 * IFERROR(VLOOKUP(Substitution!$M$14 &amp; $A2, US_national_yearly!$D:$AM, MATCH(V$1, US_national_yearly!$D$1:$AM$1, 0), FALSE) / VLOOKUP(Substitution!$M$14 &amp; $A2, US_national_yearly!$D:$AM, MATCH(Keys!$C$7, US_national_yearly!$D$1:$AM$1, 0), FALSE), 1)</f>
        <v>5.8807552883594079E-2</v>
      </c>
      <c r="W2" s="12">
        <f>$B2 * IFERROR(VLOOKUP(Substitution!$M$14 &amp; $A2, US_national_yearly!$D:$AM, MATCH(W$1, US_national_yearly!$D$1:$AM$1, 0), FALSE) / VLOOKUP(Substitution!$M$14 &amp; $A2, US_national_yearly!$D:$AM, MATCH(Keys!$C$7, US_national_yearly!$D$1:$AM$1, 0), FALSE), 1)</f>
        <v>5.911979203902782E-2</v>
      </c>
      <c r="X2" s="12">
        <f>$B2 * IFERROR(VLOOKUP(Substitution!$M$14 &amp; $A2, US_national_yearly!$D:$AM, MATCH(X$1, US_national_yearly!$D$1:$AM$1, 0), FALSE) / VLOOKUP(Substitution!$M$14 &amp; $A2, US_national_yearly!$D:$AM, MATCH(Keys!$C$7, US_national_yearly!$D$1:$AM$1, 0), FALSE), 1)</f>
        <v>5.9184258480441787E-2</v>
      </c>
      <c r="Y2" s="12">
        <f>$B2 * IFERROR(VLOOKUP(Substitution!$M$14 &amp; $A2, US_national_yearly!$D:$AM, MATCH(Y$1, US_national_yearly!$D$1:$AM$1, 0), FALSE) / VLOOKUP(Substitution!$M$14 &amp; $A2, US_national_yearly!$D:$AM, MATCH(Keys!$C$7, US_national_yearly!$D$1:$AM$1, 0), FALSE), 1)</f>
        <v>5.9248724921855789E-2</v>
      </c>
      <c r="Z2" s="12">
        <f>$B2 * IFERROR(VLOOKUP(Substitution!$M$14 &amp; $A2, US_national_yearly!$D:$AM, MATCH(Z$1, US_national_yearly!$D$1:$AM$1, 0), FALSE) / VLOOKUP(Substitution!$M$14 &amp; $A2, US_national_yearly!$D:$AM, MATCH(Keys!$C$7, US_national_yearly!$D$1:$AM$1, 0), FALSE), 1)</f>
        <v>5.9313191363269756E-2</v>
      </c>
      <c r="AA2" s="12">
        <f>$B2 * IFERROR(VLOOKUP(Substitution!$M$14 &amp; $A2, US_national_yearly!$D:$AM, MATCH(AA$1, US_national_yearly!$D$1:$AM$1, 0), FALSE) / VLOOKUP(Substitution!$M$14 &amp; $A2, US_national_yearly!$D:$AM, MATCH(Keys!$C$7, US_national_yearly!$D$1:$AM$1, 0), FALSE), 1)</f>
        <v>5.9377657804683737E-2</v>
      </c>
      <c r="AB2" s="12">
        <f>$B2 * IFERROR(VLOOKUP(Substitution!$M$14 &amp; $A2, US_national_yearly!$D:$AM, MATCH(AB$1, US_national_yearly!$D$1:$AM$1, 0), FALSE) / VLOOKUP(Substitution!$M$14 &amp; $A2, US_national_yearly!$D:$AM, MATCH(Keys!$C$7, US_national_yearly!$D$1:$AM$1, 0), FALSE), 1)</f>
        <v>5.9442124246097718E-2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Substitution!$G$14)/IFERROR(SUMIFS(COBRA_aggregated!$U:$U, COBRA_aggregated!$A:$A, About!$B$1, COBRA_aggregated!$B:$B, Substitution!$G$14), 1)</f>
        <v>9.8170012937815021E-5</v>
      </c>
      <c r="C3" s="12">
        <f>$B3 * IFERROR(VLOOKUP(Substitution!$M$14 &amp; $A3, US_national_yearly!$D:$AM, MATCH(C$1, US_national_yearly!$D$1:$AM$1, 0), FALSE) / VLOOKUP(Substitution!$M$14 &amp; $A3, US_national_yearly!$D:$AM, MATCH(Keys!$C$7, US_national_yearly!$D$1:$AM$1, 0), FALSE), 1)</f>
        <v>9.7315261473650321E-5</v>
      </c>
      <c r="D3" s="12">
        <f>$B3 * IFERROR(VLOOKUP(Substitution!$M$14 &amp; $A3, US_national_yearly!$D:$AM, MATCH(D$1, US_national_yearly!$D$1:$AM$1, 0), FALSE) / VLOOKUP(Substitution!$M$14 &amp; $A3, US_national_yearly!$D:$AM, MATCH(Keys!$C$7, US_national_yearly!$D$1:$AM$1, 0), FALSE), 1)</f>
        <v>9.6460510009485593E-5</v>
      </c>
      <c r="E3" s="12">
        <f>$B3 * IFERROR(VLOOKUP(Substitution!$M$14 &amp; $A3, US_national_yearly!$D:$AM, MATCH(E$1, US_national_yearly!$D$1:$AM$1, 0), FALSE) / VLOOKUP(Substitution!$M$14 &amp; $A3, US_national_yearly!$D:$AM, MATCH(Keys!$C$7, US_national_yearly!$D$1:$AM$1, 0), FALSE), 1)</f>
        <v>9.5605758545320866E-5</v>
      </c>
      <c r="F3" s="12">
        <f>$B3 * IFERROR(VLOOKUP(Substitution!$M$14 &amp; $A3, US_national_yearly!$D:$AM, MATCH(F$1, US_national_yearly!$D$1:$AM$1, 0), FALSE) / VLOOKUP(Substitution!$M$14 &amp; $A3, US_national_yearly!$D:$AM, MATCH(Keys!$C$7, US_national_yearly!$D$1:$AM$1, 0), FALSE), 1)</f>
        <v>9.4751007081156165E-5</v>
      </c>
      <c r="G3" s="12">
        <f>$B3 * IFERROR(VLOOKUP(Substitution!$M$14 &amp; $A3, US_national_yearly!$D:$AM, MATCH(G$1, US_national_yearly!$D$1:$AM$1, 0), FALSE) / VLOOKUP(Substitution!$M$14 &amp; $A3, US_national_yearly!$D:$AM, MATCH(Keys!$C$7, US_national_yearly!$D$1:$AM$1, 0), FALSE), 1)</f>
        <v>6.2955885672491262E-5</v>
      </c>
      <c r="H3" s="12">
        <f>$B3 * IFERROR(VLOOKUP(Substitution!$M$14 &amp; $A3, US_national_yearly!$D:$AM, MATCH(H$1, US_national_yearly!$D$1:$AM$1, 0), FALSE) / VLOOKUP(Substitution!$M$14 &amp; $A3, US_national_yearly!$D:$AM, MATCH(Keys!$C$7, US_national_yearly!$D$1:$AM$1, 0), FALSE), 1)</f>
        <v>3.1160764263826365E-5</v>
      </c>
      <c r="I3" s="12">
        <f>$B3 * IFERROR(VLOOKUP(Substitution!$M$14 &amp; $A3, US_national_yearly!$D:$AM, MATCH(I$1, US_national_yearly!$D$1:$AM$1, 0), FALSE) / VLOOKUP(Substitution!$M$14 &amp; $A3, US_national_yearly!$D:$AM, MATCH(Keys!$C$7, US_national_yearly!$D$1:$AM$1, 0), FALSE), 1)</f>
        <v>3.0953358643371979E-5</v>
      </c>
      <c r="J3" s="12">
        <f>$B3 * IFERROR(VLOOKUP(Substitution!$M$14 &amp; $A3, US_national_yearly!$D:$AM, MATCH(J$1, US_national_yearly!$D$1:$AM$1, 0), FALSE) / VLOOKUP(Substitution!$M$14 &amp; $A3, US_national_yearly!$D:$AM, MATCH(Keys!$C$7, US_national_yearly!$D$1:$AM$1, 0), FALSE), 1)</f>
        <v>3.0745953022917586E-5</v>
      </c>
      <c r="K3" s="12">
        <f>$B3 * IFERROR(VLOOKUP(Substitution!$M$14 &amp; $A3, US_national_yearly!$D:$AM, MATCH(K$1, US_national_yearly!$D$1:$AM$1, 0), FALSE) / VLOOKUP(Substitution!$M$14 &amp; $A3, US_national_yearly!$D:$AM, MATCH(Keys!$C$7, US_national_yearly!$D$1:$AM$1, 0), FALSE), 1)</f>
        <v>3.05385474024632E-5</v>
      </c>
      <c r="L3" s="12">
        <f>$B3 * IFERROR(VLOOKUP(Substitution!$M$14 &amp; $A3, US_national_yearly!$D:$AM, MATCH(L$1, US_national_yearly!$D$1:$AM$1, 0), FALSE) / VLOOKUP(Substitution!$M$14 &amp; $A3, US_national_yearly!$D:$AM, MATCH(Keys!$C$7, US_national_yearly!$D$1:$AM$1, 0), FALSE), 1)</f>
        <v>3.0331141782008803E-5</v>
      </c>
      <c r="M3" s="12">
        <f>$B3 * IFERROR(VLOOKUP(Substitution!$M$14 &amp; $A3, US_national_yearly!$D:$AM, MATCH(M$1, US_national_yearly!$D$1:$AM$1, 0), FALSE) / VLOOKUP(Substitution!$M$14 &amp; $A3, US_national_yearly!$D:$AM, MATCH(Keys!$C$7, US_national_yearly!$D$1:$AM$1, 0), FALSE), 1)</f>
        <v>3.0123736161554421E-5</v>
      </c>
      <c r="N3" s="12">
        <f>$B3 * IFERROR(VLOOKUP(Substitution!$M$14 &amp; $A3, US_national_yearly!$D:$AM, MATCH(N$1, US_national_yearly!$D$1:$AM$1, 0), FALSE) / VLOOKUP(Substitution!$M$14 &amp; $A3, US_national_yearly!$D:$AM, MATCH(Keys!$C$7, US_national_yearly!$D$1:$AM$1, 0), FALSE), 1)</f>
        <v>2.9991391178724674E-5</v>
      </c>
      <c r="O3" s="12">
        <f>$B3 * IFERROR(VLOOKUP(Substitution!$M$14 &amp; $A3, US_national_yearly!$D:$AM, MATCH(O$1, US_national_yearly!$D$1:$AM$1, 0), FALSE) / VLOOKUP(Substitution!$M$14 &amp; $A3, US_national_yearly!$D:$AM, MATCH(Keys!$C$7, US_national_yearly!$D$1:$AM$1, 0), FALSE), 1)</f>
        <v>2.9859046195894938E-5</v>
      </c>
      <c r="P3" s="12">
        <f>$B3 * IFERROR(VLOOKUP(Substitution!$M$14 &amp; $A3, US_national_yearly!$D:$AM, MATCH(P$1, US_national_yearly!$D$1:$AM$1, 0), FALSE) / VLOOKUP(Substitution!$M$14 &amp; $A3, US_national_yearly!$D:$AM, MATCH(Keys!$C$7, US_national_yearly!$D$1:$AM$1, 0), FALSE), 1)</f>
        <v>2.9726701213065206E-5</v>
      </c>
      <c r="Q3" s="12">
        <f>$B3 * IFERROR(VLOOKUP(Substitution!$M$14 &amp; $A3, US_national_yearly!$D:$AM, MATCH(Q$1, US_national_yearly!$D$1:$AM$1, 0), FALSE) / VLOOKUP(Substitution!$M$14 &amp; $A3, US_national_yearly!$D:$AM, MATCH(Keys!$C$7, US_national_yearly!$D$1:$AM$1, 0), FALSE), 1)</f>
        <v>2.9594356230235466E-5</v>
      </c>
      <c r="R3" s="12">
        <f>$B3 * IFERROR(VLOOKUP(Substitution!$M$14 &amp; $A3, US_national_yearly!$D:$AM, MATCH(R$1, US_national_yearly!$D$1:$AM$1, 0), FALSE) / VLOOKUP(Substitution!$M$14 &amp; $A3, US_national_yearly!$D:$AM, MATCH(Keys!$C$7, US_national_yearly!$D$1:$AM$1, 0), FALSE), 1)</f>
        <v>2.946201124740573E-5</v>
      </c>
      <c r="S3" s="12">
        <f>$B3 * IFERROR(VLOOKUP(Substitution!$M$14 &amp; $A3, US_national_yearly!$D:$AM, MATCH(S$1, US_national_yearly!$D$1:$AM$1, 0), FALSE) / VLOOKUP(Substitution!$M$14 &amp; $A3, US_national_yearly!$D:$AM, MATCH(Keys!$C$7, US_national_yearly!$D$1:$AM$1, 0), FALSE), 1)</f>
        <v>2.9299238868002569E-5</v>
      </c>
      <c r="T3" s="12">
        <f>$B3 * IFERROR(VLOOKUP(Substitution!$M$14 &amp; $A3, US_national_yearly!$D:$AM, MATCH(T$1, US_national_yearly!$D$1:$AM$1, 0), FALSE) / VLOOKUP(Substitution!$M$14 &amp; $A3, US_national_yearly!$D:$AM, MATCH(Keys!$C$7, US_national_yearly!$D$1:$AM$1, 0), FALSE), 1)</f>
        <v>2.9136466488599411E-5</v>
      </c>
      <c r="U3" s="12">
        <f>$B3 * IFERROR(VLOOKUP(Substitution!$M$14 &amp; $A3, US_national_yearly!$D:$AM, MATCH(U$1, US_national_yearly!$D$1:$AM$1, 0), FALSE) / VLOOKUP(Substitution!$M$14 &amp; $A3, US_national_yearly!$D:$AM, MATCH(Keys!$C$7, US_national_yearly!$D$1:$AM$1, 0), FALSE), 1)</f>
        <v>2.8973694109196249E-5</v>
      </c>
      <c r="V3" s="12">
        <f>$B3 * IFERROR(VLOOKUP(Substitution!$M$14 &amp; $A3, US_national_yearly!$D:$AM, MATCH(V$1, US_national_yearly!$D$1:$AM$1, 0), FALSE) / VLOOKUP(Substitution!$M$14 &amp; $A3, US_national_yearly!$D:$AM, MATCH(Keys!$C$7, US_national_yearly!$D$1:$AM$1, 0), FALSE), 1)</f>
        <v>2.8810921729793094E-5</v>
      </c>
      <c r="W3" s="12">
        <f>$B3 * IFERROR(VLOOKUP(Substitution!$M$14 &amp; $A3, US_national_yearly!$D:$AM, MATCH(W$1, US_national_yearly!$D$1:$AM$1, 0), FALSE) / VLOOKUP(Substitution!$M$14 &amp; $A3, US_national_yearly!$D:$AM, MATCH(Keys!$C$7, US_national_yearly!$D$1:$AM$1, 0), FALSE), 1)</f>
        <v>2.8648149350389936E-5</v>
      </c>
      <c r="X3" s="12">
        <f>$B3 * IFERROR(VLOOKUP(Substitution!$M$14 &amp; $A3, US_national_yearly!$D:$AM, MATCH(X$1, US_national_yearly!$D$1:$AM$1, 0), FALSE) / VLOOKUP(Substitution!$M$14 &amp; $A3, US_national_yearly!$D:$AM, MATCH(Keys!$C$7, US_national_yearly!$D$1:$AM$1, 0), FALSE), 1)</f>
        <v>2.8474206667053502E-5</v>
      </c>
      <c r="Y3" s="12">
        <f>$B3 * IFERROR(VLOOKUP(Substitution!$M$14 &amp; $A3, US_national_yearly!$D:$AM, MATCH(Y$1, US_national_yearly!$D$1:$AM$1, 0), FALSE) / VLOOKUP(Substitution!$M$14 &amp; $A3, US_national_yearly!$D:$AM, MATCH(Keys!$C$7, US_national_yearly!$D$1:$AM$1, 0), FALSE), 1)</f>
        <v>2.8300263983717064E-5</v>
      </c>
      <c r="Z3" s="12">
        <f>$B3 * IFERROR(VLOOKUP(Substitution!$M$14 &amp; $A3, US_national_yearly!$D:$AM, MATCH(Z$1, US_national_yearly!$D$1:$AM$1, 0), FALSE) / VLOOKUP(Substitution!$M$14 &amp; $A3, US_national_yearly!$D:$AM, MATCH(Keys!$C$7, US_national_yearly!$D$1:$AM$1, 0), FALSE), 1)</f>
        <v>2.8126321300380627E-5</v>
      </c>
      <c r="AA3" s="12">
        <f>$B3 * IFERROR(VLOOKUP(Substitution!$M$14 &amp; $A3, US_national_yearly!$D:$AM, MATCH(AA$1, US_national_yearly!$D$1:$AM$1, 0), FALSE) / VLOOKUP(Substitution!$M$14 &amp; $A3, US_national_yearly!$D:$AM, MATCH(Keys!$C$7, US_national_yearly!$D$1:$AM$1, 0), FALSE), 1)</f>
        <v>2.795237861704419E-5</v>
      </c>
      <c r="AB3" s="12">
        <f>$B3 * IFERROR(VLOOKUP(Substitution!$M$14 &amp; $A3, US_national_yearly!$D:$AM, MATCH(AB$1, US_national_yearly!$D$1:$AM$1, 0), FALSE) / VLOOKUP(Substitution!$M$14 &amp; $A3, US_national_yearly!$D:$AM, MATCH(Keys!$C$7, US_national_yearly!$D$1:$AM$1, 0), FALSE), 1)</f>
        <v>2.7778435933707756E-5</v>
      </c>
    </row>
    <row r="4" spans="1:28" x14ac:dyDescent="0.25">
      <c r="A4" s="4" t="s">
        <v>295</v>
      </c>
      <c r="B4" s="12">
        <f>IFERROR(VLOOKUP(Substitution!$M$14 &amp; $A4, US_national_yearly!$D:$AM, MATCH(Keys!$C$7, US_national_yearly!$D$1:$AM$1, 0), FALSE), 0)</f>
        <v>5.9279338971477564</v>
      </c>
      <c r="C4" s="12">
        <f>$B4 * IFERROR(VLOOKUP(Substitution!$M$14 &amp; $A4, US_national_yearly!$D:$AM, MATCH(C$1, US_national_yearly!$D$1:$AM$1, 0), FALSE) / VLOOKUP(Substitution!$M$14 &amp; $A4, US_national_yearly!$D:$AM, MATCH(Keys!$C$7, US_national_yearly!$D$1:$AM$1, 0), FALSE), 1)</f>
        <v>5.9875993380179731</v>
      </c>
      <c r="D4" s="12">
        <f>$B4 * IFERROR(VLOOKUP(Substitution!$M$14 &amp; $A4, US_national_yearly!$D:$AM, MATCH(D$1, US_national_yearly!$D$1:$AM$1, 0), FALSE) / VLOOKUP(Substitution!$M$14 &amp; $A4, US_national_yearly!$D:$AM, MATCH(Keys!$C$7, US_national_yearly!$D$1:$AM$1, 0), FALSE), 1)</f>
        <v>6.0472647788881879</v>
      </c>
      <c r="E4" s="12">
        <f>$B4 * IFERROR(VLOOKUP(Substitution!$M$14 &amp; $A4, US_national_yearly!$D:$AM, MATCH(E$1, US_national_yearly!$D$1:$AM$1, 0), FALSE) / VLOOKUP(Substitution!$M$14 &amp; $A4, US_national_yearly!$D:$AM, MATCH(Keys!$C$7, US_national_yearly!$D$1:$AM$1, 0), FALSE), 1)</f>
        <v>6.1069302197584054</v>
      </c>
      <c r="F4" s="12">
        <f>$B4 * IFERROR(VLOOKUP(Substitution!$M$14 &amp; $A4, US_national_yearly!$D:$AM, MATCH(F$1, US_national_yearly!$D$1:$AM$1, 0), FALSE) / VLOOKUP(Substitution!$M$14 &amp; $A4, US_national_yearly!$D:$AM, MATCH(Keys!$C$7, US_national_yearly!$D$1:$AM$1, 0), FALSE), 1)</f>
        <v>6.1665956606286203</v>
      </c>
      <c r="G4" s="12">
        <f>$B4 * IFERROR(VLOOKUP(Substitution!$M$14 &amp; $A4, US_national_yearly!$D:$AM, MATCH(G$1, US_national_yearly!$D$1:$AM$1, 0), FALSE) / VLOOKUP(Substitution!$M$14 &amp; $A4, US_national_yearly!$D:$AM, MATCH(Keys!$C$7, US_national_yearly!$D$1:$AM$1, 0), FALSE), 1)</f>
        <v>6.2359545633461648</v>
      </c>
      <c r="H4" s="12">
        <f>$B4 * IFERROR(VLOOKUP(Substitution!$M$14 &amp; $A4, US_national_yearly!$D:$AM, MATCH(H$1, US_national_yearly!$D$1:$AM$1, 0), FALSE) / VLOOKUP(Substitution!$M$14 &amp; $A4, US_national_yearly!$D:$AM, MATCH(Keys!$C$7, US_national_yearly!$D$1:$AM$1, 0), FALSE), 1)</f>
        <v>6.3053134660637111</v>
      </c>
      <c r="I4" s="12">
        <f>$B4 * IFERROR(VLOOKUP(Substitution!$M$14 &amp; $A4, US_national_yearly!$D:$AM, MATCH(I$1, US_national_yearly!$D$1:$AM$1, 0), FALSE) / VLOOKUP(Substitution!$M$14 &amp; $A4, US_national_yearly!$D:$AM, MATCH(Keys!$C$7, US_national_yearly!$D$1:$AM$1, 0), FALSE), 1)</f>
        <v>6.3552231245390374</v>
      </c>
      <c r="J4" s="12">
        <f>$B4 * IFERROR(VLOOKUP(Substitution!$M$14 &amp; $A4, US_national_yearly!$D:$AM, MATCH(J$1, US_national_yearly!$D$1:$AM$1, 0), FALSE) / VLOOKUP(Substitution!$M$14 &amp; $A4, US_national_yearly!$D:$AM, MATCH(Keys!$C$7, US_national_yearly!$D$1:$AM$1, 0), FALSE), 1)</f>
        <v>6.4051327830143663</v>
      </c>
      <c r="K4" s="12">
        <f>$B4 * IFERROR(VLOOKUP(Substitution!$M$14 &amp; $A4, US_national_yearly!$D:$AM, MATCH(K$1, US_national_yearly!$D$1:$AM$1, 0), FALSE) / VLOOKUP(Substitution!$M$14 &amp; $A4, US_national_yearly!$D:$AM, MATCH(Keys!$C$7, US_national_yearly!$D$1:$AM$1, 0), FALSE), 1)</f>
        <v>6.4550424414896943</v>
      </c>
      <c r="L4" s="12">
        <f>$B4 * IFERROR(VLOOKUP(Substitution!$M$14 &amp; $A4, US_national_yearly!$D:$AM, MATCH(L$1, US_national_yearly!$D$1:$AM$1, 0), FALSE) / VLOOKUP(Substitution!$M$14 &amp; $A4, US_national_yearly!$D:$AM, MATCH(Keys!$C$7, US_national_yearly!$D$1:$AM$1, 0), FALSE), 1)</f>
        <v>6.5049520999650232</v>
      </c>
      <c r="M4" s="12">
        <f>$B4 * IFERROR(VLOOKUP(Substitution!$M$14 &amp; $A4, US_national_yearly!$D:$AM, MATCH(M$1, US_national_yearly!$D$1:$AM$1, 0), FALSE) / VLOOKUP(Substitution!$M$14 &amp; $A4, US_national_yearly!$D:$AM, MATCH(Keys!$C$7, US_national_yearly!$D$1:$AM$1, 0), FALSE), 1)</f>
        <v>6.5548617584403495</v>
      </c>
      <c r="N4" s="12">
        <f>$B4 * IFERROR(VLOOKUP(Substitution!$M$14 &amp; $A4, US_national_yearly!$D:$AM, MATCH(N$1, US_national_yearly!$D$1:$AM$1, 0), FALSE) / VLOOKUP(Substitution!$M$14 &amp; $A4, US_national_yearly!$D:$AM, MATCH(Keys!$C$7, US_national_yearly!$D$1:$AM$1, 0), FALSE), 1)</f>
        <v>6.5753853620493858</v>
      </c>
      <c r="O4" s="12">
        <f>$B4 * IFERROR(VLOOKUP(Substitution!$M$14 &amp; $A4, US_national_yearly!$D:$AM, MATCH(O$1, US_national_yearly!$D$1:$AM$1, 0), FALSE) / VLOOKUP(Substitution!$M$14 &amp; $A4, US_national_yearly!$D:$AM, MATCH(Keys!$C$7, US_national_yearly!$D$1:$AM$1, 0), FALSE), 1)</f>
        <v>6.5959089656584231</v>
      </c>
      <c r="P4" s="12">
        <f>$B4 * IFERROR(VLOOKUP(Substitution!$M$14 &amp; $A4, US_national_yearly!$D:$AM, MATCH(P$1, US_national_yearly!$D$1:$AM$1, 0), FALSE) / VLOOKUP(Substitution!$M$14 &amp; $A4, US_national_yearly!$D:$AM, MATCH(Keys!$C$7, US_national_yearly!$D$1:$AM$1, 0), FALSE), 1)</f>
        <v>6.6164325692674577</v>
      </c>
      <c r="Q4" s="12">
        <f>$B4 * IFERROR(VLOOKUP(Substitution!$M$14 &amp; $A4, US_national_yearly!$D:$AM, MATCH(Q$1, US_national_yearly!$D$1:$AM$1, 0), FALSE) / VLOOKUP(Substitution!$M$14 &amp; $A4, US_national_yearly!$D:$AM, MATCH(Keys!$C$7, US_national_yearly!$D$1:$AM$1, 0), FALSE), 1)</f>
        <v>6.6369561728764941</v>
      </c>
      <c r="R4" s="12">
        <f>$B4 * IFERROR(VLOOKUP(Substitution!$M$14 &amp; $A4, US_national_yearly!$D:$AM, MATCH(R$1, US_national_yearly!$D$1:$AM$1, 0), FALSE) / VLOOKUP(Substitution!$M$14 &amp; $A4, US_national_yearly!$D:$AM, MATCH(Keys!$C$7, US_national_yearly!$D$1:$AM$1, 0), FALSE), 1)</f>
        <v>6.6574797764855296</v>
      </c>
      <c r="S4" s="12">
        <f>$B4 * IFERROR(VLOOKUP(Substitution!$M$14 &amp; $A4, US_national_yearly!$D:$AM, MATCH(S$1, US_national_yearly!$D$1:$AM$1, 0), FALSE) / VLOOKUP(Substitution!$M$14 &amp; $A4, US_national_yearly!$D:$AM, MATCH(Keys!$C$7, US_national_yearly!$D$1:$AM$1, 0), FALSE), 1)</f>
        <v>6.6822538810129473</v>
      </c>
      <c r="T4" s="12">
        <f>$B4 * IFERROR(VLOOKUP(Substitution!$M$14 &amp; $A4, US_national_yearly!$D:$AM, MATCH(T$1, US_national_yearly!$D$1:$AM$1, 0), FALSE) / VLOOKUP(Substitution!$M$14 &amp; $A4, US_national_yearly!$D:$AM, MATCH(Keys!$C$7, US_national_yearly!$D$1:$AM$1, 0), FALSE), 1)</f>
        <v>6.7070279855403658</v>
      </c>
      <c r="U4" s="12">
        <f>$B4 * IFERROR(VLOOKUP(Substitution!$M$14 &amp; $A4, US_national_yearly!$D:$AM, MATCH(U$1, US_national_yearly!$D$1:$AM$1, 0), FALSE) / VLOOKUP(Substitution!$M$14 &amp; $A4, US_national_yearly!$D:$AM, MATCH(Keys!$C$7, US_national_yearly!$D$1:$AM$1, 0), FALSE), 1)</f>
        <v>6.7318020900677835</v>
      </c>
      <c r="V4" s="12">
        <f>$B4 * IFERROR(VLOOKUP(Substitution!$M$14 &amp; $A4, US_national_yearly!$D:$AM, MATCH(V$1, US_national_yearly!$D$1:$AM$1, 0), FALSE) / VLOOKUP(Substitution!$M$14 &amp; $A4, US_national_yearly!$D:$AM, MATCH(Keys!$C$7, US_national_yearly!$D$1:$AM$1, 0), FALSE), 1)</f>
        <v>6.7565761945952021</v>
      </c>
      <c r="W4" s="12">
        <f>$B4 * IFERROR(VLOOKUP(Substitution!$M$14 &amp; $A4, US_national_yearly!$D:$AM, MATCH(W$1, US_national_yearly!$D$1:$AM$1, 0), FALSE) / VLOOKUP(Substitution!$M$14 &amp; $A4, US_national_yearly!$D:$AM, MATCH(Keys!$C$7, US_national_yearly!$D$1:$AM$1, 0), FALSE), 1)</f>
        <v>6.7813502991226207</v>
      </c>
      <c r="X4" s="12">
        <f>$B4 * IFERROR(VLOOKUP(Substitution!$M$14 &amp; $A4, US_national_yearly!$D:$AM, MATCH(X$1, US_national_yearly!$D$1:$AM$1, 0), FALSE) / VLOOKUP(Substitution!$M$14 &amp; $A4, US_national_yearly!$D:$AM, MATCH(Keys!$C$7, US_national_yearly!$D$1:$AM$1, 0), FALSE), 1)</f>
        <v>6.8086767099782266</v>
      </c>
      <c r="Y4" s="12">
        <f>$B4 * IFERROR(VLOOKUP(Substitution!$M$14 &amp; $A4, US_national_yearly!$D:$AM, MATCH(Y$1, US_national_yearly!$D$1:$AM$1, 0), FALSE) / VLOOKUP(Substitution!$M$14 &amp; $A4, US_national_yearly!$D:$AM, MATCH(Keys!$C$7, US_national_yearly!$D$1:$AM$1, 0), FALSE), 1)</f>
        <v>6.8360031208338361</v>
      </c>
      <c r="Z4" s="12">
        <f>$B4 * IFERROR(VLOOKUP(Substitution!$M$14 &amp; $A4, US_national_yearly!$D:$AM, MATCH(Z$1, US_national_yearly!$D$1:$AM$1, 0), FALSE) / VLOOKUP(Substitution!$M$14 &amp; $A4, US_national_yearly!$D:$AM, MATCH(Keys!$C$7, US_national_yearly!$D$1:$AM$1, 0), FALSE), 1)</f>
        <v>6.8633295316894438</v>
      </c>
      <c r="AA4" s="12">
        <f>$B4 * IFERROR(VLOOKUP(Substitution!$M$14 &amp; $A4, US_national_yearly!$D:$AM, MATCH(AA$1, US_national_yearly!$D$1:$AM$1, 0), FALSE) / VLOOKUP(Substitution!$M$14 &amp; $A4, US_national_yearly!$D:$AM, MATCH(Keys!$C$7, US_national_yearly!$D$1:$AM$1, 0), FALSE), 1)</f>
        <v>6.8906559425450533</v>
      </c>
      <c r="AB4" s="12">
        <f>$B4 * IFERROR(VLOOKUP(Substitution!$M$14 &amp; $A4, US_national_yearly!$D:$AM, MATCH(AB$1, US_national_yearly!$D$1:$AM$1, 0), FALSE) / VLOOKUP(Substitution!$M$14 &amp; $A4, US_national_yearly!$D:$AM, MATCH(Keys!$C$7, US_national_yearly!$D$1:$AM$1, 0), FALSE), 1)</f>
        <v>6.9179823534006593</v>
      </c>
    </row>
    <row r="5" spans="1:28" x14ac:dyDescent="0.25">
      <c r="A5" s="4" t="s">
        <v>297</v>
      </c>
      <c r="B5" s="12">
        <f>IFERROR(VLOOKUP(Substitution!$M$14 &amp; $A5, US_national_yearly!$D:$AM, MATCH(Keys!$C$7, US_national_yearly!$D$1:$AM$1, 0), FALSE), 0)</f>
        <v>0</v>
      </c>
      <c r="C5" s="12">
        <f>$B5 * IFERROR(VLOOKUP(Substitution!$M$14 &amp; $A5, US_national_yearly!$D:$AM, MATCH(C$1, US_national_yearly!$D$1:$AM$1, 0), FALSE) / VLOOKUP(Substitution!$M$14 &amp; $A5, US_national_yearly!$D:$AM, MATCH(Keys!$C$7, US_national_yearly!$D$1:$AM$1, 0), FALSE), 1)</f>
        <v>0</v>
      </c>
      <c r="D5" s="12">
        <f>$B5 * IFERROR(VLOOKUP(Substitution!$M$14 &amp; $A5, US_national_yearly!$D:$AM, MATCH(D$1, US_national_yearly!$D$1:$AM$1, 0), FALSE) / VLOOKUP(Substitution!$M$14 &amp; $A5, US_national_yearly!$D:$AM, MATCH(Keys!$C$7, US_national_yearly!$D$1:$AM$1, 0), FALSE), 1)</f>
        <v>0</v>
      </c>
      <c r="E5" s="12">
        <f>$B5 * IFERROR(VLOOKUP(Substitution!$M$14 &amp; $A5, US_national_yearly!$D:$AM, MATCH(E$1, US_national_yearly!$D$1:$AM$1, 0), FALSE) / VLOOKUP(Substitution!$M$14 &amp; $A5, US_national_yearly!$D:$AM, MATCH(Keys!$C$7, US_national_yearly!$D$1:$AM$1, 0), FALSE), 1)</f>
        <v>0</v>
      </c>
      <c r="F5" s="12">
        <f>$B5 * IFERROR(VLOOKUP(Substitution!$M$14 &amp; $A5, US_national_yearly!$D:$AM, MATCH(F$1, US_national_yearly!$D$1:$AM$1, 0), FALSE) / VLOOKUP(Substitution!$M$14 &amp; $A5, US_national_yearly!$D:$AM, MATCH(Keys!$C$7, US_national_yearly!$D$1:$AM$1, 0), FALSE), 1)</f>
        <v>0</v>
      </c>
      <c r="G5" s="12">
        <f>$B5 * IFERROR(VLOOKUP(Substitution!$M$14 &amp; $A5, US_national_yearly!$D:$AM, MATCH(G$1, US_national_yearly!$D$1:$AM$1, 0), FALSE) / VLOOKUP(Substitution!$M$14 &amp; $A5, US_national_yearly!$D:$AM, MATCH(Keys!$C$7, US_national_yearly!$D$1:$AM$1, 0), FALSE), 1)</f>
        <v>0</v>
      </c>
      <c r="H5" s="12">
        <f>$B5 * IFERROR(VLOOKUP(Substitution!$M$14 &amp; $A5, US_national_yearly!$D:$AM, MATCH(H$1, US_national_yearly!$D$1:$AM$1, 0), FALSE) / VLOOKUP(Substitution!$M$14 &amp; $A5, US_national_yearly!$D:$AM, MATCH(Keys!$C$7, US_national_yearly!$D$1:$AM$1, 0), FALSE), 1)</f>
        <v>0</v>
      </c>
      <c r="I5" s="12">
        <f>$B5 * IFERROR(VLOOKUP(Substitution!$M$14 &amp; $A5, US_national_yearly!$D:$AM, MATCH(I$1, US_national_yearly!$D$1:$AM$1, 0), FALSE) / VLOOKUP(Substitution!$M$14 &amp; $A5, US_national_yearly!$D:$AM, MATCH(Keys!$C$7, US_national_yearly!$D$1:$AM$1, 0), FALSE), 1)</f>
        <v>0</v>
      </c>
      <c r="J5" s="12">
        <f>$B5 * IFERROR(VLOOKUP(Substitution!$M$14 &amp; $A5, US_national_yearly!$D:$AM, MATCH(J$1, US_national_yearly!$D$1:$AM$1, 0), FALSE) / VLOOKUP(Substitution!$M$14 &amp; $A5, US_national_yearly!$D:$AM, MATCH(Keys!$C$7, US_national_yearly!$D$1:$AM$1, 0), FALSE), 1)</f>
        <v>0</v>
      </c>
      <c r="K5" s="12">
        <f>$B5 * IFERROR(VLOOKUP(Substitution!$M$14 &amp; $A5, US_national_yearly!$D:$AM, MATCH(K$1, US_national_yearly!$D$1:$AM$1, 0), FALSE) / VLOOKUP(Substitution!$M$14 &amp; $A5, US_national_yearly!$D:$AM, MATCH(Keys!$C$7, US_national_yearly!$D$1:$AM$1, 0), FALSE), 1)</f>
        <v>0</v>
      </c>
      <c r="L5" s="12">
        <f>$B5 * IFERROR(VLOOKUP(Substitution!$M$14 &amp; $A5, US_national_yearly!$D:$AM, MATCH(L$1, US_national_yearly!$D$1:$AM$1, 0), FALSE) / VLOOKUP(Substitution!$M$14 &amp; $A5, US_national_yearly!$D:$AM, MATCH(Keys!$C$7, US_national_yearly!$D$1:$AM$1, 0), FALSE), 1)</f>
        <v>0</v>
      </c>
      <c r="M5" s="12">
        <f>$B5 * IFERROR(VLOOKUP(Substitution!$M$14 &amp; $A5, US_national_yearly!$D:$AM, MATCH(M$1, US_national_yearly!$D$1:$AM$1, 0), FALSE) / VLOOKUP(Substitution!$M$14 &amp; $A5, US_national_yearly!$D:$AM, MATCH(Keys!$C$7, US_national_yearly!$D$1:$AM$1, 0), FALSE), 1)</f>
        <v>0</v>
      </c>
      <c r="N5" s="12">
        <f>$B5 * IFERROR(VLOOKUP(Substitution!$M$14 &amp; $A5, US_national_yearly!$D:$AM, MATCH(N$1, US_national_yearly!$D$1:$AM$1, 0), FALSE) / VLOOKUP(Substitution!$M$14 &amp; $A5, US_national_yearly!$D:$AM, MATCH(Keys!$C$7, US_national_yearly!$D$1:$AM$1, 0), FALSE), 1)</f>
        <v>0</v>
      </c>
      <c r="O5" s="12">
        <f>$B5 * IFERROR(VLOOKUP(Substitution!$M$14 &amp; $A5, US_national_yearly!$D:$AM, MATCH(O$1, US_national_yearly!$D$1:$AM$1, 0), FALSE) / VLOOKUP(Substitution!$M$14 &amp; $A5, US_national_yearly!$D:$AM, MATCH(Keys!$C$7, US_national_yearly!$D$1:$AM$1, 0), FALSE), 1)</f>
        <v>0</v>
      </c>
      <c r="P5" s="12">
        <f>$B5 * IFERROR(VLOOKUP(Substitution!$M$14 &amp; $A5, US_national_yearly!$D:$AM, MATCH(P$1, US_national_yearly!$D$1:$AM$1, 0), FALSE) / VLOOKUP(Substitution!$M$14 &amp; $A5, US_national_yearly!$D:$AM, MATCH(Keys!$C$7, US_national_yearly!$D$1:$AM$1, 0), FALSE), 1)</f>
        <v>0</v>
      </c>
      <c r="Q5" s="12">
        <f>$B5 * IFERROR(VLOOKUP(Substitution!$M$14 &amp; $A5, US_national_yearly!$D:$AM, MATCH(Q$1, US_national_yearly!$D$1:$AM$1, 0), FALSE) / VLOOKUP(Substitution!$M$14 &amp; $A5, US_national_yearly!$D:$AM, MATCH(Keys!$C$7, US_national_yearly!$D$1:$AM$1, 0), FALSE), 1)</f>
        <v>0</v>
      </c>
      <c r="R5" s="12">
        <f>$B5 * IFERROR(VLOOKUP(Substitution!$M$14 &amp; $A5, US_national_yearly!$D:$AM, MATCH(R$1, US_national_yearly!$D$1:$AM$1, 0), FALSE) / VLOOKUP(Substitution!$M$14 &amp; $A5, US_national_yearly!$D:$AM, MATCH(Keys!$C$7, US_national_yearly!$D$1:$AM$1, 0), FALSE), 1)</f>
        <v>0</v>
      </c>
      <c r="S5" s="12">
        <f>$B5 * IFERROR(VLOOKUP(Substitution!$M$14 &amp; $A5, US_national_yearly!$D:$AM, MATCH(S$1, US_national_yearly!$D$1:$AM$1, 0), FALSE) / VLOOKUP(Substitution!$M$14 &amp; $A5, US_national_yearly!$D:$AM, MATCH(Keys!$C$7, US_national_yearly!$D$1:$AM$1, 0), FALSE), 1)</f>
        <v>0</v>
      </c>
      <c r="T5" s="12">
        <f>$B5 * IFERROR(VLOOKUP(Substitution!$M$14 &amp; $A5, US_national_yearly!$D:$AM, MATCH(T$1, US_national_yearly!$D$1:$AM$1, 0), FALSE) / VLOOKUP(Substitution!$M$14 &amp; $A5, US_national_yearly!$D:$AM, MATCH(Keys!$C$7, US_national_yearly!$D$1:$AM$1, 0), FALSE), 1)</f>
        <v>0</v>
      </c>
      <c r="U5" s="12">
        <f>$B5 * IFERROR(VLOOKUP(Substitution!$M$14 &amp; $A5, US_national_yearly!$D:$AM, MATCH(U$1, US_national_yearly!$D$1:$AM$1, 0), FALSE) / VLOOKUP(Substitution!$M$14 &amp; $A5, US_national_yearly!$D:$AM, MATCH(Keys!$C$7, US_national_yearly!$D$1:$AM$1, 0), FALSE), 1)</f>
        <v>0</v>
      </c>
      <c r="V5" s="12">
        <f>$B5 * IFERROR(VLOOKUP(Substitution!$M$14 &amp; $A5, US_national_yearly!$D:$AM, MATCH(V$1, US_national_yearly!$D$1:$AM$1, 0), FALSE) / VLOOKUP(Substitution!$M$14 &amp; $A5, US_national_yearly!$D:$AM, MATCH(Keys!$C$7, US_national_yearly!$D$1:$AM$1, 0), FALSE), 1)</f>
        <v>0</v>
      </c>
      <c r="W5" s="12">
        <f>$B5 * IFERROR(VLOOKUP(Substitution!$M$14 &amp; $A5, US_national_yearly!$D:$AM, MATCH(W$1, US_national_yearly!$D$1:$AM$1, 0), FALSE) / VLOOKUP(Substitution!$M$14 &amp; $A5, US_national_yearly!$D:$AM, MATCH(Keys!$C$7, US_national_yearly!$D$1:$AM$1, 0), FALSE), 1)</f>
        <v>0</v>
      </c>
      <c r="X5" s="12">
        <f>$B5 * IFERROR(VLOOKUP(Substitution!$M$14 &amp; $A5, US_national_yearly!$D:$AM, MATCH(X$1, US_national_yearly!$D$1:$AM$1, 0), FALSE) / VLOOKUP(Substitution!$M$14 &amp; $A5, US_national_yearly!$D:$AM, MATCH(Keys!$C$7, US_national_yearly!$D$1:$AM$1, 0), FALSE), 1)</f>
        <v>0</v>
      </c>
      <c r="Y5" s="12">
        <f>$B5 * IFERROR(VLOOKUP(Substitution!$M$14 &amp; $A5, US_national_yearly!$D:$AM, MATCH(Y$1, US_national_yearly!$D$1:$AM$1, 0), FALSE) / VLOOKUP(Substitution!$M$14 &amp; $A5, US_national_yearly!$D:$AM, MATCH(Keys!$C$7, US_national_yearly!$D$1:$AM$1, 0), FALSE), 1)</f>
        <v>0</v>
      </c>
      <c r="Z5" s="12">
        <f>$B5 * IFERROR(VLOOKUP(Substitution!$M$14 &amp; $A5, US_national_yearly!$D:$AM, MATCH(Z$1, US_national_yearly!$D$1:$AM$1, 0), FALSE) / VLOOKUP(Substitution!$M$14 &amp; $A5, US_national_yearly!$D:$AM, MATCH(Keys!$C$7, US_national_yearly!$D$1:$AM$1, 0), FALSE), 1)</f>
        <v>0</v>
      </c>
      <c r="AA5" s="12">
        <f>$B5 * IFERROR(VLOOKUP(Substitution!$M$14 &amp; $A5, US_national_yearly!$D:$AM, MATCH(AA$1, US_national_yearly!$D$1:$AM$1, 0), FALSE) / VLOOKUP(Substitution!$M$14 &amp; $A5, US_national_yearly!$D:$AM, MATCH(Keys!$C$7, US_national_yearly!$D$1:$AM$1, 0), FALSE), 1)</f>
        <v>0</v>
      </c>
      <c r="AB5" s="12">
        <f>$B5 * IFERROR(VLOOKUP(Substitution!$M$14 &amp; $A5, US_national_yearly!$D:$AM, MATCH(AB$1, US_national_yearly!$D$1:$AM$1, 0), FALSE) / VLOOKUP(Substitution!$M$14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Substitution!$G$14)/IFERROR(SUMIFS(COBRA_aggregated!$U:$U, COBRA_aggregated!$A:$A, About!$B$1, COBRA_aggregated!$B:$B, Substitution!$G$14), 1)</f>
        <v>9.57159827543861E-2</v>
      </c>
      <c r="C6" s="12">
        <f>$B6 * IFERROR(VLOOKUP(Substitution!$M$14 &amp; $A6, US_national_yearly!$D:$AM, MATCH(C$1, US_national_yearly!$D$1:$AM$1, 0), FALSE) / VLOOKUP(Substitution!$M$14 &amp; $A6, US_national_yearly!$D:$AM, MATCH(Keys!$C$7, US_national_yearly!$D$1:$AM$1, 0), FALSE), 1)</f>
        <v>9.57159827543861E-2</v>
      </c>
      <c r="D6" s="12">
        <f>$B6 * IFERROR(VLOOKUP(Substitution!$M$14 &amp; $A6, US_national_yearly!$D:$AM, MATCH(D$1, US_national_yearly!$D$1:$AM$1, 0), FALSE) / VLOOKUP(Substitution!$M$14 &amp; $A6, US_national_yearly!$D:$AM, MATCH(Keys!$C$7, US_national_yearly!$D$1:$AM$1, 0), FALSE), 1)</f>
        <v>9.57159827543861E-2</v>
      </c>
      <c r="E6" s="12">
        <f>$B6 * IFERROR(VLOOKUP(Substitution!$M$14 &amp; $A6, US_national_yearly!$D:$AM, MATCH(E$1, US_national_yearly!$D$1:$AM$1, 0), FALSE) / VLOOKUP(Substitution!$M$14 &amp; $A6, US_national_yearly!$D:$AM, MATCH(Keys!$C$7, US_national_yearly!$D$1:$AM$1, 0), FALSE), 1)</f>
        <v>9.57159827543861E-2</v>
      </c>
      <c r="F6" s="12">
        <f>$B6 * IFERROR(VLOOKUP(Substitution!$M$14 &amp; $A6, US_national_yearly!$D:$AM, MATCH(F$1, US_national_yearly!$D$1:$AM$1, 0), FALSE) / VLOOKUP(Substitution!$M$14 &amp; $A6, US_national_yearly!$D:$AM, MATCH(Keys!$C$7, US_national_yearly!$D$1:$AM$1, 0), FALSE), 1)</f>
        <v>9.57159827543861E-2</v>
      </c>
      <c r="G6" s="12">
        <f>$B6 * IFERROR(VLOOKUP(Substitution!$M$14 &amp; $A6, US_national_yearly!$D:$AM, MATCH(G$1, US_national_yearly!$D$1:$AM$1, 0), FALSE) / VLOOKUP(Substitution!$M$14 &amp; $A6, US_national_yearly!$D:$AM, MATCH(Keys!$C$7, US_national_yearly!$D$1:$AM$1, 0), FALSE), 1)</f>
        <v>9.57159827543861E-2</v>
      </c>
      <c r="H6" s="12">
        <f>$B6 * IFERROR(VLOOKUP(Substitution!$M$14 &amp; $A6, US_national_yearly!$D:$AM, MATCH(H$1, US_national_yearly!$D$1:$AM$1, 0), FALSE) / VLOOKUP(Substitution!$M$14 &amp; $A6, US_national_yearly!$D:$AM, MATCH(Keys!$C$7, US_national_yearly!$D$1:$AM$1, 0), FALSE), 1)</f>
        <v>9.57159827543861E-2</v>
      </c>
      <c r="I6" s="12">
        <f>$B6 * IFERROR(VLOOKUP(Substitution!$M$14 &amp; $A6, US_national_yearly!$D:$AM, MATCH(I$1, US_national_yearly!$D$1:$AM$1, 0), FALSE) / VLOOKUP(Substitution!$M$14 &amp; $A6, US_national_yearly!$D:$AM, MATCH(Keys!$C$7, US_national_yearly!$D$1:$AM$1, 0), FALSE), 1)</f>
        <v>9.57159827543861E-2</v>
      </c>
      <c r="J6" s="12">
        <f>$B6 * IFERROR(VLOOKUP(Substitution!$M$14 &amp; $A6, US_national_yearly!$D:$AM, MATCH(J$1, US_national_yearly!$D$1:$AM$1, 0), FALSE) / VLOOKUP(Substitution!$M$14 &amp; $A6, US_national_yearly!$D:$AM, MATCH(Keys!$C$7, US_national_yearly!$D$1:$AM$1, 0), FALSE), 1)</f>
        <v>9.57159827543861E-2</v>
      </c>
      <c r="K6" s="12">
        <f>$B6 * IFERROR(VLOOKUP(Substitution!$M$14 &amp; $A6, US_national_yearly!$D:$AM, MATCH(K$1, US_national_yearly!$D$1:$AM$1, 0), FALSE) / VLOOKUP(Substitution!$M$14 &amp; $A6, US_national_yearly!$D:$AM, MATCH(Keys!$C$7, US_national_yearly!$D$1:$AM$1, 0), FALSE), 1)</f>
        <v>9.57159827543861E-2</v>
      </c>
      <c r="L6" s="12">
        <f>$B6 * IFERROR(VLOOKUP(Substitution!$M$14 &amp; $A6, US_national_yearly!$D:$AM, MATCH(L$1, US_national_yearly!$D$1:$AM$1, 0), FALSE) / VLOOKUP(Substitution!$M$14 &amp; $A6, US_national_yearly!$D:$AM, MATCH(Keys!$C$7, US_national_yearly!$D$1:$AM$1, 0), FALSE), 1)</f>
        <v>9.57159827543861E-2</v>
      </c>
      <c r="M6" s="12">
        <f>$B6 * IFERROR(VLOOKUP(Substitution!$M$14 &amp; $A6, US_national_yearly!$D:$AM, MATCH(M$1, US_national_yearly!$D$1:$AM$1, 0), FALSE) / VLOOKUP(Substitution!$M$14 &amp; $A6, US_national_yearly!$D:$AM, MATCH(Keys!$C$7, US_national_yearly!$D$1:$AM$1, 0), FALSE), 1)</f>
        <v>9.57159827543861E-2</v>
      </c>
      <c r="N6" s="12">
        <f>$B6 * IFERROR(VLOOKUP(Substitution!$M$14 &amp; $A6, US_national_yearly!$D:$AM, MATCH(N$1, US_national_yearly!$D$1:$AM$1, 0), FALSE) / VLOOKUP(Substitution!$M$14 &amp; $A6, US_national_yearly!$D:$AM, MATCH(Keys!$C$7, US_national_yearly!$D$1:$AM$1, 0), FALSE), 1)</f>
        <v>9.57159827543861E-2</v>
      </c>
      <c r="O6" s="12">
        <f>$B6 * IFERROR(VLOOKUP(Substitution!$M$14 &amp; $A6, US_national_yearly!$D:$AM, MATCH(O$1, US_national_yearly!$D$1:$AM$1, 0), FALSE) / VLOOKUP(Substitution!$M$14 &amp; $A6, US_national_yearly!$D:$AM, MATCH(Keys!$C$7, US_national_yearly!$D$1:$AM$1, 0), FALSE), 1)</f>
        <v>9.57159827543861E-2</v>
      </c>
      <c r="P6" s="12">
        <f>$B6 * IFERROR(VLOOKUP(Substitution!$M$14 &amp; $A6, US_national_yearly!$D:$AM, MATCH(P$1, US_national_yearly!$D$1:$AM$1, 0), FALSE) / VLOOKUP(Substitution!$M$14 &amp; $A6, US_national_yearly!$D:$AM, MATCH(Keys!$C$7, US_national_yearly!$D$1:$AM$1, 0), FALSE), 1)</f>
        <v>9.57159827543861E-2</v>
      </c>
      <c r="Q6" s="12">
        <f>$B6 * IFERROR(VLOOKUP(Substitution!$M$14 &amp; $A6, US_national_yearly!$D:$AM, MATCH(Q$1, US_national_yearly!$D$1:$AM$1, 0), FALSE) / VLOOKUP(Substitution!$M$14 &amp; $A6, US_national_yearly!$D:$AM, MATCH(Keys!$C$7, US_national_yearly!$D$1:$AM$1, 0), FALSE), 1)</f>
        <v>9.57159827543861E-2</v>
      </c>
      <c r="R6" s="12">
        <f>$B6 * IFERROR(VLOOKUP(Substitution!$M$14 &amp; $A6, US_national_yearly!$D:$AM, MATCH(R$1, US_national_yearly!$D$1:$AM$1, 0), FALSE) / VLOOKUP(Substitution!$M$14 &amp; $A6, US_national_yearly!$D:$AM, MATCH(Keys!$C$7, US_national_yearly!$D$1:$AM$1, 0), FALSE), 1)</f>
        <v>9.57159827543861E-2</v>
      </c>
      <c r="S6" s="12">
        <f>$B6 * IFERROR(VLOOKUP(Substitution!$M$14 &amp; $A6, US_national_yearly!$D:$AM, MATCH(S$1, US_national_yearly!$D$1:$AM$1, 0), FALSE) / VLOOKUP(Substitution!$M$14 &amp; $A6, US_national_yearly!$D:$AM, MATCH(Keys!$C$7, US_national_yearly!$D$1:$AM$1, 0), FALSE), 1)</f>
        <v>9.57159827543861E-2</v>
      </c>
      <c r="T6" s="12">
        <f>$B6 * IFERROR(VLOOKUP(Substitution!$M$14 &amp; $A6, US_national_yearly!$D:$AM, MATCH(T$1, US_national_yearly!$D$1:$AM$1, 0), FALSE) / VLOOKUP(Substitution!$M$14 &amp; $A6, US_national_yearly!$D:$AM, MATCH(Keys!$C$7, US_national_yearly!$D$1:$AM$1, 0), FALSE), 1)</f>
        <v>9.57159827543861E-2</v>
      </c>
      <c r="U6" s="12">
        <f>$B6 * IFERROR(VLOOKUP(Substitution!$M$14 &amp; $A6, US_national_yearly!$D:$AM, MATCH(U$1, US_national_yearly!$D$1:$AM$1, 0), FALSE) / VLOOKUP(Substitution!$M$14 &amp; $A6, US_national_yearly!$D:$AM, MATCH(Keys!$C$7, US_national_yearly!$D$1:$AM$1, 0), FALSE), 1)</f>
        <v>9.57159827543861E-2</v>
      </c>
      <c r="V6" s="12">
        <f>$B6 * IFERROR(VLOOKUP(Substitution!$M$14 &amp; $A6, US_national_yearly!$D:$AM, MATCH(V$1, US_national_yearly!$D$1:$AM$1, 0), FALSE) / VLOOKUP(Substitution!$M$14 &amp; $A6, US_national_yearly!$D:$AM, MATCH(Keys!$C$7, US_national_yearly!$D$1:$AM$1, 0), FALSE), 1)</f>
        <v>9.57159827543861E-2</v>
      </c>
      <c r="W6" s="12">
        <f>$B6 * IFERROR(VLOOKUP(Substitution!$M$14 &amp; $A6, US_national_yearly!$D:$AM, MATCH(W$1, US_national_yearly!$D$1:$AM$1, 0), FALSE) / VLOOKUP(Substitution!$M$14 &amp; $A6, US_national_yearly!$D:$AM, MATCH(Keys!$C$7, US_national_yearly!$D$1:$AM$1, 0), FALSE), 1)</f>
        <v>9.57159827543861E-2</v>
      </c>
      <c r="X6" s="12">
        <f>$B6 * IFERROR(VLOOKUP(Substitution!$M$14 &amp; $A6, US_national_yearly!$D:$AM, MATCH(X$1, US_national_yearly!$D$1:$AM$1, 0), FALSE) / VLOOKUP(Substitution!$M$14 &amp; $A6, US_national_yearly!$D:$AM, MATCH(Keys!$C$7, US_national_yearly!$D$1:$AM$1, 0), FALSE), 1)</f>
        <v>9.57159827543861E-2</v>
      </c>
      <c r="Y6" s="12">
        <f>$B6 * IFERROR(VLOOKUP(Substitution!$M$14 &amp; $A6, US_national_yearly!$D:$AM, MATCH(Y$1, US_national_yearly!$D$1:$AM$1, 0), FALSE) / VLOOKUP(Substitution!$M$14 &amp; $A6, US_national_yearly!$D:$AM, MATCH(Keys!$C$7, US_national_yearly!$D$1:$AM$1, 0), FALSE), 1)</f>
        <v>9.57159827543861E-2</v>
      </c>
      <c r="Z6" s="12">
        <f>$B6 * IFERROR(VLOOKUP(Substitution!$M$14 &amp; $A6, US_national_yearly!$D:$AM, MATCH(Z$1, US_national_yearly!$D$1:$AM$1, 0), FALSE) / VLOOKUP(Substitution!$M$14 &amp; $A6, US_national_yearly!$D:$AM, MATCH(Keys!$C$7, US_national_yearly!$D$1:$AM$1, 0), FALSE), 1)</f>
        <v>9.57159827543861E-2</v>
      </c>
      <c r="AA6" s="12">
        <f>$B6 * IFERROR(VLOOKUP(Substitution!$M$14 &amp; $A6, US_national_yearly!$D:$AM, MATCH(AA$1, US_national_yearly!$D$1:$AM$1, 0), FALSE) / VLOOKUP(Substitution!$M$14 &amp; $A6, US_national_yearly!$D:$AM, MATCH(Keys!$C$7, US_national_yearly!$D$1:$AM$1, 0), FALSE), 1)</f>
        <v>9.57159827543861E-2</v>
      </c>
      <c r="AB6" s="12">
        <f>$B6 * IFERROR(VLOOKUP(Substitution!$M$14 &amp; $A6, US_national_yearly!$D:$AM, MATCH(AB$1, US_national_yearly!$D$1:$AM$1, 0), FALSE) / VLOOKUP(Substitution!$M$14 &amp; $A6, US_national_yearly!$D:$AM, MATCH(Keys!$C$7, US_national_yearly!$D$1:$AM$1, 0), FALSE), 1)</f>
        <v>9.57159827543861E-2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Substitution!$G$14)/IFERROR(SUMIFS(COBRA_aggregated!$U:$U, COBRA_aggregated!$A:$A, About!$B$1, COBRA_aggregated!$B:$B, Substitution!$G$14), 1)</f>
        <v>0.12887368350868503</v>
      </c>
      <c r="C7" s="12">
        <f>$B7 * IFERROR(VLOOKUP(Substitution!$M$14 &amp; $A7, US_national_yearly!$D:$AM, MATCH(C$1, US_national_yearly!$D$1:$AM$1, 0), FALSE) / VLOOKUP(Substitution!$M$14 &amp; $A7, US_national_yearly!$D:$AM, MATCH(Keys!$C$7, US_national_yearly!$D$1:$AM$1, 0), FALSE), 1)</f>
        <v>0.12887368350868503</v>
      </c>
      <c r="D7" s="12">
        <f>$B7 * IFERROR(VLOOKUP(Substitution!$M$14 &amp; $A7, US_national_yearly!$D:$AM, MATCH(D$1, US_national_yearly!$D$1:$AM$1, 0), FALSE) / VLOOKUP(Substitution!$M$14 &amp; $A7, US_national_yearly!$D:$AM, MATCH(Keys!$C$7, US_national_yearly!$D$1:$AM$1, 0), FALSE), 1)</f>
        <v>0.12887368350868503</v>
      </c>
      <c r="E7" s="12">
        <f>$B7 * IFERROR(VLOOKUP(Substitution!$M$14 &amp; $A7, US_national_yearly!$D:$AM, MATCH(E$1, US_national_yearly!$D$1:$AM$1, 0), FALSE) / VLOOKUP(Substitution!$M$14 &amp; $A7, US_national_yearly!$D:$AM, MATCH(Keys!$C$7, US_national_yearly!$D$1:$AM$1, 0), FALSE), 1)</f>
        <v>0.12887368350868503</v>
      </c>
      <c r="F7" s="12">
        <f>$B7 * IFERROR(VLOOKUP(Substitution!$M$14 &amp; $A7, US_national_yearly!$D:$AM, MATCH(F$1, US_national_yearly!$D$1:$AM$1, 0), FALSE) / VLOOKUP(Substitution!$M$14 &amp; $A7, US_national_yearly!$D:$AM, MATCH(Keys!$C$7, US_national_yearly!$D$1:$AM$1, 0), FALSE), 1)</f>
        <v>0.12887368350868503</v>
      </c>
      <c r="G7" s="12">
        <f>$B7 * IFERROR(VLOOKUP(Substitution!$M$14 &amp; $A7, US_national_yearly!$D:$AM, MATCH(G$1, US_national_yearly!$D$1:$AM$1, 0), FALSE) / VLOOKUP(Substitution!$M$14 &amp; $A7, US_national_yearly!$D:$AM, MATCH(Keys!$C$7, US_national_yearly!$D$1:$AM$1, 0), FALSE), 1)</f>
        <v>0.12887368350868503</v>
      </c>
      <c r="H7" s="12">
        <f>$B7 * IFERROR(VLOOKUP(Substitution!$M$14 &amp; $A7, US_national_yearly!$D:$AM, MATCH(H$1, US_national_yearly!$D$1:$AM$1, 0), FALSE) / VLOOKUP(Substitution!$M$14 &amp; $A7, US_national_yearly!$D:$AM, MATCH(Keys!$C$7, US_national_yearly!$D$1:$AM$1, 0), FALSE), 1)</f>
        <v>0.12887368350868503</v>
      </c>
      <c r="I7" s="12">
        <f>$B7 * IFERROR(VLOOKUP(Substitution!$M$14 &amp; $A7, US_national_yearly!$D:$AM, MATCH(I$1, US_national_yearly!$D$1:$AM$1, 0), FALSE) / VLOOKUP(Substitution!$M$14 &amp; $A7, US_national_yearly!$D:$AM, MATCH(Keys!$C$7, US_national_yearly!$D$1:$AM$1, 0), FALSE), 1)</f>
        <v>0.12887368350868503</v>
      </c>
      <c r="J7" s="12">
        <f>$B7 * IFERROR(VLOOKUP(Substitution!$M$14 &amp; $A7, US_national_yearly!$D:$AM, MATCH(J$1, US_national_yearly!$D$1:$AM$1, 0), FALSE) / VLOOKUP(Substitution!$M$14 &amp; $A7, US_national_yearly!$D:$AM, MATCH(Keys!$C$7, US_national_yearly!$D$1:$AM$1, 0), FALSE), 1)</f>
        <v>0.12887368350868503</v>
      </c>
      <c r="K7" s="12">
        <f>$B7 * IFERROR(VLOOKUP(Substitution!$M$14 &amp; $A7, US_national_yearly!$D:$AM, MATCH(K$1, US_national_yearly!$D$1:$AM$1, 0), FALSE) / VLOOKUP(Substitution!$M$14 &amp; $A7, US_national_yearly!$D:$AM, MATCH(Keys!$C$7, US_national_yearly!$D$1:$AM$1, 0), FALSE), 1)</f>
        <v>0.12887368350868503</v>
      </c>
      <c r="L7" s="12">
        <f>$B7 * IFERROR(VLOOKUP(Substitution!$M$14 &amp; $A7, US_national_yearly!$D:$AM, MATCH(L$1, US_national_yearly!$D$1:$AM$1, 0), FALSE) / VLOOKUP(Substitution!$M$14 &amp; $A7, US_national_yearly!$D:$AM, MATCH(Keys!$C$7, US_national_yearly!$D$1:$AM$1, 0), FALSE), 1)</f>
        <v>0.12887368350868503</v>
      </c>
      <c r="M7" s="12">
        <f>$B7 * IFERROR(VLOOKUP(Substitution!$M$14 &amp; $A7, US_national_yearly!$D:$AM, MATCH(M$1, US_national_yearly!$D$1:$AM$1, 0), FALSE) / VLOOKUP(Substitution!$M$14 &amp; $A7, US_national_yearly!$D:$AM, MATCH(Keys!$C$7, US_national_yearly!$D$1:$AM$1, 0), FALSE), 1)</f>
        <v>0.12887368350868503</v>
      </c>
      <c r="N7" s="12">
        <f>$B7 * IFERROR(VLOOKUP(Substitution!$M$14 &amp; $A7, US_national_yearly!$D:$AM, MATCH(N$1, US_national_yearly!$D$1:$AM$1, 0), FALSE) / VLOOKUP(Substitution!$M$14 &amp; $A7, US_national_yearly!$D:$AM, MATCH(Keys!$C$7, US_national_yearly!$D$1:$AM$1, 0), FALSE), 1)</f>
        <v>0.12887368350868503</v>
      </c>
      <c r="O7" s="12">
        <f>$B7 * IFERROR(VLOOKUP(Substitution!$M$14 &amp; $A7, US_national_yearly!$D:$AM, MATCH(O$1, US_national_yearly!$D$1:$AM$1, 0), FALSE) / VLOOKUP(Substitution!$M$14 &amp; $A7, US_national_yearly!$D:$AM, MATCH(Keys!$C$7, US_national_yearly!$D$1:$AM$1, 0), FALSE), 1)</f>
        <v>0.12887368350868503</v>
      </c>
      <c r="P7" s="12">
        <f>$B7 * IFERROR(VLOOKUP(Substitution!$M$14 &amp; $A7, US_national_yearly!$D:$AM, MATCH(P$1, US_national_yearly!$D$1:$AM$1, 0), FALSE) / VLOOKUP(Substitution!$M$14 &amp; $A7, US_national_yearly!$D:$AM, MATCH(Keys!$C$7, US_national_yearly!$D$1:$AM$1, 0), FALSE), 1)</f>
        <v>0.12887368350868503</v>
      </c>
      <c r="Q7" s="12">
        <f>$B7 * IFERROR(VLOOKUP(Substitution!$M$14 &amp; $A7, US_national_yearly!$D:$AM, MATCH(Q$1, US_national_yearly!$D$1:$AM$1, 0), FALSE) / VLOOKUP(Substitution!$M$14 &amp; $A7, US_national_yearly!$D:$AM, MATCH(Keys!$C$7, US_national_yearly!$D$1:$AM$1, 0), FALSE), 1)</f>
        <v>0.12887368350868503</v>
      </c>
      <c r="R7" s="12">
        <f>$B7 * IFERROR(VLOOKUP(Substitution!$M$14 &amp; $A7, US_national_yearly!$D:$AM, MATCH(R$1, US_national_yearly!$D$1:$AM$1, 0), FALSE) / VLOOKUP(Substitution!$M$14 &amp; $A7, US_national_yearly!$D:$AM, MATCH(Keys!$C$7, US_national_yearly!$D$1:$AM$1, 0), FALSE), 1)</f>
        <v>0.12887368350868503</v>
      </c>
      <c r="S7" s="12">
        <f>$B7 * IFERROR(VLOOKUP(Substitution!$M$14 &amp; $A7, US_national_yearly!$D:$AM, MATCH(S$1, US_national_yearly!$D$1:$AM$1, 0), FALSE) / VLOOKUP(Substitution!$M$14 &amp; $A7, US_national_yearly!$D:$AM, MATCH(Keys!$C$7, US_national_yearly!$D$1:$AM$1, 0), FALSE), 1)</f>
        <v>0.12887368350868503</v>
      </c>
      <c r="T7" s="12">
        <f>$B7 * IFERROR(VLOOKUP(Substitution!$M$14 &amp; $A7, US_national_yearly!$D:$AM, MATCH(T$1, US_national_yearly!$D$1:$AM$1, 0), FALSE) / VLOOKUP(Substitution!$M$14 &amp; $A7, US_national_yearly!$D:$AM, MATCH(Keys!$C$7, US_national_yearly!$D$1:$AM$1, 0), FALSE), 1)</f>
        <v>0.12887368350868503</v>
      </c>
      <c r="U7" s="12">
        <f>$B7 * IFERROR(VLOOKUP(Substitution!$M$14 &amp; $A7, US_national_yearly!$D:$AM, MATCH(U$1, US_national_yearly!$D$1:$AM$1, 0), FALSE) / VLOOKUP(Substitution!$M$14 &amp; $A7, US_national_yearly!$D:$AM, MATCH(Keys!$C$7, US_national_yearly!$D$1:$AM$1, 0), FALSE), 1)</f>
        <v>0.12887368350868503</v>
      </c>
      <c r="V7" s="12">
        <f>$B7 * IFERROR(VLOOKUP(Substitution!$M$14 &amp; $A7, US_national_yearly!$D:$AM, MATCH(V$1, US_national_yearly!$D$1:$AM$1, 0), FALSE) / VLOOKUP(Substitution!$M$14 &amp; $A7, US_national_yearly!$D:$AM, MATCH(Keys!$C$7, US_national_yearly!$D$1:$AM$1, 0), FALSE), 1)</f>
        <v>0.12887368350868503</v>
      </c>
      <c r="W7" s="12">
        <f>$B7 * IFERROR(VLOOKUP(Substitution!$M$14 &amp; $A7, US_national_yearly!$D:$AM, MATCH(W$1, US_national_yearly!$D$1:$AM$1, 0), FALSE) / VLOOKUP(Substitution!$M$14 &amp; $A7, US_national_yearly!$D:$AM, MATCH(Keys!$C$7, US_national_yearly!$D$1:$AM$1, 0), FALSE), 1)</f>
        <v>0.12887368350868503</v>
      </c>
      <c r="X7" s="12">
        <f>$B7 * IFERROR(VLOOKUP(Substitution!$M$14 &amp; $A7, US_national_yearly!$D:$AM, MATCH(X$1, US_national_yearly!$D$1:$AM$1, 0), FALSE) / VLOOKUP(Substitution!$M$14 &amp; $A7, US_national_yearly!$D:$AM, MATCH(Keys!$C$7, US_national_yearly!$D$1:$AM$1, 0), FALSE), 1)</f>
        <v>0.12887368350868503</v>
      </c>
      <c r="Y7" s="12">
        <f>$B7 * IFERROR(VLOOKUP(Substitution!$M$14 &amp; $A7, US_national_yearly!$D:$AM, MATCH(Y$1, US_national_yearly!$D$1:$AM$1, 0), FALSE) / VLOOKUP(Substitution!$M$14 &amp; $A7, US_national_yearly!$D:$AM, MATCH(Keys!$C$7, US_national_yearly!$D$1:$AM$1, 0), FALSE), 1)</f>
        <v>0.12887368350868503</v>
      </c>
      <c r="Z7" s="12">
        <f>$B7 * IFERROR(VLOOKUP(Substitution!$M$14 &amp; $A7, US_national_yearly!$D:$AM, MATCH(Z$1, US_national_yearly!$D$1:$AM$1, 0), FALSE) / VLOOKUP(Substitution!$M$14 &amp; $A7, US_national_yearly!$D:$AM, MATCH(Keys!$C$7, US_national_yearly!$D$1:$AM$1, 0), FALSE), 1)</f>
        <v>0.12887368350868503</v>
      </c>
      <c r="AA7" s="12">
        <f>$B7 * IFERROR(VLOOKUP(Substitution!$M$14 &amp; $A7, US_national_yearly!$D:$AM, MATCH(AA$1, US_national_yearly!$D$1:$AM$1, 0), FALSE) / VLOOKUP(Substitution!$M$14 &amp; $A7, US_national_yearly!$D:$AM, MATCH(Keys!$C$7, US_national_yearly!$D$1:$AM$1, 0), FALSE), 1)</f>
        <v>0.12887368350868503</v>
      </c>
      <c r="AB7" s="12">
        <f>$B7 * IFERROR(VLOOKUP(Substitution!$M$14 &amp; $A7, US_national_yearly!$D:$AM, MATCH(AB$1, US_national_yearly!$D$1:$AM$1, 0), FALSE) / VLOOKUP(Substitution!$M$14 &amp; $A7, US_national_yearly!$D:$AM, MATCH(Keys!$C$7, US_national_yearly!$D$1:$AM$1, 0), FALSE), 1)</f>
        <v>0.12887368350868503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Substitution!$G$14)/IFERROR(SUMIFS(COBRA_aggregated!$U:$U, COBRA_aggregated!$A:$A, About!$B$1, COBRA_aggregated!$B:$B, Substitution!$G$14), 1)</f>
        <v>0.19697464601176762</v>
      </c>
      <c r="C8" s="12">
        <f>$B8 * IFERROR(VLOOKUP(Substitution!$M$14 &amp; $A8, US_national_yearly!$D:$AM, MATCH(C$1, US_national_yearly!$D$1:$AM$1, 0), FALSE) / VLOOKUP(Substitution!$M$14 &amp; $A8, US_national_yearly!$D:$AM, MATCH(Keys!$C$7, US_national_yearly!$D$1:$AM$1, 0), FALSE), 1)</f>
        <v>0.19697464601176762</v>
      </c>
      <c r="D8" s="12">
        <f>$B8 * IFERROR(VLOOKUP(Substitution!$M$14 &amp; $A8, US_national_yearly!$D:$AM, MATCH(D$1, US_national_yearly!$D$1:$AM$1, 0), FALSE) / VLOOKUP(Substitution!$M$14 &amp; $A8, US_national_yearly!$D:$AM, MATCH(Keys!$C$7, US_national_yearly!$D$1:$AM$1, 0), FALSE), 1)</f>
        <v>0.19697464601176762</v>
      </c>
      <c r="E8" s="12">
        <f>$B8 * IFERROR(VLOOKUP(Substitution!$M$14 &amp; $A8, US_national_yearly!$D:$AM, MATCH(E$1, US_national_yearly!$D$1:$AM$1, 0), FALSE) / VLOOKUP(Substitution!$M$14 &amp; $A8, US_national_yearly!$D:$AM, MATCH(Keys!$C$7, US_national_yearly!$D$1:$AM$1, 0), FALSE), 1)</f>
        <v>0.19697464601176762</v>
      </c>
      <c r="F8" s="12">
        <f>$B8 * IFERROR(VLOOKUP(Substitution!$M$14 &amp; $A8, US_national_yearly!$D:$AM, MATCH(F$1, US_national_yearly!$D$1:$AM$1, 0), FALSE) / VLOOKUP(Substitution!$M$14 &amp; $A8, US_national_yearly!$D:$AM, MATCH(Keys!$C$7, US_national_yearly!$D$1:$AM$1, 0), FALSE), 1)</f>
        <v>0.19697464601176762</v>
      </c>
      <c r="G8" s="12">
        <f>$B8 * IFERROR(VLOOKUP(Substitution!$M$14 &amp; $A8, US_national_yearly!$D:$AM, MATCH(G$1, US_national_yearly!$D$1:$AM$1, 0), FALSE) / VLOOKUP(Substitution!$M$14 &amp; $A8, US_national_yearly!$D:$AM, MATCH(Keys!$C$7, US_national_yearly!$D$1:$AM$1, 0), FALSE), 1)</f>
        <v>0.19697464601176762</v>
      </c>
      <c r="H8" s="12">
        <f>$B8 * IFERROR(VLOOKUP(Substitution!$M$14 &amp; $A8, US_national_yearly!$D:$AM, MATCH(H$1, US_national_yearly!$D$1:$AM$1, 0), FALSE) / VLOOKUP(Substitution!$M$14 &amp; $A8, US_national_yearly!$D:$AM, MATCH(Keys!$C$7, US_national_yearly!$D$1:$AM$1, 0), FALSE), 1)</f>
        <v>0.19697464601176762</v>
      </c>
      <c r="I8" s="12">
        <f>$B8 * IFERROR(VLOOKUP(Substitution!$M$14 &amp; $A8, US_national_yearly!$D:$AM, MATCH(I$1, US_national_yearly!$D$1:$AM$1, 0), FALSE) / VLOOKUP(Substitution!$M$14 &amp; $A8, US_national_yearly!$D:$AM, MATCH(Keys!$C$7, US_national_yearly!$D$1:$AM$1, 0), FALSE), 1)</f>
        <v>0.19697464601176762</v>
      </c>
      <c r="J8" s="12">
        <f>$B8 * IFERROR(VLOOKUP(Substitution!$M$14 &amp; $A8, US_national_yearly!$D:$AM, MATCH(J$1, US_national_yearly!$D$1:$AM$1, 0), FALSE) / VLOOKUP(Substitution!$M$14 &amp; $A8, US_national_yearly!$D:$AM, MATCH(Keys!$C$7, US_national_yearly!$D$1:$AM$1, 0), FALSE), 1)</f>
        <v>0.19697464601176762</v>
      </c>
      <c r="K8" s="12">
        <f>$B8 * IFERROR(VLOOKUP(Substitution!$M$14 &amp; $A8, US_national_yearly!$D:$AM, MATCH(K$1, US_national_yearly!$D$1:$AM$1, 0), FALSE) / VLOOKUP(Substitution!$M$14 &amp; $A8, US_national_yearly!$D:$AM, MATCH(Keys!$C$7, US_national_yearly!$D$1:$AM$1, 0), FALSE), 1)</f>
        <v>0.19697464601176762</v>
      </c>
      <c r="L8" s="12">
        <f>$B8 * IFERROR(VLOOKUP(Substitution!$M$14 &amp; $A8, US_national_yearly!$D:$AM, MATCH(L$1, US_national_yearly!$D$1:$AM$1, 0), FALSE) / VLOOKUP(Substitution!$M$14 &amp; $A8, US_national_yearly!$D:$AM, MATCH(Keys!$C$7, US_national_yearly!$D$1:$AM$1, 0), FALSE), 1)</f>
        <v>0.19697464601176762</v>
      </c>
      <c r="M8" s="12">
        <f>$B8 * IFERROR(VLOOKUP(Substitution!$M$14 &amp; $A8, US_national_yearly!$D:$AM, MATCH(M$1, US_national_yearly!$D$1:$AM$1, 0), FALSE) / VLOOKUP(Substitution!$M$14 &amp; $A8, US_national_yearly!$D:$AM, MATCH(Keys!$C$7, US_national_yearly!$D$1:$AM$1, 0), FALSE), 1)</f>
        <v>0.19697464601176762</v>
      </c>
      <c r="N8" s="12">
        <f>$B8 * IFERROR(VLOOKUP(Substitution!$M$14 &amp; $A8, US_national_yearly!$D:$AM, MATCH(N$1, US_national_yearly!$D$1:$AM$1, 0), FALSE) / VLOOKUP(Substitution!$M$14 &amp; $A8, US_national_yearly!$D:$AM, MATCH(Keys!$C$7, US_national_yearly!$D$1:$AM$1, 0), FALSE), 1)</f>
        <v>0.19697464601176762</v>
      </c>
      <c r="O8" s="12">
        <f>$B8 * IFERROR(VLOOKUP(Substitution!$M$14 &amp; $A8, US_national_yearly!$D:$AM, MATCH(O$1, US_national_yearly!$D$1:$AM$1, 0), FALSE) / VLOOKUP(Substitution!$M$14 &amp; $A8, US_national_yearly!$D:$AM, MATCH(Keys!$C$7, US_national_yearly!$D$1:$AM$1, 0), FALSE), 1)</f>
        <v>0.19697464601176762</v>
      </c>
      <c r="P8" s="12">
        <f>$B8 * IFERROR(VLOOKUP(Substitution!$M$14 &amp; $A8, US_national_yearly!$D:$AM, MATCH(P$1, US_national_yearly!$D$1:$AM$1, 0), FALSE) / VLOOKUP(Substitution!$M$14 &amp; $A8, US_national_yearly!$D:$AM, MATCH(Keys!$C$7, US_national_yearly!$D$1:$AM$1, 0), FALSE), 1)</f>
        <v>0.19697464601176762</v>
      </c>
      <c r="Q8" s="12">
        <f>$B8 * IFERROR(VLOOKUP(Substitution!$M$14 &amp; $A8, US_national_yearly!$D:$AM, MATCH(Q$1, US_national_yearly!$D$1:$AM$1, 0), FALSE) / VLOOKUP(Substitution!$M$14 &amp; $A8, US_national_yearly!$D:$AM, MATCH(Keys!$C$7, US_national_yearly!$D$1:$AM$1, 0), FALSE), 1)</f>
        <v>0.19697464601176762</v>
      </c>
      <c r="R8" s="12">
        <f>$B8 * IFERROR(VLOOKUP(Substitution!$M$14 &amp; $A8, US_national_yearly!$D:$AM, MATCH(R$1, US_national_yearly!$D$1:$AM$1, 0), FALSE) / VLOOKUP(Substitution!$M$14 &amp; $A8, US_national_yearly!$D:$AM, MATCH(Keys!$C$7, US_national_yearly!$D$1:$AM$1, 0), FALSE), 1)</f>
        <v>0.19697464601176762</v>
      </c>
      <c r="S8" s="12">
        <f>$B8 * IFERROR(VLOOKUP(Substitution!$M$14 &amp; $A8, US_national_yearly!$D:$AM, MATCH(S$1, US_national_yearly!$D$1:$AM$1, 0), FALSE) / VLOOKUP(Substitution!$M$14 &amp; $A8, US_national_yearly!$D:$AM, MATCH(Keys!$C$7, US_national_yearly!$D$1:$AM$1, 0), FALSE), 1)</f>
        <v>0.19697464601176762</v>
      </c>
      <c r="T8" s="12">
        <f>$B8 * IFERROR(VLOOKUP(Substitution!$M$14 &amp; $A8, US_national_yearly!$D:$AM, MATCH(T$1, US_national_yearly!$D$1:$AM$1, 0), FALSE) / VLOOKUP(Substitution!$M$14 &amp; $A8, US_national_yearly!$D:$AM, MATCH(Keys!$C$7, US_national_yearly!$D$1:$AM$1, 0), FALSE), 1)</f>
        <v>0.19697464601176762</v>
      </c>
      <c r="U8" s="12">
        <f>$B8 * IFERROR(VLOOKUP(Substitution!$M$14 &amp; $A8, US_national_yearly!$D:$AM, MATCH(U$1, US_national_yearly!$D$1:$AM$1, 0), FALSE) / VLOOKUP(Substitution!$M$14 &amp; $A8, US_national_yearly!$D:$AM, MATCH(Keys!$C$7, US_national_yearly!$D$1:$AM$1, 0), FALSE), 1)</f>
        <v>0.19697464601176762</v>
      </c>
      <c r="V8" s="12">
        <f>$B8 * IFERROR(VLOOKUP(Substitution!$M$14 &amp; $A8, US_national_yearly!$D:$AM, MATCH(V$1, US_national_yearly!$D$1:$AM$1, 0), FALSE) / VLOOKUP(Substitution!$M$14 &amp; $A8, US_national_yearly!$D:$AM, MATCH(Keys!$C$7, US_national_yearly!$D$1:$AM$1, 0), FALSE), 1)</f>
        <v>0.19697464601176762</v>
      </c>
      <c r="W8" s="12">
        <f>$B8 * IFERROR(VLOOKUP(Substitution!$M$14 &amp; $A8, US_national_yearly!$D:$AM, MATCH(W$1, US_national_yearly!$D$1:$AM$1, 0), FALSE) / VLOOKUP(Substitution!$M$14 &amp; $A8, US_national_yearly!$D:$AM, MATCH(Keys!$C$7, US_national_yearly!$D$1:$AM$1, 0), FALSE), 1)</f>
        <v>0.19697464601176762</v>
      </c>
      <c r="X8" s="12">
        <f>$B8 * IFERROR(VLOOKUP(Substitution!$M$14 &amp; $A8, US_national_yearly!$D:$AM, MATCH(X$1, US_national_yearly!$D$1:$AM$1, 0), FALSE) / VLOOKUP(Substitution!$M$14 &amp; $A8, US_national_yearly!$D:$AM, MATCH(Keys!$C$7, US_national_yearly!$D$1:$AM$1, 0), FALSE), 1)</f>
        <v>0.19697464601176762</v>
      </c>
      <c r="Y8" s="12">
        <f>$B8 * IFERROR(VLOOKUP(Substitution!$M$14 &amp; $A8, US_national_yearly!$D:$AM, MATCH(Y$1, US_national_yearly!$D$1:$AM$1, 0), FALSE) / VLOOKUP(Substitution!$M$14 &amp; $A8, US_national_yearly!$D:$AM, MATCH(Keys!$C$7, US_national_yearly!$D$1:$AM$1, 0), FALSE), 1)</f>
        <v>0.19697464601176762</v>
      </c>
      <c r="Z8" s="12">
        <f>$B8 * IFERROR(VLOOKUP(Substitution!$M$14 &amp; $A8, US_national_yearly!$D:$AM, MATCH(Z$1, US_national_yearly!$D$1:$AM$1, 0), FALSE) / VLOOKUP(Substitution!$M$14 &amp; $A8, US_national_yearly!$D:$AM, MATCH(Keys!$C$7, US_national_yearly!$D$1:$AM$1, 0), FALSE), 1)</f>
        <v>0.19697464601176762</v>
      </c>
      <c r="AA8" s="12">
        <f>$B8 * IFERROR(VLOOKUP(Substitution!$M$14 &amp; $A8, US_national_yearly!$D:$AM, MATCH(AA$1, US_national_yearly!$D$1:$AM$1, 0), FALSE) / VLOOKUP(Substitution!$M$14 &amp; $A8, US_national_yearly!$D:$AM, MATCH(Keys!$C$7, US_national_yearly!$D$1:$AM$1, 0), FALSE), 1)</f>
        <v>0.19697464601176762</v>
      </c>
      <c r="AB8" s="12">
        <f>$B8 * IFERROR(VLOOKUP(Substitution!$M$14 &amp; $A8, US_national_yearly!$D:$AM, MATCH(AB$1, US_national_yearly!$D$1:$AM$1, 0), FALSE) / VLOOKUP(Substitution!$M$14 &amp; $A8, US_national_yearly!$D:$AM, MATCH(Keys!$C$7, US_national_yearly!$D$1:$AM$1, 0), FALSE), 1)</f>
        <v>0.19697464601176762</v>
      </c>
    </row>
    <row r="9" spans="1:28" x14ac:dyDescent="0.25">
      <c r="A9" s="4" t="s">
        <v>305</v>
      </c>
      <c r="B9" s="12">
        <f>IFERROR(VLOOKUP(Substitution!$M$14 &amp; $A9, US_national_yearly!$D:$AM, MATCH(Keys!$C$7, US_national_yearly!$D$1:$AM$1, 0), FALSE), 0)</f>
        <v>3.2110432831651457E-2</v>
      </c>
      <c r="C9" s="12">
        <f>$B9 * IFERROR(VLOOKUP(Substitution!$M$14 &amp; $A9, US_national_yearly!$D:$AM, MATCH(C$1, US_national_yearly!$D$1:$AM$1, 0), FALSE) / VLOOKUP(Substitution!$M$14 &amp; $A9, US_national_yearly!$D:$AM, MATCH(Keys!$C$7, US_national_yearly!$D$1:$AM$1, 0), FALSE), 1)</f>
        <v>3.2317410952190422E-2</v>
      </c>
      <c r="D9" s="12">
        <f>$B9 * IFERROR(VLOOKUP(Substitution!$M$14 &amp; $A9, US_national_yearly!$D:$AM, MATCH(D$1, US_national_yearly!$D$1:$AM$1, 0), FALSE) / VLOOKUP(Substitution!$M$14 &amp; $A9, US_national_yearly!$D:$AM, MATCH(Keys!$C$7, US_national_yearly!$D$1:$AM$1, 0), FALSE), 1)</f>
        <v>3.2524389072729379E-2</v>
      </c>
      <c r="E9" s="12">
        <f>$B9 * IFERROR(VLOOKUP(Substitution!$M$14 &amp; $A9, US_national_yearly!$D:$AM, MATCH(E$1, US_national_yearly!$D$1:$AM$1, 0), FALSE) / VLOOKUP(Substitution!$M$14 &amp; $A9, US_national_yearly!$D:$AM, MATCH(Keys!$C$7, US_national_yearly!$D$1:$AM$1, 0), FALSE), 1)</f>
        <v>3.2731367193268343E-2</v>
      </c>
      <c r="F9" s="12">
        <f>$B9 * IFERROR(VLOOKUP(Substitution!$M$14 &amp; $A9, US_national_yearly!$D:$AM, MATCH(F$1, US_national_yearly!$D$1:$AM$1, 0), FALSE) / VLOOKUP(Substitution!$M$14 &amp; $A9, US_national_yearly!$D:$AM, MATCH(Keys!$C$7, US_national_yearly!$D$1:$AM$1, 0), FALSE), 1)</f>
        <v>3.29383453138073E-2</v>
      </c>
      <c r="G9" s="12">
        <f>$B9 * IFERROR(VLOOKUP(Substitution!$M$14 &amp; $A9, US_national_yearly!$D:$AM, MATCH(G$1, US_national_yearly!$D$1:$AM$1, 0), FALSE) / VLOOKUP(Substitution!$M$14 &amp; $A9, US_national_yearly!$D:$AM, MATCH(Keys!$C$7, US_national_yearly!$D$1:$AM$1, 0), FALSE), 1)</f>
        <v>3.3123172251308862E-2</v>
      </c>
      <c r="H9" s="12">
        <f>$B9 * IFERROR(VLOOKUP(Substitution!$M$14 &amp; $A9, US_national_yearly!$D:$AM, MATCH(H$1, US_national_yearly!$D$1:$AM$1, 0), FALSE) / VLOOKUP(Substitution!$M$14 &amp; $A9, US_national_yearly!$D:$AM, MATCH(Keys!$C$7, US_national_yearly!$D$1:$AM$1, 0), FALSE), 1)</f>
        <v>3.3307999188810403E-2</v>
      </c>
      <c r="I9" s="12">
        <f>$B9 * IFERROR(VLOOKUP(Substitution!$M$14 &amp; $A9, US_national_yearly!$D:$AM, MATCH(I$1, US_national_yearly!$D$1:$AM$1, 0), FALSE) / VLOOKUP(Substitution!$M$14 &amp; $A9, US_national_yearly!$D:$AM, MATCH(Keys!$C$7, US_national_yearly!$D$1:$AM$1, 0), FALSE), 1)</f>
        <v>3.3459512361588721E-2</v>
      </c>
      <c r="J9" s="12">
        <f>$B9 * IFERROR(VLOOKUP(Substitution!$M$14 &amp; $A9, US_national_yearly!$D:$AM, MATCH(J$1, US_national_yearly!$D$1:$AM$1, 0), FALSE) / VLOOKUP(Substitution!$M$14 &amp; $A9, US_national_yearly!$D:$AM, MATCH(Keys!$C$7, US_national_yearly!$D$1:$AM$1, 0), FALSE), 1)</f>
        <v>3.3611025534367039E-2</v>
      </c>
      <c r="K9" s="12">
        <f>$B9 * IFERROR(VLOOKUP(Substitution!$M$14 &amp; $A9, US_national_yearly!$D:$AM, MATCH(K$1, US_national_yearly!$D$1:$AM$1, 0), FALSE) / VLOOKUP(Substitution!$M$14 &amp; $A9, US_national_yearly!$D:$AM, MATCH(Keys!$C$7, US_national_yearly!$D$1:$AM$1, 0), FALSE), 1)</f>
        <v>3.3762538707145358E-2</v>
      </c>
      <c r="L9" s="12">
        <f>$B9 * IFERROR(VLOOKUP(Substitution!$M$14 &amp; $A9, US_national_yearly!$D:$AM, MATCH(L$1, US_national_yearly!$D$1:$AM$1, 0), FALSE) / VLOOKUP(Substitution!$M$14 &amp; $A9, US_national_yearly!$D:$AM, MATCH(Keys!$C$7, US_national_yearly!$D$1:$AM$1, 0), FALSE), 1)</f>
        <v>3.3914051879923683E-2</v>
      </c>
      <c r="M9" s="12">
        <f>$B9 * IFERROR(VLOOKUP(Substitution!$M$14 &amp; $A9, US_national_yearly!$D:$AM, MATCH(M$1, US_national_yearly!$D$1:$AM$1, 0), FALSE) / VLOOKUP(Substitution!$M$14 &amp; $A9, US_national_yearly!$D:$AM, MATCH(Keys!$C$7, US_national_yearly!$D$1:$AM$1, 0), FALSE), 1)</f>
        <v>3.4065565052702002E-2</v>
      </c>
      <c r="N9" s="12">
        <f>$B9 * IFERROR(VLOOKUP(Substitution!$M$14 &amp; $A9, US_national_yearly!$D:$AM, MATCH(N$1, US_national_yearly!$D$1:$AM$1, 0), FALSE) / VLOOKUP(Substitution!$M$14 &amp; $A9, US_national_yearly!$D:$AM, MATCH(Keys!$C$7, US_national_yearly!$D$1:$AM$1, 0), FALSE), 1)</f>
        <v>3.4205368432124343E-2</v>
      </c>
      <c r="O9" s="12">
        <f>$B9 * IFERROR(VLOOKUP(Substitution!$M$14 &amp; $A9, US_national_yearly!$D:$AM, MATCH(O$1, US_national_yearly!$D$1:$AM$1, 0), FALSE) / VLOOKUP(Substitution!$M$14 &amp; $A9, US_national_yearly!$D:$AM, MATCH(Keys!$C$7, US_national_yearly!$D$1:$AM$1, 0), FALSE), 1)</f>
        <v>3.4345171811546678E-2</v>
      </c>
      <c r="P9" s="12">
        <f>$B9 * IFERROR(VLOOKUP(Substitution!$M$14 &amp; $A9, US_national_yearly!$D:$AM, MATCH(P$1, US_national_yearly!$D$1:$AM$1, 0), FALSE) / VLOOKUP(Substitution!$M$14 &amp; $A9, US_national_yearly!$D:$AM, MATCH(Keys!$C$7, US_national_yearly!$D$1:$AM$1, 0), FALSE), 1)</f>
        <v>3.4484975190969019E-2</v>
      </c>
      <c r="Q9" s="12">
        <f>$B9 * IFERROR(VLOOKUP(Substitution!$M$14 &amp; $A9, US_national_yearly!$D:$AM, MATCH(Q$1, US_national_yearly!$D$1:$AM$1, 0), FALSE) / VLOOKUP(Substitution!$M$14 &amp; $A9, US_national_yearly!$D:$AM, MATCH(Keys!$C$7, US_national_yearly!$D$1:$AM$1, 0), FALSE), 1)</f>
        <v>3.4624778570391361E-2</v>
      </c>
      <c r="R9" s="12">
        <f>$B9 * IFERROR(VLOOKUP(Substitution!$M$14 &amp; $A9, US_national_yearly!$D:$AM, MATCH(R$1, US_national_yearly!$D$1:$AM$1, 0), FALSE) / VLOOKUP(Substitution!$M$14 &amp; $A9, US_national_yearly!$D:$AM, MATCH(Keys!$C$7, US_national_yearly!$D$1:$AM$1, 0), FALSE), 1)</f>
        <v>3.4764581949813703E-2</v>
      </c>
      <c r="S9" s="12">
        <f>$B9 * IFERROR(VLOOKUP(Substitution!$M$14 &amp; $A9, US_national_yearly!$D:$AM, MATCH(S$1, US_national_yearly!$D$1:$AM$1, 0), FALSE) / VLOOKUP(Substitution!$M$14 &amp; $A9, US_national_yearly!$D:$AM, MATCH(Keys!$C$7, US_national_yearly!$D$1:$AM$1, 0), FALSE), 1)</f>
        <v>3.489837706420696E-2</v>
      </c>
      <c r="T9" s="12">
        <f>$B9 * IFERROR(VLOOKUP(Substitution!$M$14 &amp; $A9, US_national_yearly!$D:$AM, MATCH(T$1, US_national_yearly!$D$1:$AM$1, 0), FALSE) / VLOOKUP(Substitution!$M$14 &amp; $A9, US_national_yearly!$D:$AM, MATCH(Keys!$C$7, US_national_yearly!$D$1:$AM$1, 0), FALSE), 1)</f>
        <v>3.5032172178600218E-2</v>
      </c>
      <c r="U9" s="12">
        <f>$B9 * IFERROR(VLOOKUP(Substitution!$M$14 &amp; $A9, US_national_yearly!$D:$AM, MATCH(U$1, US_national_yearly!$D$1:$AM$1, 0), FALSE) / VLOOKUP(Substitution!$M$14 &amp; $A9, US_national_yearly!$D:$AM, MATCH(Keys!$C$7, US_national_yearly!$D$1:$AM$1, 0), FALSE), 1)</f>
        <v>3.5165967292993483E-2</v>
      </c>
      <c r="V9" s="12">
        <f>$B9 * IFERROR(VLOOKUP(Substitution!$M$14 &amp; $A9, US_national_yearly!$D:$AM, MATCH(V$1, US_national_yearly!$D$1:$AM$1, 0), FALSE) / VLOOKUP(Substitution!$M$14 &amp; $A9, US_national_yearly!$D:$AM, MATCH(Keys!$C$7, US_national_yearly!$D$1:$AM$1, 0), FALSE), 1)</f>
        <v>3.5299762407386741E-2</v>
      </c>
      <c r="W9" s="12">
        <f>$B9 * IFERROR(VLOOKUP(Substitution!$M$14 &amp; $A9, US_national_yearly!$D:$AM, MATCH(W$1, US_national_yearly!$D$1:$AM$1, 0), FALSE) / VLOOKUP(Substitution!$M$14 &amp; $A9, US_national_yearly!$D:$AM, MATCH(Keys!$C$7, US_national_yearly!$D$1:$AM$1, 0), FALSE), 1)</f>
        <v>3.5433557521779999E-2</v>
      </c>
      <c r="X9" s="12">
        <f>$B9 * IFERROR(VLOOKUP(Substitution!$M$14 &amp; $A9, US_national_yearly!$D:$AM, MATCH(X$1, US_national_yearly!$D$1:$AM$1, 0), FALSE) / VLOOKUP(Substitution!$M$14 &amp; $A9, US_national_yearly!$D:$AM, MATCH(Keys!$C$7, US_national_yearly!$D$1:$AM$1, 0), FALSE), 1)</f>
        <v>3.5556771273708737E-2</v>
      </c>
      <c r="Y9" s="12">
        <f>$B9 * IFERROR(VLOOKUP(Substitution!$M$14 &amp; $A9, US_national_yearly!$D:$AM, MATCH(Y$1, US_national_yearly!$D$1:$AM$1, 0), FALSE) / VLOOKUP(Substitution!$M$14 &amp; $A9, US_national_yearly!$D:$AM, MATCH(Keys!$C$7, US_national_yearly!$D$1:$AM$1, 0), FALSE), 1)</f>
        <v>3.5679985025637483E-2</v>
      </c>
      <c r="Z9" s="12">
        <f>$B9 * IFERROR(VLOOKUP(Substitution!$M$14 &amp; $A9, US_national_yearly!$D:$AM, MATCH(Z$1, US_national_yearly!$D$1:$AM$1, 0), FALSE) / VLOOKUP(Substitution!$M$14 &amp; $A9, US_national_yearly!$D:$AM, MATCH(Keys!$C$7, US_national_yearly!$D$1:$AM$1, 0), FALSE), 1)</f>
        <v>3.5803198777566221E-2</v>
      </c>
      <c r="AA9" s="12">
        <f>$B9 * IFERROR(VLOOKUP(Substitution!$M$14 &amp; $A9, US_national_yearly!$D:$AM, MATCH(AA$1, US_national_yearly!$D$1:$AM$1, 0), FALSE) / VLOOKUP(Substitution!$M$14 &amp; $A9, US_national_yearly!$D:$AM, MATCH(Keys!$C$7, US_national_yearly!$D$1:$AM$1, 0), FALSE), 1)</f>
        <v>3.592641252949496E-2</v>
      </c>
      <c r="AB9" s="12">
        <f>$B9 * IFERROR(VLOOKUP(Substitution!$M$14 &amp; $A9, US_national_yearly!$D:$AM, MATCH(AB$1, US_national_yearly!$D$1:$AM$1, 0), FALSE) / VLOOKUP(Substitution!$M$14 &amp; $A9, US_national_yearly!$D:$AM, MATCH(Keys!$C$7, US_national_yearly!$D$1:$AM$1, 0), FALSE), 1)</f>
        <v>3.6049626281423691E-2</v>
      </c>
    </row>
    <row r="10" spans="1:28" x14ac:dyDescent="0.25">
      <c r="A10" s="4" t="s">
        <v>307</v>
      </c>
      <c r="B10" s="12">
        <f>IFERROR(VLOOKUP(Substitution!$M$14 &amp; $A10, US_national_yearly!$D:$AM, MATCH(Keys!$C$7, US_national_yearly!$D$1:$AM$1, 0), FALSE), 0)</f>
        <v>0.2043522588587296</v>
      </c>
      <c r="C10" s="12">
        <f>$B10 * IFERROR(VLOOKUP(Substitution!$M$14 &amp; $A10, US_national_yearly!$D:$AM, MATCH(C$1, US_national_yearly!$D$1:$AM$1, 0), FALSE) / VLOOKUP(Substitution!$M$14 &amp; $A10, US_national_yearly!$D:$AM, MATCH(Keys!$C$7, US_national_yearly!$D$1:$AM$1, 0), FALSE), 1)</f>
        <v>0.20620374871763117</v>
      </c>
      <c r="D10" s="12">
        <f>$B10 * IFERROR(VLOOKUP(Substitution!$M$14 &amp; $A10, US_national_yearly!$D:$AM, MATCH(D$1, US_national_yearly!$D$1:$AM$1, 0), FALSE) / VLOOKUP(Substitution!$M$14 &amp; $A10, US_national_yearly!$D:$AM, MATCH(Keys!$C$7, US_national_yearly!$D$1:$AM$1, 0), FALSE), 1)</f>
        <v>0.2080552385765328</v>
      </c>
      <c r="E10" s="12">
        <f>$B10 * IFERROR(VLOOKUP(Substitution!$M$14 &amp; $A10, US_national_yearly!$D:$AM, MATCH(E$1, US_national_yearly!$D$1:$AM$1, 0), FALSE) / VLOOKUP(Substitution!$M$14 &amp; $A10, US_national_yearly!$D:$AM, MATCH(Keys!$C$7, US_national_yearly!$D$1:$AM$1, 0), FALSE), 1)</f>
        <v>0.20990672843543437</v>
      </c>
      <c r="F10" s="12">
        <f>$B10 * IFERROR(VLOOKUP(Substitution!$M$14 &amp; $A10, US_national_yearly!$D:$AM, MATCH(F$1, US_national_yearly!$D$1:$AM$1, 0), FALSE) / VLOOKUP(Substitution!$M$14 &amp; $A10, US_national_yearly!$D:$AM, MATCH(Keys!$C$7, US_national_yearly!$D$1:$AM$1, 0), FALSE), 1)</f>
        <v>0.211758218294336</v>
      </c>
      <c r="G10" s="12">
        <f>$B10 * IFERROR(VLOOKUP(Substitution!$M$14 &amp; $A10, US_national_yearly!$D:$AM, MATCH(G$1, US_national_yearly!$D$1:$AM$1, 0), FALSE) / VLOOKUP(Substitution!$M$14 &amp; $A10, US_national_yearly!$D:$AM, MATCH(Keys!$C$7, US_national_yearly!$D$1:$AM$1, 0), FALSE), 1)</f>
        <v>0.21376709280326553</v>
      </c>
      <c r="H10" s="12">
        <f>$B10 * IFERROR(VLOOKUP(Substitution!$M$14 &amp; $A10, US_national_yearly!$D:$AM, MATCH(H$1, US_national_yearly!$D$1:$AM$1, 0), FALSE) / VLOOKUP(Substitution!$M$14 &amp; $A10, US_national_yearly!$D:$AM, MATCH(Keys!$C$7, US_national_yearly!$D$1:$AM$1, 0), FALSE), 1)</f>
        <v>0.21577596731219501</v>
      </c>
      <c r="I10" s="12">
        <f>$B10 * IFERROR(VLOOKUP(Substitution!$M$14 &amp; $A10, US_national_yearly!$D:$AM, MATCH(I$1, US_national_yearly!$D$1:$AM$1, 0), FALSE) / VLOOKUP(Substitution!$M$14 &amp; $A10, US_national_yearly!$D:$AM, MATCH(Keys!$C$7, US_national_yearly!$D$1:$AM$1, 0), FALSE), 1)</f>
        <v>0.21728212336110123</v>
      </c>
      <c r="J10" s="12">
        <f>$B10 * IFERROR(VLOOKUP(Substitution!$M$14 &amp; $A10, US_national_yearly!$D:$AM, MATCH(J$1, US_national_yearly!$D$1:$AM$1, 0), FALSE) / VLOOKUP(Substitution!$M$14 &amp; $A10, US_national_yearly!$D:$AM, MATCH(Keys!$C$7, US_national_yearly!$D$1:$AM$1, 0), FALSE), 1)</f>
        <v>0.21878827941000739</v>
      </c>
      <c r="K10" s="12">
        <f>$B10 * IFERROR(VLOOKUP(Substitution!$M$14 &amp; $A10, US_national_yearly!$D:$AM, MATCH(K$1, US_national_yearly!$D$1:$AM$1, 0), FALSE) / VLOOKUP(Substitution!$M$14 &amp; $A10, US_national_yearly!$D:$AM, MATCH(Keys!$C$7, US_national_yearly!$D$1:$AM$1, 0), FALSE), 1)</f>
        <v>0.22029443545891361</v>
      </c>
      <c r="L10" s="12">
        <f>$B10 * IFERROR(VLOOKUP(Substitution!$M$14 &amp; $A10, US_national_yearly!$D:$AM, MATCH(L$1, US_national_yearly!$D$1:$AM$1, 0), FALSE) / VLOOKUP(Substitution!$M$14 &amp; $A10, US_national_yearly!$D:$AM, MATCH(Keys!$C$7, US_national_yearly!$D$1:$AM$1, 0), FALSE), 1)</f>
        <v>0.22180059150781981</v>
      </c>
      <c r="M10" s="12">
        <f>$B10 * IFERROR(VLOOKUP(Substitution!$M$14 &amp; $A10, US_national_yearly!$D:$AM, MATCH(M$1, US_national_yearly!$D$1:$AM$1, 0), FALSE) / VLOOKUP(Substitution!$M$14 &amp; $A10, US_national_yearly!$D:$AM, MATCH(Keys!$C$7, US_national_yearly!$D$1:$AM$1, 0), FALSE), 1)</f>
        <v>0.22330674755672597</v>
      </c>
      <c r="N10" s="12">
        <f>$B10 * IFERROR(VLOOKUP(Substitution!$M$14 &amp; $A10, US_national_yearly!$D:$AM, MATCH(N$1, US_national_yearly!$D$1:$AM$1, 0), FALSE) / VLOOKUP(Substitution!$M$14 &amp; $A10, US_national_yearly!$D:$AM, MATCH(Keys!$C$7, US_national_yearly!$D$1:$AM$1, 0), FALSE), 1)</f>
        <v>0.22406516971572496</v>
      </c>
      <c r="O10" s="12">
        <f>$B10 * IFERROR(VLOOKUP(Substitution!$M$14 &amp; $A10, US_national_yearly!$D:$AM, MATCH(O$1, US_national_yearly!$D$1:$AM$1, 0), FALSE) / VLOOKUP(Substitution!$M$14 &amp; $A10, US_national_yearly!$D:$AM, MATCH(Keys!$C$7, US_national_yearly!$D$1:$AM$1, 0), FALSE), 1)</f>
        <v>0.224823591874724</v>
      </c>
      <c r="P10" s="12">
        <f>$B10 * IFERROR(VLOOKUP(Substitution!$M$14 &amp; $A10, US_national_yearly!$D:$AM, MATCH(P$1, US_national_yearly!$D$1:$AM$1, 0), FALSE) / VLOOKUP(Substitution!$M$14 &amp; $A10, US_national_yearly!$D:$AM, MATCH(Keys!$C$7, US_national_yearly!$D$1:$AM$1, 0), FALSE), 1)</f>
        <v>0.22558201403372302</v>
      </c>
      <c r="Q10" s="12">
        <f>$B10 * IFERROR(VLOOKUP(Substitution!$M$14 &amp; $A10, US_national_yearly!$D:$AM, MATCH(Q$1, US_national_yearly!$D$1:$AM$1, 0), FALSE) / VLOOKUP(Substitution!$M$14 &amp; $A10, US_national_yearly!$D:$AM, MATCH(Keys!$C$7, US_national_yearly!$D$1:$AM$1, 0), FALSE), 1)</f>
        <v>0.22634043619272201</v>
      </c>
      <c r="R10" s="12">
        <f>$B10 * IFERROR(VLOOKUP(Substitution!$M$14 &amp; $A10, US_national_yearly!$D:$AM, MATCH(R$1, US_national_yearly!$D$1:$AM$1, 0), FALSE) / VLOOKUP(Substitution!$M$14 &amp; $A10, US_national_yearly!$D:$AM, MATCH(Keys!$C$7, US_national_yearly!$D$1:$AM$1, 0), FALSE), 1)</f>
        <v>0.227098858351721</v>
      </c>
      <c r="S10" s="12">
        <f>$B10 * IFERROR(VLOOKUP(Substitution!$M$14 &amp; $A10, US_national_yearly!$D:$AM, MATCH(S$1, US_national_yearly!$D$1:$AM$1, 0), FALSE) / VLOOKUP(Substitution!$M$14 &amp; $A10, US_national_yearly!$D:$AM, MATCH(Keys!$C$7, US_national_yearly!$D$1:$AM$1, 0), FALSE), 1)</f>
        <v>0.22795973232862723</v>
      </c>
      <c r="T10" s="12">
        <f>$B10 * IFERROR(VLOOKUP(Substitution!$M$14 &amp; $A10, US_national_yearly!$D:$AM, MATCH(T$1, US_national_yearly!$D$1:$AM$1, 0), FALSE) / VLOOKUP(Substitution!$M$14 &amp; $A10, US_national_yearly!$D:$AM, MATCH(Keys!$C$7, US_national_yearly!$D$1:$AM$1, 0), FALSE), 1)</f>
        <v>0.22882060630553341</v>
      </c>
      <c r="U10" s="12">
        <f>$B10 * IFERROR(VLOOKUP(Substitution!$M$14 &amp; $A10, US_national_yearly!$D:$AM, MATCH(U$1, US_national_yearly!$D$1:$AM$1, 0), FALSE) / VLOOKUP(Substitution!$M$14 &amp; $A10, US_national_yearly!$D:$AM, MATCH(Keys!$C$7, US_national_yearly!$D$1:$AM$1, 0), FALSE), 1)</f>
        <v>0.22968148028243959</v>
      </c>
      <c r="V10" s="12">
        <f>$B10 * IFERROR(VLOOKUP(Substitution!$M$14 &amp; $A10, US_national_yearly!$D:$AM, MATCH(V$1, US_national_yearly!$D$1:$AM$1, 0), FALSE) / VLOOKUP(Substitution!$M$14 &amp; $A10, US_national_yearly!$D:$AM, MATCH(Keys!$C$7, US_national_yearly!$D$1:$AM$1, 0), FALSE), 1)</f>
        <v>0.2305423542593458</v>
      </c>
      <c r="W10" s="12">
        <f>$B10 * IFERROR(VLOOKUP(Substitution!$M$14 &amp; $A10, US_national_yearly!$D:$AM, MATCH(W$1, US_national_yearly!$D$1:$AM$1, 0), FALSE) / VLOOKUP(Substitution!$M$14 &amp; $A10, US_national_yearly!$D:$AM, MATCH(Keys!$C$7, US_national_yearly!$D$1:$AM$1, 0), FALSE), 1)</f>
        <v>0.23140322823625198</v>
      </c>
      <c r="X10" s="12">
        <f>$B10 * IFERROR(VLOOKUP(Substitution!$M$14 &amp; $A10, US_national_yearly!$D:$AM, MATCH(X$1, US_national_yearly!$D$1:$AM$1, 0), FALSE) / VLOOKUP(Substitution!$M$14 &amp; $A10, US_national_yearly!$D:$AM, MATCH(Keys!$C$7, US_national_yearly!$D$1:$AM$1, 0), FALSE), 1)</f>
        <v>0.232302367743564</v>
      </c>
      <c r="Y10" s="12">
        <f>$B10 * IFERROR(VLOOKUP(Substitution!$M$14 &amp; $A10, US_national_yearly!$D:$AM, MATCH(Y$1, US_national_yearly!$D$1:$AM$1, 0), FALSE) / VLOOKUP(Substitution!$M$14 &amp; $A10, US_national_yearly!$D:$AM, MATCH(Keys!$C$7, US_national_yearly!$D$1:$AM$1, 0), FALSE), 1)</f>
        <v>0.23320150725087599</v>
      </c>
      <c r="Z10" s="12">
        <f>$B10 * IFERROR(VLOOKUP(Substitution!$M$14 &amp; $A10, US_national_yearly!$D:$AM, MATCH(Z$1, US_national_yearly!$D$1:$AM$1, 0), FALSE) / VLOOKUP(Substitution!$M$14 &amp; $A10, US_national_yearly!$D:$AM, MATCH(Keys!$C$7, US_national_yearly!$D$1:$AM$1, 0), FALSE), 1)</f>
        <v>0.23410064675818801</v>
      </c>
      <c r="AA10" s="12">
        <f>$B10 * IFERROR(VLOOKUP(Substitution!$M$14 &amp; $A10, US_national_yearly!$D:$AM, MATCH(AA$1, US_national_yearly!$D$1:$AM$1, 0), FALSE) / VLOOKUP(Substitution!$M$14 &amp; $A10, US_national_yearly!$D:$AM, MATCH(Keys!$C$7, US_national_yearly!$D$1:$AM$1, 0), FALSE), 1)</f>
        <v>0.2349997862655</v>
      </c>
      <c r="AB10" s="12">
        <f>$B10 * IFERROR(VLOOKUP(Substitution!$M$14 &amp; $A10, US_national_yearly!$D:$AM, MATCH(AB$1, US_national_yearly!$D$1:$AM$1, 0), FALSE) / VLOOKUP(Substitution!$M$14 &amp; $A10, US_national_yearly!$D:$AM, MATCH(Keys!$C$7, US_national_yearly!$D$1:$AM$1, 0), FALSE), 1)</f>
        <v>0.23589892577281202</v>
      </c>
    </row>
    <row r="11" spans="1:28" x14ac:dyDescent="0.25">
      <c r="A11" s="4" t="s">
        <v>309</v>
      </c>
      <c r="B11" s="12">
        <f>IFERROR(VLOOKUP(Substitution!$M$14 &amp; $A11, US_national_yearly!$D:$AM, MATCH(Keys!$C$7, US_national_yearly!$D$1:$AM$1, 0), FALSE), 0)</f>
        <v>9.5051236555155662E-3</v>
      </c>
      <c r="C11" s="12">
        <f>$B11 * IFERROR(VLOOKUP(Substitution!$M$14 &amp; $A11, US_national_yearly!$D:$AM, MATCH(C$1, US_national_yearly!$D$1:$AM$1, 0), FALSE) / VLOOKUP(Substitution!$M$14 &amp; $A11, US_national_yearly!$D:$AM, MATCH(Keys!$C$7, US_national_yearly!$D$1:$AM$1, 0), FALSE), 1)</f>
        <v>9.5944032916116927E-3</v>
      </c>
      <c r="D11" s="12">
        <f>$B11 * IFERROR(VLOOKUP(Substitution!$M$14 &amp; $A11, US_national_yearly!$D:$AM, MATCH(D$1, US_national_yearly!$D$1:$AM$1, 0), FALSE) / VLOOKUP(Substitution!$M$14 &amp; $A11, US_national_yearly!$D:$AM, MATCH(Keys!$C$7, US_national_yearly!$D$1:$AM$1, 0), FALSE), 1)</f>
        <v>9.6836829277078193E-3</v>
      </c>
      <c r="E11" s="12">
        <f>$B11 * IFERROR(VLOOKUP(Substitution!$M$14 &amp; $A11, US_national_yearly!$D:$AM, MATCH(E$1, US_national_yearly!$D$1:$AM$1, 0), FALSE) / VLOOKUP(Substitution!$M$14 &amp; $A11, US_national_yearly!$D:$AM, MATCH(Keys!$C$7, US_national_yearly!$D$1:$AM$1, 0), FALSE), 1)</f>
        <v>9.7729625638039441E-3</v>
      </c>
      <c r="F11" s="12">
        <f>$B11 * IFERROR(VLOOKUP(Substitution!$M$14 &amp; $A11, US_national_yearly!$D:$AM, MATCH(F$1, US_national_yearly!$D$1:$AM$1, 0), FALSE) / VLOOKUP(Substitution!$M$14 &amp; $A11, US_national_yearly!$D:$AM, MATCH(Keys!$C$7, US_national_yearly!$D$1:$AM$1, 0), FALSE), 1)</f>
        <v>9.8622421999000707E-3</v>
      </c>
      <c r="G11" s="12">
        <f>$B11 * IFERROR(VLOOKUP(Substitution!$M$14 &amp; $A11, US_national_yearly!$D:$AM, MATCH(G$1, US_national_yearly!$D$1:$AM$1, 0), FALSE) / VLOOKUP(Substitution!$M$14 &amp; $A11, US_national_yearly!$D:$AM, MATCH(Keys!$C$7, US_national_yearly!$D$1:$AM$1, 0), FALSE), 1)</f>
        <v>9.9542577853757343E-3</v>
      </c>
      <c r="H11" s="12">
        <f>$B11 * IFERROR(VLOOKUP(Substitution!$M$14 &amp; $A11, US_national_yearly!$D:$AM, MATCH(H$1, US_national_yearly!$D$1:$AM$1, 0), FALSE) / VLOOKUP(Substitution!$M$14 &amp; $A11, US_national_yearly!$D:$AM, MATCH(Keys!$C$7, US_national_yearly!$D$1:$AM$1, 0), FALSE), 1)</f>
        <v>1.00462733708514E-2</v>
      </c>
      <c r="I11" s="12">
        <f>$B11 * IFERROR(VLOOKUP(Substitution!$M$14 &amp; $A11, US_national_yearly!$D:$AM, MATCH(I$1, US_national_yearly!$D$1:$AM$1, 0), FALSE) / VLOOKUP(Substitution!$M$14 &amp; $A11, US_national_yearly!$D:$AM, MATCH(Keys!$C$7, US_national_yearly!$D$1:$AM$1, 0), FALSE), 1)</f>
        <v>1.013228306949086E-2</v>
      </c>
      <c r="J11" s="12">
        <f>$B11 * IFERROR(VLOOKUP(Substitution!$M$14 &amp; $A11, US_national_yearly!$D:$AM, MATCH(J$1, US_national_yearly!$D$1:$AM$1, 0), FALSE) / VLOOKUP(Substitution!$M$14 &amp; $A11, US_national_yearly!$D:$AM, MATCH(Keys!$C$7, US_national_yearly!$D$1:$AM$1, 0), FALSE), 1)</f>
        <v>1.021829276813032E-2</v>
      </c>
      <c r="K11" s="12">
        <f>$B11 * IFERROR(VLOOKUP(Substitution!$M$14 &amp; $A11, US_national_yearly!$D:$AM, MATCH(K$1, US_national_yearly!$D$1:$AM$1, 0), FALSE) / VLOOKUP(Substitution!$M$14 &amp; $A11, US_national_yearly!$D:$AM, MATCH(Keys!$C$7, US_national_yearly!$D$1:$AM$1, 0), FALSE), 1)</f>
        <v>1.0304302466769782E-2</v>
      </c>
      <c r="L11" s="12">
        <f>$B11 * IFERROR(VLOOKUP(Substitution!$M$14 &amp; $A11, US_national_yearly!$D:$AM, MATCH(L$1, US_national_yearly!$D$1:$AM$1, 0), FALSE) / VLOOKUP(Substitution!$M$14 &amp; $A11, US_national_yearly!$D:$AM, MATCH(Keys!$C$7, US_national_yearly!$D$1:$AM$1, 0), FALSE), 1)</f>
        <v>1.0390312165409241E-2</v>
      </c>
      <c r="M11" s="12">
        <f>$B11 * IFERROR(VLOOKUP(Substitution!$M$14 &amp; $A11, US_national_yearly!$D:$AM, MATCH(M$1, US_national_yearly!$D$1:$AM$1, 0), FALSE) / VLOOKUP(Substitution!$M$14 &amp; $A11, US_national_yearly!$D:$AM, MATCH(Keys!$C$7, US_national_yearly!$D$1:$AM$1, 0), FALSE), 1)</f>
        <v>1.0476321864048699E-2</v>
      </c>
      <c r="N11" s="12">
        <f>$B11 * IFERROR(VLOOKUP(Substitution!$M$14 &amp; $A11, US_national_yearly!$D:$AM, MATCH(N$1, US_national_yearly!$D$1:$AM$1, 0), FALSE) / VLOOKUP(Substitution!$M$14 &amp; $A11, US_national_yearly!$D:$AM, MATCH(Keys!$C$7, US_national_yearly!$D$1:$AM$1, 0), FALSE), 1)</f>
        <v>1.054837165277806E-2</v>
      </c>
      <c r="O11" s="12">
        <f>$B11 * IFERROR(VLOOKUP(Substitution!$M$14 &amp; $A11, US_national_yearly!$D:$AM, MATCH(O$1, US_national_yearly!$D$1:$AM$1, 0), FALSE) / VLOOKUP(Substitution!$M$14 &amp; $A11, US_national_yearly!$D:$AM, MATCH(Keys!$C$7, US_national_yearly!$D$1:$AM$1, 0), FALSE), 1)</f>
        <v>1.0620421441507421E-2</v>
      </c>
      <c r="P11" s="12">
        <f>$B11 * IFERROR(VLOOKUP(Substitution!$M$14 &amp; $A11, US_national_yearly!$D:$AM, MATCH(P$1, US_national_yearly!$D$1:$AM$1, 0), FALSE) / VLOOKUP(Substitution!$M$14 &amp; $A11, US_national_yearly!$D:$AM, MATCH(Keys!$C$7, US_national_yearly!$D$1:$AM$1, 0), FALSE), 1)</f>
        <v>1.0692471230236781E-2</v>
      </c>
      <c r="Q11" s="12">
        <f>$B11 * IFERROR(VLOOKUP(Substitution!$M$14 &amp; $A11, US_national_yearly!$D:$AM, MATCH(Q$1, US_national_yearly!$D$1:$AM$1, 0), FALSE) / VLOOKUP(Substitution!$M$14 &amp; $A11, US_national_yearly!$D:$AM, MATCH(Keys!$C$7, US_national_yearly!$D$1:$AM$1, 0), FALSE), 1)</f>
        <v>1.076452101896614E-2</v>
      </c>
      <c r="R11" s="12">
        <f>$B11 * IFERROR(VLOOKUP(Substitution!$M$14 &amp; $A11, US_national_yearly!$D:$AM, MATCH(R$1, US_national_yearly!$D$1:$AM$1, 0), FALSE) / VLOOKUP(Substitution!$M$14 &amp; $A11, US_national_yearly!$D:$AM, MATCH(Keys!$C$7, US_national_yearly!$D$1:$AM$1, 0), FALSE), 1)</f>
        <v>1.0836570807695499E-2</v>
      </c>
      <c r="S11" s="12">
        <f>$B11 * IFERROR(VLOOKUP(Substitution!$M$14 &amp; $A11, US_national_yearly!$D:$AM, MATCH(S$1, US_national_yearly!$D$1:$AM$1, 0), FALSE) / VLOOKUP(Substitution!$M$14 &amp; $A11, US_national_yearly!$D:$AM, MATCH(Keys!$C$7, US_national_yearly!$D$1:$AM$1, 0), FALSE), 1)</f>
        <v>1.0898140873565479E-2</v>
      </c>
      <c r="T11" s="12">
        <f>$B11 * IFERROR(VLOOKUP(Substitution!$M$14 &amp; $A11, US_national_yearly!$D:$AM, MATCH(T$1, US_national_yearly!$D$1:$AM$1, 0), FALSE) / VLOOKUP(Substitution!$M$14 &amp; $A11, US_national_yearly!$D:$AM, MATCH(Keys!$C$7, US_national_yearly!$D$1:$AM$1, 0), FALSE), 1)</f>
        <v>1.0959710939435459E-2</v>
      </c>
      <c r="U11" s="12">
        <f>$B11 * IFERROR(VLOOKUP(Substitution!$M$14 &amp; $A11, US_national_yearly!$D:$AM, MATCH(U$1, US_national_yearly!$D$1:$AM$1, 0), FALSE) / VLOOKUP(Substitution!$M$14 &amp; $A11, US_national_yearly!$D:$AM, MATCH(Keys!$C$7, US_national_yearly!$D$1:$AM$1, 0), FALSE), 1)</f>
        <v>1.1021281005305439E-2</v>
      </c>
      <c r="V11" s="12">
        <f>$B11 * IFERROR(VLOOKUP(Substitution!$M$14 &amp; $A11, US_national_yearly!$D:$AM, MATCH(V$1, US_national_yearly!$D$1:$AM$1, 0), FALSE) / VLOOKUP(Substitution!$M$14 &amp; $A11, US_national_yearly!$D:$AM, MATCH(Keys!$C$7, US_national_yearly!$D$1:$AM$1, 0), FALSE), 1)</f>
        <v>1.1082851071175419E-2</v>
      </c>
      <c r="W11" s="12">
        <f>$B11 * IFERROR(VLOOKUP(Substitution!$M$14 &amp; $A11, US_national_yearly!$D:$AM, MATCH(W$1, US_national_yearly!$D$1:$AM$1, 0), FALSE) / VLOOKUP(Substitution!$M$14 &amp; $A11, US_national_yearly!$D:$AM, MATCH(Keys!$C$7, US_national_yearly!$D$1:$AM$1, 0), FALSE), 1)</f>
        <v>1.1144421137045399E-2</v>
      </c>
      <c r="X11" s="12">
        <f>$B11 * IFERROR(VLOOKUP(Substitution!$M$14 &amp; $A11, US_national_yearly!$D:$AM, MATCH(X$1, US_national_yearly!$D$1:$AM$1, 0), FALSE) / VLOOKUP(Substitution!$M$14 &amp; $A11, US_national_yearly!$D:$AM, MATCH(Keys!$C$7, US_national_yearly!$D$1:$AM$1, 0), FALSE), 1)</f>
        <v>1.1201868050432599E-2</v>
      </c>
      <c r="Y11" s="12">
        <f>$B11 * IFERROR(VLOOKUP(Substitution!$M$14 &amp; $A11, US_national_yearly!$D:$AM, MATCH(Y$1, US_national_yearly!$D$1:$AM$1, 0), FALSE) / VLOOKUP(Substitution!$M$14 &amp; $A11, US_national_yearly!$D:$AM, MATCH(Keys!$C$7, US_national_yearly!$D$1:$AM$1, 0), FALSE), 1)</f>
        <v>1.1259314963819799E-2</v>
      </c>
      <c r="Z11" s="12">
        <f>$B11 * IFERROR(VLOOKUP(Substitution!$M$14 &amp; $A11, US_national_yearly!$D:$AM, MATCH(Z$1, US_national_yearly!$D$1:$AM$1, 0), FALSE) / VLOOKUP(Substitution!$M$14 &amp; $A11, US_national_yearly!$D:$AM, MATCH(Keys!$C$7, US_national_yearly!$D$1:$AM$1, 0), FALSE), 1)</f>
        <v>1.1316761877207E-2</v>
      </c>
      <c r="AA11" s="12">
        <f>$B11 * IFERROR(VLOOKUP(Substitution!$M$14 &amp; $A11, US_national_yearly!$D:$AM, MATCH(AA$1, US_national_yearly!$D$1:$AM$1, 0), FALSE) / VLOOKUP(Substitution!$M$14 &amp; $A11, US_national_yearly!$D:$AM, MATCH(Keys!$C$7, US_national_yearly!$D$1:$AM$1, 0), FALSE), 1)</f>
        <v>1.1374208790594201E-2</v>
      </c>
      <c r="AB11" s="12">
        <f>$B11 * IFERROR(VLOOKUP(Substitution!$M$14 &amp; $A11, US_national_yearly!$D:$AM, MATCH(AB$1, US_national_yearly!$D$1:$AM$1, 0), FALSE) / VLOOKUP(Substitution!$M$14 &amp; $A11, US_national_yearly!$D:$AM, MATCH(Keys!$C$7, US_national_yearly!$D$1:$AM$1, 0), FALSE), 1)</f>
        <v>1.14316557039814E-2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Substitution!$G$14)/IFERROR(SUMIFS(COBRA_aggregated!$U:$U, COBRA_aggregated!$A:$A, About!$B$1, COBRA_aggregated!$B:$B, Substitution!$G$14), 1)</f>
        <v>2.8313557412993611E-3</v>
      </c>
      <c r="C12" s="12">
        <f>$B12 * IFERROR(VLOOKUP(Substitution!$M$14 &amp; $A12, US_national_yearly!$D:$AM, MATCH(C$1, US_national_yearly!$D$1:$AM$1, 0), FALSE) / VLOOKUP(Substitution!$M$14 &amp; $A12, US_national_yearly!$D:$AM, MATCH(Keys!$C$7, US_national_yearly!$D$1:$AM$1, 0), FALSE), 1)</f>
        <v>2.8474309437606696E-3</v>
      </c>
      <c r="D12" s="12">
        <f>$B12 * IFERROR(VLOOKUP(Substitution!$M$14 &amp; $A12, US_national_yearly!$D:$AM, MATCH(D$1, US_national_yearly!$D$1:$AM$1, 0), FALSE) / VLOOKUP(Substitution!$M$14 &amp; $A12, US_national_yearly!$D:$AM, MATCH(Keys!$C$7, US_national_yearly!$D$1:$AM$1, 0), FALSE), 1)</f>
        <v>2.8635061462219781E-3</v>
      </c>
      <c r="E12" s="12">
        <f>$B12 * IFERROR(VLOOKUP(Substitution!$M$14 &amp; $A12, US_national_yearly!$D:$AM, MATCH(E$1, US_national_yearly!$D$1:$AM$1, 0), FALSE) / VLOOKUP(Substitution!$M$14 &amp; $A12, US_national_yearly!$D:$AM, MATCH(Keys!$C$7, US_national_yearly!$D$1:$AM$1, 0), FALSE), 1)</f>
        <v>2.8795813486832871E-3</v>
      </c>
      <c r="F12" s="12">
        <f>$B12 * IFERROR(VLOOKUP(Substitution!$M$14 &amp; $A12, US_national_yearly!$D:$AM, MATCH(F$1, US_national_yearly!$D$1:$AM$1, 0), FALSE) / VLOOKUP(Substitution!$M$14 &amp; $A12, US_national_yearly!$D:$AM, MATCH(Keys!$C$7, US_national_yearly!$D$1:$AM$1, 0), FALSE), 1)</f>
        <v>2.895656551144596E-3</v>
      </c>
      <c r="G12" s="12">
        <f>$B12 * IFERROR(VLOOKUP(Substitution!$M$14 &amp; $A12, US_national_yearly!$D:$AM, MATCH(G$1, US_national_yearly!$D$1:$AM$1, 0), FALSE) / VLOOKUP(Substitution!$M$14 &amp; $A12, US_national_yearly!$D:$AM, MATCH(Keys!$C$7, US_national_yearly!$D$1:$AM$1, 0), FALSE), 1)</f>
        <v>2.9130368771383185E-3</v>
      </c>
      <c r="H12" s="12">
        <f>$B12 * IFERROR(VLOOKUP(Substitution!$M$14 &amp; $A12, US_national_yearly!$D:$AM, MATCH(H$1, US_national_yearly!$D$1:$AM$1, 0), FALSE) / VLOOKUP(Substitution!$M$14 &amp; $A12, US_national_yearly!$D:$AM, MATCH(Keys!$C$7, US_national_yearly!$D$1:$AM$1, 0), FALSE), 1)</f>
        <v>2.9304172031320414E-3</v>
      </c>
      <c r="I12" s="12">
        <f>$B12 * IFERROR(VLOOKUP(Substitution!$M$14 &amp; $A12, US_national_yearly!$D:$AM, MATCH(I$1, US_national_yearly!$D$1:$AM$1, 0), FALSE) / VLOOKUP(Substitution!$M$14 &amp; $A12, US_national_yearly!$D:$AM, MATCH(Keys!$C$7, US_national_yearly!$D$1:$AM$1, 0), FALSE), 1)</f>
        <v>2.9469046288942004E-3</v>
      </c>
      <c r="J12" s="12">
        <f>$B12 * IFERROR(VLOOKUP(Substitution!$M$14 &amp; $A12, US_national_yearly!$D:$AM, MATCH(J$1, US_national_yearly!$D$1:$AM$1, 0), FALSE) / VLOOKUP(Substitution!$M$14 &amp; $A12, US_national_yearly!$D:$AM, MATCH(Keys!$C$7, US_national_yearly!$D$1:$AM$1, 0), FALSE), 1)</f>
        <v>2.9633920546563593E-3</v>
      </c>
      <c r="K12" s="12">
        <f>$B12 * IFERROR(VLOOKUP(Substitution!$M$14 &amp; $A12, US_national_yearly!$D:$AM, MATCH(K$1, US_national_yearly!$D$1:$AM$1, 0), FALSE) / VLOOKUP(Substitution!$M$14 &amp; $A12, US_national_yearly!$D:$AM, MATCH(Keys!$C$7, US_national_yearly!$D$1:$AM$1, 0), FALSE), 1)</f>
        <v>2.9798794804185178E-3</v>
      </c>
      <c r="L12" s="12">
        <f>$B12 * IFERROR(VLOOKUP(Substitution!$M$14 &amp; $A12, US_national_yearly!$D:$AM, MATCH(L$1, US_national_yearly!$D$1:$AM$1, 0), FALSE) / VLOOKUP(Substitution!$M$14 &amp; $A12, US_national_yearly!$D:$AM, MATCH(Keys!$C$7, US_national_yearly!$D$1:$AM$1, 0), FALSE), 1)</f>
        <v>2.9963669061806772E-3</v>
      </c>
      <c r="M12" s="12">
        <f>$B12 * IFERROR(VLOOKUP(Substitution!$M$14 &amp; $A12, US_national_yearly!$D:$AM, MATCH(M$1, US_national_yearly!$D$1:$AM$1, 0), FALSE) / VLOOKUP(Substitution!$M$14 &amp; $A12, US_national_yearly!$D:$AM, MATCH(Keys!$C$7, US_national_yearly!$D$1:$AM$1, 0), FALSE), 1)</f>
        <v>3.0128543319428362E-3</v>
      </c>
      <c r="N12" s="12">
        <f>$B12 * IFERROR(VLOOKUP(Substitution!$M$14 &amp; $A12, US_national_yearly!$D:$AM, MATCH(N$1, US_national_yearly!$D$1:$AM$1, 0), FALSE) / VLOOKUP(Substitution!$M$14 &amp; $A12, US_national_yearly!$D:$AM, MATCH(Keys!$C$7, US_national_yearly!$D$1:$AM$1, 0), FALSE), 1)</f>
        <v>3.0245154263323689E-3</v>
      </c>
      <c r="O12" s="12">
        <f>$B12 * IFERROR(VLOOKUP(Substitution!$M$14 &amp; $A12, US_national_yearly!$D:$AM, MATCH(O$1, US_national_yearly!$D$1:$AM$1, 0), FALSE) / VLOOKUP(Substitution!$M$14 &amp; $A12, US_national_yearly!$D:$AM, MATCH(Keys!$C$7, US_national_yearly!$D$1:$AM$1, 0), FALSE), 1)</f>
        <v>3.0361765207219012E-3</v>
      </c>
      <c r="P12" s="12">
        <f>$B12 * IFERROR(VLOOKUP(Substitution!$M$14 &amp; $A12, US_national_yearly!$D:$AM, MATCH(P$1, US_national_yearly!$D$1:$AM$1, 0), FALSE) / VLOOKUP(Substitution!$M$14 &amp; $A12, US_national_yearly!$D:$AM, MATCH(Keys!$C$7, US_national_yearly!$D$1:$AM$1, 0), FALSE), 1)</f>
        <v>3.0478376151114339E-3</v>
      </c>
      <c r="Q12" s="12">
        <f>$B12 * IFERROR(VLOOKUP(Substitution!$M$14 &amp; $A12, US_national_yearly!$D:$AM, MATCH(Q$1, US_national_yearly!$D$1:$AM$1, 0), FALSE) / VLOOKUP(Substitution!$M$14 &amp; $A12, US_national_yearly!$D:$AM, MATCH(Keys!$C$7, US_national_yearly!$D$1:$AM$1, 0), FALSE), 1)</f>
        <v>3.0594987095009661E-3</v>
      </c>
      <c r="R12" s="12">
        <f>$B12 * IFERROR(VLOOKUP(Substitution!$M$14 &amp; $A12, US_national_yearly!$D:$AM, MATCH(R$1, US_national_yearly!$D$1:$AM$1, 0), FALSE) / VLOOKUP(Substitution!$M$14 &amp; $A12, US_national_yearly!$D:$AM, MATCH(Keys!$C$7, US_national_yearly!$D$1:$AM$1, 0), FALSE), 1)</f>
        <v>3.0711598038904988E-3</v>
      </c>
      <c r="S12" s="12">
        <f>$B12 * IFERROR(VLOOKUP(Substitution!$M$14 &amp; $A12, US_national_yearly!$D:$AM, MATCH(S$1, US_national_yearly!$D$1:$AM$1, 0), FALSE) / VLOOKUP(Substitution!$M$14 &amp; $A12, US_national_yearly!$D:$AM, MATCH(Keys!$C$7, US_national_yearly!$D$1:$AM$1, 0), FALSE), 1)</f>
        <v>3.0821582775512652E-3</v>
      </c>
      <c r="T12" s="12">
        <f>$B12 * IFERROR(VLOOKUP(Substitution!$M$14 &amp; $A12, US_national_yearly!$D:$AM, MATCH(T$1, US_national_yearly!$D$1:$AM$1, 0), FALSE) / VLOOKUP(Substitution!$M$14 &amp; $A12, US_national_yearly!$D:$AM, MATCH(Keys!$C$7, US_national_yearly!$D$1:$AM$1, 0), FALSE), 1)</f>
        <v>3.0931567512120319E-3</v>
      </c>
      <c r="U12" s="12">
        <f>$B12 * IFERROR(VLOOKUP(Substitution!$M$14 &amp; $A12, US_national_yearly!$D:$AM, MATCH(U$1, US_national_yearly!$D$1:$AM$1, 0), FALSE) / VLOOKUP(Substitution!$M$14 &amp; $A12, US_national_yearly!$D:$AM, MATCH(Keys!$C$7, US_national_yearly!$D$1:$AM$1, 0), FALSE), 1)</f>
        <v>3.1041552248727987E-3</v>
      </c>
      <c r="V12" s="12">
        <f>$B12 * IFERROR(VLOOKUP(Substitution!$M$14 &amp; $A12, US_national_yearly!$D:$AM, MATCH(V$1, US_national_yearly!$D$1:$AM$1, 0), FALSE) / VLOOKUP(Substitution!$M$14 &amp; $A12, US_national_yearly!$D:$AM, MATCH(Keys!$C$7, US_national_yearly!$D$1:$AM$1, 0), FALSE), 1)</f>
        <v>3.115153698533565E-3</v>
      </c>
      <c r="W12" s="12">
        <f>$B12 * IFERROR(VLOOKUP(Substitution!$M$14 &amp; $A12, US_national_yearly!$D:$AM, MATCH(W$1, US_national_yearly!$D$1:$AM$1, 0), FALSE) / VLOOKUP(Substitution!$M$14 &amp; $A12, US_national_yearly!$D:$AM, MATCH(Keys!$C$7, US_national_yearly!$D$1:$AM$1, 0), FALSE), 1)</f>
        <v>3.1261521721943322E-3</v>
      </c>
      <c r="X12" s="12">
        <f>$B12 * IFERROR(VLOOKUP(Substitution!$M$14 &amp; $A12, US_national_yearly!$D:$AM, MATCH(X$1, US_national_yearly!$D$1:$AM$1, 0), FALSE) / VLOOKUP(Substitution!$M$14 &amp; $A12, US_national_yearly!$D:$AM, MATCH(Keys!$C$7, US_national_yearly!$D$1:$AM$1, 0), FALSE), 1)</f>
        <v>3.1367421033028807E-3</v>
      </c>
      <c r="Y12" s="12">
        <f>$B12 * IFERROR(VLOOKUP(Substitution!$M$14 &amp; $A12, US_national_yearly!$D:$AM, MATCH(Y$1, US_national_yearly!$D$1:$AM$1, 0), FALSE) / VLOOKUP(Substitution!$M$14 &amp; $A12, US_national_yearly!$D:$AM, MATCH(Keys!$C$7, US_national_yearly!$D$1:$AM$1, 0), FALSE), 1)</f>
        <v>3.1473320344114295E-3</v>
      </c>
      <c r="Z12" s="12">
        <f>$B12 * IFERROR(VLOOKUP(Substitution!$M$14 &amp; $A12, US_national_yearly!$D:$AM, MATCH(Z$1, US_national_yearly!$D$1:$AM$1, 0), FALSE) / VLOOKUP(Substitution!$M$14 &amp; $A12, US_national_yearly!$D:$AM, MATCH(Keys!$C$7, US_national_yearly!$D$1:$AM$1, 0), FALSE), 1)</f>
        <v>3.1579219655199788E-3</v>
      </c>
      <c r="AA12" s="12">
        <f>$B12 * IFERROR(VLOOKUP(Substitution!$M$14 &amp; $A12, US_national_yearly!$D:$AM, MATCH(AA$1, US_national_yearly!$D$1:$AM$1, 0), FALSE) / VLOOKUP(Substitution!$M$14 &amp; $A12, US_national_yearly!$D:$AM, MATCH(Keys!$C$7, US_national_yearly!$D$1:$AM$1, 0), FALSE), 1)</f>
        <v>3.1685118966285281E-3</v>
      </c>
      <c r="AB12" s="12">
        <f>$B12 * IFERROR(VLOOKUP(Substitution!$M$14 &amp; $A12, US_national_yearly!$D:$AM, MATCH(AB$1, US_national_yearly!$D$1:$AM$1, 0), FALSE) / VLOOKUP(Substitution!$M$14 &amp; $A12, US_national_yearly!$D:$AM, MATCH(Keys!$C$7, US_national_yearly!$D$1:$AM$1, 0), FALSE), 1)</f>
        <v>3.1791018277370769E-3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Substitution!$G$14)/IFERROR(SUMIFS(COBRA_aggregated!$U:$U, COBRA_aggregated!$A:$A, About!$B$1, COBRA_aggregated!$B:$B, Substitution!$G$14), 1)</f>
        <v>1.7804401804389917E-2</v>
      </c>
      <c r="C13" s="12">
        <f>$B13 * IFERROR(VLOOKUP(Substitution!$M$14 &amp; $A13, US_national_yearly!$D:$AM, MATCH(C$1, US_national_yearly!$D$1:$AM$1, 0), FALSE) / VLOOKUP(Substitution!$M$14 &amp; $A13, US_national_yearly!$D:$AM, MATCH(Keys!$C$7, US_national_yearly!$D$1:$AM$1, 0), FALSE), 1)</f>
        <v>1.8322692609335126E-2</v>
      </c>
      <c r="D13" s="12">
        <f>$B13 * IFERROR(VLOOKUP(Substitution!$M$14 &amp; $A13, US_national_yearly!$D:$AM, MATCH(D$1, US_national_yearly!$D$1:$AM$1, 0), FALSE) / VLOOKUP(Substitution!$M$14 &amp; $A13, US_national_yearly!$D:$AM, MATCH(Keys!$C$7, US_national_yearly!$D$1:$AM$1, 0), FALSE), 1)</f>
        <v>1.8840983414280331E-2</v>
      </c>
      <c r="E13" s="12">
        <f>$B13 * IFERROR(VLOOKUP(Substitution!$M$14 &amp; $A13, US_national_yearly!$D:$AM, MATCH(E$1, US_national_yearly!$D$1:$AM$1, 0), FALSE) / VLOOKUP(Substitution!$M$14 &amp; $A13, US_national_yearly!$D:$AM, MATCH(Keys!$C$7, US_national_yearly!$D$1:$AM$1, 0), FALSE), 1)</f>
        <v>1.9359274219225536E-2</v>
      </c>
      <c r="F13" s="12">
        <f>$B13 * IFERROR(VLOOKUP(Substitution!$M$14 &amp; $A13, US_national_yearly!$D:$AM, MATCH(F$1, US_national_yearly!$D$1:$AM$1, 0), FALSE) / VLOOKUP(Substitution!$M$14 &amp; $A13, US_national_yearly!$D:$AM, MATCH(Keys!$C$7, US_national_yearly!$D$1:$AM$1, 0), FALSE), 1)</f>
        <v>1.9877565024170745E-2</v>
      </c>
      <c r="G13" s="12">
        <f>$B13 * IFERROR(VLOOKUP(Substitution!$M$14 &amp; $A13, US_national_yearly!$D:$AM, MATCH(G$1, US_national_yearly!$D$1:$AM$1, 0), FALSE) / VLOOKUP(Substitution!$M$14 &amp; $A13, US_national_yearly!$D:$AM, MATCH(Keys!$C$7, US_national_yearly!$D$1:$AM$1, 0), FALSE), 1)</f>
        <v>2.0366867986738712E-2</v>
      </c>
      <c r="H13" s="12">
        <f>$B13 * IFERROR(VLOOKUP(Substitution!$M$14 &amp; $A13, US_national_yearly!$D:$AM, MATCH(H$1, US_national_yearly!$D$1:$AM$1, 0), FALSE) / VLOOKUP(Substitution!$M$14 &amp; $A13, US_national_yearly!$D:$AM, MATCH(Keys!$C$7, US_national_yearly!$D$1:$AM$1, 0), FALSE), 1)</f>
        <v>2.0856170949306682E-2</v>
      </c>
      <c r="I13" s="12">
        <f>$B13 * IFERROR(VLOOKUP(Substitution!$M$14 &amp; $A13, US_national_yearly!$D:$AM, MATCH(I$1, US_national_yearly!$D$1:$AM$1, 0), FALSE) / VLOOKUP(Substitution!$M$14 &amp; $A13, US_national_yearly!$D:$AM, MATCH(Keys!$C$7, US_national_yearly!$D$1:$AM$1, 0), FALSE), 1)</f>
        <v>2.1251287610406872E-2</v>
      </c>
      <c r="J13" s="12">
        <f>$B13 * IFERROR(VLOOKUP(Substitution!$M$14 &amp; $A13, US_national_yearly!$D:$AM, MATCH(J$1, US_national_yearly!$D$1:$AM$1, 0), FALSE) / VLOOKUP(Substitution!$M$14 &amp; $A13, US_national_yearly!$D:$AM, MATCH(Keys!$C$7, US_national_yearly!$D$1:$AM$1, 0), FALSE), 1)</f>
        <v>2.1646404271507054E-2</v>
      </c>
      <c r="K13" s="12">
        <f>$B13 * IFERROR(VLOOKUP(Substitution!$M$14 &amp; $A13, US_national_yearly!$D:$AM, MATCH(K$1, US_national_yearly!$D$1:$AM$1, 0), FALSE) / VLOOKUP(Substitution!$M$14 &amp; $A13, US_national_yearly!$D:$AM, MATCH(Keys!$C$7, US_national_yearly!$D$1:$AM$1, 0), FALSE), 1)</f>
        <v>2.204152093260724E-2</v>
      </c>
      <c r="L13" s="12">
        <f>$B13 * IFERROR(VLOOKUP(Substitution!$M$14 &amp; $A13, US_national_yearly!$D:$AM, MATCH(L$1, US_national_yearly!$D$1:$AM$1, 0), FALSE) / VLOOKUP(Substitution!$M$14 &amp; $A13, US_national_yearly!$D:$AM, MATCH(Keys!$C$7, US_national_yearly!$D$1:$AM$1, 0), FALSE), 1)</f>
        <v>2.2436637593707422E-2</v>
      </c>
      <c r="M13" s="12">
        <f>$B13 * IFERROR(VLOOKUP(Substitution!$M$14 &amp; $A13, US_national_yearly!$D:$AM, MATCH(M$1, US_national_yearly!$D$1:$AM$1, 0), FALSE) / VLOOKUP(Substitution!$M$14 &amp; $A13, US_national_yearly!$D:$AM, MATCH(Keys!$C$7, US_national_yearly!$D$1:$AM$1, 0), FALSE), 1)</f>
        <v>2.2831754254807608E-2</v>
      </c>
      <c r="N13" s="12">
        <f>$B13 * IFERROR(VLOOKUP(Substitution!$M$14 &amp; $A13, US_national_yearly!$D:$AM, MATCH(N$1, US_national_yearly!$D$1:$AM$1, 0), FALSE) / VLOOKUP(Substitution!$M$14 &amp; $A13, US_national_yearly!$D:$AM, MATCH(Keys!$C$7, US_national_yearly!$D$1:$AM$1, 0), FALSE), 1)</f>
        <v>2.3087219180621628E-2</v>
      </c>
      <c r="O13" s="12">
        <f>$B13 * IFERROR(VLOOKUP(Substitution!$M$14 &amp; $A13, US_national_yearly!$D:$AM, MATCH(O$1, US_national_yearly!$D$1:$AM$1, 0), FALSE) / VLOOKUP(Substitution!$M$14 &amp; $A13, US_national_yearly!$D:$AM, MATCH(Keys!$C$7, US_national_yearly!$D$1:$AM$1, 0), FALSE), 1)</f>
        <v>2.3342684106435647E-2</v>
      </c>
      <c r="P13" s="12">
        <f>$B13 * IFERROR(VLOOKUP(Substitution!$M$14 &amp; $A13, US_national_yearly!$D:$AM, MATCH(P$1, US_national_yearly!$D$1:$AM$1, 0), FALSE) / VLOOKUP(Substitution!$M$14 &amp; $A13, US_national_yearly!$D:$AM, MATCH(Keys!$C$7, US_national_yearly!$D$1:$AM$1, 0), FALSE), 1)</f>
        <v>2.3598149032249667E-2</v>
      </c>
      <c r="Q13" s="12">
        <f>$B13 * IFERROR(VLOOKUP(Substitution!$M$14 &amp; $A13, US_national_yearly!$D:$AM, MATCH(Q$1, US_national_yearly!$D$1:$AM$1, 0), FALSE) / VLOOKUP(Substitution!$M$14 &amp; $A13, US_national_yearly!$D:$AM, MATCH(Keys!$C$7, US_national_yearly!$D$1:$AM$1, 0), FALSE), 1)</f>
        <v>2.3853613958063683E-2</v>
      </c>
      <c r="R13" s="12">
        <f>$B13 * IFERROR(VLOOKUP(Substitution!$M$14 &amp; $A13, US_national_yearly!$D:$AM, MATCH(R$1, US_national_yearly!$D$1:$AM$1, 0), FALSE) / VLOOKUP(Substitution!$M$14 &amp; $A13, US_national_yearly!$D:$AM, MATCH(Keys!$C$7, US_national_yearly!$D$1:$AM$1, 0), FALSE), 1)</f>
        <v>2.4109078883877703E-2</v>
      </c>
      <c r="S13" s="12">
        <f>$B13 * IFERROR(VLOOKUP(Substitution!$M$14 &amp; $A13, US_national_yearly!$D:$AM, MATCH(S$1, US_national_yearly!$D$1:$AM$1, 0), FALSE) / VLOOKUP(Substitution!$M$14 &amp; $A13, US_national_yearly!$D:$AM, MATCH(Keys!$C$7, US_national_yearly!$D$1:$AM$1, 0), FALSE), 1)</f>
        <v>2.4245523668877441E-2</v>
      </c>
      <c r="T13" s="12">
        <f>$B13 * IFERROR(VLOOKUP(Substitution!$M$14 &amp; $A13, US_national_yearly!$D:$AM, MATCH(T$1, US_national_yearly!$D$1:$AM$1, 0), FALSE) / VLOOKUP(Substitution!$M$14 &amp; $A13, US_national_yearly!$D:$AM, MATCH(Keys!$C$7, US_national_yearly!$D$1:$AM$1, 0), FALSE), 1)</f>
        <v>2.4381968453877186E-2</v>
      </c>
      <c r="U13" s="12">
        <f>$B13 * IFERROR(VLOOKUP(Substitution!$M$14 &amp; $A13, US_national_yearly!$D:$AM, MATCH(U$1, US_national_yearly!$D$1:$AM$1, 0), FALSE) / VLOOKUP(Substitution!$M$14 &amp; $A13, US_national_yearly!$D:$AM, MATCH(Keys!$C$7, US_national_yearly!$D$1:$AM$1, 0), FALSE), 1)</f>
        <v>2.4518413238876925E-2</v>
      </c>
      <c r="V13" s="12">
        <f>$B13 * IFERROR(VLOOKUP(Substitution!$M$14 &amp; $A13, US_national_yearly!$D:$AM, MATCH(V$1, US_national_yearly!$D$1:$AM$1, 0), FALSE) / VLOOKUP(Substitution!$M$14 &amp; $A13, US_national_yearly!$D:$AM, MATCH(Keys!$C$7, US_national_yearly!$D$1:$AM$1, 0), FALSE), 1)</f>
        <v>2.4654858023876663E-2</v>
      </c>
      <c r="W13" s="12">
        <f>$B13 * IFERROR(VLOOKUP(Substitution!$M$14 &amp; $A13, US_national_yearly!$D:$AM, MATCH(W$1, US_national_yearly!$D$1:$AM$1, 0), FALSE) / VLOOKUP(Substitution!$M$14 &amp; $A13, US_national_yearly!$D:$AM, MATCH(Keys!$C$7, US_national_yearly!$D$1:$AM$1, 0), FALSE), 1)</f>
        <v>2.4791302808876408E-2</v>
      </c>
      <c r="X13" s="12">
        <f>$B13 * IFERROR(VLOOKUP(Substitution!$M$14 &amp; $A13, US_national_yearly!$D:$AM, MATCH(X$1, US_national_yearly!$D$1:$AM$1, 0), FALSE) / VLOOKUP(Substitution!$M$14 &amp; $A13, US_national_yearly!$D:$AM, MATCH(Keys!$C$7, US_national_yearly!$D$1:$AM$1, 0), FALSE), 1)</f>
        <v>2.4896610013435256E-2</v>
      </c>
      <c r="Y13" s="12">
        <f>$B13 * IFERROR(VLOOKUP(Substitution!$M$14 &amp; $A13, US_national_yearly!$D:$AM, MATCH(Y$1, US_national_yearly!$D$1:$AM$1, 0), FALSE) / VLOOKUP(Substitution!$M$14 &amp; $A13, US_national_yearly!$D:$AM, MATCH(Keys!$C$7, US_national_yearly!$D$1:$AM$1, 0), FALSE), 1)</f>
        <v>2.5001917217994097E-2</v>
      </c>
      <c r="Z13" s="12">
        <f>$B13 * IFERROR(VLOOKUP(Substitution!$M$14 &amp; $A13, US_national_yearly!$D:$AM, MATCH(Z$1, US_national_yearly!$D$1:$AM$1, 0), FALSE) / VLOOKUP(Substitution!$M$14 &amp; $A13, US_national_yearly!$D:$AM, MATCH(Keys!$C$7, US_national_yearly!$D$1:$AM$1, 0), FALSE), 1)</f>
        <v>2.5107224422552945E-2</v>
      </c>
      <c r="AA13" s="12">
        <f>$B13 * IFERROR(VLOOKUP(Substitution!$M$14 &amp; $A13, US_national_yearly!$D:$AM, MATCH(AA$1, US_national_yearly!$D$1:$AM$1, 0), FALSE) / VLOOKUP(Substitution!$M$14 &amp; $A13, US_national_yearly!$D:$AM, MATCH(Keys!$C$7, US_national_yearly!$D$1:$AM$1, 0), FALSE), 1)</f>
        <v>2.5212531627111793E-2</v>
      </c>
      <c r="AB13" s="12">
        <f>$B13 * IFERROR(VLOOKUP(Substitution!$M$14 &amp; $A13, US_national_yearly!$D:$AM, MATCH(AB$1, US_national_yearly!$D$1:$AM$1, 0), FALSE) / VLOOKUP(Substitution!$M$14 &amp; $A13, US_national_yearly!$D:$AM, MATCH(Keys!$C$7, US_national_yearly!$D$1:$AM$1, 0), FALSE), 1)</f>
        <v>2.5317838831670637E-2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Substitution!$G$14)/IFERROR(SUMIFS(COBRA_aggregated!$U:$U, COBRA_aggregated!$A:$A, About!$B$1, COBRA_aggregated!$B:$B, Substitution!$G$14), 1)</f>
        <v>12.377339788044472</v>
      </c>
      <c r="C14" s="12">
        <f>$B14 * IFERROR(VLOOKUP(Substitution!$M$14 &amp; $A14, US_national_yearly!$D:$AM, MATCH(C$1, US_national_yearly!$D$1:$AM$1, 0), FALSE) / VLOOKUP(Substitution!$M$14 &amp; $A14, US_national_yearly!$D:$AM, MATCH(Keys!$C$7, US_national_yearly!$D$1:$AM$1, 0), FALSE), 1)</f>
        <v>12.407653944801037</v>
      </c>
      <c r="D14" s="12">
        <f>$B14 * IFERROR(VLOOKUP(Substitution!$M$14 &amp; $A14, US_national_yearly!$D:$AM, MATCH(D$1, US_national_yearly!$D$1:$AM$1, 0), FALSE) / VLOOKUP(Substitution!$M$14 &amp; $A14, US_national_yearly!$D:$AM, MATCH(Keys!$C$7, US_national_yearly!$D$1:$AM$1, 0), FALSE), 1)</f>
        <v>12.437968101557606</v>
      </c>
      <c r="E14" s="12">
        <f>$B14 * IFERROR(VLOOKUP(Substitution!$M$14 &amp; $A14, US_national_yearly!$D:$AM, MATCH(E$1, US_national_yearly!$D$1:$AM$1, 0), FALSE) / VLOOKUP(Substitution!$M$14 &amp; $A14, US_national_yearly!$D:$AM, MATCH(Keys!$C$7, US_national_yearly!$D$1:$AM$1, 0), FALSE), 1)</f>
        <v>12.468282258314174</v>
      </c>
      <c r="F14" s="12">
        <f>$B14 * IFERROR(VLOOKUP(Substitution!$M$14 &amp; $A14, US_national_yearly!$D:$AM, MATCH(F$1, US_national_yearly!$D$1:$AM$1, 0), FALSE) / VLOOKUP(Substitution!$M$14 &amp; $A14, US_national_yearly!$D:$AM, MATCH(Keys!$C$7, US_national_yearly!$D$1:$AM$1, 0), FALSE), 1)</f>
        <v>12.49859641507074</v>
      </c>
      <c r="G14" s="12">
        <f>$B14 * IFERROR(VLOOKUP(Substitution!$M$14 &amp; $A14, US_national_yearly!$D:$AM, MATCH(G$1, US_national_yearly!$D$1:$AM$1, 0), FALSE) / VLOOKUP(Substitution!$M$14 &amp; $A14, US_national_yearly!$D:$AM, MATCH(Keys!$C$7, US_national_yearly!$D$1:$AM$1, 0), FALSE), 1)</f>
        <v>12.543092670269836</v>
      </c>
      <c r="H14" s="12">
        <f>$B14 * IFERROR(VLOOKUP(Substitution!$M$14 &amp; $A14, US_national_yearly!$D:$AM, MATCH(H$1, US_national_yearly!$D$1:$AM$1, 0), FALSE) / VLOOKUP(Substitution!$M$14 &amp; $A14, US_national_yearly!$D:$AM, MATCH(Keys!$C$7, US_national_yearly!$D$1:$AM$1, 0), FALSE), 1)</f>
        <v>12.587588925468928</v>
      </c>
      <c r="I14" s="12">
        <f>$B14 * IFERROR(VLOOKUP(Substitution!$M$14 &amp; $A14, US_national_yearly!$D:$AM, MATCH(I$1, US_national_yearly!$D$1:$AM$1, 0), FALSE) / VLOOKUP(Substitution!$M$14 &amp; $A14, US_national_yearly!$D:$AM, MATCH(Keys!$C$7, US_national_yearly!$D$1:$AM$1, 0), FALSE), 1)</f>
        <v>12.663176621845242</v>
      </c>
      <c r="J14" s="12">
        <f>$B14 * IFERROR(VLOOKUP(Substitution!$M$14 &amp; $A14, US_national_yearly!$D:$AM, MATCH(J$1, US_national_yearly!$D$1:$AM$1, 0), FALSE) / VLOOKUP(Substitution!$M$14 &amp; $A14, US_national_yearly!$D:$AM, MATCH(Keys!$C$7, US_national_yearly!$D$1:$AM$1, 0), FALSE), 1)</f>
        <v>12.738764318221557</v>
      </c>
      <c r="K14" s="12">
        <f>$B14 * IFERROR(VLOOKUP(Substitution!$M$14 &amp; $A14, US_national_yearly!$D:$AM, MATCH(K$1, US_national_yearly!$D$1:$AM$1, 0), FALSE) / VLOOKUP(Substitution!$M$14 &amp; $A14, US_national_yearly!$D:$AM, MATCH(Keys!$C$7, US_national_yearly!$D$1:$AM$1, 0), FALSE), 1)</f>
        <v>12.814352014597869</v>
      </c>
      <c r="L14" s="12">
        <f>$B14 * IFERROR(VLOOKUP(Substitution!$M$14 &amp; $A14, US_national_yearly!$D:$AM, MATCH(L$1, US_national_yearly!$D$1:$AM$1, 0), FALSE) / VLOOKUP(Substitution!$M$14 &amp; $A14, US_national_yearly!$D:$AM, MATCH(Keys!$C$7, US_national_yearly!$D$1:$AM$1, 0), FALSE), 1)</f>
        <v>12.889939710974181</v>
      </c>
      <c r="M14" s="12">
        <f>$B14 * IFERROR(VLOOKUP(Substitution!$M$14 &amp; $A14, US_national_yearly!$D:$AM, MATCH(M$1, US_national_yearly!$D$1:$AM$1, 0), FALSE) / VLOOKUP(Substitution!$M$14 &amp; $A14, US_national_yearly!$D:$AM, MATCH(Keys!$C$7, US_national_yearly!$D$1:$AM$1, 0), FALSE), 1)</f>
        <v>12.965527407350494</v>
      </c>
      <c r="N14" s="12">
        <f>$B14 * IFERROR(VLOOKUP(Substitution!$M$14 &amp; $A14, US_national_yearly!$D:$AM, MATCH(N$1, US_national_yearly!$D$1:$AM$1, 0), FALSE) / VLOOKUP(Substitution!$M$14 &amp; $A14, US_national_yearly!$D:$AM, MATCH(Keys!$C$7, US_national_yearly!$D$1:$AM$1, 0), FALSE), 1)</f>
        <v>13.068787664199988</v>
      </c>
      <c r="O14" s="12">
        <f>$B14 * IFERROR(VLOOKUP(Substitution!$M$14 &amp; $A14, US_national_yearly!$D:$AM, MATCH(O$1, US_national_yearly!$D$1:$AM$1, 0), FALSE) / VLOOKUP(Substitution!$M$14 &amp; $A14, US_national_yearly!$D:$AM, MATCH(Keys!$C$7, US_national_yearly!$D$1:$AM$1, 0), FALSE), 1)</f>
        <v>13.172047921049492</v>
      </c>
      <c r="P14" s="12">
        <f>$B14 * IFERROR(VLOOKUP(Substitution!$M$14 &amp; $A14, US_national_yearly!$D:$AM, MATCH(P$1, US_national_yearly!$D$1:$AM$1, 0), FALSE) / VLOOKUP(Substitution!$M$14 &amp; $A14, US_national_yearly!$D:$AM, MATCH(Keys!$C$7, US_national_yearly!$D$1:$AM$1, 0), FALSE), 1)</f>
        <v>13.275308177898985</v>
      </c>
      <c r="Q14" s="12">
        <f>$B14 * IFERROR(VLOOKUP(Substitution!$M$14 &amp; $A14, US_national_yearly!$D:$AM, MATCH(Q$1, US_national_yearly!$D$1:$AM$1, 0), FALSE) / VLOOKUP(Substitution!$M$14 &amp; $A14, US_national_yearly!$D:$AM, MATCH(Keys!$C$7, US_national_yearly!$D$1:$AM$1, 0), FALSE), 1)</f>
        <v>13.378568434748493</v>
      </c>
      <c r="R14" s="12">
        <f>$B14 * IFERROR(VLOOKUP(Substitution!$M$14 &amp; $A14, US_national_yearly!$D:$AM, MATCH(R$1, US_national_yearly!$D$1:$AM$1, 0), FALSE) / VLOOKUP(Substitution!$M$14 &amp; $A14, US_national_yearly!$D:$AM, MATCH(Keys!$C$7, US_national_yearly!$D$1:$AM$1, 0), FALSE), 1)</f>
        <v>13.481828691597986</v>
      </c>
      <c r="S14" s="12">
        <f>$B14 * IFERROR(VLOOKUP(Substitution!$M$14 &amp; $A14, US_national_yearly!$D:$AM, MATCH(S$1, US_national_yearly!$D$1:$AM$1, 0), FALSE) / VLOOKUP(Substitution!$M$14 &amp; $A14, US_national_yearly!$D:$AM, MATCH(Keys!$C$7, US_national_yearly!$D$1:$AM$1, 0), FALSE), 1)</f>
        <v>13.586080287298016</v>
      </c>
      <c r="T14" s="12">
        <f>$B14 * IFERROR(VLOOKUP(Substitution!$M$14 &amp; $A14, US_national_yearly!$D:$AM, MATCH(T$1, US_national_yearly!$D$1:$AM$1, 0), FALSE) / VLOOKUP(Substitution!$M$14 &amp; $A14, US_national_yearly!$D:$AM, MATCH(Keys!$C$7, US_national_yearly!$D$1:$AM$1, 0), FALSE), 1)</f>
        <v>13.690331882998047</v>
      </c>
      <c r="U14" s="12">
        <f>$B14 * IFERROR(VLOOKUP(Substitution!$M$14 &amp; $A14, US_national_yearly!$D:$AM, MATCH(U$1, US_national_yearly!$D$1:$AM$1, 0), FALSE) / VLOOKUP(Substitution!$M$14 &amp; $A14, US_national_yearly!$D:$AM, MATCH(Keys!$C$7, US_national_yearly!$D$1:$AM$1, 0), FALSE), 1)</f>
        <v>13.794583478698074</v>
      </c>
      <c r="V14" s="12">
        <f>$B14 * IFERROR(VLOOKUP(Substitution!$M$14 &amp; $A14, US_national_yearly!$D:$AM, MATCH(V$1, US_national_yearly!$D$1:$AM$1, 0), FALSE) / VLOOKUP(Substitution!$M$14 &amp; $A14, US_national_yearly!$D:$AM, MATCH(Keys!$C$7, US_national_yearly!$D$1:$AM$1, 0), FALSE), 1)</f>
        <v>13.898835074398104</v>
      </c>
      <c r="W14" s="12">
        <f>$B14 * IFERROR(VLOOKUP(Substitution!$M$14 &amp; $A14, US_national_yearly!$D:$AM, MATCH(W$1, US_national_yearly!$D$1:$AM$1, 0), FALSE) / VLOOKUP(Substitution!$M$14 &amp; $A14, US_national_yearly!$D:$AM, MATCH(Keys!$C$7, US_national_yearly!$D$1:$AM$1, 0), FALSE), 1)</f>
        <v>14.003086670098135</v>
      </c>
      <c r="X14" s="12">
        <f>$B14 * IFERROR(VLOOKUP(Substitution!$M$14 &amp; $A14, US_national_yearly!$D:$AM, MATCH(X$1, US_national_yearly!$D$1:$AM$1, 0), FALSE) / VLOOKUP(Substitution!$M$14 &amp; $A14, US_national_yearly!$D:$AM, MATCH(Keys!$C$7, US_national_yearly!$D$1:$AM$1, 0), FALSE), 1)</f>
        <v>14.093677488757436</v>
      </c>
      <c r="Y14" s="12">
        <f>$B14 * IFERROR(VLOOKUP(Substitution!$M$14 &amp; $A14, US_national_yearly!$D:$AM, MATCH(Y$1, US_national_yearly!$D$1:$AM$1, 0), FALSE) / VLOOKUP(Substitution!$M$14 &amp; $A14, US_national_yearly!$D:$AM, MATCH(Keys!$C$7, US_national_yearly!$D$1:$AM$1, 0), FALSE), 1)</f>
        <v>14.184268307416739</v>
      </c>
      <c r="Z14" s="12">
        <f>$B14 * IFERROR(VLOOKUP(Substitution!$M$14 &amp; $A14, US_national_yearly!$D:$AM, MATCH(Z$1, US_national_yearly!$D$1:$AM$1, 0), FALSE) / VLOOKUP(Substitution!$M$14 &amp; $A14, US_national_yearly!$D:$AM, MATCH(Keys!$C$7, US_national_yearly!$D$1:$AM$1, 0), FALSE), 1)</f>
        <v>14.274859126076043</v>
      </c>
      <c r="AA14" s="12">
        <f>$B14 * IFERROR(VLOOKUP(Substitution!$M$14 &amp; $A14, US_national_yearly!$D:$AM, MATCH(AA$1, US_national_yearly!$D$1:$AM$1, 0), FALSE) / VLOOKUP(Substitution!$M$14 &amp; $A14, US_national_yearly!$D:$AM, MATCH(Keys!$C$7, US_national_yearly!$D$1:$AM$1, 0), FALSE), 1)</f>
        <v>14.365449944735348</v>
      </c>
      <c r="AB14" s="12">
        <f>$B14 * IFERROR(VLOOKUP(Substitution!$M$14 &amp; $A14, US_national_yearly!$D:$AM, MATCH(AB$1, US_national_yearly!$D$1:$AM$1, 0), FALSE) / VLOOKUP(Substitution!$M$14 &amp; $A14, US_national_yearly!$D:$AM, MATCH(Keys!$C$7, US_national_yearly!$D$1:$AM$1, 0), FALSE), 1)</f>
        <v>14.45604076339465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Substitution!$G$14)/IFERROR(SUMIFS(COBRA_aggregated!$U:$U, COBRA_aggregated!$A:$A, About!$B$1, COBRA_aggregated!$B:$B, Substitution!$G$14), 1)</f>
        <v>2.0968116660368401</v>
      </c>
      <c r="C15" s="12">
        <f>$B15 * IFERROR(VLOOKUP(Substitution!$M$14 &amp; $A15, US_national_yearly!$D:$AM, MATCH(C$1, US_national_yearly!$D$1:$AM$1, 0), FALSE) / VLOOKUP(Substitution!$M$14 &amp; $A15, US_national_yearly!$D:$AM, MATCH(Keys!$C$7, US_national_yearly!$D$1:$AM$1, 0), FALSE), 1)</f>
        <v>2.1033126240704227</v>
      </c>
      <c r="D15" s="12">
        <f>$B15 * IFERROR(VLOOKUP(Substitution!$M$14 &amp; $A15, US_national_yearly!$D:$AM, MATCH(D$1, US_national_yearly!$D$1:$AM$1, 0), FALSE) / VLOOKUP(Substitution!$M$14 &amp; $A15, US_national_yearly!$D:$AM, MATCH(Keys!$C$7, US_national_yearly!$D$1:$AM$1, 0), FALSE), 1)</f>
        <v>2.1098135821040054</v>
      </c>
      <c r="E15" s="12">
        <f>$B15 * IFERROR(VLOOKUP(Substitution!$M$14 &amp; $A15, US_national_yearly!$D:$AM, MATCH(E$1, US_national_yearly!$D$1:$AM$1, 0), FALSE) / VLOOKUP(Substitution!$M$14 &amp; $A15, US_national_yearly!$D:$AM, MATCH(Keys!$C$7, US_national_yearly!$D$1:$AM$1, 0), FALSE), 1)</f>
        <v>2.1163145401375876</v>
      </c>
      <c r="F15" s="12">
        <f>$B15 * IFERROR(VLOOKUP(Substitution!$M$14 &amp; $A15, US_national_yearly!$D:$AM, MATCH(F$1, US_national_yearly!$D$1:$AM$1, 0), FALSE) / VLOOKUP(Substitution!$M$14 &amp; $A15, US_national_yearly!$D:$AM, MATCH(Keys!$C$7, US_national_yearly!$D$1:$AM$1, 0), FALSE), 1)</f>
        <v>2.1228154981711707</v>
      </c>
      <c r="G15" s="12">
        <f>$B15 * IFERROR(VLOOKUP(Substitution!$M$14 &amp; $A15, US_national_yearly!$D:$AM, MATCH(G$1, US_national_yearly!$D$1:$AM$1, 0), FALSE) / VLOOKUP(Substitution!$M$14 &amp; $A15, US_national_yearly!$D:$AM, MATCH(Keys!$C$7, US_national_yearly!$D$1:$AM$1, 0), FALSE), 1)</f>
        <v>2.1313027835274321</v>
      </c>
      <c r="H15" s="12">
        <f>$B15 * IFERROR(VLOOKUP(Substitution!$M$14 &amp; $A15, US_national_yearly!$D:$AM, MATCH(H$1, US_national_yearly!$D$1:$AM$1, 0), FALSE) / VLOOKUP(Substitution!$M$14 &amp; $A15, US_national_yearly!$D:$AM, MATCH(Keys!$C$7, US_national_yearly!$D$1:$AM$1, 0), FALSE), 1)</f>
        <v>2.1397900688836931</v>
      </c>
      <c r="I15" s="12">
        <f>$B15 * IFERROR(VLOOKUP(Substitution!$M$14 &amp; $A15, US_national_yearly!$D:$AM, MATCH(I$1, US_national_yearly!$D$1:$AM$1, 0), FALSE) / VLOOKUP(Substitution!$M$14 &amp; $A15, US_national_yearly!$D:$AM, MATCH(Keys!$C$7, US_national_yearly!$D$1:$AM$1, 0), FALSE), 1)</f>
        <v>2.1522181558410955</v>
      </c>
      <c r="J15" s="12">
        <f>$B15 * IFERROR(VLOOKUP(Substitution!$M$14 &amp; $A15, US_national_yearly!$D:$AM, MATCH(J$1, US_national_yearly!$D$1:$AM$1, 0), FALSE) / VLOOKUP(Substitution!$M$14 &amp; $A15, US_national_yearly!$D:$AM, MATCH(Keys!$C$7, US_national_yearly!$D$1:$AM$1, 0), FALSE), 1)</f>
        <v>2.1646462427984976</v>
      </c>
      <c r="K15" s="12">
        <f>$B15 * IFERROR(VLOOKUP(Substitution!$M$14 &amp; $A15, US_national_yearly!$D:$AM, MATCH(K$1, US_national_yearly!$D$1:$AM$1, 0), FALSE) / VLOOKUP(Substitution!$M$14 &amp; $A15, US_national_yearly!$D:$AM, MATCH(Keys!$C$7, US_national_yearly!$D$1:$AM$1, 0), FALSE), 1)</f>
        <v>2.1770743297558992</v>
      </c>
      <c r="L15" s="12">
        <f>$B15 * IFERROR(VLOOKUP(Substitution!$M$14 &amp; $A15, US_national_yearly!$D:$AM, MATCH(L$1, US_national_yearly!$D$1:$AM$1, 0), FALSE) / VLOOKUP(Substitution!$M$14 &amp; $A15, US_national_yearly!$D:$AM, MATCH(Keys!$C$7, US_national_yearly!$D$1:$AM$1, 0), FALSE), 1)</f>
        <v>2.1895024167133013</v>
      </c>
      <c r="M15" s="12">
        <f>$B15 * IFERROR(VLOOKUP(Substitution!$M$14 &amp; $A15, US_national_yearly!$D:$AM, MATCH(M$1, US_national_yearly!$D$1:$AM$1, 0), FALSE) / VLOOKUP(Substitution!$M$14 &amp; $A15, US_national_yearly!$D:$AM, MATCH(Keys!$C$7, US_national_yearly!$D$1:$AM$1, 0), FALSE), 1)</f>
        <v>2.2019305036707033</v>
      </c>
      <c r="N15" s="12">
        <f>$B15 * IFERROR(VLOOKUP(Substitution!$M$14 &amp; $A15, US_national_yearly!$D:$AM, MATCH(N$1, US_national_yearly!$D$1:$AM$1, 0), FALSE) / VLOOKUP(Substitution!$M$14 &amp; $A15, US_national_yearly!$D:$AM, MATCH(Keys!$C$7, US_national_yearly!$D$1:$AM$1, 0), FALSE), 1)</f>
        <v>2.2176131181265224</v>
      </c>
      <c r="O15" s="12">
        <f>$B15 * IFERROR(VLOOKUP(Substitution!$M$14 &amp; $A15, US_national_yearly!$D:$AM, MATCH(O$1, US_national_yearly!$D$1:$AM$1, 0), FALSE) / VLOOKUP(Substitution!$M$14 &amp; $A15, US_national_yearly!$D:$AM, MATCH(Keys!$C$7, US_national_yearly!$D$1:$AM$1, 0), FALSE), 1)</f>
        <v>2.233295732582341</v>
      </c>
      <c r="P15" s="12">
        <f>$B15 * IFERROR(VLOOKUP(Substitution!$M$14 &amp; $A15, US_national_yearly!$D:$AM, MATCH(P$1, US_national_yearly!$D$1:$AM$1, 0), FALSE) / VLOOKUP(Substitution!$M$14 &amp; $A15, US_national_yearly!$D:$AM, MATCH(Keys!$C$7, US_national_yearly!$D$1:$AM$1, 0), FALSE), 1)</f>
        <v>2.2489783470381597</v>
      </c>
      <c r="Q15" s="12">
        <f>$B15 * IFERROR(VLOOKUP(Substitution!$M$14 &amp; $A15, US_national_yearly!$D:$AM, MATCH(Q$1, US_national_yearly!$D$1:$AM$1, 0), FALSE) / VLOOKUP(Substitution!$M$14 &amp; $A15, US_national_yearly!$D:$AM, MATCH(Keys!$C$7, US_national_yearly!$D$1:$AM$1, 0), FALSE), 1)</f>
        <v>2.2646609614939788</v>
      </c>
      <c r="R15" s="12">
        <f>$B15 * IFERROR(VLOOKUP(Substitution!$M$14 &amp; $A15, US_national_yearly!$D:$AM, MATCH(R$1, US_national_yearly!$D$1:$AM$1, 0), FALSE) / VLOOKUP(Substitution!$M$14 &amp; $A15, US_national_yearly!$D:$AM, MATCH(Keys!$C$7, US_national_yearly!$D$1:$AM$1, 0), FALSE), 1)</f>
        <v>2.2803435759497974</v>
      </c>
      <c r="S15" s="12">
        <f>$B15 * IFERROR(VLOOKUP(Substitution!$M$14 &amp; $A15, US_national_yearly!$D:$AM, MATCH(S$1, US_national_yearly!$D$1:$AM$1, 0), FALSE) / VLOOKUP(Substitution!$M$14 &amp; $A15, US_national_yearly!$D:$AM, MATCH(Keys!$C$7, US_national_yearly!$D$1:$AM$1, 0), FALSE), 1)</f>
        <v>2.2977333720809581</v>
      </c>
      <c r="T15" s="12">
        <f>$B15 * IFERROR(VLOOKUP(Substitution!$M$14 &amp; $A15, US_national_yearly!$D:$AM, MATCH(T$1, US_national_yearly!$D$1:$AM$1, 0), FALSE) / VLOOKUP(Substitution!$M$14 &amp; $A15, US_national_yearly!$D:$AM, MATCH(Keys!$C$7, US_national_yearly!$D$1:$AM$1, 0), FALSE), 1)</f>
        <v>2.3151231682121183</v>
      </c>
      <c r="U15" s="12">
        <f>$B15 * IFERROR(VLOOKUP(Substitution!$M$14 &amp; $A15, US_national_yearly!$D:$AM, MATCH(U$1, US_national_yearly!$D$1:$AM$1, 0), FALSE) / VLOOKUP(Substitution!$M$14 &amp; $A15, US_national_yearly!$D:$AM, MATCH(Keys!$C$7, US_national_yearly!$D$1:$AM$1, 0), FALSE), 1)</f>
        <v>2.3325129643432785</v>
      </c>
      <c r="V15" s="12">
        <f>$B15 * IFERROR(VLOOKUP(Substitution!$M$14 &amp; $A15, US_national_yearly!$D:$AM, MATCH(V$1, US_national_yearly!$D$1:$AM$1, 0), FALSE) / VLOOKUP(Substitution!$M$14 &amp; $A15, US_national_yearly!$D:$AM, MATCH(Keys!$C$7, US_national_yearly!$D$1:$AM$1, 0), FALSE), 1)</f>
        <v>2.3499027604744382</v>
      </c>
      <c r="W15" s="12">
        <f>$B15 * IFERROR(VLOOKUP(Substitution!$M$14 &amp; $A15, US_national_yearly!$D:$AM, MATCH(W$1, US_national_yearly!$D$1:$AM$1, 0), FALSE) / VLOOKUP(Substitution!$M$14 &amp; $A15, US_national_yearly!$D:$AM, MATCH(Keys!$C$7, US_national_yearly!$D$1:$AM$1, 0), FALSE), 1)</f>
        <v>2.3672925566055989</v>
      </c>
      <c r="X15" s="12">
        <f>$B15 * IFERROR(VLOOKUP(Substitution!$M$14 &amp; $A15, US_national_yearly!$D:$AM, MATCH(X$1, US_national_yearly!$D$1:$AM$1, 0), FALSE) / VLOOKUP(Substitution!$M$14 &amp; $A15, US_national_yearly!$D:$AM, MATCH(Keys!$C$7, US_national_yearly!$D$1:$AM$1, 0), FALSE), 1)</f>
        <v>2.3827456770530997</v>
      </c>
      <c r="Y15" s="12">
        <f>$B15 * IFERROR(VLOOKUP(Substitution!$M$14 &amp; $A15, US_national_yearly!$D:$AM, MATCH(Y$1, US_national_yearly!$D$1:$AM$1, 0), FALSE) / VLOOKUP(Substitution!$M$14 &amp; $A15, US_national_yearly!$D:$AM, MATCH(Keys!$C$7, US_national_yearly!$D$1:$AM$1, 0), FALSE), 1)</f>
        <v>2.3981987975006009</v>
      </c>
      <c r="Z15" s="12">
        <f>$B15 * IFERROR(VLOOKUP(Substitution!$M$14 &amp; $A15, US_national_yearly!$D:$AM, MATCH(Z$1, US_national_yearly!$D$1:$AM$1, 0), FALSE) / VLOOKUP(Substitution!$M$14 &amp; $A15, US_national_yearly!$D:$AM, MATCH(Keys!$C$7, US_national_yearly!$D$1:$AM$1, 0), FALSE), 1)</f>
        <v>2.4136519179481017</v>
      </c>
      <c r="AA15" s="12">
        <f>$B15 * IFERROR(VLOOKUP(Substitution!$M$14 &amp; $A15, US_national_yearly!$D:$AM, MATCH(AA$1, US_national_yearly!$D$1:$AM$1, 0), FALSE) / VLOOKUP(Substitution!$M$14 &amp; $A15, US_national_yearly!$D:$AM, MATCH(Keys!$C$7, US_national_yearly!$D$1:$AM$1, 0), FALSE), 1)</f>
        <v>2.4291050383956025</v>
      </c>
      <c r="AB15" s="12">
        <f>$B15 * IFERROR(VLOOKUP(Substitution!$M$14 &amp; $A15, US_national_yearly!$D:$AM, MATCH(AB$1, US_national_yearly!$D$1:$AM$1, 0), FALSE) / VLOOKUP(Substitution!$M$14 &amp; $A15, US_national_yearly!$D:$AM, MATCH(Keys!$C$7, US_national_yearly!$D$1:$AM$1, 0), FALSE), 1)</f>
        <v>2.4445581588431038</v>
      </c>
    </row>
    <row r="16" spans="1:28" x14ac:dyDescent="0.25">
      <c r="A16" s="4" t="s">
        <v>319</v>
      </c>
      <c r="B16" s="12">
        <f>IFERROR(VLOOKUP(Substitution!$M$14 &amp; $A16, US_national_yearly!$D:$AM, MATCH(Keys!$C$7, US_national_yearly!$D$1:$AM$1, 0), FALSE), 0)</f>
        <v>8.8752147235246904E-4</v>
      </c>
      <c r="C16" s="12">
        <f>$B16 * IFERROR(VLOOKUP(Substitution!$M$14 &amp; $A16, US_national_yearly!$D:$AM, MATCH(C$1, US_national_yearly!$D$1:$AM$1, 0), FALSE) / VLOOKUP(Substitution!$M$14 &amp; $A16, US_national_yearly!$D:$AM, MATCH(Keys!$C$7, US_national_yearly!$D$1:$AM$1, 0), FALSE), 1)</f>
        <v>9.0485565709951606E-4</v>
      </c>
      <c r="D16" s="12">
        <f>$B16 * IFERROR(VLOOKUP(Substitution!$M$14 &amp; $A16, US_national_yearly!$D:$AM, MATCH(D$1, US_national_yearly!$D$1:$AM$1, 0), FALSE) / VLOOKUP(Substitution!$M$14 &amp; $A16, US_national_yearly!$D:$AM, MATCH(Keys!$C$7, US_national_yearly!$D$1:$AM$1, 0), FALSE), 1)</f>
        <v>9.2218984184656296E-4</v>
      </c>
      <c r="E16" s="12">
        <f>$B16 * IFERROR(VLOOKUP(Substitution!$M$14 &amp; $A16, US_national_yearly!$D:$AM, MATCH(E$1, US_national_yearly!$D$1:$AM$1, 0), FALSE) / VLOOKUP(Substitution!$M$14 &amp; $A16, US_national_yearly!$D:$AM, MATCH(Keys!$C$7, US_national_yearly!$D$1:$AM$1, 0), FALSE), 1)</f>
        <v>9.3952402659360998E-4</v>
      </c>
      <c r="F16" s="12">
        <f>$B16 * IFERROR(VLOOKUP(Substitution!$M$14 &amp; $A16, US_national_yearly!$D:$AM, MATCH(F$1, US_national_yearly!$D$1:$AM$1, 0), FALSE) / VLOOKUP(Substitution!$M$14 &amp; $A16, US_national_yearly!$D:$AM, MATCH(Keys!$C$7, US_national_yearly!$D$1:$AM$1, 0), FALSE), 1)</f>
        <v>9.5685821134065699E-4</v>
      </c>
      <c r="G16" s="12">
        <f>$B16 * IFERROR(VLOOKUP(Substitution!$M$14 &amp; $A16, US_national_yearly!$D:$AM, MATCH(G$1, US_national_yearly!$D$1:$AM$1, 0), FALSE) / VLOOKUP(Substitution!$M$14 &amp; $A16, US_national_yearly!$D:$AM, MATCH(Keys!$C$7, US_national_yearly!$D$1:$AM$1, 0), FALSE), 1)</f>
        <v>9.7524553324131408E-4</v>
      </c>
      <c r="H16" s="12">
        <f>$B16 * IFERROR(VLOOKUP(Substitution!$M$14 &amp; $A16, US_national_yearly!$D:$AM, MATCH(H$1, US_national_yearly!$D$1:$AM$1, 0), FALSE) / VLOOKUP(Substitution!$M$14 &amp; $A16, US_national_yearly!$D:$AM, MATCH(Keys!$C$7, US_national_yearly!$D$1:$AM$1, 0), FALSE), 1)</f>
        <v>9.9363285514197106E-4</v>
      </c>
      <c r="I16" s="12">
        <f>$B16 * IFERROR(VLOOKUP(Substitution!$M$14 &amp; $A16, US_national_yearly!$D:$AM, MATCH(I$1, US_national_yearly!$D$1:$AM$1, 0), FALSE) / VLOOKUP(Substitution!$M$14 &amp; $A16, US_national_yearly!$D:$AM, MATCH(Keys!$C$7, US_national_yearly!$D$1:$AM$1, 0), FALSE), 1)</f>
        <v>1.0133226176872929E-3</v>
      </c>
      <c r="J16" s="12">
        <f>$B16 * IFERROR(VLOOKUP(Substitution!$M$14 &amp; $A16, US_national_yearly!$D:$AM, MATCH(J$1, US_national_yearly!$D$1:$AM$1, 0), FALSE) / VLOOKUP(Substitution!$M$14 &amp; $A16, US_national_yearly!$D:$AM, MATCH(Keys!$C$7, US_national_yearly!$D$1:$AM$1, 0), FALSE), 1)</f>
        <v>1.033012380232615E-3</v>
      </c>
      <c r="K16" s="12">
        <f>$B16 * IFERROR(VLOOKUP(Substitution!$M$14 &amp; $A16, US_national_yearly!$D:$AM, MATCH(K$1, US_national_yearly!$D$1:$AM$1, 0), FALSE) / VLOOKUP(Substitution!$M$14 &amp; $A16, US_national_yearly!$D:$AM, MATCH(Keys!$C$7, US_national_yearly!$D$1:$AM$1, 0), FALSE), 1)</f>
        <v>1.0527021427779359E-3</v>
      </c>
      <c r="L16" s="12">
        <f>$B16 * IFERROR(VLOOKUP(Substitution!$M$14 &amp; $A16, US_national_yearly!$D:$AM, MATCH(L$1, US_national_yearly!$D$1:$AM$1, 0), FALSE) / VLOOKUP(Substitution!$M$14 &amp; $A16, US_national_yearly!$D:$AM, MATCH(Keys!$C$7, US_national_yearly!$D$1:$AM$1, 0), FALSE), 1)</f>
        <v>1.072391905323258E-3</v>
      </c>
      <c r="M16" s="12">
        <f>$B16 * IFERROR(VLOOKUP(Substitution!$M$14 &amp; $A16, US_national_yearly!$D:$AM, MATCH(M$1, US_national_yearly!$D$1:$AM$1, 0), FALSE) / VLOOKUP(Substitution!$M$14 &amp; $A16, US_national_yearly!$D:$AM, MATCH(Keys!$C$7, US_national_yearly!$D$1:$AM$1, 0), FALSE), 1)</f>
        <v>1.0920816678685801E-3</v>
      </c>
      <c r="N16" s="12">
        <f>$B16 * IFERROR(VLOOKUP(Substitution!$M$14 &amp; $A16, US_national_yearly!$D:$AM, MATCH(N$1, US_national_yearly!$D$1:$AM$1, 0), FALSE) / VLOOKUP(Substitution!$M$14 &amp; $A16, US_national_yearly!$D:$AM, MATCH(Keys!$C$7, US_national_yearly!$D$1:$AM$1, 0), FALSE), 1)</f>
        <v>1.10870922327572E-3</v>
      </c>
      <c r="O16" s="12">
        <f>$B16 * IFERROR(VLOOKUP(Substitution!$M$14 &amp; $A16, US_national_yearly!$D:$AM, MATCH(O$1, US_national_yearly!$D$1:$AM$1, 0), FALSE) / VLOOKUP(Substitution!$M$14 &amp; $A16, US_national_yearly!$D:$AM, MATCH(Keys!$C$7, US_national_yearly!$D$1:$AM$1, 0), FALSE), 1)</f>
        <v>1.1253367786828599E-3</v>
      </c>
      <c r="P16" s="12">
        <f>$B16 * IFERROR(VLOOKUP(Substitution!$M$14 &amp; $A16, US_national_yearly!$D:$AM, MATCH(P$1, US_national_yearly!$D$1:$AM$1, 0), FALSE) / VLOOKUP(Substitution!$M$14 &amp; $A16, US_national_yearly!$D:$AM, MATCH(Keys!$C$7, US_national_yearly!$D$1:$AM$1, 0), FALSE), 1)</f>
        <v>1.1419643340899999E-3</v>
      </c>
      <c r="Q16" s="12">
        <f>$B16 * IFERROR(VLOOKUP(Substitution!$M$14 &amp; $A16, US_national_yearly!$D:$AM, MATCH(Q$1, US_national_yearly!$D$1:$AM$1, 0), FALSE) / VLOOKUP(Substitution!$M$14 &amp; $A16, US_national_yearly!$D:$AM, MATCH(Keys!$C$7, US_national_yearly!$D$1:$AM$1, 0), FALSE), 1)</f>
        <v>1.1585918894971401E-3</v>
      </c>
      <c r="R16" s="12">
        <f>$B16 * IFERROR(VLOOKUP(Substitution!$M$14 &amp; $A16, US_national_yearly!$D:$AM, MATCH(R$1, US_national_yearly!$D$1:$AM$1, 0), FALSE) / VLOOKUP(Substitution!$M$14 &amp; $A16, US_national_yearly!$D:$AM, MATCH(Keys!$C$7, US_national_yearly!$D$1:$AM$1, 0), FALSE), 1)</f>
        <v>1.17521944490428E-3</v>
      </c>
      <c r="S16" s="12">
        <f>$B16 * IFERROR(VLOOKUP(Substitution!$M$14 &amp; $A16, US_national_yearly!$D:$AM, MATCH(S$1, US_national_yearly!$D$1:$AM$1, 0), FALSE) / VLOOKUP(Substitution!$M$14 &amp; $A16, US_national_yearly!$D:$AM, MATCH(Keys!$C$7, US_national_yearly!$D$1:$AM$1, 0), FALSE), 1)</f>
        <v>1.1837544117352899E-3</v>
      </c>
      <c r="T16" s="12">
        <f>$B16 * IFERROR(VLOOKUP(Substitution!$M$14 &amp; $A16, US_national_yearly!$D:$AM, MATCH(T$1, US_national_yearly!$D$1:$AM$1, 0), FALSE) / VLOOKUP(Substitution!$M$14 &amp; $A16, US_national_yearly!$D:$AM, MATCH(Keys!$C$7, US_national_yearly!$D$1:$AM$1, 0), FALSE), 1)</f>
        <v>1.1922893785663001E-3</v>
      </c>
      <c r="U16" s="12">
        <f>$B16 * IFERROR(VLOOKUP(Substitution!$M$14 &amp; $A16, US_national_yearly!$D:$AM, MATCH(U$1, US_national_yearly!$D$1:$AM$1, 0), FALSE) / VLOOKUP(Substitution!$M$14 &amp; $A16, US_national_yearly!$D:$AM, MATCH(Keys!$C$7, US_national_yearly!$D$1:$AM$1, 0), FALSE), 1)</f>
        <v>1.20082434539731E-3</v>
      </c>
      <c r="V16" s="12">
        <f>$B16 * IFERROR(VLOOKUP(Substitution!$M$14 &amp; $A16, US_national_yearly!$D:$AM, MATCH(V$1, US_national_yearly!$D$1:$AM$1, 0), FALSE) / VLOOKUP(Substitution!$M$14 &amp; $A16, US_national_yearly!$D:$AM, MATCH(Keys!$C$7, US_national_yearly!$D$1:$AM$1, 0), FALSE), 1)</f>
        <v>1.2093593122283199E-3</v>
      </c>
      <c r="W16" s="12">
        <f>$B16 * IFERROR(VLOOKUP(Substitution!$M$14 &amp; $A16, US_national_yearly!$D:$AM, MATCH(W$1, US_national_yearly!$D$1:$AM$1, 0), FALSE) / VLOOKUP(Substitution!$M$14 &amp; $A16, US_national_yearly!$D:$AM, MATCH(Keys!$C$7, US_national_yearly!$D$1:$AM$1, 0), FALSE), 1)</f>
        <v>1.2178942790593301E-3</v>
      </c>
      <c r="X16" s="12">
        <f>$B16 * IFERROR(VLOOKUP(Substitution!$M$14 &amp; $A16, US_national_yearly!$D:$AM, MATCH(X$1, US_national_yearly!$D$1:$AM$1, 0), FALSE) / VLOOKUP(Substitution!$M$14 &amp; $A16, US_national_yearly!$D:$AM, MATCH(Keys!$C$7, US_national_yearly!$D$1:$AM$1, 0), FALSE), 1)</f>
        <v>1.2221117711768621E-3</v>
      </c>
      <c r="Y16" s="12">
        <f>$B16 * IFERROR(VLOOKUP(Substitution!$M$14 &amp; $A16, US_national_yearly!$D:$AM, MATCH(Y$1, US_national_yearly!$D$1:$AM$1, 0), FALSE) / VLOOKUP(Substitution!$M$14 &amp; $A16, US_national_yearly!$D:$AM, MATCH(Keys!$C$7, US_national_yearly!$D$1:$AM$1, 0), FALSE), 1)</f>
        <v>1.2263292632943941E-3</v>
      </c>
      <c r="Z16" s="12">
        <f>$B16 * IFERROR(VLOOKUP(Substitution!$M$14 &amp; $A16, US_national_yearly!$D:$AM, MATCH(Z$1, US_national_yearly!$D$1:$AM$1, 0), FALSE) / VLOOKUP(Substitution!$M$14 &amp; $A16, US_national_yearly!$D:$AM, MATCH(Keys!$C$7, US_national_yearly!$D$1:$AM$1, 0), FALSE), 1)</f>
        <v>1.2305467554119261E-3</v>
      </c>
      <c r="AA16" s="12">
        <f>$B16 * IFERROR(VLOOKUP(Substitution!$M$14 &amp; $A16, US_national_yearly!$D:$AM, MATCH(AA$1, US_national_yearly!$D$1:$AM$1, 0), FALSE) / VLOOKUP(Substitution!$M$14 &amp; $A16, US_national_yearly!$D:$AM, MATCH(Keys!$C$7, US_national_yearly!$D$1:$AM$1, 0), FALSE), 1)</f>
        <v>1.234764247529458E-3</v>
      </c>
      <c r="AB16" s="12">
        <f>$B16 * IFERROR(VLOOKUP(Substitution!$M$14 &amp; $A16, US_national_yearly!$D:$AM, MATCH(AB$1, US_national_yearly!$D$1:$AM$1, 0), FALSE) / VLOOKUP(Substitution!$M$14 &amp; $A16, US_national_yearly!$D:$AM, MATCH(Keys!$C$7, US_national_yearly!$D$1:$AM$1, 0), FALSE), 1)</f>
        <v>1.23898173964699E-3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Substitution!$G$14)/IFERROR(SUMIFS(COBRA_aggregated!$U:$U, COBRA_aggregated!$A:$A, About!$B$1, COBRA_aggregated!$B:$B, Substitution!$G$14), 1)</f>
        <v>4.8778502010034374E-3</v>
      </c>
      <c r="C17" s="12">
        <f>$B17 * IFERROR(VLOOKUP(Substitution!$M$14 &amp; $A17, US_national_yearly!$D:$AM, MATCH(C$1, US_national_yearly!$D$1:$AM$1, 0), FALSE) / VLOOKUP(Substitution!$M$14 &amp; $A17, US_national_yearly!$D:$AM, MATCH(Keys!$C$7, US_national_yearly!$D$1:$AM$1, 0), FALSE), 1)</f>
        <v>5.0237498278052559E-3</v>
      </c>
      <c r="D17" s="12">
        <f>$B17 * IFERROR(VLOOKUP(Substitution!$M$14 &amp; $A17, US_national_yearly!$D:$AM, MATCH(D$1, US_national_yearly!$D$1:$AM$1, 0), FALSE) / VLOOKUP(Substitution!$M$14 &amp; $A17, US_national_yearly!$D:$AM, MATCH(Keys!$C$7, US_national_yearly!$D$1:$AM$1, 0), FALSE), 1)</f>
        <v>5.1696494546070752E-3</v>
      </c>
      <c r="E17" s="12">
        <f>$B17 * IFERROR(VLOOKUP(Substitution!$M$14 &amp; $A17, US_national_yearly!$D:$AM, MATCH(E$1, US_national_yearly!$D$1:$AM$1, 0), FALSE) / VLOOKUP(Substitution!$M$14 &amp; $A17, US_national_yearly!$D:$AM, MATCH(Keys!$C$7, US_national_yearly!$D$1:$AM$1, 0), FALSE), 1)</f>
        <v>5.3155490814088937E-3</v>
      </c>
      <c r="F17" s="12">
        <f>$B17 * IFERROR(VLOOKUP(Substitution!$M$14 &amp; $A17, US_national_yearly!$D:$AM, MATCH(F$1, US_national_yearly!$D$1:$AM$1, 0), FALSE) / VLOOKUP(Substitution!$M$14 &amp; $A17, US_national_yearly!$D:$AM, MATCH(Keys!$C$7, US_national_yearly!$D$1:$AM$1, 0), FALSE), 1)</f>
        <v>5.4614487082107113E-3</v>
      </c>
      <c r="G17" s="12">
        <f>$B17 * IFERROR(VLOOKUP(Substitution!$M$14 &amp; $A17, US_national_yearly!$D:$AM, MATCH(G$1, US_national_yearly!$D$1:$AM$1, 0), FALSE) / VLOOKUP(Substitution!$M$14 &amp; $A17, US_national_yearly!$D:$AM, MATCH(Keys!$C$7, US_national_yearly!$D$1:$AM$1, 0), FALSE), 1)</f>
        <v>5.6012829842427957E-3</v>
      </c>
      <c r="H17" s="12">
        <f>$B17 * IFERROR(VLOOKUP(Substitution!$M$14 &amp; $A17, US_national_yearly!$D:$AM, MATCH(H$1, US_national_yearly!$D$1:$AM$1, 0), FALSE) / VLOOKUP(Substitution!$M$14 &amp; $A17, US_national_yearly!$D:$AM, MATCH(Keys!$C$7, US_national_yearly!$D$1:$AM$1, 0), FALSE), 1)</f>
        <v>5.7411172602748793E-3</v>
      </c>
      <c r="I17" s="12">
        <f>$B17 * IFERROR(VLOOKUP(Substitution!$M$14 &amp; $A17, US_national_yearly!$D:$AM, MATCH(I$1, US_national_yearly!$D$1:$AM$1, 0), FALSE) / VLOOKUP(Substitution!$M$14 &amp; $A17, US_national_yearly!$D:$AM, MATCH(Keys!$C$7, US_national_yearly!$D$1:$AM$1, 0), FALSE), 1)</f>
        <v>5.8611772405389373E-3</v>
      </c>
      <c r="J17" s="12">
        <f>$B17 * IFERROR(VLOOKUP(Substitution!$M$14 &amp; $A17, US_national_yearly!$D:$AM, MATCH(J$1, US_national_yearly!$D$1:$AM$1, 0), FALSE) / VLOOKUP(Substitution!$M$14 &amp; $A17, US_national_yearly!$D:$AM, MATCH(Keys!$C$7, US_national_yearly!$D$1:$AM$1, 0), FALSE), 1)</f>
        <v>5.9812372208029943E-3</v>
      </c>
      <c r="K17" s="12">
        <f>$B17 * IFERROR(VLOOKUP(Substitution!$M$14 &amp; $A17, US_national_yearly!$D:$AM, MATCH(K$1, US_national_yearly!$D$1:$AM$1, 0), FALSE) / VLOOKUP(Substitution!$M$14 &amp; $A17, US_national_yearly!$D:$AM, MATCH(Keys!$C$7, US_national_yearly!$D$1:$AM$1, 0), FALSE), 1)</f>
        <v>6.1012972010670531E-3</v>
      </c>
      <c r="L17" s="12">
        <f>$B17 * IFERROR(VLOOKUP(Substitution!$M$14 &amp; $A17, US_national_yearly!$D:$AM, MATCH(L$1, US_national_yearly!$D$1:$AM$1, 0), FALSE) / VLOOKUP(Substitution!$M$14 &amp; $A17, US_national_yearly!$D:$AM, MATCH(Keys!$C$7, US_national_yearly!$D$1:$AM$1, 0), FALSE), 1)</f>
        <v>6.221357181331111E-3</v>
      </c>
      <c r="M17" s="12">
        <f>$B17 * IFERROR(VLOOKUP(Substitution!$M$14 &amp; $A17, US_national_yearly!$D:$AM, MATCH(M$1, US_national_yearly!$D$1:$AM$1, 0), FALSE) / VLOOKUP(Substitution!$M$14 &amp; $A17, US_national_yearly!$D:$AM, MATCH(Keys!$C$7, US_national_yearly!$D$1:$AM$1, 0), FALSE), 1)</f>
        <v>6.3414171615951689E-3</v>
      </c>
      <c r="N17" s="12">
        <f>$B17 * IFERROR(VLOOKUP(Substitution!$M$14 &amp; $A17, US_national_yearly!$D:$AM, MATCH(N$1, US_national_yearly!$D$1:$AM$1, 0), FALSE) / VLOOKUP(Substitution!$M$14 &amp; $A17, US_national_yearly!$D:$AM, MATCH(Keys!$C$7, US_national_yearly!$D$1:$AM$1, 0), FALSE), 1)</f>
        <v>6.4216176810554318E-3</v>
      </c>
      <c r="O17" s="12">
        <f>$B17 * IFERROR(VLOOKUP(Substitution!$M$14 &amp; $A17, US_national_yearly!$D:$AM, MATCH(O$1, US_national_yearly!$D$1:$AM$1, 0), FALSE) / VLOOKUP(Substitution!$M$14 &amp; $A17, US_national_yearly!$D:$AM, MATCH(Keys!$C$7, US_national_yearly!$D$1:$AM$1, 0), FALSE), 1)</f>
        <v>6.5018182005156921E-3</v>
      </c>
      <c r="P17" s="12">
        <f>$B17 * IFERROR(VLOOKUP(Substitution!$M$14 &amp; $A17, US_national_yearly!$D:$AM, MATCH(P$1, US_national_yearly!$D$1:$AM$1, 0), FALSE) / VLOOKUP(Substitution!$M$14 &amp; $A17, US_national_yearly!$D:$AM, MATCH(Keys!$C$7, US_national_yearly!$D$1:$AM$1, 0), FALSE), 1)</f>
        <v>6.5820187199759532E-3</v>
      </c>
      <c r="Q17" s="12">
        <f>$B17 * IFERROR(VLOOKUP(Substitution!$M$14 &amp; $A17, US_national_yearly!$D:$AM, MATCH(Q$1, US_national_yearly!$D$1:$AM$1, 0), FALSE) / VLOOKUP(Substitution!$M$14 &amp; $A17, US_national_yearly!$D:$AM, MATCH(Keys!$C$7, US_national_yearly!$D$1:$AM$1, 0), FALSE), 1)</f>
        <v>6.6622192394362144E-3</v>
      </c>
      <c r="R17" s="12">
        <f>$B17 * IFERROR(VLOOKUP(Substitution!$M$14 &amp; $A17, US_national_yearly!$D:$AM, MATCH(R$1, US_national_yearly!$D$1:$AM$1, 0), FALSE) / VLOOKUP(Substitution!$M$14 &amp; $A17, US_national_yearly!$D:$AM, MATCH(Keys!$C$7, US_national_yearly!$D$1:$AM$1, 0), FALSE), 1)</f>
        <v>6.7424197588964755E-3</v>
      </c>
      <c r="S17" s="12">
        <f>$B17 * IFERROR(VLOOKUP(Substitution!$M$14 &amp; $A17, US_national_yearly!$D:$AM, MATCH(S$1, US_national_yearly!$D$1:$AM$1, 0), FALSE) / VLOOKUP(Substitution!$M$14 &amp; $A17, US_national_yearly!$D:$AM, MATCH(Keys!$C$7, US_national_yearly!$D$1:$AM$1, 0), FALSE), 1)</f>
        <v>6.7853892523173365E-3</v>
      </c>
      <c r="T17" s="12">
        <f>$B17 * IFERROR(VLOOKUP(Substitution!$M$14 &amp; $A17, US_national_yearly!$D:$AM, MATCH(T$1, US_national_yearly!$D$1:$AM$1, 0), FALSE) / VLOOKUP(Substitution!$M$14 &amp; $A17, US_national_yearly!$D:$AM, MATCH(Keys!$C$7, US_national_yearly!$D$1:$AM$1, 0), FALSE), 1)</f>
        <v>6.8283587457381983E-3</v>
      </c>
      <c r="U17" s="12">
        <f>$B17 * IFERROR(VLOOKUP(Substitution!$M$14 &amp; $A17, US_national_yearly!$D:$AM, MATCH(U$1, US_national_yearly!$D$1:$AM$1, 0), FALSE) / VLOOKUP(Substitution!$M$14 &amp; $A17, US_national_yearly!$D:$AM, MATCH(Keys!$C$7, US_national_yearly!$D$1:$AM$1, 0), FALSE), 1)</f>
        <v>6.8713282391590609E-3</v>
      </c>
      <c r="V17" s="12">
        <f>$B17 * IFERROR(VLOOKUP(Substitution!$M$14 &amp; $A17, US_national_yearly!$D:$AM, MATCH(V$1, US_national_yearly!$D$1:$AM$1, 0), FALSE) / VLOOKUP(Substitution!$M$14 &amp; $A17, US_national_yearly!$D:$AM, MATCH(Keys!$C$7, US_national_yearly!$D$1:$AM$1, 0), FALSE), 1)</f>
        <v>6.914297732579921E-3</v>
      </c>
      <c r="W17" s="12">
        <f>$B17 * IFERROR(VLOOKUP(Substitution!$M$14 &amp; $A17, US_national_yearly!$D:$AM, MATCH(W$1, US_national_yearly!$D$1:$AM$1, 0), FALSE) / VLOOKUP(Substitution!$M$14 &amp; $A17, US_national_yearly!$D:$AM, MATCH(Keys!$C$7, US_national_yearly!$D$1:$AM$1, 0), FALSE), 1)</f>
        <v>6.9572672260007828E-3</v>
      </c>
      <c r="X17" s="12">
        <f>$B17 * IFERROR(VLOOKUP(Substitution!$M$14 &amp; $A17, US_national_yearly!$D:$AM, MATCH(X$1, US_national_yearly!$D$1:$AM$1, 0), FALSE) / VLOOKUP(Substitution!$M$14 &amp; $A17, US_national_yearly!$D:$AM, MATCH(Keys!$C$7, US_national_yearly!$D$1:$AM$1, 0), FALSE), 1)</f>
        <v>6.9867741431998611E-3</v>
      </c>
      <c r="Y17" s="12">
        <f>$B17 * IFERROR(VLOOKUP(Substitution!$M$14 &amp; $A17, US_national_yearly!$D:$AM, MATCH(Y$1, US_national_yearly!$D$1:$AM$1, 0), FALSE) / VLOOKUP(Substitution!$M$14 &amp; $A17, US_national_yearly!$D:$AM, MATCH(Keys!$C$7, US_national_yearly!$D$1:$AM$1, 0), FALSE), 1)</f>
        <v>7.0162810603989368E-3</v>
      </c>
      <c r="Z17" s="12">
        <f>$B17 * IFERROR(VLOOKUP(Substitution!$M$14 &amp; $A17, US_national_yearly!$D:$AM, MATCH(Z$1, US_national_yearly!$D$1:$AM$1, 0), FALSE) / VLOOKUP(Substitution!$M$14 &amp; $A17, US_national_yearly!$D:$AM, MATCH(Keys!$C$7, US_national_yearly!$D$1:$AM$1, 0), FALSE), 1)</f>
        <v>7.0457879775980142E-3</v>
      </c>
      <c r="AA17" s="12">
        <f>$B17 * IFERROR(VLOOKUP(Substitution!$M$14 &amp; $A17, US_national_yearly!$D:$AM, MATCH(AA$1, US_national_yearly!$D$1:$AM$1, 0), FALSE) / VLOOKUP(Substitution!$M$14 &amp; $A17, US_national_yearly!$D:$AM, MATCH(Keys!$C$7, US_national_yearly!$D$1:$AM$1, 0), FALSE), 1)</f>
        <v>7.0752948947970899E-3</v>
      </c>
      <c r="AB17" s="12">
        <f>$B17 * IFERROR(VLOOKUP(Substitution!$M$14 &amp; $A17, US_national_yearly!$D:$AM, MATCH(AB$1, US_national_yearly!$D$1:$AM$1, 0), FALSE) / VLOOKUP(Substitution!$M$14 &amp; $A17, US_national_yearly!$D:$AM, MATCH(Keys!$C$7, US_national_yearly!$D$1:$AM$1, 0), FALSE), 1)</f>
        <v>7.1048018119961674E-3</v>
      </c>
    </row>
    <row r="18" spans="1:28" x14ac:dyDescent="0.25">
      <c r="A18" s="4" t="s">
        <v>323</v>
      </c>
      <c r="B18" s="12">
        <f>IFERROR(VLOOKUP(Substitution!$M$14 &amp; $A18, US_national_yearly!$D:$AM, MATCH(Keys!$C$7, US_national_yearly!$D$1:$AM$1, 0), FALSE), 0)</f>
        <v>6.2014150027326327E-3</v>
      </c>
      <c r="C18" s="12">
        <f>$B18 * IFERROR(VLOOKUP(Substitution!$M$14 &amp; $A18, US_national_yearly!$D:$AM, MATCH(C$1, US_national_yearly!$D$1:$AM$1, 0), FALSE) / VLOOKUP(Substitution!$M$14 &amp; $A18, US_national_yearly!$D:$AM, MATCH(Keys!$C$7, US_national_yearly!$D$1:$AM$1, 0), FALSE), 1)</f>
        <v>6.4036355510405842E-3</v>
      </c>
      <c r="D18" s="12">
        <f>$B18 * IFERROR(VLOOKUP(Substitution!$M$14 &amp; $A18, US_national_yearly!$D:$AM, MATCH(D$1, US_national_yearly!$D$1:$AM$1, 0), FALSE) / VLOOKUP(Substitution!$M$14 &amp; $A18, US_national_yearly!$D:$AM, MATCH(Keys!$C$7, US_national_yearly!$D$1:$AM$1, 0), FALSE), 1)</f>
        <v>6.6058560993485357E-3</v>
      </c>
      <c r="E18" s="12">
        <f>$B18 * IFERROR(VLOOKUP(Substitution!$M$14 &amp; $A18, US_national_yearly!$D:$AM, MATCH(E$1, US_national_yearly!$D$1:$AM$1, 0), FALSE) / VLOOKUP(Substitution!$M$14 &amp; $A18, US_national_yearly!$D:$AM, MATCH(Keys!$C$7, US_national_yearly!$D$1:$AM$1, 0), FALSE), 1)</f>
        <v>6.8080766476564872E-3</v>
      </c>
      <c r="F18" s="12">
        <f>$B18 * IFERROR(VLOOKUP(Substitution!$M$14 &amp; $A18, US_national_yearly!$D:$AM, MATCH(F$1, US_national_yearly!$D$1:$AM$1, 0), FALSE) / VLOOKUP(Substitution!$M$14 &amp; $A18, US_national_yearly!$D:$AM, MATCH(Keys!$C$7, US_national_yearly!$D$1:$AM$1, 0), FALSE), 1)</f>
        <v>7.0102971959644404E-3</v>
      </c>
      <c r="G18" s="12">
        <f>$B18 * IFERROR(VLOOKUP(Substitution!$M$14 &amp; $A18, US_national_yearly!$D:$AM, MATCH(G$1, US_national_yearly!$D$1:$AM$1, 0), FALSE) / VLOOKUP(Substitution!$M$14 &amp; $A18, US_national_yearly!$D:$AM, MATCH(Keys!$C$7, US_national_yearly!$D$1:$AM$1, 0), FALSE), 1)</f>
        <v>7.2249969629315106E-3</v>
      </c>
      <c r="H18" s="12">
        <f>$B18 * IFERROR(VLOOKUP(Substitution!$M$14 &amp; $A18, US_national_yearly!$D:$AM, MATCH(H$1, US_national_yearly!$D$1:$AM$1, 0), FALSE) / VLOOKUP(Substitution!$M$14 &amp; $A18, US_national_yearly!$D:$AM, MATCH(Keys!$C$7, US_national_yearly!$D$1:$AM$1, 0), FALSE), 1)</f>
        <v>7.4396967298985799E-3</v>
      </c>
      <c r="I18" s="12">
        <f>$B18 * IFERROR(VLOOKUP(Substitution!$M$14 &amp; $A18, US_national_yearly!$D:$AM, MATCH(I$1, US_national_yearly!$D$1:$AM$1, 0), FALSE) / VLOOKUP(Substitution!$M$14 &amp; $A18, US_national_yearly!$D:$AM, MATCH(Keys!$C$7, US_national_yearly!$D$1:$AM$1, 0), FALSE), 1)</f>
        <v>7.655005406983534E-3</v>
      </c>
      <c r="J18" s="12">
        <f>$B18 * IFERROR(VLOOKUP(Substitution!$M$14 &amp; $A18, US_national_yearly!$D:$AM, MATCH(J$1, US_national_yearly!$D$1:$AM$1, 0), FALSE) / VLOOKUP(Substitution!$M$14 &amp; $A18, US_national_yearly!$D:$AM, MATCH(Keys!$C$7, US_national_yearly!$D$1:$AM$1, 0), FALSE), 1)</f>
        <v>7.8703140840684881E-3</v>
      </c>
      <c r="K18" s="12">
        <f>$B18 * IFERROR(VLOOKUP(Substitution!$M$14 &amp; $A18, US_national_yearly!$D:$AM, MATCH(K$1, US_national_yearly!$D$1:$AM$1, 0), FALSE) / VLOOKUP(Substitution!$M$14 &amp; $A18, US_national_yearly!$D:$AM, MATCH(Keys!$C$7, US_national_yearly!$D$1:$AM$1, 0), FALSE), 1)</f>
        <v>8.0856227611534413E-3</v>
      </c>
      <c r="L18" s="12">
        <f>$B18 * IFERROR(VLOOKUP(Substitution!$M$14 &amp; $A18, US_national_yearly!$D:$AM, MATCH(L$1, US_national_yearly!$D$1:$AM$1, 0), FALSE) / VLOOKUP(Substitution!$M$14 &amp; $A18, US_national_yearly!$D:$AM, MATCH(Keys!$C$7, US_national_yearly!$D$1:$AM$1, 0), FALSE), 1)</f>
        <v>8.3009314382383962E-3</v>
      </c>
      <c r="M18" s="12">
        <f>$B18 * IFERROR(VLOOKUP(Substitution!$M$14 &amp; $A18, US_national_yearly!$D:$AM, MATCH(M$1, US_national_yearly!$D$1:$AM$1, 0), FALSE) / VLOOKUP(Substitution!$M$14 &amp; $A18, US_national_yearly!$D:$AM, MATCH(Keys!$C$7, US_national_yearly!$D$1:$AM$1, 0), FALSE), 1)</f>
        <v>8.5162401153233494E-3</v>
      </c>
      <c r="N18" s="12">
        <f>$B18 * IFERROR(VLOOKUP(Substitution!$M$14 &amp; $A18, US_national_yearly!$D:$AM, MATCH(N$1, US_national_yearly!$D$1:$AM$1, 0), FALSE) / VLOOKUP(Substitution!$M$14 &amp; $A18, US_national_yearly!$D:$AM, MATCH(Keys!$C$7, US_national_yearly!$D$1:$AM$1, 0), FALSE), 1)</f>
        <v>8.6713705987755373E-3</v>
      </c>
      <c r="O18" s="12">
        <f>$B18 * IFERROR(VLOOKUP(Substitution!$M$14 &amp; $A18, US_national_yearly!$D:$AM, MATCH(O$1, US_national_yearly!$D$1:$AM$1, 0), FALSE) / VLOOKUP(Substitution!$M$14 &amp; $A18, US_national_yearly!$D:$AM, MATCH(Keys!$C$7, US_national_yearly!$D$1:$AM$1, 0), FALSE), 1)</f>
        <v>8.8265010822277251E-3</v>
      </c>
      <c r="P18" s="12">
        <f>$B18 * IFERROR(VLOOKUP(Substitution!$M$14 &amp; $A18, US_national_yearly!$D:$AM, MATCH(P$1, US_national_yearly!$D$1:$AM$1, 0), FALSE) / VLOOKUP(Substitution!$M$14 &amp; $A18, US_national_yearly!$D:$AM, MATCH(Keys!$C$7, US_national_yearly!$D$1:$AM$1, 0), FALSE), 1)</f>
        <v>8.9816315656799147E-3</v>
      </c>
      <c r="Q18" s="12">
        <f>$B18 * IFERROR(VLOOKUP(Substitution!$M$14 &amp; $A18, US_national_yearly!$D:$AM, MATCH(Q$1, US_national_yearly!$D$1:$AM$1, 0), FALSE) / VLOOKUP(Substitution!$M$14 &amp; $A18, US_national_yearly!$D:$AM, MATCH(Keys!$C$7, US_national_yearly!$D$1:$AM$1, 0), FALSE), 1)</f>
        <v>9.1367620491321026E-3</v>
      </c>
      <c r="R18" s="12">
        <f>$B18 * IFERROR(VLOOKUP(Substitution!$M$14 &amp; $A18, US_national_yearly!$D:$AM, MATCH(R$1, US_national_yearly!$D$1:$AM$1, 0), FALSE) / VLOOKUP(Substitution!$M$14 &amp; $A18, US_national_yearly!$D:$AM, MATCH(Keys!$C$7, US_national_yearly!$D$1:$AM$1, 0), FALSE), 1)</f>
        <v>9.2918925325842904E-3</v>
      </c>
      <c r="S18" s="12">
        <f>$B18 * IFERROR(VLOOKUP(Substitution!$M$14 &amp; $A18, US_national_yearly!$D:$AM, MATCH(S$1, US_national_yearly!$D$1:$AM$1, 0), FALSE) / VLOOKUP(Substitution!$M$14 &amp; $A18, US_national_yearly!$D:$AM, MATCH(Keys!$C$7, US_national_yearly!$D$1:$AM$1, 0), FALSE), 1)</f>
        <v>9.3678780509515638E-3</v>
      </c>
      <c r="T18" s="12">
        <f>$B18 * IFERROR(VLOOKUP(Substitution!$M$14 &amp; $A18, US_national_yearly!$D:$AM, MATCH(T$1, US_national_yearly!$D$1:$AM$1, 0), FALSE) / VLOOKUP(Substitution!$M$14 &amp; $A18, US_national_yearly!$D:$AM, MATCH(Keys!$C$7, US_national_yearly!$D$1:$AM$1, 0), FALSE), 1)</f>
        <v>9.4438635693188389E-3</v>
      </c>
      <c r="U18" s="12">
        <f>$B18 * IFERROR(VLOOKUP(Substitution!$M$14 &amp; $A18, US_national_yearly!$D:$AM, MATCH(U$1, US_national_yearly!$D$1:$AM$1, 0), FALSE) / VLOOKUP(Substitution!$M$14 &amp; $A18, US_national_yearly!$D:$AM, MATCH(Keys!$C$7, US_national_yearly!$D$1:$AM$1, 0), FALSE), 1)</f>
        <v>9.5198490876861122E-3</v>
      </c>
      <c r="V18" s="12">
        <f>$B18 * IFERROR(VLOOKUP(Substitution!$M$14 &amp; $A18, US_national_yearly!$D:$AM, MATCH(V$1, US_national_yearly!$D$1:$AM$1, 0), FALSE) / VLOOKUP(Substitution!$M$14 &amp; $A18, US_national_yearly!$D:$AM, MATCH(Keys!$C$7, US_national_yearly!$D$1:$AM$1, 0), FALSE), 1)</f>
        <v>9.5958346060533873E-3</v>
      </c>
      <c r="W18" s="12">
        <f>$B18 * IFERROR(VLOOKUP(Substitution!$M$14 &amp; $A18, US_national_yearly!$D:$AM, MATCH(W$1, US_national_yearly!$D$1:$AM$1, 0), FALSE) / VLOOKUP(Substitution!$M$14 &amp; $A18, US_national_yearly!$D:$AM, MATCH(Keys!$C$7, US_national_yearly!$D$1:$AM$1, 0), FALSE), 1)</f>
        <v>9.6718201244206606E-3</v>
      </c>
      <c r="X18" s="12">
        <f>$B18 * IFERROR(VLOOKUP(Substitution!$M$14 &amp; $A18, US_national_yearly!$D:$AM, MATCH(X$1, US_national_yearly!$D$1:$AM$1, 0), FALSE) / VLOOKUP(Substitution!$M$14 &amp; $A18, US_national_yearly!$D:$AM, MATCH(Keys!$C$7, US_national_yearly!$D$1:$AM$1, 0), FALSE), 1)</f>
        <v>9.6960598683003066E-3</v>
      </c>
      <c r="Y18" s="12">
        <f>$B18 * IFERROR(VLOOKUP(Substitution!$M$14 &amp; $A18, US_national_yearly!$D:$AM, MATCH(Y$1, US_national_yearly!$D$1:$AM$1, 0), FALSE) / VLOOKUP(Substitution!$M$14 &amp; $A18, US_national_yearly!$D:$AM, MATCH(Keys!$C$7, US_national_yearly!$D$1:$AM$1, 0), FALSE), 1)</f>
        <v>9.7202996121799525E-3</v>
      </c>
      <c r="Z18" s="12">
        <f>$B18 * IFERROR(VLOOKUP(Substitution!$M$14 &amp; $A18, US_national_yearly!$D:$AM, MATCH(Z$1, US_national_yearly!$D$1:$AM$1, 0), FALSE) / VLOOKUP(Substitution!$M$14 &amp; $A18, US_national_yearly!$D:$AM, MATCH(Keys!$C$7, US_national_yearly!$D$1:$AM$1, 0), FALSE), 1)</f>
        <v>9.7445393560595985E-3</v>
      </c>
      <c r="AA18" s="12">
        <f>$B18 * IFERROR(VLOOKUP(Substitution!$M$14 &amp; $A18, US_national_yearly!$D:$AM, MATCH(AA$1, US_national_yearly!$D$1:$AM$1, 0), FALSE) / VLOOKUP(Substitution!$M$14 &amp; $A18, US_national_yearly!$D:$AM, MATCH(Keys!$C$7, US_national_yearly!$D$1:$AM$1, 0), FALSE), 1)</f>
        <v>9.7687790999392444E-3</v>
      </c>
      <c r="AB18" s="12">
        <f>$B18 * IFERROR(VLOOKUP(Substitution!$M$14 &amp; $A18, US_national_yearly!$D:$AM, MATCH(AB$1, US_national_yearly!$D$1:$AM$1, 0), FALSE) / VLOOKUP(Substitution!$M$14 &amp; $A18, US_national_yearly!$D:$AM, MATCH(Keys!$C$7, US_national_yearly!$D$1:$AM$1, 0), FALSE), 1)</f>
        <v>9.7930188438188903E-3</v>
      </c>
    </row>
    <row r="19" spans="1:28" x14ac:dyDescent="0.25">
      <c r="A19" s="4" t="s">
        <v>325</v>
      </c>
      <c r="B19" s="12">
        <f>IFERROR(VLOOKUP(Substitution!$M$14 &amp; $A19, US_national_yearly!$D:$AM, MATCH(Keys!$C$7, US_national_yearly!$D$1:$AM$1, 0), FALSE), 0)</f>
        <v>8.2814324345856965E-4</v>
      </c>
      <c r="C19" s="12">
        <f>$B19 * IFERROR(VLOOKUP(Substitution!$M$14 &amp; $A19, US_national_yearly!$D:$AM, MATCH(C$1, US_national_yearly!$D$1:$AM$1, 0), FALSE) / VLOOKUP(Substitution!$M$14 &amp; $A19, US_national_yearly!$D:$AM, MATCH(Keys!$C$7, US_national_yearly!$D$1:$AM$1, 0), FALSE), 1)</f>
        <v>8.4970866255155736E-4</v>
      </c>
      <c r="D19" s="12">
        <f>$B19 * IFERROR(VLOOKUP(Substitution!$M$14 &amp; $A19, US_national_yearly!$D:$AM, MATCH(D$1, US_national_yearly!$D$1:$AM$1, 0), FALSE) / VLOOKUP(Substitution!$M$14 &amp; $A19, US_national_yearly!$D:$AM, MATCH(Keys!$C$7, US_national_yearly!$D$1:$AM$1, 0), FALSE), 1)</f>
        <v>8.7127408164454486E-4</v>
      </c>
      <c r="E19" s="12">
        <f>$B19 * IFERROR(VLOOKUP(Substitution!$M$14 &amp; $A19, US_national_yearly!$D:$AM, MATCH(E$1, US_national_yearly!$D$1:$AM$1, 0), FALSE) / VLOOKUP(Substitution!$M$14 &amp; $A19, US_national_yearly!$D:$AM, MATCH(Keys!$C$7, US_national_yearly!$D$1:$AM$1, 0), FALSE), 1)</f>
        <v>8.9283950073753237E-4</v>
      </c>
      <c r="F19" s="12">
        <f>$B19 * IFERROR(VLOOKUP(Substitution!$M$14 &amp; $A19, US_national_yearly!$D:$AM, MATCH(F$1, US_national_yearly!$D$1:$AM$1, 0), FALSE) / VLOOKUP(Substitution!$M$14 &amp; $A19, US_national_yearly!$D:$AM, MATCH(Keys!$C$7, US_national_yearly!$D$1:$AM$1, 0), FALSE), 1)</f>
        <v>9.1440491983051997E-4</v>
      </c>
      <c r="G19" s="12">
        <f>$B19 * IFERROR(VLOOKUP(Substitution!$M$14 &amp; $A19, US_national_yearly!$D:$AM, MATCH(G$1, US_national_yearly!$D$1:$AM$1, 0), FALSE) / VLOOKUP(Substitution!$M$14 &amp; $A19, US_national_yearly!$D:$AM, MATCH(Keys!$C$7, US_national_yearly!$D$1:$AM$1, 0), FALSE), 1)</f>
        <v>9.32468147476248E-4</v>
      </c>
      <c r="H19" s="12">
        <f>$B19 * IFERROR(VLOOKUP(Substitution!$M$14 &amp; $A19, US_national_yearly!$D:$AM, MATCH(H$1, US_national_yearly!$D$1:$AM$1, 0), FALSE) / VLOOKUP(Substitution!$M$14 &amp; $A19, US_national_yearly!$D:$AM, MATCH(Keys!$C$7, US_national_yearly!$D$1:$AM$1, 0), FALSE), 1)</f>
        <v>9.5053137512197614E-4</v>
      </c>
      <c r="I19" s="12">
        <f>$B19 * IFERROR(VLOOKUP(Substitution!$M$14 &amp; $A19, US_national_yearly!$D:$AM, MATCH(I$1, US_national_yearly!$D$1:$AM$1, 0), FALSE) / VLOOKUP(Substitution!$M$14 &amp; $A19, US_national_yearly!$D:$AM, MATCH(Keys!$C$7, US_national_yearly!$D$1:$AM$1, 0), FALSE), 1)</f>
        <v>9.6244032339609881E-4</v>
      </c>
      <c r="J19" s="12">
        <f>$B19 * IFERROR(VLOOKUP(Substitution!$M$14 &amp; $A19, US_national_yearly!$D:$AM, MATCH(J$1, US_national_yearly!$D$1:$AM$1, 0), FALSE) / VLOOKUP(Substitution!$M$14 &amp; $A19, US_national_yearly!$D:$AM, MATCH(Keys!$C$7, US_national_yearly!$D$1:$AM$1, 0), FALSE), 1)</f>
        <v>9.7434927167022159E-4</v>
      </c>
      <c r="K19" s="12">
        <f>$B19 * IFERROR(VLOOKUP(Substitution!$M$14 &amp; $A19, US_national_yearly!$D:$AM, MATCH(K$1, US_national_yearly!$D$1:$AM$1, 0), FALSE) / VLOOKUP(Substitution!$M$14 &amp; $A19, US_national_yearly!$D:$AM, MATCH(Keys!$C$7, US_national_yearly!$D$1:$AM$1, 0), FALSE), 1)</f>
        <v>9.8625821994434448E-4</v>
      </c>
      <c r="L19" s="12">
        <f>$B19 * IFERROR(VLOOKUP(Substitution!$M$14 &amp; $A19, US_national_yearly!$D:$AM, MATCH(L$1, US_national_yearly!$D$1:$AM$1, 0), FALSE) / VLOOKUP(Substitution!$M$14 &amp; $A19, US_national_yearly!$D:$AM, MATCH(Keys!$C$7, US_national_yearly!$D$1:$AM$1, 0), FALSE), 1)</f>
        <v>9.9816716821846726E-4</v>
      </c>
      <c r="M19" s="12">
        <f>$B19 * IFERROR(VLOOKUP(Substitution!$M$14 &amp; $A19, US_national_yearly!$D:$AM, MATCH(M$1, US_national_yearly!$D$1:$AM$1, 0), FALSE) / VLOOKUP(Substitution!$M$14 &amp; $A19, US_national_yearly!$D:$AM, MATCH(Keys!$C$7, US_national_yearly!$D$1:$AM$1, 0), FALSE), 1)</f>
        <v>1.01007611649259E-3</v>
      </c>
      <c r="N19" s="12">
        <f>$B19 * IFERROR(VLOOKUP(Substitution!$M$14 &amp; $A19, US_national_yearly!$D:$AM, MATCH(N$1, US_national_yearly!$D$1:$AM$1, 0), FALSE) / VLOOKUP(Substitution!$M$14 &amp; $A19, US_national_yearly!$D:$AM, MATCH(Keys!$C$7, US_national_yearly!$D$1:$AM$1, 0), FALSE), 1)</f>
        <v>1.01599938475777E-3</v>
      </c>
      <c r="O19" s="12">
        <f>$B19 * IFERROR(VLOOKUP(Substitution!$M$14 &amp; $A19, US_national_yearly!$D:$AM, MATCH(O$1, US_national_yearly!$D$1:$AM$1, 0), FALSE) / VLOOKUP(Substitution!$M$14 &amp; $A19, US_national_yearly!$D:$AM, MATCH(Keys!$C$7, US_national_yearly!$D$1:$AM$1, 0), FALSE), 1)</f>
        <v>1.0219226530229499E-3</v>
      </c>
      <c r="P19" s="12">
        <f>$B19 * IFERROR(VLOOKUP(Substitution!$M$14 &amp; $A19, US_national_yearly!$D:$AM, MATCH(P$1, US_national_yearly!$D$1:$AM$1, 0), FALSE) / VLOOKUP(Substitution!$M$14 &amp; $A19, US_national_yearly!$D:$AM, MATCH(Keys!$C$7, US_national_yearly!$D$1:$AM$1, 0), FALSE), 1)</f>
        <v>1.0278459212881301E-3</v>
      </c>
      <c r="Q19" s="12">
        <f>$B19 * IFERROR(VLOOKUP(Substitution!$M$14 &amp; $A19, US_national_yearly!$D:$AM, MATCH(Q$1, US_national_yearly!$D$1:$AM$1, 0), FALSE) / VLOOKUP(Substitution!$M$14 &amp; $A19, US_national_yearly!$D:$AM, MATCH(Keys!$C$7, US_national_yearly!$D$1:$AM$1, 0), FALSE), 1)</f>
        <v>1.03376918955331E-3</v>
      </c>
      <c r="R19" s="12">
        <f>$B19 * IFERROR(VLOOKUP(Substitution!$M$14 &amp; $A19, US_national_yearly!$D:$AM, MATCH(R$1, US_national_yearly!$D$1:$AM$1, 0), FALSE) / VLOOKUP(Substitution!$M$14 &amp; $A19, US_national_yearly!$D:$AM, MATCH(Keys!$C$7, US_national_yearly!$D$1:$AM$1, 0), FALSE), 1)</f>
        <v>1.03969245781849E-3</v>
      </c>
      <c r="S19" s="12">
        <f>$B19 * IFERROR(VLOOKUP(Substitution!$M$14 &amp; $A19, US_national_yearly!$D:$AM, MATCH(S$1, US_national_yearly!$D$1:$AM$1, 0), FALSE) / VLOOKUP(Substitution!$M$14 &amp; $A19, US_national_yearly!$D:$AM, MATCH(Keys!$C$7, US_national_yearly!$D$1:$AM$1, 0), FALSE), 1)</f>
        <v>1.0432166086586901E-3</v>
      </c>
      <c r="T19" s="12">
        <f>$B19 * IFERROR(VLOOKUP(Substitution!$M$14 &amp; $A19, US_national_yearly!$D:$AM, MATCH(T$1, US_national_yearly!$D$1:$AM$1, 0), FALSE) / VLOOKUP(Substitution!$M$14 &amp; $A19, US_national_yearly!$D:$AM, MATCH(Keys!$C$7, US_national_yearly!$D$1:$AM$1, 0), FALSE), 1)</f>
        <v>1.04674075949889E-3</v>
      </c>
      <c r="U19" s="12">
        <f>$B19 * IFERROR(VLOOKUP(Substitution!$M$14 &amp; $A19, US_national_yearly!$D:$AM, MATCH(U$1, US_national_yearly!$D$1:$AM$1, 0), FALSE) / VLOOKUP(Substitution!$M$14 &amp; $A19, US_national_yearly!$D:$AM, MATCH(Keys!$C$7, US_national_yearly!$D$1:$AM$1, 0), FALSE), 1)</f>
        <v>1.0502649103390901E-3</v>
      </c>
      <c r="V19" s="12">
        <f>$B19 * IFERROR(VLOOKUP(Substitution!$M$14 &amp; $A19, US_national_yearly!$D:$AM, MATCH(V$1, US_national_yearly!$D$1:$AM$1, 0), FALSE) / VLOOKUP(Substitution!$M$14 &amp; $A19, US_national_yearly!$D:$AM, MATCH(Keys!$C$7, US_national_yearly!$D$1:$AM$1, 0), FALSE), 1)</f>
        <v>1.05378906117929E-3</v>
      </c>
      <c r="W19" s="12">
        <f>$B19 * IFERROR(VLOOKUP(Substitution!$M$14 &amp; $A19, US_national_yearly!$D:$AM, MATCH(W$1, US_national_yearly!$D$1:$AM$1, 0), FALSE) / VLOOKUP(Substitution!$M$14 &amp; $A19, US_national_yearly!$D:$AM, MATCH(Keys!$C$7, US_national_yearly!$D$1:$AM$1, 0), FALSE), 1)</f>
        <v>1.0573132120194899E-3</v>
      </c>
      <c r="X19" s="12">
        <f>$B19 * IFERROR(VLOOKUP(Substitution!$M$14 &amp; $A19, US_national_yearly!$D:$AM, MATCH(X$1, US_national_yearly!$D$1:$AM$1, 0), FALSE) / VLOOKUP(Substitution!$M$14 &amp; $A19, US_national_yearly!$D:$AM, MATCH(Keys!$C$7, US_national_yearly!$D$1:$AM$1, 0), FALSE), 1)</f>
        <v>1.0624138590802201E-3</v>
      </c>
      <c r="Y19" s="12">
        <f>$B19 * IFERROR(VLOOKUP(Substitution!$M$14 &amp; $A19, US_national_yearly!$D:$AM, MATCH(Y$1, US_national_yearly!$D$1:$AM$1, 0), FALSE) / VLOOKUP(Substitution!$M$14 &amp; $A19, US_national_yearly!$D:$AM, MATCH(Keys!$C$7, US_national_yearly!$D$1:$AM$1, 0), FALSE), 1)</f>
        <v>1.06751450614095E-3</v>
      </c>
      <c r="Z19" s="12">
        <f>$B19 * IFERROR(VLOOKUP(Substitution!$M$14 &amp; $A19, US_national_yearly!$D:$AM, MATCH(Z$1, US_national_yearly!$D$1:$AM$1, 0), FALSE) / VLOOKUP(Substitution!$M$14 &amp; $A19, US_national_yearly!$D:$AM, MATCH(Keys!$C$7, US_national_yearly!$D$1:$AM$1, 0), FALSE), 1)</f>
        <v>1.0726151532016799E-3</v>
      </c>
      <c r="AA19" s="12">
        <f>$B19 * IFERROR(VLOOKUP(Substitution!$M$14 &amp; $A19, US_national_yearly!$D:$AM, MATCH(AA$1, US_national_yearly!$D$1:$AM$1, 0), FALSE) / VLOOKUP(Substitution!$M$14 &amp; $A19, US_national_yearly!$D:$AM, MATCH(Keys!$C$7, US_national_yearly!$D$1:$AM$1, 0), FALSE), 1)</f>
        <v>1.0777158002624101E-3</v>
      </c>
      <c r="AB19" s="12">
        <f>$B19 * IFERROR(VLOOKUP(Substitution!$M$14 &amp; $A19, US_national_yearly!$D:$AM, MATCH(AB$1, US_national_yearly!$D$1:$AM$1, 0), FALSE) / VLOOKUP(Substitution!$M$14 &amp; $A19, US_national_yearly!$D:$AM, MATCH(Keys!$C$7, US_national_yearly!$D$1:$AM$1, 0), FALSE), 1)</f>
        <v>1.08281644732314E-3</v>
      </c>
    </row>
    <row r="20" spans="1:28" x14ac:dyDescent="0.25">
      <c r="A20" s="4" t="s">
        <v>327</v>
      </c>
      <c r="B20" s="12">
        <f>IFERROR(VLOOKUP(Substitution!$M$14 &amp; $A20, US_national_yearly!$D:$AM, MATCH(Keys!$C$7, US_national_yearly!$D$1:$AM$1, 0), FALSE), 0)</f>
        <v>7.605948530070224E-4</v>
      </c>
      <c r="C20" s="12">
        <f>$B20 * IFERROR(VLOOKUP(Substitution!$M$14 &amp; $A20, US_national_yearly!$D:$AM, MATCH(C$1, US_national_yearly!$D$1:$AM$1, 0), FALSE) / VLOOKUP(Substitution!$M$14 &amp; $A20, US_national_yearly!$D:$AM, MATCH(Keys!$C$7, US_national_yearly!$D$1:$AM$1, 0), FALSE), 1)</f>
        <v>7.8065999406576585E-4</v>
      </c>
      <c r="D20" s="12">
        <f>$B20 * IFERROR(VLOOKUP(Substitution!$M$14 &amp; $A20, US_national_yearly!$D:$AM, MATCH(D$1, US_national_yearly!$D$1:$AM$1, 0), FALSE) / VLOOKUP(Substitution!$M$14 &amp; $A20, US_national_yearly!$D:$AM, MATCH(Keys!$C$7, US_national_yearly!$D$1:$AM$1, 0), FALSE), 1)</f>
        <v>8.007251351245092E-4</v>
      </c>
      <c r="E20" s="12">
        <f>$B20 * IFERROR(VLOOKUP(Substitution!$M$14 &amp; $A20, US_national_yearly!$D:$AM, MATCH(E$1, US_national_yearly!$D$1:$AM$1, 0), FALSE) / VLOOKUP(Substitution!$M$14 &amp; $A20, US_national_yearly!$D:$AM, MATCH(Keys!$C$7, US_national_yearly!$D$1:$AM$1, 0), FALSE), 1)</f>
        <v>8.2079027618325244E-4</v>
      </c>
      <c r="F20" s="12">
        <f>$B20 * IFERROR(VLOOKUP(Substitution!$M$14 &amp; $A20, US_national_yearly!$D:$AM, MATCH(F$1, US_national_yearly!$D$1:$AM$1, 0), FALSE) / VLOOKUP(Substitution!$M$14 &amp; $A20, US_national_yearly!$D:$AM, MATCH(Keys!$C$7, US_national_yearly!$D$1:$AM$1, 0), FALSE), 1)</f>
        <v>8.40855417241996E-4</v>
      </c>
      <c r="G20" s="12">
        <f>$B20 * IFERROR(VLOOKUP(Substitution!$M$14 &amp; $A20, US_national_yearly!$D:$AM, MATCH(G$1, US_national_yearly!$D$1:$AM$1, 0), FALSE) / VLOOKUP(Substitution!$M$14 &amp; $A20, US_national_yearly!$D:$AM, MATCH(Keys!$C$7, US_national_yearly!$D$1:$AM$1, 0), FALSE), 1)</f>
        <v>8.5745035242029547E-4</v>
      </c>
      <c r="H20" s="12">
        <f>$B20 * IFERROR(VLOOKUP(Substitution!$M$14 &amp; $A20, US_national_yearly!$D:$AM, MATCH(H$1, US_national_yearly!$D$1:$AM$1, 0), FALSE) / VLOOKUP(Substitution!$M$14 &amp; $A20, US_national_yearly!$D:$AM, MATCH(Keys!$C$7, US_national_yearly!$D$1:$AM$1, 0), FALSE), 1)</f>
        <v>8.7404528759859495E-4</v>
      </c>
      <c r="I20" s="12">
        <f>$B20 * IFERROR(VLOOKUP(Substitution!$M$14 &amp; $A20, US_national_yearly!$D:$AM, MATCH(I$1, US_national_yearly!$D$1:$AM$1, 0), FALSE) / VLOOKUP(Substitution!$M$14 &amp; $A20, US_national_yearly!$D:$AM, MATCH(Keys!$C$7, US_national_yearly!$D$1:$AM$1, 0), FALSE), 1)</f>
        <v>8.843353759613033E-4</v>
      </c>
      <c r="J20" s="12">
        <f>$B20 * IFERROR(VLOOKUP(Substitution!$M$14 &amp; $A20, US_national_yearly!$D:$AM, MATCH(J$1, US_national_yearly!$D$1:$AM$1, 0), FALSE) / VLOOKUP(Substitution!$M$14 &amp; $A20, US_national_yearly!$D:$AM, MATCH(Keys!$C$7, US_national_yearly!$D$1:$AM$1, 0), FALSE), 1)</f>
        <v>8.9462546432401166E-4</v>
      </c>
      <c r="K20" s="12">
        <f>$B20 * IFERROR(VLOOKUP(Substitution!$M$14 &amp; $A20, US_national_yearly!$D:$AM, MATCH(K$1, US_national_yearly!$D$1:$AM$1, 0), FALSE) / VLOOKUP(Substitution!$M$14 &amp; $A20, US_national_yearly!$D:$AM, MATCH(Keys!$C$7, US_national_yearly!$D$1:$AM$1, 0), FALSE), 1)</f>
        <v>9.0491555268672013E-4</v>
      </c>
      <c r="L20" s="12">
        <f>$B20 * IFERROR(VLOOKUP(Substitution!$M$14 &amp; $A20, US_national_yearly!$D:$AM, MATCH(L$1, US_national_yearly!$D$1:$AM$1, 0), FALSE) / VLOOKUP(Substitution!$M$14 &amp; $A20, US_national_yearly!$D:$AM, MATCH(Keys!$C$7, US_national_yearly!$D$1:$AM$1, 0), FALSE), 1)</f>
        <v>9.1520564104942859E-4</v>
      </c>
      <c r="M20" s="12">
        <f>$B20 * IFERROR(VLOOKUP(Substitution!$M$14 &amp; $A20, US_national_yearly!$D:$AM, MATCH(M$1, US_national_yearly!$D$1:$AM$1, 0), FALSE) / VLOOKUP(Substitution!$M$14 &amp; $A20, US_national_yearly!$D:$AM, MATCH(Keys!$C$7, US_national_yearly!$D$1:$AM$1, 0), FALSE), 1)</f>
        <v>9.2549572941213695E-4</v>
      </c>
      <c r="N20" s="12">
        <f>$B20 * IFERROR(VLOOKUP(Substitution!$M$14 &amp; $A20, US_national_yearly!$D:$AM, MATCH(N$1, US_national_yearly!$D$1:$AM$1, 0), FALSE) / VLOOKUP(Substitution!$M$14 &amp; $A20, US_national_yearly!$D:$AM, MATCH(Keys!$C$7, US_national_yearly!$D$1:$AM$1, 0), FALSE), 1)</f>
        <v>9.3041910911674237E-4</v>
      </c>
      <c r="O20" s="12">
        <f>$B20 * IFERROR(VLOOKUP(Substitution!$M$14 &amp; $A20, US_national_yearly!$D:$AM, MATCH(O$1, US_national_yearly!$D$1:$AM$1, 0), FALSE) / VLOOKUP(Substitution!$M$14 &amp; $A20, US_national_yearly!$D:$AM, MATCH(Keys!$C$7, US_national_yearly!$D$1:$AM$1, 0), FALSE), 1)</f>
        <v>9.3534248882134791E-4</v>
      </c>
      <c r="P20" s="12">
        <f>$B20 * IFERROR(VLOOKUP(Substitution!$M$14 &amp; $A20, US_national_yearly!$D:$AM, MATCH(P$1, US_national_yearly!$D$1:$AM$1, 0), FALSE) / VLOOKUP(Substitution!$M$14 &amp; $A20, US_national_yearly!$D:$AM, MATCH(Keys!$C$7, US_national_yearly!$D$1:$AM$1, 0), FALSE), 1)</f>
        <v>9.4026586852595311E-4</v>
      </c>
      <c r="Q20" s="12">
        <f>$B20 * IFERROR(VLOOKUP(Substitution!$M$14 &amp; $A20, US_national_yearly!$D:$AM, MATCH(Q$1, US_national_yearly!$D$1:$AM$1, 0), FALSE) / VLOOKUP(Substitution!$M$14 &amp; $A20, US_national_yearly!$D:$AM, MATCH(Keys!$C$7, US_national_yearly!$D$1:$AM$1, 0), FALSE), 1)</f>
        <v>9.4518924823055854E-4</v>
      </c>
      <c r="R20" s="12">
        <f>$B20 * IFERROR(VLOOKUP(Substitution!$M$14 &amp; $A20, US_national_yearly!$D:$AM, MATCH(R$1, US_national_yearly!$D$1:$AM$1, 0), FALSE) / VLOOKUP(Substitution!$M$14 &amp; $A20, US_national_yearly!$D:$AM, MATCH(Keys!$C$7, US_national_yearly!$D$1:$AM$1, 0), FALSE), 1)</f>
        <v>9.5011262793516396E-4</v>
      </c>
      <c r="S20" s="12">
        <f>$B20 * IFERROR(VLOOKUP(Substitution!$M$14 &amp; $A20, US_national_yearly!$D:$AM, MATCH(S$1, US_national_yearly!$D$1:$AM$1, 0), FALSE) / VLOOKUP(Substitution!$M$14 &amp; $A20, US_national_yearly!$D:$AM, MATCH(Keys!$C$7, US_national_yearly!$D$1:$AM$1, 0), FALSE), 1)</f>
        <v>9.528742368045234E-4</v>
      </c>
      <c r="T20" s="12">
        <f>$B20 * IFERROR(VLOOKUP(Substitution!$M$14 &amp; $A20, US_national_yearly!$D:$AM, MATCH(T$1, US_national_yearly!$D$1:$AM$1, 0), FALSE) / VLOOKUP(Substitution!$M$14 &amp; $A20, US_national_yearly!$D:$AM, MATCH(Keys!$C$7, US_national_yearly!$D$1:$AM$1, 0), FALSE), 1)</f>
        <v>9.5563584567388263E-4</v>
      </c>
      <c r="U20" s="12">
        <f>$B20 * IFERROR(VLOOKUP(Substitution!$M$14 &amp; $A20, US_national_yearly!$D:$AM, MATCH(U$1, US_national_yearly!$D$1:$AM$1, 0), FALSE) / VLOOKUP(Substitution!$M$14 &amp; $A20, US_national_yearly!$D:$AM, MATCH(Keys!$C$7, US_national_yearly!$D$1:$AM$1, 0), FALSE), 1)</f>
        <v>9.5839745454324207E-4</v>
      </c>
      <c r="V20" s="12">
        <f>$B20 * IFERROR(VLOOKUP(Substitution!$M$14 &amp; $A20, US_national_yearly!$D:$AM, MATCH(V$1, US_national_yearly!$D$1:$AM$1, 0), FALSE) / VLOOKUP(Substitution!$M$14 &amp; $A20, US_national_yearly!$D:$AM, MATCH(Keys!$C$7, US_national_yearly!$D$1:$AM$1, 0), FALSE), 1)</f>
        <v>9.6115906341260151E-4</v>
      </c>
      <c r="W20" s="12">
        <f>$B20 * IFERROR(VLOOKUP(Substitution!$M$14 &amp; $A20, US_national_yearly!$D:$AM, MATCH(W$1, US_national_yearly!$D$1:$AM$1, 0), FALSE) / VLOOKUP(Substitution!$M$14 &amp; $A20, US_national_yearly!$D:$AM, MATCH(Keys!$C$7, US_national_yearly!$D$1:$AM$1, 0), FALSE), 1)</f>
        <v>9.6392067228196095E-4</v>
      </c>
      <c r="X20" s="12">
        <f>$B20 * IFERROR(VLOOKUP(Substitution!$M$14 &amp; $A20, US_national_yearly!$D:$AM, MATCH(X$1, US_national_yearly!$D$1:$AM$1, 0), FALSE) / VLOOKUP(Substitution!$M$14 &amp; $A20, US_national_yearly!$D:$AM, MATCH(Keys!$C$7, US_national_yearly!$D$1:$AM$1, 0), FALSE), 1)</f>
        <v>9.687179623855389E-4</v>
      </c>
      <c r="Y20" s="12">
        <f>$B20 * IFERROR(VLOOKUP(Substitution!$M$14 &amp; $A20, US_national_yearly!$D:$AM, MATCH(Y$1, US_national_yearly!$D$1:$AM$1, 0), FALSE) / VLOOKUP(Substitution!$M$14 &amp; $A20, US_national_yearly!$D:$AM, MATCH(Keys!$C$7, US_national_yearly!$D$1:$AM$1, 0), FALSE), 1)</f>
        <v>9.7351525248911663E-4</v>
      </c>
      <c r="Z20" s="12">
        <f>$B20 * IFERROR(VLOOKUP(Substitution!$M$14 &amp; $A20, US_national_yearly!$D:$AM, MATCH(Z$1, US_national_yearly!$D$1:$AM$1, 0), FALSE) / VLOOKUP(Substitution!$M$14 &amp; $A20, US_national_yearly!$D:$AM, MATCH(Keys!$C$7, US_national_yearly!$D$1:$AM$1, 0), FALSE), 1)</f>
        <v>9.7831254259269436E-4</v>
      </c>
      <c r="AA20" s="12">
        <f>$B20 * IFERROR(VLOOKUP(Substitution!$M$14 &amp; $A20, US_national_yearly!$D:$AM, MATCH(AA$1, US_national_yearly!$D$1:$AM$1, 0), FALSE) / VLOOKUP(Substitution!$M$14 &amp; $A20, US_national_yearly!$D:$AM, MATCH(Keys!$C$7, US_national_yearly!$D$1:$AM$1, 0), FALSE), 1)</f>
        <v>9.831098326962722E-4</v>
      </c>
      <c r="AB20" s="12">
        <f>$B20 * IFERROR(VLOOKUP(Substitution!$M$14 &amp; $A20, US_national_yearly!$D:$AM, MATCH(AB$1, US_national_yearly!$D$1:$AM$1, 0), FALSE) / VLOOKUP(Substitution!$M$14 &amp; $A20, US_national_yearly!$D:$AM, MATCH(Keys!$C$7, US_national_yearly!$D$1:$AM$1, 0), FALSE), 1)</f>
        <v>9.8790712279985004E-4</v>
      </c>
    </row>
    <row r="21" spans="1:28" x14ac:dyDescent="0.25">
      <c r="A21" s="4" t="s">
        <v>329</v>
      </c>
      <c r="B21" s="12">
        <f>IFERROR(VLOOKUP(Substitution!$M$14 &amp; $A21, US_national_yearly!$D:$AM, MATCH(Keys!$C$7, US_national_yearly!$D$1:$AM$1, 0), FALSE), 0)</f>
        <v>1.8069209704556661E-4</v>
      </c>
      <c r="C21" s="12">
        <f>$B21 * IFERROR(VLOOKUP(Substitution!$M$14 &amp; $A21, US_national_yearly!$D:$AM, MATCH(C$1, US_national_yearly!$D$1:$AM$1, 0), FALSE) / VLOOKUP(Substitution!$M$14 &amp; $A21, US_national_yearly!$D:$AM, MATCH(Keys!$C$7, US_national_yearly!$D$1:$AM$1, 0), FALSE), 1)</f>
        <v>1.8336914358988319E-4</v>
      </c>
      <c r="D21" s="12">
        <f>$B21 * IFERROR(VLOOKUP(Substitution!$M$14 &amp; $A21, US_national_yearly!$D:$AM, MATCH(D$1, US_national_yearly!$D$1:$AM$1, 0), FALSE) / VLOOKUP(Substitution!$M$14 &amp; $A21, US_national_yearly!$D:$AM, MATCH(Keys!$C$7, US_national_yearly!$D$1:$AM$1, 0), FALSE), 1)</f>
        <v>1.8604619013419982E-4</v>
      </c>
      <c r="E21" s="12">
        <f>$B21 * IFERROR(VLOOKUP(Substitution!$M$14 &amp; $A21, US_national_yearly!$D:$AM, MATCH(E$1, US_national_yearly!$D$1:$AM$1, 0), FALSE) / VLOOKUP(Substitution!$M$14 &amp; $A21, US_national_yearly!$D:$AM, MATCH(Keys!$C$7, US_national_yearly!$D$1:$AM$1, 0), FALSE), 1)</f>
        <v>1.887232366785164E-4</v>
      </c>
      <c r="F21" s="12">
        <f>$B21 * IFERROR(VLOOKUP(Substitution!$M$14 &amp; $A21, US_national_yearly!$D:$AM, MATCH(F$1, US_national_yearly!$D$1:$AM$1, 0), FALSE) / VLOOKUP(Substitution!$M$14 &amp; $A21, US_national_yearly!$D:$AM, MATCH(Keys!$C$7, US_national_yearly!$D$1:$AM$1, 0), FALSE), 1)</f>
        <v>1.9140028322283301E-4</v>
      </c>
      <c r="G21" s="12">
        <f>$B21 * IFERROR(VLOOKUP(Substitution!$M$14 &amp; $A21, US_national_yearly!$D:$AM, MATCH(G$1, US_national_yearly!$D$1:$AM$1, 0), FALSE) / VLOOKUP(Substitution!$M$14 &amp; $A21, US_national_yearly!$D:$AM, MATCH(Keys!$C$7, US_national_yearly!$D$1:$AM$1, 0), FALSE), 1)</f>
        <v>1.939157635616975E-4</v>
      </c>
      <c r="H21" s="12">
        <f>$B21 * IFERROR(VLOOKUP(Substitution!$M$14 &amp; $A21, US_national_yearly!$D:$AM, MATCH(H$1, US_national_yearly!$D$1:$AM$1, 0), FALSE) / VLOOKUP(Substitution!$M$14 &amp; $A21, US_national_yearly!$D:$AM, MATCH(Keys!$C$7, US_national_yearly!$D$1:$AM$1, 0), FALSE), 1)</f>
        <v>1.96431243900562E-4</v>
      </c>
      <c r="I21" s="12">
        <f>$B21 * IFERROR(VLOOKUP(Substitution!$M$14 &amp; $A21, US_national_yearly!$D:$AM, MATCH(I$1, US_national_yearly!$D$1:$AM$1, 0), FALSE) / VLOOKUP(Substitution!$M$14 &amp; $A21, US_national_yearly!$D:$AM, MATCH(Keys!$C$7, US_national_yearly!$D$1:$AM$1, 0), FALSE), 1)</f>
        <v>1.9841717032163483E-4</v>
      </c>
      <c r="J21" s="12">
        <f>$B21 * IFERROR(VLOOKUP(Substitution!$M$14 &amp; $A21, US_national_yearly!$D:$AM, MATCH(J$1, US_national_yearly!$D$1:$AM$1, 0), FALSE) / VLOOKUP(Substitution!$M$14 &amp; $A21, US_national_yearly!$D:$AM, MATCH(Keys!$C$7, US_national_yearly!$D$1:$AM$1, 0), FALSE), 1)</f>
        <v>2.0040309674270761E-4</v>
      </c>
      <c r="K21" s="12">
        <f>$B21 * IFERROR(VLOOKUP(Substitution!$M$14 &amp; $A21, US_national_yearly!$D:$AM, MATCH(K$1, US_national_yearly!$D$1:$AM$1, 0), FALSE) / VLOOKUP(Substitution!$M$14 &amp; $A21, US_national_yearly!$D:$AM, MATCH(Keys!$C$7, US_national_yearly!$D$1:$AM$1, 0), FALSE), 1)</f>
        <v>2.0238902316378041E-4</v>
      </c>
      <c r="L21" s="12">
        <f>$B21 * IFERROR(VLOOKUP(Substitution!$M$14 &amp; $A21, US_national_yearly!$D:$AM, MATCH(L$1, US_national_yearly!$D$1:$AM$1, 0), FALSE) / VLOOKUP(Substitution!$M$14 &amp; $A21, US_national_yearly!$D:$AM, MATCH(Keys!$C$7, US_national_yearly!$D$1:$AM$1, 0), FALSE), 1)</f>
        <v>2.0437494958485322E-4</v>
      </c>
      <c r="M21" s="12">
        <f>$B21 * IFERROR(VLOOKUP(Substitution!$M$14 &amp; $A21, US_national_yearly!$D:$AM, MATCH(M$1, US_national_yearly!$D$1:$AM$1, 0), FALSE) / VLOOKUP(Substitution!$M$14 &amp; $A21, US_national_yearly!$D:$AM, MATCH(Keys!$C$7, US_national_yearly!$D$1:$AM$1, 0), FALSE), 1)</f>
        <v>2.06360876005926E-4</v>
      </c>
      <c r="N21" s="12">
        <f>$B21 * IFERROR(VLOOKUP(Substitution!$M$14 &amp; $A21, US_national_yearly!$D:$AM, MATCH(N$1, US_national_yearly!$D$1:$AM$1, 0), FALSE) / VLOOKUP(Substitution!$M$14 &amp; $A21, US_national_yearly!$D:$AM, MATCH(Keys!$C$7, US_national_yearly!$D$1:$AM$1, 0), FALSE), 1)</f>
        <v>2.077319545123452E-4</v>
      </c>
      <c r="O21" s="12">
        <f>$B21 * IFERROR(VLOOKUP(Substitution!$M$14 &amp; $A21, US_national_yearly!$D:$AM, MATCH(O$1, US_national_yearly!$D$1:$AM$1, 0), FALSE) / VLOOKUP(Substitution!$M$14 &amp; $A21, US_national_yearly!$D:$AM, MATCH(Keys!$C$7, US_national_yearly!$D$1:$AM$1, 0), FALSE), 1)</f>
        <v>2.0910303301876441E-4</v>
      </c>
      <c r="P21" s="12">
        <f>$B21 * IFERROR(VLOOKUP(Substitution!$M$14 &amp; $A21, US_national_yearly!$D:$AM, MATCH(P$1, US_national_yearly!$D$1:$AM$1, 0), FALSE) / VLOOKUP(Substitution!$M$14 &amp; $A21, US_national_yearly!$D:$AM, MATCH(Keys!$C$7, US_national_yearly!$D$1:$AM$1, 0), FALSE), 1)</f>
        <v>2.1047411152518358E-4</v>
      </c>
      <c r="Q21" s="12">
        <f>$B21 * IFERROR(VLOOKUP(Substitution!$M$14 &amp; $A21, US_national_yearly!$D:$AM, MATCH(Q$1, US_national_yearly!$D$1:$AM$1, 0), FALSE) / VLOOKUP(Substitution!$M$14 &amp; $A21, US_national_yearly!$D:$AM, MATCH(Keys!$C$7, US_national_yearly!$D$1:$AM$1, 0), FALSE), 1)</f>
        <v>2.1184519003160281E-4</v>
      </c>
      <c r="R21" s="12">
        <f>$B21 * IFERROR(VLOOKUP(Substitution!$M$14 &amp; $A21, US_national_yearly!$D:$AM, MATCH(R$1, US_national_yearly!$D$1:$AM$1, 0), FALSE) / VLOOKUP(Substitution!$M$14 &amp; $A21, US_national_yearly!$D:$AM, MATCH(Keys!$C$7, US_national_yearly!$D$1:$AM$1, 0), FALSE), 1)</f>
        <v>2.1321626853802196E-4</v>
      </c>
      <c r="S21" s="12">
        <f>$B21 * IFERROR(VLOOKUP(Substitution!$M$14 &amp; $A21, US_national_yearly!$D:$AM, MATCH(S$1, US_national_yearly!$D$1:$AM$1, 0), FALSE) / VLOOKUP(Substitution!$M$14 &amp; $A21, US_national_yearly!$D:$AM, MATCH(Keys!$C$7, US_national_yearly!$D$1:$AM$1, 0), FALSE), 1)</f>
        <v>2.1431695230795942E-4</v>
      </c>
      <c r="T21" s="12">
        <f>$B21 * IFERROR(VLOOKUP(Substitution!$M$14 &amp; $A21, US_national_yearly!$D:$AM, MATCH(T$1, US_national_yearly!$D$1:$AM$1, 0), FALSE) / VLOOKUP(Substitution!$M$14 &amp; $A21, US_national_yearly!$D:$AM, MATCH(Keys!$C$7, US_national_yearly!$D$1:$AM$1, 0), FALSE), 1)</f>
        <v>2.1541763607789679E-4</v>
      </c>
      <c r="U21" s="12">
        <f>$B21 * IFERROR(VLOOKUP(Substitution!$M$14 &amp; $A21, US_national_yearly!$D:$AM, MATCH(U$1, US_national_yearly!$D$1:$AM$1, 0), FALSE) / VLOOKUP(Substitution!$M$14 &amp; $A21, US_national_yearly!$D:$AM, MATCH(Keys!$C$7, US_national_yearly!$D$1:$AM$1, 0), FALSE), 1)</f>
        <v>2.1651831984783419E-4</v>
      </c>
      <c r="V21" s="12">
        <f>$B21 * IFERROR(VLOOKUP(Substitution!$M$14 &amp; $A21, US_national_yearly!$D:$AM, MATCH(V$1, US_national_yearly!$D$1:$AM$1, 0), FALSE) / VLOOKUP(Substitution!$M$14 &amp; $A21, US_national_yearly!$D:$AM, MATCH(Keys!$C$7, US_national_yearly!$D$1:$AM$1, 0), FALSE), 1)</f>
        <v>2.1761900361777159E-4</v>
      </c>
      <c r="W21" s="12">
        <f>$B21 * IFERROR(VLOOKUP(Substitution!$M$14 &amp; $A21, US_national_yearly!$D:$AM, MATCH(W$1, US_national_yearly!$D$1:$AM$1, 0), FALSE) / VLOOKUP(Substitution!$M$14 &amp; $A21, US_national_yearly!$D:$AM, MATCH(Keys!$C$7, US_national_yearly!$D$1:$AM$1, 0), FALSE), 1)</f>
        <v>2.1871968738770901E-4</v>
      </c>
      <c r="X21" s="12">
        <f>$B21 * IFERROR(VLOOKUP(Substitution!$M$14 &amp; $A21, US_national_yearly!$D:$AM, MATCH(X$1, US_national_yearly!$D$1:$AM$1, 0), FALSE) / VLOOKUP(Substitution!$M$14 &amp; $A21, US_national_yearly!$D:$AM, MATCH(Keys!$C$7, US_national_yearly!$D$1:$AM$1, 0), FALSE), 1)</f>
        <v>2.1993358348554497E-4</v>
      </c>
      <c r="Y21" s="12">
        <f>$B21 * IFERROR(VLOOKUP(Substitution!$M$14 &amp; $A21, US_national_yearly!$D:$AM, MATCH(Y$1, US_national_yearly!$D$1:$AM$1, 0), FALSE) / VLOOKUP(Substitution!$M$14 &amp; $A21, US_national_yearly!$D:$AM, MATCH(Keys!$C$7, US_national_yearly!$D$1:$AM$1, 0), FALSE), 1)</f>
        <v>2.21147479583381E-4</v>
      </c>
      <c r="Z21" s="12">
        <f>$B21 * IFERROR(VLOOKUP(Substitution!$M$14 &amp; $A21, US_national_yearly!$D:$AM, MATCH(Z$1, US_national_yearly!$D$1:$AM$1, 0), FALSE) / VLOOKUP(Substitution!$M$14 &amp; $A21, US_national_yearly!$D:$AM, MATCH(Keys!$C$7, US_national_yearly!$D$1:$AM$1, 0), FALSE), 1)</f>
        <v>2.2236137568121701E-4</v>
      </c>
      <c r="AA21" s="12">
        <f>$B21 * IFERROR(VLOOKUP(Substitution!$M$14 &amp; $A21, US_national_yearly!$D:$AM, MATCH(AA$1, US_national_yearly!$D$1:$AM$1, 0), FALSE) / VLOOKUP(Substitution!$M$14 &amp; $A21, US_national_yearly!$D:$AM, MATCH(Keys!$C$7, US_national_yearly!$D$1:$AM$1, 0), FALSE), 1)</f>
        <v>2.2357527177905301E-4</v>
      </c>
      <c r="AB21" s="12">
        <f>$B21 * IFERROR(VLOOKUP(Substitution!$M$14 &amp; $A21, US_national_yearly!$D:$AM, MATCH(AB$1, US_national_yearly!$D$1:$AM$1, 0), FALSE) / VLOOKUP(Substitution!$M$14 &amp; $A21, US_national_yearly!$D:$AM, MATCH(Keys!$C$7, US_national_yearly!$D$1:$AM$1, 0), FALSE), 1)</f>
        <v>2.2478916787688899E-4</v>
      </c>
    </row>
    <row r="22" spans="1:28" x14ac:dyDescent="0.25">
      <c r="A22" s="4" t="s">
        <v>331</v>
      </c>
      <c r="B22" s="12">
        <f>IFERROR(VLOOKUP(Substitution!$M$14 &amp; $A22, US_national_yearly!$D:$AM, MATCH(Keys!$C$7, US_national_yearly!$D$1:$AM$1, 0), FALSE), 0)</f>
        <v>3.8756549643206599E-3</v>
      </c>
      <c r="C22" s="12">
        <f>$B22 * IFERROR(VLOOKUP(Substitution!$M$14 &amp; $A22, US_national_yearly!$D:$AM, MATCH(C$1, US_national_yearly!$D$1:$AM$1, 0), FALSE) / VLOOKUP(Substitution!$M$14 &amp; $A22, US_national_yearly!$D:$AM, MATCH(Keys!$C$7, US_national_yearly!$D$1:$AM$1, 0), FALSE), 1)</f>
        <v>3.9465944060462603E-3</v>
      </c>
      <c r="D22" s="12">
        <f>$B22 * IFERROR(VLOOKUP(Substitution!$M$14 &amp; $A22, US_national_yearly!$D:$AM, MATCH(D$1, US_national_yearly!$D$1:$AM$1, 0), FALSE) / VLOOKUP(Substitution!$M$14 &amp; $A22, US_national_yearly!$D:$AM, MATCH(Keys!$C$7, US_national_yearly!$D$1:$AM$1, 0), FALSE), 1)</f>
        <v>4.0175338477718599E-3</v>
      </c>
      <c r="E22" s="12">
        <f>$B22 * IFERROR(VLOOKUP(Substitution!$M$14 &amp; $A22, US_national_yearly!$D:$AM, MATCH(E$1, US_national_yearly!$D$1:$AM$1, 0), FALSE) / VLOOKUP(Substitution!$M$14 &amp; $A22, US_national_yearly!$D:$AM, MATCH(Keys!$C$7, US_national_yearly!$D$1:$AM$1, 0), FALSE), 1)</f>
        <v>4.0884732894974586E-3</v>
      </c>
      <c r="F22" s="12">
        <f>$B22 * IFERROR(VLOOKUP(Substitution!$M$14 &amp; $A22, US_national_yearly!$D:$AM, MATCH(F$1, US_national_yearly!$D$1:$AM$1, 0), FALSE) / VLOOKUP(Substitution!$M$14 &amp; $A22, US_national_yearly!$D:$AM, MATCH(Keys!$C$7, US_national_yearly!$D$1:$AM$1, 0), FALSE), 1)</f>
        <v>4.1594127312230599E-3</v>
      </c>
      <c r="G22" s="12">
        <f>$B22 * IFERROR(VLOOKUP(Substitution!$M$14 &amp; $A22, US_national_yearly!$D:$AM, MATCH(G$1, US_national_yearly!$D$1:$AM$1, 0), FALSE) / VLOOKUP(Substitution!$M$14 &amp; $A22, US_national_yearly!$D:$AM, MATCH(Keys!$C$7, US_national_yearly!$D$1:$AM$1, 0), FALSE), 1)</f>
        <v>4.2289596651764894E-3</v>
      </c>
      <c r="H22" s="12">
        <f>$B22 * IFERROR(VLOOKUP(Substitution!$M$14 &amp; $A22, US_national_yearly!$D:$AM, MATCH(H$1, US_national_yearly!$D$1:$AM$1, 0), FALSE) / VLOOKUP(Substitution!$M$14 &amp; $A22, US_national_yearly!$D:$AM, MATCH(Keys!$C$7, US_national_yearly!$D$1:$AM$1, 0), FALSE), 1)</f>
        <v>4.2985065991299198E-3</v>
      </c>
      <c r="I22" s="12">
        <f>$B22 * IFERROR(VLOOKUP(Substitution!$M$14 &amp; $A22, US_national_yearly!$D:$AM, MATCH(I$1, US_national_yearly!$D$1:$AM$1, 0), FALSE) / VLOOKUP(Substitution!$M$14 &amp; $A22, US_national_yearly!$D:$AM, MATCH(Keys!$C$7, US_national_yearly!$D$1:$AM$1, 0), FALSE), 1)</f>
        <v>4.3660409066443402E-3</v>
      </c>
      <c r="J22" s="12">
        <f>$B22 * IFERROR(VLOOKUP(Substitution!$M$14 &amp; $A22, US_national_yearly!$D:$AM, MATCH(J$1, US_national_yearly!$D$1:$AM$1, 0), FALSE) / VLOOKUP(Substitution!$M$14 &amp; $A22, US_national_yearly!$D:$AM, MATCH(Keys!$C$7, US_national_yearly!$D$1:$AM$1, 0), FALSE), 1)</f>
        <v>4.4335752141587597E-3</v>
      </c>
      <c r="K22" s="12">
        <f>$B22 * IFERROR(VLOOKUP(Substitution!$M$14 &amp; $A22, US_national_yearly!$D:$AM, MATCH(K$1, US_national_yearly!$D$1:$AM$1, 0), FALSE) / VLOOKUP(Substitution!$M$14 &amp; $A22, US_national_yearly!$D:$AM, MATCH(Keys!$C$7, US_national_yearly!$D$1:$AM$1, 0), FALSE), 1)</f>
        <v>4.50110952167318E-3</v>
      </c>
      <c r="L22" s="12">
        <f>$B22 * IFERROR(VLOOKUP(Substitution!$M$14 &amp; $A22, US_national_yearly!$D:$AM, MATCH(L$1, US_national_yearly!$D$1:$AM$1, 0), FALSE) / VLOOKUP(Substitution!$M$14 &amp; $A22, US_national_yearly!$D:$AM, MATCH(Keys!$C$7, US_national_yearly!$D$1:$AM$1, 0), FALSE), 1)</f>
        <v>4.5686438291875986E-3</v>
      </c>
      <c r="M22" s="12">
        <f>$B22 * IFERROR(VLOOKUP(Substitution!$M$14 &amp; $A22, US_national_yearly!$D:$AM, MATCH(M$1, US_national_yearly!$D$1:$AM$1, 0), FALSE) / VLOOKUP(Substitution!$M$14 &amp; $A22, US_national_yearly!$D:$AM, MATCH(Keys!$C$7, US_national_yearly!$D$1:$AM$1, 0), FALSE), 1)</f>
        <v>4.6361781367020198E-3</v>
      </c>
      <c r="N22" s="12">
        <f>$B22 * IFERROR(VLOOKUP(Substitution!$M$14 &amp; $A22, US_national_yearly!$D:$AM, MATCH(N$1, US_national_yearly!$D$1:$AM$1, 0), FALSE) / VLOOKUP(Substitution!$M$14 &amp; $A22, US_national_yearly!$D:$AM, MATCH(Keys!$C$7, US_national_yearly!$D$1:$AM$1, 0), FALSE), 1)</f>
        <v>4.6904939554093484E-3</v>
      </c>
      <c r="O22" s="12">
        <f>$B22 * IFERROR(VLOOKUP(Substitution!$M$14 &amp; $A22, US_national_yearly!$D:$AM, MATCH(O$1, US_national_yearly!$D$1:$AM$1, 0), FALSE) / VLOOKUP(Substitution!$M$14 &amp; $A22, US_national_yearly!$D:$AM, MATCH(Keys!$C$7, US_national_yearly!$D$1:$AM$1, 0), FALSE), 1)</f>
        <v>4.7448097741166761E-3</v>
      </c>
      <c r="P22" s="12">
        <f>$B22 * IFERROR(VLOOKUP(Substitution!$M$14 &amp; $A22, US_national_yearly!$D:$AM, MATCH(P$1, US_national_yearly!$D$1:$AM$1, 0), FALSE) / VLOOKUP(Substitution!$M$14 &amp; $A22, US_national_yearly!$D:$AM, MATCH(Keys!$C$7, US_national_yearly!$D$1:$AM$1, 0), FALSE), 1)</f>
        <v>4.7991255928240039E-3</v>
      </c>
      <c r="Q22" s="12">
        <f>$B22 * IFERROR(VLOOKUP(Substitution!$M$14 &amp; $A22, US_national_yearly!$D:$AM, MATCH(Q$1, US_national_yearly!$D$1:$AM$1, 0), FALSE) / VLOOKUP(Substitution!$M$14 &amp; $A22, US_national_yearly!$D:$AM, MATCH(Keys!$C$7, US_national_yearly!$D$1:$AM$1, 0), FALSE), 1)</f>
        <v>4.8534414115313316E-3</v>
      </c>
      <c r="R22" s="12">
        <f>$B22 * IFERROR(VLOOKUP(Substitution!$M$14 &amp; $A22, US_national_yearly!$D:$AM, MATCH(R$1, US_national_yearly!$D$1:$AM$1, 0), FALSE) / VLOOKUP(Substitution!$M$14 &amp; $A22, US_national_yearly!$D:$AM, MATCH(Keys!$C$7, US_national_yearly!$D$1:$AM$1, 0), FALSE), 1)</f>
        <v>4.9077572302386602E-3</v>
      </c>
      <c r="S22" s="12">
        <f>$B22 * IFERROR(VLOOKUP(Substitution!$M$14 &amp; $A22, US_national_yearly!$D:$AM, MATCH(S$1, US_national_yearly!$D$1:$AM$1, 0), FALSE) / VLOOKUP(Substitution!$M$14 &amp; $A22, US_national_yearly!$D:$AM, MATCH(Keys!$C$7, US_national_yearly!$D$1:$AM$1, 0), FALSE), 1)</f>
        <v>4.945770080933002E-3</v>
      </c>
      <c r="T22" s="12">
        <f>$B22 * IFERROR(VLOOKUP(Substitution!$M$14 &amp; $A22, US_national_yearly!$D:$AM, MATCH(T$1, US_national_yearly!$D$1:$AM$1, 0), FALSE) / VLOOKUP(Substitution!$M$14 &amp; $A22, US_national_yearly!$D:$AM, MATCH(Keys!$C$7, US_national_yearly!$D$1:$AM$1, 0), FALSE), 1)</f>
        <v>4.9837829316273438E-3</v>
      </c>
      <c r="U22" s="12">
        <f>$B22 * IFERROR(VLOOKUP(Substitution!$M$14 &amp; $A22, US_national_yearly!$D:$AM, MATCH(U$1, US_national_yearly!$D$1:$AM$1, 0), FALSE) / VLOOKUP(Substitution!$M$14 &amp; $A22, US_national_yearly!$D:$AM, MATCH(Keys!$C$7, US_national_yearly!$D$1:$AM$1, 0), FALSE), 1)</f>
        <v>5.0217957823216874E-3</v>
      </c>
      <c r="V22" s="12">
        <f>$B22 * IFERROR(VLOOKUP(Substitution!$M$14 &amp; $A22, US_national_yearly!$D:$AM, MATCH(V$1, US_national_yearly!$D$1:$AM$1, 0), FALSE) / VLOOKUP(Substitution!$M$14 &amp; $A22, US_national_yearly!$D:$AM, MATCH(Keys!$C$7, US_national_yearly!$D$1:$AM$1, 0), FALSE), 1)</f>
        <v>5.0598086330160283E-3</v>
      </c>
      <c r="W22" s="12">
        <f>$B22 * IFERROR(VLOOKUP(Substitution!$M$14 &amp; $A22, US_national_yearly!$D:$AM, MATCH(W$1, US_national_yearly!$D$1:$AM$1, 0), FALSE) / VLOOKUP(Substitution!$M$14 &amp; $A22, US_national_yearly!$D:$AM, MATCH(Keys!$C$7, US_national_yearly!$D$1:$AM$1, 0), FALSE), 1)</f>
        <v>5.0978214837103701E-3</v>
      </c>
      <c r="X22" s="12">
        <f>$B22 * IFERROR(VLOOKUP(Substitution!$M$14 &amp; $A22, US_national_yearly!$D:$AM, MATCH(X$1, US_national_yearly!$D$1:$AM$1, 0), FALSE) / VLOOKUP(Substitution!$M$14 &amp; $A22, US_national_yearly!$D:$AM, MATCH(Keys!$C$7, US_national_yearly!$D$1:$AM$1, 0), FALSE), 1)</f>
        <v>5.1265352949824141E-3</v>
      </c>
      <c r="Y22" s="12">
        <f>$B22 * IFERROR(VLOOKUP(Substitution!$M$14 &amp; $A22, US_national_yearly!$D:$AM, MATCH(Y$1, US_national_yearly!$D$1:$AM$1, 0), FALSE) / VLOOKUP(Substitution!$M$14 &amp; $A22, US_national_yearly!$D:$AM, MATCH(Keys!$C$7, US_national_yearly!$D$1:$AM$1, 0), FALSE), 1)</f>
        <v>5.1552491062544581E-3</v>
      </c>
      <c r="Z22" s="12">
        <f>$B22 * IFERROR(VLOOKUP(Substitution!$M$14 &amp; $A22, US_national_yearly!$D:$AM, MATCH(Z$1, US_national_yearly!$D$1:$AM$1, 0), FALSE) / VLOOKUP(Substitution!$M$14 &amp; $A22, US_national_yearly!$D:$AM, MATCH(Keys!$C$7, US_national_yearly!$D$1:$AM$1, 0), FALSE), 1)</f>
        <v>5.1839629175265021E-3</v>
      </c>
      <c r="AA22" s="12">
        <f>$B22 * IFERROR(VLOOKUP(Substitution!$M$14 &amp; $A22, US_national_yearly!$D:$AM, MATCH(AA$1, US_national_yearly!$D$1:$AM$1, 0), FALSE) / VLOOKUP(Substitution!$M$14 &amp; $A22, US_national_yearly!$D:$AM, MATCH(Keys!$C$7, US_national_yearly!$D$1:$AM$1, 0), FALSE), 1)</f>
        <v>5.2126767287985461E-3</v>
      </c>
      <c r="AB22" s="12">
        <f>$B22 * IFERROR(VLOOKUP(Substitution!$M$14 &amp; $A22, US_national_yearly!$D:$AM, MATCH(AB$1, US_national_yearly!$D$1:$AM$1, 0), FALSE) / VLOOKUP(Substitution!$M$14 &amp; $A22, US_national_yearly!$D:$AM, MATCH(Keys!$C$7, US_national_yearly!$D$1:$AM$1, 0), FALSE), 1)</f>
        <v>5.2413905400705901E-3</v>
      </c>
    </row>
    <row r="23" spans="1:28" x14ac:dyDescent="0.25">
      <c r="A23" s="4" t="s">
        <v>333</v>
      </c>
      <c r="B23" s="12">
        <f>IFERROR(VLOOKUP(Substitution!$M$14 &amp; $A23, US_national_yearly!$D:$AM, MATCH(Keys!$C$7, US_national_yearly!$D$1:$AM$1, 0), FALSE), 0)</f>
        <v>0</v>
      </c>
      <c r="C23" s="12">
        <f>$B23 * IFERROR(VLOOKUP(Substitution!$M$14 &amp; $A23, US_national_yearly!$D:$AM, MATCH(C$1, US_national_yearly!$D$1:$AM$1, 0), FALSE) / VLOOKUP(Substitution!$M$14 &amp; $A23, US_national_yearly!$D:$AM, MATCH(Keys!$C$7, US_national_yearly!$D$1:$AM$1, 0), FALSE), 1)</f>
        <v>0</v>
      </c>
      <c r="D23" s="12">
        <f>$B23 * IFERROR(VLOOKUP(Substitution!$M$14 &amp; $A23, US_national_yearly!$D:$AM, MATCH(D$1, US_national_yearly!$D$1:$AM$1, 0), FALSE) / VLOOKUP(Substitution!$M$14 &amp; $A23, US_national_yearly!$D:$AM, MATCH(Keys!$C$7, US_national_yearly!$D$1:$AM$1, 0), FALSE), 1)</f>
        <v>0</v>
      </c>
      <c r="E23" s="12">
        <f>$B23 * IFERROR(VLOOKUP(Substitution!$M$14 &amp; $A23, US_national_yearly!$D:$AM, MATCH(E$1, US_national_yearly!$D$1:$AM$1, 0), FALSE) / VLOOKUP(Substitution!$M$14 &amp; $A23, US_national_yearly!$D:$AM, MATCH(Keys!$C$7, US_national_yearly!$D$1:$AM$1, 0), FALSE), 1)</f>
        <v>0</v>
      </c>
      <c r="F23" s="12">
        <f>$B23 * IFERROR(VLOOKUP(Substitution!$M$14 &amp; $A23, US_national_yearly!$D:$AM, MATCH(F$1, US_national_yearly!$D$1:$AM$1, 0), FALSE) / VLOOKUP(Substitution!$M$14 &amp; $A23, US_national_yearly!$D:$AM, MATCH(Keys!$C$7, US_national_yearly!$D$1:$AM$1, 0), FALSE), 1)</f>
        <v>0</v>
      </c>
      <c r="G23" s="12">
        <f>$B23 * IFERROR(VLOOKUP(Substitution!$M$14 &amp; $A23, US_national_yearly!$D:$AM, MATCH(G$1, US_national_yearly!$D$1:$AM$1, 0), FALSE) / VLOOKUP(Substitution!$M$14 &amp; $A23, US_national_yearly!$D:$AM, MATCH(Keys!$C$7, US_national_yearly!$D$1:$AM$1, 0), FALSE), 1)</f>
        <v>0</v>
      </c>
      <c r="H23" s="12">
        <f>$B23 * IFERROR(VLOOKUP(Substitution!$M$14 &amp; $A23, US_national_yearly!$D:$AM, MATCH(H$1, US_national_yearly!$D$1:$AM$1, 0), FALSE) / VLOOKUP(Substitution!$M$14 &amp; $A23, US_national_yearly!$D:$AM, MATCH(Keys!$C$7, US_national_yearly!$D$1:$AM$1, 0), FALSE), 1)</f>
        <v>0</v>
      </c>
      <c r="I23" s="12">
        <f>$B23 * IFERROR(VLOOKUP(Substitution!$M$14 &amp; $A23, US_national_yearly!$D:$AM, MATCH(I$1, US_national_yearly!$D$1:$AM$1, 0), FALSE) / VLOOKUP(Substitution!$M$14 &amp; $A23, US_national_yearly!$D:$AM, MATCH(Keys!$C$7, US_national_yearly!$D$1:$AM$1, 0), FALSE), 1)</f>
        <v>0</v>
      </c>
      <c r="J23" s="12">
        <f>$B23 * IFERROR(VLOOKUP(Substitution!$M$14 &amp; $A23, US_national_yearly!$D:$AM, MATCH(J$1, US_national_yearly!$D$1:$AM$1, 0), FALSE) / VLOOKUP(Substitution!$M$14 &amp; $A23, US_national_yearly!$D:$AM, MATCH(Keys!$C$7, US_national_yearly!$D$1:$AM$1, 0), FALSE), 1)</f>
        <v>0</v>
      </c>
      <c r="K23" s="12">
        <f>$B23 * IFERROR(VLOOKUP(Substitution!$M$14 &amp; $A23, US_national_yearly!$D:$AM, MATCH(K$1, US_national_yearly!$D$1:$AM$1, 0), FALSE) / VLOOKUP(Substitution!$M$14 &amp; $A23, US_national_yearly!$D:$AM, MATCH(Keys!$C$7, US_national_yearly!$D$1:$AM$1, 0), FALSE), 1)</f>
        <v>0</v>
      </c>
      <c r="L23" s="12">
        <f>$B23 * IFERROR(VLOOKUP(Substitution!$M$14 &amp; $A23, US_national_yearly!$D:$AM, MATCH(L$1, US_national_yearly!$D$1:$AM$1, 0), FALSE) / VLOOKUP(Substitution!$M$14 &amp; $A23, US_national_yearly!$D:$AM, MATCH(Keys!$C$7, US_national_yearly!$D$1:$AM$1, 0), FALSE), 1)</f>
        <v>0</v>
      </c>
      <c r="M23" s="12">
        <f>$B23 * IFERROR(VLOOKUP(Substitution!$M$14 &amp; $A23, US_national_yearly!$D:$AM, MATCH(M$1, US_national_yearly!$D$1:$AM$1, 0), FALSE) / VLOOKUP(Substitution!$M$14 &amp; $A23, US_national_yearly!$D:$AM, MATCH(Keys!$C$7, US_national_yearly!$D$1:$AM$1, 0), FALSE), 1)</f>
        <v>0</v>
      </c>
      <c r="N23" s="12">
        <f>$B23 * IFERROR(VLOOKUP(Substitution!$M$14 &amp; $A23, US_national_yearly!$D:$AM, MATCH(N$1, US_national_yearly!$D$1:$AM$1, 0), FALSE) / VLOOKUP(Substitution!$M$14 &amp; $A23, US_national_yearly!$D:$AM, MATCH(Keys!$C$7, US_national_yearly!$D$1:$AM$1, 0), FALSE), 1)</f>
        <v>0</v>
      </c>
      <c r="O23" s="12">
        <f>$B23 * IFERROR(VLOOKUP(Substitution!$M$14 &amp; $A23, US_national_yearly!$D:$AM, MATCH(O$1, US_national_yearly!$D$1:$AM$1, 0), FALSE) / VLOOKUP(Substitution!$M$14 &amp; $A23, US_national_yearly!$D:$AM, MATCH(Keys!$C$7, US_national_yearly!$D$1:$AM$1, 0), FALSE), 1)</f>
        <v>0</v>
      </c>
      <c r="P23" s="12">
        <f>$B23 * IFERROR(VLOOKUP(Substitution!$M$14 &amp; $A23, US_national_yearly!$D:$AM, MATCH(P$1, US_national_yearly!$D$1:$AM$1, 0), FALSE) / VLOOKUP(Substitution!$M$14 &amp; $A23, US_national_yearly!$D:$AM, MATCH(Keys!$C$7, US_national_yearly!$D$1:$AM$1, 0), FALSE), 1)</f>
        <v>0</v>
      </c>
      <c r="Q23" s="12">
        <f>$B23 * IFERROR(VLOOKUP(Substitution!$M$14 &amp; $A23, US_national_yearly!$D:$AM, MATCH(Q$1, US_national_yearly!$D$1:$AM$1, 0), FALSE) / VLOOKUP(Substitution!$M$14 &amp; $A23, US_national_yearly!$D:$AM, MATCH(Keys!$C$7, US_national_yearly!$D$1:$AM$1, 0), FALSE), 1)</f>
        <v>0</v>
      </c>
      <c r="R23" s="12">
        <f>$B23 * IFERROR(VLOOKUP(Substitution!$M$14 &amp; $A23, US_national_yearly!$D:$AM, MATCH(R$1, US_national_yearly!$D$1:$AM$1, 0), FALSE) / VLOOKUP(Substitution!$M$14 &amp; $A23, US_national_yearly!$D:$AM, MATCH(Keys!$C$7, US_national_yearly!$D$1:$AM$1, 0), FALSE), 1)</f>
        <v>0</v>
      </c>
      <c r="S23" s="12">
        <f>$B23 * IFERROR(VLOOKUP(Substitution!$M$14 &amp; $A23, US_national_yearly!$D:$AM, MATCH(S$1, US_national_yearly!$D$1:$AM$1, 0), FALSE) / VLOOKUP(Substitution!$M$14 &amp; $A23, US_national_yearly!$D:$AM, MATCH(Keys!$C$7, US_national_yearly!$D$1:$AM$1, 0), FALSE), 1)</f>
        <v>0</v>
      </c>
      <c r="T23" s="12">
        <f>$B23 * IFERROR(VLOOKUP(Substitution!$M$14 &amp; $A23, US_national_yearly!$D:$AM, MATCH(T$1, US_national_yearly!$D$1:$AM$1, 0), FALSE) / VLOOKUP(Substitution!$M$14 &amp; $A23, US_national_yearly!$D:$AM, MATCH(Keys!$C$7, US_national_yearly!$D$1:$AM$1, 0), FALSE), 1)</f>
        <v>0</v>
      </c>
      <c r="U23" s="12">
        <f>$B23 * IFERROR(VLOOKUP(Substitution!$M$14 &amp; $A23, US_national_yearly!$D:$AM, MATCH(U$1, US_national_yearly!$D$1:$AM$1, 0), FALSE) / VLOOKUP(Substitution!$M$14 &amp; $A23, US_national_yearly!$D:$AM, MATCH(Keys!$C$7, US_national_yearly!$D$1:$AM$1, 0), FALSE), 1)</f>
        <v>0</v>
      </c>
      <c r="V23" s="12">
        <f>$B23 * IFERROR(VLOOKUP(Substitution!$M$14 &amp; $A23, US_national_yearly!$D:$AM, MATCH(V$1, US_national_yearly!$D$1:$AM$1, 0), FALSE) / VLOOKUP(Substitution!$M$14 &amp; $A23, US_national_yearly!$D:$AM, MATCH(Keys!$C$7, US_national_yearly!$D$1:$AM$1, 0), FALSE), 1)</f>
        <v>0</v>
      </c>
      <c r="W23" s="12">
        <f>$B23 * IFERROR(VLOOKUP(Substitution!$M$14 &amp; $A23, US_national_yearly!$D:$AM, MATCH(W$1, US_national_yearly!$D$1:$AM$1, 0), FALSE) / VLOOKUP(Substitution!$M$14 &amp; $A23, US_national_yearly!$D:$AM, MATCH(Keys!$C$7, US_national_yearly!$D$1:$AM$1, 0), FALSE), 1)</f>
        <v>0</v>
      </c>
      <c r="X23" s="12">
        <f>$B23 * IFERROR(VLOOKUP(Substitution!$M$14 &amp; $A23, US_national_yearly!$D:$AM, MATCH(X$1, US_national_yearly!$D$1:$AM$1, 0), FALSE) / VLOOKUP(Substitution!$M$14 &amp; $A23, US_national_yearly!$D:$AM, MATCH(Keys!$C$7, US_national_yearly!$D$1:$AM$1, 0), FALSE), 1)</f>
        <v>0</v>
      </c>
      <c r="Y23" s="12">
        <f>$B23 * IFERROR(VLOOKUP(Substitution!$M$14 &amp; $A23, US_national_yearly!$D:$AM, MATCH(Y$1, US_national_yearly!$D$1:$AM$1, 0), FALSE) / VLOOKUP(Substitution!$M$14 &amp; $A23, US_national_yearly!$D:$AM, MATCH(Keys!$C$7, US_national_yearly!$D$1:$AM$1, 0), FALSE), 1)</f>
        <v>0</v>
      </c>
      <c r="Z23" s="12">
        <f>$B23 * IFERROR(VLOOKUP(Substitution!$M$14 &amp; $A23, US_national_yearly!$D:$AM, MATCH(Z$1, US_national_yearly!$D$1:$AM$1, 0), FALSE) / VLOOKUP(Substitution!$M$14 &amp; $A23, US_national_yearly!$D:$AM, MATCH(Keys!$C$7, US_national_yearly!$D$1:$AM$1, 0), FALSE), 1)</f>
        <v>0</v>
      </c>
      <c r="AA23" s="12">
        <f>$B23 * IFERROR(VLOOKUP(Substitution!$M$14 &amp; $A23, US_national_yearly!$D:$AM, MATCH(AA$1, US_national_yearly!$D$1:$AM$1, 0), FALSE) / VLOOKUP(Substitution!$M$14 &amp; $A23, US_national_yearly!$D:$AM, MATCH(Keys!$C$7, US_national_yearly!$D$1:$AM$1, 0), FALSE), 1)</f>
        <v>0</v>
      </c>
      <c r="AB23" s="12">
        <f>$B23 * IFERROR(VLOOKUP(Substitution!$M$14 &amp; $A23, US_national_yearly!$D:$AM, MATCH(AB$1, US_national_yearly!$D$1:$AM$1, 0), FALSE) / VLOOKUP(Substitution!$M$14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238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Substitution!$G$15)/IFERROR(SUMIFS(COBRA_aggregated!$W:$W, COBRA_aggregated!$A:$A, About!$B$1, COBRA_aggregated!$B:$B, Substitution!$G$15), 1)</f>
        <v>4.3620409516338714E-4</v>
      </c>
      <c r="C2" s="12">
        <f>$B2 * IFERROR(VLOOKUP(Substitution!$M$15 &amp; $A2, US_national_yearly!$D:$AM, MATCH(C$1, US_national_yearly!$D$1:$AM$1, 0), FALSE) / VLOOKUP(Substitution!$M$15 &amp; $A2, US_national_yearly!$D:$AM, MATCH(Keys!$C$7, US_national_yearly!$D$1:$AM$1, 0), FALSE), 1)</f>
        <v>4.4265413062438176E-4</v>
      </c>
      <c r="D2" s="12">
        <f>$B2 * IFERROR(VLOOKUP(Substitution!$M$15 &amp; $A2, US_national_yearly!$D:$AM, MATCH(D$1, US_national_yearly!$D$1:$AM$1, 0), FALSE) / VLOOKUP(Substitution!$M$15 &amp; $A2, US_national_yearly!$D:$AM, MATCH(Keys!$C$7, US_national_yearly!$D$1:$AM$1, 0), FALSE), 1)</f>
        <v>4.4910416608537644E-4</v>
      </c>
      <c r="E2" s="12">
        <f>$B2 * IFERROR(VLOOKUP(Substitution!$M$15 &amp; $A2, US_national_yearly!$D:$AM, MATCH(E$1, US_national_yearly!$D$1:$AM$1, 0), FALSE) / VLOOKUP(Substitution!$M$15 &amp; $A2, US_national_yearly!$D:$AM, MATCH(Keys!$C$7, US_national_yearly!$D$1:$AM$1, 0), FALSE), 1)</f>
        <v>4.5555420154637106E-4</v>
      </c>
      <c r="F2" s="12">
        <f>$B2 * IFERROR(VLOOKUP(Substitution!$M$15 &amp; $A2, US_national_yearly!$D:$AM, MATCH(F$1, US_national_yearly!$D$1:$AM$1, 0), FALSE) / VLOOKUP(Substitution!$M$15 &amp; $A2, US_national_yearly!$D:$AM, MATCH(Keys!$C$7, US_national_yearly!$D$1:$AM$1, 0), FALSE), 1)</f>
        <v>4.6200423700736579E-4</v>
      </c>
      <c r="G2" s="12">
        <f>$B2 * IFERROR(VLOOKUP(Substitution!$M$15 &amp; $A2, US_national_yearly!$D:$AM, MATCH(G$1, US_national_yearly!$D$1:$AM$1, 0), FALSE) / VLOOKUP(Substitution!$M$15 &amp; $A2, US_national_yearly!$D:$AM, MATCH(Keys!$C$7, US_national_yearly!$D$1:$AM$1, 0), FALSE), 1)</f>
        <v>4.7357156601427521E-4</v>
      </c>
      <c r="H2" s="12">
        <f>$B2 * IFERROR(VLOOKUP(Substitution!$M$15 &amp; $A2, US_national_yearly!$D:$AM, MATCH(H$1, US_national_yearly!$D$1:$AM$1, 0), FALSE) / VLOOKUP(Substitution!$M$15 &amp; $A2, US_national_yearly!$D:$AM, MATCH(Keys!$C$7, US_national_yearly!$D$1:$AM$1, 0), FALSE), 1)</f>
        <v>4.8513889502118469E-4</v>
      </c>
      <c r="I2" s="12">
        <f>$B2 * IFERROR(VLOOKUP(Substitution!$M$15 &amp; $A2, US_national_yearly!$D:$AM, MATCH(I$1, US_national_yearly!$D$1:$AM$1, 0), FALSE) / VLOOKUP(Substitution!$M$15 &amp; $A2, US_national_yearly!$D:$AM, MATCH(Keys!$C$7, US_national_yearly!$D$1:$AM$1, 0), FALSE), 1)</f>
        <v>4.9264301057098025E-4</v>
      </c>
      <c r="J2" s="12">
        <f>$B2 * IFERROR(VLOOKUP(Substitution!$M$15 &amp; $A2, US_national_yearly!$D:$AM, MATCH(J$1, US_national_yearly!$D$1:$AM$1, 0), FALSE) / VLOOKUP(Substitution!$M$15 &amp; $A2, US_national_yearly!$D:$AM, MATCH(Keys!$C$7, US_national_yearly!$D$1:$AM$1, 0), FALSE), 1)</f>
        <v>5.0014712612077587E-4</v>
      </c>
      <c r="K2" s="12">
        <f>$B2 * IFERROR(VLOOKUP(Substitution!$M$15 &amp; $A2, US_national_yearly!$D:$AM, MATCH(K$1, US_national_yearly!$D$1:$AM$1, 0), FALSE) / VLOOKUP(Substitution!$M$15 &amp; $A2, US_national_yearly!$D:$AM, MATCH(Keys!$C$7, US_national_yearly!$D$1:$AM$1, 0), FALSE), 1)</f>
        <v>5.0765124167057149E-4</v>
      </c>
      <c r="L2" s="12">
        <f>$B2 * IFERROR(VLOOKUP(Substitution!$M$15 &amp; $A2, US_national_yearly!$D:$AM, MATCH(L$1, US_national_yearly!$D$1:$AM$1, 0), FALSE) / VLOOKUP(Substitution!$M$15 &amp; $A2, US_national_yearly!$D:$AM, MATCH(Keys!$C$7, US_national_yearly!$D$1:$AM$1, 0), FALSE), 1)</f>
        <v>5.15155357220367E-4</v>
      </c>
      <c r="M2" s="12">
        <f>$B2 * IFERROR(VLOOKUP(Substitution!$M$15 &amp; $A2, US_national_yearly!$D:$AM, MATCH(M$1, US_national_yearly!$D$1:$AM$1, 0), FALSE) / VLOOKUP(Substitution!$M$15 &amp; $A2, US_national_yearly!$D:$AM, MATCH(Keys!$C$7, US_national_yearly!$D$1:$AM$1, 0), FALSE), 1)</f>
        <v>5.2265947277016262E-4</v>
      </c>
      <c r="N2" s="12">
        <f>$B2 * IFERROR(VLOOKUP(Substitution!$M$15 &amp; $A2, US_national_yearly!$D:$AM, MATCH(N$1, US_national_yearly!$D$1:$AM$1, 0), FALSE) / VLOOKUP(Substitution!$M$15 &amp; $A2, US_national_yearly!$D:$AM, MATCH(Keys!$C$7, US_national_yearly!$D$1:$AM$1, 0), FALSE), 1)</f>
        <v>5.282435139546028E-4</v>
      </c>
      <c r="O2" s="12">
        <f>$B2 * IFERROR(VLOOKUP(Substitution!$M$15 &amp; $A2, US_national_yearly!$D:$AM, MATCH(O$1, US_national_yearly!$D$1:$AM$1, 0), FALSE) / VLOOKUP(Substitution!$M$15 &amp; $A2, US_national_yearly!$D:$AM, MATCH(Keys!$C$7, US_national_yearly!$D$1:$AM$1, 0), FALSE), 1)</f>
        <v>5.3382755513904276E-4</v>
      </c>
      <c r="P2" s="12">
        <f>$B2 * IFERROR(VLOOKUP(Substitution!$M$15 &amp; $A2, US_national_yearly!$D:$AM, MATCH(P$1, US_national_yearly!$D$1:$AM$1, 0), FALSE) / VLOOKUP(Substitution!$M$15 &amp; $A2, US_national_yearly!$D:$AM, MATCH(Keys!$C$7, US_national_yearly!$D$1:$AM$1, 0), FALSE), 1)</f>
        <v>5.3941159632348273E-4</v>
      </c>
      <c r="Q2" s="12">
        <f>$B2 * IFERROR(VLOOKUP(Substitution!$M$15 &amp; $A2, US_national_yearly!$D:$AM, MATCH(Q$1, US_national_yearly!$D$1:$AM$1, 0), FALSE) / VLOOKUP(Substitution!$M$15 &amp; $A2, US_national_yearly!$D:$AM, MATCH(Keys!$C$7, US_national_yearly!$D$1:$AM$1, 0), FALSE), 1)</f>
        <v>5.449956375079228E-4</v>
      </c>
      <c r="R2" s="12">
        <f>$B2 * IFERROR(VLOOKUP(Substitution!$M$15 &amp; $A2, US_national_yearly!$D:$AM, MATCH(R$1, US_national_yearly!$D$1:$AM$1, 0), FALSE) / VLOOKUP(Substitution!$M$15 &amp; $A2, US_national_yearly!$D:$AM, MATCH(Keys!$C$7, US_national_yearly!$D$1:$AM$1, 0), FALSE), 1)</f>
        <v>5.5057967869236288E-4</v>
      </c>
      <c r="S2" s="12">
        <f>$B2 * IFERROR(VLOOKUP(Substitution!$M$15 &amp; $A2, US_national_yearly!$D:$AM, MATCH(S$1, US_national_yearly!$D$1:$AM$1, 0), FALSE) / VLOOKUP(Substitution!$M$15 &amp; $A2, US_national_yearly!$D:$AM, MATCH(Keys!$C$7, US_national_yearly!$D$1:$AM$1, 0), FALSE), 1)</f>
        <v>5.5317994540132536E-4</v>
      </c>
      <c r="T2" s="12">
        <f>$B2 * IFERROR(VLOOKUP(Substitution!$M$15 &amp; $A2, US_national_yearly!$D:$AM, MATCH(T$1, US_national_yearly!$D$1:$AM$1, 0), FALSE) / VLOOKUP(Substitution!$M$15 &amp; $A2, US_national_yearly!$D:$AM, MATCH(Keys!$C$7, US_national_yearly!$D$1:$AM$1, 0), FALSE), 1)</f>
        <v>5.5578021211028796E-4</v>
      </c>
      <c r="U2" s="12">
        <f>$B2 * IFERROR(VLOOKUP(Substitution!$M$15 &amp; $A2, US_national_yearly!$D:$AM, MATCH(U$1, US_national_yearly!$D$1:$AM$1, 0), FALSE) / VLOOKUP(Substitution!$M$15 &amp; $A2, US_national_yearly!$D:$AM, MATCH(Keys!$C$7, US_national_yearly!$D$1:$AM$1, 0), FALSE), 1)</f>
        <v>5.5838047881925056E-4</v>
      </c>
      <c r="V2" s="12">
        <f>$B2 * IFERROR(VLOOKUP(Substitution!$M$15 &amp; $A2, US_national_yearly!$D:$AM, MATCH(V$1, US_national_yearly!$D$1:$AM$1, 0), FALSE) / VLOOKUP(Substitution!$M$15 &amp; $A2, US_national_yearly!$D:$AM, MATCH(Keys!$C$7, US_national_yearly!$D$1:$AM$1, 0), FALSE), 1)</f>
        <v>5.6098074552821315E-4</v>
      </c>
      <c r="W2" s="12">
        <f>$B2 * IFERROR(VLOOKUP(Substitution!$M$15 &amp; $A2, US_national_yearly!$D:$AM, MATCH(W$1, US_national_yearly!$D$1:$AM$1, 0), FALSE) / VLOOKUP(Substitution!$M$15 &amp; $A2, US_national_yearly!$D:$AM, MATCH(Keys!$C$7, US_national_yearly!$D$1:$AM$1, 0), FALSE), 1)</f>
        <v>5.6358101223717564E-4</v>
      </c>
      <c r="X2" s="12">
        <f>$B2 * IFERROR(VLOOKUP(Substitution!$M$15 &amp; $A2, US_national_yearly!$D:$AM, MATCH(X$1, US_national_yearly!$D$1:$AM$1, 0), FALSE) / VLOOKUP(Substitution!$M$15 &amp; $A2, US_national_yearly!$D:$AM, MATCH(Keys!$C$7, US_national_yearly!$D$1:$AM$1, 0), FALSE), 1)</f>
        <v>5.6377973293518578E-4</v>
      </c>
      <c r="Y2" s="12">
        <f>$B2 * IFERROR(VLOOKUP(Substitution!$M$15 &amp; $A2, US_national_yearly!$D:$AM, MATCH(Y$1, US_national_yearly!$D$1:$AM$1, 0), FALSE) / VLOOKUP(Substitution!$M$15 &amp; $A2, US_national_yearly!$D:$AM, MATCH(Keys!$C$7, US_national_yearly!$D$1:$AM$1, 0), FALSE), 1)</f>
        <v>5.6397845363319592E-4</v>
      </c>
      <c r="Z2" s="12">
        <f>$B2 * IFERROR(VLOOKUP(Substitution!$M$15 &amp; $A2, US_national_yearly!$D:$AM, MATCH(Z$1, US_national_yearly!$D$1:$AM$1, 0), FALSE) / VLOOKUP(Substitution!$M$15 &amp; $A2, US_national_yearly!$D:$AM, MATCH(Keys!$C$7, US_national_yearly!$D$1:$AM$1, 0), FALSE), 1)</f>
        <v>5.6417717433120617E-4</v>
      </c>
      <c r="AA2" s="12">
        <f>$B2 * IFERROR(VLOOKUP(Substitution!$M$15 &amp; $A2, US_national_yearly!$D:$AM, MATCH(AA$1, US_national_yearly!$D$1:$AM$1, 0), FALSE) / VLOOKUP(Substitution!$M$15 &amp; $A2, US_national_yearly!$D:$AM, MATCH(Keys!$C$7, US_national_yearly!$D$1:$AM$1, 0), FALSE), 1)</f>
        <v>5.6437589502921631E-4</v>
      </c>
      <c r="AB2" s="12">
        <f>$B2 * IFERROR(VLOOKUP(Substitution!$M$15 &amp; $A2, US_national_yearly!$D:$AM, MATCH(AB$1, US_national_yearly!$D$1:$AM$1, 0), FALSE) / VLOOKUP(Substitution!$M$15 &amp; $A2, US_national_yearly!$D:$AM, MATCH(Keys!$C$7, US_national_yearly!$D$1:$AM$1, 0), FALSE), 1)</f>
        <v>5.6457461572722645E-4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Substitution!$G$15)/IFERROR(SUMIFS(COBRA_aggregated!$W:$W, COBRA_aggregated!$A:$A, About!$B$1, COBRA_aggregated!$B:$B, Substitution!$G$15), 1)</f>
        <v>7.6724853413517854E-7</v>
      </c>
      <c r="C3" s="12">
        <f>$B3 * IFERROR(VLOOKUP(Substitution!$M$15 &amp; $A3, US_national_yearly!$D:$AM, MATCH(C$1, US_national_yearly!$D$1:$AM$1, 0), FALSE) / VLOOKUP(Substitution!$M$15 &amp; $A3, US_national_yearly!$D:$AM, MATCH(Keys!$C$7, US_national_yearly!$D$1:$AM$1, 0), FALSE), 1)</f>
        <v>7.5990072350092755E-7</v>
      </c>
      <c r="D3" s="12">
        <f>$B3 * IFERROR(VLOOKUP(Substitution!$M$15 &amp; $A3, US_national_yearly!$D:$AM, MATCH(D$1, US_national_yearly!$D$1:$AM$1, 0), FALSE) / VLOOKUP(Substitution!$M$15 &amp; $A3, US_national_yearly!$D:$AM, MATCH(Keys!$C$7, US_national_yearly!$D$1:$AM$1, 0), FALSE), 1)</f>
        <v>7.5255291286667657E-7</v>
      </c>
      <c r="E3" s="12">
        <f>$B3 * IFERROR(VLOOKUP(Substitution!$M$15 &amp; $A3, US_national_yearly!$D:$AM, MATCH(E$1, US_national_yearly!$D$1:$AM$1, 0), FALSE) / VLOOKUP(Substitution!$M$15 &amp; $A3, US_national_yearly!$D:$AM, MATCH(Keys!$C$7, US_national_yearly!$D$1:$AM$1, 0), FALSE), 1)</f>
        <v>7.4520510223242558E-7</v>
      </c>
      <c r="F3" s="12">
        <f>$B3 * IFERROR(VLOOKUP(Substitution!$M$15 &amp; $A3, US_national_yearly!$D:$AM, MATCH(F$1, US_national_yearly!$D$1:$AM$1, 0), FALSE) / VLOOKUP(Substitution!$M$15 &amp; $A3, US_national_yearly!$D:$AM, MATCH(Keys!$C$7, US_national_yearly!$D$1:$AM$1, 0), FALSE), 1)</f>
        <v>7.378572915981746E-7</v>
      </c>
      <c r="G3" s="12">
        <f>$B3 * IFERROR(VLOOKUP(Substitution!$M$15 &amp; $A3, US_national_yearly!$D:$AM, MATCH(G$1, US_national_yearly!$D$1:$AM$1, 0), FALSE) / VLOOKUP(Substitution!$M$15 &amp; $A3, US_national_yearly!$D:$AM, MATCH(Keys!$C$7, US_national_yearly!$D$1:$AM$1, 0), FALSE), 1)</f>
        <v>4.8941206106624226E-7</v>
      </c>
      <c r="H3" s="12">
        <f>$B3 * IFERROR(VLOOKUP(Substitution!$M$15 &amp; $A3, US_national_yearly!$D:$AM, MATCH(H$1, US_national_yearly!$D$1:$AM$1, 0), FALSE) / VLOOKUP(Substitution!$M$15 &amp; $A3, US_national_yearly!$D:$AM, MATCH(Keys!$C$7, US_national_yearly!$D$1:$AM$1, 0), FALSE), 1)</f>
        <v>2.4096683053431003E-7</v>
      </c>
      <c r="I3" s="12">
        <f>$B3 * IFERROR(VLOOKUP(Substitution!$M$15 &amp; $A3, US_national_yearly!$D:$AM, MATCH(I$1, US_national_yearly!$D$1:$AM$1, 0), FALSE) / VLOOKUP(Substitution!$M$15 &amp; $A3, US_national_yearly!$D:$AM, MATCH(Keys!$C$7, US_national_yearly!$D$1:$AM$1, 0), FALSE), 1)</f>
        <v>2.3922956372672929E-7</v>
      </c>
      <c r="J3" s="12">
        <f>$B3 * IFERROR(VLOOKUP(Substitution!$M$15 &amp; $A3, US_national_yearly!$D:$AM, MATCH(J$1, US_national_yearly!$D$1:$AM$1, 0), FALSE) / VLOOKUP(Substitution!$M$15 &amp; $A3, US_national_yearly!$D:$AM, MATCH(Keys!$C$7, US_national_yearly!$D$1:$AM$1, 0), FALSE), 1)</f>
        <v>2.3749229691914863E-7</v>
      </c>
      <c r="K3" s="12">
        <f>$B3 * IFERROR(VLOOKUP(Substitution!$M$15 &amp; $A3, US_national_yearly!$D:$AM, MATCH(K$1, US_national_yearly!$D$1:$AM$1, 0), FALSE) / VLOOKUP(Substitution!$M$15 &amp; $A3, US_national_yearly!$D:$AM, MATCH(Keys!$C$7, US_national_yearly!$D$1:$AM$1, 0), FALSE), 1)</f>
        <v>2.3575503011156791E-7</v>
      </c>
      <c r="L3" s="12">
        <f>$B3 * IFERROR(VLOOKUP(Substitution!$M$15 &amp; $A3, US_national_yearly!$D:$AM, MATCH(L$1, US_national_yearly!$D$1:$AM$1, 0), FALSE) / VLOOKUP(Substitution!$M$15 &amp; $A3, US_national_yearly!$D:$AM, MATCH(Keys!$C$7, US_national_yearly!$D$1:$AM$1, 0), FALSE), 1)</f>
        <v>2.3401776330398714E-7</v>
      </c>
      <c r="M3" s="12">
        <f>$B3 * IFERROR(VLOOKUP(Substitution!$M$15 &amp; $A3, US_national_yearly!$D:$AM, MATCH(M$1, US_national_yearly!$D$1:$AM$1, 0), FALSE) / VLOOKUP(Substitution!$M$15 &amp; $A3, US_national_yearly!$D:$AM, MATCH(Keys!$C$7, US_national_yearly!$D$1:$AM$1, 0), FALSE), 1)</f>
        <v>2.322804964964064E-7</v>
      </c>
      <c r="N3" s="12">
        <f>$B3 * IFERROR(VLOOKUP(Substitution!$M$15 &amp; $A3, US_national_yearly!$D:$AM, MATCH(N$1, US_national_yearly!$D$1:$AM$1, 0), FALSE) / VLOOKUP(Substitution!$M$15 &amp; $A3, US_national_yearly!$D:$AM, MATCH(Keys!$C$7, US_national_yearly!$D$1:$AM$1, 0), FALSE), 1)</f>
        <v>2.3111000448428574E-7</v>
      </c>
      <c r="O3" s="12">
        <f>$B3 * IFERROR(VLOOKUP(Substitution!$M$15 &amp; $A3, US_national_yearly!$D:$AM, MATCH(O$1, US_national_yearly!$D$1:$AM$1, 0), FALSE) / VLOOKUP(Substitution!$M$15 &amp; $A3, US_national_yearly!$D:$AM, MATCH(Keys!$C$7, US_national_yearly!$D$1:$AM$1, 0), FALSE), 1)</f>
        <v>2.29939512472165E-7</v>
      </c>
      <c r="P3" s="12">
        <f>$B3 * IFERROR(VLOOKUP(Substitution!$M$15 &amp; $A3, US_national_yearly!$D:$AM, MATCH(P$1, US_national_yearly!$D$1:$AM$1, 0), FALSE) / VLOOKUP(Substitution!$M$15 &amp; $A3, US_national_yearly!$D:$AM, MATCH(Keys!$C$7, US_national_yearly!$D$1:$AM$1, 0), FALSE), 1)</f>
        <v>2.2876902046004431E-7</v>
      </c>
      <c r="Q3" s="12">
        <f>$B3 * IFERROR(VLOOKUP(Substitution!$M$15 &amp; $A3, US_national_yearly!$D:$AM, MATCH(Q$1, US_national_yearly!$D$1:$AM$1, 0), FALSE) / VLOOKUP(Substitution!$M$15 &amp; $A3, US_national_yearly!$D:$AM, MATCH(Keys!$C$7, US_national_yearly!$D$1:$AM$1, 0), FALSE), 1)</f>
        <v>2.2759852844792366E-7</v>
      </c>
      <c r="R3" s="12">
        <f>$B3 * IFERROR(VLOOKUP(Substitution!$M$15 &amp; $A3, US_national_yearly!$D:$AM, MATCH(R$1, US_national_yearly!$D$1:$AM$1, 0), FALSE) / VLOOKUP(Substitution!$M$15 &amp; $A3, US_national_yearly!$D:$AM, MATCH(Keys!$C$7, US_national_yearly!$D$1:$AM$1, 0), FALSE), 1)</f>
        <v>2.2642803643580297E-7</v>
      </c>
      <c r="S3" s="12">
        <f>$B3 * IFERROR(VLOOKUP(Substitution!$M$15 &amp; $A3, US_national_yearly!$D:$AM, MATCH(S$1, US_national_yearly!$D$1:$AM$1, 0), FALSE) / VLOOKUP(Substitution!$M$15 &amp; $A3, US_national_yearly!$D:$AM, MATCH(Keys!$C$7, US_national_yearly!$D$1:$AM$1, 0), FALSE), 1)</f>
        <v>2.2503809809755434E-7</v>
      </c>
      <c r="T3" s="12">
        <f>$B3 * IFERROR(VLOOKUP(Substitution!$M$15 &amp; $A3, US_national_yearly!$D:$AM, MATCH(T$1, US_national_yearly!$D$1:$AM$1, 0), FALSE) / VLOOKUP(Substitution!$M$15 &amp; $A3, US_national_yearly!$D:$AM, MATCH(Keys!$C$7, US_national_yearly!$D$1:$AM$1, 0), FALSE), 1)</f>
        <v>2.2364815975930573E-7</v>
      </c>
      <c r="U3" s="12">
        <f>$B3 * IFERROR(VLOOKUP(Substitution!$M$15 &amp; $A3, US_national_yearly!$D:$AM, MATCH(U$1, US_national_yearly!$D$1:$AM$1, 0), FALSE) / VLOOKUP(Substitution!$M$15 &amp; $A3, US_national_yearly!$D:$AM, MATCH(Keys!$C$7, US_national_yearly!$D$1:$AM$1, 0), FALSE), 1)</f>
        <v>2.2225822142105713E-7</v>
      </c>
      <c r="V3" s="12">
        <f>$B3 * IFERROR(VLOOKUP(Substitution!$M$15 &amp; $A3, US_national_yearly!$D:$AM, MATCH(V$1, US_national_yearly!$D$1:$AM$1, 0), FALSE) / VLOOKUP(Substitution!$M$15 &amp; $A3, US_national_yearly!$D:$AM, MATCH(Keys!$C$7, US_national_yearly!$D$1:$AM$1, 0), FALSE), 1)</f>
        <v>2.2086828308280849E-7</v>
      </c>
      <c r="W3" s="12">
        <f>$B3 * IFERROR(VLOOKUP(Substitution!$M$15 &amp; $A3, US_national_yearly!$D:$AM, MATCH(W$1, US_national_yearly!$D$1:$AM$1, 0), FALSE) / VLOOKUP(Substitution!$M$15 &amp; $A3, US_national_yearly!$D:$AM, MATCH(Keys!$C$7, US_national_yearly!$D$1:$AM$1, 0), FALSE), 1)</f>
        <v>2.1947834474455991E-7</v>
      </c>
      <c r="X3" s="12">
        <f>$B3 * IFERROR(VLOOKUP(Substitution!$M$15 &amp; $A3, US_national_yearly!$D:$AM, MATCH(X$1, US_national_yearly!$D$1:$AM$1, 0), FALSE) / VLOOKUP(Substitution!$M$15 &amp; $A3, US_national_yearly!$D:$AM, MATCH(Keys!$C$7, US_national_yearly!$D$1:$AM$1, 0), FALSE), 1)</f>
        <v>2.1801875558420736E-7</v>
      </c>
      <c r="Y3" s="12">
        <f>$B3 * IFERROR(VLOOKUP(Substitution!$M$15 &amp; $A3, US_national_yearly!$D:$AM, MATCH(Y$1, US_national_yearly!$D$1:$AM$1, 0), FALSE) / VLOOKUP(Substitution!$M$15 &amp; $A3, US_national_yearly!$D:$AM, MATCH(Keys!$C$7, US_national_yearly!$D$1:$AM$1, 0), FALSE), 1)</f>
        <v>2.1655916642385486E-7</v>
      </c>
      <c r="Z3" s="12">
        <f>$B3 * IFERROR(VLOOKUP(Substitution!$M$15 &amp; $A3, US_national_yearly!$D:$AM, MATCH(Z$1, US_national_yearly!$D$1:$AM$1, 0), FALSE) / VLOOKUP(Substitution!$M$15 &amp; $A3, US_national_yearly!$D:$AM, MATCH(Keys!$C$7, US_national_yearly!$D$1:$AM$1, 0), FALSE), 1)</f>
        <v>2.1509957726350236E-7</v>
      </c>
      <c r="AA3" s="12">
        <f>$B3 * IFERROR(VLOOKUP(Substitution!$M$15 &amp; $A3, US_national_yearly!$D:$AM, MATCH(AA$1, US_national_yearly!$D$1:$AM$1, 0), FALSE) / VLOOKUP(Substitution!$M$15 &amp; $A3, US_national_yearly!$D:$AM, MATCH(Keys!$C$7, US_national_yearly!$D$1:$AM$1, 0), FALSE), 1)</f>
        <v>2.1363998810314985E-7</v>
      </c>
      <c r="AB3" s="12">
        <f>$B3 * IFERROR(VLOOKUP(Substitution!$M$15 &amp; $A3, US_national_yearly!$D:$AM, MATCH(AB$1, US_national_yearly!$D$1:$AM$1, 0), FALSE) / VLOOKUP(Substitution!$M$15 &amp; $A3, US_national_yearly!$D:$AM, MATCH(Keys!$C$7, US_national_yearly!$D$1:$AM$1, 0), FALSE), 1)</f>
        <v>2.1218039894279733E-7</v>
      </c>
    </row>
    <row r="4" spans="1:28" x14ac:dyDescent="0.25">
      <c r="A4" s="4" t="s">
        <v>295</v>
      </c>
      <c r="B4" s="12">
        <f>IFERROR(VLOOKUP(Substitution!$M$15 &amp; $A4, US_national_yearly!$D:$AM, MATCH(Keys!$C$7, US_national_yearly!$D$1:$AM$1, 0), FALSE), 0)</f>
        <v>0.53706718874156911</v>
      </c>
      <c r="C4" s="12">
        <f>$B4 * IFERROR(VLOOKUP(Substitution!$M$15 &amp; $A4, US_national_yearly!$D:$AM, MATCH(C$1, US_national_yearly!$D$1:$AM$1, 0), FALSE) / VLOOKUP(Substitution!$M$15 &amp; $A4, US_national_yearly!$D:$AM, MATCH(Keys!$C$7, US_national_yearly!$D$1:$AM$1, 0), FALSE), 1)</f>
        <v>0.54223129403053238</v>
      </c>
      <c r="D4" s="12">
        <f>$B4 * IFERROR(VLOOKUP(Substitution!$M$15 &amp; $A4, US_national_yearly!$D:$AM, MATCH(D$1, US_national_yearly!$D$1:$AM$1, 0), FALSE) / VLOOKUP(Substitution!$M$15 &amp; $A4, US_national_yearly!$D:$AM, MATCH(Keys!$C$7, US_national_yearly!$D$1:$AM$1, 0), FALSE), 1)</f>
        <v>0.54739539931949555</v>
      </c>
      <c r="E4" s="12">
        <f>$B4 * IFERROR(VLOOKUP(Substitution!$M$15 &amp; $A4, US_national_yearly!$D:$AM, MATCH(E$1, US_national_yearly!$D$1:$AM$1, 0), FALSE) / VLOOKUP(Substitution!$M$15 &amp; $A4, US_national_yearly!$D:$AM, MATCH(Keys!$C$7, US_national_yearly!$D$1:$AM$1, 0), FALSE), 1)</f>
        <v>0.55255950460845882</v>
      </c>
      <c r="F4" s="12">
        <f>$B4 * IFERROR(VLOOKUP(Substitution!$M$15 &amp; $A4, US_national_yearly!$D:$AM, MATCH(F$1, US_national_yearly!$D$1:$AM$1, 0), FALSE) / VLOOKUP(Substitution!$M$15 &amp; $A4, US_national_yearly!$D:$AM, MATCH(Keys!$C$7, US_national_yearly!$D$1:$AM$1, 0), FALSE), 1)</f>
        <v>0.55772360989742198</v>
      </c>
      <c r="G4" s="12">
        <f>$B4 * IFERROR(VLOOKUP(Substitution!$M$15 &amp; $A4, US_national_yearly!$D:$AM, MATCH(G$1, US_national_yearly!$D$1:$AM$1, 0), FALSE) / VLOOKUP(Substitution!$M$15 &amp; $A4, US_national_yearly!$D:$AM, MATCH(Keys!$C$7, US_national_yearly!$D$1:$AM$1, 0), FALSE), 1)</f>
        <v>0.56373006686569593</v>
      </c>
      <c r="H4" s="12">
        <f>$B4 * IFERROR(VLOOKUP(Substitution!$M$15 &amp; $A4, US_national_yearly!$D:$AM, MATCH(H$1, US_national_yearly!$D$1:$AM$1, 0), FALSE) / VLOOKUP(Substitution!$M$15 &amp; $A4, US_national_yearly!$D:$AM, MATCH(Keys!$C$7, US_national_yearly!$D$1:$AM$1, 0), FALSE), 1)</f>
        <v>0.56973652383396989</v>
      </c>
      <c r="I4" s="12">
        <f>$B4 * IFERROR(VLOOKUP(Substitution!$M$15 &amp; $A4, US_national_yearly!$D:$AM, MATCH(I$1, US_national_yearly!$D$1:$AM$1, 0), FALSE) / VLOOKUP(Substitution!$M$15 &amp; $A4, US_national_yearly!$D:$AM, MATCH(Keys!$C$7, US_national_yearly!$D$1:$AM$1, 0), FALSE), 1)</f>
        <v>0.57387719427528705</v>
      </c>
      <c r="J4" s="12">
        <f>$B4 * IFERROR(VLOOKUP(Substitution!$M$15 &amp; $A4, US_national_yearly!$D:$AM, MATCH(J$1, US_national_yearly!$D$1:$AM$1, 0), FALSE) / VLOOKUP(Substitution!$M$15 &amp; $A4, US_national_yearly!$D:$AM, MATCH(Keys!$C$7, US_national_yearly!$D$1:$AM$1, 0), FALSE), 1)</f>
        <v>0.57801786471660399</v>
      </c>
      <c r="K4" s="12">
        <f>$B4 * IFERROR(VLOOKUP(Substitution!$M$15 &amp; $A4, US_national_yearly!$D:$AM, MATCH(K$1, US_national_yearly!$D$1:$AM$1, 0), FALSE) / VLOOKUP(Substitution!$M$15 &amp; $A4, US_national_yearly!$D:$AM, MATCH(Keys!$C$7, US_national_yearly!$D$1:$AM$1, 0), FALSE), 1)</f>
        <v>0.58215853515792104</v>
      </c>
      <c r="L4" s="12">
        <f>$B4 * IFERROR(VLOOKUP(Substitution!$M$15 &amp; $A4, US_national_yearly!$D:$AM, MATCH(L$1, US_national_yearly!$D$1:$AM$1, 0), FALSE) / VLOOKUP(Substitution!$M$15 &amp; $A4, US_national_yearly!$D:$AM, MATCH(Keys!$C$7, US_national_yearly!$D$1:$AM$1, 0), FALSE), 1)</f>
        <v>0.58629920559923798</v>
      </c>
      <c r="M4" s="12">
        <f>$B4 * IFERROR(VLOOKUP(Substitution!$M$15 &amp; $A4, US_national_yearly!$D:$AM, MATCH(M$1, US_national_yearly!$D$1:$AM$1, 0), FALSE) / VLOOKUP(Substitution!$M$15 &amp; $A4, US_national_yearly!$D:$AM, MATCH(Keys!$C$7, US_national_yearly!$D$1:$AM$1, 0), FALSE), 1)</f>
        <v>0.59043987604055503</v>
      </c>
      <c r="N4" s="12">
        <f>$B4 * IFERROR(VLOOKUP(Substitution!$M$15 &amp; $A4, US_national_yearly!$D:$AM, MATCH(N$1, US_national_yearly!$D$1:$AM$1, 0), FALSE) / VLOOKUP(Substitution!$M$15 &amp; $A4, US_national_yearly!$D:$AM, MATCH(Keys!$C$7, US_national_yearly!$D$1:$AM$1, 0), FALSE), 1)</f>
        <v>0.59184513186740739</v>
      </c>
      <c r="O4" s="12">
        <f>$B4 * IFERROR(VLOOKUP(Substitution!$M$15 &amp; $A4, US_national_yearly!$D:$AM, MATCH(O$1, US_national_yearly!$D$1:$AM$1, 0), FALSE) / VLOOKUP(Substitution!$M$15 &amp; $A4, US_national_yearly!$D:$AM, MATCH(Keys!$C$7, US_national_yearly!$D$1:$AM$1, 0), FALSE), 1)</f>
        <v>0.59325038769425986</v>
      </c>
      <c r="P4" s="12">
        <f>$B4 * IFERROR(VLOOKUP(Substitution!$M$15 &amp; $A4, US_national_yearly!$D:$AM, MATCH(P$1, US_national_yearly!$D$1:$AM$1, 0), FALSE) / VLOOKUP(Substitution!$M$15 &amp; $A4, US_national_yearly!$D:$AM, MATCH(Keys!$C$7, US_national_yearly!$D$1:$AM$1, 0), FALSE), 1)</f>
        <v>0.59465564352111222</v>
      </c>
      <c r="Q4" s="12">
        <f>$B4 * IFERROR(VLOOKUP(Substitution!$M$15 &amp; $A4, US_national_yearly!$D:$AM, MATCH(Q$1, US_national_yearly!$D$1:$AM$1, 0), FALSE) / VLOOKUP(Substitution!$M$15 &amp; $A4, US_national_yearly!$D:$AM, MATCH(Keys!$C$7, US_national_yearly!$D$1:$AM$1, 0), FALSE), 1)</f>
        <v>0.59606089934796469</v>
      </c>
      <c r="R4" s="12">
        <f>$B4 * IFERROR(VLOOKUP(Substitution!$M$15 &amp; $A4, US_national_yearly!$D:$AM, MATCH(R$1, US_national_yearly!$D$1:$AM$1, 0), FALSE) / VLOOKUP(Substitution!$M$15 &amp; $A4, US_national_yearly!$D:$AM, MATCH(Keys!$C$7, US_national_yearly!$D$1:$AM$1, 0), FALSE), 1)</f>
        <v>0.59746615517481705</v>
      </c>
      <c r="S4" s="12">
        <f>$B4 * IFERROR(VLOOKUP(Substitution!$M$15 &amp; $A4, US_national_yearly!$D:$AM, MATCH(S$1, US_national_yearly!$D$1:$AM$1, 0), FALSE) / VLOOKUP(Substitution!$M$15 &amp; $A4, US_national_yearly!$D:$AM, MATCH(Keys!$C$7, US_national_yearly!$D$1:$AM$1, 0), FALSE), 1)</f>
        <v>0.59929147828752649</v>
      </c>
      <c r="T4" s="12">
        <f>$B4 * IFERROR(VLOOKUP(Substitution!$M$15 &amp; $A4, US_national_yearly!$D:$AM, MATCH(T$1, US_national_yearly!$D$1:$AM$1, 0), FALSE) / VLOOKUP(Substitution!$M$15 &amp; $A4, US_national_yearly!$D:$AM, MATCH(Keys!$C$7, US_national_yearly!$D$1:$AM$1, 0), FALSE), 1)</f>
        <v>0.60111680140023582</v>
      </c>
      <c r="U4" s="12">
        <f>$B4 * IFERROR(VLOOKUP(Substitution!$M$15 &amp; $A4, US_national_yearly!$D:$AM, MATCH(U$1, US_national_yearly!$D$1:$AM$1, 0), FALSE) / VLOOKUP(Substitution!$M$15 &amp; $A4, US_national_yearly!$D:$AM, MATCH(Keys!$C$7, US_national_yearly!$D$1:$AM$1, 0), FALSE), 1)</f>
        <v>0.60294212451294527</v>
      </c>
      <c r="V4" s="12">
        <f>$B4 * IFERROR(VLOOKUP(Substitution!$M$15 &amp; $A4, US_national_yearly!$D:$AM, MATCH(V$1, US_national_yearly!$D$1:$AM$1, 0), FALSE) / VLOOKUP(Substitution!$M$15 &amp; $A4, US_national_yearly!$D:$AM, MATCH(Keys!$C$7, US_national_yearly!$D$1:$AM$1, 0), FALSE), 1)</f>
        <v>0.6047674476256546</v>
      </c>
      <c r="W4" s="12">
        <f>$B4 * IFERROR(VLOOKUP(Substitution!$M$15 &amp; $A4, US_national_yearly!$D:$AM, MATCH(W$1, US_national_yearly!$D$1:$AM$1, 0), FALSE) / VLOOKUP(Substitution!$M$15 &amp; $A4, US_national_yearly!$D:$AM, MATCH(Keys!$C$7, US_national_yearly!$D$1:$AM$1, 0), FALSE), 1)</f>
        <v>0.60659277073836404</v>
      </c>
      <c r="X4" s="12">
        <f>$B4 * IFERROR(VLOOKUP(Substitution!$M$15 &amp; $A4, US_national_yearly!$D:$AM, MATCH(X$1, US_national_yearly!$D$1:$AM$1, 0), FALSE) / VLOOKUP(Substitution!$M$15 &amp; $A4, US_national_yearly!$D:$AM, MATCH(Keys!$C$7, US_national_yearly!$D$1:$AM$1, 0), FALSE), 1)</f>
        <v>0.60863379879577939</v>
      </c>
      <c r="Y4" s="12">
        <f>$B4 * IFERROR(VLOOKUP(Substitution!$M$15 &amp; $A4, US_national_yearly!$D:$AM, MATCH(Y$1, US_national_yearly!$D$1:$AM$1, 0), FALSE) / VLOOKUP(Substitution!$M$15 &amp; $A4, US_national_yearly!$D:$AM, MATCH(Keys!$C$7, US_national_yearly!$D$1:$AM$1, 0), FALSE), 1)</f>
        <v>0.61067482685319485</v>
      </c>
      <c r="Z4" s="12">
        <f>$B4 * IFERROR(VLOOKUP(Substitution!$M$15 &amp; $A4, US_national_yearly!$D:$AM, MATCH(Z$1, US_national_yearly!$D$1:$AM$1, 0), FALSE) / VLOOKUP(Substitution!$M$15 &amp; $A4, US_national_yearly!$D:$AM, MATCH(Keys!$C$7, US_national_yearly!$D$1:$AM$1, 0), FALSE), 1)</f>
        <v>0.6127158549106102</v>
      </c>
      <c r="AA4" s="12">
        <f>$B4 * IFERROR(VLOOKUP(Substitution!$M$15 &amp; $A4, US_national_yearly!$D:$AM, MATCH(AA$1, US_national_yearly!$D$1:$AM$1, 0), FALSE) / VLOOKUP(Substitution!$M$15 &amp; $A4, US_national_yearly!$D:$AM, MATCH(Keys!$C$7, US_national_yearly!$D$1:$AM$1, 0), FALSE), 1)</f>
        <v>0.61475688296802566</v>
      </c>
      <c r="AB4" s="12">
        <f>$B4 * IFERROR(VLOOKUP(Substitution!$M$15 &amp; $A4, US_national_yearly!$D:$AM, MATCH(AB$1, US_national_yearly!$D$1:$AM$1, 0), FALSE) / VLOOKUP(Substitution!$M$15 &amp; $A4, US_national_yearly!$D:$AM, MATCH(Keys!$C$7, US_national_yearly!$D$1:$AM$1, 0), FALSE), 1)</f>
        <v>0.61679791102544101</v>
      </c>
    </row>
    <row r="5" spans="1:28" x14ac:dyDescent="0.25">
      <c r="A5" s="4" t="s">
        <v>297</v>
      </c>
      <c r="B5" s="12">
        <f>IFERROR(VLOOKUP(Substitution!$M$15 &amp; $A5, US_national_yearly!$D:$AM, MATCH(Keys!$C$7, US_national_yearly!$D$1:$AM$1, 0), FALSE), 0)</f>
        <v>0.91137329957594804</v>
      </c>
      <c r="C5" s="12">
        <f>$B5 * IFERROR(VLOOKUP(Substitution!$M$15 &amp; $A5, US_national_yearly!$D:$AM, MATCH(C$1, US_national_yearly!$D$1:$AM$1, 0), FALSE) / VLOOKUP(Substitution!$M$15 &amp; $A5, US_national_yearly!$D:$AM, MATCH(Keys!$C$7, US_national_yearly!$D$1:$AM$1, 0), FALSE), 1)</f>
        <v>0.92384119555367605</v>
      </c>
      <c r="D5" s="12">
        <f>$B5 * IFERROR(VLOOKUP(Substitution!$M$15 &amp; $A5, US_national_yearly!$D:$AM, MATCH(D$1, US_national_yearly!$D$1:$AM$1, 0), FALSE) / VLOOKUP(Substitution!$M$15 &amp; $A5, US_national_yearly!$D:$AM, MATCH(Keys!$C$7, US_national_yearly!$D$1:$AM$1, 0), FALSE), 1)</f>
        <v>0.93630909153140396</v>
      </c>
      <c r="E5" s="12">
        <f>$B5 * IFERROR(VLOOKUP(Substitution!$M$15 &amp; $A5, US_national_yearly!$D:$AM, MATCH(E$1, US_national_yearly!$D$1:$AM$1, 0), FALSE) / VLOOKUP(Substitution!$M$15 &amp; $A5, US_national_yearly!$D:$AM, MATCH(Keys!$C$7, US_national_yearly!$D$1:$AM$1, 0), FALSE), 1)</f>
        <v>0.94877698750913197</v>
      </c>
      <c r="F5" s="12">
        <f>$B5 * IFERROR(VLOOKUP(Substitution!$M$15 &amp; $A5, US_national_yearly!$D:$AM, MATCH(F$1, US_national_yearly!$D$1:$AM$1, 0), FALSE) / VLOOKUP(Substitution!$M$15 &amp; $A5, US_national_yearly!$D:$AM, MATCH(Keys!$C$7, US_national_yearly!$D$1:$AM$1, 0), FALSE), 1)</f>
        <v>0.96124488348685988</v>
      </c>
      <c r="G5" s="12">
        <f>$B5 * IFERROR(VLOOKUP(Substitution!$M$15 &amp; $A5, US_national_yearly!$D:$AM, MATCH(G$1, US_national_yearly!$D$1:$AM$1, 0), FALSE) / VLOOKUP(Substitution!$M$15 &amp; $A5, US_national_yearly!$D:$AM, MATCH(Keys!$C$7, US_national_yearly!$D$1:$AM$1, 0), FALSE), 1)</f>
        <v>0.97124220181896193</v>
      </c>
      <c r="H5" s="12">
        <f>$B5 * IFERROR(VLOOKUP(Substitution!$M$15 &amp; $A5, US_national_yearly!$D:$AM, MATCH(H$1, US_national_yearly!$D$1:$AM$1, 0), FALSE) / VLOOKUP(Substitution!$M$15 &amp; $A5, US_national_yearly!$D:$AM, MATCH(Keys!$C$7, US_national_yearly!$D$1:$AM$1, 0), FALSE), 1)</f>
        <v>0.98123952015106397</v>
      </c>
      <c r="I5" s="12">
        <f>$B5 * IFERROR(VLOOKUP(Substitution!$M$15 &amp; $A5, US_national_yearly!$D:$AM, MATCH(I$1, US_national_yearly!$D$1:$AM$1, 0), FALSE) / VLOOKUP(Substitution!$M$15 &amp; $A5, US_national_yearly!$D:$AM, MATCH(Keys!$C$7, US_national_yearly!$D$1:$AM$1, 0), FALSE), 1)</f>
        <v>0.98471867554691106</v>
      </c>
      <c r="J5" s="12">
        <f>$B5 * IFERROR(VLOOKUP(Substitution!$M$15 &amp; $A5, US_national_yearly!$D:$AM, MATCH(J$1, US_national_yearly!$D$1:$AM$1, 0), FALSE) / VLOOKUP(Substitution!$M$15 &amp; $A5, US_national_yearly!$D:$AM, MATCH(Keys!$C$7, US_national_yearly!$D$1:$AM$1, 0), FALSE), 1)</f>
        <v>0.98819783094275837</v>
      </c>
      <c r="K5" s="12">
        <f>$B5 * IFERROR(VLOOKUP(Substitution!$M$15 &amp; $A5, US_national_yearly!$D:$AM, MATCH(K$1, US_national_yearly!$D$1:$AM$1, 0), FALSE) / VLOOKUP(Substitution!$M$15 &amp; $A5, US_national_yearly!$D:$AM, MATCH(Keys!$C$7, US_national_yearly!$D$1:$AM$1, 0), FALSE), 1)</f>
        <v>0.99167698633860568</v>
      </c>
      <c r="L5" s="12">
        <f>$B5 * IFERROR(VLOOKUP(Substitution!$M$15 &amp; $A5, US_national_yearly!$D:$AM, MATCH(L$1, US_national_yearly!$D$1:$AM$1, 0), FALSE) / VLOOKUP(Substitution!$M$15 &amp; $A5, US_national_yearly!$D:$AM, MATCH(Keys!$C$7, US_national_yearly!$D$1:$AM$1, 0), FALSE), 1)</f>
        <v>0.99515614173445277</v>
      </c>
      <c r="M5" s="12">
        <f>$B5 * IFERROR(VLOOKUP(Substitution!$M$15 &amp; $A5, US_national_yearly!$D:$AM, MATCH(M$1, US_national_yearly!$D$1:$AM$1, 0), FALSE) / VLOOKUP(Substitution!$M$15 &amp; $A5, US_national_yearly!$D:$AM, MATCH(Keys!$C$7, US_national_yearly!$D$1:$AM$1, 0), FALSE), 1)</f>
        <v>0.99863529713029997</v>
      </c>
      <c r="N5" s="12">
        <f>$B5 * IFERROR(VLOOKUP(Substitution!$M$15 &amp; $A5, US_national_yearly!$D:$AM, MATCH(N$1, US_national_yearly!$D$1:$AM$1, 0), FALSE) / VLOOKUP(Substitution!$M$15 &amp; $A5, US_national_yearly!$D:$AM, MATCH(Keys!$C$7, US_national_yearly!$D$1:$AM$1, 0), FALSE), 1)</f>
        <v>1.0026068479953141</v>
      </c>
      <c r="O5" s="12">
        <f>$B5 * IFERROR(VLOOKUP(Substitution!$M$15 &amp; $A5, US_national_yearly!$D:$AM, MATCH(O$1, US_national_yearly!$D$1:$AM$1, 0), FALSE) / VLOOKUP(Substitution!$M$15 &amp; $A5, US_national_yearly!$D:$AM, MATCH(Keys!$C$7, US_national_yearly!$D$1:$AM$1, 0), FALSE), 1)</f>
        <v>1.0065783988603281</v>
      </c>
      <c r="P5" s="12">
        <f>$B5 * IFERROR(VLOOKUP(Substitution!$M$15 &amp; $A5, US_national_yearly!$D:$AM, MATCH(P$1, US_national_yearly!$D$1:$AM$1, 0), FALSE) / VLOOKUP(Substitution!$M$15 &amp; $A5, US_national_yearly!$D:$AM, MATCH(Keys!$C$7, US_national_yearly!$D$1:$AM$1, 0), FALSE), 1)</f>
        <v>1.0105499497253421</v>
      </c>
      <c r="Q5" s="12">
        <f>$B5 * IFERROR(VLOOKUP(Substitution!$M$15 &amp; $A5, US_national_yearly!$D:$AM, MATCH(Q$1, US_national_yearly!$D$1:$AM$1, 0), FALSE) / VLOOKUP(Substitution!$M$15 &amp; $A5, US_national_yearly!$D:$AM, MATCH(Keys!$C$7, US_national_yearly!$D$1:$AM$1, 0), FALSE), 1)</f>
        <v>1.0145215005903561</v>
      </c>
      <c r="R5" s="12">
        <f>$B5 * IFERROR(VLOOKUP(Substitution!$M$15 &amp; $A5, US_national_yearly!$D:$AM, MATCH(R$1, US_national_yearly!$D$1:$AM$1, 0), FALSE) / VLOOKUP(Substitution!$M$15 &amp; $A5, US_national_yearly!$D:$AM, MATCH(Keys!$C$7, US_national_yearly!$D$1:$AM$1, 0), FALSE), 1)</f>
        <v>1.0184930514553701</v>
      </c>
      <c r="S5" s="12">
        <f>$B5 * IFERROR(VLOOKUP(Substitution!$M$15 &amp; $A5, US_national_yearly!$D:$AM, MATCH(S$1, US_national_yearly!$D$1:$AM$1, 0), FALSE) / VLOOKUP(Substitution!$M$15 &amp; $A5, US_national_yearly!$D:$AM, MATCH(Keys!$C$7, US_national_yearly!$D$1:$AM$1, 0), FALSE), 1)</f>
        <v>1.0236161763523539</v>
      </c>
      <c r="T5" s="12">
        <f>$B5 * IFERROR(VLOOKUP(Substitution!$M$15 &amp; $A5, US_national_yearly!$D:$AM, MATCH(T$1, US_national_yearly!$D$1:$AM$1, 0), FALSE) / VLOOKUP(Substitution!$M$15 &amp; $A5, US_national_yearly!$D:$AM, MATCH(Keys!$C$7, US_national_yearly!$D$1:$AM$1, 0), FALSE), 1)</f>
        <v>1.028739301249338</v>
      </c>
      <c r="U5" s="12">
        <f>$B5 * IFERROR(VLOOKUP(Substitution!$M$15 &amp; $A5, US_national_yearly!$D:$AM, MATCH(U$1, US_national_yearly!$D$1:$AM$1, 0), FALSE) / VLOOKUP(Substitution!$M$15 &amp; $A5, US_national_yearly!$D:$AM, MATCH(Keys!$C$7, US_national_yearly!$D$1:$AM$1, 0), FALSE), 1)</f>
        <v>1.0338624261463221</v>
      </c>
      <c r="V5" s="12">
        <f>$B5 * IFERROR(VLOOKUP(Substitution!$M$15 &amp; $A5, US_national_yearly!$D:$AM, MATCH(V$1, US_national_yearly!$D$1:$AM$1, 0), FALSE) / VLOOKUP(Substitution!$M$15 &amp; $A5, US_national_yearly!$D:$AM, MATCH(Keys!$C$7, US_national_yearly!$D$1:$AM$1, 0), FALSE), 1)</f>
        <v>1.0389855510433059</v>
      </c>
      <c r="W5" s="12">
        <f>$B5 * IFERROR(VLOOKUP(Substitution!$M$15 &amp; $A5, US_national_yearly!$D:$AM, MATCH(W$1, US_national_yearly!$D$1:$AM$1, 0), FALSE) / VLOOKUP(Substitution!$M$15 &amp; $A5, US_national_yearly!$D:$AM, MATCH(Keys!$C$7, US_national_yearly!$D$1:$AM$1, 0), FALSE), 1)</f>
        <v>1.04410867594029</v>
      </c>
      <c r="X5" s="12">
        <f>$B5 * IFERROR(VLOOKUP(Substitution!$M$15 &amp; $A5, US_national_yearly!$D:$AM, MATCH(X$1, US_national_yearly!$D$1:$AM$1, 0), FALSE) / VLOOKUP(Substitution!$M$15 &amp; $A5, US_national_yearly!$D:$AM, MATCH(Keys!$C$7, US_national_yearly!$D$1:$AM$1, 0), FALSE), 1)</f>
        <v>1.0488582066790419</v>
      </c>
      <c r="Y5" s="12">
        <f>$B5 * IFERROR(VLOOKUP(Substitution!$M$15 &amp; $A5, US_national_yearly!$D:$AM, MATCH(Y$1, US_national_yearly!$D$1:$AM$1, 0), FALSE) / VLOOKUP(Substitution!$M$15 &amp; $A5, US_national_yearly!$D:$AM, MATCH(Keys!$C$7, US_national_yearly!$D$1:$AM$1, 0), FALSE), 1)</f>
        <v>1.0536077374177939</v>
      </c>
      <c r="Z5" s="12">
        <f>$B5 * IFERROR(VLOOKUP(Substitution!$M$15 &amp; $A5, US_national_yearly!$D:$AM, MATCH(Z$1, US_national_yearly!$D$1:$AM$1, 0), FALSE) / VLOOKUP(Substitution!$M$15 &amp; $A5, US_national_yearly!$D:$AM, MATCH(Keys!$C$7, US_national_yearly!$D$1:$AM$1, 0), FALSE), 1)</f>
        <v>1.0583572681565461</v>
      </c>
      <c r="AA5" s="12">
        <f>$B5 * IFERROR(VLOOKUP(Substitution!$M$15 &amp; $A5, US_national_yearly!$D:$AM, MATCH(AA$1, US_national_yearly!$D$1:$AM$1, 0), FALSE) / VLOOKUP(Substitution!$M$15 &amp; $A5, US_national_yearly!$D:$AM, MATCH(Keys!$C$7, US_national_yearly!$D$1:$AM$1, 0), FALSE), 1)</f>
        <v>1.063106798895298</v>
      </c>
      <c r="AB5" s="12">
        <f>$B5 * IFERROR(VLOOKUP(Substitution!$M$15 &amp; $A5, US_national_yearly!$D:$AM, MATCH(AB$1, US_national_yearly!$D$1:$AM$1, 0), FALSE) / VLOOKUP(Substitution!$M$15 &amp; $A5, US_national_yearly!$D:$AM, MATCH(Keys!$C$7, US_national_yearly!$D$1:$AM$1, 0), FALSE), 1)</f>
        <v>1.06785632963405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Substitution!$G$15)/IFERROR(SUMIFS(COBRA_aggregated!$W:$W, COBRA_aggregated!$A:$A, About!$B$1, COBRA_aggregated!$B:$B, Substitution!$G$15), 1)</f>
        <v>8.1885791756636293E-4</v>
      </c>
      <c r="C6" s="12">
        <f>$B6 * IFERROR(VLOOKUP(Substitution!$M$15 &amp; $A6, US_national_yearly!$D:$AM, MATCH(C$1, US_national_yearly!$D$1:$AM$1, 0), FALSE) / VLOOKUP(Substitution!$M$15 &amp; $A6, US_national_yearly!$D:$AM, MATCH(Keys!$C$7, US_national_yearly!$D$1:$AM$1, 0), FALSE), 1)</f>
        <v>8.3006017173193019E-4</v>
      </c>
      <c r="D6" s="12">
        <f>$B6 * IFERROR(VLOOKUP(Substitution!$M$15 &amp; $A6, US_national_yearly!$D:$AM, MATCH(D$1, US_national_yearly!$D$1:$AM$1, 0), FALSE) / VLOOKUP(Substitution!$M$15 &amp; $A6, US_national_yearly!$D:$AM, MATCH(Keys!$C$7, US_national_yearly!$D$1:$AM$1, 0), FALSE), 1)</f>
        <v>8.4126242589749756E-4</v>
      </c>
      <c r="E6" s="12">
        <f>$B6 * IFERROR(VLOOKUP(Substitution!$M$15 &amp; $A6, US_national_yearly!$D:$AM, MATCH(E$1, US_national_yearly!$D$1:$AM$1, 0), FALSE) / VLOOKUP(Substitution!$M$15 &amp; $A6, US_national_yearly!$D:$AM, MATCH(Keys!$C$7, US_national_yearly!$D$1:$AM$1, 0), FALSE), 1)</f>
        <v>8.5246468006306482E-4</v>
      </c>
      <c r="F6" s="12">
        <f>$B6 * IFERROR(VLOOKUP(Substitution!$M$15 &amp; $A6, US_national_yearly!$D:$AM, MATCH(F$1, US_national_yearly!$D$1:$AM$1, 0), FALSE) / VLOOKUP(Substitution!$M$15 &amp; $A6, US_national_yearly!$D:$AM, MATCH(Keys!$C$7, US_national_yearly!$D$1:$AM$1, 0), FALSE), 1)</f>
        <v>8.6366693422863219E-4</v>
      </c>
      <c r="G6" s="12">
        <f>$B6 * IFERROR(VLOOKUP(Substitution!$M$15 &amp; $A6, US_national_yearly!$D:$AM, MATCH(G$1, US_national_yearly!$D$1:$AM$1, 0), FALSE) / VLOOKUP(Substitution!$M$15 &amp; $A6, US_national_yearly!$D:$AM, MATCH(Keys!$C$7, US_national_yearly!$D$1:$AM$1, 0), FALSE), 1)</f>
        <v>8.726494041802873E-4</v>
      </c>
      <c r="H6" s="12">
        <f>$B6 * IFERROR(VLOOKUP(Substitution!$M$15 &amp; $A6, US_national_yearly!$D:$AM, MATCH(H$1, US_national_yearly!$D$1:$AM$1, 0), FALSE) / VLOOKUP(Substitution!$M$15 &amp; $A6, US_national_yearly!$D:$AM, MATCH(Keys!$C$7, US_national_yearly!$D$1:$AM$1, 0), FALSE), 1)</f>
        <v>8.8163187413194252E-4</v>
      </c>
      <c r="I6" s="12">
        <f>$B6 * IFERROR(VLOOKUP(Substitution!$M$15 &amp; $A6, US_national_yearly!$D:$AM, MATCH(I$1, US_national_yearly!$D$1:$AM$1, 0), FALSE) / VLOOKUP(Substitution!$M$15 &amp; $A6, US_national_yearly!$D:$AM, MATCH(Keys!$C$7, US_national_yearly!$D$1:$AM$1, 0), FALSE), 1)</f>
        <v>8.8475785330531542E-4</v>
      </c>
      <c r="J6" s="12">
        <f>$B6 * IFERROR(VLOOKUP(Substitution!$M$15 &amp; $A6, US_national_yearly!$D:$AM, MATCH(J$1, US_national_yearly!$D$1:$AM$1, 0), FALSE) / VLOOKUP(Substitution!$M$15 &amp; $A6, US_national_yearly!$D:$AM, MATCH(Keys!$C$7, US_national_yearly!$D$1:$AM$1, 0), FALSE), 1)</f>
        <v>8.8788383247868853E-4</v>
      </c>
      <c r="K6" s="12">
        <f>$B6 * IFERROR(VLOOKUP(Substitution!$M$15 &amp; $A6, US_national_yearly!$D:$AM, MATCH(K$1, US_national_yearly!$D$1:$AM$1, 0), FALSE) / VLOOKUP(Substitution!$M$15 &amp; $A6, US_national_yearly!$D:$AM, MATCH(Keys!$C$7, US_national_yearly!$D$1:$AM$1, 0), FALSE), 1)</f>
        <v>8.9100981165206143E-4</v>
      </c>
      <c r="L6" s="12">
        <f>$B6 * IFERROR(VLOOKUP(Substitution!$M$15 &amp; $A6, US_national_yearly!$D:$AM, MATCH(L$1, US_national_yearly!$D$1:$AM$1, 0), FALSE) / VLOOKUP(Substitution!$M$15 &amp; $A6, US_national_yearly!$D:$AM, MATCH(Keys!$C$7, US_national_yearly!$D$1:$AM$1, 0), FALSE), 1)</f>
        <v>8.9413579082543455E-4</v>
      </c>
      <c r="M6" s="12">
        <f>$B6 * IFERROR(VLOOKUP(Substitution!$M$15 &amp; $A6, US_national_yearly!$D:$AM, MATCH(M$1, US_national_yearly!$D$1:$AM$1, 0), FALSE) / VLOOKUP(Substitution!$M$15 &amp; $A6, US_national_yearly!$D:$AM, MATCH(Keys!$C$7, US_national_yearly!$D$1:$AM$1, 0), FALSE), 1)</f>
        <v>8.9726176999880766E-4</v>
      </c>
      <c r="N6" s="12">
        <f>$B6 * IFERROR(VLOOKUP(Substitution!$M$15 &amp; $A6, US_national_yearly!$D:$AM, MATCH(N$1, US_national_yearly!$D$1:$AM$1, 0), FALSE) / VLOOKUP(Substitution!$M$15 &amp; $A6, US_national_yearly!$D:$AM, MATCH(Keys!$C$7, US_national_yearly!$D$1:$AM$1, 0), FALSE), 1)</f>
        <v>9.0083016056029556E-4</v>
      </c>
      <c r="O6" s="12">
        <f>$B6 * IFERROR(VLOOKUP(Substitution!$M$15 &amp; $A6, US_national_yearly!$D:$AM, MATCH(O$1, US_national_yearly!$D$1:$AM$1, 0), FALSE) / VLOOKUP(Substitution!$M$15 &amp; $A6, US_national_yearly!$D:$AM, MATCH(Keys!$C$7, US_national_yearly!$D$1:$AM$1, 0), FALSE), 1)</f>
        <v>9.0439855112178335E-4</v>
      </c>
      <c r="P6" s="12">
        <f>$B6 * IFERROR(VLOOKUP(Substitution!$M$15 &amp; $A6, US_national_yearly!$D:$AM, MATCH(P$1, US_national_yearly!$D$1:$AM$1, 0), FALSE) / VLOOKUP(Substitution!$M$15 &amp; $A6, US_national_yearly!$D:$AM, MATCH(Keys!$C$7, US_national_yearly!$D$1:$AM$1, 0), FALSE), 1)</f>
        <v>9.0796694168327136E-4</v>
      </c>
      <c r="Q6" s="12">
        <f>$B6 * IFERROR(VLOOKUP(Substitution!$M$15 &amp; $A6, US_national_yearly!$D:$AM, MATCH(Q$1, US_national_yearly!$D$1:$AM$1, 0), FALSE) / VLOOKUP(Substitution!$M$15 &amp; $A6, US_national_yearly!$D:$AM, MATCH(Keys!$C$7, US_national_yearly!$D$1:$AM$1, 0), FALSE), 1)</f>
        <v>9.1153533224475937E-4</v>
      </c>
      <c r="R6" s="12">
        <f>$B6 * IFERROR(VLOOKUP(Substitution!$M$15 &amp; $A6, US_national_yearly!$D:$AM, MATCH(R$1, US_national_yearly!$D$1:$AM$1, 0), FALSE) / VLOOKUP(Substitution!$M$15 &amp; $A6, US_national_yearly!$D:$AM, MATCH(Keys!$C$7, US_national_yearly!$D$1:$AM$1, 0), FALSE), 1)</f>
        <v>9.1510372280624727E-4</v>
      </c>
      <c r="S6" s="12">
        <f>$B6 * IFERROR(VLOOKUP(Substitution!$M$15 &amp; $A6, US_national_yearly!$D:$AM, MATCH(S$1, US_national_yearly!$D$1:$AM$1, 0), FALSE) / VLOOKUP(Substitution!$M$15 &amp; $A6, US_national_yearly!$D:$AM, MATCH(Keys!$C$7, US_national_yearly!$D$1:$AM$1, 0), FALSE), 1)</f>
        <v>9.1970678874352401E-4</v>
      </c>
      <c r="T6" s="12">
        <f>$B6 * IFERROR(VLOOKUP(Substitution!$M$15 &amp; $A6, US_national_yearly!$D:$AM, MATCH(T$1, US_national_yearly!$D$1:$AM$1, 0), FALSE) / VLOOKUP(Substitution!$M$15 &amp; $A6, US_national_yearly!$D:$AM, MATCH(Keys!$C$7, US_national_yearly!$D$1:$AM$1, 0), FALSE), 1)</f>
        <v>9.2430985468080064E-4</v>
      </c>
      <c r="U6" s="12">
        <f>$B6 * IFERROR(VLOOKUP(Substitution!$M$15 &amp; $A6, US_national_yearly!$D:$AM, MATCH(U$1, US_national_yearly!$D$1:$AM$1, 0), FALSE) / VLOOKUP(Substitution!$M$15 &amp; $A6, US_national_yearly!$D:$AM, MATCH(Keys!$C$7, US_national_yearly!$D$1:$AM$1, 0), FALSE), 1)</f>
        <v>9.2891292061807738E-4</v>
      </c>
      <c r="V6" s="12">
        <f>$B6 * IFERROR(VLOOKUP(Substitution!$M$15 &amp; $A6, US_national_yearly!$D:$AM, MATCH(V$1, US_national_yearly!$D$1:$AM$1, 0), FALSE) / VLOOKUP(Substitution!$M$15 &amp; $A6, US_national_yearly!$D:$AM, MATCH(Keys!$C$7, US_national_yearly!$D$1:$AM$1, 0), FALSE), 1)</f>
        <v>9.335159865553539E-4</v>
      </c>
      <c r="W6" s="12">
        <f>$B6 * IFERROR(VLOOKUP(Substitution!$M$15 &amp; $A6, US_national_yearly!$D:$AM, MATCH(W$1, US_national_yearly!$D$1:$AM$1, 0), FALSE) / VLOOKUP(Substitution!$M$15 &amp; $A6, US_national_yearly!$D:$AM, MATCH(Keys!$C$7, US_national_yearly!$D$1:$AM$1, 0), FALSE), 1)</f>
        <v>9.3811905249263075E-4</v>
      </c>
      <c r="X6" s="12">
        <f>$B6 * IFERROR(VLOOKUP(Substitution!$M$15 &amp; $A6, US_national_yearly!$D:$AM, MATCH(X$1, US_national_yearly!$D$1:$AM$1, 0), FALSE) / VLOOKUP(Substitution!$M$15 &amp; $A6, US_national_yearly!$D:$AM, MATCH(Keys!$C$7, US_national_yearly!$D$1:$AM$1, 0), FALSE), 1)</f>
        <v>9.4238644858589296E-4</v>
      </c>
      <c r="Y6" s="12">
        <f>$B6 * IFERROR(VLOOKUP(Substitution!$M$15 &amp; $A6, US_national_yearly!$D:$AM, MATCH(Y$1, US_national_yearly!$D$1:$AM$1, 0), FALSE) / VLOOKUP(Substitution!$M$15 &amp; $A6, US_national_yearly!$D:$AM, MATCH(Keys!$C$7, US_national_yearly!$D$1:$AM$1, 0), FALSE), 1)</f>
        <v>9.4665384467915506E-4</v>
      </c>
      <c r="Z6" s="12">
        <f>$B6 * IFERROR(VLOOKUP(Substitution!$M$15 &amp; $A6, US_national_yearly!$D:$AM, MATCH(Z$1, US_national_yearly!$D$1:$AM$1, 0), FALSE) / VLOOKUP(Substitution!$M$15 &amp; $A6, US_national_yearly!$D:$AM, MATCH(Keys!$C$7, US_national_yearly!$D$1:$AM$1, 0), FALSE), 1)</f>
        <v>9.5092124077241727E-4</v>
      </c>
      <c r="AA6" s="12">
        <f>$B6 * IFERROR(VLOOKUP(Substitution!$M$15 &amp; $A6, US_national_yearly!$D:$AM, MATCH(AA$1, US_national_yearly!$D$1:$AM$1, 0), FALSE) / VLOOKUP(Substitution!$M$15 &amp; $A6, US_national_yearly!$D:$AM, MATCH(Keys!$C$7, US_national_yearly!$D$1:$AM$1, 0), FALSE), 1)</f>
        <v>9.5518863686567938E-4</v>
      </c>
      <c r="AB6" s="12">
        <f>$B6 * IFERROR(VLOOKUP(Substitution!$M$15 &amp; $A6, US_national_yearly!$D:$AM, MATCH(AB$1, US_national_yearly!$D$1:$AM$1, 0), FALSE) / VLOOKUP(Substitution!$M$15 &amp; $A6, US_national_yearly!$D:$AM, MATCH(Keys!$C$7, US_national_yearly!$D$1:$AM$1, 0), FALSE), 1)</f>
        <v>9.5945603295894159E-4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Substitution!$G$15)/IFERROR(SUMIFS(COBRA_aggregated!$W:$W, COBRA_aggregated!$A:$A, About!$B$1, COBRA_aggregated!$B:$B, Substitution!$G$15), 1)</f>
        <v>1.1027016515630303E-3</v>
      </c>
      <c r="C7" s="12">
        <f>$B7 * IFERROR(VLOOKUP(Substitution!$M$15 &amp; $A7, US_national_yearly!$D:$AM, MATCH(C$1, US_national_yearly!$D$1:$AM$1, 0), FALSE) / VLOOKUP(Substitution!$M$15 &amp; $A7, US_national_yearly!$D:$AM, MATCH(Keys!$C$7, US_national_yearly!$D$1:$AM$1, 0), FALSE), 1)</f>
        <v>1.1177869842909913E-3</v>
      </c>
      <c r="D7" s="12">
        <f>$B7 * IFERROR(VLOOKUP(Substitution!$M$15 &amp; $A7, US_national_yearly!$D:$AM, MATCH(D$1, US_national_yearly!$D$1:$AM$1, 0), FALSE) / VLOOKUP(Substitution!$M$15 &amp; $A7, US_national_yearly!$D:$AM, MATCH(Keys!$C$7, US_national_yearly!$D$1:$AM$1, 0), FALSE), 1)</f>
        <v>1.1328723170189524E-3</v>
      </c>
      <c r="E7" s="12">
        <f>$B7 * IFERROR(VLOOKUP(Substitution!$M$15 &amp; $A7, US_national_yearly!$D:$AM, MATCH(E$1, US_national_yearly!$D$1:$AM$1, 0), FALSE) / VLOOKUP(Substitution!$M$15 &amp; $A7, US_national_yearly!$D:$AM, MATCH(Keys!$C$7, US_national_yearly!$D$1:$AM$1, 0), FALSE), 1)</f>
        <v>1.1479576497469134E-3</v>
      </c>
      <c r="F7" s="12">
        <f>$B7 * IFERROR(VLOOKUP(Substitution!$M$15 &amp; $A7, US_national_yearly!$D:$AM, MATCH(F$1, US_national_yearly!$D$1:$AM$1, 0), FALSE) / VLOOKUP(Substitution!$M$15 &amp; $A7, US_national_yearly!$D:$AM, MATCH(Keys!$C$7, US_national_yearly!$D$1:$AM$1, 0), FALSE), 1)</f>
        <v>1.1630429824748747E-3</v>
      </c>
      <c r="G7" s="12">
        <f>$B7 * IFERROR(VLOOKUP(Substitution!$M$15 &amp; $A7, US_national_yearly!$D:$AM, MATCH(G$1, US_national_yearly!$D$1:$AM$1, 0), FALSE) / VLOOKUP(Substitution!$M$15 &amp; $A7, US_national_yearly!$D:$AM, MATCH(Keys!$C$7, US_national_yearly!$D$1:$AM$1, 0), FALSE), 1)</f>
        <v>1.1751390790035634E-3</v>
      </c>
      <c r="H7" s="12">
        <f>$B7 * IFERROR(VLOOKUP(Substitution!$M$15 &amp; $A7, US_national_yearly!$D:$AM, MATCH(H$1, US_national_yearly!$D$1:$AM$1, 0), FALSE) / VLOOKUP(Substitution!$M$15 &amp; $A7, US_national_yearly!$D:$AM, MATCH(Keys!$C$7, US_national_yearly!$D$1:$AM$1, 0), FALSE), 1)</f>
        <v>1.1872351755322524E-3</v>
      </c>
      <c r="I7" s="12">
        <f>$B7 * IFERROR(VLOOKUP(Substitution!$M$15 &amp; $A7, US_national_yearly!$D:$AM, MATCH(I$1, US_national_yearly!$D$1:$AM$1, 0), FALSE) / VLOOKUP(Substitution!$M$15 &amp; $A7, US_national_yearly!$D:$AM, MATCH(Keys!$C$7, US_national_yearly!$D$1:$AM$1, 0), FALSE), 1)</f>
        <v>1.1914447243170599E-3</v>
      </c>
      <c r="J7" s="12">
        <f>$B7 * IFERROR(VLOOKUP(Substitution!$M$15 &amp; $A7, US_national_yearly!$D:$AM, MATCH(J$1, US_national_yearly!$D$1:$AM$1, 0), FALSE) / VLOOKUP(Substitution!$M$15 &amp; $A7, US_national_yearly!$D:$AM, MATCH(Keys!$C$7, US_national_yearly!$D$1:$AM$1, 0), FALSE), 1)</f>
        <v>1.1956542731018675E-3</v>
      </c>
      <c r="K7" s="12">
        <f>$B7 * IFERROR(VLOOKUP(Substitution!$M$15 &amp; $A7, US_national_yearly!$D:$AM, MATCH(K$1, US_national_yearly!$D$1:$AM$1, 0), FALSE) / VLOOKUP(Substitution!$M$15 &amp; $A7, US_national_yearly!$D:$AM, MATCH(Keys!$C$7, US_national_yearly!$D$1:$AM$1, 0), FALSE), 1)</f>
        <v>1.1998638218866751E-3</v>
      </c>
      <c r="L7" s="12">
        <f>$B7 * IFERROR(VLOOKUP(Substitution!$M$15 &amp; $A7, US_national_yearly!$D:$AM, MATCH(L$1, US_national_yearly!$D$1:$AM$1, 0), FALSE) / VLOOKUP(Substitution!$M$15 &amp; $A7, US_national_yearly!$D:$AM, MATCH(Keys!$C$7, US_national_yearly!$D$1:$AM$1, 0), FALSE), 1)</f>
        <v>1.204073370671483E-3</v>
      </c>
      <c r="M7" s="12">
        <f>$B7 * IFERROR(VLOOKUP(Substitution!$M$15 &amp; $A7, US_national_yearly!$D:$AM, MATCH(M$1, US_national_yearly!$D$1:$AM$1, 0), FALSE) / VLOOKUP(Substitution!$M$15 &amp; $A7, US_national_yearly!$D:$AM, MATCH(Keys!$C$7, US_national_yearly!$D$1:$AM$1, 0), FALSE), 1)</f>
        <v>1.2082829194562906E-3</v>
      </c>
      <c r="N7" s="12">
        <f>$B7 * IFERROR(VLOOKUP(Substitution!$M$15 &amp; $A7, US_national_yearly!$D:$AM, MATCH(N$1, US_national_yearly!$D$1:$AM$1, 0), FALSE) / VLOOKUP(Substitution!$M$15 &amp; $A7, US_national_yearly!$D:$AM, MATCH(Keys!$C$7, US_national_yearly!$D$1:$AM$1, 0), FALSE), 1)</f>
        <v>1.2130882343225884E-3</v>
      </c>
      <c r="O7" s="12">
        <f>$B7 * IFERROR(VLOOKUP(Substitution!$M$15 &amp; $A7, US_national_yearly!$D:$AM, MATCH(O$1, US_national_yearly!$D$1:$AM$1, 0), FALSE) / VLOOKUP(Substitution!$M$15 &amp; $A7, US_national_yearly!$D:$AM, MATCH(Keys!$C$7, US_national_yearly!$D$1:$AM$1, 0), FALSE), 1)</f>
        <v>1.2178935491888865E-3</v>
      </c>
      <c r="P7" s="12">
        <f>$B7 * IFERROR(VLOOKUP(Substitution!$M$15 &amp; $A7, US_national_yearly!$D:$AM, MATCH(P$1, US_national_yearly!$D$1:$AM$1, 0), FALSE) / VLOOKUP(Substitution!$M$15 &amp; $A7, US_national_yearly!$D:$AM, MATCH(Keys!$C$7, US_national_yearly!$D$1:$AM$1, 0), FALSE), 1)</f>
        <v>1.2226988640551845E-3</v>
      </c>
      <c r="Q7" s="12">
        <f>$B7 * IFERROR(VLOOKUP(Substitution!$M$15 &amp; $A7, US_national_yearly!$D:$AM, MATCH(Q$1, US_national_yearly!$D$1:$AM$1, 0), FALSE) / VLOOKUP(Substitution!$M$15 &amp; $A7, US_national_yearly!$D:$AM, MATCH(Keys!$C$7, US_national_yearly!$D$1:$AM$1, 0), FALSE), 1)</f>
        <v>1.2275041789214828E-3</v>
      </c>
      <c r="R7" s="12">
        <f>$B7 * IFERROR(VLOOKUP(Substitution!$M$15 &amp; $A7, US_national_yearly!$D:$AM, MATCH(R$1, US_national_yearly!$D$1:$AM$1, 0), FALSE) / VLOOKUP(Substitution!$M$15 &amp; $A7, US_national_yearly!$D:$AM, MATCH(Keys!$C$7, US_national_yearly!$D$1:$AM$1, 0), FALSE), 1)</f>
        <v>1.2323094937877806E-3</v>
      </c>
      <c r="S7" s="12">
        <f>$B7 * IFERROR(VLOOKUP(Substitution!$M$15 &amp; $A7, US_national_yearly!$D:$AM, MATCH(S$1, US_national_yearly!$D$1:$AM$1, 0), FALSE) / VLOOKUP(Substitution!$M$15 &amp; $A7, US_national_yearly!$D:$AM, MATCH(Keys!$C$7, US_national_yearly!$D$1:$AM$1, 0), FALSE), 1)</f>
        <v>1.2385081373748903E-3</v>
      </c>
      <c r="T7" s="12">
        <f>$B7 * IFERROR(VLOOKUP(Substitution!$M$15 &amp; $A7, US_national_yearly!$D:$AM, MATCH(T$1, US_national_yearly!$D$1:$AM$1, 0), FALSE) / VLOOKUP(Substitution!$M$15 &amp; $A7, US_national_yearly!$D:$AM, MATCH(Keys!$C$7, US_national_yearly!$D$1:$AM$1, 0), FALSE), 1)</f>
        <v>1.2447067809619999E-3</v>
      </c>
      <c r="U7" s="12">
        <f>$B7 * IFERROR(VLOOKUP(Substitution!$M$15 &amp; $A7, US_national_yearly!$D:$AM, MATCH(U$1, US_national_yearly!$D$1:$AM$1, 0), FALSE) / VLOOKUP(Substitution!$M$15 &amp; $A7, US_national_yearly!$D:$AM, MATCH(Keys!$C$7, US_national_yearly!$D$1:$AM$1, 0), FALSE), 1)</f>
        <v>1.2509054245491093E-3</v>
      </c>
      <c r="V7" s="12">
        <f>$B7 * IFERROR(VLOOKUP(Substitution!$M$15 &amp; $A7, US_national_yearly!$D:$AM, MATCH(V$1, US_national_yearly!$D$1:$AM$1, 0), FALSE) / VLOOKUP(Substitution!$M$15 &amp; $A7, US_national_yearly!$D:$AM, MATCH(Keys!$C$7, US_national_yearly!$D$1:$AM$1, 0), FALSE), 1)</f>
        <v>1.2571040681362191E-3</v>
      </c>
      <c r="W7" s="12">
        <f>$B7 * IFERROR(VLOOKUP(Substitution!$M$15 &amp; $A7, US_national_yearly!$D:$AM, MATCH(W$1, US_national_yearly!$D$1:$AM$1, 0), FALSE) / VLOOKUP(Substitution!$M$15 &amp; $A7, US_national_yearly!$D:$AM, MATCH(Keys!$C$7, US_national_yearly!$D$1:$AM$1, 0), FALSE), 1)</f>
        <v>1.2633027117233283E-3</v>
      </c>
      <c r="X7" s="12">
        <f>$B7 * IFERROR(VLOOKUP(Substitution!$M$15 &amp; $A7, US_national_yearly!$D:$AM, MATCH(X$1, US_national_yearly!$D$1:$AM$1, 0), FALSE) / VLOOKUP(Substitution!$M$15 &amp; $A7, US_national_yearly!$D:$AM, MATCH(Keys!$C$7, US_national_yearly!$D$1:$AM$1, 0), FALSE), 1)</f>
        <v>1.2690493309888275E-3</v>
      </c>
      <c r="Y7" s="12">
        <f>$B7 * IFERROR(VLOOKUP(Substitution!$M$15 &amp; $A7, US_national_yearly!$D:$AM, MATCH(Y$1, US_national_yearly!$D$1:$AM$1, 0), FALSE) / VLOOKUP(Substitution!$M$15 &amp; $A7, US_national_yearly!$D:$AM, MATCH(Keys!$C$7, US_national_yearly!$D$1:$AM$1, 0), FALSE), 1)</f>
        <v>1.2747959502543262E-3</v>
      </c>
      <c r="Z7" s="12">
        <f>$B7 * IFERROR(VLOOKUP(Substitution!$M$15 &amp; $A7, US_national_yearly!$D:$AM, MATCH(Z$1, US_national_yearly!$D$1:$AM$1, 0), FALSE) / VLOOKUP(Substitution!$M$15 &amp; $A7, US_national_yearly!$D:$AM, MATCH(Keys!$C$7, US_national_yearly!$D$1:$AM$1, 0), FALSE), 1)</f>
        <v>1.2805425695198251E-3</v>
      </c>
      <c r="AA7" s="12">
        <f>$B7 * IFERROR(VLOOKUP(Substitution!$M$15 &amp; $A7, US_national_yearly!$D:$AM, MATCH(AA$1, US_national_yearly!$D$1:$AM$1, 0), FALSE) / VLOOKUP(Substitution!$M$15 &amp; $A7, US_national_yearly!$D:$AM, MATCH(Keys!$C$7, US_national_yearly!$D$1:$AM$1, 0), FALSE), 1)</f>
        <v>1.2862891887853239E-3</v>
      </c>
      <c r="AB7" s="12">
        <f>$B7 * IFERROR(VLOOKUP(Substitution!$M$15 &amp; $A7, US_national_yearly!$D:$AM, MATCH(AB$1, US_national_yearly!$D$1:$AM$1, 0), FALSE) / VLOOKUP(Substitution!$M$15 &amp; $A7, US_national_yearly!$D:$AM, MATCH(Keys!$C$7, US_national_yearly!$D$1:$AM$1, 0), FALSE), 1)</f>
        <v>1.2920358080508228E-3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Substitution!$G$15)/IFERROR(SUMIFS(COBRA_aggregated!$W:$W, COBRA_aggregated!$A:$A, About!$B$1, COBRA_aggregated!$B:$B, Substitution!$G$15), 1)</f>
        <v>1.6847746043236005E-3</v>
      </c>
      <c r="C8" s="12">
        <f>$B8 * IFERROR(VLOOKUP(Substitution!$M$15 &amp; $A8, US_national_yearly!$D:$AM, MATCH(C$1, US_national_yearly!$D$1:$AM$1, 0), FALSE) / VLOOKUP(Substitution!$M$15 &amp; $A8, US_national_yearly!$D:$AM, MATCH(Keys!$C$7, US_national_yearly!$D$1:$AM$1, 0), FALSE), 1)</f>
        <v>1.7078228926007087E-3</v>
      </c>
      <c r="D8" s="12">
        <f>$B8 * IFERROR(VLOOKUP(Substitution!$M$15 &amp; $A8, US_national_yearly!$D:$AM, MATCH(D$1, US_national_yearly!$D$1:$AM$1, 0), FALSE) / VLOOKUP(Substitution!$M$15 &amp; $A8, US_national_yearly!$D:$AM, MATCH(Keys!$C$7, US_national_yearly!$D$1:$AM$1, 0), FALSE), 1)</f>
        <v>1.730871180877817E-3</v>
      </c>
      <c r="E8" s="12">
        <f>$B8 * IFERROR(VLOOKUP(Substitution!$M$15 &amp; $A8, US_national_yearly!$D:$AM, MATCH(E$1, US_national_yearly!$D$1:$AM$1, 0), FALSE) / VLOOKUP(Substitution!$M$15 &amp; $A8, US_national_yearly!$D:$AM, MATCH(Keys!$C$7, US_national_yearly!$D$1:$AM$1, 0), FALSE), 1)</f>
        <v>1.7539194691549252E-3</v>
      </c>
      <c r="F8" s="12">
        <f>$B8 * IFERROR(VLOOKUP(Substitution!$M$15 &amp; $A8, US_national_yearly!$D:$AM, MATCH(F$1, US_national_yearly!$D$1:$AM$1, 0), FALSE) / VLOOKUP(Substitution!$M$15 &amp; $A8, US_national_yearly!$D:$AM, MATCH(Keys!$C$7, US_national_yearly!$D$1:$AM$1, 0), FALSE), 1)</f>
        <v>1.7769677574320331E-3</v>
      </c>
      <c r="G8" s="12">
        <f>$B8 * IFERROR(VLOOKUP(Substitution!$M$15 &amp; $A8, US_national_yearly!$D:$AM, MATCH(G$1, US_national_yearly!$D$1:$AM$1, 0), FALSE) / VLOOKUP(Substitution!$M$15 &amp; $A8, US_national_yearly!$D:$AM, MATCH(Keys!$C$7, US_national_yearly!$D$1:$AM$1, 0), FALSE), 1)</f>
        <v>1.7954489089823159E-3</v>
      </c>
      <c r="H8" s="12">
        <f>$B8 * IFERROR(VLOOKUP(Substitution!$M$15 &amp; $A8, US_national_yearly!$D:$AM, MATCH(H$1, US_national_yearly!$D$1:$AM$1, 0), FALSE) / VLOOKUP(Substitution!$M$15 &amp; $A8, US_national_yearly!$D:$AM, MATCH(Keys!$C$7, US_national_yearly!$D$1:$AM$1, 0), FALSE), 1)</f>
        <v>1.8139300605325981E-3</v>
      </c>
      <c r="I8" s="12">
        <f>$B8 * IFERROR(VLOOKUP(Substitution!$M$15 &amp; $A8, US_national_yearly!$D:$AM, MATCH(I$1, US_national_yearly!$D$1:$AM$1, 0), FALSE) / VLOOKUP(Substitution!$M$15 &amp; $A8, US_national_yearly!$D:$AM, MATCH(Keys!$C$7, US_national_yearly!$D$1:$AM$1, 0), FALSE), 1)</f>
        <v>1.8203616651141486E-3</v>
      </c>
      <c r="J8" s="12">
        <f>$B8 * IFERROR(VLOOKUP(Substitution!$M$15 &amp; $A8, US_national_yearly!$D:$AM, MATCH(J$1, US_national_yearly!$D$1:$AM$1, 0), FALSE) / VLOOKUP(Substitution!$M$15 &amp; $A8, US_national_yearly!$D:$AM, MATCH(Keys!$C$7, US_national_yearly!$D$1:$AM$1, 0), FALSE), 1)</f>
        <v>1.8267932696956987E-3</v>
      </c>
      <c r="K8" s="12">
        <f>$B8 * IFERROR(VLOOKUP(Substitution!$M$15 &amp; $A8, US_national_yearly!$D:$AM, MATCH(K$1, US_national_yearly!$D$1:$AM$1, 0), FALSE) / VLOOKUP(Substitution!$M$15 &amp; $A8, US_national_yearly!$D:$AM, MATCH(Keys!$C$7, US_national_yearly!$D$1:$AM$1, 0), FALSE), 1)</f>
        <v>1.833224874277249E-3</v>
      </c>
      <c r="L8" s="12">
        <f>$B8 * IFERROR(VLOOKUP(Substitution!$M$15 &amp; $A8, US_national_yearly!$D:$AM, MATCH(L$1, US_national_yearly!$D$1:$AM$1, 0), FALSE) / VLOOKUP(Substitution!$M$15 &amp; $A8, US_national_yearly!$D:$AM, MATCH(Keys!$C$7, US_national_yearly!$D$1:$AM$1, 0), FALSE), 1)</f>
        <v>1.8396564788587988E-3</v>
      </c>
      <c r="M8" s="12">
        <f>$B8 * IFERROR(VLOOKUP(Substitution!$M$15 &amp; $A8, US_national_yearly!$D:$AM, MATCH(M$1, US_national_yearly!$D$1:$AM$1, 0), FALSE) / VLOOKUP(Substitution!$M$15 &amp; $A8, US_national_yearly!$D:$AM, MATCH(Keys!$C$7, US_national_yearly!$D$1:$AM$1, 0), FALSE), 1)</f>
        <v>1.8460880834403491E-3</v>
      </c>
      <c r="N8" s="12">
        <f>$B8 * IFERROR(VLOOKUP(Substitution!$M$15 &amp; $A8, US_national_yearly!$D:$AM, MATCH(N$1, US_national_yearly!$D$1:$AM$1, 0), FALSE) / VLOOKUP(Substitution!$M$15 &amp; $A8, US_national_yearly!$D:$AM, MATCH(Keys!$C$7, US_national_yearly!$D$1:$AM$1, 0), FALSE), 1)</f>
        <v>1.8534299356429251E-3</v>
      </c>
      <c r="O8" s="12">
        <f>$B8 * IFERROR(VLOOKUP(Substitution!$M$15 &amp; $A8, US_national_yearly!$D:$AM, MATCH(O$1, US_national_yearly!$D$1:$AM$1, 0), FALSE) / VLOOKUP(Substitution!$M$15 &amp; $A8, US_national_yearly!$D:$AM, MATCH(Keys!$C$7, US_national_yearly!$D$1:$AM$1, 0), FALSE), 1)</f>
        <v>1.8607717878455009E-3</v>
      </c>
      <c r="P8" s="12">
        <f>$B8 * IFERROR(VLOOKUP(Substitution!$M$15 &amp; $A8, US_national_yearly!$D:$AM, MATCH(P$1, US_national_yearly!$D$1:$AM$1, 0), FALSE) / VLOOKUP(Substitution!$M$15 &amp; $A8, US_national_yearly!$D:$AM, MATCH(Keys!$C$7, US_national_yearly!$D$1:$AM$1, 0), FALSE), 1)</f>
        <v>1.8681136400480764E-3</v>
      </c>
      <c r="Q8" s="12">
        <f>$B8 * IFERROR(VLOOKUP(Substitution!$M$15 &amp; $A8, US_national_yearly!$D:$AM, MATCH(Q$1, US_national_yearly!$D$1:$AM$1, 0), FALSE) / VLOOKUP(Substitution!$M$15 &amp; $A8, US_national_yearly!$D:$AM, MATCH(Keys!$C$7, US_national_yearly!$D$1:$AM$1, 0), FALSE), 1)</f>
        <v>1.8754554922506522E-3</v>
      </c>
      <c r="R8" s="12">
        <f>$B8 * IFERROR(VLOOKUP(Substitution!$M$15 &amp; $A8, US_national_yearly!$D:$AM, MATCH(R$1, US_national_yearly!$D$1:$AM$1, 0), FALSE) / VLOOKUP(Substitution!$M$15 &amp; $A8, US_national_yearly!$D:$AM, MATCH(Keys!$C$7, US_national_yearly!$D$1:$AM$1, 0), FALSE), 1)</f>
        <v>1.8827973444532282E-3</v>
      </c>
      <c r="S8" s="12">
        <f>$B8 * IFERROR(VLOOKUP(Substitution!$M$15 &amp; $A8, US_national_yearly!$D:$AM, MATCH(S$1, US_national_yearly!$D$1:$AM$1, 0), FALSE) / VLOOKUP(Substitution!$M$15 &amp; $A8, US_national_yearly!$D:$AM, MATCH(Keys!$C$7, US_national_yearly!$D$1:$AM$1, 0), FALSE), 1)</f>
        <v>1.8922680089437259E-3</v>
      </c>
      <c r="T8" s="12">
        <f>$B8 * IFERROR(VLOOKUP(Substitution!$M$15 &amp; $A8, US_national_yearly!$D:$AM, MATCH(T$1, US_national_yearly!$D$1:$AM$1, 0), FALSE) / VLOOKUP(Substitution!$M$15 &amp; $A8, US_national_yearly!$D:$AM, MATCH(Keys!$C$7, US_national_yearly!$D$1:$AM$1, 0), FALSE), 1)</f>
        <v>1.9017386734342231E-3</v>
      </c>
      <c r="U8" s="12">
        <f>$B8 * IFERROR(VLOOKUP(Substitution!$M$15 &amp; $A8, US_national_yearly!$D:$AM, MATCH(U$1, US_national_yearly!$D$1:$AM$1, 0), FALSE) / VLOOKUP(Substitution!$M$15 &amp; $A8, US_national_yearly!$D:$AM, MATCH(Keys!$C$7, US_national_yearly!$D$1:$AM$1, 0), FALSE), 1)</f>
        <v>1.9112093379247206E-3</v>
      </c>
      <c r="V8" s="12">
        <f>$B8 * IFERROR(VLOOKUP(Substitution!$M$15 &amp; $A8, US_national_yearly!$D:$AM, MATCH(V$1, US_national_yearly!$D$1:$AM$1, 0), FALSE) / VLOOKUP(Substitution!$M$15 &amp; $A8, US_national_yearly!$D:$AM, MATCH(Keys!$C$7, US_national_yearly!$D$1:$AM$1, 0), FALSE), 1)</f>
        <v>1.9206800024152179E-3</v>
      </c>
      <c r="W8" s="12">
        <f>$B8 * IFERROR(VLOOKUP(Substitution!$M$15 &amp; $A8, US_national_yearly!$D:$AM, MATCH(W$1, US_national_yearly!$D$1:$AM$1, 0), FALSE) / VLOOKUP(Substitution!$M$15 &amp; $A8, US_national_yearly!$D:$AM, MATCH(Keys!$C$7, US_national_yearly!$D$1:$AM$1, 0), FALSE), 1)</f>
        <v>1.9301506669057152E-3</v>
      </c>
      <c r="X8" s="12">
        <f>$B8 * IFERROR(VLOOKUP(Substitution!$M$15 &amp; $A8, US_national_yearly!$D:$AM, MATCH(X$1, US_national_yearly!$D$1:$AM$1, 0), FALSE) / VLOOKUP(Substitution!$M$15 &amp; $A8, US_national_yearly!$D:$AM, MATCH(Keys!$C$7, US_national_yearly!$D$1:$AM$1, 0), FALSE), 1)</f>
        <v>1.9389307011692773E-3</v>
      </c>
      <c r="Y8" s="12">
        <f>$B8 * IFERROR(VLOOKUP(Substitution!$M$15 &amp; $A8, US_national_yearly!$D:$AM, MATCH(Y$1, US_national_yearly!$D$1:$AM$1, 0), FALSE) / VLOOKUP(Substitution!$M$15 &amp; $A8, US_national_yearly!$D:$AM, MATCH(Keys!$C$7, US_national_yearly!$D$1:$AM$1, 0), FALSE), 1)</f>
        <v>1.947710735432839E-3</v>
      </c>
      <c r="Z8" s="12">
        <f>$B8 * IFERROR(VLOOKUP(Substitution!$M$15 &amp; $A8, US_national_yearly!$D:$AM, MATCH(Z$1, US_national_yearly!$D$1:$AM$1, 0), FALSE) / VLOOKUP(Substitution!$M$15 &amp; $A8, US_national_yearly!$D:$AM, MATCH(Keys!$C$7, US_national_yearly!$D$1:$AM$1, 0), FALSE), 1)</f>
        <v>1.9564907696964008E-3</v>
      </c>
      <c r="AA8" s="12">
        <f>$B8 * IFERROR(VLOOKUP(Substitution!$M$15 &amp; $A8, US_national_yearly!$D:$AM, MATCH(AA$1, US_national_yearly!$D$1:$AM$1, 0), FALSE) / VLOOKUP(Substitution!$M$15 &amp; $A8, US_national_yearly!$D:$AM, MATCH(Keys!$C$7, US_national_yearly!$D$1:$AM$1, 0), FALSE), 1)</f>
        <v>1.9652708039599618E-3</v>
      </c>
      <c r="AB8" s="12">
        <f>$B8 * IFERROR(VLOOKUP(Substitution!$M$15 &amp; $A8, US_national_yearly!$D:$AM, MATCH(AB$1, US_national_yearly!$D$1:$AM$1, 0), FALSE) / VLOOKUP(Substitution!$M$15 &amp; $A8, US_national_yearly!$D:$AM, MATCH(Keys!$C$7, US_national_yearly!$D$1:$AM$1, 0), FALSE), 1)</f>
        <v>1.9740508382235251E-3</v>
      </c>
    </row>
    <row r="9" spans="1:28" x14ac:dyDescent="0.25">
      <c r="A9" s="4" t="s">
        <v>305</v>
      </c>
      <c r="B9" s="12">
        <f>IFERROR(VLOOKUP(Substitution!$M$15 &amp; $A9, US_national_yearly!$D:$AM, MATCH(Keys!$C$7, US_national_yearly!$D$1:$AM$1, 0), FALSE), 0)</f>
        <v>2.455793120694864E-2</v>
      </c>
      <c r="C9" s="12">
        <f>$B9 * IFERROR(VLOOKUP(Substitution!$M$15 &amp; $A9, US_national_yearly!$D:$AM, MATCH(C$1, US_national_yearly!$D$1:$AM$1, 0), FALSE) / VLOOKUP(Substitution!$M$15 &amp; $A9, US_national_yearly!$D:$AM, MATCH(Keys!$C$7, US_national_yearly!$D$1:$AM$1, 0), FALSE), 1)</f>
        <v>2.4713207408185878E-2</v>
      </c>
      <c r="D9" s="12">
        <f>$B9 * IFERROR(VLOOKUP(Substitution!$M$15 &amp; $A9, US_national_yearly!$D:$AM, MATCH(D$1, US_national_yearly!$D$1:$AM$1, 0), FALSE) / VLOOKUP(Substitution!$M$15 &amp; $A9, US_national_yearly!$D:$AM, MATCH(Keys!$C$7, US_national_yearly!$D$1:$AM$1, 0), FALSE), 1)</f>
        <v>2.486848360942312E-2</v>
      </c>
      <c r="E9" s="12">
        <f>$B9 * IFERROR(VLOOKUP(Substitution!$M$15 &amp; $A9, US_national_yearly!$D:$AM, MATCH(E$1, US_national_yearly!$D$1:$AM$1, 0), FALSE) / VLOOKUP(Substitution!$M$15 &amp; $A9, US_national_yearly!$D:$AM, MATCH(Keys!$C$7, US_national_yearly!$D$1:$AM$1, 0), FALSE), 1)</f>
        <v>2.5023759810660358E-2</v>
      </c>
      <c r="F9" s="12">
        <f>$B9 * IFERROR(VLOOKUP(Substitution!$M$15 &amp; $A9, US_national_yearly!$D:$AM, MATCH(F$1, US_national_yearly!$D$1:$AM$1, 0), FALSE) / VLOOKUP(Substitution!$M$15 &amp; $A9, US_national_yearly!$D:$AM, MATCH(Keys!$C$7, US_national_yearly!$D$1:$AM$1, 0), FALSE), 1)</f>
        <v>2.5179036011897596E-2</v>
      </c>
      <c r="G9" s="12">
        <f>$B9 * IFERROR(VLOOKUP(Substitution!$M$15 &amp; $A9, US_national_yearly!$D:$AM, MATCH(G$1, US_national_yearly!$D$1:$AM$1, 0), FALSE) / VLOOKUP(Substitution!$M$15 &amp; $A9, US_national_yearly!$D:$AM, MATCH(Keys!$C$7, US_national_yearly!$D$1:$AM$1, 0), FALSE), 1)</f>
        <v>2.5332133436655E-2</v>
      </c>
      <c r="H9" s="12">
        <f>$B9 * IFERROR(VLOOKUP(Substitution!$M$15 &amp; $A9, US_national_yearly!$D:$AM, MATCH(H$1, US_national_yearly!$D$1:$AM$1, 0), FALSE) / VLOOKUP(Substitution!$M$15 &amp; $A9, US_national_yearly!$D:$AM, MATCH(Keys!$C$7, US_national_yearly!$D$1:$AM$1, 0), FALSE), 1)</f>
        <v>2.5485230861412401E-2</v>
      </c>
      <c r="I9" s="12">
        <f>$B9 * IFERROR(VLOOKUP(Substitution!$M$15 &amp; $A9, US_national_yearly!$D:$AM, MATCH(I$1, US_national_yearly!$D$1:$AM$1, 0), FALSE) / VLOOKUP(Substitution!$M$15 &amp; $A9, US_national_yearly!$D:$AM, MATCH(Keys!$C$7, US_national_yearly!$D$1:$AM$1, 0), FALSE), 1)</f>
        <v>2.562168751501916E-2</v>
      </c>
      <c r="J9" s="12">
        <f>$B9 * IFERROR(VLOOKUP(Substitution!$M$15 &amp; $A9, US_national_yearly!$D:$AM, MATCH(J$1, US_national_yearly!$D$1:$AM$1, 0), FALSE) / VLOOKUP(Substitution!$M$15 &amp; $A9, US_national_yearly!$D:$AM, MATCH(Keys!$C$7, US_national_yearly!$D$1:$AM$1, 0), FALSE), 1)</f>
        <v>2.5758144168625922E-2</v>
      </c>
      <c r="K9" s="12">
        <f>$B9 * IFERROR(VLOOKUP(Substitution!$M$15 &amp; $A9, US_national_yearly!$D:$AM, MATCH(K$1, US_national_yearly!$D$1:$AM$1, 0), FALSE) / VLOOKUP(Substitution!$M$15 &amp; $A9, US_national_yearly!$D:$AM, MATCH(Keys!$C$7, US_national_yearly!$D$1:$AM$1, 0), FALSE), 1)</f>
        <v>2.5894600822232682E-2</v>
      </c>
      <c r="L9" s="12">
        <f>$B9 * IFERROR(VLOOKUP(Substitution!$M$15 &amp; $A9, US_national_yearly!$D:$AM, MATCH(L$1, US_national_yearly!$D$1:$AM$1, 0), FALSE) / VLOOKUP(Substitution!$M$15 &amp; $A9, US_national_yearly!$D:$AM, MATCH(Keys!$C$7, US_national_yearly!$D$1:$AM$1, 0), FALSE), 1)</f>
        <v>2.6031057475839441E-2</v>
      </c>
      <c r="M9" s="12">
        <f>$B9 * IFERROR(VLOOKUP(Substitution!$M$15 &amp; $A9, US_national_yearly!$D:$AM, MATCH(M$1, US_national_yearly!$D$1:$AM$1, 0), FALSE) / VLOOKUP(Substitution!$M$15 &amp; $A9, US_national_yearly!$D:$AM, MATCH(Keys!$C$7, US_national_yearly!$D$1:$AM$1, 0), FALSE), 1)</f>
        <v>2.61675141294462E-2</v>
      </c>
      <c r="N9" s="12">
        <f>$B9 * IFERROR(VLOOKUP(Substitution!$M$15 &amp; $A9, US_national_yearly!$D:$AM, MATCH(N$1, US_national_yearly!$D$1:$AM$1, 0), FALSE) / VLOOKUP(Substitution!$M$15 &amp; $A9, US_national_yearly!$D:$AM, MATCH(Keys!$C$7, US_national_yearly!$D$1:$AM$1, 0), FALSE), 1)</f>
        <v>2.6290421478289638E-2</v>
      </c>
      <c r="O9" s="12">
        <f>$B9 * IFERROR(VLOOKUP(Substitution!$M$15 &amp; $A9, US_national_yearly!$D:$AM, MATCH(O$1, US_national_yearly!$D$1:$AM$1, 0), FALSE) / VLOOKUP(Substitution!$M$15 &amp; $A9, US_national_yearly!$D:$AM, MATCH(Keys!$C$7, US_national_yearly!$D$1:$AM$1, 0), FALSE), 1)</f>
        <v>2.6413328827133077E-2</v>
      </c>
      <c r="P9" s="12">
        <f>$B9 * IFERROR(VLOOKUP(Substitution!$M$15 &amp; $A9, US_national_yearly!$D:$AM, MATCH(P$1, US_national_yearly!$D$1:$AM$1, 0), FALSE) / VLOOKUP(Substitution!$M$15 &amp; $A9, US_national_yearly!$D:$AM, MATCH(Keys!$C$7, US_national_yearly!$D$1:$AM$1, 0), FALSE), 1)</f>
        <v>2.6536236175976519E-2</v>
      </c>
      <c r="Q9" s="12">
        <f>$B9 * IFERROR(VLOOKUP(Substitution!$M$15 &amp; $A9, US_national_yearly!$D:$AM, MATCH(Q$1, US_national_yearly!$D$1:$AM$1, 0), FALSE) / VLOOKUP(Substitution!$M$15 &amp; $A9, US_national_yearly!$D:$AM, MATCH(Keys!$C$7, US_national_yearly!$D$1:$AM$1, 0), FALSE), 1)</f>
        <v>2.6659143524819962E-2</v>
      </c>
      <c r="R9" s="12">
        <f>$B9 * IFERROR(VLOOKUP(Substitution!$M$15 &amp; $A9, US_national_yearly!$D:$AM, MATCH(R$1, US_national_yearly!$D$1:$AM$1, 0), FALSE) / VLOOKUP(Substitution!$M$15 &amp; $A9, US_national_yearly!$D:$AM, MATCH(Keys!$C$7, US_national_yearly!$D$1:$AM$1, 0), FALSE), 1)</f>
        <v>2.67820508736634E-2</v>
      </c>
      <c r="S9" s="12">
        <f>$B9 * IFERROR(VLOOKUP(Substitution!$M$15 &amp; $A9, US_national_yearly!$D:$AM, MATCH(S$1, US_national_yearly!$D$1:$AM$1, 0), FALSE) / VLOOKUP(Substitution!$M$15 &amp; $A9, US_national_yearly!$D:$AM, MATCH(Keys!$C$7, US_national_yearly!$D$1:$AM$1, 0), FALSE), 1)</f>
        <v>2.6895183090140239E-2</v>
      </c>
      <c r="T9" s="12">
        <f>$B9 * IFERROR(VLOOKUP(Substitution!$M$15 &amp; $A9, US_national_yearly!$D:$AM, MATCH(T$1, US_national_yearly!$D$1:$AM$1, 0), FALSE) / VLOOKUP(Substitution!$M$15 &amp; $A9, US_national_yearly!$D:$AM, MATCH(Keys!$C$7, US_national_yearly!$D$1:$AM$1, 0), FALSE), 1)</f>
        <v>2.7008315306617077E-2</v>
      </c>
      <c r="U9" s="12">
        <f>$B9 * IFERROR(VLOOKUP(Substitution!$M$15 &amp; $A9, US_national_yearly!$D:$AM, MATCH(U$1, US_national_yearly!$D$1:$AM$1, 0), FALSE) / VLOOKUP(Substitution!$M$15 &amp; $A9, US_national_yearly!$D:$AM, MATCH(Keys!$C$7, US_national_yearly!$D$1:$AM$1, 0), FALSE), 1)</f>
        <v>2.7121447523093919E-2</v>
      </c>
      <c r="V9" s="12">
        <f>$B9 * IFERROR(VLOOKUP(Substitution!$M$15 &amp; $A9, US_national_yearly!$D:$AM, MATCH(V$1, US_national_yearly!$D$1:$AM$1, 0), FALSE) / VLOOKUP(Substitution!$M$15 &amp; $A9, US_national_yearly!$D:$AM, MATCH(Keys!$C$7, US_national_yearly!$D$1:$AM$1, 0), FALSE), 1)</f>
        <v>2.7234579739570761E-2</v>
      </c>
      <c r="W9" s="12">
        <f>$B9 * IFERROR(VLOOKUP(Substitution!$M$15 &amp; $A9, US_national_yearly!$D:$AM, MATCH(W$1, US_national_yearly!$D$1:$AM$1, 0), FALSE) / VLOOKUP(Substitution!$M$15 &amp; $A9, US_national_yearly!$D:$AM, MATCH(Keys!$C$7, US_national_yearly!$D$1:$AM$1, 0), FALSE), 1)</f>
        <v>2.7347711956047602E-2</v>
      </c>
      <c r="X9" s="12">
        <f>$B9 * IFERROR(VLOOKUP(Substitution!$M$15 &amp; $A9, US_national_yearly!$D:$AM, MATCH(X$1, US_national_yearly!$D$1:$AM$1, 0), FALSE) / VLOOKUP(Substitution!$M$15 &amp; $A9, US_national_yearly!$D:$AM, MATCH(Keys!$C$7, US_national_yearly!$D$1:$AM$1, 0), FALSE), 1)</f>
        <v>2.7451773067097299E-2</v>
      </c>
      <c r="Y9" s="12">
        <f>$B9 * IFERROR(VLOOKUP(Substitution!$M$15 &amp; $A9, US_national_yearly!$D:$AM, MATCH(Y$1, US_national_yearly!$D$1:$AM$1, 0), FALSE) / VLOOKUP(Substitution!$M$15 &amp; $A9, US_national_yearly!$D:$AM, MATCH(Keys!$C$7, US_national_yearly!$D$1:$AM$1, 0), FALSE), 1)</f>
        <v>2.7555834178146998E-2</v>
      </c>
      <c r="Z9" s="12">
        <f>$B9 * IFERROR(VLOOKUP(Substitution!$M$15 &amp; $A9, US_national_yearly!$D:$AM, MATCH(Z$1, US_national_yearly!$D$1:$AM$1, 0), FALSE) / VLOOKUP(Substitution!$M$15 &amp; $A9, US_national_yearly!$D:$AM, MATCH(Keys!$C$7, US_national_yearly!$D$1:$AM$1, 0), FALSE), 1)</f>
        <v>2.7659895289196698E-2</v>
      </c>
      <c r="AA9" s="12">
        <f>$B9 * IFERROR(VLOOKUP(Substitution!$M$15 &amp; $A9, US_national_yearly!$D:$AM, MATCH(AA$1, US_national_yearly!$D$1:$AM$1, 0), FALSE) / VLOOKUP(Substitution!$M$15 &amp; $A9, US_national_yearly!$D:$AM, MATCH(Keys!$C$7, US_national_yearly!$D$1:$AM$1, 0), FALSE), 1)</f>
        <v>2.7763956400246398E-2</v>
      </c>
      <c r="AB9" s="12">
        <f>$B9 * IFERROR(VLOOKUP(Substitution!$M$15 &amp; $A9, US_national_yearly!$D:$AM, MATCH(AB$1, US_national_yearly!$D$1:$AM$1, 0), FALSE) / VLOOKUP(Substitution!$M$15 &amp; $A9, US_national_yearly!$D:$AM, MATCH(Keys!$C$7, US_national_yearly!$D$1:$AM$1, 0), FALSE), 1)</f>
        <v>2.7868017511296098E-2</v>
      </c>
    </row>
    <row r="10" spans="1:28" x14ac:dyDescent="0.25">
      <c r="A10" s="4" t="s">
        <v>307</v>
      </c>
      <c r="B10" s="12">
        <f>IFERROR(VLOOKUP(Substitution!$M$15 &amp; $A10, US_national_yearly!$D:$AM, MATCH(Keys!$C$7, US_national_yearly!$D$1:$AM$1, 0), FALSE), 0)</f>
        <v>0.15774013329072961</v>
      </c>
      <c r="C10" s="12">
        <f>$B10 * IFERROR(VLOOKUP(Substitution!$M$15 &amp; $A10, US_national_yearly!$D:$AM, MATCH(C$1, US_national_yearly!$D$1:$AM$1, 0), FALSE) / VLOOKUP(Substitution!$M$15 &amp; $A10, US_national_yearly!$D:$AM, MATCH(Keys!$C$7, US_national_yearly!$D$1:$AM$1, 0), FALSE), 1)</f>
        <v>0.15922193281341321</v>
      </c>
      <c r="D10" s="12">
        <f>$B10 * IFERROR(VLOOKUP(Substitution!$M$15 &amp; $A10, US_national_yearly!$D:$AM, MATCH(D$1, US_national_yearly!$D$1:$AM$1, 0), FALSE) / VLOOKUP(Substitution!$M$15 &amp; $A10, US_national_yearly!$D:$AM, MATCH(Keys!$C$7, US_national_yearly!$D$1:$AM$1, 0), FALSE), 1)</f>
        <v>0.16070373233609681</v>
      </c>
      <c r="E10" s="12">
        <f>$B10 * IFERROR(VLOOKUP(Substitution!$M$15 &amp; $A10, US_national_yearly!$D:$AM, MATCH(E$1, US_national_yearly!$D$1:$AM$1, 0), FALSE) / VLOOKUP(Substitution!$M$15 &amp; $A10, US_national_yearly!$D:$AM, MATCH(Keys!$C$7, US_national_yearly!$D$1:$AM$1, 0), FALSE), 1)</f>
        <v>0.1621855318587804</v>
      </c>
      <c r="F10" s="12">
        <f>$B10 * IFERROR(VLOOKUP(Substitution!$M$15 &amp; $A10, US_national_yearly!$D:$AM, MATCH(F$1, US_national_yearly!$D$1:$AM$1, 0), FALSE) / VLOOKUP(Substitution!$M$15 &amp; $A10, US_national_yearly!$D:$AM, MATCH(Keys!$C$7, US_national_yearly!$D$1:$AM$1, 0), FALSE), 1)</f>
        <v>0.16366733138146403</v>
      </c>
      <c r="G10" s="12">
        <f>$B10 * IFERROR(VLOOKUP(Substitution!$M$15 &amp; $A10, US_national_yearly!$D:$AM, MATCH(G$1, US_national_yearly!$D$1:$AM$1, 0), FALSE) / VLOOKUP(Substitution!$M$15 &amp; $A10, US_national_yearly!$D:$AM, MATCH(Keys!$C$7, US_national_yearly!$D$1:$AM$1, 0), FALSE), 1)</f>
        <v>0.16530180883430501</v>
      </c>
      <c r="H10" s="12">
        <f>$B10 * IFERROR(VLOOKUP(Substitution!$M$15 &amp; $A10, US_national_yearly!$D:$AM, MATCH(H$1, US_national_yearly!$D$1:$AM$1, 0), FALSE) / VLOOKUP(Substitution!$M$15 &amp; $A10, US_national_yearly!$D:$AM, MATCH(Keys!$C$7, US_national_yearly!$D$1:$AM$1, 0), FALSE), 1)</f>
        <v>0.16693628628714599</v>
      </c>
      <c r="I10" s="12">
        <f>$B10 * IFERROR(VLOOKUP(Substitution!$M$15 &amp; $A10, US_national_yearly!$D:$AM, MATCH(I$1, US_national_yearly!$D$1:$AM$1, 0), FALSE) / VLOOKUP(Substitution!$M$15 &amp; $A10, US_national_yearly!$D:$AM, MATCH(Keys!$C$7, US_national_yearly!$D$1:$AM$1, 0), FALSE), 1)</f>
        <v>0.16820369472332239</v>
      </c>
      <c r="J10" s="12">
        <f>$B10 * IFERROR(VLOOKUP(Substitution!$M$15 &amp; $A10, US_national_yearly!$D:$AM, MATCH(J$1, US_national_yearly!$D$1:$AM$1, 0), FALSE) / VLOOKUP(Substitution!$M$15 &amp; $A10, US_national_yearly!$D:$AM, MATCH(Keys!$C$7, US_national_yearly!$D$1:$AM$1, 0), FALSE), 1)</f>
        <v>0.16947110315949879</v>
      </c>
      <c r="K10" s="12">
        <f>$B10 * IFERROR(VLOOKUP(Substitution!$M$15 &amp; $A10, US_national_yearly!$D:$AM, MATCH(K$1, US_national_yearly!$D$1:$AM$1, 0), FALSE) / VLOOKUP(Substitution!$M$15 &amp; $A10, US_national_yearly!$D:$AM, MATCH(Keys!$C$7, US_national_yearly!$D$1:$AM$1, 0), FALSE), 1)</f>
        <v>0.17073851159567521</v>
      </c>
      <c r="L10" s="12">
        <f>$B10 * IFERROR(VLOOKUP(Substitution!$M$15 &amp; $A10, US_national_yearly!$D:$AM, MATCH(L$1, US_national_yearly!$D$1:$AM$1, 0), FALSE) / VLOOKUP(Substitution!$M$15 &amp; $A10, US_national_yearly!$D:$AM, MATCH(Keys!$C$7, US_national_yearly!$D$1:$AM$1, 0), FALSE), 1)</f>
        <v>0.17200592003185161</v>
      </c>
      <c r="M10" s="12">
        <f>$B10 * IFERROR(VLOOKUP(Substitution!$M$15 &amp; $A10, US_national_yearly!$D:$AM, MATCH(M$1, US_national_yearly!$D$1:$AM$1, 0), FALSE) / VLOOKUP(Substitution!$M$15 &amp; $A10, US_national_yearly!$D:$AM, MATCH(Keys!$C$7, US_national_yearly!$D$1:$AM$1, 0), FALSE), 1)</f>
        <v>0.17327332846802801</v>
      </c>
      <c r="N10" s="12">
        <f>$B10 * IFERROR(VLOOKUP(Substitution!$M$15 &amp; $A10, US_national_yearly!$D:$AM, MATCH(N$1, US_national_yearly!$D$1:$AM$1, 0), FALSE) / VLOOKUP(Substitution!$M$15 &amp; $A10, US_national_yearly!$D:$AM, MATCH(Keys!$C$7, US_national_yearly!$D$1:$AM$1, 0), FALSE), 1)</f>
        <v>0.17394696705524962</v>
      </c>
      <c r="O10" s="12">
        <f>$B10 * IFERROR(VLOOKUP(Substitution!$M$15 &amp; $A10, US_national_yearly!$D:$AM, MATCH(O$1, US_national_yearly!$D$1:$AM$1, 0), FALSE) / VLOOKUP(Substitution!$M$15 &amp; $A10, US_national_yearly!$D:$AM, MATCH(Keys!$C$7, US_national_yearly!$D$1:$AM$1, 0), FALSE), 1)</f>
        <v>0.1746206056424712</v>
      </c>
      <c r="P10" s="12">
        <f>$B10 * IFERROR(VLOOKUP(Substitution!$M$15 &amp; $A10, US_national_yearly!$D:$AM, MATCH(P$1, US_national_yearly!$D$1:$AM$1, 0), FALSE) / VLOOKUP(Substitution!$M$15 &amp; $A10, US_national_yearly!$D:$AM, MATCH(Keys!$C$7, US_national_yearly!$D$1:$AM$1, 0), FALSE), 1)</f>
        <v>0.17529424422969281</v>
      </c>
      <c r="Q10" s="12">
        <f>$B10 * IFERROR(VLOOKUP(Substitution!$M$15 &amp; $A10, US_national_yearly!$D:$AM, MATCH(Q$1, US_national_yearly!$D$1:$AM$1, 0), FALSE) / VLOOKUP(Substitution!$M$15 &amp; $A10, US_national_yearly!$D:$AM, MATCH(Keys!$C$7, US_national_yearly!$D$1:$AM$1, 0), FALSE), 1)</f>
        <v>0.17596788281691439</v>
      </c>
      <c r="R10" s="12">
        <f>$B10 * IFERROR(VLOOKUP(Substitution!$M$15 &amp; $A10, US_national_yearly!$D:$AM, MATCH(R$1, US_national_yearly!$D$1:$AM$1, 0), FALSE) / VLOOKUP(Substitution!$M$15 &amp; $A10, US_national_yearly!$D:$AM, MATCH(Keys!$C$7, US_national_yearly!$D$1:$AM$1, 0), FALSE), 1)</f>
        <v>0.176641521404136</v>
      </c>
      <c r="S10" s="12">
        <f>$B10 * IFERROR(VLOOKUP(Substitution!$M$15 &amp; $A10, US_national_yearly!$D:$AM, MATCH(S$1, US_national_yearly!$D$1:$AM$1, 0), FALSE) / VLOOKUP(Substitution!$M$15 &amp; $A10, US_national_yearly!$D:$AM, MATCH(Keys!$C$7, US_national_yearly!$D$1:$AM$1, 0), FALSE), 1)</f>
        <v>0.17739966899713419</v>
      </c>
      <c r="T10" s="12">
        <f>$B10 * IFERROR(VLOOKUP(Substitution!$M$15 &amp; $A10, US_national_yearly!$D:$AM, MATCH(T$1, US_national_yearly!$D$1:$AM$1, 0), FALSE) / VLOOKUP(Substitution!$M$15 &amp; $A10, US_national_yearly!$D:$AM, MATCH(Keys!$C$7, US_national_yearly!$D$1:$AM$1, 0), FALSE), 1)</f>
        <v>0.17815781659013241</v>
      </c>
      <c r="U10" s="12">
        <f>$B10 * IFERROR(VLOOKUP(Substitution!$M$15 &amp; $A10, US_national_yearly!$D:$AM, MATCH(U$1, US_national_yearly!$D$1:$AM$1, 0), FALSE) / VLOOKUP(Substitution!$M$15 &amp; $A10, US_national_yearly!$D:$AM, MATCH(Keys!$C$7, US_national_yearly!$D$1:$AM$1, 0), FALSE), 1)</f>
        <v>0.1789159641831306</v>
      </c>
      <c r="V10" s="12">
        <f>$B10 * IFERROR(VLOOKUP(Substitution!$M$15 &amp; $A10, US_national_yearly!$D:$AM, MATCH(V$1, US_national_yearly!$D$1:$AM$1, 0), FALSE) / VLOOKUP(Substitution!$M$15 &amp; $A10, US_national_yearly!$D:$AM, MATCH(Keys!$C$7, US_national_yearly!$D$1:$AM$1, 0), FALSE), 1)</f>
        <v>0.1796741117761288</v>
      </c>
      <c r="W10" s="12">
        <f>$B10 * IFERROR(VLOOKUP(Substitution!$M$15 &amp; $A10, US_national_yearly!$D:$AM, MATCH(W$1, US_national_yearly!$D$1:$AM$1, 0), FALSE) / VLOOKUP(Substitution!$M$15 &amp; $A10, US_national_yearly!$D:$AM, MATCH(Keys!$C$7, US_national_yearly!$D$1:$AM$1, 0), FALSE), 1)</f>
        <v>0.18043225936912699</v>
      </c>
      <c r="X10" s="12">
        <f>$B10 * IFERROR(VLOOKUP(Substitution!$M$15 &amp; $A10, US_national_yearly!$D:$AM, MATCH(X$1, US_national_yearly!$D$1:$AM$1, 0), FALSE) / VLOOKUP(Substitution!$M$15 &amp; $A10, US_national_yearly!$D:$AM, MATCH(Keys!$C$7, US_national_yearly!$D$1:$AM$1, 0), FALSE), 1)</f>
        <v>0.18121089621236761</v>
      </c>
      <c r="Y10" s="12">
        <f>$B10 * IFERROR(VLOOKUP(Substitution!$M$15 &amp; $A10, US_national_yearly!$D:$AM, MATCH(Y$1, US_national_yearly!$D$1:$AM$1, 0), FALSE) / VLOOKUP(Substitution!$M$15 &amp; $A10, US_national_yearly!$D:$AM, MATCH(Keys!$C$7, US_national_yearly!$D$1:$AM$1, 0), FALSE), 1)</f>
        <v>0.18198953305560819</v>
      </c>
      <c r="Z10" s="12">
        <f>$B10 * IFERROR(VLOOKUP(Substitution!$M$15 &amp; $A10, US_national_yearly!$D:$AM, MATCH(Z$1, US_national_yearly!$D$1:$AM$1, 0), FALSE) / VLOOKUP(Substitution!$M$15 &amp; $A10, US_national_yearly!$D:$AM, MATCH(Keys!$C$7, US_national_yearly!$D$1:$AM$1, 0), FALSE), 1)</f>
        <v>0.18276816989884881</v>
      </c>
      <c r="AA10" s="12">
        <f>$B10 * IFERROR(VLOOKUP(Substitution!$M$15 &amp; $A10, US_national_yearly!$D:$AM, MATCH(AA$1, US_national_yearly!$D$1:$AM$1, 0), FALSE) / VLOOKUP(Substitution!$M$15 &amp; $A10, US_national_yearly!$D:$AM, MATCH(Keys!$C$7, US_national_yearly!$D$1:$AM$1, 0), FALSE), 1)</f>
        <v>0.1835468067420894</v>
      </c>
      <c r="AB10" s="12">
        <f>$B10 * IFERROR(VLOOKUP(Substitution!$M$15 &amp; $A10, US_national_yearly!$D:$AM, MATCH(AB$1, US_national_yearly!$D$1:$AM$1, 0), FALSE) / VLOOKUP(Substitution!$M$15 &amp; $A10, US_national_yearly!$D:$AM, MATCH(Keys!$C$7, US_national_yearly!$D$1:$AM$1, 0), FALSE), 1)</f>
        <v>0.18432544358533001</v>
      </c>
    </row>
    <row r="11" spans="1:28" x14ac:dyDescent="0.25">
      <c r="A11" s="4" t="s">
        <v>309</v>
      </c>
      <c r="B11" s="12">
        <f>IFERROR(VLOOKUP(Substitution!$M$15 &amp; $A11, US_national_yearly!$D:$AM, MATCH(Keys!$C$7, US_national_yearly!$D$1:$AM$1, 0), FALSE), 0)</f>
        <v>9.4642206518647711E-3</v>
      </c>
      <c r="C11" s="12">
        <f>$B11 * IFERROR(VLOOKUP(Substitution!$M$15 &amp; $A11, US_national_yearly!$D:$AM, MATCH(C$1, US_national_yearly!$D$1:$AM$1, 0), FALSE) / VLOOKUP(Substitution!$M$15 &amp; $A11, US_national_yearly!$D:$AM, MATCH(Keys!$C$7, US_national_yearly!$D$1:$AM$1, 0), FALSE), 1)</f>
        <v>9.5570580749265444E-3</v>
      </c>
      <c r="D11" s="12">
        <f>$B11 * IFERROR(VLOOKUP(Substitution!$M$15 &amp; $A11, US_national_yearly!$D:$AM, MATCH(D$1, US_national_yearly!$D$1:$AM$1, 0), FALSE) / VLOOKUP(Substitution!$M$15 &amp; $A11, US_national_yearly!$D:$AM, MATCH(Keys!$C$7, US_national_yearly!$D$1:$AM$1, 0), FALSE), 1)</f>
        <v>9.6498954979883159E-3</v>
      </c>
      <c r="E11" s="12">
        <f>$B11 * IFERROR(VLOOKUP(Substitution!$M$15 &amp; $A11, US_national_yearly!$D:$AM, MATCH(E$1, US_national_yearly!$D$1:$AM$1, 0), FALSE) / VLOOKUP(Substitution!$M$15 &amp; $A11, US_national_yearly!$D:$AM, MATCH(Keys!$C$7, US_national_yearly!$D$1:$AM$1, 0), FALSE), 1)</f>
        <v>9.7427329210500891E-3</v>
      </c>
      <c r="F11" s="12">
        <f>$B11 * IFERROR(VLOOKUP(Substitution!$M$15 &amp; $A11, US_national_yearly!$D:$AM, MATCH(F$1, US_national_yearly!$D$1:$AM$1, 0), FALSE) / VLOOKUP(Substitution!$M$15 &amp; $A11, US_national_yearly!$D:$AM, MATCH(Keys!$C$7, US_national_yearly!$D$1:$AM$1, 0), FALSE), 1)</f>
        <v>9.8355703441118606E-3</v>
      </c>
      <c r="G11" s="12">
        <f>$B11 * IFERROR(VLOOKUP(Substitution!$M$15 &amp; $A11, US_national_yearly!$D:$AM, MATCH(G$1, US_national_yearly!$D$1:$AM$1, 0), FALSE) / VLOOKUP(Substitution!$M$15 &amp; $A11, US_national_yearly!$D:$AM, MATCH(Keys!$C$7, US_national_yearly!$D$1:$AM$1, 0), FALSE), 1)</f>
        <v>9.9317179802372799E-3</v>
      </c>
      <c r="H11" s="12">
        <f>$B11 * IFERROR(VLOOKUP(Substitution!$M$15 &amp; $A11, US_national_yearly!$D:$AM, MATCH(H$1, US_national_yearly!$D$1:$AM$1, 0), FALSE) / VLOOKUP(Substitution!$M$15 &amp; $A11, US_national_yearly!$D:$AM, MATCH(Keys!$C$7, US_national_yearly!$D$1:$AM$1, 0), FALSE), 1)</f>
        <v>1.0027865616362699E-2</v>
      </c>
      <c r="I11" s="12">
        <f>$B11 * IFERROR(VLOOKUP(Substitution!$M$15 &amp; $A11, US_national_yearly!$D:$AM, MATCH(I$1, US_national_yearly!$D$1:$AM$1, 0), FALSE) / VLOOKUP(Substitution!$M$15 &amp; $A11, US_national_yearly!$D:$AM, MATCH(Keys!$C$7, US_national_yearly!$D$1:$AM$1, 0), FALSE), 1)</f>
        <v>1.0118640895991061E-2</v>
      </c>
      <c r="J11" s="12">
        <f>$B11 * IFERROR(VLOOKUP(Substitution!$M$15 &amp; $A11, US_national_yearly!$D:$AM, MATCH(J$1, US_national_yearly!$D$1:$AM$1, 0), FALSE) / VLOOKUP(Substitution!$M$15 &amp; $A11, US_national_yearly!$D:$AM, MATCH(Keys!$C$7, US_national_yearly!$D$1:$AM$1, 0), FALSE), 1)</f>
        <v>1.0209416175619421E-2</v>
      </c>
      <c r="K11" s="12">
        <f>$B11 * IFERROR(VLOOKUP(Substitution!$M$15 &amp; $A11, US_national_yearly!$D:$AM, MATCH(K$1, US_national_yearly!$D$1:$AM$1, 0), FALSE) / VLOOKUP(Substitution!$M$15 &amp; $A11, US_national_yearly!$D:$AM, MATCH(Keys!$C$7, US_national_yearly!$D$1:$AM$1, 0), FALSE), 1)</f>
        <v>1.0300191455247781E-2</v>
      </c>
      <c r="L11" s="12">
        <f>$B11 * IFERROR(VLOOKUP(Substitution!$M$15 &amp; $A11, US_national_yearly!$D:$AM, MATCH(L$1, US_national_yearly!$D$1:$AM$1, 0), FALSE) / VLOOKUP(Substitution!$M$15 &amp; $A11, US_national_yearly!$D:$AM, MATCH(Keys!$C$7, US_national_yearly!$D$1:$AM$1, 0), FALSE), 1)</f>
        <v>1.0390966734876141E-2</v>
      </c>
      <c r="M11" s="12">
        <f>$B11 * IFERROR(VLOOKUP(Substitution!$M$15 &amp; $A11, US_national_yearly!$D:$AM, MATCH(M$1, US_national_yearly!$D$1:$AM$1, 0), FALSE) / VLOOKUP(Substitution!$M$15 &amp; $A11, US_national_yearly!$D:$AM, MATCH(Keys!$C$7, US_national_yearly!$D$1:$AM$1, 0), FALSE), 1)</f>
        <v>1.0481742014504501E-2</v>
      </c>
      <c r="N11" s="12">
        <f>$B11 * IFERROR(VLOOKUP(Substitution!$M$15 &amp; $A11, US_national_yearly!$D:$AM, MATCH(N$1, US_national_yearly!$D$1:$AM$1, 0), FALSE) / VLOOKUP(Substitution!$M$15 &amp; $A11, US_national_yearly!$D:$AM, MATCH(Keys!$C$7, US_national_yearly!$D$1:$AM$1, 0), FALSE), 1)</f>
        <v>1.055895565820488E-2</v>
      </c>
      <c r="O11" s="12">
        <f>$B11 * IFERROR(VLOOKUP(Substitution!$M$15 &amp; $A11, US_national_yearly!$D:$AM, MATCH(O$1, US_national_yearly!$D$1:$AM$1, 0), FALSE) / VLOOKUP(Substitution!$M$15 &amp; $A11, US_national_yearly!$D:$AM, MATCH(Keys!$C$7, US_national_yearly!$D$1:$AM$1, 0), FALSE), 1)</f>
        <v>1.063616930190526E-2</v>
      </c>
      <c r="P11" s="12">
        <f>$B11 * IFERROR(VLOOKUP(Substitution!$M$15 &amp; $A11, US_national_yearly!$D:$AM, MATCH(P$1, US_national_yearly!$D$1:$AM$1, 0), FALSE) / VLOOKUP(Substitution!$M$15 &amp; $A11, US_national_yearly!$D:$AM, MATCH(Keys!$C$7, US_national_yearly!$D$1:$AM$1, 0), FALSE), 1)</f>
        <v>1.0713382945605639E-2</v>
      </c>
      <c r="Q11" s="12">
        <f>$B11 * IFERROR(VLOOKUP(Substitution!$M$15 &amp; $A11, US_national_yearly!$D:$AM, MATCH(Q$1, US_national_yearly!$D$1:$AM$1, 0), FALSE) / VLOOKUP(Substitution!$M$15 &amp; $A11, US_national_yearly!$D:$AM, MATCH(Keys!$C$7, US_national_yearly!$D$1:$AM$1, 0), FALSE), 1)</f>
        <v>1.079059658930602E-2</v>
      </c>
      <c r="R11" s="12">
        <f>$B11 * IFERROR(VLOOKUP(Substitution!$M$15 &amp; $A11, US_national_yearly!$D:$AM, MATCH(R$1, US_national_yearly!$D$1:$AM$1, 0), FALSE) / VLOOKUP(Substitution!$M$15 &amp; $A11, US_national_yearly!$D:$AM, MATCH(Keys!$C$7, US_national_yearly!$D$1:$AM$1, 0), FALSE), 1)</f>
        <v>1.0867810233006399E-2</v>
      </c>
      <c r="S11" s="12">
        <f>$B11 * IFERROR(VLOOKUP(Substitution!$M$15 &amp; $A11, US_national_yearly!$D:$AM, MATCH(S$1, US_national_yearly!$D$1:$AM$1, 0), FALSE) / VLOOKUP(Substitution!$M$15 &amp; $A11, US_national_yearly!$D:$AM, MATCH(Keys!$C$7, US_national_yearly!$D$1:$AM$1, 0), FALSE), 1)</f>
        <v>1.0934375008625321E-2</v>
      </c>
      <c r="T11" s="12">
        <f>$B11 * IFERROR(VLOOKUP(Substitution!$M$15 &amp; $A11, US_national_yearly!$D:$AM, MATCH(T$1, US_national_yearly!$D$1:$AM$1, 0), FALSE) / VLOOKUP(Substitution!$M$15 &amp; $A11, US_national_yearly!$D:$AM, MATCH(Keys!$C$7, US_national_yearly!$D$1:$AM$1, 0), FALSE), 1)</f>
        <v>1.100093978424424E-2</v>
      </c>
      <c r="U11" s="12">
        <f>$B11 * IFERROR(VLOOKUP(Substitution!$M$15 &amp; $A11, US_national_yearly!$D:$AM, MATCH(U$1, US_national_yearly!$D$1:$AM$1, 0), FALSE) / VLOOKUP(Substitution!$M$15 &amp; $A11, US_national_yearly!$D:$AM, MATCH(Keys!$C$7, US_national_yearly!$D$1:$AM$1, 0), FALSE), 1)</f>
        <v>1.106750455986316E-2</v>
      </c>
      <c r="V11" s="12">
        <f>$B11 * IFERROR(VLOOKUP(Substitution!$M$15 &amp; $A11, US_national_yearly!$D:$AM, MATCH(V$1, US_national_yearly!$D$1:$AM$1, 0), FALSE) / VLOOKUP(Substitution!$M$15 &amp; $A11, US_national_yearly!$D:$AM, MATCH(Keys!$C$7, US_national_yearly!$D$1:$AM$1, 0), FALSE), 1)</f>
        <v>1.113406933548208E-2</v>
      </c>
      <c r="W11" s="12">
        <f>$B11 * IFERROR(VLOOKUP(Substitution!$M$15 &amp; $A11, US_national_yearly!$D:$AM, MATCH(W$1, US_national_yearly!$D$1:$AM$1, 0), FALSE) / VLOOKUP(Substitution!$M$15 &amp; $A11, US_national_yearly!$D:$AM, MATCH(Keys!$C$7, US_national_yearly!$D$1:$AM$1, 0), FALSE), 1)</f>
        <v>1.1200634111100999E-2</v>
      </c>
      <c r="X11" s="12">
        <f>$B11 * IFERROR(VLOOKUP(Substitution!$M$15 &amp; $A11, US_national_yearly!$D:$AM, MATCH(X$1, US_national_yearly!$D$1:$AM$1, 0), FALSE) / VLOOKUP(Substitution!$M$15 &amp; $A11, US_national_yearly!$D:$AM, MATCH(Keys!$C$7, US_national_yearly!$D$1:$AM$1, 0), FALSE), 1)</f>
        <v>1.126276301513566E-2</v>
      </c>
      <c r="Y11" s="12">
        <f>$B11 * IFERROR(VLOOKUP(Substitution!$M$15 &amp; $A11, US_national_yearly!$D:$AM, MATCH(Y$1, US_national_yearly!$D$1:$AM$1, 0), FALSE) / VLOOKUP(Substitution!$M$15 &amp; $A11, US_national_yearly!$D:$AM, MATCH(Keys!$C$7, US_national_yearly!$D$1:$AM$1, 0), FALSE), 1)</f>
        <v>1.1324891919170318E-2</v>
      </c>
      <c r="Z11" s="12">
        <f>$B11 * IFERROR(VLOOKUP(Substitution!$M$15 &amp; $A11, US_national_yearly!$D:$AM, MATCH(Z$1, US_national_yearly!$D$1:$AM$1, 0), FALSE) / VLOOKUP(Substitution!$M$15 &amp; $A11, US_national_yearly!$D:$AM, MATCH(Keys!$C$7, US_national_yearly!$D$1:$AM$1, 0), FALSE), 1)</f>
        <v>1.1387020823204979E-2</v>
      </c>
      <c r="AA11" s="12">
        <f>$B11 * IFERROR(VLOOKUP(Substitution!$M$15 &amp; $A11, US_national_yearly!$D:$AM, MATCH(AA$1, US_national_yearly!$D$1:$AM$1, 0), FALSE) / VLOOKUP(Substitution!$M$15 &amp; $A11, US_national_yearly!$D:$AM, MATCH(Keys!$C$7, US_national_yearly!$D$1:$AM$1, 0), FALSE), 1)</f>
        <v>1.1449149727239641E-2</v>
      </c>
      <c r="AB11" s="12">
        <f>$B11 * IFERROR(VLOOKUP(Substitution!$M$15 &amp; $A11, US_national_yearly!$D:$AM, MATCH(AB$1, US_national_yearly!$D$1:$AM$1, 0), FALSE) / VLOOKUP(Substitution!$M$15 &amp; $A11, US_national_yearly!$D:$AM, MATCH(Keys!$C$7, US_national_yearly!$D$1:$AM$1, 0), FALSE), 1)</f>
        <v>1.15112786312743E-2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Substitution!$G$15)/IFERROR(SUMIFS(COBRA_aggregated!$W:$W, COBRA_aggregated!$A:$A, About!$B$1, COBRA_aggregated!$B:$B, Substitution!$G$15), 1)</f>
        <v>2.6330515938844077E-5</v>
      </c>
      <c r="C12" s="12">
        <f>$B12 * IFERROR(VLOOKUP(Substitution!$M$15 &amp; $A12, US_national_yearly!$D:$AM, MATCH(C$1, US_national_yearly!$D$1:$AM$1, 0), FALSE) / VLOOKUP(Substitution!$M$15 &amp; $A12, US_national_yearly!$D:$AM, MATCH(Keys!$C$7, US_national_yearly!$D$1:$AM$1, 0), FALSE), 1)</f>
        <v>2.6992025732591807E-5</v>
      </c>
      <c r="D12" s="12">
        <f>$B12 * IFERROR(VLOOKUP(Substitution!$M$15 &amp; $A12, US_national_yearly!$D:$AM, MATCH(D$1, US_national_yearly!$D$1:$AM$1, 0), FALSE) / VLOOKUP(Substitution!$M$15 &amp; $A12, US_national_yearly!$D:$AM, MATCH(Keys!$C$7, US_national_yearly!$D$1:$AM$1, 0), FALSE), 1)</f>
        <v>2.7653535526339532E-5</v>
      </c>
      <c r="E12" s="12">
        <f>$B12 * IFERROR(VLOOKUP(Substitution!$M$15 &amp; $A12, US_national_yearly!$D:$AM, MATCH(E$1, US_national_yearly!$D$1:$AM$1, 0), FALSE) / VLOOKUP(Substitution!$M$15 &amp; $A12, US_national_yearly!$D:$AM, MATCH(Keys!$C$7, US_national_yearly!$D$1:$AM$1, 0), FALSE), 1)</f>
        <v>2.8315045320087265E-5</v>
      </c>
      <c r="F12" s="12">
        <f>$B12 * IFERROR(VLOOKUP(Substitution!$M$15 &amp; $A12, US_national_yearly!$D:$AM, MATCH(F$1, US_national_yearly!$D$1:$AM$1, 0), FALSE) / VLOOKUP(Substitution!$M$15 &amp; $A12, US_national_yearly!$D:$AM, MATCH(Keys!$C$7, US_national_yearly!$D$1:$AM$1, 0), FALSE), 1)</f>
        <v>2.8976555113834987E-5</v>
      </c>
      <c r="G12" s="12">
        <f>$B12 * IFERROR(VLOOKUP(Substitution!$M$15 &amp; $A12, US_national_yearly!$D:$AM, MATCH(G$1, US_national_yearly!$D$1:$AM$1, 0), FALSE) / VLOOKUP(Substitution!$M$15 &amp; $A12, US_national_yearly!$D:$AM, MATCH(Keys!$C$7, US_national_yearly!$D$1:$AM$1, 0), FALSE), 1)</f>
        <v>2.9609318647073402E-5</v>
      </c>
      <c r="H12" s="12">
        <f>$B12 * IFERROR(VLOOKUP(Substitution!$M$15 &amp; $A12, US_national_yearly!$D:$AM, MATCH(H$1, US_national_yearly!$D$1:$AM$1, 0), FALSE) / VLOOKUP(Substitution!$M$15 &amp; $A12, US_national_yearly!$D:$AM, MATCH(Keys!$C$7, US_national_yearly!$D$1:$AM$1, 0), FALSE), 1)</f>
        <v>3.0242082180311814E-5</v>
      </c>
      <c r="I12" s="12">
        <f>$B12 * IFERROR(VLOOKUP(Substitution!$M$15 &amp; $A12, US_national_yearly!$D:$AM, MATCH(I$1, US_national_yearly!$D$1:$AM$1, 0), FALSE) / VLOOKUP(Substitution!$M$15 &amp; $A12, US_national_yearly!$D:$AM, MATCH(Keys!$C$7, US_national_yearly!$D$1:$AM$1, 0), FALSE), 1)</f>
        <v>3.0780966253165587E-5</v>
      </c>
      <c r="J12" s="12">
        <f>$B12 * IFERROR(VLOOKUP(Substitution!$M$15 &amp; $A12, US_national_yearly!$D:$AM, MATCH(J$1, US_national_yearly!$D$1:$AM$1, 0), FALSE) / VLOOKUP(Substitution!$M$15 &amp; $A12, US_national_yearly!$D:$AM, MATCH(Keys!$C$7, US_national_yearly!$D$1:$AM$1, 0), FALSE), 1)</f>
        <v>3.1319850326019357E-5</v>
      </c>
      <c r="K12" s="12">
        <f>$B12 * IFERROR(VLOOKUP(Substitution!$M$15 &amp; $A12, US_national_yearly!$D:$AM, MATCH(K$1, US_national_yearly!$D$1:$AM$1, 0), FALSE) / VLOOKUP(Substitution!$M$15 &amp; $A12, US_national_yearly!$D:$AM, MATCH(Keys!$C$7, US_national_yearly!$D$1:$AM$1, 0), FALSE), 1)</f>
        <v>3.1858734398873134E-5</v>
      </c>
      <c r="L12" s="12">
        <f>$B12 * IFERROR(VLOOKUP(Substitution!$M$15 &amp; $A12, US_national_yearly!$D:$AM, MATCH(L$1, US_national_yearly!$D$1:$AM$1, 0), FALSE) / VLOOKUP(Substitution!$M$15 &amp; $A12, US_national_yearly!$D:$AM, MATCH(Keys!$C$7, US_national_yearly!$D$1:$AM$1, 0), FALSE), 1)</f>
        <v>3.2397618471726911E-5</v>
      </c>
      <c r="M12" s="12">
        <f>$B12 * IFERROR(VLOOKUP(Substitution!$M$15 &amp; $A12, US_national_yearly!$D:$AM, MATCH(M$1, US_national_yearly!$D$1:$AM$1, 0), FALSE) / VLOOKUP(Substitution!$M$15 &amp; $A12, US_national_yearly!$D:$AM, MATCH(Keys!$C$7, US_national_yearly!$D$1:$AM$1, 0), FALSE), 1)</f>
        <v>3.2936502544580681E-5</v>
      </c>
      <c r="N12" s="12">
        <f>$B12 * IFERROR(VLOOKUP(Substitution!$M$15 &amp; $A12, US_national_yearly!$D:$AM, MATCH(N$1, US_national_yearly!$D$1:$AM$1, 0), FALSE) / VLOOKUP(Substitution!$M$15 &amp; $A12, US_national_yearly!$D:$AM, MATCH(Keys!$C$7, US_national_yearly!$D$1:$AM$1, 0), FALSE), 1)</f>
        <v>3.3297671805211426E-5</v>
      </c>
      <c r="O12" s="12">
        <f>$B12 * IFERROR(VLOOKUP(Substitution!$M$15 &amp; $A12, US_national_yearly!$D:$AM, MATCH(O$1, US_national_yearly!$D$1:$AM$1, 0), FALSE) / VLOOKUP(Substitution!$M$15 &amp; $A12, US_national_yearly!$D:$AM, MATCH(Keys!$C$7, US_national_yearly!$D$1:$AM$1, 0), FALSE), 1)</f>
        <v>3.3658841065842164E-5</v>
      </c>
      <c r="P12" s="12">
        <f>$B12 * IFERROR(VLOOKUP(Substitution!$M$15 &amp; $A12, US_national_yearly!$D:$AM, MATCH(P$1, US_national_yearly!$D$1:$AM$1, 0), FALSE) / VLOOKUP(Substitution!$M$15 &amp; $A12, US_national_yearly!$D:$AM, MATCH(Keys!$C$7, US_national_yearly!$D$1:$AM$1, 0), FALSE), 1)</f>
        <v>3.4020010326472909E-5</v>
      </c>
      <c r="Q12" s="12">
        <f>$B12 * IFERROR(VLOOKUP(Substitution!$M$15 &amp; $A12, US_national_yearly!$D:$AM, MATCH(Q$1, US_national_yearly!$D$1:$AM$1, 0), FALSE) / VLOOKUP(Substitution!$M$15 &amp; $A12, US_national_yearly!$D:$AM, MATCH(Keys!$C$7, US_national_yearly!$D$1:$AM$1, 0), FALSE), 1)</f>
        <v>3.4381179587103653E-5</v>
      </c>
      <c r="R12" s="12">
        <f>$B12 * IFERROR(VLOOKUP(Substitution!$M$15 &amp; $A12, US_national_yearly!$D:$AM, MATCH(R$1, US_national_yearly!$D$1:$AM$1, 0), FALSE) / VLOOKUP(Substitution!$M$15 &amp; $A12, US_national_yearly!$D:$AM, MATCH(Keys!$C$7, US_national_yearly!$D$1:$AM$1, 0), FALSE), 1)</f>
        <v>3.4742348847734398E-5</v>
      </c>
      <c r="S12" s="12">
        <f>$B12 * IFERROR(VLOOKUP(Substitution!$M$15 &amp; $A12, US_national_yearly!$D:$AM, MATCH(S$1, US_national_yearly!$D$1:$AM$1, 0), FALSE) / VLOOKUP(Substitution!$M$15 &amp; $A12, US_national_yearly!$D:$AM, MATCH(Keys!$C$7, US_national_yearly!$D$1:$AM$1, 0), FALSE), 1)</f>
        <v>3.4938432375301473E-5</v>
      </c>
      <c r="T12" s="12">
        <f>$B12 * IFERROR(VLOOKUP(Substitution!$M$15 &amp; $A12, US_national_yearly!$D:$AM, MATCH(T$1, US_national_yearly!$D$1:$AM$1, 0), FALSE) / VLOOKUP(Substitution!$M$15 &amp; $A12, US_national_yearly!$D:$AM, MATCH(Keys!$C$7, US_national_yearly!$D$1:$AM$1, 0), FALSE), 1)</f>
        <v>3.5134515902868554E-5</v>
      </c>
      <c r="U12" s="12">
        <f>$B12 * IFERROR(VLOOKUP(Substitution!$M$15 &amp; $A12, US_national_yearly!$D:$AM, MATCH(U$1, US_national_yearly!$D$1:$AM$1, 0), FALSE) / VLOOKUP(Substitution!$M$15 &amp; $A12, US_national_yearly!$D:$AM, MATCH(Keys!$C$7, US_national_yearly!$D$1:$AM$1, 0), FALSE), 1)</f>
        <v>3.5330599430435636E-5</v>
      </c>
      <c r="V12" s="12">
        <f>$B12 * IFERROR(VLOOKUP(Substitution!$M$15 &amp; $A12, US_national_yearly!$D:$AM, MATCH(V$1, US_national_yearly!$D$1:$AM$1, 0), FALSE) / VLOOKUP(Substitution!$M$15 &amp; $A12, US_national_yearly!$D:$AM, MATCH(Keys!$C$7, US_national_yearly!$D$1:$AM$1, 0), FALSE), 1)</f>
        <v>3.5526682958002711E-5</v>
      </c>
      <c r="W12" s="12">
        <f>$B12 * IFERROR(VLOOKUP(Substitution!$M$15 &amp; $A12, US_national_yearly!$D:$AM, MATCH(W$1, US_national_yearly!$D$1:$AM$1, 0), FALSE) / VLOOKUP(Substitution!$M$15 &amp; $A12, US_national_yearly!$D:$AM, MATCH(Keys!$C$7, US_national_yearly!$D$1:$AM$1, 0), FALSE), 1)</f>
        <v>3.5722766485569792E-5</v>
      </c>
      <c r="X12" s="12">
        <f>$B12 * IFERROR(VLOOKUP(Substitution!$M$15 &amp; $A12, US_national_yearly!$D:$AM, MATCH(X$1, US_national_yearly!$D$1:$AM$1, 0), FALSE) / VLOOKUP(Substitution!$M$15 &amp; $A12, US_national_yearly!$D:$AM, MATCH(Keys!$C$7, US_national_yearly!$D$1:$AM$1, 0), FALSE), 1)</f>
        <v>3.5859487999966124E-5</v>
      </c>
      <c r="Y12" s="12">
        <f>$B12 * IFERROR(VLOOKUP(Substitution!$M$15 &amp; $A12, US_national_yearly!$D:$AM, MATCH(Y$1, US_national_yearly!$D$1:$AM$1, 0), FALSE) / VLOOKUP(Substitution!$M$15 &amp; $A12, US_national_yearly!$D:$AM, MATCH(Keys!$C$7, US_national_yearly!$D$1:$AM$1, 0), FALSE), 1)</f>
        <v>3.5996209514362455E-5</v>
      </c>
      <c r="Z12" s="12">
        <f>$B12 * IFERROR(VLOOKUP(Substitution!$M$15 &amp; $A12, US_national_yearly!$D:$AM, MATCH(Z$1, US_national_yearly!$D$1:$AM$1, 0), FALSE) / VLOOKUP(Substitution!$M$15 &amp; $A12, US_national_yearly!$D:$AM, MATCH(Keys!$C$7, US_national_yearly!$D$1:$AM$1, 0), FALSE), 1)</f>
        <v>3.6132931028758794E-5</v>
      </c>
      <c r="AA12" s="12">
        <f>$B12 * IFERROR(VLOOKUP(Substitution!$M$15 &amp; $A12, US_national_yearly!$D:$AM, MATCH(AA$1, US_national_yearly!$D$1:$AM$1, 0), FALSE) / VLOOKUP(Substitution!$M$15 &amp; $A12, US_national_yearly!$D:$AM, MATCH(Keys!$C$7, US_national_yearly!$D$1:$AM$1, 0), FALSE), 1)</f>
        <v>3.6269652543155125E-5</v>
      </c>
      <c r="AB12" s="12">
        <f>$B12 * IFERROR(VLOOKUP(Substitution!$M$15 &amp; $A12, US_national_yearly!$D:$AM, MATCH(AB$1, US_national_yearly!$D$1:$AM$1, 0), FALSE) / VLOOKUP(Substitution!$M$15 &amp; $A12, US_national_yearly!$D:$AM, MATCH(Keys!$C$7, US_national_yearly!$D$1:$AM$1, 0), FALSE), 1)</f>
        <v>3.6406374057551457E-5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Substitution!$G$15)/IFERROR(SUMIFS(COBRA_aggregated!$W:$W, COBRA_aggregated!$A:$A, About!$B$1, COBRA_aggregated!$B:$B, Substitution!$G$15), 1)</f>
        <v>1.6612388184738175E-4</v>
      </c>
      <c r="C13" s="12">
        <f>$B13 * IFERROR(VLOOKUP(Substitution!$M$15 &amp; $A13, US_national_yearly!$D:$AM, MATCH(C$1, US_national_yearly!$D$1:$AM$1, 0), FALSE) / VLOOKUP(Substitution!$M$15 &amp; $A13, US_national_yearly!$D:$AM, MATCH(Keys!$C$7, US_national_yearly!$D$1:$AM$1, 0), FALSE), 1)</f>
        <v>1.7087020034496349E-4</v>
      </c>
      <c r="D13" s="12">
        <f>$B13 * IFERROR(VLOOKUP(Substitution!$M$15 &amp; $A13, US_national_yearly!$D:$AM, MATCH(D$1, US_national_yearly!$D$1:$AM$1, 0), FALSE) / VLOOKUP(Substitution!$M$15 &amp; $A13, US_national_yearly!$D:$AM, MATCH(Keys!$C$7, US_national_yearly!$D$1:$AM$1, 0), FALSE), 1)</f>
        <v>1.7561651884254526E-4</v>
      </c>
      <c r="E13" s="12">
        <f>$B13 * IFERROR(VLOOKUP(Substitution!$M$15 &amp; $A13, US_national_yearly!$D:$AM, MATCH(E$1, US_national_yearly!$D$1:$AM$1, 0), FALSE) / VLOOKUP(Substitution!$M$15 &amp; $A13, US_national_yearly!$D:$AM, MATCH(Keys!$C$7, US_national_yearly!$D$1:$AM$1, 0), FALSE), 1)</f>
        <v>1.80362837340127E-4</v>
      </c>
      <c r="F13" s="12">
        <f>$B13 * IFERROR(VLOOKUP(Substitution!$M$15 &amp; $A13, US_national_yearly!$D:$AM, MATCH(F$1, US_national_yearly!$D$1:$AM$1, 0), FALSE) / VLOOKUP(Substitution!$M$15 &amp; $A13, US_national_yearly!$D:$AM, MATCH(Keys!$C$7, US_national_yearly!$D$1:$AM$1, 0), FALSE), 1)</f>
        <v>1.8510915583770876E-4</v>
      </c>
      <c r="G13" s="12">
        <f>$B13 * IFERROR(VLOOKUP(Substitution!$M$15 &amp; $A13, US_national_yearly!$D:$AM, MATCH(G$1, US_national_yearly!$D$1:$AM$1, 0), FALSE) / VLOOKUP(Substitution!$M$15 &amp; $A13, US_national_yearly!$D:$AM, MATCH(Keys!$C$7, US_national_yearly!$D$1:$AM$1, 0), FALSE), 1)</f>
        <v>1.8954834626032523E-4</v>
      </c>
      <c r="H13" s="12">
        <f>$B13 * IFERROR(VLOOKUP(Substitution!$M$15 &amp; $A13, US_national_yearly!$D:$AM, MATCH(H$1, US_national_yearly!$D$1:$AM$1, 0), FALSE) / VLOOKUP(Substitution!$M$15 &amp; $A13, US_national_yearly!$D:$AM, MATCH(Keys!$C$7, US_national_yearly!$D$1:$AM$1, 0), FALSE), 1)</f>
        <v>1.9398753668294164E-4</v>
      </c>
      <c r="I13" s="12">
        <f>$B13 * IFERROR(VLOOKUP(Substitution!$M$15 &amp; $A13, US_national_yearly!$D:$AM, MATCH(I$1, US_national_yearly!$D$1:$AM$1, 0), FALSE) / VLOOKUP(Substitution!$M$15 &amp; $A13, US_national_yearly!$D:$AM, MATCH(Keys!$C$7, US_national_yearly!$D$1:$AM$1, 0), FALSE), 1)</f>
        <v>1.9749846966323604E-4</v>
      </c>
      <c r="J13" s="12">
        <f>$B13 * IFERROR(VLOOKUP(Substitution!$M$15 &amp; $A13, US_national_yearly!$D:$AM, MATCH(J$1, US_national_yearly!$D$1:$AM$1, 0), FALSE) / VLOOKUP(Substitution!$M$15 &amp; $A13, US_national_yearly!$D:$AM, MATCH(Keys!$C$7, US_national_yearly!$D$1:$AM$1, 0), FALSE), 1)</f>
        <v>2.010094026435304E-4</v>
      </c>
      <c r="K13" s="12">
        <f>$B13 * IFERROR(VLOOKUP(Substitution!$M$15 &amp; $A13, US_national_yearly!$D:$AM, MATCH(K$1, US_national_yearly!$D$1:$AM$1, 0), FALSE) / VLOOKUP(Substitution!$M$15 &amp; $A13, US_national_yearly!$D:$AM, MATCH(Keys!$C$7, US_national_yearly!$D$1:$AM$1, 0), FALSE), 1)</f>
        <v>2.0452033562382468E-4</v>
      </c>
      <c r="L13" s="12">
        <f>$B13 * IFERROR(VLOOKUP(Substitution!$M$15 &amp; $A13, US_national_yearly!$D:$AM, MATCH(L$1, US_national_yearly!$D$1:$AM$1, 0), FALSE) / VLOOKUP(Substitution!$M$15 &amp; $A13, US_national_yearly!$D:$AM, MATCH(Keys!$C$7, US_national_yearly!$D$1:$AM$1, 0), FALSE), 1)</f>
        <v>2.0803126860411913E-4</v>
      </c>
      <c r="M13" s="12">
        <f>$B13 * IFERROR(VLOOKUP(Substitution!$M$15 &amp; $A13, US_national_yearly!$D:$AM, MATCH(M$1, US_national_yearly!$D$1:$AM$1, 0), FALSE) / VLOOKUP(Substitution!$M$15 &amp; $A13, US_national_yearly!$D:$AM, MATCH(Keys!$C$7, US_national_yearly!$D$1:$AM$1, 0), FALSE), 1)</f>
        <v>2.1154220158441355E-4</v>
      </c>
      <c r="N13" s="12">
        <f>$B13 * IFERROR(VLOOKUP(Substitution!$M$15 &amp; $A13, US_national_yearly!$D:$AM, MATCH(N$1, US_national_yearly!$D$1:$AM$1, 0), FALSE) / VLOOKUP(Substitution!$M$15 &amp; $A13, US_national_yearly!$D:$AM, MATCH(Keys!$C$7, US_national_yearly!$D$1:$AM$1, 0), FALSE), 1)</f>
        <v>2.1365737019634625E-4</v>
      </c>
      <c r="O13" s="12">
        <f>$B13 * IFERROR(VLOOKUP(Substitution!$M$15 &amp; $A13, US_national_yearly!$D:$AM, MATCH(O$1, US_national_yearly!$D$1:$AM$1, 0), FALSE) / VLOOKUP(Substitution!$M$15 &amp; $A13, US_national_yearly!$D:$AM, MATCH(Keys!$C$7, US_national_yearly!$D$1:$AM$1, 0), FALSE), 1)</f>
        <v>2.157725388082789E-4</v>
      </c>
      <c r="P13" s="12">
        <f>$B13 * IFERROR(VLOOKUP(Substitution!$M$15 &amp; $A13, US_national_yearly!$D:$AM, MATCH(P$1, US_national_yearly!$D$1:$AM$1, 0), FALSE) / VLOOKUP(Substitution!$M$15 &amp; $A13, US_national_yearly!$D:$AM, MATCH(Keys!$C$7, US_national_yearly!$D$1:$AM$1, 0), FALSE), 1)</f>
        <v>2.1788770742021157E-4</v>
      </c>
      <c r="Q13" s="12">
        <f>$B13 * IFERROR(VLOOKUP(Substitution!$M$15 &amp; $A13, US_national_yearly!$D:$AM, MATCH(Q$1, US_national_yearly!$D$1:$AM$1, 0), FALSE) / VLOOKUP(Substitution!$M$15 &amp; $A13, US_national_yearly!$D:$AM, MATCH(Keys!$C$7, US_national_yearly!$D$1:$AM$1, 0), FALSE), 1)</f>
        <v>2.2000287603214422E-4</v>
      </c>
      <c r="R13" s="12">
        <f>$B13 * IFERROR(VLOOKUP(Substitution!$M$15 &amp; $A13, US_national_yearly!$D:$AM, MATCH(R$1, US_national_yearly!$D$1:$AM$1, 0), FALSE) / VLOOKUP(Substitution!$M$15 &amp; $A13, US_national_yearly!$D:$AM, MATCH(Keys!$C$7, US_national_yearly!$D$1:$AM$1, 0), FALSE), 1)</f>
        <v>2.2211804464407686E-4</v>
      </c>
      <c r="S13" s="12">
        <f>$B13 * IFERROR(VLOOKUP(Substitution!$M$15 &amp; $A13, US_national_yearly!$D:$AM, MATCH(S$1, US_national_yearly!$D$1:$AM$1, 0), FALSE) / VLOOKUP(Substitution!$M$15 &amp; $A13, US_national_yearly!$D:$AM, MATCH(Keys!$C$7, US_national_yearly!$D$1:$AM$1, 0), FALSE), 1)</f>
        <v>2.2308852619326659E-4</v>
      </c>
      <c r="T13" s="12">
        <f>$B13 * IFERROR(VLOOKUP(Substitution!$M$15 &amp; $A13, US_national_yearly!$D:$AM, MATCH(T$1, US_national_yearly!$D$1:$AM$1, 0), FALSE) / VLOOKUP(Substitution!$M$15 &amp; $A13, US_national_yearly!$D:$AM, MATCH(Keys!$C$7, US_national_yearly!$D$1:$AM$1, 0), FALSE), 1)</f>
        <v>2.2405900774245626E-4</v>
      </c>
      <c r="U13" s="12">
        <f>$B13 * IFERROR(VLOOKUP(Substitution!$M$15 &amp; $A13, US_national_yearly!$D:$AM, MATCH(U$1, US_national_yearly!$D$1:$AM$1, 0), FALSE) / VLOOKUP(Substitution!$M$15 &amp; $A13, US_national_yearly!$D:$AM, MATCH(Keys!$C$7, US_national_yearly!$D$1:$AM$1, 0), FALSE), 1)</f>
        <v>2.2502948929164593E-4</v>
      </c>
      <c r="V13" s="12">
        <f>$B13 * IFERROR(VLOOKUP(Substitution!$M$15 &amp; $A13, US_national_yearly!$D:$AM, MATCH(V$1, US_national_yearly!$D$1:$AM$1, 0), FALSE) / VLOOKUP(Substitution!$M$15 &amp; $A13, US_national_yearly!$D:$AM, MATCH(Keys!$C$7, US_national_yearly!$D$1:$AM$1, 0), FALSE), 1)</f>
        <v>2.2599997084083565E-4</v>
      </c>
      <c r="W13" s="12">
        <f>$B13 * IFERROR(VLOOKUP(Substitution!$M$15 &amp; $A13, US_national_yearly!$D:$AM, MATCH(W$1, US_national_yearly!$D$1:$AM$1, 0), FALSE) / VLOOKUP(Substitution!$M$15 &amp; $A13, US_national_yearly!$D:$AM, MATCH(Keys!$C$7, US_national_yearly!$D$1:$AM$1, 0), FALSE), 1)</f>
        <v>2.2697045239002532E-4</v>
      </c>
      <c r="X13" s="12">
        <f>$B13 * IFERROR(VLOOKUP(Substitution!$M$15 &amp; $A13, US_national_yearly!$D:$AM, MATCH(X$1, US_national_yearly!$D$1:$AM$1, 0), FALSE) / VLOOKUP(Substitution!$M$15 &amp; $A13, US_national_yearly!$D:$AM, MATCH(Keys!$C$7, US_national_yearly!$D$1:$AM$1, 0), FALSE), 1)</f>
        <v>2.2762542111500096E-4</v>
      </c>
      <c r="Y13" s="12">
        <f>$B13 * IFERROR(VLOOKUP(Substitution!$M$15 &amp; $A13, US_national_yearly!$D:$AM, MATCH(Y$1, US_national_yearly!$D$1:$AM$1, 0), FALSE) / VLOOKUP(Substitution!$M$15 &amp; $A13, US_national_yearly!$D:$AM, MATCH(Keys!$C$7, US_national_yearly!$D$1:$AM$1, 0), FALSE), 1)</f>
        <v>2.2828038983997663E-4</v>
      </c>
      <c r="Z13" s="12">
        <f>$B13 * IFERROR(VLOOKUP(Substitution!$M$15 &amp; $A13, US_national_yearly!$D:$AM, MATCH(Z$1, US_national_yearly!$D$1:$AM$1, 0), FALSE) / VLOOKUP(Substitution!$M$15 &amp; $A13, US_national_yearly!$D:$AM, MATCH(Keys!$C$7, US_national_yearly!$D$1:$AM$1, 0), FALSE), 1)</f>
        <v>2.289353585649523E-4</v>
      </c>
      <c r="AA13" s="12">
        <f>$B13 * IFERROR(VLOOKUP(Substitution!$M$15 &amp; $A13, US_national_yearly!$D:$AM, MATCH(AA$1, US_national_yearly!$D$1:$AM$1, 0), FALSE) / VLOOKUP(Substitution!$M$15 &amp; $A13, US_national_yearly!$D:$AM, MATCH(Keys!$C$7, US_national_yearly!$D$1:$AM$1, 0), FALSE), 1)</f>
        <v>2.2959032728992794E-4</v>
      </c>
      <c r="AB13" s="12">
        <f>$B13 * IFERROR(VLOOKUP(Substitution!$M$15 &amp; $A13, US_national_yearly!$D:$AM, MATCH(AB$1, US_national_yearly!$D$1:$AM$1, 0), FALSE) / VLOOKUP(Substitution!$M$15 &amp; $A13, US_national_yearly!$D:$AM, MATCH(Keys!$C$7, US_national_yearly!$D$1:$AM$1, 0), FALSE), 1)</f>
        <v>2.302452960149036E-4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Substitution!$G$15)/IFERROR(SUMIFS(COBRA_aggregated!$W:$W, COBRA_aggregated!$A:$A, About!$B$1, COBRA_aggregated!$B:$B, Substitution!$G$15), 1)</f>
        <v>0.10819775385560952</v>
      </c>
      <c r="C14" s="12">
        <f>$B14 * IFERROR(VLOOKUP(Substitution!$M$15 &amp; $A14, US_national_yearly!$D:$AM, MATCH(C$1, US_national_yearly!$D$1:$AM$1, 0), FALSE) / VLOOKUP(Substitution!$M$15 &amp; $A14, US_national_yearly!$D:$AM, MATCH(Keys!$C$7, US_national_yearly!$D$1:$AM$1, 0), FALSE), 1)</f>
        <v>0.10835805717697394</v>
      </c>
      <c r="D14" s="12">
        <f>$B14 * IFERROR(VLOOKUP(Substitution!$M$15 &amp; $A14, US_national_yearly!$D:$AM, MATCH(D$1, US_national_yearly!$D$1:$AM$1, 0), FALSE) / VLOOKUP(Substitution!$M$15 &amp; $A14, US_national_yearly!$D:$AM, MATCH(Keys!$C$7, US_national_yearly!$D$1:$AM$1, 0), FALSE), 1)</f>
        <v>0.10851836049833834</v>
      </c>
      <c r="E14" s="12">
        <f>$B14 * IFERROR(VLOOKUP(Substitution!$M$15 &amp; $A14, US_national_yearly!$D:$AM, MATCH(E$1, US_national_yearly!$D$1:$AM$1, 0), FALSE) / VLOOKUP(Substitution!$M$15 &amp; $A14, US_national_yearly!$D:$AM, MATCH(Keys!$C$7, US_national_yearly!$D$1:$AM$1, 0), FALSE), 1)</f>
        <v>0.10867866381970276</v>
      </c>
      <c r="F14" s="12">
        <f>$B14 * IFERROR(VLOOKUP(Substitution!$M$15 &amp; $A14, US_national_yearly!$D:$AM, MATCH(F$1, US_national_yearly!$D$1:$AM$1, 0), FALSE) / VLOOKUP(Substitution!$M$15 &amp; $A14, US_national_yearly!$D:$AM, MATCH(Keys!$C$7, US_national_yearly!$D$1:$AM$1, 0), FALSE), 1)</f>
        <v>0.10883896714106715</v>
      </c>
      <c r="G14" s="12">
        <f>$B14 * IFERROR(VLOOKUP(Substitution!$M$15 &amp; $A14, US_national_yearly!$D:$AM, MATCH(G$1, US_national_yearly!$D$1:$AM$1, 0), FALSE) / VLOOKUP(Substitution!$M$15 &amp; $A14, US_national_yearly!$D:$AM, MATCH(Keys!$C$7, US_national_yearly!$D$1:$AM$1, 0), FALSE), 1)</f>
        <v>0.10913078434632492</v>
      </c>
      <c r="H14" s="12">
        <f>$B14 * IFERROR(VLOOKUP(Substitution!$M$15 &amp; $A14, US_national_yearly!$D:$AM, MATCH(H$1, US_national_yearly!$D$1:$AM$1, 0), FALSE) / VLOOKUP(Substitution!$M$15 &amp; $A14, US_national_yearly!$D:$AM, MATCH(Keys!$C$7, US_national_yearly!$D$1:$AM$1, 0), FALSE), 1)</f>
        <v>0.10942260155158268</v>
      </c>
      <c r="I14" s="12">
        <f>$B14 * IFERROR(VLOOKUP(Substitution!$M$15 &amp; $A14, US_national_yearly!$D:$AM, MATCH(I$1, US_national_yearly!$D$1:$AM$1, 0), FALSE) / VLOOKUP(Substitution!$M$15 &amp; $A14, US_national_yearly!$D:$AM, MATCH(Keys!$C$7, US_national_yearly!$D$1:$AM$1, 0), FALSE), 1)</f>
        <v>0.10999708525959344</v>
      </c>
      <c r="J14" s="12">
        <f>$B14 * IFERROR(VLOOKUP(Substitution!$M$15 &amp; $A14, US_national_yearly!$D:$AM, MATCH(J$1, US_national_yearly!$D$1:$AM$1, 0), FALSE) / VLOOKUP(Substitution!$M$15 &amp; $A14, US_national_yearly!$D:$AM, MATCH(Keys!$C$7, US_national_yearly!$D$1:$AM$1, 0), FALSE), 1)</f>
        <v>0.11057156896760417</v>
      </c>
      <c r="K14" s="12">
        <f>$B14 * IFERROR(VLOOKUP(Substitution!$M$15 &amp; $A14, US_national_yearly!$D:$AM, MATCH(K$1, US_national_yearly!$D$1:$AM$1, 0), FALSE) / VLOOKUP(Substitution!$M$15 &amp; $A14, US_national_yearly!$D:$AM, MATCH(Keys!$C$7, US_national_yearly!$D$1:$AM$1, 0), FALSE), 1)</f>
        <v>0.11114605267561488</v>
      </c>
      <c r="L14" s="12">
        <f>$B14 * IFERROR(VLOOKUP(Substitution!$M$15 &amp; $A14, US_national_yearly!$D:$AM, MATCH(L$1, US_national_yearly!$D$1:$AM$1, 0), FALSE) / VLOOKUP(Substitution!$M$15 &amp; $A14, US_national_yearly!$D:$AM, MATCH(Keys!$C$7, US_national_yearly!$D$1:$AM$1, 0), FALSE), 1)</f>
        <v>0.11172053638362564</v>
      </c>
      <c r="M14" s="12">
        <f>$B14 * IFERROR(VLOOKUP(Substitution!$M$15 &amp; $A14, US_national_yearly!$D:$AM, MATCH(M$1, US_national_yearly!$D$1:$AM$1, 0), FALSE) / VLOOKUP(Substitution!$M$15 &amp; $A14, US_national_yearly!$D:$AM, MATCH(Keys!$C$7, US_national_yearly!$D$1:$AM$1, 0), FALSE), 1)</f>
        <v>0.11229502009163637</v>
      </c>
      <c r="N14" s="12">
        <f>$B14 * IFERROR(VLOOKUP(Substitution!$M$15 &amp; $A14, US_national_yearly!$D:$AM, MATCH(N$1, US_national_yearly!$D$1:$AM$1, 0), FALSE) / VLOOKUP(Substitution!$M$15 &amp; $A14, US_national_yearly!$D:$AM, MATCH(Keys!$C$7, US_national_yearly!$D$1:$AM$1, 0), FALSE), 1)</f>
        <v>0.11312231503659452</v>
      </c>
      <c r="O14" s="12">
        <f>$B14 * IFERROR(VLOOKUP(Substitution!$M$15 &amp; $A14, US_national_yearly!$D:$AM, MATCH(O$1, US_national_yearly!$D$1:$AM$1, 0), FALSE) / VLOOKUP(Substitution!$M$15 &amp; $A14, US_national_yearly!$D:$AM, MATCH(Keys!$C$7, US_national_yearly!$D$1:$AM$1, 0), FALSE), 1)</f>
        <v>0.11394960998155271</v>
      </c>
      <c r="P14" s="12">
        <f>$B14 * IFERROR(VLOOKUP(Substitution!$M$15 &amp; $A14, US_national_yearly!$D:$AM, MATCH(P$1, US_national_yearly!$D$1:$AM$1, 0), FALSE) / VLOOKUP(Substitution!$M$15 &amp; $A14, US_national_yearly!$D:$AM, MATCH(Keys!$C$7, US_national_yearly!$D$1:$AM$1, 0), FALSE), 1)</f>
        <v>0.11477690492651089</v>
      </c>
      <c r="Q14" s="12">
        <f>$B14 * IFERROR(VLOOKUP(Substitution!$M$15 &amp; $A14, US_national_yearly!$D:$AM, MATCH(Q$1, US_national_yearly!$D$1:$AM$1, 0), FALSE) / VLOOKUP(Substitution!$M$15 &amp; $A14, US_national_yearly!$D:$AM, MATCH(Keys!$C$7, US_national_yearly!$D$1:$AM$1, 0), FALSE), 1)</f>
        <v>0.11560419987146904</v>
      </c>
      <c r="R14" s="12">
        <f>$B14 * IFERROR(VLOOKUP(Substitution!$M$15 &amp; $A14, US_national_yearly!$D:$AM, MATCH(R$1, US_national_yearly!$D$1:$AM$1, 0), FALSE) / VLOOKUP(Substitution!$M$15 &amp; $A14, US_national_yearly!$D:$AM, MATCH(Keys!$C$7, US_national_yearly!$D$1:$AM$1, 0), FALSE), 1)</f>
        <v>0.11643149481642723</v>
      </c>
      <c r="S14" s="12">
        <f>$B14 * IFERROR(VLOOKUP(Substitution!$M$15 &amp; $A14, US_national_yearly!$D:$AM, MATCH(S$1, US_national_yearly!$D$1:$AM$1, 0), FALSE) / VLOOKUP(Substitution!$M$15 &amp; $A14, US_national_yearly!$D:$AM, MATCH(Keys!$C$7, US_national_yearly!$D$1:$AM$1, 0), FALSE), 1)</f>
        <v>0.11725967549133624</v>
      </c>
      <c r="T14" s="12">
        <f>$B14 * IFERROR(VLOOKUP(Substitution!$M$15 &amp; $A14, US_national_yearly!$D:$AM, MATCH(T$1, US_national_yearly!$D$1:$AM$1, 0), FALSE) / VLOOKUP(Substitution!$M$15 &amp; $A14, US_national_yearly!$D:$AM, MATCH(Keys!$C$7, US_national_yearly!$D$1:$AM$1, 0), FALSE), 1)</f>
        <v>0.11808785616624527</v>
      </c>
      <c r="U14" s="12">
        <f>$B14 * IFERROR(VLOOKUP(Substitution!$M$15 &amp; $A14, US_national_yearly!$D:$AM, MATCH(U$1, US_national_yearly!$D$1:$AM$1, 0), FALSE) / VLOOKUP(Substitution!$M$15 &amp; $A14, US_national_yearly!$D:$AM, MATCH(Keys!$C$7, US_national_yearly!$D$1:$AM$1, 0), FALSE), 1)</f>
        <v>0.1189160368411543</v>
      </c>
      <c r="V14" s="12">
        <f>$B14 * IFERROR(VLOOKUP(Substitution!$M$15 &amp; $A14, US_national_yearly!$D:$AM, MATCH(V$1, US_national_yearly!$D$1:$AM$1, 0), FALSE) / VLOOKUP(Substitution!$M$15 &amp; $A14, US_national_yearly!$D:$AM, MATCH(Keys!$C$7, US_national_yearly!$D$1:$AM$1, 0), FALSE), 1)</f>
        <v>0.11974421751606334</v>
      </c>
      <c r="W14" s="12">
        <f>$B14 * IFERROR(VLOOKUP(Substitution!$M$15 &amp; $A14, US_national_yearly!$D:$AM, MATCH(W$1, US_national_yearly!$D$1:$AM$1, 0), FALSE) / VLOOKUP(Substitution!$M$15 &amp; $A14, US_national_yearly!$D:$AM, MATCH(Keys!$C$7, US_national_yearly!$D$1:$AM$1, 0), FALSE), 1)</f>
        <v>0.12057239819097237</v>
      </c>
      <c r="X14" s="12">
        <f>$B14 * IFERROR(VLOOKUP(Substitution!$M$15 &amp; $A14, US_national_yearly!$D:$AM, MATCH(X$1, US_national_yearly!$D$1:$AM$1, 0), FALSE) / VLOOKUP(Substitution!$M$15 &amp; $A14, US_national_yearly!$D:$AM, MATCH(Keys!$C$7, US_national_yearly!$D$1:$AM$1, 0), FALSE), 1)</f>
        <v>0.12127161904791203</v>
      </c>
      <c r="Y14" s="12">
        <f>$B14 * IFERROR(VLOOKUP(Substitution!$M$15 &amp; $A14, US_national_yearly!$D:$AM, MATCH(Y$1, US_national_yearly!$D$1:$AM$1, 0), FALSE) / VLOOKUP(Substitution!$M$15 &amp; $A14, US_national_yearly!$D:$AM, MATCH(Keys!$C$7, US_national_yearly!$D$1:$AM$1, 0), FALSE), 1)</f>
        <v>0.12197083990485166</v>
      </c>
      <c r="Z14" s="12">
        <f>$B14 * IFERROR(VLOOKUP(Substitution!$M$15 &amp; $A14, US_national_yearly!$D:$AM, MATCH(Z$1, US_national_yearly!$D$1:$AM$1, 0), FALSE) / VLOOKUP(Substitution!$M$15 &amp; $A14, US_national_yearly!$D:$AM, MATCH(Keys!$C$7, US_national_yearly!$D$1:$AM$1, 0), FALSE), 1)</f>
        <v>0.12267006076179131</v>
      </c>
      <c r="AA14" s="12">
        <f>$B14 * IFERROR(VLOOKUP(Substitution!$M$15 &amp; $A14, US_national_yearly!$D:$AM, MATCH(AA$1, US_national_yearly!$D$1:$AM$1, 0), FALSE) / VLOOKUP(Substitution!$M$15 &amp; $A14, US_national_yearly!$D:$AM, MATCH(Keys!$C$7, US_national_yearly!$D$1:$AM$1, 0), FALSE), 1)</f>
        <v>0.12336928161873097</v>
      </c>
      <c r="AB14" s="12">
        <f>$B14 * IFERROR(VLOOKUP(Substitution!$M$15 &amp; $A14, US_national_yearly!$D:$AM, MATCH(AB$1, US_national_yearly!$D$1:$AM$1, 0), FALSE) / VLOOKUP(Substitution!$M$15 &amp; $A14, US_national_yearly!$D:$AM, MATCH(Keys!$C$7, US_national_yearly!$D$1:$AM$1, 0), FALSE), 1)</f>
        <v>0.12406850247567063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Substitution!$G$15)/IFERROR(SUMIFS(COBRA_aggregated!$W:$W, COBRA_aggregated!$A:$A, About!$B$1, COBRA_aggregated!$B:$B, Substitution!$G$15), 1)</f>
        <v>1.8243692661772129E-2</v>
      </c>
      <c r="C15" s="12">
        <f>$B15 * IFERROR(VLOOKUP(Substitution!$M$15 &amp; $A15, US_national_yearly!$D:$AM, MATCH(C$1, US_national_yearly!$D$1:$AM$1, 0), FALSE) / VLOOKUP(Substitution!$M$15 &amp; $A15, US_national_yearly!$D:$AM, MATCH(Keys!$C$7, US_national_yearly!$D$1:$AM$1, 0), FALSE), 1)</f>
        <v>1.8283220848875553E-2</v>
      </c>
      <c r="D15" s="12">
        <f>$B15 * IFERROR(VLOOKUP(Substitution!$M$15 &amp; $A15, US_national_yearly!$D:$AM, MATCH(D$1, US_national_yearly!$D$1:$AM$1, 0), FALSE) / VLOOKUP(Substitution!$M$15 &amp; $A15, US_national_yearly!$D:$AM, MATCH(Keys!$C$7, US_national_yearly!$D$1:$AM$1, 0), FALSE), 1)</f>
        <v>1.8322749035978966E-2</v>
      </c>
      <c r="E15" s="12">
        <f>$B15 * IFERROR(VLOOKUP(Substitution!$M$15 &amp; $A15, US_national_yearly!$D:$AM, MATCH(E$1, US_national_yearly!$D$1:$AM$1, 0), FALSE) / VLOOKUP(Substitution!$M$15 &amp; $A15, US_national_yearly!$D:$AM, MATCH(Keys!$C$7, US_national_yearly!$D$1:$AM$1, 0), FALSE), 1)</f>
        <v>1.8362277223082389E-2</v>
      </c>
      <c r="F15" s="12">
        <f>$B15 * IFERROR(VLOOKUP(Substitution!$M$15 &amp; $A15, US_national_yearly!$D:$AM, MATCH(F$1, US_national_yearly!$D$1:$AM$1, 0), FALSE) / VLOOKUP(Substitution!$M$15 &amp; $A15, US_national_yearly!$D:$AM, MATCH(Keys!$C$7, US_national_yearly!$D$1:$AM$1, 0), FALSE), 1)</f>
        <v>1.8401805410185806E-2</v>
      </c>
      <c r="G15" s="12">
        <f>$B15 * IFERROR(VLOOKUP(Substitution!$M$15 &amp; $A15, US_national_yearly!$D:$AM, MATCH(G$1, US_national_yearly!$D$1:$AM$1, 0), FALSE) / VLOOKUP(Substitution!$M$15 &amp; $A15, US_national_yearly!$D:$AM, MATCH(Keys!$C$7, US_national_yearly!$D$1:$AM$1, 0), FALSE), 1)</f>
        <v>1.8459625233960421E-2</v>
      </c>
      <c r="H15" s="12">
        <f>$B15 * IFERROR(VLOOKUP(Substitution!$M$15 &amp; $A15, US_national_yearly!$D:$AM, MATCH(H$1, US_national_yearly!$D$1:$AM$1, 0), FALSE) / VLOOKUP(Substitution!$M$15 &amp; $A15, US_national_yearly!$D:$AM, MATCH(Keys!$C$7, US_national_yearly!$D$1:$AM$1, 0), FALSE), 1)</f>
        <v>1.8517445057735036E-2</v>
      </c>
      <c r="I15" s="12">
        <f>$B15 * IFERROR(VLOOKUP(Substitution!$M$15 &amp; $A15, US_national_yearly!$D:$AM, MATCH(I$1, US_national_yearly!$D$1:$AM$1, 0), FALSE) / VLOOKUP(Substitution!$M$15 &amp; $A15, US_national_yearly!$D:$AM, MATCH(Keys!$C$7, US_national_yearly!$D$1:$AM$1, 0), FALSE), 1)</f>
        <v>1.8611387610886296E-2</v>
      </c>
      <c r="J15" s="12">
        <f>$B15 * IFERROR(VLOOKUP(Substitution!$M$15 &amp; $A15, US_national_yearly!$D:$AM, MATCH(J$1, US_national_yearly!$D$1:$AM$1, 0), FALSE) / VLOOKUP(Substitution!$M$15 &amp; $A15, US_national_yearly!$D:$AM, MATCH(Keys!$C$7, US_national_yearly!$D$1:$AM$1, 0), FALSE), 1)</f>
        <v>1.870533016403755E-2</v>
      </c>
      <c r="K15" s="12">
        <f>$B15 * IFERROR(VLOOKUP(Substitution!$M$15 &amp; $A15, US_national_yearly!$D:$AM, MATCH(K$1, US_national_yearly!$D$1:$AM$1, 0), FALSE) / VLOOKUP(Substitution!$M$15 &amp; $A15, US_national_yearly!$D:$AM, MATCH(Keys!$C$7, US_national_yearly!$D$1:$AM$1, 0), FALSE), 1)</f>
        <v>1.8799272717188811E-2</v>
      </c>
      <c r="L15" s="12">
        <f>$B15 * IFERROR(VLOOKUP(Substitution!$M$15 &amp; $A15, US_national_yearly!$D:$AM, MATCH(L$1, US_national_yearly!$D$1:$AM$1, 0), FALSE) / VLOOKUP(Substitution!$M$15 &amp; $A15, US_national_yearly!$D:$AM, MATCH(Keys!$C$7, US_national_yearly!$D$1:$AM$1, 0), FALSE), 1)</f>
        <v>1.8893215270340068E-2</v>
      </c>
      <c r="M15" s="12">
        <f>$B15 * IFERROR(VLOOKUP(Substitution!$M$15 &amp; $A15, US_national_yearly!$D:$AM, MATCH(M$1, US_national_yearly!$D$1:$AM$1, 0), FALSE) / VLOOKUP(Substitution!$M$15 &amp; $A15, US_national_yearly!$D:$AM, MATCH(Keys!$C$7, US_national_yearly!$D$1:$AM$1, 0), FALSE), 1)</f>
        <v>1.8987157823491328E-2</v>
      </c>
      <c r="N15" s="12">
        <f>$B15 * IFERROR(VLOOKUP(Substitution!$M$15 &amp; $A15, US_national_yearly!$D:$AM, MATCH(N$1, US_national_yearly!$D$1:$AM$1, 0), FALSE) / VLOOKUP(Substitution!$M$15 &amp; $A15, US_national_yearly!$D:$AM, MATCH(Keys!$C$7, US_national_yearly!$D$1:$AM$1, 0), FALSE), 1)</f>
        <v>1.9110013379025619E-2</v>
      </c>
      <c r="O15" s="12">
        <f>$B15 * IFERROR(VLOOKUP(Substitution!$M$15 &amp; $A15, US_national_yearly!$D:$AM, MATCH(O$1, US_national_yearly!$D$1:$AM$1, 0), FALSE) / VLOOKUP(Substitution!$M$15 &amp; $A15, US_national_yearly!$D:$AM, MATCH(Keys!$C$7, US_national_yearly!$D$1:$AM$1, 0), FALSE), 1)</f>
        <v>1.9232868934559916E-2</v>
      </c>
      <c r="P15" s="12">
        <f>$B15 * IFERROR(VLOOKUP(Substitution!$M$15 &amp; $A15, US_national_yearly!$D:$AM, MATCH(P$1, US_national_yearly!$D$1:$AM$1, 0), FALSE) / VLOOKUP(Substitution!$M$15 &amp; $A15, US_national_yearly!$D:$AM, MATCH(Keys!$C$7, US_national_yearly!$D$1:$AM$1, 0), FALSE), 1)</f>
        <v>1.9355724490094206E-2</v>
      </c>
      <c r="Q15" s="12">
        <f>$B15 * IFERROR(VLOOKUP(Substitution!$M$15 &amp; $A15, US_national_yearly!$D:$AM, MATCH(Q$1, US_national_yearly!$D$1:$AM$1, 0), FALSE) / VLOOKUP(Substitution!$M$15 &amp; $A15, US_national_yearly!$D:$AM, MATCH(Keys!$C$7, US_national_yearly!$D$1:$AM$1, 0), FALSE), 1)</f>
        <v>1.9478580045628496E-2</v>
      </c>
      <c r="R15" s="12">
        <f>$B15 * IFERROR(VLOOKUP(Substitution!$M$15 &amp; $A15, US_national_yearly!$D:$AM, MATCH(R$1, US_national_yearly!$D$1:$AM$1, 0), FALSE) / VLOOKUP(Substitution!$M$15 &amp; $A15, US_national_yearly!$D:$AM, MATCH(Keys!$C$7, US_national_yearly!$D$1:$AM$1, 0), FALSE), 1)</f>
        <v>1.960143560116279E-2</v>
      </c>
      <c r="S15" s="12">
        <f>$B15 * IFERROR(VLOOKUP(Substitution!$M$15 &amp; $A15, US_national_yearly!$D:$AM, MATCH(S$1, US_national_yearly!$D$1:$AM$1, 0), FALSE) / VLOOKUP(Substitution!$M$15 &amp; $A15, US_national_yearly!$D:$AM, MATCH(Keys!$C$7, US_national_yearly!$D$1:$AM$1, 0), FALSE), 1)</f>
        <v>1.9738780670654744E-2</v>
      </c>
      <c r="T15" s="12">
        <f>$B15 * IFERROR(VLOOKUP(Substitution!$M$15 &amp; $A15, US_national_yearly!$D:$AM, MATCH(T$1, US_national_yearly!$D$1:$AM$1, 0), FALSE) / VLOOKUP(Substitution!$M$15 &amp; $A15, US_national_yearly!$D:$AM, MATCH(Keys!$C$7, US_national_yearly!$D$1:$AM$1, 0), FALSE), 1)</f>
        <v>1.9876125740146699E-2</v>
      </c>
      <c r="U15" s="12">
        <f>$B15 * IFERROR(VLOOKUP(Substitution!$M$15 &amp; $A15, US_national_yearly!$D:$AM, MATCH(U$1, US_national_yearly!$D$1:$AM$1, 0), FALSE) / VLOOKUP(Substitution!$M$15 &amp; $A15, US_national_yearly!$D:$AM, MATCH(Keys!$C$7, US_national_yearly!$D$1:$AM$1, 0), FALSE), 1)</f>
        <v>2.0013470809638653E-2</v>
      </c>
      <c r="V15" s="12">
        <f>$B15 * IFERROR(VLOOKUP(Substitution!$M$15 &amp; $A15, US_national_yearly!$D:$AM, MATCH(V$1, US_national_yearly!$D$1:$AM$1, 0), FALSE) / VLOOKUP(Substitution!$M$15 &amp; $A15, US_national_yearly!$D:$AM, MATCH(Keys!$C$7, US_national_yearly!$D$1:$AM$1, 0), FALSE), 1)</f>
        <v>2.0150815879130604E-2</v>
      </c>
      <c r="W15" s="12">
        <f>$B15 * IFERROR(VLOOKUP(Substitution!$M$15 &amp; $A15, US_national_yearly!$D:$AM, MATCH(W$1, US_national_yearly!$D$1:$AM$1, 0), FALSE) / VLOOKUP(Substitution!$M$15 &amp; $A15, US_national_yearly!$D:$AM, MATCH(Keys!$C$7, US_national_yearly!$D$1:$AM$1, 0), FALSE), 1)</f>
        <v>2.0288160948622562E-2</v>
      </c>
      <c r="X15" s="12">
        <f>$B15 * IFERROR(VLOOKUP(Substitution!$M$15 &amp; $A15, US_national_yearly!$D:$AM, MATCH(X$1, US_national_yearly!$D$1:$AM$1, 0), FALSE) / VLOOKUP(Substitution!$M$15 &amp; $A15, US_national_yearly!$D:$AM, MATCH(Keys!$C$7, US_national_yearly!$D$1:$AM$1, 0), FALSE), 1)</f>
        <v>2.0407312586315642E-2</v>
      </c>
      <c r="Y15" s="12">
        <f>$B15 * IFERROR(VLOOKUP(Substitution!$M$15 &amp; $A15, US_national_yearly!$D:$AM, MATCH(Y$1, US_national_yearly!$D$1:$AM$1, 0), FALSE) / VLOOKUP(Substitution!$M$15 &amp; $A15, US_national_yearly!$D:$AM, MATCH(Keys!$C$7, US_national_yearly!$D$1:$AM$1, 0), FALSE), 1)</f>
        <v>2.0526464224008723E-2</v>
      </c>
      <c r="Z15" s="12">
        <f>$B15 * IFERROR(VLOOKUP(Substitution!$M$15 &amp; $A15, US_national_yearly!$D:$AM, MATCH(Z$1, US_national_yearly!$D$1:$AM$1, 0), FALSE) / VLOOKUP(Substitution!$M$15 &amp; $A15, US_national_yearly!$D:$AM, MATCH(Keys!$C$7, US_national_yearly!$D$1:$AM$1, 0), FALSE), 1)</f>
        <v>2.0645615861701803E-2</v>
      </c>
      <c r="AA15" s="12">
        <f>$B15 * IFERROR(VLOOKUP(Substitution!$M$15 &amp; $A15, US_national_yearly!$D:$AM, MATCH(AA$1, US_national_yearly!$D$1:$AM$1, 0), FALSE) / VLOOKUP(Substitution!$M$15 &amp; $A15, US_national_yearly!$D:$AM, MATCH(Keys!$C$7, US_national_yearly!$D$1:$AM$1, 0), FALSE), 1)</f>
        <v>2.0764767499394883E-2</v>
      </c>
      <c r="AB15" s="12">
        <f>$B15 * IFERROR(VLOOKUP(Substitution!$M$15 &amp; $A15, US_national_yearly!$D:$AM, MATCH(AB$1, US_national_yearly!$D$1:$AM$1, 0), FALSE) / VLOOKUP(Substitution!$M$15 &amp; $A15, US_national_yearly!$D:$AM, MATCH(Keys!$C$7, US_national_yearly!$D$1:$AM$1, 0), FALSE), 1)</f>
        <v>2.0883919137087963E-2</v>
      </c>
    </row>
    <row r="16" spans="1:28" x14ac:dyDescent="0.25">
      <c r="A16" s="4" t="s">
        <v>319</v>
      </c>
      <c r="B16" s="12">
        <f>IFERROR(VLOOKUP(Substitution!$M$15 &amp; $A16, US_national_yearly!$D:$AM, MATCH(Keys!$C$7, US_national_yearly!$D$1:$AM$1, 0), FALSE), 0)</f>
        <v>8.14366207276111E-5</v>
      </c>
      <c r="C16" s="12">
        <f>$B16 * IFERROR(VLOOKUP(Substitution!$M$15 &amp; $A16, US_national_yearly!$D:$AM, MATCH(C$1, US_national_yearly!$D$1:$AM$1, 0), FALSE) / VLOOKUP(Substitution!$M$15 &amp; $A16, US_national_yearly!$D:$AM, MATCH(Keys!$C$7, US_national_yearly!$D$1:$AM$1, 0), FALSE), 1)</f>
        <v>8.297506895729808E-5</v>
      </c>
      <c r="D16" s="12">
        <f>$B16 * IFERROR(VLOOKUP(Substitution!$M$15 &amp; $A16, US_national_yearly!$D:$AM, MATCH(D$1, US_national_yearly!$D$1:$AM$1, 0), FALSE) / VLOOKUP(Substitution!$M$15 &amp; $A16, US_national_yearly!$D:$AM, MATCH(Keys!$C$7, US_national_yearly!$D$1:$AM$1, 0), FALSE), 1)</f>
        <v>8.4513517186985101E-5</v>
      </c>
      <c r="E16" s="12">
        <f>$B16 * IFERROR(VLOOKUP(Substitution!$M$15 &amp; $A16, US_national_yearly!$D:$AM, MATCH(E$1, US_national_yearly!$D$1:$AM$1, 0), FALSE) / VLOOKUP(Substitution!$M$15 &amp; $A16, US_national_yearly!$D:$AM, MATCH(Keys!$C$7, US_national_yearly!$D$1:$AM$1, 0), FALSE), 1)</f>
        <v>8.6051965416672095E-5</v>
      </c>
      <c r="F16" s="12">
        <f>$B16 * IFERROR(VLOOKUP(Substitution!$M$15 &amp; $A16, US_national_yearly!$D:$AM, MATCH(F$1, US_national_yearly!$D$1:$AM$1, 0), FALSE) / VLOOKUP(Substitution!$M$15 &amp; $A16, US_national_yearly!$D:$AM, MATCH(Keys!$C$7, US_national_yearly!$D$1:$AM$1, 0), FALSE), 1)</f>
        <v>8.7590413646359088E-5</v>
      </c>
      <c r="G16" s="12">
        <f>$B16 * IFERROR(VLOOKUP(Substitution!$M$15 &amp; $A16, US_national_yearly!$D:$AM, MATCH(G$1, US_national_yearly!$D$1:$AM$1, 0), FALSE) / VLOOKUP(Substitution!$M$15 &amp; $A16, US_national_yearly!$D:$AM, MATCH(Keys!$C$7, US_national_yearly!$D$1:$AM$1, 0), FALSE), 1)</f>
        <v>8.9233061431029796E-5</v>
      </c>
      <c r="H16" s="12">
        <f>$B16 * IFERROR(VLOOKUP(Substitution!$M$15 &amp; $A16, US_national_yearly!$D:$AM, MATCH(H$1, US_national_yearly!$D$1:$AM$1, 0), FALSE) / VLOOKUP(Substitution!$M$15 &amp; $A16, US_national_yearly!$D:$AM, MATCH(Keys!$C$7, US_national_yearly!$D$1:$AM$1, 0), FALSE), 1)</f>
        <v>9.0875709215700504E-5</v>
      </c>
      <c r="I16" s="12">
        <f>$B16 * IFERROR(VLOOKUP(Substitution!$M$15 &amp; $A16, US_national_yearly!$D:$AM, MATCH(I$1, US_national_yearly!$D$1:$AM$1, 0), FALSE) / VLOOKUP(Substitution!$M$15 &amp; $A16, US_national_yearly!$D:$AM, MATCH(Keys!$C$7, US_national_yearly!$D$1:$AM$1, 0), FALSE), 1)</f>
        <v>9.262336319805877E-5</v>
      </c>
      <c r="J16" s="12">
        <f>$B16 * IFERROR(VLOOKUP(Substitution!$M$15 &amp; $A16, US_national_yearly!$D:$AM, MATCH(J$1, US_national_yearly!$D$1:$AM$1, 0), FALSE) / VLOOKUP(Substitution!$M$15 &amp; $A16, US_national_yearly!$D:$AM, MATCH(Keys!$C$7, US_national_yearly!$D$1:$AM$1, 0), FALSE), 1)</f>
        <v>9.4371017180417023E-5</v>
      </c>
      <c r="K16" s="12">
        <f>$B16 * IFERROR(VLOOKUP(Substitution!$M$15 &amp; $A16, US_national_yearly!$D:$AM, MATCH(K$1, US_national_yearly!$D$1:$AM$1, 0), FALSE) / VLOOKUP(Substitution!$M$15 &amp; $A16, US_national_yearly!$D:$AM, MATCH(Keys!$C$7, US_national_yearly!$D$1:$AM$1, 0), FALSE), 1)</f>
        <v>9.6118671162775276E-5</v>
      </c>
      <c r="L16" s="12">
        <f>$B16 * IFERROR(VLOOKUP(Substitution!$M$15 &amp; $A16, US_national_yearly!$D:$AM, MATCH(L$1, US_national_yearly!$D$1:$AM$1, 0), FALSE) / VLOOKUP(Substitution!$M$15 &amp; $A16, US_national_yearly!$D:$AM, MATCH(Keys!$C$7, US_national_yearly!$D$1:$AM$1, 0), FALSE), 1)</f>
        <v>9.7866325145133556E-5</v>
      </c>
      <c r="M16" s="12">
        <f>$B16 * IFERROR(VLOOKUP(Substitution!$M$15 &amp; $A16, US_national_yearly!$D:$AM, MATCH(M$1, US_national_yearly!$D$1:$AM$1, 0), FALSE) / VLOOKUP(Substitution!$M$15 &amp; $A16, US_national_yearly!$D:$AM, MATCH(Keys!$C$7, US_national_yearly!$D$1:$AM$1, 0), FALSE), 1)</f>
        <v>9.9613979127491796E-5</v>
      </c>
      <c r="N16" s="12">
        <f>$B16 * IFERROR(VLOOKUP(Substitution!$M$15 &amp; $A16, US_national_yearly!$D:$AM, MATCH(N$1, US_national_yearly!$D$1:$AM$1, 0), FALSE) / VLOOKUP(Substitution!$M$15 &amp; $A16, US_national_yearly!$D:$AM, MATCH(Keys!$C$7, US_national_yearly!$D$1:$AM$1, 0), FALSE), 1)</f>
        <v>1.0104081430925919E-4</v>
      </c>
      <c r="O16" s="12">
        <f>$B16 * IFERROR(VLOOKUP(Substitution!$M$15 &amp; $A16, US_national_yearly!$D:$AM, MATCH(O$1, US_national_yearly!$D$1:$AM$1, 0), FALSE) / VLOOKUP(Substitution!$M$15 &amp; $A16, US_national_yearly!$D:$AM, MATCH(Keys!$C$7, US_national_yearly!$D$1:$AM$1, 0), FALSE), 1)</f>
        <v>1.024676494910267E-4</v>
      </c>
      <c r="P16" s="12">
        <f>$B16 * IFERROR(VLOOKUP(Substitution!$M$15 &amp; $A16, US_national_yearly!$D:$AM, MATCH(P$1, US_national_yearly!$D$1:$AM$1, 0), FALSE) / VLOOKUP(Substitution!$M$15 &amp; $A16, US_national_yearly!$D:$AM, MATCH(Keys!$C$7, US_national_yearly!$D$1:$AM$1, 0), FALSE), 1)</f>
        <v>1.038944846727941E-4</v>
      </c>
      <c r="Q16" s="12">
        <f>$B16 * IFERROR(VLOOKUP(Substitution!$M$15 &amp; $A16, US_national_yearly!$D:$AM, MATCH(Q$1, US_national_yearly!$D$1:$AM$1, 0), FALSE) / VLOOKUP(Substitution!$M$15 &amp; $A16, US_national_yearly!$D:$AM, MATCH(Keys!$C$7, US_national_yearly!$D$1:$AM$1, 0), FALSE), 1)</f>
        <v>1.0532131985456161E-4</v>
      </c>
      <c r="R16" s="12">
        <f>$B16 * IFERROR(VLOOKUP(Substitution!$M$15 &amp; $A16, US_national_yearly!$D:$AM, MATCH(R$1, US_national_yearly!$D$1:$AM$1, 0), FALSE) / VLOOKUP(Substitution!$M$15 &amp; $A16, US_national_yearly!$D:$AM, MATCH(Keys!$C$7, US_national_yearly!$D$1:$AM$1, 0), FALSE), 1)</f>
        <v>1.0674815503632902E-4</v>
      </c>
      <c r="S16" s="12">
        <f>$B16 * IFERROR(VLOOKUP(Substitution!$M$15 &amp; $A16, US_national_yearly!$D:$AM, MATCH(S$1, US_national_yearly!$D$1:$AM$1, 0), FALSE) / VLOOKUP(Substitution!$M$15 &amp; $A16, US_national_yearly!$D:$AM, MATCH(Keys!$C$7, US_national_yearly!$D$1:$AM$1, 0), FALSE), 1)</f>
        <v>1.073804897694882E-4</v>
      </c>
      <c r="T16" s="12">
        <f>$B16 * IFERROR(VLOOKUP(Substitution!$M$15 &amp; $A16, US_national_yearly!$D:$AM, MATCH(T$1, US_national_yearly!$D$1:$AM$1, 0), FALSE) / VLOOKUP(Substitution!$M$15 &amp; $A16, US_national_yearly!$D:$AM, MATCH(Keys!$C$7, US_national_yearly!$D$1:$AM$1, 0), FALSE), 1)</f>
        <v>1.0801282450264739E-4</v>
      </c>
      <c r="U16" s="12">
        <f>$B16 * IFERROR(VLOOKUP(Substitution!$M$15 &amp; $A16, US_national_yearly!$D:$AM, MATCH(U$1, US_national_yearly!$D$1:$AM$1, 0), FALSE) / VLOOKUP(Substitution!$M$15 &amp; $A16, US_national_yearly!$D:$AM, MATCH(Keys!$C$7, US_national_yearly!$D$1:$AM$1, 0), FALSE), 1)</f>
        <v>1.086451592358066E-4</v>
      </c>
      <c r="V16" s="12">
        <f>$B16 * IFERROR(VLOOKUP(Substitution!$M$15 &amp; $A16, US_national_yearly!$D:$AM, MATCH(V$1, US_national_yearly!$D$1:$AM$1, 0), FALSE) / VLOOKUP(Substitution!$M$15 &amp; $A16, US_national_yearly!$D:$AM, MATCH(Keys!$C$7, US_national_yearly!$D$1:$AM$1, 0), FALSE), 1)</f>
        <v>1.0927749396896581E-4</v>
      </c>
      <c r="W16" s="12">
        <f>$B16 * IFERROR(VLOOKUP(Substitution!$M$15 &amp; $A16, US_national_yearly!$D:$AM, MATCH(W$1, US_national_yearly!$D$1:$AM$1, 0), FALSE) / VLOOKUP(Substitution!$M$15 &amp; $A16, US_national_yearly!$D:$AM, MATCH(Keys!$C$7, US_national_yearly!$D$1:$AM$1, 0), FALSE), 1)</f>
        <v>1.09909828702125E-4</v>
      </c>
      <c r="X16" s="12">
        <f>$B16 * IFERROR(VLOOKUP(Substitution!$M$15 &amp; $A16, US_national_yearly!$D:$AM, MATCH(X$1, US_national_yearly!$D$1:$AM$1, 0), FALSE) / VLOOKUP(Substitution!$M$15 &amp; $A16, US_national_yearly!$D:$AM, MATCH(Keys!$C$7, US_national_yearly!$D$1:$AM$1, 0), FALSE), 1)</f>
        <v>1.101391570455446E-4</v>
      </c>
      <c r="Y16" s="12">
        <f>$B16 * IFERROR(VLOOKUP(Substitution!$M$15 &amp; $A16, US_national_yearly!$D:$AM, MATCH(Y$1, US_national_yearly!$D$1:$AM$1, 0), FALSE) / VLOOKUP(Substitution!$M$15 &amp; $A16, US_national_yearly!$D:$AM, MATCH(Keys!$C$7, US_national_yearly!$D$1:$AM$1, 0), FALSE), 1)</f>
        <v>1.1036848538896419E-4</v>
      </c>
      <c r="Z16" s="12">
        <f>$B16 * IFERROR(VLOOKUP(Substitution!$M$15 &amp; $A16, US_national_yearly!$D:$AM, MATCH(Z$1, US_national_yearly!$D$1:$AM$1, 0), FALSE) / VLOOKUP(Substitution!$M$15 &amp; $A16, US_national_yearly!$D:$AM, MATCH(Keys!$C$7, US_national_yearly!$D$1:$AM$1, 0), FALSE), 1)</f>
        <v>1.1059781373238379E-4</v>
      </c>
      <c r="AA16" s="12">
        <f>$B16 * IFERROR(VLOOKUP(Substitution!$M$15 &amp; $A16, US_national_yearly!$D:$AM, MATCH(AA$1, US_national_yearly!$D$1:$AM$1, 0), FALSE) / VLOOKUP(Substitution!$M$15 &amp; $A16, US_national_yearly!$D:$AM, MATCH(Keys!$C$7, US_national_yearly!$D$1:$AM$1, 0), FALSE), 1)</f>
        <v>1.1082714207580339E-4</v>
      </c>
      <c r="AB16" s="12">
        <f>$B16 * IFERROR(VLOOKUP(Substitution!$M$15 &amp; $A16, US_national_yearly!$D:$AM, MATCH(AB$1, US_national_yearly!$D$1:$AM$1, 0), FALSE) / VLOOKUP(Substitution!$M$15 &amp; $A16, US_national_yearly!$D:$AM, MATCH(Keys!$C$7, US_national_yearly!$D$1:$AM$1, 0), FALSE), 1)</f>
        <v>1.11056470419223E-4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Substitution!$G$15)/IFERROR(SUMIFS(COBRA_aggregated!$W:$W, COBRA_aggregated!$A:$A, About!$B$1, COBRA_aggregated!$B:$B, Substitution!$G$15), 1)</f>
        <v>4.5004571974115699E-5</v>
      </c>
      <c r="C17" s="12">
        <f>$B17 * IFERROR(VLOOKUP(Substitution!$M$15 &amp; $A17, US_national_yearly!$D:$AM, MATCH(C$1, US_national_yearly!$D$1:$AM$1, 0), FALSE) / VLOOKUP(Substitution!$M$15 &amp; $A17, US_national_yearly!$D:$AM, MATCH(Keys!$C$7, US_national_yearly!$D$1:$AM$1, 0), FALSE), 1)</f>
        <v>4.632602642139812E-5</v>
      </c>
      <c r="D17" s="12">
        <f>$B17 * IFERROR(VLOOKUP(Substitution!$M$15 &amp; $A17, US_national_yearly!$D:$AM, MATCH(D$1, US_national_yearly!$D$1:$AM$1, 0), FALSE) / VLOOKUP(Substitution!$M$15 &amp; $A17, US_national_yearly!$D:$AM, MATCH(Keys!$C$7, US_national_yearly!$D$1:$AM$1, 0), FALSE), 1)</f>
        <v>4.7647480868680541E-5</v>
      </c>
      <c r="E17" s="12">
        <f>$B17 * IFERROR(VLOOKUP(Substitution!$M$15 &amp; $A17, US_national_yearly!$D:$AM, MATCH(E$1, US_national_yearly!$D$1:$AM$1, 0), FALSE) / VLOOKUP(Substitution!$M$15 &amp; $A17, US_national_yearly!$D:$AM, MATCH(Keys!$C$7, US_national_yearly!$D$1:$AM$1, 0), FALSE), 1)</f>
        <v>4.8968935315962961E-5</v>
      </c>
      <c r="F17" s="12">
        <f>$B17 * IFERROR(VLOOKUP(Substitution!$M$15 &amp; $A17, US_national_yearly!$D:$AM, MATCH(F$1, US_national_yearly!$D$1:$AM$1, 0), FALSE) / VLOOKUP(Substitution!$M$15 &amp; $A17, US_national_yearly!$D:$AM, MATCH(Keys!$C$7, US_national_yearly!$D$1:$AM$1, 0), FALSE), 1)</f>
        <v>5.0290389763245389E-5</v>
      </c>
      <c r="G17" s="12">
        <f>$B17 * IFERROR(VLOOKUP(Substitution!$M$15 &amp; $A17, US_national_yearly!$D:$AM, MATCH(G$1, US_national_yearly!$D$1:$AM$1, 0), FALSE) / VLOOKUP(Substitution!$M$15 &amp; $A17, US_national_yearly!$D:$AM, MATCH(Keys!$C$7, US_national_yearly!$D$1:$AM$1, 0), FALSE), 1)</f>
        <v>5.1546331982054393E-5</v>
      </c>
      <c r="H17" s="12">
        <f>$B17 * IFERROR(VLOOKUP(Substitution!$M$15 &amp; $A17, US_national_yearly!$D:$AM, MATCH(H$1, US_national_yearly!$D$1:$AM$1, 0), FALSE) / VLOOKUP(Substitution!$M$15 &amp; $A17, US_national_yearly!$D:$AM, MATCH(Keys!$C$7, US_national_yearly!$D$1:$AM$1, 0), FALSE), 1)</f>
        <v>5.2802274200863404E-5</v>
      </c>
      <c r="I17" s="12">
        <f>$B17 * IFERROR(VLOOKUP(Substitution!$M$15 &amp; $A17, US_national_yearly!$D:$AM, MATCH(I$1, US_national_yearly!$D$1:$AM$1, 0), FALSE) / VLOOKUP(Substitution!$M$15 &amp; $A17, US_national_yearly!$D:$AM, MATCH(Keys!$C$7, US_national_yearly!$D$1:$AM$1, 0), FALSE), 1)</f>
        <v>5.3861124367657684E-5</v>
      </c>
      <c r="J17" s="12">
        <f>$B17 * IFERROR(VLOOKUP(Substitution!$M$15 &amp; $A17, US_national_yearly!$D:$AM, MATCH(J$1, US_national_yearly!$D$1:$AM$1, 0), FALSE) / VLOOKUP(Substitution!$M$15 &amp; $A17, US_national_yearly!$D:$AM, MATCH(Keys!$C$7, US_national_yearly!$D$1:$AM$1, 0), FALSE), 1)</f>
        <v>5.491997453445197E-5</v>
      </c>
      <c r="K17" s="12">
        <f>$B17 * IFERROR(VLOOKUP(Substitution!$M$15 &amp; $A17, US_national_yearly!$D:$AM, MATCH(K$1, US_national_yearly!$D$1:$AM$1, 0), FALSE) / VLOOKUP(Substitution!$M$15 &amp; $A17, US_national_yearly!$D:$AM, MATCH(Keys!$C$7, US_national_yearly!$D$1:$AM$1, 0), FALSE), 1)</f>
        <v>5.5978824701246243E-5</v>
      </c>
      <c r="L17" s="12">
        <f>$B17 * IFERROR(VLOOKUP(Substitution!$M$15 &amp; $A17, US_national_yearly!$D:$AM, MATCH(L$1, US_national_yearly!$D$1:$AM$1, 0), FALSE) / VLOOKUP(Substitution!$M$15 &amp; $A17, US_national_yearly!$D:$AM, MATCH(Keys!$C$7, US_national_yearly!$D$1:$AM$1, 0), FALSE), 1)</f>
        <v>5.7037674868040523E-5</v>
      </c>
      <c r="M17" s="12">
        <f>$B17 * IFERROR(VLOOKUP(Substitution!$M$15 &amp; $A17, US_national_yearly!$D:$AM, MATCH(M$1, US_national_yearly!$D$1:$AM$1, 0), FALSE) / VLOOKUP(Substitution!$M$15 &amp; $A17, US_national_yearly!$D:$AM, MATCH(Keys!$C$7, US_national_yearly!$D$1:$AM$1, 0), FALSE), 1)</f>
        <v>5.8096525034834796E-5</v>
      </c>
      <c r="N17" s="12">
        <f>$B17 * IFERROR(VLOOKUP(Substitution!$M$15 &amp; $A17, US_national_yearly!$D:$AM, MATCH(N$1, US_national_yearly!$D$1:$AM$1, 0), FALSE) / VLOOKUP(Substitution!$M$15 &amp; $A17, US_national_yearly!$D:$AM, MATCH(Keys!$C$7, US_national_yearly!$D$1:$AM$1, 0), FALSE), 1)</f>
        <v>5.8759408811682062E-5</v>
      </c>
      <c r="O17" s="12">
        <f>$B17 * IFERROR(VLOOKUP(Substitution!$M$15 &amp; $A17, US_national_yearly!$D:$AM, MATCH(O$1, US_national_yearly!$D$1:$AM$1, 0), FALSE) / VLOOKUP(Substitution!$M$15 &amp; $A17, US_national_yearly!$D:$AM, MATCH(Keys!$C$7, US_national_yearly!$D$1:$AM$1, 0), FALSE), 1)</f>
        <v>5.94222925885293E-5</v>
      </c>
      <c r="P17" s="12">
        <f>$B17 * IFERROR(VLOOKUP(Substitution!$M$15 &amp; $A17, US_national_yearly!$D:$AM, MATCH(P$1, US_national_yearly!$D$1:$AM$1, 0), FALSE) / VLOOKUP(Substitution!$M$15 &amp; $A17, US_national_yearly!$D:$AM, MATCH(Keys!$C$7, US_national_yearly!$D$1:$AM$1, 0), FALSE), 1)</f>
        <v>6.0085176365376552E-5</v>
      </c>
      <c r="Q17" s="12">
        <f>$B17 * IFERROR(VLOOKUP(Substitution!$M$15 &amp; $A17, US_national_yearly!$D:$AM, MATCH(Q$1, US_national_yearly!$D$1:$AM$1, 0), FALSE) / VLOOKUP(Substitution!$M$15 &amp; $A17, US_national_yearly!$D:$AM, MATCH(Keys!$C$7, US_national_yearly!$D$1:$AM$1, 0), FALSE), 1)</f>
        <v>6.0748060142223804E-5</v>
      </c>
      <c r="R17" s="12">
        <f>$B17 * IFERROR(VLOOKUP(Substitution!$M$15 &amp; $A17, US_national_yearly!$D:$AM, MATCH(R$1, US_national_yearly!$D$1:$AM$1, 0), FALSE) / VLOOKUP(Substitution!$M$15 &amp; $A17, US_national_yearly!$D:$AM, MATCH(Keys!$C$7, US_national_yearly!$D$1:$AM$1, 0), FALSE), 1)</f>
        <v>6.1410943919071049E-5</v>
      </c>
      <c r="S17" s="12">
        <f>$B17 * IFERROR(VLOOKUP(Substitution!$M$15 &amp; $A17, US_national_yearly!$D:$AM, MATCH(S$1, US_national_yearly!$D$1:$AM$1, 0), FALSE) / VLOOKUP(Substitution!$M$15 &amp; $A17, US_national_yearly!$D:$AM, MATCH(Keys!$C$7, US_national_yearly!$D$1:$AM$1, 0), FALSE), 1)</f>
        <v>6.1716745242649523E-5</v>
      </c>
      <c r="T17" s="12">
        <f>$B17 * IFERROR(VLOOKUP(Substitution!$M$15 &amp; $A17, US_national_yearly!$D:$AM, MATCH(T$1, US_national_yearly!$D$1:$AM$1, 0), FALSE) / VLOOKUP(Substitution!$M$15 &amp; $A17, US_national_yearly!$D:$AM, MATCH(Keys!$C$7, US_national_yearly!$D$1:$AM$1, 0), FALSE), 1)</f>
        <v>6.2022546566227997E-5</v>
      </c>
      <c r="U17" s="12">
        <f>$B17 * IFERROR(VLOOKUP(Substitution!$M$15 &amp; $A17, US_national_yearly!$D:$AM, MATCH(U$1, US_national_yearly!$D$1:$AM$1, 0), FALSE) / VLOOKUP(Substitution!$M$15 &amp; $A17, US_national_yearly!$D:$AM, MATCH(Keys!$C$7, US_national_yearly!$D$1:$AM$1, 0), FALSE), 1)</f>
        <v>6.2328347889806471E-5</v>
      </c>
      <c r="V17" s="12">
        <f>$B17 * IFERROR(VLOOKUP(Substitution!$M$15 &amp; $A17, US_national_yearly!$D:$AM, MATCH(V$1, US_national_yearly!$D$1:$AM$1, 0), FALSE) / VLOOKUP(Substitution!$M$15 &amp; $A17, US_national_yearly!$D:$AM, MATCH(Keys!$C$7, US_national_yearly!$D$1:$AM$1, 0), FALSE), 1)</f>
        <v>6.2634149213384945E-5</v>
      </c>
      <c r="W17" s="12">
        <f>$B17 * IFERROR(VLOOKUP(Substitution!$M$15 &amp; $A17, US_national_yearly!$D:$AM, MATCH(W$1, US_national_yearly!$D$1:$AM$1, 0), FALSE) / VLOOKUP(Substitution!$M$15 &amp; $A17, US_national_yearly!$D:$AM, MATCH(Keys!$C$7, US_national_yearly!$D$1:$AM$1, 0), FALSE), 1)</f>
        <v>6.2939950536963418E-5</v>
      </c>
      <c r="X17" s="12">
        <f>$B17 * IFERROR(VLOOKUP(Substitution!$M$15 &amp; $A17, US_national_yearly!$D:$AM, MATCH(X$1, US_national_yearly!$D$1:$AM$1, 0), FALSE) / VLOOKUP(Substitution!$M$15 &amp; $A17, US_national_yearly!$D:$AM, MATCH(Keys!$C$7, US_national_yearly!$D$1:$AM$1, 0), FALSE), 1)</f>
        <v>6.3112726147618762E-5</v>
      </c>
      <c r="Y17" s="12">
        <f>$B17 * IFERROR(VLOOKUP(Substitution!$M$15 &amp; $A17, US_national_yearly!$D:$AM, MATCH(Y$1, US_national_yearly!$D$1:$AM$1, 0), FALSE) / VLOOKUP(Substitution!$M$15 &amp; $A17, US_national_yearly!$D:$AM, MATCH(Keys!$C$7, US_national_yearly!$D$1:$AM$1, 0), FALSE), 1)</f>
        <v>6.3285501758274091E-5</v>
      </c>
      <c r="Z17" s="12">
        <f>$B17 * IFERROR(VLOOKUP(Substitution!$M$15 &amp; $A17, US_national_yearly!$D:$AM, MATCH(Z$1, US_national_yearly!$D$1:$AM$1, 0), FALSE) / VLOOKUP(Substitution!$M$15 &amp; $A17, US_national_yearly!$D:$AM, MATCH(Keys!$C$7, US_national_yearly!$D$1:$AM$1, 0), FALSE), 1)</f>
        <v>6.3458277368929434E-5</v>
      </c>
      <c r="AA17" s="12">
        <f>$B17 * IFERROR(VLOOKUP(Substitution!$M$15 &amp; $A17, US_national_yearly!$D:$AM, MATCH(AA$1, US_national_yearly!$D$1:$AM$1, 0), FALSE) / VLOOKUP(Substitution!$M$15 &amp; $A17, US_national_yearly!$D:$AM, MATCH(Keys!$C$7, US_national_yearly!$D$1:$AM$1, 0), FALSE), 1)</f>
        <v>6.3631052979584764E-5</v>
      </c>
      <c r="AB17" s="12">
        <f>$B17 * IFERROR(VLOOKUP(Substitution!$M$15 &amp; $A17, US_national_yearly!$D:$AM, MATCH(AB$1, US_national_yearly!$D$1:$AM$1, 0), FALSE) / VLOOKUP(Substitution!$M$15 &amp; $A17, US_national_yearly!$D:$AM, MATCH(Keys!$C$7, US_national_yearly!$D$1:$AM$1, 0), FALSE), 1)</f>
        <v>6.3803828590240107E-5</v>
      </c>
    </row>
    <row r="18" spans="1:28" x14ac:dyDescent="0.25">
      <c r="A18" s="4" t="s">
        <v>323</v>
      </c>
      <c r="B18" s="12">
        <f>IFERROR(VLOOKUP(Substitution!$M$15 &amp; $A18, US_national_yearly!$D:$AM, MATCH(Keys!$C$7, US_national_yearly!$D$1:$AM$1, 0), FALSE), 0)</f>
        <v>5.8107983935748106E-4</v>
      </c>
      <c r="C18" s="12">
        <f>$B18 * IFERROR(VLOOKUP(Substitution!$M$15 &amp; $A18, US_national_yearly!$D:$AM, MATCH(C$1, US_national_yearly!$D$1:$AM$1, 0), FALSE) / VLOOKUP(Substitution!$M$15 &amp; $A18, US_national_yearly!$D:$AM, MATCH(Keys!$C$7, US_national_yearly!$D$1:$AM$1, 0), FALSE), 1)</f>
        <v>5.9987192940379099E-4</v>
      </c>
      <c r="D18" s="12">
        <f>$B18 * IFERROR(VLOOKUP(Substitution!$M$15 &amp; $A18, US_national_yearly!$D:$AM, MATCH(D$1, US_national_yearly!$D$1:$AM$1, 0), FALSE) / VLOOKUP(Substitution!$M$15 &amp; $A18, US_national_yearly!$D:$AM, MATCH(Keys!$C$7, US_national_yearly!$D$1:$AM$1, 0), FALSE), 1)</f>
        <v>6.1866401945010103E-4</v>
      </c>
      <c r="E18" s="12">
        <f>$B18 * IFERROR(VLOOKUP(Substitution!$M$15 &amp; $A18, US_national_yearly!$D:$AM, MATCH(E$1, US_national_yearly!$D$1:$AM$1, 0), FALSE) / VLOOKUP(Substitution!$M$15 &amp; $A18, US_national_yearly!$D:$AM, MATCH(Keys!$C$7, US_national_yearly!$D$1:$AM$1, 0), FALSE), 1)</f>
        <v>6.3745610949641097E-4</v>
      </c>
      <c r="F18" s="12">
        <f>$B18 * IFERROR(VLOOKUP(Substitution!$M$15 &amp; $A18, US_national_yearly!$D:$AM, MATCH(F$1, US_national_yearly!$D$1:$AM$1, 0), FALSE) / VLOOKUP(Substitution!$M$15 &amp; $A18, US_national_yearly!$D:$AM, MATCH(Keys!$C$7, US_national_yearly!$D$1:$AM$1, 0), FALSE), 1)</f>
        <v>6.5624819954272101E-4</v>
      </c>
      <c r="G18" s="12">
        <f>$B18 * IFERROR(VLOOKUP(Substitution!$M$15 &amp; $A18, US_national_yearly!$D:$AM, MATCH(G$1, US_national_yearly!$D$1:$AM$1, 0), FALSE) / VLOOKUP(Substitution!$M$15 &amp; $A18, US_national_yearly!$D:$AM, MATCH(Keys!$C$7, US_national_yearly!$D$1:$AM$1, 0), FALSE), 1)</f>
        <v>6.7612975227920652E-4</v>
      </c>
      <c r="H18" s="12">
        <f>$B18 * IFERROR(VLOOKUP(Substitution!$M$15 &amp; $A18, US_national_yearly!$D:$AM, MATCH(H$1, US_national_yearly!$D$1:$AM$1, 0), FALSE) / VLOOKUP(Substitution!$M$15 &amp; $A18, US_national_yearly!$D:$AM, MATCH(Keys!$C$7, US_national_yearly!$D$1:$AM$1, 0), FALSE), 1)</f>
        <v>6.9601130501569203E-4</v>
      </c>
      <c r="I18" s="12">
        <f>$B18 * IFERROR(VLOOKUP(Substitution!$M$15 &amp; $A18, US_national_yearly!$D:$AM, MATCH(I$1, US_national_yearly!$D$1:$AM$1, 0), FALSE) / VLOOKUP(Substitution!$M$15 &amp; $A18, US_national_yearly!$D:$AM, MATCH(Keys!$C$7, US_national_yearly!$D$1:$AM$1, 0), FALSE), 1)</f>
        <v>7.1574688393948461E-4</v>
      </c>
      <c r="J18" s="12">
        <f>$B18 * IFERROR(VLOOKUP(Substitution!$M$15 &amp; $A18, US_national_yearly!$D:$AM, MATCH(J$1, US_national_yearly!$D$1:$AM$1, 0), FALSE) / VLOOKUP(Substitution!$M$15 &amp; $A18, US_national_yearly!$D:$AM, MATCH(Keys!$C$7, US_national_yearly!$D$1:$AM$1, 0), FALSE), 1)</f>
        <v>7.354824628632772E-4</v>
      </c>
      <c r="K18" s="12">
        <f>$B18 * IFERROR(VLOOKUP(Substitution!$M$15 &amp; $A18, US_national_yearly!$D:$AM, MATCH(K$1, US_national_yearly!$D$1:$AM$1, 0), FALSE) / VLOOKUP(Substitution!$M$15 &amp; $A18, US_national_yearly!$D:$AM, MATCH(Keys!$C$7, US_national_yearly!$D$1:$AM$1, 0), FALSE), 1)</f>
        <v>7.5521804178706978E-4</v>
      </c>
      <c r="L18" s="12">
        <f>$B18 * IFERROR(VLOOKUP(Substitution!$M$15 &amp; $A18, US_national_yearly!$D:$AM, MATCH(L$1, US_national_yearly!$D$1:$AM$1, 0), FALSE) / VLOOKUP(Substitution!$M$15 &amp; $A18, US_national_yearly!$D:$AM, MATCH(Keys!$C$7, US_national_yearly!$D$1:$AM$1, 0), FALSE), 1)</f>
        <v>7.7495362071086237E-4</v>
      </c>
      <c r="M18" s="12">
        <f>$B18 * IFERROR(VLOOKUP(Substitution!$M$15 &amp; $A18, US_national_yearly!$D:$AM, MATCH(M$1, US_national_yearly!$D$1:$AM$1, 0), FALSE) / VLOOKUP(Substitution!$M$15 &amp; $A18, US_national_yearly!$D:$AM, MATCH(Keys!$C$7, US_national_yearly!$D$1:$AM$1, 0), FALSE), 1)</f>
        <v>7.9468919963465495E-4</v>
      </c>
      <c r="N18" s="12">
        <f>$B18 * IFERROR(VLOOKUP(Substitution!$M$15 &amp; $A18, US_national_yearly!$D:$AM, MATCH(N$1, US_national_yearly!$D$1:$AM$1, 0), FALSE) / VLOOKUP(Substitution!$M$15 &amp; $A18, US_national_yearly!$D:$AM, MATCH(Keys!$C$7, US_national_yearly!$D$1:$AM$1, 0), FALSE), 1)</f>
        <v>8.0836993759987076E-4</v>
      </c>
      <c r="O18" s="12">
        <f>$B18 * IFERROR(VLOOKUP(Substitution!$M$15 &amp; $A18, US_national_yearly!$D:$AM, MATCH(O$1, US_national_yearly!$D$1:$AM$1, 0), FALSE) / VLOOKUP(Substitution!$M$15 &amp; $A18, US_national_yearly!$D:$AM, MATCH(Keys!$C$7, US_national_yearly!$D$1:$AM$1, 0), FALSE), 1)</f>
        <v>8.2205067556508657E-4</v>
      </c>
      <c r="P18" s="12">
        <f>$B18 * IFERROR(VLOOKUP(Substitution!$M$15 &amp; $A18, US_national_yearly!$D:$AM, MATCH(P$1, US_national_yearly!$D$1:$AM$1, 0), FALSE) / VLOOKUP(Substitution!$M$15 &amp; $A18, US_national_yearly!$D:$AM, MATCH(Keys!$C$7, US_national_yearly!$D$1:$AM$1, 0), FALSE), 1)</f>
        <v>8.3573141353030238E-4</v>
      </c>
      <c r="Q18" s="12">
        <f>$B18 * IFERROR(VLOOKUP(Substitution!$M$15 &amp; $A18, US_national_yearly!$D:$AM, MATCH(Q$1, US_national_yearly!$D$1:$AM$1, 0), FALSE) / VLOOKUP(Substitution!$M$15 &amp; $A18, US_national_yearly!$D:$AM, MATCH(Keys!$C$7, US_national_yearly!$D$1:$AM$1, 0), FALSE), 1)</f>
        <v>8.4941215149551808E-4</v>
      </c>
      <c r="R18" s="12">
        <f>$B18 * IFERROR(VLOOKUP(Substitution!$M$15 &amp; $A18, US_national_yearly!$D:$AM, MATCH(R$1, US_national_yearly!$D$1:$AM$1, 0), FALSE) / VLOOKUP(Substitution!$M$15 &amp; $A18, US_national_yearly!$D:$AM, MATCH(Keys!$C$7, US_national_yearly!$D$1:$AM$1, 0), FALSE), 1)</f>
        <v>8.63092889460734E-4</v>
      </c>
      <c r="S18" s="12">
        <f>$B18 * IFERROR(VLOOKUP(Substitution!$M$15 &amp; $A18, US_national_yearly!$D:$AM, MATCH(S$1, US_national_yearly!$D$1:$AM$1, 0), FALSE) / VLOOKUP(Substitution!$M$15 &amp; $A18, US_national_yearly!$D:$AM, MATCH(Keys!$C$7, US_national_yearly!$D$1:$AM$1, 0), FALSE), 1)</f>
        <v>8.6907178127087136E-4</v>
      </c>
      <c r="T18" s="12">
        <f>$B18 * IFERROR(VLOOKUP(Substitution!$M$15 &amp; $A18, US_national_yearly!$D:$AM, MATCH(T$1, US_national_yearly!$D$1:$AM$1, 0), FALSE) / VLOOKUP(Substitution!$M$15 &amp; $A18, US_national_yearly!$D:$AM, MATCH(Keys!$C$7, US_national_yearly!$D$1:$AM$1, 0), FALSE), 1)</f>
        <v>8.7505067308100884E-4</v>
      </c>
      <c r="U18" s="12">
        <f>$B18 * IFERROR(VLOOKUP(Substitution!$M$15 &amp; $A18, US_national_yearly!$D:$AM, MATCH(U$1, US_national_yearly!$D$1:$AM$1, 0), FALSE) / VLOOKUP(Substitution!$M$15 &amp; $A18, US_national_yearly!$D:$AM, MATCH(Keys!$C$7, US_national_yearly!$D$1:$AM$1, 0), FALSE), 1)</f>
        <v>8.810295648911462E-4</v>
      </c>
      <c r="V18" s="12">
        <f>$B18 * IFERROR(VLOOKUP(Substitution!$M$15 &amp; $A18, US_national_yearly!$D:$AM, MATCH(V$1, US_national_yearly!$D$1:$AM$1, 0), FALSE) / VLOOKUP(Substitution!$M$15 &amp; $A18, US_national_yearly!$D:$AM, MATCH(Keys!$C$7, US_national_yearly!$D$1:$AM$1, 0), FALSE), 1)</f>
        <v>8.8700845670128367E-4</v>
      </c>
      <c r="W18" s="12">
        <f>$B18 * IFERROR(VLOOKUP(Substitution!$M$15 &amp; $A18, US_national_yearly!$D:$AM, MATCH(W$1, US_national_yearly!$D$1:$AM$1, 0), FALSE) / VLOOKUP(Substitution!$M$15 &amp; $A18, US_national_yearly!$D:$AM, MATCH(Keys!$C$7, US_national_yearly!$D$1:$AM$1, 0), FALSE), 1)</f>
        <v>8.9298734851142104E-4</v>
      </c>
      <c r="X18" s="12">
        <f>$B18 * IFERROR(VLOOKUP(Substitution!$M$15 &amp; $A18, US_national_yearly!$D:$AM, MATCH(X$1, US_national_yearly!$D$1:$AM$1, 0), FALSE) / VLOOKUP(Substitution!$M$15 &amp; $A18, US_national_yearly!$D:$AM, MATCH(Keys!$C$7, US_national_yearly!$D$1:$AM$1, 0), FALSE), 1)</f>
        <v>8.9405248919344519E-4</v>
      </c>
      <c r="Y18" s="12">
        <f>$B18 * IFERROR(VLOOKUP(Substitution!$M$15 &amp; $A18, US_national_yearly!$D:$AM, MATCH(Y$1, US_national_yearly!$D$1:$AM$1, 0), FALSE) / VLOOKUP(Substitution!$M$15 &amp; $A18, US_national_yearly!$D:$AM, MATCH(Keys!$C$7, US_national_yearly!$D$1:$AM$1, 0), FALSE), 1)</f>
        <v>8.9511762987546945E-4</v>
      </c>
      <c r="Z18" s="12">
        <f>$B18 * IFERROR(VLOOKUP(Substitution!$M$15 &amp; $A18, US_national_yearly!$D:$AM, MATCH(Z$1, US_national_yearly!$D$1:$AM$1, 0), FALSE) / VLOOKUP(Substitution!$M$15 &amp; $A18, US_national_yearly!$D:$AM, MATCH(Keys!$C$7, US_national_yearly!$D$1:$AM$1, 0), FALSE), 1)</f>
        <v>8.9618277055749361E-4</v>
      </c>
      <c r="AA18" s="12">
        <f>$B18 * IFERROR(VLOOKUP(Substitution!$M$15 &amp; $A18, US_national_yearly!$D:$AM, MATCH(AA$1, US_national_yearly!$D$1:$AM$1, 0), FALSE) / VLOOKUP(Substitution!$M$15 &amp; $A18, US_national_yearly!$D:$AM, MATCH(Keys!$C$7, US_national_yearly!$D$1:$AM$1, 0), FALSE), 1)</f>
        <v>8.9724791123951787E-4</v>
      </c>
      <c r="AB18" s="12">
        <f>$B18 * IFERROR(VLOOKUP(Substitution!$M$15 &amp; $A18, US_national_yearly!$D:$AM, MATCH(AB$1, US_national_yearly!$D$1:$AM$1, 0), FALSE) / VLOOKUP(Substitution!$M$15 &amp; $A18, US_national_yearly!$D:$AM, MATCH(Keys!$C$7, US_national_yearly!$D$1:$AM$1, 0), FALSE), 1)</f>
        <v>8.9831305192154202E-4</v>
      </c>
    </row>
    <row r="19" spans="1:28" x14ac:dyDescent="0.25">
      <c r="A19" s="4" t="s">
        <v>325</v>
      </c>
      <c r="B19" s="12">
        <f>IFERROR(VLOOKUP(Substitution!$M$15 &amp; $A19, US_national_yearly!$D:$AM, MATCH(Keys!$C$7, US_national_yearly!$D$1:$AM$1, 0), FALSE), 0)</f>
        <v>7.7733221158669092E-5</v>
      </c>
      <c r="C19" s="12">
        <f>$B19 * IFERROR(VLOOKUP(Substitution!$M$15 &amp; $A19, US_national_yearly!$D:$AM, MATCH(C$1, US_national_yearly!$D$1:$AM$1, 0), FALSE) / VLOOKUP(Substitution!$M$15 &amp; $A19, US_national_yearly!$D:$AM, MATCH(Keys!$C$7, US_national_yearly!$D$1:$AM$1, 0), FALSE), 1)</f>
        <v>7.9725812524364387E-5</v>
      </c>
      <c r="D19" s="12">
        <f>$B19 * IFERROR(VLOOKUP(Substitution!$M$15 &amp; $A19, US_national_yearly!$D:$AM, MATCH(D$1, US_national_yearly!$D$1:$AM$1, 0), FALSE) / VLOOKUP(Substitution!$M$15 &amp; $A19, US_national_yearly!$D:$AM, MATCH(Keys!$C$7, US_national_yearly!$D$1:$AM$1, 0), FALSE), 1)</f>
        <v>8.1718403890059695E-5</v>
      </c>
      <c r="E19" s="12">
        <f>$B19 * IFERROR(VLOOKUP(Substitution!$M$15 &amp; $A19, US_national_yearly!$D:$AM, MATCH(E$1, US_national_yearly!$D$1:$AM$1, 0), FALSE) / VLOOKUP(Substitution!$M$15 &amp; $A19, US_national_yearly!$D:$AM, MATCH(Keys!$C$7, US_national_yearly!$D$1:$AM$1, 0), FALSE), 1)</f>
        <v>8.371099525575499E-5</v>
      </c>
      <c r="F19" s="12">
        <f>$B19 * IFERROR(VLOOKUP(Substitution!$M$15 &amp; $A19, US_national_yearly!$D:$AM, MATCH(F$1, US_national_yearly!$D$1:$AM$1, 0), FALSE) / VLOOKUP(Substitution!$M$15 &amp; $A19, US_national_yearly!$D:$AM, MATCH(Keys!$C$7, US_national_yearly!$D$1:$AM$1, 0), FALSE), 1)</f>
        <v>8.5703586621450298E-5</v>
      </c>
      <c r="G19" s="12">
        <f>$B19 * IFERROR(VLOOKUP(Substitution!$M$15 &amp; $A19, US_national_yearly!$D:$AM, MATCH(G$1, US_national_yearly!$D$1:$AM$1, 0), FALSE) / VLOOKUP(Substitution!$M$15 &amp; $A19, US_national_yearly!$D:$AM, MATCH(Keys!$C$7, US_national_yearly!$D$1:$AM$1, 0), FALSE), 1)</f>
        <v>8.7343068442505956E-5</v>
      </c>
      <c r="H19" s="12">
        <f>$B19 * IFERROR(VLOOKUP(Substitution!$M$15 &amp; $A19, US_national_yearly!$D:$AM, MATCH(H$1, US_national_yearly!$D$1:$AM$1, 0), FALSE) / VLOOKUP(Substitution!$M$15 &amp; $A19, US_national_yearly!$D:$AM, MATCH(Keys!$C$7, US_national_yearly!$D$1:$AM$1, 0), FALSE), 1)</f>
        <v>8.89825502635616E-5</v>
      </c>
      <c r="I19" s="12">
        <f>$B19 * IFERROR(VLOOKUP(Substitution!$M$15 &amp; $A19, US_national_yearly!$D:$AM, MATCH(I$1, US_national_yearly!$D$1:$AM$1, 0), FALSE) / VLOOKUP(Substitution!$M$15 &amp; $A19, US_national_yearly!$D:$AM, MATCH(Keys!$C$7, US_national_yearly!$D$1:$AM$1, 0), FALSE), 1)</f>
        <v>9.0021055682341385E-5</v>
      </c>
      <c r="J19" s="12">
        <f>$B19 * IFERROR(VLOOKUP(Substitution!$M$15 &amp; $A19, US_national_yearly!$D:$AM, MATCH(J$1, US_national_yearly!$D$1:$AM$1, 0), FALSE) / VLOOKUP(Substitution!$M$15 &amp; $A19, US_national_yearly!$D:$AM, MATCH(Keys!$C$7, US_national_yearly!$D$1:$AM$1, 0), FALSE), 1)</f>
        <v>9.1059561101121156E-5</v>
      </c>
      <c r="K19" s="12">
        <f>$B19 * IFERROR(VLOOKUP(Substitution!$M$15 &amp; $A19, US_national_yearly!$D:$AM, MATCH(K$1, US_national_yearly!$D$1:$AM$1, 0), FALSE) / VLOOKUP(Substitution!$M$15 &amp; $A19, US_national_yearly!$D:$AM, MATCH(Keys!$C$7, US_national_yearly!$D$1:$AM$1, 0), FALSE), 1)</f>
        <v>9.2098066519900941E-5</v>
      </c>
      <c r="L19" s="12">
        <f>$B19 * IFERROR(VLOOKUP(Substitution!$M$15 &amp; $A19, US_national_yearly!$D:$AM, MATCH(L$1, US_national_yearly!$D$1:$AM$1, 0), FALSE) / VLOOKUP(Substitution!$M$15 &amp; $A19, US_national_yearly!$D:$AM, MATCH(Keys!$C$7, US_national_yearly!$D$1:$AM$1, 0), FALSE), 1)</f>
        <v>9.3136571938680712E-5</v>
      </c>
      <c r="M19" s="12">
        <f>$B19 * IFERROR(VLOOKUP(Substitution!$M$15 &amp; $A19, US_national_yearly!$D:$AM, MATCH(M$1, US_national_yearly!$D$1:$AM$1, 0), FALSE) / VLOOKUP(Substitution!$M$15 &amp; $A19, US_national_yearly!$D:$AM, MATCH(Keys!$C$7, US_national_yearly!$D$1:$AM$1, 0), FALSE), 1)</f>
        <v>9.4175077357460497E-5</v>
      </c>
      <c r="N19" s="12">
        <f>$B19 * IFERROR(VLOOKUP(Substitution!$M$15 &amp; $A19, US_national_yearly!$D:$AM, MATCH(N$1, US_national_yearly!$D$1:$AM$1, 0), FALSE) / VLOOKUP(Substitution!$M$15 &amp; $A19, US_national_yearly!$D:$AM, MATCH(Keys!$C$7, US_national_yearly!$D$1:$AM$1, 0), FALSE), 1)</f>
        <v>9.4616470812689159E-5</v>
      </c>
      <c r="O19" s="12">
        <f>$B19 * IFERROR(VLOOKUP(Substitution!$M$15 &amp; $A19, US_national_yearly!$D:$AM, MATCH(O$1, US_national_yearly!$D$1:$AM$1, 0), FALSE) / VLOOKUP(Substitution!$M$15 &amp; $A19, US_national_yearly!$D:$AM, MATCH(Keys!$C$7, US_national_yearly!$D$1:$AM$1, 0), FALSE), 1)</f>
        <v>9.505786426791782E-5</v>
      </c>
      <c r="P19" s="12">
        <f>$B19 * IFERROR(VLOOKUP(Substitution!$M$15 &amp; $A19, US_national_yearly!$D:$AM, MATCH(P$1, US_national_yearly!$D$1:$AM$1, 0), FALSE) / VLOOKUP(Substitution!$M$15 &amp; $A19, US_national_yearly!$D:$AM, MATCH(Keys!$C$7, US_national_yearly!$D$1:$AM$1, 0), FALSE), 1)</f>
        <v>9.5499257723146482E-5</v>
      </c>
      <c r="Q19" s="12">
        <f>$B19 * IFERROR(VLOOKUP(Substitution!$M$15 &amp; $A19, US_national_yearly!$D:$AM, MATCH(Q$1, US_national_yearly!$D$1:$AM$1, 0), FALSE) / VLOOKUP(Substitution!$M$15 &amp; $A19, US_national_yearly!$D:$AM, MATCH(Keys!$C$7, US_national_yearly!$D$1:$AM$1, 0), FALSE), 1)</f>
        <v>9.5940651178375144E-5</v>
      </c>
      <c r="R19" s="12">
        <f>$B19 * IFERROR(VLOOKUP(Substitution!$M$15 &amp; $A19, US_national_yearly!$D:$AM, MATCH(R$1, US_national_yearly!$D$1:$AM$1, 0), FALSE) / VLOOKUP(Substitution!$M$15 &amp; $A19, US_national_yearly!$D:$AM, MATCH(Keys!$C$7, US_national_yearly!$D$1:$AM$1, 0), FALSE), 1)</f>
        <v>9.6382044633603806E-5</v>
      </c>
      <c r="S19" s="12">
        <f>$B19 * IFERROR(VLOOKUP(Substitution!$M$15 &amp; $A19, US_national_yearly!$D:$AM, MATCH(S$1, US_national_yearly!$D$1:$AM$1, 0), FALSE) / VLOOKUP(Substitution!$M$15 &amp; $A19, US_national_yearly!$D:$AM, MATCH(Keys!$C$7, US_national_yearly!$D$1:$AM$1, 0), FALSE), 1)</f>
        <v>9.6591062923512183E-5</v>
      </c>
      <c r="T19" s="12">
        <f>$B19 * IFERROR(VLOOKUP(Substitution!$M$15 &amp; $A19, US_national_yearly!$D:$AM, MATCH(T$1, US_national_yearly!$D$1:$AM$1, 0), FALSE) / VLOOKUP(Substitution!$M$15 &amp; $A19, US_national_yearly!$D:$AM, MATCH(Keys!$C$7, US_national_yearly!$D$1:$AM$1, 0), FALSE), 1)</f>
        <v>9.6800081213420559E-5</v>
      </c>
      <c r="U19" s="12">
        <f>$B19 * IFERROR(VLOOKUP(Substitution!$M$15 &amp; $A19, US_national_yearly!$D:$AM, MATCH(U$1, US_national_yearly!$D$1:$AM$1, 0), FALSE) / VLOOKUP(Substitution!$M$15 &amp; $A19, US_national_yearly!$D:$AM, MATCH(Keys!$C$7, US_national_yearly!$D$1:$AM$1, 0), FALSE), 1)</f>
        <v>9.7009099503328949E-5</v>
      </c>
      <c r="V19" s="12">
        <f>$B19 * IFERROR(VLOOKUP(Substitution!$M$15 &amp; $A19, US_national_yearly!$D:$AM, MATCH(V$1, US_national_yearly!$D$1:$AM$1, 0), FALSE) / VLOOKUP(Substitution!$M$15 &amp; $A19, US_national_yearly!$D:$AM, MATCH(Keys!$C$7, US_national_yearly!$D$1:$AM$1, 0), FALSE), 1)</f>
        <v>9.7218117793237326E-5</v>
      </c>
      <c r="W19" s="12">
        <f>$B19 * IFERROR(VLOOKUP(Substitution!$M$15 &amp; $A19, US_national_yearly!$D:$AM, MATCH(W$1, US_national_yearly!$D$1:$AM$1, 0), FALSE) / VLOOKUP(Substitution!$M$15 &amp; $A19, US_national_yearly!$D:$AM, MATCH(Keys!$C$7, US_national_yearly!$D$1:$AM$1, 0), FALSE), 1)</f>
        <v>9.7427136083145702E-5</v>
      </c>
      <c r="X19" s="12">
        <f>$B19 * IFERROR(VLOOKUP(Substitution!$M$15 &amp; $A19, US_national_yearly!$D:$AM, MATCH(X$1, US_national_yearly!$D$1:$AM$1, 0), FALSE) / VLOOKUP(Substitution!$M$15 &amp; $A19, US_national_yearly!$D:$AM, MATCH(Keys!$C$7, US_national_yearly!$D$1:$AM$1, 0), FALSE), 1)</f>
        <v>9.7776299269520969E-5</v>
      </c>
      <c r="Y19" s="12">
        <f>$B19 * IFERROR(VLOOKUP(Substitution!$M$15 &amp; $A19, US_national_yearly!$D:$AM, MATCH(Y$1, US_national_yearly!$D$1:$AM$1, 0), FALSE) / VLOOKUP(Substitution!$M$15 &amp; $A19, US_national_yearly!$D:$AM, MATCH(Keys!$C$7, US_national_yearly!$D$1:$AM$1, 0), FALSE), 1)</f>
        <v>9.8125462455896263E-5</v>
      </c>
      <c r="Z19" s="12">
        <f>$B19 * IFERROR(VLOOKUP(Substitution!$M$15 &amp; $A19, US_national_yearly!$D:$AM, MATCH(Z$1, US_national_yearly!$D$1:$AM$1, 0), FALSE) / VLOOKUP(Substitution!$M$15 &amp; $A19, US_national_yearly!$D:$AM, MATCH(Keys!$C$7, US_national_yearly!$D$1:$AM$1, 0), FALSE), 1)</f>
        <v>9.8474625642271544E-5</v>
      </c>
      <c r="AA19" s="12">
        <f>$B19 * IFERROR(VLOOKUP(Substitution!$M$15 &amp; $A19, US_national_yearly!$D:$AM, MATCH(AA$1, US_national_yearly!$D$1:$AM$1, 0), FALSE) / VLOOKUP(Substitution!$M$15 &amp; $A19, US_national_yearly!$D:$AM, MATCH(Keys!$C$7, US_national_yearly!$D$1:$AM$1, 0), FALSE), 1)</f>
        <v>9.8823788828646824E-5</v>
      </c>
      <c r="AB19" s="12">
        <f>$B19 * IFERROR(VLOOKUP(Substitution!$M$15 &amp; $A19, US_national_yearly!$D:$AM, MATCH(AB$1, US_national_yearly!$D$1:$AM$1, 0), FALSE) / VLOOKUP(Substitution!$M$15 &amp; $A19, US_national_yearly!$D:$AM, MATCH(Keys!$C$7, US_national_yearly!$D$1:$AM$1, 0), FALSE), 1)</f>
        <v>9.9172952015022119E-5</v>
      </c>
    </row>
    <row r="20" spans="1:28" x14ac:dyDescent="0.25">
      <c r="A20" s="4" t="s">
        <v>327</v>
      </c>
      <c r="B20" s="12">
        <f>IFERROR(VLOOKUP(Substitution!$M$15 &amp; $A20, US_national_yearly!$D:$AM, MATCH(Keys!$C$7, US_national_yearly!$D$1:$AM$1, 0), FALSE), 0)</f>
        <v>7.0072268914394241E-5</v>
      </c>
      <c r="C20" s="12">
        <f>$B20 * IFERROR(VLOOKUP(Substitution!$M$15 &amp; $A20, US_national_yearly!$D:$AM, MATCH(C$1, US_national_yearly!$D$1:$AM$1, 0), FALSE) / VLOOKUP(Substitution!$M$15 &amp; $A20, US_national_yearly!$D:$AM, MATCH(Keys!$C$7, US_national_yearly!$D$1:$AM$1, 0), FALSE), 1)</f>
        <v>7.188448893660868E-5</v>
      </c>
      <c r="D20" s="12">
        <f>$B20 * IFERROR(VLOOKUP(Substitution!$M$15 &amp; $A20, US_national_yearly!$D:$AM, MATCH(D$1, US_national_yearly!$D$1:$AM$1, 0), FALSE) / VLOOKUP(Substitution!$M$15 &amp; $A20, US_national_yearly!$D:$AM, MATCH(Keys!$C$7, US_national_yearly!$D$1:$AM$1, 0), FALSE), 1)</f>
        <v>7.369670895882312E-5</v>
      </c>
      <c r="E20" s="12">
        <f>$B20 * IFERROR(VLOOKUP(Substitution!$M$15 &amp; $A20, US_national_yearly!$D:$AM, MATCH(E$1, US_national_yearly!$D$1:$AM$1, 0), FALSE) / VLOOKUP(Substitution!$M$15 &amp; $A20, US_national_yearly!$D:$AM, MATCH(Keys!$C$7, US_national_yearly!$D$1:$AM$1, 0), FALSE), 1)</f>
        <v>7.5508928981037559E-5</v>
      </c>
      <c r="F20" s="12">
        <f>$B20 * IFERROR(VLOOKUP(Substitution!$M$15 &amp; $A20, US_national_yearly!$D:$AM, MATCH(F$1, US_national_yearly!$D$1:$AM$1, 0), FALSE) / VLOOKUP(Substitution!$M$15 &amp; $A20, US_national_yearly!$D:$AM, MATCH(Keys!$C$7, US_national_yearly!$D$1:$AM$1, 0), FALSE), 1)</f>
        <v>7.7321149003251998E-5</v>
      </c>
      <c r="G20" s="12">
        <f>$B20 * IFERROR(VLOOKUP(Substitution!$M$15 &amp; $A20, US_national_yearly!$D:$AM, MATCH(G$1, US_national_yearly!$D$1:$AM$1, 0), FALSE) / VLOOKUP(Substitution!$M$15 &amp; $A20, US_national_yearly!$D:$AM, MATCH(Keys!$C$7, US_national_yearly!$D$1:$AM$1, 0), FALSE), 1)</f>
        <v>7.8792356010622485E-5</v>
      </c>
      <c r="H20" s="12">
        <f>$B20 * IFERROR(VLOOKUP(Substitution!$M$15 &amp; $A20, US_national_yearly!$D:$AM, MATCH(H$1, US_national_yearly!$D$1:$AM$1, 0), FALSE) / VLOOKUP(Substitution!$M$15 &amp; $A20, US_national_yearly!$D:$AM, MATCH(Keys!$C$7, US_national_yearly!$D$1:$AM$1, 0), FALSE), 1)</f>
        <v>8.0263563017993E-5</v>
      </c>
      <c r="I20" s="12">
        <f>$B20 * IFERROR(VLOOKUP(Substitution!$M$15 &amp; $A20, US_national_yearly!$D:$AM, MATCH(I$1, US_national_yearly!$D$1:$AM$1, 0), FALSE) / VLOOKUP(Substitution!$M$15 &amp; $A20, US_national_yearly!$D:$AM, MATCH(Keys!$C$7, US_national_yearly!$D$1:$AM$1, 0), FALSE), 1)</f>
        <v>8.1132531546944205E-5</v>
      </c>
      <c r="J20" s="12">
        <f>$B20 * IFERROR(VLOOKUP(Substitution!$M$15 &amp; $A20, US_national_yearly!$D:$AM, MATCH(J$1, US_national_yearly!$D$1:$AM$1, 0), FALSE) / VLOOKUP(Substitution!$M$15 &amp; $A20, US_national_yearly!$D:$AM, MATCH(Keys!$C$7, US_national_yearly!$D$1:$AM$1, 0), FALSE), 1)</f>
        <v>8.2001500075895396E-5</v>
      </c>
      <c r="K20" s="12">
        <f>$B20 * IFERROR(VLOOKUP(Substitution!$M$15 &amp; $A20, US_national_yearly!$D:$AM, MATCH(K$1, US_national_yearly!$D$1:$AM$1, 0), FALSE) / VLOOKUP(Substitution!$M$15 &amp; $A20, US_national_yearly!$D:$AM, MATCH(Keys!$C$7, US_national_yearly!$D$1:$AM$1, 0), FALSE), 1)</f>
        <v>8.2870468604846601E-5</v>
      </c>
      <c r="L20" s="12">
        <f>$B20 * IFERROR(VLOOKUP(Substitution!$M$15 &amp; $A20, US_national_yearly!$D:$AM, MATCH(L$1, US_national_yearly!$D$1:$AM$1, 0), FALSE) / VLOOKUP(Substitution!$M$15 &amp; $A20, US_national_yearly!$D:$AM, MATCH(Keys!$C$7, US_national_yearly!$D$1:$AM$1, 0), FALSE), 1)</f>
        <v>8.3739437133797807E-5</v>
      </c>
      <c r="M20" s="12">
        <f>$B20 * IFERROR(VLOOKUP(Substitution!$M$15 &amp; $A20, US_national_yearly!$D:$AM, MATCH(M$1, US_national_yearly!$D$1:$AM$1, 0), FALSE) / VLOOKUP(Substitution!$M$15 &amp; $A20, US_national_yearly!$D:$AM, MATCH(Keys!$C$7, US_national_yearly!$D$1:$AM$1, 0), FALSE), 1)</f>
        <v>8.4608405662748998E-5</v>
      </c>
      <c r="N20" s="12">
        <f>$B20 * IFERROR(VLOOKUP(Substitution!$M$15 &amp; $A20, US_national_yearly!$D:$AM, MATCH(N$1, US_national_yearly!$D$1:$AM$1, 0), FALSE) / VLOOKUP(Substitution!$M$15 &amp; $A20, US_national_yearly!$D:$AM, MATCH(Keys!$C$7, US_national_yearly!$D$1:$AM$1, 0), FALSE), 1)</f>
        <v>8.4951700898410295E-5</v>
      </c>
      <c r="O20" s="12">
        <f>$B20 * IFERROR(VLOOKUP(Substitution!$M$15 &amp; $A20, US_national_yearly!$D:$AM, MATCH(O$1, US_national_yearly!$D$1:$AM$1, 0), FALSE) / VLOOKUP(Substitution!$M$15 &amp; $A20, US_national_yearly!$D:$AM, MATCH(Keys!$C$7, US_national_yearly!$D$1:$AM$1, 0), FALSE), 1)</f>
        <v>8.5294996134071605E-5</v>
      </c>
      <c r="P20" s="12">
        <f>$B20 * IFERROR(VLOOKUP(Substitution!$M$15 &amp; $A20, US_national_yearly!$D:$AM, MATCH(P$1, US_national_yearly!$D$1:$AM$1, 0), FALSE) / VLOOKUP(Substitution!$M$15 &amp; $A20, US_national_yearly!$D:$AM, MATCH(Keys!$C$7, US_national_yearly!$D$1:$AM$1, 0), FALSE), 1)</f>
        <v>8.5638291369732902E-5</v>
      </c>
      <c r="Q20" s="12">
        <f>$B20 * IFERROR(VLOOKUP(Substitution!$M$15 &amp; $A20, US_national_yearly!$D:$AM, MATCH(Q$1, US_national_yearly!$D$1:$AM$1, 0), FALSE) / VLOOKUP(Substitution!$M$15 &amp; $A20, US_national_yearly!$D:$AM, MATCH(Keys!$C$7, US_national_yearly!$D$1:$AM$1, 0), FALSE), 1)</f>
        <v>8.5981586605394199E-5</v>
      </c>
      <c r="R20" s="12">
        <f>$B20 * IFERROR(VLOOKUP(Substitution!$M$15 &amp; $A20, US_national_yearly!$D:$AM, MATCH(R$1, US_national_yearly!$D$1:$AM$1, 0), FALSE) / VLOOKUP(Substitution!$M$15 &amp; $A20, US_national_yearly!$D:$AM, MATCH(Keys!$C$7, US_national_yearly!$D$1:$AM$1, 0), FALSE), 1)</f>
        <v>8.6324881841055496E-5</v>
      </c>
      <c r="S20" s="12">
        <f>$B20 * IFERROR(VLOOKUP(Substitution!$M$15 &amp; $A20, US_national_yearly!$D:$AM, MATCH(S$1, US_national_yearly!$D$1:$AM$1, 0), FALSE) / VLOOKUP(Substitution!$M$15 &amp; $A20, US_national_yearly!$D:$AM, MATCH(Keys!$C$7, US_national_yearly!$D$1:$AM$1, 0), FALSE), 1)</f>
        <v>8.6466217667653333E-5</v>
      </c>
      <c r="T20" s="12">
        <f>$B20 * IFERROR(VLOOKUP(Substitution!$M$15 &amp; $A20, US_national_yearly!$D:$AM, MATCH(T$1, US_national_yearly!$D$1:$AM$1, 0), FALSE) / VLOOKUP(Substitution!$M$15 &amp; $A20, US_national_yearly!$D:$AM, MATCH(Keys!$C$7, US_national_yearly!$D$1:$AM$1, 0), FALSE), 1)</f>
        <v>8.6607553494251171E-5</v>
      </c>
      <c r="U20" s="12">
        <f>$B20 * IFERROR(VLOOKUP(Substitution!$M$15 &amp; $A20, US_national_yearly!$D:$AM, MATCH(U$1, US_national_yearly!$D$1:$AM$1, 0), FALSE) / VLOOKUP(Substitution!$M$15 &amp; $A20, US_national_yearly!$D:$AM, MATCH(Keys!$C$7, US_national_yearly!$D$1:$AM$1, 0), FALSE), 1)</f>
        <v>8.6748889320849022E-5</v>
      </c>
      <c r="V20" s="12">
        <f>$B20 * IFERROR(VLOOKUP(Substitution!$M$15 &amp; $A20, US_national_yearly!$D:$AM, MATCH(V$1, US_national_yearly!$D$1:$AM$1, 0), FALSE) / VLOOKUP(Substitution!$M$15 &amp; $A20, US_national_yearly!$D:$AM, MATCH(Keys!$C$7, US_national_yearly!$D$1:$AM$1, 0), FALSE), 1)</f>
        <v>8.6890225147446859E-5</v>
      </c>
      <c r="W20" s="12">
        <f>$B20 * IFERROR(VLOOKUP(Substitution!$M$15 &amp; $A20, US_national_yearly!$D:$AM, MATCH(W$1, US_national_yearly!$D$1:$AM$1, 0), FALSE) / VLOOKUP(Substitution!$M$15 &amp; $A20, US_national_yearly!$D:$AM, MATCH(Keys!$C$7, US_national_yearly!$D$1:$AM$1, 0), FALSE), 1)</f>
        <v>8.7031560974044697E-5</v>
      </c>
      <c r="X20" s="12">
        <f>$B20 * IFERROR(VLOOKUP(Substitution!$M$15 &amp; $A20, US_national_yearly!$D:$AM, MATCH(X$1, US_national_yearly!$D$1:$AM$1, 0), FALSE) / VLOOKUP(Substitution!$M$15 &amp; $A20, US_national_yearly!$D:$AM, MATCH(Keys!$C$7, US_national_yearly!$D$1:$AM$1, 0), FALSE), 1)</f>
        <v>8.7355039952406163E-5</v>
      </c>
      <c r="Y20" s="12">
        <f>$B20 * IFERROR(VLOOKUP(Substitution!$M$15 &amp; $A20, US_national_yearly!$D:$AM, MATCH(Y$1, US_national_yearly!$D$1:$AM$1, 0), FALSE) / VLOOKUP(Substitution!$M$15 &amp; $A20, US_national_yearly!$D:$AM, MATCH(Keys!$C$7, US_national_yearly!$D$1:$AM$1, 0), FALSE), 1)</f>
        <v>8.7678518930767616E-5</v>
      </c>
      <c r="Z20" s="12">
        <f>$B20 * IFERROR(VLOOKUP(Substitution!$M$15 &amp; $A20, US_national_yearly!$D:$AM, MATCH(Z$1, US_national_yearly!$D$1:$AM$1, 0), FALSE) / VLOOKUP(Substitution!$M$15 &amp; $A20, US_national_yearly!$D:$AM, MATCH(Keys!$C$7, US_national_yearly!$D$1:$AM$1, 0), FALSE), 1)</f>
        <v>8.8001997909129082E-5</v>
      </c>
      <c r="AA20" s="12">
        <f>$B20 * IFERROR(VLOOKUP(Substitution!$M$15 &amp; $A20, US_national_yearly!$D:$AM, MATCH(AA$1, US_national_yearly!$D$1:$AM$1, 0), FALSE) / VLOOKUP(Substitution!$M$15 &amp; $A20, US_national_yearly!$D:$AM, MATCH(Keys!$C$7, US_national_yearly!$D$1:$AM$1, 0), FALSE), 1)</f>
        <v>8.8325476887490535E-5</v>
      </c>
      <c r="AB20" s="12">
        <f>$B20 * IFERROR(VLOOKUP(Substitution!$M$15 &amp; $A20, US_national_yearly!$D:$AM, MATCH(AB$1, US_national_yearly!$D$1:$AM$1, 0), FALSE) / VLOOKUP(Substitution!$M$15 &amp; $A20, US_national_yearly!$D:$AM, MATCH(Keys!$C$7, US_national_yearly!$D$1:$AM$1, 0), FALSE), 1)</f>
        <v>8.8648955865852001E-5</v>
      </c>
    </row>
    <row r="21" spans="1:28" x14ac:dyDescent="0.25">
      <c r="A21" s="4" t="s">
        <v>329</v>
      </c>
      <c r="B21" s="12">
        <f>IFERROR(VLOOKUP(Substitution!$M$15 &amp; $A21, US_national_yearly!$D:$AM, MATCH(Keys!$C$7, US_national_yearly!$D$1:$AM$1, 0), FALSE), 0)</f>
        <v>1.651181646012574E-5</v>
      </c>
      <c r="C21" s="12">
        <f>$B21 * IFERROR(VLOOKUP(Substitution!$M$15 &amp; $A21, US_national_yearly!$D:$AM, MATCH(C$1, US_national_yearly!$D$1:$AM$1, 0), FALSE) / VLOOKUP(Substitution!$M$15 &amp; $A21, US_national_yearly!$D:$AM, MATCH(Keys!$C$7, US_national_yearly!$D$1:$AM$1, 0), FALSE), 1)</f>
        <v>1.6745100958799676E-5</v>
      </c>
      <c r="D21" s="12">
        <f>$B21 * IFERROR(VLOOKUP(Substitution!$M$15 &amp; $A21, US_national_yearly!$D:$AM, MATCH(D$1, US_national_yearly!$D$1:$AM$1, 0), FALSE) / VLOOKUP(Substitution!$M$15 &amp; $A21, US_national_yearly!$D:$AM, MATCH(Keys!$C$7, US_national_yearly!$D$1:$AM$1, 0), FALSE), 1)</f>
        <v>1.697838545747362E-5</v>
      </c>
      <c r="E21" s="12">
        <f>$B21 * IFERROR(VLOOKUP(Substitution!$M$15 &amp; $A21, US_national_yearly!$D:$AM, MATCH(E$1, US_national_yearly!$D$1:$AM$1, 0), FALSE) / VLOOKUP(Substitution!$M$15 &amp; $A21, US_national_yearly!$D:$AM, MATCH(Keys!$C$7, US_national_yearly!$D$1:$AM$1, 0), FALSE), 1)</f>
        <v>1.7211669956147561E-5</v>
      </c>
      <c r="F21" s="12">
        <f>$B21 * IFERROR(VLOOKUP(Substitution!$M$15 &amp; $A21, US_national_yearly!$D:$AM, MATCH(F$1, US_national_yearly!$D$1:$AM$1, 0), FALSE) / VLOOKUP(Substitution!$M$15 &amp; $A21, US_national_yearly!$D:$AM, MATCH(Keys!$C$7, US_national_yearly!$D$1:$AM$1, 0), FALSE), 1)</f>
        <v>1.7444954454821501E-5</v>
      </c>
      <c r="G21" s="12">
        <f>$B21 * IFERROR(VLOOKUP(Substitution!$M$15 &amp; $A21, US_national_yearly!$D:$AM, MATCH(G$1, US_national_yearly!$D$1:$AM$1, 0), FALSE) / VLOOKUP(Substitution!$M$15 &amp; $A21, US_national_yearly!$D:$AM, MATCH(Keys!$C$7, US_national_yearly!$D$1:$AM$1, 0), FALSE), 1)</f>
        <v>1.7660608926011699E-5</v>
      </c>
      <c r="H21" s="12">
        <f>$B21 * IFERROR(VLOOKUP(Substitution!$M$15 &amp; $A21, US_national_yearly!$D:$AM, MATCH(H$1, US_national_yearly!$D$1:$AM$1, 0), FALSE) / VLOOKUP(Substitution!$M$15 &amp; $A21, US_national_yearly!$D:$AM, MATCH(Keys!$C$7, US_national_yearly!$D$1:$AM$1, 0), FALSE), 1)</f>
        <v>1.78762633972019E-5</v>
      </c>
      <c r="I21" s="12">
        <f>$B21 * IFERROR(VLOOKUP(Substitution!$M$15 &amp; $A21, US_national_yearly!$D:$AM, MATCH(I$1, US_national_yearly!$D$1:$AM$1, 0), FALSE) / VLOOKUP(Substitution!$M$15 &amp; $A21, US_national_yearly!$D:$AM, MATCH(Keys!$C$7, US_national_yearly!$D$1:$AM$1, 0), FALSE), 1)</f>
        <v>1.8042744132424961E-5</v>
      </c>
      <c r="J21" s="12">
        <f>$B21 * IFERROR(VLOOKUP(Substitution!$M$15 &amp; $A21, US_national_yearly!$D:$AM, MATCH(J$1, US_national_yearly!$D$1:$AM$1, 0), FALSE) / VLOOKUP(Substitution!$M$15 &amp; $A21, US_national_yearly!$D:$AM, MATCH(Keys!$C$7, US_national_yearly!$D$1:$AM$1, 0), FALSE), 1)</f>
        <v>1.8209224867648019E-5</v>
      </c>
      <c r="K21" s="12">
        <f>$B21 * IFERROR(VLOOKUP(Substitution!$M$15 &amp; $A21, US_national_yearly!$D:$AM, MATCH(K$1, US_national_yearly!$D$1:$AM$1, 0), FALSE) / VLOOKUP(Substitution!$M$15 &amp; $A21, US_national_yearly!$D:$AM, MATCH(Keys!$C$7, US_national_yearly!$D$1:$AM$1, 0), FALSE), 1)</f>
        <v>1.837570560287108E-5</v>
      </c>
      <c r="L21" s="12">
        <f>$B21 * IFERROR(VLOOKUP(Substitution!$M$15 &amp; $A21, US_national_yearly!$D:$AM, MATCH(L$1, US_national_yearly!$D$1:$AM$1, 0), FALSE) / VLOOKUP(Substitution!$M$15 &amp; $A21, US_national_yearly!$D:$AM, MATCH(Keys!$C$7, US_national_yearly!$D$1:$AM$1, 0), FALSE), 1)</f>
        <v>1.8542186338094141E-5</v>
      </c>
      <c r="M21" s="12">
        <f>$B21 * IFERROR(VLOOKUP(Substitution!$M$15 &amp; $A21, US_national_yearly!$D:$AM, MATCH(M$1, US_national_yearly!$D$1:$AM$1, 0), FALSE) / VLOOKUP(Substitution!$M$15 &amp; $A21, US_national_yearly!$D:$AM, MATCH(Keys!$C$7, US_national_yearly!$D$1:$AM$1, 0), FALSE), 1)</f>
        <v>1.8708667073317199E-5</v>
      </c>
      <c r="N21" s="12">
        <f>$B21 * IFERROR(VLOOKUP(Substitution!$M$15 &amp; $A21, US_national_yearly!$D:$AM, MATCH(N$1, US_national_yearly!$D$1:$AM$1, 0), FALSE) / VLOOKUP(Substitution!$M$15 &amp; $A21, US_national_yearly!$D:$AM, MATCH(Keys!$C$7, US_national_yearly!$D$1:$AM$1, 0), FALSE), 1)</f>
        <v>1.8814449719938199E-5</v>
      </c>
      <c r="O21" s="12">
        <f>$B21 * IFERROR(VLOOKUP(Substitution!$M$15 &amp; $A21, US_national_yearly!$D:$AM, MATCH(O$1, US_national_yearly!$D$1:$AM$1, 0), FALSE) / VLOOKUP(Substitution!$M$15 &amp; $A21, US_national_yearly!$D:$AM, MATCH(Keys!$C$7, US_national_yearly!$D$1:$AM$1, 0), FALSE), 1)</f>
        <v>1.89202323665592E-5</v>
      </c>
      <c r="P21" s="12">
        <f>$B21 * IFERROR(VLOOKUP(Substitution!$M$15 &amp; $A21, US_national_yearly!$D:$AM, MATCH(P$1, US_national_yearly!$D$1:$AM$1, 0), FALSE) / VLOOKUP(Substitution!$M$15 &amp; $A21, US_national_yearly!$D:$AM, MATCH(Keys!$C$7, US_national_yearly!$D$1:$AM$1, 0), FALSE), 1)</f>
        <v>1.90260150131802E-5</v>
      </c>
      <c r="Q21" s="12">
        <f>$B21 * IFERROR(VLOOKUP(Substitution!$M$15 &amp; $A21, US_national_yearly!$D:$AM, MATCH(Q$1, US_national_yearly!$D$1:$AM$1, 0), FALSE) / VLOOKUP(Substitution!$M$15 &amp; $A21, US_national_yearly!$D:$AM, MATCH(Keys!$C$7, US_national_yearly!$D$1:$AM$1, 0), FALSE), 1)</f>
        <v>1.9131797659801197E-5</v>
      </c>
      <c r="R21" s="12">
        <f>$B21 * IFERROR(VLOOKUP(Substitution!$M$15 &amp; $A21, US_national_yearly!$D:$AM, MATCH(R$1, US_national_yearly!$D$1:$AM$1, 0), FALSE) / VLOOKUP(Substitution!$M$15 &amp; $A21, US_national_yearly!$D:$AM, MATCH(Keys!$C$7, US_national_yearly!$D$1:$AM$1, 0), FALSE), 1)</f>
        <v>1.9237580306422201E-5</v>
      </c>
      <c r="S21" s="12">
        <f>$B21 * IFERROR(VLOOKUP(Substitution!$M$15 &amp; $A21, US_national_yearly!$D:$AM, MATCH(S$1, US_national_yearly!$D$1:$AM$1, 0), FALSE) / VLOOKUP(Substitution!$M$15 &amp; $A21, US_national_yearly!$D:$AM, MATCH(Keys!$C$7, US_national_yearly!$D$1:$AM$1, 0), FALSE), 1)</f>
        <v>1.9317065738298378E-5</v>
      </c>
      <c r="T21" s="12">
        <f>$B21 * IFERROR(VLOOKUP(Substitution!$M$15 &amp; $A21, US_national_yearly!$D:$AM, MATCH(T$1, US_national_yearly!$D$1:$AM$1, 0), FALSE) / VLOOKUP(Substitution!$M$15 &amp; $A21, US_national_yearly!$D:$AM, MATCH(Keys!$C$7, US_national_yearly!$D$1:$AM$1, 0), FALSE), 1)</f>
        <v>1.939655117017456E-5</v>
      </c>
      <c r="U21" s="12">
        <f>$B21 * IFERROR(VLOOKUP(Substitution!$M$15 &amp; $A21, US_national_yearly!$D:$AM, MATCH(U$1, US_national_yearly!$D$1:$AM$1, 0), FALSE) / VLOOKUP(Substitution!$M$15 &amp; $A21, US_national_yearly!$D:$AM, MATCH(Keys!$C$7, US_national_yearly!$D$1:$AM$1, 0), FALSE), 1)</f>
        <v>1.9476036602050741E-5</v>
      </c>
      <c r="V21" s="12">
        <f>$B21 * IFERROR(VLOOKUP(Substitution!$M$15 &amp; $A21, US_national_yearly!$D:$AM, MATCH(V$1, US_national_yearly!$D$1:$AM$1, 0), FALSE) / VLOOKUP(Substitution!$M$15 &amp; $A21, US_national_yearly!$D:$AM, MATCH(Keys!$C$7, US_national_yearly!$D$1:$AM$1, 0), FALSE), 1)</f>
        <v>1.9555522033926918E-5</v>
      </c>
      <c r="W21" s="12">
        <f>$B21 * IFERROR(VLOOKUP(Substitution!$M$15 &amp; $A21, US_national_yearly!$D:$AM, MATCH(W$1, US_national_yearly!$D$1:$AM$1, 0), FALSE) / VLOOKUP(Substitution!$M$15 &amp; $A21, US_national_yearly!$D:$AM, MATCH(Keys!$C$7, US_national_yearly!$D$1:$AM$1, 0), FALSE), 1)</f>
        <v>1.9635007465803099E-5</v>
      </c>
      <c r="X21" s="12">
        <f>$B21 * IFERROR(VLOOKUP(Substitution!$M$15 &amp; $A21, US_national_yearly!$D:$AM, MATCH(X$1, US_national_yearly!$D$1:$AM$1, 0), FALSE) / VLOOKUP(Substitution!$M$15 &amp; $A21, US_national_yearly!$D:$AM, MATCH(Keys!$C$7, US_national_yearly!$D$1:$AM$1, 0), FALSE), 1)</f>
        <v>1.9723383056062084E-5</v>
      </c>
      <c r="Y21" s="12">
        <f>$B21 * IFERROR(VLOOKUP(Substitution!$M$15 &amp; $A21, US_national_yearly!$D:$AM, MATCH(Y$1, US_national_yearly!$D$1:$AM$1, 0), FALSE) / VLOOKUP(Substitution!$M$15 &amp; $A21, US_national_yearly!$D:$AM, MATCH(Keys!$C$7, US_national_yearly!$D$1:$AM$1, 0), FALSE), 1)</f>
        <v>1.9811758646321061E-5</v>
      </c>
      <c r="Z21" s="12">
        <f>$B21 * IFERROR(VLOOKUP(Substitution!$M$15 &amp; $A21, US_national_yearly!$D:$AM, MATCH(Z$1, US_national_yearly!$D$1:$AM$1, 0), FALSE) / VLOOKUP(Substitution!$M$15 &amp; $A21, US_national_yearly!$D:$AM, MATCH(Keys!$C$7, US_national_yearly!$D$1:$AM$1, 0), FALSE), 1)</f>
        <v>1.9900134236580038E-5</v>
      </c>
      <c r="AA21" s="12">
        <f>$B21 * IFERROR(VLOOKUP(Substitution!$M$15 &amp; $A21, US_national_yearly!$D:$AM, MATCH(AA$1, US_national_yearly!$D$1:$AM$1, 0), FALSE) / VLOOKUP(Substitution!$M$15 &amp; $A21, US_national_yearly!$D:$AM, MATCH(Keys!$C$7, US_national_yearly!$D$1:$AM$1, 0), FALSE), 1)</f>
        <v>1.9988509826839019E-5</v>
      </c>
      <c r="AB21" s="12">
        <f>$B21 * IFERROR(VLOOKUP(Substitution!$M$15 &amp; $A21, US_national_yearly!$D:$AM, MATCH(AB$1, US_national_yearly!$D$1:$AM$1, 0), FALSE) / VLOOKUP(Substitution!$M$15 &amp; $A21, US_national_yearly!$D:$AM, MATCH(Keys!$C$7, US_national_yearly!$D$1:$AM$1, 0), FALSE), 1)</f>
        <v>2.0076885417098E-5</v>
      </c>
    </row>
    <row r="22" spans="1:28" x14ac:dyDescent="0.25">
      <c r="A22" s="4" t="s">
        <v>331</v>
      </c>
      <c r="B22" s="12">
        <f>IFERROR(VLOOKUP(Substitution!$M$15 &amp; $A22, US_national_yearly!$D:$AM, MATCH(Keys!$C$7, US_national_yearly!$D$1:$AM$1, 0), FALSE), 0)</f>
        <v>3.5199037405936681E-4</v>
      </c>
      <c r="C22" s="12">
        <f>$B22 * IFERROR(VLOOKUP(Substitution!$M$15 &amp; $A22, US_national_yearly!$D:$AM, MATCH(C$1, US_national_yearly!$D$1:$AM$1, 0), FALSE) / VLOOKUP(Substitution!$M$15 &amp; $A22, US_national_yearly!$D:$AM, MATCH(Keys!$C$7, US_national_yearly!$D$1:$AM$1, 0), FALSE), 1)</f>
        <v>3.582011581975256E-4</v>
      </c>
      <c r="D22" s="12">
        <f>$B22 * IFERROR(VLOOKUP(Substitution!$M$15 &amp; $A22, US_national_yearly!$D:$AM, MATCH(D$1, US_national_yearly!$D$1:$AM$1, 0), FALSE) / VLOOKUP(Substitution!$M$15 &amp; $A22, US_national_yearly!$D:$AM, MATCH(Keys!$C$7, US_national_yearly!$D$1:$AM$1, 0), FALSE), 1)</f>
        <v>3.6441194233568434E-4</v>
      </c>
      <c r="E22" s="12">
        <f>$B22 * IFERROR(VLOOKUP(Substitution!$M$15 &amp; $A22, US_national_yearly!$D:$AM, MATCH(E$1, US_national_yearly!$D$1:$AM$1, 0), FALSE) / VLOOKUP(Substitution!$M$15 &amp; $A22, US_national_yearly!$D:$AM, MATCH(Keys!$C$7, US_national_yearly!$D$1:$AM$1, 0), FALSE), 1)</f>
        <v>3.7062272647384319E-4</v>
      </c>
      <c r="F22" s="12">
        <f>$B22 * IFERROR(VLOOKUP(Substitution!$M$15 &amp; $A22, US_national_yearly!$D:$AM, MATCH(F$1, US_national_yearly!$D$1:$AM$1, 0), FALSE) / VLOOKUP(Substitution!$M$15 &amp; $A22, US_national_yearly!$D:$AM, MATCH(Keys!$C$7, US_national_yearly!$D$1:$AM$1, 0), FALSE), 1)</f>
        <v>3.7683351061200198E-4</v>
      </c>
      <c r="G22" s="12">
        <f>$B22 * IFERROR(VLOOKUP(Substitution!$M$15 &amp; $A22, US_national_yearly!$D:$AM, MATCH(G$1, US_national_yearly!$D$1:$AM$1, 0), FALSE) / VLOOKUP(Substitution!$M$15 &amp; $A22, US_national_yearly!$D:$AM, MATCH(Keys!$C$7, US_national_yearly!$D$1:$AM$1, 0), FALSE), 1)</f>
        <v>3.8288363446334502E-4</v>
      </c>
      <c r="H22" s="12">
        <f>$B22 * IFERROR(VLOOKUP(Substitution!$M$15 &amp; $A22, US_national_yearly!$D:$AM, MATCH(H$1, US_national_yearly!$D$1:$AM$1, 0), FALSE) / VLOOKUP(Substitution!$M$15 &amp; $A22, US_national_yearly!$D:$AM, MATCH(Keys!$C$7, US_national_yearly!$D$1:$AM$1, 0), FALSE), 1)</f>
        <v>3.88933758314688E-4</v>
      </c>
      <c r="I22" s="12">
        <f>$B22 * IFERROR(VLOOKUP(Substitution!$M$15 &amp; $A22, US_national_yearly!$D:$AM, MATCH(I$1, US_national_yearly!$D$1:$AM$1, 0), FALSE) / VLOOKUP(Substitution!$M$15 &amp; $A22, US_national_yearly!$D:$AM, MATCH(Keys!$C$7, US_national_yearly!$D$1:$AM$1, 0), FALSE), 1)</f>
        <v>3.9471497612569043E-4</v>
      </c>
      <c r="J22" s="12">
        <f>$B22 * IFERROR(VLOOKUP(Substitution!$M$15 &amp; $A22, US_national_yearly!$D:$AM, MATCH(J$1, US_national_yearly!$D$1:$AM$1, 0), FALSE) / VLOOKUP(Substitution!$M$15 &amp; $A22, US_national_yearly!$D:$AM, MATCH(Keys!$C$7, US_national_yearly!$D$1:$AM$1, 0), FALSE), 1)</f>
        <v>4.0049619393669279E-4</v>
      </c>
      <c r="K22" s="12">
        <f>$B22 * IFERROR(VLOOKUP(Substitution!$M$15 &amp; $A22, US_national_yearly!$D:$AM, MATCH(K$1, US_national_yearly!$D$1:$AM$1, 0), FALSE) / VLOOKUP(Substitution!$M$15 &amp; $A22, US_national_yearly!$D:$AM, MATCH(Keys!$C$7, US_national_yearly!$D$1:$AM$1, 0), FALSE), 1)</f>
        <v>4.0627741174769521E-4</v>
      </c>
      <c r="L22" s="12">
        <f>$B22 * IFERROR(VLOOKUP(Substitution!$M$15 &amp; $A22, US_national_yearly!$D:$AM, MATCH(L$1, US_national_yearly!$D$1:$AM$1, 0), FALSE) / VLOOKUP(Substitution!$M$15 &amp; $A22, US_national_yearly!$D:$AM, MATCH(Keys!$C$7, US_national_yearly!$D$1:$AM$1, 0), FALSE), 1)</f>
        <v>4.1205862955869758E-4</v>
      </c>
      <c r="M22" s="12">
        <f>$B22 * IFERROR(VLOOKUP(Substitution!$M$15 &amp; $A22, US_national_yearly!$D:$AM, MATCH(M$1, US_national_yearly!$D$1:$AM$1, 0), FALSE) / VLOOKUP(Substitution!$M$15 &amp; $A22, US_national_yearly!$D:$AM, MATCH(Keys!$C$7, US_national_yearly!$D$1:$AM$1, 0), FALSE), 1)</f>
        <v>4.1783984736969994E-4</v>
      </c>
      <c r="N22" s="12">
        <f>$B22 * IFERROR(VLOOKUP(Substitution!$M$15 &amp; $A22, US_national_yearly!$D:$AM, MATCH(N$1, US_national_yearly!$D$1:$AM$1, 0), FALSE) / VLOOKUP(Substitution!$M$15 &amp; $A22, US_national_yearly!$D:$AM, MATCH(Keys!$C$7, US_national_yearly!$D$1:$AM$1, 0), FALSE), 1)</f>
        <v>4.2228858649027902E-4</v>
      </c>
      <c r="O22" s="12">
        <f>$B22 * IFERROR(VLOOKUP(Substitution!$M$15 &amp; $A22, US_national_yearly!$D:$AM, MATCH(O$1, US_national_yearly!$D$1:$AM$1, 0), FALSE) / VLOOKUP(Substitution!$M$15 &amp; $A22, US_national_yearly!$D:$AM, MATCH(Keys!$C$7, US_national_yearly!$D$1:$AM$1, 0), FALSE), 1)</f>
        <v>4.26737325610858E-4</v>
      </c>
      <c r="P22" s="12">
        <f>$B22 * IFERROR(VLOOKUP(Substitution!$M$15 &amp; $A22, US_national_yearly!$D:$AM, MATCH(P$1, US_national_yearly!$D$1:$AM$1, 0), FALSE) / VLOOKUP(Substitution!$M$15 &amp; $A22, US_national_yearly!$D:$AM, MATCH(Keys!$C$7, US_national_yearly!$D$1:$AM$1, 0), FALSE), 1)</f>
        <v>4.3118606473143702E-4</v>
      </c>
      <c r="Q22" s="12">
        <f>$B22 * IFERROR(VLOOKUP(Substitution!$M$15 &amp; $A22, US_national_yearly!$D:$AM, MATCH(Q$1, US_national_yearly!$D$1:$AM$1, 0), FALSE) / VLOOKUP(Substitution!$M$15 &amp; $A22, US_national_yearly!$D:$AM, MATCH(Keys!$C$7, US_national_yearly!$D$1:$AM$1, 0), FALSE), 1)</f>
        <v>4.3563480385201599E-4</v>
      </c>
      <c r="R22" s="12">
        <f>$B22 * IFERROR(VLOOKUP(Substitution!$M$15 &amp; $A22, US_national_yearly!$D:$AM, MATCH(R$1, US_national_yearly!$D$1:$AM$1, 0), FALSE) / VLOOKUP(Substitution!$M$15 &amp; $A22, US_national_yearly!$D:$AM, MATCH(Keys!$C$7, US_national_yearly!$D$1:$AM$1, 0), FALSE), 1)</f>
        <v>4.4008354297259502E-4</v>
      </c>
      <c r="S22" s="12">
        <f>$B22 * IFERROR(VLOOKUP(Substitution!$M$15 &amp; $A22, US_national_yearly!$D:$AM, MATCH(S$1, US_national_yearly!$D$1:$AM$1, 0), FALSE) / VLOOKUP(Substitution!$M$15 &amp; $A22, US_national_yearly!$D:$AM, MATCH(Keys!$C$7, US_national_yearly!$D$1:$AM$1, 0), FALSE), 1)</f>
        <v>4.429378643537404E-4</v>
      </c>
      <c r="T22" s="12">
        <f>$B22 * IFERROR(VLOOKUP(Substitution!$M$15 &amp; $A22, US_national_yearly!$D:$AM, MATCH(T$1, US_national_yearly!$D$1:$AM$1, 0), FALSE) / VLOOKUP(Substitution!$M$15 &amp; $A22, US_national_yearly!$D:$AM, MATCH(Keys!$C$7, US_national_yearly!$D$1:$AM$1, 0), FALSE), 1)</f>
        <v>4.4579218573488578E-4</v>
      </c>
      <c r="U22" s="12">
        <f>$B22 * IFERROR(VLOOKUP(Substitution!$M$15 &amp; $A22, US_national_yearly!$D:$AM, MATCH(U$1, US_national_yearly!$D$1:$AM$1, 0), FALSE) / VLOOKUP(Substitution!$M$15 &amp; $A22, US_national_yearly!$D:$AM, MATCH(Keys!$C$7, US_national_yearly!$D$1:$AM$1, 0), FALSE), 1)</f>
        <v>4.4864650711603116E-4</v>
      </c>
      <c r="V22" s="12">
        <f>$B22 * IFERROR(VLOOKUP(Substitution!$M$15 &amp; $A22, US_national_yearly!$D:$AM, MATCH(V$1, US_national_yearly!$D$1:$AM$1, 0), FALSE) / VLOOKUP(Substitution!$M$15 &amp; $A22, US_national_yearly!$D:$AM, MATCH(Keys!$C$7, US_national_yearly!$D$1:$AM$1, 0), FALSE), 1)</f>
        <v>4.515008284971766E-4</v>
      </c>
      <c r="W22" s="12">
        <f>$B22 * IFERROR(VLOOKUP(Substitution!$M$15 &amp; $A22, US_national_yearly!$D:$AM, MATCH(W$1, US_national_yearly!$D$1:$AM$1, 0), FALSE) / VLOOKUP(Substitution!$M$15 &amp; $A22, US_national_yearly!$D:$AM, MATCH(Keys!$C$7, US_national_yearly!$D$1:$AM$1, 0), FALSE), 1)</f>
        <v>4.5435514987832192E-4</v>
      </c>
      <c r="X22" s="12">
        <f>$B22 * IFERROR(VLOOKUP(Substitution!$M$15 &amp; $A22, US_national_yearly!$D:$AM, MATCH(X$1, US_national_yearly!$D$1:$AM$1, 0), FALSE) / VLOOKUP(Substitution!$M$15 &amp; $A22, US_national_yearly!$D:$AM, MATCH(Keys!$C$7, US_national_yearly!$D$1:$AM$1, 0), FALSE), 1)</f>
        <v>4.5632151434661579E-4</v>
      </c>
      <c r="Y22" s="12">
        <f>$B22 * IFERROR(VLOOKUP(Substitution!$M$15 &amp; $A22, US_national_yearly!$D:$AM, MATCH(Y$1, US_national_yearly!$D$1:$AM$1, 0), FALSE) / VLOOKUP(Substitution!$M$15 &amp; $A22, US_national_yearly!$D:$AM, MATCH(Keys!$C$7, US_national_yearly!$D$1:$AM$1, 0), FALSE), 1)</f>
        <v>4.5828787881490961E-4</v>
      </c>
      <c r="Z22" s="12">
        <f>$B22 * IFERROR(VLOOKUP(Substitution!$M$15 &amp; $A22, US_national_yearly!$D:$AM, MATCH(Z$1, US_national_yearly!$D$1:$AM$1, 0), FALSE) / VLOOKUP(Substitution!$M$15 &amp; $A22, US_national_yearly!$D:$AM, MATCH(Keys!$C$7, US_national_yearly!$D$1:$AM$1, 0), FALSE), 1)</f>
        <v>4.6025424328320337E-4</v>
      </c>
      <c r="AA22" s="12">
        <f>$B22 * IFERROR(VLOOKUP(Substitution!$M$15 &amp; $A22, US_national_yearly!$D:$AM, MATCH(AA$1, US_national_yearly!$D$1:$AM$1, 0), FALSE) / VLOOKUP(Substitution!$M$15 &amp; $A22, US_national_yearly!$D:$AM, MATCH(Keys!$C$7, US_national_yearly!$D$1:$AM$1, 0), FALSE), 1)</f>
        <v>4.6222060775149719E-4</v>
      </c>
      <c r="AB22" s="12">
        <f>$B22 * IFERROR(VLOOKUP(Substitution!$M$15 &amp; $A22, US_national_yearly!$D:$AM, MATCH(AB$1, US_national_yearly!$D$1:$AM$1, 0), FALSE) / VLOOKUP(Substitution!$M$15 &amp; $A22, US_national_yearly!$D:$AM, MATCH(Keys!$C$7, US_national_yearly!$D$1:$AM$1, 0), FALSE), 1)</f>
        <v>4.6418697221979101E-4</v>
      </c>
    </row>
    <row r="23" spans="1:28" x14ac:dyDescent="0.25">
      <c r="A23" s="4" t="s">
        <v>333</v>
      </c>
      <c r="B23" s="12">
        <f>IFERROR(VLOOKUP(Substitution!$M$15 &amp; $A23, US_national_yearly!$D:$AM, MATCH(Keys!$C$7, US_national_yearly!$D$1:$AM$1, 0), FALSE), 0)</f>
        <v>2.0512123805778359</v>
      </c>
      <c r="C23" s="12">
        <f>$B23 * IFERROR(VLOOKUP(Substitution!$M$15 &amp; $A23, US_national_yearly!$D:$AM, MATCH(C$1, US_national_yearly!$D$1:$AM$1, 0), FALSE) / VLOOKUP(Substitution!$M$15 &amp; $A23, US_national_yearly!$D:$AM, MATCH(Keys!$C$7, US_national_yearly!$D$1:$AM$1, 0), FALSE), 1)</f>
        <v>2.0727163035179021</v>
      </c>
      <c r="D23" s="12">
        <f>$B23 * IFERROR(VLOOKUP(Substitution!$M$15 &amp; $A23, US_national_yearly!$D:$AM, MATCH(D$1, US_national_yearly!$D$1:$AM$1, 0), FALSE) / VLOOKUP(Substitution!$M$15 &amp; $A23, US_national_yearly!$D:$AM, MATCH(Keys!$C$7, US_national_yearly!$D$1:$AM$1, 0), FALSE), 1)</f>
        <v>2.0942202264579679</v>
      </c>
      <c r="E23" s="12">
        <f>$B23 * IFERROR(VLOOKUP(Substitution!$M$15 &amp; $A23, US_national_yearly!$D:$AM, MATCH(E$1, US_national_yearly!$D$1:$AM$1, 0), FALSE) / VLOOKUP(Substitution!$M$15 &amp; $A23, US_national_yearly!$D:$AM, MATCH(Keys!$C$7, US_national_yearly!$D$1:$AM$1, 0), FALSE), 1)</f>
        <v>2.1157241493980341</v>
      </c>
      <c r="F23" s="12">
        <f>$B23 * IFERROR(VLOOKUP(Substitution!$M$15 &amp; $A23, US_national_yearly!$D:$AM, MATCH(F$1, US_national_yearly!$D$1:$AM$1, 0), FALSE) / VLOOKUP(Substitution!$M$15 &amp; $A23, US_national_yearly!$D:$AM, MATCH(Keys!$C$7, US_national_yearly!$D$1:$AM$1, 0), FALSE), 1)</f>
        <v>2.1372280723380999</v>
      </c>
      <c r="G23" s="12">
        <f>$B23 * IFERROR(VLOOKUP(Substitution!$M$15 &amp; $A23, US_national_yearly!$D:$AM, MATCH(G$1, US_national_yearly!$D$1:$AM$1, 0), FALSE) / VLOOKUP(Substitution!$M$15 &amp; $A23, US_national_yearly!$D:$AM, MATCH(Keys!$C$7, US_national_yearly!$D$1:$AM$1, 0), FALSE), 1)</f>
        <v>2.1613393244280998</v>
      </c>
      <c r="H23" s="12">
        <f>$B23 * IFERROR(VLOOKUP(Substitution!$M$15 &amp; $A23, US_national_yearly!$D:$AM, MATCH(H$1, US_national_yearly!$D$1:$AM$1, 0), FALSE) / VLOOKUP(Substitution!$M$15 &amp; $A23, US_national_yearly!$D:$AM, MATCH(Keys!$C$7, US_national_yearly!$D$1:$AM$1, 0), FALSE), 1)</f>
        <v>2.1854505765180998</v>
      </c>
      <c r="I23" s="12">
        <f>$B23 * IFERROR(VLOOKUP(Substitution!$M$15 &amp; $A23, US_national_yearly!$D:$AM, MATCH(I$1, US_national_yearly!$D$1:$AM$1, 0), FALSE) / VLOOKUP(Substitution!$M$15 &amp; $A23, US_national_yearly!$D:$AM, MATCH(Keys!$C$7, US_national_yearly!$D$1:$AM$1, 0), FALSE), 1)</f>
        <v>2.203581558105014</v>
      </c>
      <c r="J23" s="12">
        <f>$B23 * IFERROR(VLOOKUP(Substitution!$M$15 &amp; $A23, US_national_yearly!$D:$AM, MATCH(J$1, US_national_yearly!$D$1:$AM$1, 0), FALSE) / VLOOKUP(Substitution!$M$15 &amp; $A23, US_national_yearly!$D:$AM, MATCH(Keys!$C$7, US_national_yearly!$D$1:$AM$1, 0), FALSE), 1)</f>
        <v>2.2217125396919282</v>
      </c>
      <c r="K23" s="12">
        <f>$B23 * IFERROR(VLOOKUP(Substitution!$M$15 &amp; $A23, US_national_yearly!$D:$AM, MATCH(K$1, US_national_yearly!$D$1:$AM$1, 0), FALSE) / VLOOKUP(Substitution!$M$15 &amp; $A23, US_national_yearly!$D:$AM, MATCH(Keys!$C$7, US_national_yearly!$D$1:$AM$1, 0), FALSE), 1)</f>
        <v>2.2398435212788419</v>
      </c>
      <c r="L23" s="12">
        <f>$B23 * IFERROR(VLOOKUP(Substitution!$M$15 &amp; $A23, US_national_yearly!$D:$AM, MATCH(L$1, US_national_yearly!$D$1:$AM$1, 0), FALSE) / VLOOKUP(Substitution!$M$15 &amp; $A23, US_national_yearly!$D:$AM, MATCH(Keys!$C$7, US_national_yearly!$D$1:$AM$1, 0), FALSE), 1)</f>
        <v>2.2579745028657561</v>
      </c>
      <c r="M23" s="12">
        <f>$B23 * IFERROR(VLOOKUP(Substitution!$M$15 &amp; $A23, US_national_yearly!$D:$AM, MATCH(M$1, US_national_yearly!$D$1:$AM$1, 0), FALSE) / VLOOKUP(Substitution!$M$15 &amp; $A23, US_national_yearly!$D:$AM, MATCH(Keys!$C$7, US_national_yearly!$D$1:$AM$1, 0), FALSE), 1)</f>
        <v>2.2761054844526698</v>
      </c>
      <c r="N23" s="12">
        <f>$B23 * IFERROR(VLOOKUP(Substitution!$M$15 &amp; $A23, US_national_yearly!$D:$AM, MATCH(N$1, US_national_yearly!$D$1:$AM$1, 0), FALSE) / VLOOKUP(Substitution!$M$15 &amp; $A23, US_national_yearly!$D:$AM, MATCH(Keys!$C$7, US_national_yearly!$D$1:$AM$1, 0), FALSE), 1)</f>
        <v>2.2847832794230101</v>
      </c>
      <c r="O23" s="12">
        <f>$B23 * IFERROR(VLOOKUP(Substitution!$M$15 &amp; $A23, US_national_yearly!$D:$AM, MATCH(O$1, US_national_yearly!$D$1:$AM$1, 0), FALSE) / VLOOKUP(Substitution!$M$15 &amp; $A23, US_national_yearly!$D:$AM, MATCH(Keys!$C$7, US_national_yearly!$D$1:$AM$1, 0), FALSE), 1)</f>
        <v>2.2934610743933499</v>
      </c>
      <c r="P23" s="12">
        <f>$B23 * IFERROR(VLOOKUP(Substitution!$M$15 &amp; $A23, US_national_yearly!$D:$AM, MATCH(P$1, US_national_yearly!$D$1:$AM$1, 0), FALSE) / VLOOKUP(Substitution!$M$15 &amp; $A23, US_national_yearly!$D:$AM, MATCH(Keys!$C$7, US_national_yearly!$D$1:$AM$1, 0), FALSE), 1)</f>
        <v>2.3021388693636902</v>
      </c>
      <c r="Q23" s="12">
        <f>$B23 * IFERROR(VLOOKUP(Substitution!$M$15 &amp; $A23, US_national_yearly!$D:$AM, MATCH(Q$1, US_national_yearly!$D$1:$AM$1, 0), FALSE) / VLOOKUP(Substitution!$M$15 &amp; $A23, US_national_yearly!$D:$AM, MATCH(Keys!$C$7, US_national_yearly!$D$1:$AM$1, 0), FALSE), 1)</f>
        <v>2.31081666433403</v>
      </c>
      <c r="R23" s="12">
        <f>$B23 * IFERROR(VLOOKUP(Substitution!$M$15 &amp; $A23, US_national_yearly!$D:$AM, MATCH(R$1, US_national_yearly!$D$1:$AM$1, 0), FALSE) / VLOOKUP(Substitution!$M$15 &amp; $A23, US_national_yearly!$D:$AM, MATCH(Keys!$C$7, US_national_yearly!$D$1:$AM$1, 0), FALSE), 1)</f>
        <v>2.3194944593043698</v>
      </c>
      <c r="S23" s="12">
        <f>$B23 * IFERROR(VLOOKUP(Substitution!$M$15 &amp; $A23, US_national_yearly!$D:$AM, MATCH(S$1, US_national_yearly!$D$1:$AM$1, 0), FALSE) / VLOOKUP(Substitution!$M$15 &amp; $A23, US_national_yearly!$D:$AM, MATCH(Keys!$C$7, US_national_yearly!$D$1:$AM$1, 0), FALSE), 1)</f>
        <v>2.3298482202902622</v>
      </c>
      <c r="T23" s="12">
        <f>$B23 * IFERROR(VLOOKUP(Substitution!$M$15 &amp; $A23, US_national_yearly!$D:$AM, MATCH(T$1, US_national_yearly!$D$1:$AM$1, 0), FALSE) / VLOOKUP(Substitution!$M$15 &amp; $A23, US_national_yearly!$D:$AM, MATCH(Keys!$C$7, US_national_yearly!$D$1:$AM$1, 0), FALSE), 1)</f>
        <v>2.3402019812761541</v>
      </c>
      <c r="U23" s="12">
        <f>$B23 * IFERROR(VLOOKUP(Substitution!$M$15 &amp; $A23, US_national_yearly!$D:$AM, MATCH(U$1, US_national_yearly!$D$1:$AM$1, 0), FALSE) / VLOOKUP(Substitution!$M$15 &amp; $A23, US_national_yearly!$D:$AM, MATCH(Keys!$C$7, US_national_yearly!$D$1:$AM$1, 0), FALSE), 1)</f>
        <v>2.350555742262046</v>
      </c>
      <c r="V23" s="12">
        <f>$B23 * IFERROR(VLOOKUP(Substitution!$M$15 &amp; $A23, US_national_yearly!$D:$AM, MATCH(V$1, US_national_yearly!$D$1:$AM$1, 0), FALSE) / VLOOKUP(Substitution!$M$15 &amp; $A23, US_national_yearly!$D:$AM, MATCH(Keys!$C$7, US_national_yearly!$D$1:$AM$1, 0), FALSE), 1)</f>
        <v>2.3609095032479379</v>
      </c>
      <c r="W23" s="12">
        <f>$B23 * IFERROR(VLOOKUP(Substitution!$M$15 &amp; $A23, US_national_yearly!$D:$AM, MATCH(W$1, US_national_yearly!$D$1:$AM$1, 0), FALSE) / VLOOKUP(Substitution!$M$15 &amp; $A23, US_national_yearly!$D:$AM, MATCH(Keys!$C$7, US_national_yearly!$D$1:$AM$1, 0), FALSE), 1)</f>
        <v>2.3712632642338298</v>
      </c>
      <c r="X23" s="12">
        <f>$B23 * IFERROR(VLOOKUP(Substitution!$M$15 &amp; $A23, US_national_yearly!$D:$AM, MATCH(X$1, US_national_yearly!$D$1:$AM$1, 0), FALSE) / VLOOKUP(Substitution!$M$15 &amp; $A23, US_national_yearly!$D:$AM, MATCH(Keys!$C$7, US_national_yearly!$D$1:$AM$1, 0), FALSE), 1)</f>
        <v>2.38214849526782</v>
      </c>
      <c r="Y23" s="12">
        <f>$B23 * IFERROR(VLOOKUP(Substitution!$M$15 &amp; $A23, US_national_yearly!$D:$AM, MATCH(Y$1, US_national_yearly!$D$1:$AM$1, 0), FALSE) / VLOOKUP(Substitution!$M$15 &amp; $A23, US_national_yearly!$D:$AM, MATCH(Keys!$C$7, US_national_yearly!$D$1:$AM$1, 0), FALSE), 1)</f>
        <v>2.3930337263018102</v>
      </c>
      <c r="Z23" s="12">
        <f>$B23 * IFERROR(VLOOKUP(Substitution!$M$15 &amp; $A23, US_national_yearly!$D:$AM, MATCH(Z$1, US_national_yearly!$D$1:$AM$1, 0), FALSE) / VLOOKUP(Substitution!$M$15 &amp; $A23, US_national_yearly!$D:$AM, MATCH(Keys!$C$7, US_national_yearly!$D$1:$AM$1, 0), FALSE), 1)</f>
        <v>2.4039189573358</v>
      </c>
      <c r="AA23" s="12">
        <f>$B23 * IFERROR(VLOOKUP(Substitution!$M$15 &amp; $A23, US_national_yearly!$D:$AM, MATCH(AA$1, US_national_yearly!$D$1:$AM$1, 0), FALSE) / VLOOKUP(Substitution!$M$15 &amp; $A23, US_national_yearly!$D:$AM, MATCH(Keys!$C$7, US_national_yearly!$D$1:$AM$1, 0), FALSE), 1)</f>
        <v>2.4148041883697902</v>
      </c>
      <c r="AB23" s="12">
        <f>$B23 * IFERROR(VLOOKUP(Substitution!$M$15 &amp; $A23, US_national_yearly!$D:$AM, MATCH(AB$1, US_national_yearly!$D$1:$AM$1, 0), FALSE) / VLOOKUP(Substitution!$M$15 &amp; $A23, US_national_yearly!$D:$AM, MATCH(Keys!$C$7, US_national_yearly!$D$1:$AM$1, 0), FALSE), 1)</f>
        <v>2.4256894194037799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Substitution!$G$16)/IFERROR(SUMIFS(COBRA_aggregated!$V:$V, COBRA_aggregated!$A:$A, About!$B$1, COBRA_aggregated!$B:$B, Substitution!$G$16), 1)</f>
        <v>1.662973492776975E-2</v>
      </c>
      <c r="C2" s="12">
        <f>$B2 * IFERROR(VLOOKUP(Substitution!$M$16 &amp; $A2, US_national_yearly!$D:$AM, MATCH(C$1, US_national_yearly!$D$1:$AM$1, 0), FALSE) / VLOOKUP(Substitution!$M$16 &amp; $A2, US_national_yearly!$D:$AM, MATCH(Keys!$C$7, US_national_yearly!$D$1:$AM$1, 0), FALSE), 1)</f>
        <v>1.684054845930965E-2</v>
      </c>
      <c r="D2" s="12">
        <f>$B2 * IFERROR(VLOOKUP(Substitution!$M$16 &amp; $A2, US_national_yearly!$D:$AM, MATCH(D$1, US_national_yearly!$D$1:$AM$1, 0), FALSE) / VLOOKUP(Substitution!$M$16 &amp; $A2, US_national_yearly!$D:$AM, MATCH(Keys!$C$7, US_national_yearly!$D$1:$AM$1, 0), FALSE), 1)</f>
        <v>1.7051361990849546E-2</v>
      </c>
      <c r="E2" s="12">
        <f>$B2 * IFERROR(VLOOKUP(Substitution!$M$16 &amp; $A2, US_national_yearly!$D:$AM, MATCH(E$1, US_national_yearly!$D$1:$AM$1, 0), FALSE) / VLOOKUP(Substitution!$M$16 &amp; $A2, US_national_yearly!$D:$AM, MATCH(Keys!$C$7, US_national_yearly!$D$1:$AM$1, 0), FALSE), 1)</f>
        <v>1.7262175522389438E-2</v>
      </c>
      <c r="F2" s="12">
        <f>$B2 * IFERROR(VLOOKUP(Substitution!$M$16 &amp; $A2, US_national_yearly!$D:$AM, MATCH(F$1, US_national_yearly!$D$1:$AM$1, 0), FALSE) / VLOOKUP(Substitution!$M$16 &amp; $A2, US_national_yearly!$D:$AM, MATCH(Keys!$C$7, US_national_yearly!$D$1:$AM$1, 0), FALSE), 1)</f>
        <v>1.7472989053929338E-2</v>
      </c>
      <c r="G2" s="12">
        <f>$B2 * IFERROR(VLOOKUP(Substitution!$M$16 &amp; $A2, US_national_yearly!$D:$AM, MATCH(G$1, US_national_yearly!$D$1:$AM$1, 0), FALSE) / VLOOKUP(Substitution!$M$16 &amp; $A2, US_national_yearly!$D:$AM, MATCH(Keys!$C$7, US_national_yearly!$D$1:$AM$1, 0), FALSE), 1)</f>
        <v>1.7879324465640355E-2</v>
      </c>
      <c r="H2" s="12">
        <f>$B2 * IFERROR(VLOOKUP(Substitution!$M$16 &amp; $A2, US_national_yearly!$D:$AM, MATCH(H$1, US_national_yearly!$D$1:$AM$1, 0), FALSE) / VLOOKUP(Substitution!$M$16 &amp; $A2, US_national_yearly!$D:$AM, MATCH(Keys!$C$7, US_national_yearly!$D$1:$AM$1, 0), FALSE), 1)</f>
        <v>1.8285659877351375E-2</v>
      </c>
      <c r="I2" s="12">
        <f>$B2 * IFERROR(VLOOKUP(Substitution!$M$16 &amp; $A2, US_national_yearly!$D:$AM, MATCH(I$1, US_national_yearly!$D$1:$AM$1, 0), FALSE) / VLOOKUP(Substitution!$M$16 &amp; $A2, US_national_yearly!$D:$AM, MATCH(Keys!$C$7, US_national_yearly!$D$1:$AM$1, 0), FALSE), 1)</f>
        <v>1.8554723293973865E-2</v>
      </c>
      <c r="J2" s="12">
        <f>$B2 * IFERROR(VLOOKUP(Substitution!$M$16 &amp; $A2, US_national_yearly!$D:$AM, MATCH(J$1, US_national_yearly!$D$1:$AM$1, 0), FALSE) / VLOOKUP(Substitution!$M$16 &amp; $A2, US_national_yearly!$D:$AM, MATCH(Keys!$C$7, US_national_yearly!$D$1:$AM$1, 0), FALSE), 1)</f>
        <v>1.8823786710596355E-2</v>
      </c>
      <c r="K2" s="12">
        <f>$B2 * IFERROR(VLOOKUP(Substitution!$M$16 &amp; $A2, US_national_yearly!$D:$AM, MATCH(K$1, US_national_yearly!$D$1:$AM$1, 0), FALSE) / VLOOKUP(Substitution!$M$16 &amp; $A2, US_national_yearly!$D:$AM, MATCH(Keys!$C$7, US_national_yearly!$D$1:$AM$1, 0), FALSE), 1)</f>
        <v>1.9092850127218845E-2</v>
      </c>
      <c r="L2" s="12">
        <f>$B2 * IFERROR(VLOOKUP(Substitution!$M$16 &amp; $A2, US_national_yearly!$D:$AM, MATCH(L$1, US_national_yearly!$D$1:$AM$1, 0), FALSE) / VLOOKUP(Substitution!$M$16 &amp; $A2, US_national_yearly!$D:$AM, MATCH(Keys!$C$7, US_national_yearly!$D$1:$AM$1, 0), FALSE), 1)</f>
        <v>1.9361913543841338E-2</v>
      </c>
      <c r="M2" s="12">
        <f>$B2 * IFERROR(VLOOKUP(Substitution!$M$16 &amp; $A2, US_national_yearly!$D:$AM, MATCH(M$1, US_national_yearly!$D$1:$AM$1, 0), FALSE) / VLOOKUP(Substitution!$M$16 &amp; $A2, US_national_yearly!$D:$AM, MATCH(Keys!$C$7, US_national_yearly!$D$1:$AM$1, 0), FALSE), 1)</f>
        <v>1.9630976960463824E-2</v>
      </c>
      <c r="N2" s="12">
        <f>$B2 * IFERROR(VLOOKUP(Substitution!$M$16 &amp; $A2, US_national_yearly!$D:$AM, MATCH(N$1, US_national_yearly!$D$1:$AM$1, 0), FALSE) / VLOOKUP(Substitution!$M$16 &amp; $A2, US_national_yearly!$D:$AM, MATCH(Keys!$C$7, US_national_yearly!$D$1:$AM$1, 0), FALSE), 1)</f>
        <v>1.9841448525146847E-2</v>
      </c>
      <c r="O2" s="12">
        <f>$B2 * IFERROR(VLOOKUP(Substitution!$M$16 &amp; $A2, US_national_yearly!$D:$AM, MATCH(O$1, US_national_yearly!$D$1:$AM$1, 0), FALSE) / VLOOKUP(Substitution!$M$16 &amp; $A2, US_national_yearly!$D:$AM, MATCH(Keys!$C$7, US_national_yearly!$D$1:$AM$1, 0), FALSE), 1)</f>
        <v>2.0051920089829867E-2</v>
      </c>
      <c r="P2" s="12">
        <f>$B2 * IFERROR(VLOOKUP(Substitution!$M$16 &amp; $A2, US_national_yearly!$D:$AM, MATCH(P$1, US_national_yearly!$D$1:$AM$1, 0), FALSE) / VLOOKUP(Substitution!$M$16 &amp; $A2, US_national_yearly!$D:$AM, MATCH(Keys!$C$7, US_national_yearly!$D$1:$AM$1, 0), FALSE), 1)</f>
        <v>2.0262391654512889E-2</v>
      </c>
      <c r="Q2" s="12">
        <f>$B2 * IFERROR(VLOOKUP(Substitution!$M$16 &amp; $A2, US_national_yearly!$D:$AM, MATCH(Q$1, US_national_yearly!$D$1:$AM$1, 0), FALSE) / VLOOKUP(Substitution!$M$16 &amp; $A2, US_national_yearly!$D:$AM, MATCH(Keys!$C$7, US_national_yearly!$D$1:$AM$1, 0), FALSE), 1)</f>
        <v>2.0472863219195912E-2</v>
      </c>
      <c r="R2" s="12">
        <f>$B2 * IFERROR(VLOOKUP(Substitution!$M$16 &amp; $A2, US_national_yearly!$D:$AM, MATCH(R$1, US_national_yearly!$D$1:$AM$1, 0), FALSE) / VLOOKUP(Substitution!$M$16 &amp; $A2, US_national_yearly!$D:$AM, MATCH(Keys!$C$7, US_national_yearly!$D$1:$AM$1, 0), FALSE), 1)</f>
        <v>2.0683334783878932E-2</v>
      </c>
      <c r="S2" s="12">
        <f>$B2 * IFERROR(VLOOKUP(Substitution!$M$16 &amp; $A2, US_national_yearly!$D:$AM, MATCH(S$1, US_national_yearly!$D$1:$AM$1, 0), FALSE) / VLOOKUP(Substitution!$M$16 &amp; $A2, US_national_yearly!$D:$AM, MATCH(Keys!$C$7, US_national_yearly!$D$1:$AM$1, 0), FALSE), 1)</f>
        <v>2.0796977833785361E-2</v>
      </c>
      <c r="T2" s="12">
        <f>$B2 * IFERROR(VLOOKUP(Substitution!$M$16 &amp; $A2, US_national_yearly!$D:$AM, MATCH(T$1, US_national_yearly!$D$1:$AM$1, 0), FALSE) / VLOOKUP(Substitution!$M$16 &amp; $A2, US_national_yearly!$D:$AM, MATCH(Keys!$C$7, US_national_yearly!$D$1:$AM$1, 0), FALSE), 1)</f>
        <v>2.0910620883691795E-2</v>
      </c>
      <c r="U2" s="12">
        <f>$B2 * IFERROR(VLOOKUP(Substitution!$M$16 &amp; $A2, US_national_yearly!$D:$AM, MATCH(U$1, US_national_yearly!$D$1:$AM$1, 0), FALSE) / VLOOKUP(Substitution!$M$16 &amp; $A2, US_national_yearly!$D:$AM, MATCH(Keys!$C$7, US_national_yearly!$D$1:$AM$1, 0), FALSE), 1)</f>
        <v>2.1024263933598231E-2</v>
      </c>
      <c r="V2" s="12">
        <f>$B2 * IFERROR(VLOOKUP(Substitution!$M$16 &amp; $A2, US_national_yearly!$D:$AM, MATCH(V$1, US_national_yearly!$D$1:$AM$1, 0), FALSE) / VLOOKUP(Substitution!$M$16 &amp; $A2, US_national_yearly!$D:$AM, MATCH(Keys!$C$7, US_national_yearly!$D$1:$AM$1, 0), FALSE), 1)</f>
        <v>2.1137906983504665E-2</v>
      </c>
      <c r="W2" s="12">
        <f>$B2 * IFERROR(VLOOKUP(Substitution!$M$16 &amp; $A2, US_national_yearly!$D:$AM, MATCH(W$1, US_national_yearly!$D$1:$AM$1, 0), FALSE) / VLOOKUP(Substitution!$M$16 &amp; $A2, US_national_yearly!$D:$AM, MATCH(Keys!$C$7, US_national_yearly!$D$1:$AM$1, 0), FALSE), 1)</f>
        <v>2.1251550033411101E-2</v>
      </c>
      <c r="X2" s="12">
        <f>$B2 * IFERROR(VLOOKUP(Substitution!$M$16 &amp; $A2, US_national_yearly!$D:$AM, MATCH(X$1, US_national_yearly!$D$1:$AM$1, 0), FALSE) / VLOOKUP(Substitution!$M$16 &amp; $A2, US_national_yearly!$D:$AM, MATCH(Keys!$C$7, US_national_yearly!$D$1:$AM$1, 0), FALSE), 1)</f>
        <v>2.1276009485444426E-2</v>
      </c>
      <c r="Y2" s="12">
        <f>$B2 * IFERROR(VLOOKUP(Substitution!$M$16 &amp; $A2, US_national_yearly!$D:$AM, MATCH(Y$1, US_national_yearly!$D$1:$AM$1, 0), FALSE) / VLOOKUP(Substitution!$M$16 &amp; $A2, US_national_yearly!$D:$AM, MATCH(Keys!$C$7, US_national_yearly!$D$1:$AM$1, 0), FALSE), 1)</f>
        <v>2.1300468937477751E-2</v>
      </c>
      <c r="Z2" s="12">
        <f>$B2 * IFERROR(VLOOKUP(Substitution!$M$16 &amp; $A2, US_national_yearly!$D:$AM, MATCH(Z$1, US_national_yearly!$D$1:$AM$1, 0), FALSE) / VLOOKUP(Substitution!$M$16 &amp; $A2, US_national_yearly!$D:$AM, MATCH(Keys!$C$7, US_national_yearly!$D$1:$AM$1, 0), FALSE), 1)</f>
        <v>2.132492838951108E-2</v>
      </c>
      <c r="AA2" s="12">
        <f>$B2 * IFERROR(VLOOKUP(Substitution!$M$16 &amp; $A2, US_national_yearly!$D:$AM, MATCH(AA$1, US_national_yearly!$D$1:$AM$1, 0), FALSE) / VLOOKUP(Substitution!$M$16 &amp; $A2, US_national_yearly!$D:$AM, MATCH(Keys!$C$7, US_national_yearly!$D$1:$AM$1, 0), FALSE), 1)</f>
        <v>2.1349387841544405E-2</v>
      </c>
      <c r="AB2" s="12">
        <f>$B2 * IFERROR(VLOOKUP(Substitution!$M$16 &amp; $A2, US_national_yearly!$D:$AM, MATCH(AB$1, US_national_yearly!$D$1:$AM$1, 0), FALSE) / VLOOKUP(Substitution!$M$16 &amp; $A2, US_national_yearly!$D:$AM, MATCH(Keys!$C$7, US_national_yearly!$D$1:$AM$1, 0), FALSE), 1)</f>
        <v>2.1373847293577733E-2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Substitution!$G$16)/IFERROR(SUMIFS(COBRA_aggregated!$V:$V, COBRA_aggregated!$A:$A, About!$B$1, COBRA_aggregated!$B:$B, Substitution!$G$16), 1)</f>
        <v>3.0625681058725169E-5</v>
      </c>
      <c r="C3" s="12">
        <f>$B3 * IFERROR(VLOOKUP(Substitution!$M$16 &amp; $A3, US_national_yearly!$D:$AM, MATCH(C$1, US_national_yearly!$D$1:$AM$1, 0), FALSE) / VLOOKUP(Substitution!$M$16 &amp; $A3, US_national_yearly!$D:$AM, MATCH(Keys!$C$7, US_national_yearly!$D$1:$AM$1, 0), FALSE), 1)</f>
        <v>3.0362205962823672E-5</v>
      </c>
      <c r="D3" s="12">
        <f>$B3 * IFERROR(VLOOKUP(Substitution!$M$16 &amp; $A3, US_national_yearly!$D:$AM, MATCH(D$1, US_national_yearly!$D$1:$AM$1, 0), FALSE) / VLOOKUP(Substitution!$M$16 &amp; $A3, US_national_yearly!$D:$AM, MATCH(Keys!$C$7, US_national_yearly!$D$1:$AM$1, 0), FALSE), 1)</f>
        <v>3.0098730866922174E-5</v>
      </c>
      <c r="E3" s="12">
        <f>$B3 * IFERROR(VLOOKUP(Substitution!$M$16 &amp; $A3, US_national_yearly!$D:$AM, MATCH(E$1, US_national_yearly!$D$1:$AM$1, 0), FALSE) / VLOOKUP(Substitution!$M$16 &amp; $A3, US_national_yearly!$D:$AM, MATCH(Keys!$C$7, US_national_yearly!$D$1:$AM$1, 0), FALSE), 1)</f>
        <v>2.9835255771020677E-5</v>
      </c>
      <c r="F3" s="12">
        <f>$B3 * IFERROR(VLOOKUP(Substitution!$M$16 &amp; $A3, US_national_yearly!$D:$AM, MATCH(F$1, US_national_yearly!$D$1:$AM$1, 0), FALSE) / VLOOKUP(Substitution!$M$16 &amp; $A3, US_national_yearly!$D:$AM, MATCH(Keys!$C$7, US_national_yearly!$D$1:$AM$1, 0), FALSE), 1)</f>
        <v>2.957178067511918E-5</v>
      </c>
      <c r="G3" s="12">
        <f>$B3 * IFERROR(VLOOKUP(Substitution!$M$16 &amp; $A3, US_national_yearly!$D:$AM, MATCH(G$1, US_national_yearly!$D$1:$AM$1, 0), FALSE) / VLOOKUP(Substitution!$M$16 &amp; $A3, US_national_yearly!$D:$AM, MATCH(Keys!$C$7, US_national_yearly!$D$1:$AM$1, 0), FALSE), 1)</f>
        <v>1.9685885491605305E-5</v>
      </c>
      <c r="H3" s="12">
        <f>$B3 * IFERROR(VLOOKUP(Substitution!$M$16 &amp; $A3, US_national_yearly!$D:$AM, MATCH(H$1, US_national_yearly!$D$1:$AM$1, 0), FALSE) / VLOOKUP(Substitution!$M$16 &amp; $A3, US_national_yearly!$D:$AM, MATCH(Keys!$C$7, US_national_yearly!$D$1:$AM$1, 0), FALSE), 1)</f>
        <v>9.7999903080914315E-6</v>
      </c>
      <c r="I3" s="12">
        <f>$B3 * IFERROR(VLOOKUP(Substitution!$M$16 &amp; $A3, US_national_yearly!$D:$AM, MATCH(I$1, US_national_yearly!$D$1:$AM$1, 0), FALSE) / VLOOKUP(Substitution!$M$16 &amp; $A3, US_national_yearly!$D:$AM, MATCH(Keys!$C$7, US_national_yearly!$D$1:$AM$1, 0), FALSE), 1)</f>
        <v>9.7377612054834017E-6</v>
      </c>
      <c r="J3" s="12">
        <f>$B3 * IFERROR(VLOOKUP(Substitution!$M$16 &amp; $A3, US_national_yearly!$D:$AM, MATCH(J$1, US_national_yearly!$D$1:$AM$1, 0), FALSE) / VLOOKUP(Substitution!$M$16 &amp; $A3, US_national_yearly!$D:$AM, MATCH(Keys!$C$7, US_national_yearly!$D$1:$AM$1, 0), FALSE), 1)</f>
        <v>9.6755321028753701E-6</v>
      </c>
      <c r="K3" s="12">
        <f>$B3 * IFERROR(VLOOKUP(Substitution!$M$16 &amp; $A3, US_national_yearly!$D:$AM, MATCH(K$1, US_national_yearly!$D$1:$AM$1, 0), FALSE) / VLOOKUP(Substitution!$M$16 &amp; $A3, US_national_yearly!$D:$AM, MATCH(Keys!$C$7, US_national_yearly!$D$1:$AM$1, 0), FALSE), 1)</f>
        <v>9.6133030002673386E-6</v>
      </c>
      <c r="L3" s="12">
        <f>$B3 * IFERROR(VLOOKUP(Substitution!$M$16 &amp; $A3, US_national_yearly!$D:$AM, MATCH(L$1, US_national_yearly!$D$1:$AM$1, 0), FALSE) / VLOOKUP(Substitution!$M$16 &amp; $A3, US_national_yearly!$D:$AM, MATCH(Keys!$C$7, US_national_yearly!$D$1:$AM$1, 0), FALSE), 1)</f>
        <v>9.5510738976593088E-6</v>
      </c>
      <c r="M3" s="12">
        <f>$B3 * IFERROR(VLOOKUP(Substitution!$M$16 &amp; $A3, US_national_yearly!$D:$AM, MATCH(M$1, US_national_yearly!$D$1:$AM$1, 0), FALSE) / VLOOKUP(Substitution!$M$16 &amp; $A3, US_national_yearly!$D:$AM, MATCH(Keys!$C$7, US_national_yearly!$D$1:$AM$1, 0), FALSE), 1)</f>
        <v>9.4888447950512773E-6</v>
      </c>
      <c r="N3" s="12">
        <f>$B3 * IFERROR(VLOOKUP(Substitution!$M$16 &amp; $A3, US_national_yearly!$D:$AM, MATCH(N$1, US_national_yearly!$D$1:$AM$1, 0), FALSE) / VLOOKUP(Substitution!$M$16 &amp; $A3, US_national_yearly!$D:$AM, MATCH(Keys!$C$7, US_national_yearly!$D$1:$AM$1, 0), FALSE), 1)</f>
        <v>9.4494036974692392E-6</v>
      </c>
      <c r="O3" s="12">
        <f>$B3 * IFERROR(VLOOKUP(Substitution!$M$16 &amp; $A3, US_national_yearly!$D:$AM, MATCH(O$1, US_national_yearly!$D$1:$AM$1, 0), FALSE) / VLOOKUP(Substitution!$M$16 &amp; $A3, US_national_yearly!$D:$AM, MATCH(Keys!$C$7, US_national_yearly!$D$1:$AM$1, 0), FALSE), 1)</f>
        <v>9.4099625998872027E-6</v>
      </c>
      <c r="P3" s="12">
        <f>$B3 * IFERROR(VLOOKUP(Substitution!$M$16 &amp; $A3, US_national_yearly!$D:$AM, MATCH(P$1, US_national_yearly!$D$1:$AM$1, 0), FALSE) / VLOOKUP(Substitution!$M$16 &amp; $A3, US_national_yearly!$D:$AM, MATCH(Keys!$C$7, US_national_yearly!$D$1:$AM$1, 0), FALSE), 1)</f>
        <v>9.3705215023051646E-6</v>
      </c>
      <c r="Q3" s="12">
        <f>$B3 * IFERROR(VLOOKUP(Substitution!$M$16 &amp; $A3, US_national_yearly!$D:$AM, MATCH(Q$1, US_national_yearly!$D$1:$AM$1, 0), FALSE) / VLOOKUP(Substitution!$M$16 &amp; $A3, US_national_yearly!$D:$AM, MATCH(Keys!$C$7, US_national_yearly!$D$1:$AM$1, 0), FALSE), 1)</f>
        <v>9.3310804047231264E-6</v>
      </c>
      <c r="R3" s="12">
        <f>$B3 * IFERROR(VLOOKUP(Substitution!$M$16 &amp; $A3, US_national_yearly!$D:$AM, MATCH(R$1, US_national_yearly!$D$1:$AM$1, 0), FALSE) / VLOOKUP(Substitution!$M$16 &amp; $A3, US_national_yearly!$D:$AM, MATCH(Keys!$C$7, US_national_yearly!$D$1:$AM$1, 0), FALSE), 1)</f>
        <v>9.2916393071410882E-6</v>
      </c>
      <c r="S3" s="12">
        <f>$B3 * IFERROR(VLOOKUP(Substitution!$M$16 &amp; $A3, US_national_yearly!$D:$AM, MATCH(S$1, US_national_yearly!$D$1:$AM$1, 0), FALSE) / VLOOKUP(Substitution!$M$16 &amp; $A3, US_national_yearly!$D:$AM, MATCH(Keys!$C$7, US_national_yearly!$D$1:$AM$1, 0), FALSE), 1)</f>
        <v>9.2425553111318259E-6</v>
      </c>
      <c r="T3" s="12">
        <f>$B3 * IFERROR(VLOOKUP(Substitution!$M$16 &amp; $A3, US_national_yearly!$D:$AM, MATCH(T$1, US_national_yearly!$D$1:$AM$1, 0), FALSE) / VLOOKUP(Substitution!$M$16 &amp; $A3, US_national_yearly!$D:$AM, MATCH(Keys!$C$7, US_national_yearly!$D$1:$AM$1, 0), FALSE), 1)</f>
        <v>9.1934713151225635E-6</v>
      </c>
      <c r="U3" s="12">
        <f>$B3 * IFERROR(VLOOKUP(Substitution!$M$16 &amp; $A3, US_national_yearly!$D:$AM, MATCH(U$1, US_national_yearly!$D$1:$AM$1, 0), FALSE) / VLOOKUP(Substitution!$M$16 &amp; $A3, US_national_yearly!$D:$AM, MATCH(Keys!$C$7, US_national_yearly!$D$1:$AM$1, 0), FALSE), 1)</f>
        <v>9.1443873191133012E-6</v>
      </c>
      <c r="V3" s="12">
        <f>$B3 * IFERROR(VLOOKUP(Substitution!$M$16 &amp; $A3, US_national_yearly!$D:$AM, MATCH(V$1, US_national_yearly!$D$1:$AM$1, 0), FALSE) / VLOOKUP(Substitution!$M$16 &amp; $A3, US_national_yearly!$D:$AM, MATCH(Keys!$C$7, US_national_yearly!$D$1:$AM$1, 0), FALSE), 1)</f>
        <v>9.0953033231040371E-6</v>
      </c>
      <c r="W3" s="12">
        <f>$B3 * IFERROR(VLOOKUP(Substitution!$M$16 &amp; $A3, US_national_yearly!$D:$AM, MATCH(W$1, US_national_yearly!$D$1:$AM$1, 0), FALSE) / VLOOKUP(Substitution!$M$16 &amp; $A3, US_national_yearly!$D:$AM, MATCH(Keys!$C$7, US_national_yearly!$D$1:$AM$1, 0), FALSE), 1)</f>
        <v>9.0462193270947747E-6</v>
      </c>
      <c r="X3" s="12">
        <f>$B3 * IFERROR(VLOOKUP(Substitution!$M$16 &amp; $A3, US_national_yearly!$D:$AM, MATCH(X$1, US_national_yearly!$D$1:$AM$1, 0), FALSE) / VLOOKUP(Substitution!$M$16 &amp; $A3, US_national_yearly!$D:$AM, MATCH(Keys!$C$7, US_national_yearly!$D$1:$AM$1, 0), FALSE), 1)</f>
        <v>8.9928796711324026E-6</v>
      </c>
      <c r="Y3" s="12">
        <f>$B3 * IFERROR(VLOOKUP(Substitution!$M$16 &amp; $A3, US_national_yearly!$D:$AM, MATCH(Y$1, US_national_yearly!$D$1:$AM$1, 0), FALSE) / VLOOKUP(Substitution!$M$16 &amp; $A3, US_national_yearly!$D:$AM, MATCH(Keys!$C$7, US_national_yearly!$D$1:$AM$1, 0), FALSE), 1)</f>
        <v>8.9395400151700289E-6</v>
      </c>
      <c r="Z3" s="12">
        <f>$B3 * IFERROR(VLOOKUP(Substitution!$M$16 &amp; $A3, US_national_yearly!$D:$AM, MATCH(Z$1, US_national_yearly!$D$1:$AM$1, 0), FALSE) / VLOOKUP(Substitution!$M$16 &amp; $A3, US_national_yearly!$D:$AM, MATCH(Keys!$C$7, US_national_yearly!$D$1:$AM$1, 0), FALSE), 1)</f>
        <v>8.8862003592076551E-6</v>
      </c>
      <c r="AA3" s="12">
        <f>$B3 * IFERROR(VLOOKUP(Substitution!$M$16 &amp; $A3, US_national_yearly!$D:$AM, MATCH(AA$1, US_national_yearly!$D$1:$AM$1, 0), FALSE) / VLOOKUP(Substitution!$M$16 &amp; $A3, US_national_yearly!$D:$AM, MATCH(Keys!$C$7, US_national_yearly!$D$1:$AM$1, 0), FALSE), 1)</f>
        <v>8.8328607032452813E-6</v>
      </c>
      <c r="AB3" s="12">
        <f>$B3 * IFERROR(VLOOKUP(Substitution!$M$16 &amp; $A3, US_national_yearly!$D:$AM, MATCH(AB$1, US_national_yearly!$D$1:$AM$1, 0), FALSE) / VLOOKUP(Substitution!$M$16 &amp; $A3, US_national_yearly!$D:$AM, MATCH(Keys!$C$7, US_national_yearly!$D$1:$AM$1, 0), FALSE), 1)</f>
        <v>8.7795210472829075E-6</v>
      </c>
    </row>
    <row r="4" spans="1:28" x14ac:dyDescent="0.25">
      <c r="A4" s="4" t="s">
        <v>295</v>
      </c>
      <c r="B4" s="12">
        <f>IFERROR(VLOOKUP(Substitution!$M$16 &amp; $A4, US_national_yearly!$D:$AM, MATCH(Keys!$C$7, US_national_yearly!$D$1:$AM$1, 0), FALSE), 0)</f>
        <v>1.1446393668310579</v>
      </c>
      <c r="C4" s="12">
        <f>$B4 * IFERROR(VLOOKUP(Substitution!$M$16 &amp; $A4, US_national_yearly!$D:$AM, MATCH(C$1, US_national_yearly!$D$1:$AM$1, 0), FALSE) / VLOOKUP(Substitution!$M$16 &amp; $A4, US_national_yearly!$D:$AM, MATCH(Keys!$C$7, US_national_yearly!$D$1:$AM$1, 0), FALSE), 1)</f>
        <v>1.1563756157829259</v>
      </c>
      <c r="D4" s="12">
        <f>$B4 * IFERROR(VLOOKUP(Substitution!$M$16 &amp; $A4, US_national_yearly!$D:$AM, MATCH(D$1, US_national_yearly!$D$1:$AM$1, 0), FALSE) / VLOOKUP(Substitution!$M$16 &amp; $A4, US_national_yearly!$D:$AM, MATCH(Keys!$C$7, US_national_yearly!$D$1:$AM$1, 0), FALSE), 1)</f>
        <v>1.1681118647347939</v>
      </c>
      <c r="E4" s="12">
        <f>$B4 * IFERROR(VLOOKUP(Substitution!$M$16 &amp; $A4, US_national_yearly!$D:$AM, MATCH(E$1, US_national_yearly!$D$1:$AM$1, 0), FALSE) / VLOOKUP(Substitution!$M$16 &amp; $A4, US_national_yearly!$D:$AM, MATCH(Keys!$C$7, US_national_yearly!$D$1:$AM$1, 0), FALSE), 1)</f>
        <v>1.1798481136866621</v>
      </c>
      <c r="F4" s="12">
        <f>$B4 * IFERROR(VLOOKUP(Substitution!$M$16 &amp; $A4, US_national_yearly!$D:$AM, MATCH(F$1, US_national_yearly!$D$1:$AM$1, 0), FALSE) / VLOOKUP(Substitution!$M$16 &amp; $A4, US_national_yearly!$D:$AM, MATCH(Keys!$C$7, US_national_yearly!$D$1:$AM$1, 0), FALSE), 1)</f>
        <v>1.1915843626385301</v>
      </c>
      <c r="G4" s="12">
        <f>$B4 * IFERROR(VLOOKUP(Substitution!$M$16 &amp; $A4, US_national_yearly!$D:$AM, MATCH(G$1, US_national_yearly!$D$1:$AM$1, 0), FALSE) / VLOOKUP(Substitution!$M$16 &amp; $A4, US_national_yearly!$D:$AM, MATCH(Keys!$C$7, US_national_yearly!$D$1:$AM$1, 0), FALSE), 1)</f>
        <v>1.20532184284563</v>
      </c>
      <c r="H4" s="12">
        <f>$B4 * IFERROR(VLOOKUP(Substitution!$M$16 &amp; $A4, US_national_yearly!$D:$AM, MATCH(H$1, US_national_yearly!$D$1:$AM$1, 0), FALSE) / VLOOKUP(Substitution!$M$16 &amp; $A4, US_national_yearly!$D:$AM, MATCH(Keys!$C$7, US_national_yearly!$D$1:$AM$1, 0), FALSE), 1)</f>
        <v>1.2190593230527298</v>
      </c>
      <c r="I4" s="12">
        <f>$B4 * IFERROR(VLOOKUP(Substitution!$M$16 &amp; $A4, US_national_yearly!$D:$AM, MATCH(I$1, US_national_yearly!$D$1:$AM$1, 0), FALSE) / VLOOKUP(Substitution!$M$16 &amp; $A4, US_national_yearly!$D:$AM, MATCH(Keys!$C$7, US_national_yearly!$D$1:$AM$1, 0), FALSE), 1)</f>
        <v>1.229091211044292</v>
      </c>
      <c r="J4" s="12">
        <f>$B4 * IFERROR(VLOOKUP(Substitution!$M$16 &amp; $A4, US_national_yearly!$D:$AM, MATCH(J$1, US_national_yearly!$D$1:$AM$1, 0), FALSE) / VLOOKUP(Substitution!$M$16 &amp; $A4, US_national_yearly!$D:$AM, MATCH(Keys!$C$7, US_national_yearly!$D$1:$AM$1, 0), FALSE), 1)</f>
        <v>1.2391230990358539</v>
      </c>
      <c r="K4" s="12">
        <f>$B4 * IFERROR(VLOOKUP(Substitution!$M$16 &amp; $A4, US_national_yearly!$D:$AM, MATCH(K$1, US_national_yearly!$D$1:$AM$1, 0), FALSE) / VLOOKUP(Substitution!$M$16 &amp; $A4, US_national_yearly!$D:$AM, MATCH(Keys!$C$7, US_national_yearly!$D$1:$AM$1, 0), FALSE), 1)</f>
        <v>1.2491549870274159</v>
      </c>
      <c r="L4" s="12">
        <f>$B4 * IFERROR(VLOOKUP(Substitution!$M$16 &amp; $A4, US_national_yearly!$D:$AM, MATCH(L$1, US_national_yearly!$D$1:$AM$1, 0), FALSE) / VLOOKUP(Substitution!$M$16 &amp; $A4, US_national_yearly!$D:$AM, MATCH(Keys!$C$7, US_national_yearly!$D$1:$AM$1, 0), FALSE), 1)</f>
        <v>1.2591868750189781</v>
      </c>
      <c r="M4" s="12">
        <f>$B4 * IFERROR(VLOOKUP(Substitution!$M$16 &amp; $A4, US_national_yearly!$D:$AM, MATCH(M$1, US_national_yearly!$D$1:$AM$1, 0), FALSE) / VLOOKUP(Substitution!$M$16 &amp; $A4, US_national_yearly!$D:$AM, MATCH(Keys!$C$7, US_national_yearly!$D$1:$AM$1, 0), FALSE), 1)</f>
        <v>1.26921876301054</v>
      </c>
      <c r="N4" s="12">
        <f>$B4 * IFERROR(VLOOKUP(Substitution!$M$16 &amp; $A4, US_national_yearly!$D:$AM, MATCH(N$1, US_national_yearly!$D$1:$AM$1, 0), FALSE) / VLOOKUP(Substitution!$M$16 &amp; $A4, US_national_yearly!$D:$AM, MATCH(Keys!$C$7, US_national_yearly!$D$1:$AM$1, 0), FALSE), 1)</f>
        <v>1.273486835792548</v>
      </c>
      <c r="O4" s="12">
        <f>$B4 * IFERROR(VLOOKUP(Substitution!$M$16 &amp; $A4, US_national_yearly!$D:$AM, MATCH(O$1, US_national_yearly!$D$1:$AM$1, 0), FALSE) / VLOOKUP(Substitution!$M$16 &amp; $A4, US_national_yearly!$D:$AM, MATCH(Keys!$C$7, US_national_yearly!$D$1:$AM$1, 0), FALSE), 1)</f>
        <v>1.2777549085745561</v>
      </c>
      <c r="P4" s="12">
        <f>$B4 * IFERROR(VLOOKUP(Substitution!$M$16 &amp; $A4, US_national_yearly!$D:$AM, MATCH(P$1, US_national_yearly!$D$1:$AM$1, 0), FALSE) / VLOOKUP(Substitution!$M$16 &amp; $A4, US_national_yearly!$D:$AM, MATCH(Keys!$C$7, US_national_yearly!$D$1:$AM$1, 0), FALSE), 1)</f>
        <v>1.282022981356564</v>
      </c>
      <c r="Q4" s="12">
        <f>$B4 * IFERROR(VLOOKUP(Substitution!$M$16 &amp; $A4, US_national_yearly!$D:$AM, MATCH(Q$1, US_national_yearly!$D$1:$AM$1, 0), FALSE) / VLOOKUP(Substitution!$M$16 &amp; $A4, US_national_yearly!$D:$AM, MATCH(Keys!$C$7, US_national_yearly!$D$1:$AM$1, 0), FALSE), 1)</f>
        <v>1.2862910541385719</v>
      </c>
      <c r="R4" s="12">
        <f>$B4 * IFERROR(VLOOKUP(Substitution!$M$16 &amp; $A4, US_national_yearly!$D:$AM, MATCH(R$1, US_national_yearly!$D$1:$AM$1, 0), FALSE) / VLOOKUP(Substitution!$M$16 &amp; $A4, US_national_yearly!$D:$AM, MATCH(Keys!$C$7, US_national_yearly!$D$1:$AM$1, 0), FALSE), 1)</f>
        <v>1.2905591269205801</v>
      </c>
      <c r="S4" s="12">
        <f>$B4 * IFERROR(VLOOKUP(Substitution!$M$16 &amp; $A4, US_national_yearly!$D:$AM, MATCH(S$1, US_national_yearly!$D$1:$AM$1, 0), FALSE) / VLOOKUP(Substitution!$M$16 &amp; $A4, US_national_yearly!$D:$AM, MATCH(Keys!$C$7, US_national_yearly!$D$1:$AM$1, 0), FALSE), 1)</f>
        <v>1.2957138788248641</v>
      </c>
      <c r="T4" s="12">
        <f>$B4 * IFERROR(VLOOKUP(Substitution!$M$16 &amp; $A4, US_national_yearly!$D:$AM, MATCH(T$1, US_national_yearly!$D$1:$AM$1, 0), FALSE) / VLOOKUP(Substitution!$M$16 &amp; $A4, US_national_yearly!$D:$AM, MATCH(Keys!$C$7, US_national_yearly!$D$1:$AM$1, 0), FALSE), 1)</f>
        <v>1.3008686307291479</v>
      </c>
      <c r="U4" s="12">
        <f>$B4 * IFERROR(VLOOKUP(Substitution!$M$16 &amp; $A4, US_national_yearly!$D:$AM, MATCH(U$1, US_national_yearly!$D$1:$AM$1, 0), FALSE) / VLOOKUP(Substitution!$M$16 &amp; $A4, US_national_yearly!$D:$AM, MATCH(Keys!$C$7, US_national_yearly!$D$1:$AM$1, 0), FALSE), 1)</f>
        <v>1.306023382633432</v>
      </c>
      <c r="V4" s="12">
        <f>$B4 * IFERROR(VLOOKUP(Substitution!$M$16 &amp; $A4, US_national_yearly!$D:$AM, MATCH(V$1, US_national_yearly!$D$1:$AM$1, 0), FALSE) / VLOOKUP(Substitution!$M$16 &amp; $A4, US_national_yearly!$D:$AM, MATCH(Keys!$C$7, US_national_yearly!$D$1:$AM$1, 0), FALSE), 1)</f>
        <v>1.311178134537716</v>
      </c>
      <c r="W4" s="12">
        <f>$B4 * IFERROR(VLOOKUP(Substitution!$M$16 &amp; $A4, US_national_yearly!$D:$AM, MATCH(W$1, US_national_yearly!$D$1:$AM$1, 0), FALSE) / VLOOKUP(Substitution!$M$16 &amp; $A4, US_national_yearly!$D:$AM, MATCH(Keys!$C$7, US_national_yearly!$D$1:$AM$1, 0), FALSE), 1)</f>
        <v>1.3163328864419999</v>
      </c>
      <c r="X4" s="12">
        <f>$B4 * IFERROR(VLOOKUP(Substitution!$M$16 &amp; $A4, US_national_yearly!$D:$AM, MATCH(X$1, US_national_yearly!$D$1:$AM$1, 0), FALSE) / VLOOKUP(Substitution!$M$16 &amp; $A4, US_national_yearly!$D:$AM, MATCH(Keys!$C$7, US_national_yearly!$D$1:$AM$1, 0), FALSE), 1)</f>
        <v>1.321996259751248</v>
      </c>
      <c r="Y4" s="12">
        <f>$B4 * IFERROR(VLOOKUP(Substitution!$M$16 &amp; $A4, US_national_yearly!$D:$AM, MATCH(Y$1, US_national_yearly!$D$1:$AM$1, 0), FALSE) / VLOOKUP(Substitution!$M$16 &amp; $A4, US_national_yearly!$D:$AM, MATCH(Keys!$C$7, US_national_yearly!$D$1:$AM$1, 0), FALSE), 1)</f>
        <v>1.3276596330604959</v>
      </c>
      <c r="Z4" s="12">
        <f>$B4 * IFERROR(VLOOKUP(Substitution!$M$16 &amp; $A4, US_national_yearly!$D:$AM, MATCH(Z$1, US_national_yearly!$D$1:$AM$1, 0), FALSE) / VLOOKUP(Substitution!$M$16 &amp; $A4, US_national_yearly!$D:$AM, MATCH(Keys!$C$7, US_national_yearly!$D$1:$AM$1, 0), FALSE), 1)</f>
        <v>1.3333230063697441</v>
      </c>
      <c r="AA4" s="12">
        <f>$B4 * IFERROR(VLOOKUP(Substitution!$M$16 &amp; $A4, US_national_yearly!$D:$AM, MATCH(AA$1, US_national_yearly!$D$1:$AM$1, 0), FALSE) / VLOOKUP(Substitution!$M$16 &amp; $A4, US_national_yearly!$D:$AM, MATCH(Keys!$C$7, US_national_yearly!$D$1:$AM$1, 0), FALSE), 1)</f>
        <v>1.338986379678992</v>
      </c>
      <c r="AB4" s="12">
        <f>$B4 * IFERROR(VLOOKUP(Substitution!$M$16 &amp; $A4, US_national_yearly!$D:$AM, MATCH(AB$1, US_national_yearly!$D$1:$AM$1, 0), FALSE) / VLOOKUP(Substitution!$M$16 &amp; $A4, US_national_yearly!$D:$AM, MATCH(Keys!$C$7, US_national_yearly!$D$1:$AM$1, 0), FALSE), 1)</f>
        <v>1.34464975298824</v>
      </c>
    </row>
    <row r="5" spans="1:28" x14ac:dyDescent="0.25">
      <c r="A5" s="4" t="s">
        <v>297</v>
      </c>
      <c r="B5" s="12">
        <f>IFERROR(VLOOKUP(Substitution!$M$16 &amp; $A5, US_national_yearly!$D:$AM, MATCH(Keys!$C$7, US_national_yearly!$D$1:$AM$1, 0), FALSE), 0)</f>
        <v>0</v>
      </c>
      <c r="C5" s="12">
        <f>$B5 * IFERROR(VLOOKUP(Substitution!$M$16 &amp; $A5, US_national_yearly!$D:$AM, MATCH(C$1, US_national_yearly!$D$1:$AM$1, 0), FALSE) / VLOOKUP(Substitution!$M$16 &amp; $A5, US_national_yearly!$D:$AM, MATCH(Keys!$C$7, US_national_yearly!$D$1:$AM$1, 0), FALSE), 1)</f>
        <v>0</v>
      </c>
      <c r="D5" s="12">
        <f>$B5 * IFERROR(VLOOKUP(Substitution!$M$16 &amp; $A5, US_national_yearly!$D:$AM, MATCH(D$1, US_national_yearly!$D$1:$AM$1, 0), FALSE) / VLOOKUP(Substitution!$M$16 &amp; $A5, US_national_yearly!$D:$AM, MATCH(Keys!$C$7, US_national_yearly!$D$1:$AM$1, 0), FALSE), 1)</f>
        <v>0</v>
      </c>
      <c r="E5" s="12">
        <f>$B5 * IFERROR(VLOOKUP(Substitution!$M$16 &amp; $A5, US_national_yearly!$D:$AM, MATCH(E$1, US_national_yearly!$D$1:$AM$1, 0), FALSE) / VLOOKUP(Substitution!$M$16 &amp; $A5, US_national_yearly!$D:$AM, MATCH(Keys!$C$7, US_national_yearly!$D$1:$AM$1, 0), FALSE), 1)</f>
        <v>0</v>
      </c>
      <c r="F5" s="12">
        <f>$B5 * IFERROR(VLOOKUP(Substitution!$M$16 &amp; $A5, US_national_yearly!$D:$AM, MATCH(F$1, US_national_yearly!$D$1:$AM$1, 0), FALSE) / VLOOKUP(Substitution!$M$16 &amp; $A5, US_national_yearly!$D:$AM, MATCH(Keys!$C$7, US_national_yearly!$D$1:$AM$1, 0), FALSE), 1)</f>
        <v>0</v>
      </c>
      <c r="G5" s="12">
        <f>$B5 * IFERROR(VLOOKUP(Substitution!$M$16 &amp; $A5, US_national_yearly!$D:$AM, MATCH(G$1, US_national_yearly!$D$1:$AM$1, 0), FALSE) / VLOOKUP(Substitution!$M$16 &amp; $A5, US_national_yearly!$D:$AM, MATCH(Keys!$C$7, US_national_yearly!$D$1:$AM$1, 0), FALSE), 1)</f>
        <v>0</v>
      </c>
      <c r="H5" s="12">
        <f>$B5 * IFERROR(VLOOKUP(Substitution!$M$16 &amp; $A5, US_national_yearly!$D:$AM, MATCH(H$1, US_national_yearly!$D$1:$AM$1, 0), FALSE) / VLOOKUP(Substitution!$M$16 &amp; $A5, US_national_yearly!$D:$AM, MATCH(Keys!$C$7, US_national_yearly!$D$1:$AM$1, 0), FALSE), 1)</f>
        <v>0</v>
      </c>
      <c r="I5" s="12">
        <f>$B5 * IFERROR(VLOOKUP(Substitution!$M$16 &amp; $A5, US_national_yearly!$D:$AM, MATCH(I$1, US_national_yearly!$D$1:$AM$1, 0), FALSE) / VLOOKUP(Substitution!$M$16 &amp; $A5, US_national_yearly!$D:$AM, MATCH(Keys!$C$7, US_national_yearly!$D$1:$AM$1, 0), FALSE), 1)</f>
        <v>0</v>
      </c>
      <c r="J5" s="12">
        <f>$B5 * IFERROR(VLOOKUP(Substitution!$M$16 &amp; $A5, US_national_yearly!$D:$AM, MATCH(J$1, US_national_yearly!$D$1:$AM$1, 0), FALSE) / VLOOKUP(Substitution!$M$16 &amp; $A5, US_national_yearly!$D:$AM, MATCH(Keys!$C$7, US_national_yearly!$D$1:$AM$1, 0), FALSE), 1)</f>
        <v>0</v>
      </c>
      <c r="K5" s="12">
        <f>$B5 * IFERROR(VLOOKUP(Substitution!$M$16 &amp; $A5, US_national_yearly!$D:$AM, MATCH(K$1, US_national_yearly!$D$1:$AM$1, 0), FALSE) / VLOOKUP(Substitution!$M$16 &amp; $A5, US_national_yearly!$D:$AM, MATCH(Keys!$C$7, US_national_yearly!$D$1:$AM$1, 0), FALSE), 1)</f>
        <v>0</v>
      </c>
      <c r="L5" s="12">
        <f>$B5 * IFERROR(VLOOKUP(Substitution!$M$16 &amp; $A5, US_national_yearly!$D:$AM, MATCH(L$1, US_national_yearly!$D$1:$AM$1, 0), FALSE) / VLOOKUP(Substitution!$M$16 &amp; $A5, US_national_yearly!$D:$AM, MATCH(Keys!$C$7, US_national_yearly!$D$1:$AM$1, 0), FALSE), 1)</f>
        <v>0</v>
      </c>
      <c r="M5" s="12">
        <f>$B5 * IFERROR(VLOOKUP(Substitution!$M$16 &amp; $A5, US_national_yearly!$D:$AM, MATCH(M$1, US_national_yearly!$D$1:$AM$1, 0), FALSE) / VLOOKUP(Substitution!$M$16 &amp; $A5, US_national_yearly!$D:$AM, MATCH(Keys!$C$7, US_national_yearly!$D$1:$AM$1, 0), FALSE), 1)</f>
        <v>0</v>
      </c>
      <c r="N5" s="12">
        <f>$B5 * IFERROR(VLOOKUP(Substitution!$M$16 &amp; $A5, US_national_yearly!$D:$AM, MATCH(N$1, US_national_yearly!$D$1:$AM$1, 0), FALSE) / VLOOKUP(Substitution!$M$16 &amp; $A5, US_national_yearly!$D:$AM, MATCH(Keys!$C$7, US_national_yearly!$D$1:$AM$1, 0), FALSE), 1)</f>
        <v>0</v>
      </c>
      <c r="O5" s="12">
        <f>$B5 * IFERROR(VLOOKUP(Substitution!$M$16 &amp; $A5, US_national_yearly!$D:$AM, MATCH(O$1, US_national_yearly!$D$1:$AM$1, 0), FALSE) / VLOOKUP(Substitution!$M$16 &amp; $A5, US_national_yearly!$D:$AM, MATCH(Keys!$C$7, US_national_yearly!$D$1:$AM$1, 0), FALSE), 1)</f>
        <v>0</v>
      </c>
      <c r="P5" s="12">
        <f>$B5 * IFERROR(VLOOKUP(Substitution!$M$16 &amp; $A5, US_national_yearly!$D:$AM, MATCH(P$1, US_national_yearly!$D$1:$AM$1, 0), FALSE) / VLOOKUP(Substitution!$M$16 &amp; $A5, US_national_yearly!$D:$AM, MATCH(Keys!$C$7, US_national_yearly!$D$1:$AM$1, 0), FALSE), 1)</f>
        <v>0</v>
      </c>
      <c r="Q5" s="12">
        <f>$B5 * IFERROR(VLOOKUP(Substitution!$M$16 &amp; $A5, US_national_yearly!$D:$AM, MATCH(Q$1, US_national_yearly!$D$1:$AM$1, 0), FALSE) / VLOOKUP(Substitution!$M$16 &amp; $A5, US_national_yearly!$D:$AM, MATCH(Keys!$C$7, US_national_yearly!$D$1:$AM$1, 0), FALSE), 1)</f>
        <v>0</v>
      </c>
      <c r="R5" s="12">
        <f>$B5 * IFERROR(VLOOKUP(Substitution!$M$16 &amp; $A5, US_national_yearly!$D:$AM, MATCH(R$1, US_national_yearly!$D$1:$AM$1, 0), FALSE) / VLOOKUP(Substitution!$M$16 &amp; $A5, US_national_yearly!$D:$AM, MATCH(Keys!$C$7, US_national_yearly!$D$1:$AM$1, 0), FALSE), 1)</f>
        <v>0</v>
      </c>
      <c r="S5" s="12">
        <f>$B5 * IFERROR(VLOOKUP(Substitution!$M$16 &amp; $A5, US_national_yearly!$D:$AM, MATCH(S$1, US_national_yearly!$D$1:$AM$1, 0), FALSE) / VLOOKUP(Substitution!$M$16 &amp; $A5, US_national_yearly!$D:$AM, MATCH(Keys!$C$7, US_national_yearly!$D$1:$AM$1, 0), FALSE), 1)</f>
        <v>0</v>
      </c>
      <c r="T5" s="12">
        <f>$B5 * IFERROR(VLOOKUP(Substitution!$M$16 &amp; $A5, US_national_yearly!$D:$AM, MATCH(T$1, US_national_yearly!$D$1:$AM$1, 0), FALSE) / VLOOKUP(Substitution!$M$16 &amp; $A5, US_national_yearly!$D:$AM, MATCH(Keys!$C$7, US_national_yearly!$D$1:$AM$1, 0), FALSE), 1)</f>
        <v>0</v>
      </c>
      <c r="U5" s="12">
        <f>$B5 * IFERROR(VLOOKUP(Substitution!$M$16 &amp; $A5, US_national_yearly!$D:$AM, MATCH(U$1, US_national_yearly!$D$1:$AM$1, 0), FALSE) / VLOOKUP(Substitution!$M$16 &amp; $A5, US_national_yearly!$D:$AM, MATCH(Keys!$C$7, US_national_yearly!$D$1:$AM$1, 0), FALSE), 1)</f>
        <v>0</v>
      </c>
      <c r="V5" s="12">
        <f>$B5 * IFERROR(VLOOKUP(Substitution!$M$16 &amp; $A5, US_national_yearly!$D:$AM, MATCH(V$1, US_national_yearly!$D$1:$AM$1, 0), FALSE) / VLOOKUP(Substitution!$M$16 &amp; $A5, US_national_yearly!$D:$AM, MATCH(Keys!$C$7, US_national_yearly!$D$1:$AM$1, 0), FALSE), 1)</f>
        <v>0</v>
      </c>
      <c r="W5" s="12">
        <f>$B5 * IFERROR(VLOOKUP(Substitution!$M$16 &amp; $A5, US_national_yearly!$D:$AM, MATCH(W$1, US_national_yearly!$D$1:$AM$1, 0), FALSE) / VLOOKUP(Substitution!$M$16 &amp; $A5, US_national_yearly!$D:$AM, MATCH(Keys!$C$7, US_national_yearly!$D$1:$AM$1, 0), FALSE), 1)</f>
        <v>0</v>
      </c>
      <c r="X5" s="12">
        <f>$B5 * IFERROR(VLOOKUP(Substitution!$M$16 &amp; $A5, US_national_yearly!$D:$AM, MATCH(X$1, US_national_yearly!$D$1:$AM$1, 0), FALSE) / VLOOKUP(Substitution!$M$16 &amp; $A5, US_national_yearly!$D:$AM, MATCH(Keys!$C$7, US_national_yearly!$D$1:$AM$1, 0), FALSE), 1)</f>
        <v>0</v>
      </c>
      <c r="Y5" s="12">
        <f>$B5 * IFERROR(VLOOKUP(Substitution!$M$16 &amp; $A5, US_national_yearly!$D:$AM, MATCH(Y$1, US_national_yearly!$D$1:$AM$1, 0), FALSE) / VLOOKUP(Substitution!$M$16 &amp; $A5, US_national_yearly!$D:$AM, MATCH(Keys!$C$7, US_national_yearly!$D$1:$AM$1, 0), FALSE), 1)</f>
        <v>0</v>
      </c>
      <c r="Z5" s="12">
        <f>$B5 * IFERROR(VLOOKUP(Substitution!$M$16 &amp; $A5, US_national_yearly!$D:$AM, MATCH(Z$1, US_national_yearly!$D$1:$AM$1, 0), FALSE) / VLOOKUP(Substitution!$M$16 &amp; $A5, US_national_yearly!$D:$AM, MATCH(Keys!$C$7, US_national_yearly!$D$1:$AM$1, 0), FALSE), 1)</f>
        <v>0</v>
      </c>
      <c r="AA5" s="12">
        <f>$B5 * IFERROR(VLOOKUP(Substitution!$M$16 &amp; $A5, US_national_yearly!$D:$AM, MATCH(AA$1, US_national_yearly!$D$1:$AM$1, 0), FALSE) / VLOOKUP(Substitution!$M$16 &amp; $A5, US_national_yearly!$D:$AM, MATCH(Keys!$C$7, US_national_yearly!$D$1:$AM$1, 0), FALSE), 1)</f>
        <v>0</v>
      </c>
      <c r="AB5" s="12">
        <f>$B5 * IFERROR(VLOOKUP(Substitution!$M$16 &amp; $A5, US_national_yearly!$D:$AM, MATCH(AB$1, US_national_yearly!$D$1:$AM$1, 0), FALSE) / VLOOKUP(Substitution!$M$16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Substitution!$G$16)/IFERROR(SUMIFS(COBRA_aggregated!$V:$V, COBRA_aggregated!$A:$A, About!$B$1, COBRA_aggregated!$B:$B, Substitution!$G$16), 1)</f>
        <v>3.1782300851264628E-2</v>
      </c>
      <c r="C6" s="12">
        <f>$B6 * IFERROR(VLOOKUP(Substitution!$M$16 &amp; $A6, US_national_yearly!$D:$AM, MATCH(C$1, US_national_yearly!$D$1:$AM$1, 0), FALSE) / VLOOKUP(Substitution!$M$16 &amp; $A6, US_national_yearly!$D:$AM, MATCH(Keys!$C$7, US_national_yearly!$D$1:$AM$1, 0), FALSE), 1)</f>
        <v>3.1782300851264628E-2</v>
      </c>
      <c r="D6" s="12">
        <f>$B6 * IFERROR(VLOOKUP(Substitution!$M$16 &amp; $A6, US_national_yearly!$D:$AM, MATCH(D$1, US_national_yearly!$D$1:$AM$1, 0), FALSE) / VLOOKUP(Substitution!$M$16 &amp; $A6, US_national_yearly!$D:$AM, MATCH(Keys!$C$7, US_national_yearly!$D$1:$AM$1, 0), FALSE), 1)</f>
        <v>3.1782300851264628E-2</v>
      </c>
      <c r="E6" s="12">
        <f>$B6 * IFERROR(VLOOKUP(Substitution!$M$16 &amp; $A6, US_national_yearly!$D:$AM, MATCH(E$1, US_national_yearly!$D$1:$AM$1, 0), FALSE) / VLOOKUP(Substitution!$M$16 &amp; $A6, US_national_yearly!$D:$AM, MATCH(Keys!$C$7, US_national_yearly!$D$1:$AM$1, 0), FALSE), 1)</f>
        <v>3.1782300851264628E-2</v>
      </c>
      <c r="F6" s="12">
        <f>$B6 * IFERROR(VLOOKUP(Substitution!$M$16 &amp; $A6, US_national_yearly!$D:$AM, MATCH(F$1, US_national_yearly!$D$1:$AM$1, 0), FALSE) / VLOOKUP(Substitution!$M$16 &amp; $A6, US_national_yearly!$D:$AM, MATCH(Keys!$C$7, US_national_yearly!$D$1:$AM$1, 0), FALSE), 1)</f>
        <v>3.1782300851264628E-2</v>
      </c>
      <c r="G6" s="12">
        <f>$B6 * IFERROR(VLOOKUP(Substitution!$M$16 &amp; $A6, US_national_yearly!$D:$AM, MATCH(G$1, US_national_yearly!$D$1:$AM$1, 0), FALSE) / VLOOKUP(Substitution!$M$16 &amp; $A6, US_national_yearly!$D:$AM, MATCH(Keys!$C$7, US_national_yearly!$D$1:$AM$1, 0), FALSE), 1)</f>
        <v>3.1782300851264628E-2</v>
      </c>
      <c r="H6" s="12">
        <f>$B6 * IFERROR(VLOOKUP(Substitution!$M$16 &amp; $A6, US_national_yearly!$D:$AM, MATCH(H$1, US_national_yearly!$D$1:$AM$1, 0), FALSE) / VLOOKUP(Substitution!$M$16 &amp; $A6, US_national_yearly!$D:$AM, MATCH(Keys!$C$7, US_national_yearly!$D$1:$AM$1, 0), FALSE), 1)</f>
        <v>3.1782300851264628E-2</v>
      </c>
      <c r="I6" s="12">
        <f>$B6 * IFERROR(VLOOKUP(Substitution!$M$16 &amp; $A6, US_national_yearly!$D:$AM, MATCH(I$1, US_national_yearly!$D$1:$AM$1, 0), FALSE) / VLOOKUP(Substitution!$M$16 &amp; $A6, US_national_yearly!$D:$AM, MATCH(Keys!$C$7, US_national_yearly!$D$1:$AM$1, 0), FALSE), 1)</f>
        <v>3.1782300851264628E-2</v>
      </c>
      <c r="J6" s="12">
        <f>$B6 * IFERROR(VLOOKUP(Substitution!$M$16 &amp; $A6, US_national_yearly!$D:$AM, MATCH(J$1, US_national_yearly!$D$1:$AM$1, 0), FALSE) / VLOOKUP(Substitution!$M$16 &amp; $A6, US_national_yearly!$D:$AM, MATCH(Keys!$C$7, US_national_yearly!$D$1:$AM$1, 0), FALSE), 1)</f>
        <v>3.1782300851264628E-2</v>
      </c>
      <c r="K6" s="12">
        <f>$B6 * IFERROR(VLOOKUP(Substitution!$M$16 &amp; $A6, US_national_yearly!$D:$AM, MATCH(K$1, US_national_yearly!$D$1:$AM$1, 0), FALSE) / VLOOKUP(Substitution!$M$16 &amp; $A6, US_national_yearly!$D:$AM, MATCH(Keys!$C$7, US_national_yearly!$D$1:$AM$1, 0), FALSE), 1)</f>
        <v>3.1782300851264628E-2</v>
      </c>
      <c r="L6" s="12">
        <f>$B6 * IFERROR(VLOOKUP(Substitution!$M$16 &amp; $A6, US_national_yearly!$D:$AM, MATCH(L$1, US_national_yearly!$D$1:$AM$1, 0), FALSE) / VLOOKUP(Substitution!$M$16 &amp; $A6, US_national_yearly!$D:$AM, MATCH(Keys!$C$7, US_national_yearly!$D$1:$AM$1, 0), FALSE), 1)</f>
        <v>3.1782300851264628E-2</v>
      </c>
      <c r="M6" s="12">
        <f>$B6 * IFERROR(VLOOKUP(Substitution!$M$16 &amp; $A6, US_national_yearly!$D:$AM, MATCH(M$1, US_national_yearly!$D$1:$AM$1, 0), FALSE) / VLOOKUP(Substitution!$M$16 &amp; $A6, US_national_yearly!$D:$AM, MATCH(Keys!$C$7, US_national_yearly!$D$1:$AM$1, 0), FALSE), 1)</f>
        <v>3.1782300851264628E-2</v>
      </c>
      <c r="N6" s="12">
        <f>$B6 * IFERROR(VLOOKUP(Substitution!$M$16 &amp; $A6, US_national_yearly!$D:$AM, MATCH(N$1, US_national_yearly!$D$1:$AM$1, 0), FALSE) / VLOOKUP(Substitution!$M$16 &amp; $A6, US_national_yearly!$D:$AM, MATCH(Keys!$C$7, US_national_yearly!$D$1:$AM$1, 0), FALSE), 1)</f>
        <v>3.1782300851264628E-2</v>
      </c>
      <c r="O6" s="12">
        <f>$B6 * IFERROR(VLOOKUP(Substitution!$M$16 &amp; $A6, US_national_yearly!$D:$AM, MATCH(O$1, US_national_yearly!$D$1:$AM$1, 0), FALSE) / VLOOKUP(Substitution!$M$16 &amp; $A6, US_national_yearly!$D:$AM, MATCH(Keys!$C$7, US_national_yearly!$D$1:$AM$1, 0), FALSE), 1)</f>
        <v>3.1782300851264628E-2</v>
      </c>
      <c r="P6" s="12">
        <f>$B6 * IFERROR(VLOOKUP(Substitution!$M$16 &amp; $A6, US_national_yearly!$D:$AM, MATCH(P$1, US_national_yearly!$D$1:$AM$1, 0), FALSE) / VLOOKUP(Substitution!$M$16 &amp; $A6, US_national_yearly!$D:$AM, MATCH(Keys!$C$7, US_national_yearly!$D$1:$AM$1, 0), FALSE), 1)</f>
        <v>3.1782300851264628E-2</v>
      </c>
      <c r="Q6" s="12">
        <f>$B6 * IFERROR(VLOOKUP(Substitution!$M$16 &amp; $A6, US_national_yearly!$D:$AM, MATCH(Q$1, US_national_yearly!$D$1:$AM$1, 0), FALSE) / VLOOKUP(Substitution!$M$16 &amp; $A6, US_national_yearly!$D:$AM, MATCH(Keys!$C$7, US_national_yearly!$D$1:$AM$1, 0), FALSE), 1)</f>
        <v>3.1782300851264628E-2</v>
      </c>
      <c r="R6" s="12">
        <f>$B6 * IFERROR(VLOOKUP(Substitution!$M$16 &amp; $A6, US_national_yearly!$D:$AM, MATCH(R$1, US_national_yearly!$D$1:$AM$1, 0), FALSE) / VLOOKUP(Substitution!$M$16 &amp; $A6, US_national_yearly!$D:$AM, MATCH(Keys!$C$7, US_national_yearly!$D$1:$AM$1, 0), FALSE), 1)</f>
        <v>3.1782300851264628E-2</v>
      </c>
      <c r="S6" s="12">
        <f>$B6 * IFERROR(VLOOKUP(Substitution!$M$16 &amp; $A6, US_national_yearly!$D:$AM, MATCH(S$1, US_national_yearly!$D$1:$AM$1, 0), FALSE) / VLOOKUP(Substitution!$M$16 &amp; $A6, US_national_yearly!$D:$AM, MATCH(Keys!$C$7, US_national_yearly!$D$1:$AM$1, 0), FALSE), 1)</f>
        <v>3.1782300851264628E-2</v>
      </c>
      <c r="T6" s="12">
        <f>$B6 * IFERROR(VLOOKUP(Substitution!$M$16 &amp; $A6, US_national_yearly!$D:$AM, MATCH(T$1, US_national_yearly!$D$1:$AM$1, 0), FALSE) / VLOOKUP(Substitution!$M$16 &amp; $A6, US_national_yearly!$D:$AM, MATCH(Keys!$C$7, US_national_yearly!$D$1:$AM$1, 0), FALSE), 1)</f>
        <v>3.1782300851264628E-2</v>
      </c>
      <c r="U6" s="12">
        <f>$B6 * IFERROR(VLOOKUP(Substitution!$M$16 &amp; $A6, US_national_yearly!$D:$AM, MATCH(U$1, US_national_yearly!$D$1:$AM$1, 0), FALSE) / VLOOKUP(Substitution!$M$16 &amp; $A6, US_national_yearly!$D:$AM, MATCH(Keys!$C$7, US_national_yearly!$D$1:$AM$1, 0), FALSE), 1)</f>
        <v>3.1782300851264628E-2</v>
      </c>
      <c r="V6" s="12">
        <f>$B6 * IFERROR(VLOOKUP(Substitution!$M$16 &amp; $A6, US_national_yearly!$D:$AM, MATCH(V$1, US_national_yearly!$D$1:$AM$1, 0), FALSE) / VLOOKUP(Substitution!$M$16 &amp; $A6, US_national_yearly!$D:$AM, MATCH(Keys!$C$7, US_national_yearly!$D$1:$AM$1, 0), FALSE), 1)</f>
        <v>3.1782300851264628E-2</v>
      </c>
      <c r="W6" s="12">
        <f>$B6 * IFERROR(VLOOKUP(Substitution!$M$16 &amp; $A6, US_national_yearly!$D:$AM, MATCH(W$1, US_national_yearly!$D$1:$AM$1, 0), FALSE) / VLOOKUP(Substitution!$M$16 &amp; $A6, US_national_yearly!$D:$AM, MATCH(Keys!$C$7, US_national_yearly!$D$1:$AM$1, 0), FALSE), 1)</f>
        <v>3.1782300851264628E-2</v>
      </c>
      <c r="X6" s="12">
        <f>$B6 * IFERROR(VLOOKUP(Substitution!$M$16 &amp; $A6, US_national_yearly!$D:$AM, MATCH(X$1, US_national_yearly!$D$1:$AM$1, 0), FALSE) / VLOOKUP(Substitution!$M$16 &amp; $A6, US_national_yearly!$D:$AM, MATCH(Keys!$C$7, US_national_yearly!$D$1:$AM$1, 0), FALSE), 1)</f>
        <v>3.1782300851264628E-2</v>
      </c>
      <c r="Y6" s="12">
        <f>$B6 * IFERROR(VLOOKUP(Substitution!$M$16 &amp; $A6, US_national_yearly!$D:$AM, MATCH(Y$1, US_national_yearly!$D$1:$AM$1, 0), FALSE) / VLOOKUP(Substitution!$M$16 &amp; $A6, US_national_yearly!$D:$AM, MATCH(Keys!$C$7, US_national_yearly!$D$1:$AM$1, 0), FALSE), 1)</f>
        <v>3.1782300851264628E-2</v>
      </c>
      <c r="Z6" s="12">
        <f>$B6 * IFERROR(VLOOKUP(Substitution!$M$16 &amp; $A6, US_national_yearly!$D:$AM, MATCH(Z$1, US_national_yearly!$D$1:$AM$1, 0), FALSE) / VLOOKUP(Substitution!$M$16 &amp; $A6, US_national_yearly!$D:$AM, MATCH(Keys!$C$7, US_national_yearly!$D$1:$AM$1, 0), FALSE), 1)</f>
        <v>3.1782300851264628E-2</v>
      </c>
      <c r="AA6" s="12">
        <f>$B6 * IFERROR(VLOOKUP(Substitution!$M$16 &amp; $A6, US_national_yearly!$D:$AM, MATCH(AA$1, US_national_yearly!$D$1:$AM$1, 0), FALSE) / VLOOKUP(Substitution!$M$16 &amp; $A6, US_national_yearly!$D:$AM, MATCH(Keys!$C$7, US_national_yearly!$D$1:$AM$1, 0), FALSE), 1)</f>
        <v>3.1782300851264628E-2</v>
      </c>
      <c r="AB6" s="12">
        <f>$B6 * IFERROR(VLOOKUP(Substitution!$M$16 &amp; $A6, US_national_yearly!$D:$AM, MATCH(AB$1, US_national_yearly!$D$1:$AM$1, 0), FALSE) / VLOOKUP(Substitution!$M$16 &amp; $A6, US_national_yearly!$D:$AM, MATCH(Keys!$C$7, US_national_yearly!$D$1:$AM$1, 0), FALSE), 1)</f>
        <v>3.1782300851264628E-2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Substitution!$G$16)/IFERROR(SUMIFS(COBRA_aggregated!$V:$V, COBRA_aggregated!$A:$A, About!$B$1, COBRA_aggregated!$B:$B, Substitution!$G$16), 1)</f>
        <v>4.2798363655610704E-2</v>
      </c>
      <c r="C7" s="12">
        <f>$B7 * IFERROR(VLOOKUP(Substitution!$M$16 &amp; $A7, US_national_yearly!$D:$AM, MATCH(C$1, US_national_yearly!$D$1:$AM$1, 0), FALSE) / VLOOKUP(Substitution!$M$16 &amp; $A7, US_national_yearly!$D:$AM, MATCH(Keys!$C$7, US_national_yearly!$D$1:$AM$1, 0), FALSE), 1)</f>
        <v>4.2798363655610704E-2</v>
      </c>
      <c r="D7" s="12">
        <f>$B7 * IFERROR(VLOOKUP(Substitution!$M$16 &amp; $A7, US_national_yearly!$D:$AM, MATCH(D$1, US_national_yearly!$D$1:$AM$1, 0), FALSE) / VLOOKUP(Substitution!$M$16 &amp; $A7, US_national_yearly!$D:$AM, MATCH(Keys!$C$7, US_national_yearly!$D$1:$AM$1, 0), FALSE), 1)</f>
        <v>4.2798363655610704E-2</v>
      </c>
      <c r="E7" s="12">
        <f>$B7 * IFERROR(VLOOKUP(Substitution!$M$16 &amp; $A7, US_national_yearly!$D:$AM, MATCH(E$1, US_national_yearly!$D$1:$AM$1, 0), FALSE) / VLOOKUP(Substitution!$M$16 &amp; $A7, US_national_yearly!$D:$AM, MATCH(Keys!$C$7, US_national_yearly!$D$1:$AM$1, 0), FALSE), 1)</f>
        <v>4.2798363655610704E-2</v>
      </c>
      <c r="F7" s="12">
        <f>$B7 * IFERROR(VLOOKUP(Substitution!$M$16 &amp; $A7, US_national_yearly!$D:$AM, MATCH(F$1, US_national_yearly!$D$1:$AM$1, 0), FALSE) / VLOOKUP(Substitution!$M$16 &amp; $A7, US_national_yearly!$D:$AM, MATCH(Keys!$C$7, US_national_yearly!$D$1:$AM$1, 0), FALSE), 1)</f>
        <v>4.2798363655610704E-2</v>
      </c>
      <c r="G7" s="12">
        <f>$B7 * IFERROR(VLOOKUP(Substitution!$M$16 &amp; $A7, US_national_yearly!$D:$AM, MATCH(G$1, US_national_yearly!$D$1:$AM$1, 0), FALSE) / VLOOKUP(Substitution!$M$16 &amp; $A7, US_national_yearly!$D:$AM, MATCH(Keys!$C$7, US_national_yearly!$D$1:$AM$1, 0), FALSE), 1)</f>
        <v>4.2798363655610704E-2</v>
      </c>
      <c r="H7" s="12">
        <f>$B7 * IFERROR(VLOOKUP(Substitution!$M$16 &amp; $A7, US_national_yearly!$D:$AM, MATCH(H$1, US_national_yearly!$D$1:$AM$1, 0), FALSE) / VLOOKUP(Substitution!$M$16 &amp; $A7, US_national_yearly!$D:$AM, MATCH(Keys!$C$7, US_national_yearly!$D$1:$AM$1, 0), FALSE), 1)</f>
        <v>4.2798363655610704E-2</v>
      </c>
      <c r="I7" s="12">
        <f>$B7 * IFERROR(VLOOKUP(Substitution!$M$16 &amp; $A7, US_national_yearly!$D:$AM, MATCH(I$1, US_national_yearly!$D$1:$AM$1, 0), FALSE) / VLOOKUP(Substitution!$M$16 &amp; $A7, US_national_yearly!$D:$AM, MATCH(Keys!$C$7, US_national_yearly!$D$1:$AM$1, 0), FALSE), 1)</f>
        <v>4.2798363655610704E-2</v>
      </c>
      <c r="J7" s="12">
        <f>$B7 * IFERROR(VLOOKUP(Substitution!$M$16 &amp; $A7, US_national_yearly!$D:$AM, MATCH(J$1, US_national_yearly!$D$1:$AM$1, 0), FALSE) / VLOOKUP(Substitution!$M$16 &amp; $A7, US_national_yearly!$D:$AM, MATCH(Keys!$C$7, US_national_yearly!$D$1:$AM$1, 0), FALSE), 1)</f>
        <v>4.2798363655610704E-2</v>
      </c>
      <c r="K7" s="12">
        <f>$B7 * IFERROR(VLOOKUP(Substitution!$M$16 &amp; $A7, US_national_yearly!$D:$AM, MATCH(K$1, US_national_yearly!$D$1:$AM$1, 0), FALSE) / VLOOKUP(Substitution!$M$16 &amp; $A7, US_national_yearly!$D:$AM, MATCH(Keys!$C$7, US_national_yearly!$D$1:$AM$1, 0), FALSE), 1)</f>
        <v>4.2798363655610704E-2</v>
      </c>
      <c r="L7" s="12">
        <f>$B7 * IFERROR(VLOOKUP(Substitution!$M$16 &amp; $A7, US_national_yearly!$D:$AM, MATCH(L$1, US_national_yearly!$D$1:$AM$1, 0), FALSE) / VLOOKUP(Substitution!$M$16 &amp; $A7, US_national_yearly!$D:$AM, MATCH(Keys!$C$7, US_national_yearly!$D$1:$AM$1, 0), FALSE), 1)</f>
        <v>4.2798363655610704E-2</v>
      </c>
      <c r="M7" s="12">
        <f>$B7 * IFERROR(VLOOKUP(Substitution!$M$16 &amp; $A7, US_national_yearly!$D:$AM, MATCH(M$1, US_national_yearly!$D$1:$AM$1, 0), FALSE) / VLOOKUP(Substitution!$M$16 &amp; $A7, US_national_yearly!$D:$AM, MATCH(Keys!$C$7, US_national_yearly!$D$1:$AM$1, 0), FALSE), 1)</f>
        <v>4.2798363655610704E-2</v>
      </c>
      <c r="N7" s="12">
        <f>$B7 * IFERROR(VLOOKUP(Substitution!$M$16 &amp; $A7, US_national_yearly!$D:$AM, MATCH(N$1, US_national_yearly!$D$1:$AM$1, 0), FALSE) / VLOOKUP(Substitution!$M$16 &amp; $A7, US_national_yearly!$D:$AM, MATCH(Keys!$C$7, US_national_yearly!$D$1:$AM$1, 0), FALSE), 1)</f>
        <v>4.2798363655610704E-2</v>
      </c>
      <c r="O7" s="12">
        <f>$B7 * IFERROR(VLOOKUP(Substitution!$M$16 &amp; $A7, US_national_yearly!$D:$AM, MATCH(O$1, US_national_yearly!$D$1:$AM$1, 0), FALSE) / VLOOKUP(Substitution!$M$16 &amp; $A7, US_national_yearly!$D:$AM, MATCH(Keys!$C$7, US_national_yearly!$D$1:$AM$1, 0), FALSE), 1)</f>
        <v>4.2798363655610704E-2</v>
      </c>
      <c r="P7" s="12">
        <f>$B7 * IFERROR(VLOOKUP(Substitution!$M$16 &amp; $A7, US_national_yearly!$D:$AM, MATCH(P$1, US_national_yearly!$D$1:$AM$1, 0), FALSE) / VLOOKUP(Substitution!$M$16 &amp; $A7, US_national_yearly!$D:$AM, MATCH(Keys!$C$7, US_national_yearly!$D$1:$AM$1, 0), FALSE), 1)</f>
        <v>4.2798363655610704E-2</v>
      </c>
      <c r="Q7" s="12">
        <f>$B7 * IFERROR(VLOOKUP(Substitution!$M$16 &amp; $A7, US_national_yearly!$D:$AM, MATCH(Q$1, US_national_yearly!$D$1:$AM$1, 0), FALSE) / VLOOKUP(Substitution!$M$16 &amp; $A7, US_national_yearly!$D:$AM, MATCH(Keys!$C$7, US_national_yearly!$D$1:$AM$1, 0), FALSE), 1)</f>
        <v>4.2798363655610704E-2</v>
      </c>
      <c r="R7" s="12">
        <f>$B7 * IFERROR(VLOOKUP(Substitution!$M$16 &amp; $A7, US_national_yearly!$D:$AM, MATCH(R$1, US_national_yearly!$D$1:$AM$1, 0), FALSE) / VLOOKUP(Substitution!$M$16 &amp; $A7, US_national_yearly!$D:$AM, MATCH(Keys!$C$7, US_national_yearly!$D$1:$AM$1, 0), FALSE), 1)</f>
        <v>4.2798363655610704E-2</v>
      </c>
      <c r="S7" s="12">
        <f>$B7 * IFERROR(VLOOKUP(Substitution!$M$16 &amp; $A7, US_national_yearly!$D:$AM, MATCH(S$1, US_national_yearly!$D$1:$AM$1, 0), FALSE) / VLOOKUP(Substitution!$M$16 &amp; $A7, US_national_yearly!$D:$AM, MATCH(Keys!$C$7, US_national_yearly!$D$1:$AM$1, 0), FALSE), 1)</f>
        <v>4.2798363655610704E-2</v>
      </c>
      <c r="T7" s="12">
        <f>$B7 * IFERROR(VLOOKUP(Substitution!$M$16 &amp; $A7, US_national_yearly!$D:$AM, MATCH(T$1, US_national_yearly!$D$1:$AM$1, 0), FALSE) / VLOOKUP(Substitution!$M$16 &amp; $A7, US_national_yearly!$D:$AM, MATCH(Keys!$C$7, US_national_yearly!$D$1:$AM$1, 0), FALSE), 1)</f>
        <v>4.2798363655610704E-2</v>
      </c>
      <c r="U7" s="12">
        <f>$B7 * IFERROR(VLOOKUP(Substitution!$M$16 &amp; $A7, US_national_yearly!$D:$AM, MATCH(U$1, US_national_yearly!$D$1:$AM$1, 0), FALSE) / VLOOKUP(Substitution!$M$16 &amp; $A7, US_national_yearly!$D:$AM, MATCH(Keys!$C$7, US_national_yearly!$D$1:$AM$1, 0), FALSE), 1)</f>
        <v>4.2798363655610704E-2</v>
      </c>
      <c r="V7" s="12">
        <f>$B7 * IFERROR(VLOOKUP(Substitution!$M$16 &amp; $A7, US_national_yearly!$D:$AM, MATCH(V$1, US_national_yearly!$D$1:$AM$1, 0), FALSE) / VLOOKUP(Substitution!$M$16 &amp; $A7, US_national_yearly!$D:$AM, MATCH(Keys!$C$7, US_national_yearly!$D$1:$AM$1, 0), FALSE), 1)</f>
        <v>4.2798363655610704E-2</v>
      </c>
      <c r="W7" s="12">
        <f>$B7 * IFERROR(VLOOKUP(Substitution!$M$16 &amp; $A7, US_national_yearly!$D:$AM, MATCH(W$1, US_national_yearly!$D$1:$AM$1, 0), FALSE) / VLOOKUP(Substitution!$M$16 &amp; $A7, US_national_yearly!$D:$AM, MATCH(Keys!$C$7, US_national_yearly!$D$1:$AM$1, 0), FALSE), 1)</f>
        <v>4.2798363655610704E-2</v>
      </c>
      <c r="X7" s="12">
        <f>$B7 * IFERROR(VLOOKUP(Substitution!$M$16 &amp; $A7, US_national_yearly!$D:$AM, MATCH(X$1, US_national_yearly!$D$1:$AM$1, 0), FALSE) / VLOOKUP(Substitution!$M$16 &amp; $A7, US_national_yearly!$D:$AM, MATCH(Keys!$C$7, US_national_yearly!$D$1:$AM$1, 0), FALSE), 1)</f>
        <v>4.2798363655610704E-2</v>
      </c>
      <c r="Y7" s="12">
        <f>$B7 * IFERROR(VLOOKUP(Substitution!$M$16 &amp; $A7, US_national_yearly!$D:$AM, MATCH(Y$1, US_national_yearly!$D$1:$AM$1, 0), FALSE) / VLOOKUP(Substitution!$M$16 &amp; $A7, US_national_yearly!$D:$AM, MATCH(Keys!$C$7, US_national_yearly!$D$1:$AM$1, 0), FALSE), 1)</f>
        <v>4.2798363655610704E-2</v>
      </c>
      <c r="Z7" s="12">
        <f>$B7 * IFERROR(VLOOKUP(Substitution!$M$16 &amp; $A7, US_national_yearly!$D:$AM, MATCH(Z$1, US_national_yearly!$D$1:$AM$1, 0), FALSE) / VLOOKUP(Substitution!$M$16 &amp; $A7, US_national_yearly!$D:$AM, MATCH(Keys!$C$7, US_national_yearly!$D$1:$AM$1, 0), FALSE), 1)</f>
        <v>4.2798363655610704E-2</v>
      </c>
      <c r="AA7" s="12">
        <f>$B7 * IFERROR(VLOOKUP(Substitution!$M$16 &amp; $A7, US_national_yearly!$D:$AM, MATCH(AA$1, US_national_yearly!$D$1:$AM$1, 0), FALSE) / VLOOKUP(Substitution!$M$16 &amp; $A7, US_national_yearly!$D:$AM, MATCH(Keys!$C$7, US_national_yearly!$D$1:$AM$1, 0), FALSE), 1)</f>
        <v>4.2798363655610704E-2</v>
      </c>
      <c r="AB7" s="12">
        <f>$B7 * IFERROR(VLOOKUP(Substitution!$M$16 &amp; $A7, US_national_yearly!$D:$AM, MATCH(AB$1, US_national_yearly!$D$1:$AM$1, 0), FALSE) / VLOOKUP(Substitution!$M$16 &amp; $A7, US_national_yearly!$D:$AM, MATCH(Keys!$C$7, US_national_yearly!$D$1:$AM$1, 0), FALSE), 1)</f>
        <v>4.2798363655610704E-2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Substitution!$G$16)/IFERROR(SUMIFS(COBRA_aggregated!$V:$V, COBRA_aggregated!$A:$A, About!$B$1, COBRA_aggregated!$B:$B, Substitution!$G$16), 1)</f>
        <v>6.539262643528003E-2</v>
      </c>
      <c r="C8" s="12">
        <f>$B8 * IFERROR(VLOOKUP(Substitution!$M$16 &amp; $A8, US_national_yearly!$D:$AM, MATCH(C$1, US_national_yearly!$D$1:$AM$1, 0), FALSE) / VLOOKUP(Substitution!$M$16 &amp; $A8, US_national_yearly!$D:$AM, MATCH(Keys!$C$7, US_national_yearly!$D$1:$AM$1, 0), FALSE), 1)</f>
        <v>6.539262643528003E-2</v>
      </c>
      <c r="D8" s="12">
        <f>$B8 * IFERROR(VLOOKUP(Substitution!$M$16 &amp; $A8, US_national_yearly!$D:$AM, MATCH(D$1, US_national_yearly!$D$1:$AM$1, 0), FALSE) / VLOOKUP(Substitution!$M$16 &amp; $A8, US_national_yearly!$D:$AM, MATCH(Keys!$C$7, US_national_yearly!$D$1:$AM$1, 0), FALSE), 1)</f>
        <v>6.539262643528003E-2</v>
      </c>
      <c r="E8" s="12">
        <f>$B8 * IFERROR(VLOOKUP(Substitution!$M$16 &amp; $A8, US_national_yearly!$D:$AM, MATCH(E$1, US_national_yearly!$D$1:$AM$1, 0), FALSE) / VLOOKUP(Substitution!$M$16 &amp; $A8, US_national_yearly!$D:$AM, MATCH(Keys!$C$7, US_national_yearly!$D$1:$AM$1, 0), FALSE), 1)</f>
        <v>6.539262643528003E-2</v>
      </c>
      <c r="F8" s="12">
        <f>$B8 * IFERROR(VLOOKUP(Substitution!$M$16 &amp; $A8, US_national_yearly!$D:$AM, MATCH(F$1, US_national_yearly!$D$1:$AM$1, 0), FALSE) / VLOOKUP(Substitution!$M$16 &amp; $A8, US_national_yearly!$D:$AM, MATCH(Keys!$C$7, US_national_yearly!$D$1:$AM$1, 0), FALSE), 1)</f>
        <v>6.539262643528003E-2</v>
      </c>
      <c r="G8" s="12">
        <f>$B8 * IFERROR(VLOOKUP(Substitution!$M$16 &amp; $A8, US_national_yearly!$D:$AM, MATCH(G$1, US_national_yearly!$D$1:$AM$1, 0), FALSE) / VLOOKUP(Substitution!$M$16 &amp; $A8, US_national_yearly!$D:$AM, MATCH(Keys!$C$7, US_national_yearly!$D$1:$AM$1, 0), FALSE), 1)</f>
        <v>6.539262643528003E-2</v>
      </c>
      <c r="H8" s="12">
        <f>$B8 * IFERROR(VLOOKUP(Substitution!$M$16 &amp; $A8, US_national_yearly!$D:$AM, MATCH(H$1, US_national_yearly!$D$1:$AM$1, 0), FALSE) / VLOOKUP(Substitution!$M$16 &amp; $A8, US_national_yearly!$D:$AM, MATCH(Keys!$C$7, US_national_yearly!$D$1:$AM$1, 0), FALSE), 1)</f>
        <v>6.539262643528003E-2</v>
      </c>
      <c r="I8" s="12">
        <f>$B8 * IFERROR(VLOOKUP(Substitution!$M$16 &amp; $A8, US_national_yearly!$D:$AM, MATCH(I$1, US_national_yearly!$D$1:$AM$1, 0), FALSE) / VLOOKUP(Substitution!$M$16 &amp; $A8, US_national_yearly!$D:$AM, MATCH(Keys!$C$7, US_national_yearly!$D$1:$AM$1, 0), FALSE), 1)</f>
        <v>6.539262643528003E-2</v>
      </c>
      <c r="J8" s="12">
        <f>$B8 * IFERROR(VLOOKUP(Substitution!$M$16 &amp; $A8, US_national_yearly!$D:$AM, MATCH(J$1, US_national_yearly!$D$1:$AM$1, 0), FALSE) / VLOOKUP(Substitution!$M$16 &amp; $A8, US_national_yearly!$D:$AM, MATCH(Keys!$C$7, US_national_yearly!$D$1:$AM$1, 0), FALSE), 1)</f>
        <v>6.539262643528003E-2</v>
      </c>
      <c r="K8" s="12">
        <f>$B8 * IFERROR(VLOOKUP(Substitution!$M$16 &amp; $A8, US_national_yearly!$D:$AM, MATCH(K$1, US_national_yearly!$D$1:$AM$1, 0), FALSE) / VLOOKUP(Substitution!$M$16 &amp; $A8, US_national_yearly!$D:$AM, MATCH(Keys!$C$7, US_national_yearly!$D$1:$AM$1, 0), FALSE), 1)</f>
        <v>6.539262643528003E-2</v>
      </c>
      <c r="L8" s="12">
        <f>$B8 * IFERROR(VLOOKUP(Substitution!$M$16 &amp; $A8, US_national_yearly!$D:$AM, MATCH(L$1, US_national_yearly!$D$1:$AM$1, 0), FALSE) / VLOOKUP(Substitution!$M$16 &amp; $A8, US_national_yearly!$D:$AM, MATCH(Keys!$C$7, US_national_yearly!$D$1:$AM$1, 0), FALSE), 1)</f>
        <v>6.539262643528003E-2</v>
      </c>
      <c r="M8" s="12">
        <f>$B8 * IFERROR(VLOOKUP(Substitution!$M$16 &amp; $A8, US_national_yearly!$D:$AM, MATCH(M$1, US_national_yearly!$D$1:$AM$1, 0), FALSE) / VLOOKUP(Substitution!$M$16 &amp; $A8, US_national_yearly!$D:$AM, MATCH(Keys!$C$7, US_national_yearly!$D$1:$AM$1, 0), FALSE), 1)</f>
        <v>6.539262643528003E-2</v>
      </c>
      <c r="N8" s="12">
        <f>$B8 * IFERROR(VLOOKUP(Substitution!$M$16 &amp; $A8, US_national_yearly!$D:$AM, MATCH(N$1, US_national_yearly!$D$1:$AM$1, 0), FALSE) / VLOOKUP(Substitution!$M$16 &amp; $A8, US_national_yearly!$D:$AM, MATCH(Keys!$C$7, US_national_yearly!$D$1:$AM$1, 0), FALSE), 1)</f>
        <v>6.539262643528003E-2</v>
      </c>
      <c r="O8" s="12">
        <f>$B8 * IFERROR(VLOOKUP(Substitution!$M$16 &amp; $A8, US_national_yearly!$D:$AM, MATCH(O$1, US_national_yearly!$D$1:$AM$1, 0), FALSE) / VLOOKUP(Substitution!$M$16 &amp; $A8, US_national_yearly!$D:$AM, MATCH(Keys!$C$7, US_national_yearly!$D$1:$AM$1, 0), FALSE), 1)</f>
        <v>6.539262643528003E-2</v>
      </c>
      <c r="P8" s="12">
        <f>$B8 * IFERROR(VLOOKUP(Substitution!$M$16 &amp; $A8, US_national_yearly!$D:$AM, MATCH(P$1, US_national_yearly!$D$1:$AM$1, 0), FALSE) / VLOOKUP(Substitution!$M$16 &amp; $A8, US_national_yearly!$D:$AM, MATCH(Keys!$C$7, US_national_yearly!$D$1:$AM$1, 0), FALSE), 1)</f>
        <v>6.539262643528003E-2</v>
      </c>
      <c r="Q8" s="12">
        <f>$B8 * IFERROR(VLOOKUP(Substitution!$M$16 &amp; $A8, US_national_yearly!$D:$AM, MATCH(Q$1, US_national_yearly!$D$1:$AM$1, 0), FALSE) / VLOOKUP(Substitution!$M$16 &amp; $A8, US_national_yearly!$D:$AM, MATCH(Keys!$C$7, US_national_yearly!$D$1:$AM$1, 0), FALSE), 1)</f>
        <v>6.539262643528003E-2</v>
      </c>
      <c r="R8" s="12">
        <f>$B8 * IFERROR(VLOOKUP(Substitution!$M$16 &amp; $A8, US_national_yearly!$D:$AM, MATCH(R$1, US_national_yearly!$D$1:$AM$1, 0), FALSE) / VLOOKUP(Substitution!$M$16 &amp; $A8, US_national_yearly!$D:$AM, MATCH(Keys!$C$7, US_national_yearly!$D$1:$AM$1, 0), FALSE), 1)</f>
        <v>6.539262643528003E-2</v>
      </c>
      <c r="S8" s="12">
        <f>$B8 * IFERROR(VLOOKUP(Substitution!$M$16 &amp; $A8, US_national_yearly!$D:$AM, MATCH(S$1, US_national_yearly!$D$1:$AM$1, 0), FALSE) / VLOOKUP(Substitution!$M$16 &amp; $A8, US_national_yearly!$D:$AM, MATCH(Keys!$C$7, US_national_yearly!$D$1:$AM$1, 0), FALSE), 1)</f>
        <v>6.539262643528003E-2</v>
      </c>
      <c r="T8" s="12">
        <f>$B8 * IFERROR(VLOOKUP(Substitution!$M$16 &amp; $A8, US_national_yearly!$D:$AM, MATCH(T$1, US_national_yearly!$D$1:$AM$1, 0), FALSE) / VLOOKUP(Substitution!$M$16 &amp; $A8, US_national_yearly!$D:$AM, MATCH(Keys!$C$7, US_national_yearly!$D$1:$AM$1, 0), FALSE), 1)</f>
        <v>6.539262643528003E-2</v>
      </c>
      <c r="U8" s="12">
        <f>$B8 * IFERROR(VLOOKUP(Substitution!$M$16 &amp; $A8, US_national_yearly!$D:$AM, MATCH(U$1, US_national_yearly!$D$1:$AM$1, 0), FALSE) / VLOOKUP(Substitution!$M$16 &amp; $A8, US_national_yearly!$D:$AM, MATCH(Keys!$C$7, US_national_yearly!$D$1:$AM$1, 0), FALSE), 1)</f>
        <v>6.539262643528003E-2</v>
      </c>
      <c r="V8" s="12">
        <f>$B8 * IFERROR(VLOOKUP(Substitution!$M$16 &amp; $A8, US_national_yearly!$D:$AM, MATCH(V$1, US_national_yearly!$D$1:$AM$1, 0), FALSE) / VLOOKUP(Substitution!$M$16 &amp; $A8, US_national_yearly!$D:$AM, MATCH(Keys!$C$7, US_national_yearly!$D$1:$AM$1, 0), FALSE), 1)</f>
        <v>6.539262643528003E-2</v>
      </c>
      <c r="W8" s="12">
        <f>$B8 * IFERROR(VLOOKUP(Substitution!$M$16 &amp; $A8, US_national_yearly!$D:$AM, MATCH(W$1, US_national_yearly!$D$1:$AM$1, 0), FALSE) / VLOOKUP(Substitution!$M$16 &amp; $A8, US_national_yearly!$D:$AM, MATCH(Keys!$C$7, US_national_yearly!$D$1:$AM$1, 0), FALSE), 1)</f>
        <v>6.539262643528003E-2</v>
      </c>
      <c r="X8" s="12">
        <f>$B8 * IFERROR(VLOOKUP(Substitution!$M$16 &amp; $A8, US_national_yearly!$D:$AM, MATCH(X$1, US_national_yearly!$D$1:$AM$1, 0), FALSE) / VLOOKUP(Substitution!$M$16 &amp; $A8, US_national_yearly!$D:$AM, MATCH(Keys!$C$7, US_national_yearly!$D$1:$AM$1, 0), FALSE), 1)</f>
        <v>6.539262643528003E-2</v>
      </c>
      <c r="Y8" s="12">
        <f>$B8 * IFERROR(VLOOKUP(Substitution!$M$16 &amp; $A8, US_national_yearly!$D:$AM, MATCH(Y$1, US_national_yearly!$D$1:$AM$1, 0), FALSE) / VLOOKUP(Substitution!$M$16 &amp; $A8, US_national_yearly!$D:$AM, MATCH(Keys!$C$7, US_national_yearly!$D$1:$AM$1, 0), FALSE), 1)</f>
        <v>6.539262643528003E-2</v>
      </c>
      <c r="Z8" s="12">
        <f>$B8 * IFERROR(VLOOKUP(Substitution!$M$16 &amp; $A8, US_national_yearly!$D:$AM, MATCH(Z$1, US_national_yearly!$D$1:$AM$1, 0), FALSE) / VLOOKUP(Substitution!$M$16 &amp; $A8, US_national_yearly!$D:$AM, MATCH(Keys!$C$7, US_national_yearly!$D$1:$AM$1, 0), FALSE), 1)</f>
        <v>6.539262643528003E-2</v>
      </c>
      <c r="AA8" s="12">
        <f>$B8 * IFERROR(VLOOKUP(Substitution!$M$16 &amp; $A8, US_national_yearly!$D:$AM, MATCH(AA$1, US_national_yearly!$D$1:$AM$1, 0), FALSE) / VLOOKUP(Substitution!$M$16 &amp; $A8, US_national_yearly!$D:$AM, MATCH(Keys!$C$7, US_national_yearly!$D$1:$AM$1, 0), FALSE), 1)</f>
        <v>6.539262643528003E-2</v>
      </c>
      <c r="AB8" s="12">
        <f>$B8 * IFERROR(VLOOKUP(Substitution!$M$16 &amp; $A8, US_national_yearly!$D:$AM, MATCH(AB$1, US_national_yearly!$D$1:$AM$1, 0), FALSE) / VLOOKUP(Substitution!$M$16 &amp; $A8, US_national_yearly!$D:$AM, MATCH(Keys!$C$7, US_national_yearly!$D$1:$AM$1, 0), FALSE), 1)</f>
        <v>6.539262643528003E-2</v>
      </c>
    </row>
    <row r="9" spans="1:28" x14ac:dyDescent="0.25">
      <c r="A9" s="4" t="s">
        <v>305</v>
      </c>
      <c r="B9" s="12">
        <f>IFERROR(VLOOKUP(Substitution!$M$16 &amp; $A9, US_national_yearly!$D:$AM, MATCH(Keys!$C$7, US_national_yearly!$D$1:$AM$1, 0), FALSE), 0)</f>
        <v>6.1930525156884096E-3</v>
      </c>
      <c r="C9" s="12">
        <f>$B9 * IFERROR(VLOOKUP(Substitution!$M$16 &amp; $A9, US_national_yearly!$D:$AM, MATCH(C$1, US_national_yearly!$D$1:$AM$1, 0), FALSE) / VLOOKUP(Substitution!$M$16 &amp; $A9, US_national_yearly!$D:$AM, MATCH(Keys!$C$7, US_national_yearly!$D$1:$AM$1, 0), FALSE), 1)</f>
        <v>6.2342614509194906E-3</v>
      </c>
      <c r="D9" s="12">
        <f>$B9 * IFERROR(VLOOKUP(Substitution!$M$16 &amp; $A9, US_national_yearly!$D:$AM, MATCH(D$1, US_national_yearly!$D$1:$AM$1, 0), FALSE) / VLOOKUP(Substitution!$M$16 &amp; $A9, US_national_yearly!$D:$AM, MATCH(Keys!$C$7, US_national_yearly!$D$1:$AM$1, 0), FALSE), 1)</f>
        <v>6.275470386150569E-3</v>
      </c>
      <c r="E9" s="12">
        <f>$B9 * IFERROR(VLOOKUP(Substitution!$M$16 &amp; $A9, US_national_yearly!$D:$AM, MATCH(E$1, US_national_yearly!$D$1:$AM$1, 0), FALSE) / VLOOKUP(Substitution!$M$16 &amp; $A9, US_national_yearly!$D:$AM, MATCH(Keys!$C$7, US_national_yearly!$D$1:$AM$1, 0), FALSE), 1)</f>
        <v>6.31667932138165E-3</v>
      </c>
      <c r="F9" s="12">
        <f>$B9 * IFERROR(VLOOKUP(Substitution!$M$16 &amp; $A9, US_national_yearly!$D:$AM, MATCH(F$1, US_national_yearly!$D$1:$AM$1, 0), FALSE) / VLOOKUP(Substitution!$M$16 &amp; $A9, US_national_yearly!$D:$AM, MATCH(Keys!$C$7, US_national_yearly!$D$1:$AM$1, 0), FALSE), 1)</f>
        <v>6.3578882566127301E-3</v>
      </c>
      <c r="G9" s="12">
        <f>$B9 * IFERROR(VLOOKUP(Substitution!$M$16 &amp; $A9, US_national_yearly!$D:$AM, MATCH(G$1, US_national_yearly!$D$1:$AM$1, 0), FALSE) / VLOOKUP(Substitution!$M$16 &amp; $A9, US_national_yearly!$D:$AM, MATCH(Keys!$C$7, US_national_yearly!$D$1:$AM$1, 0), FALSE), 1)</f>
        <v>6.3949816297307746E-3</v>
      </c>
      <c r="H9" s="12">
        <f>$B9 * IFERROR(VLOOKUP(Substitution!$M$16 &amp; $A9, US_national_yearly!$D:$AM, MATCH(H$1, US_national_yearly!$D$1:$AM$1, 0), FALSE) / VLOOKUP(Substitution!$M$16 &amp; $A9, US_national_yearly!$D:$AM, MATCH(Keys!$C$7, US_national_yearly!$D$1:$AM$1, 0), FALSE), 1)</f>
        <v>6.4320750028488199E-3</v>
      </c>
      <c r="I9" s="12">
        <f>$B9 * IFERROR(VLOOKUP(Substitution!$M$16 &amp; $A9, US_national_yearly!$D:$AM, MATCH(I$1, US_national_yearly!$D$1:$AM$1, 0), FALSE) / VLOOKUP(Substitution!$M$16 &amp; $A9, US_national_yearly!$D:$AM, MATCH(Keys!$C$7, US_national_yearly!$D$1:$AM$1, 0), FALSE), 1)</f>
        <v>6.4631115408731211E-3</v>
      </c>
      <c r="J9" s="12">
        <f>$B9 * IFERROR(VLOOKUP(Substitution!$M$16 &amp; $A9, US_national_yearly!$D:$AM, MATCH(J$1, US_national_yearly!$D$1:$AM$1, 0), FALSE) / VLOOKUP(Substitution!$M$16 &amp; $A9, US_national_yearly!$D:$AM, MATCH(Keys!$C$7, US_national_yearly!$D$1:$AM$1, 0), FALSE), 1)</f>
        <v>6.494148078897425E-3</v>
      </c>
      <c r="K9" s="12">
        <f>$B9 * IFERROR(VLOOKUP(Substitution!$M$16 &amp; $A9, US_national_yearly!$D:$AM, MATCH(K$1, US_national_yearly!$D$1:$AM$1, 0), FALSE) / VLOOKUP(Substitution!$M$16 &amp; $A9, US_national_yearly!$D:$AM, MATCH(Keys!$C$7, US_national_yearly!$D$1:$AM$1, 0), FALSE), 1)</f>
        <v>6.5251846169217262E-3</v>
      </c>
      <c r="L9" s="12">
        <f>$B9 * IFERROR(VLOOKUP(Substitution!$M$16 &amp; $A9, US_national_yearly!$D:$AM, MATCH(L$1, US_national_yearly!$D$1:$AM$1, 0), FALSE) / VLOOKUP(Substitution!$M$16 &amp; $A9, US_national_yearly!$D:$AM, MATCH(Keys!$C$7, US_national_yearly!$D$1:$AM$1, 0), FALSE), 1)</f>
        <v>6.5562211549460283E-3</v>
      </c>
      <c r="M9" s="12">
        <f>$B9 * IFERROR(VLOOKUP(Substitution!$M$16 &amp; $A9, US_national_yearly!$D:$AM, MATCH(M$1, US_national_yearly!$D$1:$AM$1, 0), FALSE) / VLOOKUP(Substitution!$M$16 &amp; $A9, US_national_yearly!$D:$AM, MATCH(Keys!$C$7, US_national_yearly!$D$1:$AM$1, 0), FALSE), 1)</f>
        <v>6.5872576929703296E-3</v>
      </c>
      <c r="N9" s="12">
        <f>$B9 * IFERROR(VLOOKUP(Substitution!$M$16 &amp; $A9, US_national_yearly!$D:$AM, MATCH(N$1, US_national_yearly!$D$1:$AM$1, 0), FALSE) / VLOOKUP(Substitution!$M$16 &amp; $A9, US_national_yearly!$D:$AM, MATCH(Keys!$C$7, US_national_yearly!$D$1:$AM$1, 0), FALSE), 1)</f>
        <v>6.6162210103355304E-3</v>
      </c>
      <c r="O9" s="12">
        <f>$B9 * IFERROR(VLOOKUP(Substitution!$M$16 &amp; $A9, US_national_yearly!$D:$AM, MATCH(O$1, US_national_yearly!$D$1:$AM$1, 0), FALSE) / VLOOKUP(Substitution!$M$16 &amp; $A9, US_national_yearly!$D:$AM, MATCH(Keys!$C$7, US_national_yearly!$D$1:$AM$1, 0), FALSE), 1)</f>
        <v>6.6451843277007304E-3</v>
      </c>
      <c r="P9" s="12">
        <f>$B9 * IFERROR(VLOOKUP(Substitution!$M$16 &amp; $A9, US_national_yearly!$D:$AM, MATCH(P$1, US_national_yearly!$D$1:$AM$1, 0), FALSE) / VLOOKUP(Substitution!$M$16 &amp; $A9, US_national_yearly!$D:$AM, MATCH(Keys!$C$7, US_national_yearly!$D$1:$AM$1, 0), FALSE), 1)</f>
        <v>6.6741476450659296E-3</v>
      </c>
      <c r="Q9" s="12">
        <f>$B9 * IFERROR(VLOOKUP(Substitution!$M$16 &amp; $A9, US_national_yearly!$D:$AM, MATCH(Q$1, US_national_yearly!$D$1:$AM$1, 0), FALSE) / VLOOKUP(Substitution!$M$16 &amp; $A9, US_national_yearly!$D:$AM, MATCH(Keys!$C$7, US_national_yearly!$D$1:$AM$1, 0), FALSE), 1)</f>
        <v>6.7031109624311304E-3</v>
      </c>
      <c r="R9" s="12">
        <f>$B9 * IFERROR(VLOOKUP(Substitution!$M$16 &amp; $A9, US_national_yearly!$D:$AM, MATCH(R$1, US_national_yearly!$D$1:$AM$1, 0), FALSE) / VLOOKUP(Substitution!$M$16 &amp; $A9, US_national_yearly!$D:$AM, MATCH(Keys!$C$7, US_national_yearly!$D$1:$AM$1, 0), FALSE), 1)</f>
        <v>6.7320742797963304E-3</v>
      </c>
      <c r="S9" s="12">
        <f>$B9 * IFERROR(VLOOKUP(Substitution!$M$16 &amp; $A9, US_national_yearly!$D:$AM, MATCH(S$1, US_national_yearly!$D$1:$AM$1, 0), FALSE) / VLOOKUP(Substitution!$M$16 &amp; $A9, US_national_yearly!$D:$AM, MATCH(Keys!$C$7, US_national_yearly!$D$1:$AM$1, 0), FALSE), 1)</f>
        <v>6.7599974849184208E-3</v>
      </c>
      <c r="T9" s="12">
        <f>$B9 * IFERROR(VLOOKUP(Substitution!$M$16 &amp; $A9, US_national_yearly!$D:$AM, MATCH(T$1, US_national_yearly!$D$1:$AM$1, 0), FALSE) / VLOOKUP(Substitution!$M$16 &amp; $A9, US_national_yearly!$D:$AM, MATCH(Keys!$C$7, US_national_yearly!$D$1:$AM$1, 0), FALSE), 1)</f>
        <v>6.7879206900405102E-3</v>
      </c>
      <c r="U9" s="12">
        <f>$B9 * IFERROR(VLOOKUP(Substitution!$M$16 &amp; $A9, US_national_yearly!$D:$AM, MATCH(U$1, US_national_yearly!$D$1:$AM$1, 0), FALSE) / VLOOKUP(Substitution!$M$16 &amp; $A9, US_national_yearly!$D:$AM, MATCH(Keys!$C$7, US_national_yearly!$D$1:$AM$1, 0), FALSE), 1)</f>
        <v>6.8158438951626023E-3</v>
      </c>
      <c r="V9" s="12">
        <f>$B9 * IFERROR(VLOOKUP(Substitution!$M$16 &amp; $A9, US_national_yearly!$D:$AM, MATCH(V$1, US_national_yearly!$D$1:$AM$1, 0), FALSE) / VLOOKUP(Substitution!$M$16 &amp; $A9, US_national_yearly!$D:$AM, MATCH(Keys!$C$7, US_national_yearly!$D$1:$AM$1, 0), FALSE), 1)</f>
        <v>6.8437671002846891E-3</v>
      </c>
      <c r="W9" s="12">
        <f>$B9 * IFERROR(VLOOKUP(Substitution!$M$16 &amp; $A9, US_national_yearly!$D:$AM, MATCH(W$1, US_national_yearly!$D$1:$AM$1, 0), FALSE) / VLOOKUP(Substitution!$M$16 &amp; $A9, US_national_yearly!$D:$AM, MATCH(Keys!$C$7, US_national_yearly!$D$1:$AM$1, 0), FALSE), 1)</f>
        <v>6.8716903054067812E-3</v>
      </c>
      <c r="X9" s="12">
        <f>$B9 * IFERROR(VLOOKUP(Substitution!$M$16 &amp; $A9, US_national_yearly!$D:$AM, MATCH(X$1, US_national_yearly!$D$1:$AM$1, 0), FALSE) / VLOOKUP(Substitution!$M$16 &amp; $A9, US_national_yearly!$D:$AM, MATCH(Keys!$C$7, US_national_yearly!$D$1:$AM$1, 0), FALSE), 1)</f>
        <v>6.8972181126451442E-3</v>
      </c>
      <c r="Y9" s="12">
        <f>$B9 * IFERROR(VLOOKUP(Substitution!$M$16 &amp; $A9, US_national_yearly!$D:$AM, MATCH(Y$1, US_national_yearly!$D$1:$AM$1, 0), FALSE) / VLOOKUP(Substitution!$M$16 &amp; $A9, US_national_yearly!$D:$AM, MATCH(Keys!$C$7, US_national_yearly!$D$1:$AM$1, 0), FALSE), 1)</f>
        <v>6.922745919883508E-3</v>
      </c>
      <c r="Z9" s="12">
        <f>$B9 * IFERROR(VLOOKUP(Substitution!$M$16 &amp; $A9, US_national_yearly!$D:$AM, MATCH(Z$1, US_national_yearly!$D$1:$AM$1, 0), FALSE) / VLOOKUP(Substitution!$M$16 &amp; $A9, US_national_yearly!$D:$AM, MATCH(Keys!$C$7, US_national_yearly!$D$1:$AM$1, 0), FALSE), 1)</f>
        <v>6.9482737271218727E-3</v>
      </c>
      <c r="AA9" s="12">
        <f>$B9 * IFERROR(VLOOKUP(Substitution!$M$16 &amp; $A9, US_national_yearly!$D:$AM, MATCH(AA$1, US_national_yearly!$D$1:$AM$1, 0), FALSE) / VLOOKUP(Substitution!$M$16 &amp; $A9, US_national_yearly!$D:$AM, MATCH(Keys!$C$7, US_national_yearly!$D$1:$AM$1, 0), FALSE), 1)</f>
        <v>6.9738015343602366E-3</v>
      </c>
      <c r="AB9" s="12">
        <f>$B9 * IFERROR(VLOOKUP(Substitution!$M$16 &amp; $A9, US_national_yearly!$D:$AM, MATCH(AB$1, US_national_yearly!$D$1:$AM$1, 0), FALSE) / VLOOKUP(Substitution!$M$16 &amp; $A9, US_national_yearly!$D:$AM, MATCH(Keys!$C$7, US_national_yearly!$D$1:$AM$1, 0), FALSE), 1)</f>
        <v>6.9993293415986013E-3</v>
      </c>
    </row>
    <row r="10" spans="1:28" x14ac:dyDescent="0.25">
      <c r="A10" s="4" t="s">
        <v>307</v>
      </c>
      <c r="B10" s="12">
        <f>IFERROR(VLOOKUP(Substitution!$M$16 &amp; $A10, US_national_yearly!$D:$AM, MATCH(Keys!$C$7, US_national_yearly!$D$1:$AM$1, 0), FALSE), 0)</f>
        <v>3.9448630562420102E-2</v>
      </c>
      <c r="C10" s="12">
        <f>$B10 * IFERROR(VLOOKUP(Substitution!$M$16 &amp; $A10, US_national_yearly!$D:$AM, MATCH(C$1, US_national_yearly!$D$1:$AM$1, 0), FALSE) / VLOOKUP(Substitution!$M$16 &amp; $A10, US_national_yearly!$D:$AM, MATCH(Keys!$C$7, US_national_yearly!$D$1:$AM$1, 0), FALSE), 1)</f>
        <v>3.9813647806190393E-2</v>
      </c>
      <c r="D10" s="12">
        <f>$B10 * IFERROR(VLOOKUP(Substitution!$M$16 &amp; $A10, US_national_yearly!$D:$AM, MATCH(D$1, US_national_yearly!$D$1:$AM$1, 0), FALSE) / VLOOKUP(Substitution!$M$16 &amp; $A10, US_national_yearly!$D:$AM, MATCH(Keys!$C$7, US_national_yearly!$D$1:$AM$1, 0), FALSE), 1)</f>
        <v>4.0178665049960698E-2</v>
      </c>
      <c r="E10" s="12">
        <f>$B10 * IFERROR(VLOOKUP(Substitution!$M$16 &amp; $A10, US_national_yearly!$D:$AM, MATCH(E$1, US_national_yearly!$D$1:$AM$1, 0), FALSE) / VLOOKUP(Substitution!$M$16 &amp; $A10, US_national_yearly!$D:$AM, MATCH(Keys!$C$7, US_national_yearly!$D$1:$AM$1, 0), FALSE), 1)</f>
        <v>4.0543682293731002E-2</v>
      </c>
      <c r="F10" s="12">
        <f>$B10 * IFERROR(VLOOKUP(Substitution!$M$16 &amp; $A10, US_national_yearly!$D:$AM, MATCH(F$1, US_national_yearly!$D$1:$AM$1, 0), FALSE) / VLOOKUP(Substitution!$M$16 &amp; $A10, US_national_yearly!$D:$AM, MATCH(Keys!$C$7, US_national_yearly!$D$1:$AM$1, 0), FALSE), 1)</f>
        <v>4.09086995375013E-2</v>
      </c>
      <c r="G10" s="12">
        <f>$B10 * IFERROR(VLOOKUP(Substitution!$M$16 &amp; $A10, US_national_yearly!$D:$AM, MATCH(G$1, US_national_yearly!$D$1:$AM$1, 0), FALSE) / VLOOKUP(Substitution!$M$16 &amp; $A10, US_national_yearly!$D:$AM, MATCH(Keys!$C$7, US_national_yearly!$D$1:$AM$1, 0), FALSE), 1)</f>
        <v>4.1307445527431999E-2</v>
      </c>
      <c r="H10" s="12">
        <f>$B10 * IFERROR(VLOOKUP(Substitution!$M$16 &amp; $A10, US_national_yearly!$D:$AM, MATCH(H$1, US_national_yearly!$D$1:$AM$1, 0), FALSE) / VLOOKUP(Substitution!$M$16 &amp; $A10, US_national_yearly!$D:$AM, MATCH(Keys!$C$7, US_national_yearly!$D$1:$AM$1, 0), FALSE), 1)</f>
        <v>4.1706191517362698E-2</v>
      </c>
      <c r="I10" s="12">
        <f>$B10 * IFERROR(VLOOKUP(Substitution!$M$16 &amp; $A10, US_national_yearly!$D:$AM, MATCH(I$1, US_national_yearly!$D$1:$AM$1, 0), FALSE) / VLOOKUP(Substitution!$M$16 &amp; $A10, US_national_yearly!$D:$AM, MATCH(Keys!$C$7, US_national_yearly!$D$1:$AM$1, 0), FALSE), 1)</f>
        <v>4.2009891078573683E-2</v>
      </c>
      <c r="J10" s="12">
        <f>$B10 * IFERROR(VLOOKUP(Substitution!$M$16 &amp; $A10, US_national_yearly!$D:$AM, MATCH(J$1, US_national_yearly!$D$1:$AM$1, 0), FALSE) / VLOOKUP(Substitution!$M$16 &amp; $A10, US_national_yearly!$D:$AM, MATCH(Keys!$C$7, US_national_yearly!$D$1:$AM$1, 0), FALSE), 1)</f>
        <v>4.2313590639784661E-2</v>
      </c>
      <c r="K10" s="12">
        <f>$B10 * IFERROR(VLOOKUP(Substitution!$M$16 &amp; $A10, US_national_yearly!$D:$AM, MATCH(K$1, US_national_yearly!$D$1:$AM$1, 0), FALSE) / VLOOKUP(Substitution!$M$16 &amp; $A10, US_national_yearly!$D:$AM, MATCH(Keys!$C$7, US_national_yearly!$D$1:$AM$1, 0), FALSE), 1)</f>
        <v>4.2617290200995639E-2</v>
      </c>
      <c r="L10" s="12">
        <f>$B10 * IFERROR(VLOOKUP(Substitution!$M$16 &amp; $A10, US_national_yearly!$D:$AM, MATCH(L$1, US_national_yearly!$D$1:$AM$1, 0), FALSE) / VLOOKUP(Substitution!$M$16 &amp; $A10, US_national_yearly!$D:$AM, MATCH(Keys!$C$7, US_national_yearly!$D$1:$AM$1, 0), FALSE), 1)</f>
        <v>4.2920989762206617E-2</v>
      </c>
      <c r="M10" s="12">
        <f>$B10 * IFERROR(VLOOKUP(Substitution!$M$16 &amp; $A10, US_national_yearly!$D:$AM, MATCH(M$1, US_national_yearly!$D$1:$AM$1, 0), FALSE) / VLOOKUP(Substitution!$M$16 &amp; $A10, US_national_yearly!$D:$AM, MATCH(Keys!$C$7, US_national_yearly!$D$1:$AM$1, 0), FALSE), 1)</f>
        <v>4.3224689323417602E-2</v>
      </c>
      <c r="N10" s="12">
        <f>$B10 * IFERROR(VLOOKUP(Substitution!$M$16 &amp; $A10, US_national_yearly!$D:$AM, MATCH(N$1, US_national_yearly!$D$1:$AM$1, 0), FALSE) / VLOOKUP(Substitution!$M$16 &amp; $A10, US_national_yearly!$D:$AM, MATCH(Keys!$C$7, US_national_yearly!$D$1:$AM$1, 0), FALSE), 1)</f>
        <v>4.33823107059901E-2</v>
      </c>
      <c r="O10" s="12">
        <f>$B10 * IFERROR(VLOOKUP(Substitution!$M$16 &amp; $A10, US_national_yearly!$D:$AM, MATCH(O$1, US_national_yearly!$D$1:$AM$1, 0), FALSE) / VLOOKUP(Substitution!$M$16 &amp; $A10, US_national_yearly!$D:$AM, MATCH(Keys!$C$7, US_national_yearly!$D$1:$AM$1, 0), FALSE), 1)</f>
        <v>4.3539932088562598E-2</v>
      </c>
      <c r="P10" s="12">
        <f>$B10 * IFERROR(VLOOKUP(Substitution!$M$16 &amp; $A10, US_national_yearly!$D:$AM, MATCH(P$1, US_national_yearly!$D$1:$AM$1, 0), FALSE) / VLOOKUP(Substitution!$M$16 &amp; $A10, US_national_yearly!$D:$AM, MATCH(Keys!$C$7, US_national_yearly!$D$1:$AM$1, 0), FALSE), 1)</f>
        <v>4.3697553471135103E-2</v>
      </c>
      <c r="Q10" s="12">
        <f>$B10 * IFERROR(VLOOKUP(Substitution!$M$16 &amp; $A10, US_national_yearly!$D:$AM, MATCH(Q$1, US_national_yearly!$D$1:$AM$1, 0), FALSE) / VLOOKUP(Substitution!$M$16 &amp; $A10, US_national_yearly!$D:$AM, MATCH(Keys!$C$7, US_national_yearly!$D$1:$AM$1, 0), FALSE), 1)</f>
        <v>4.3855174853707601E-2</v>
      </c>
      <c r="R10" s="12">
        <f>$B10 * IFERROR(VLOOKUP(Substitution!$M$16 &amp; $A10, US_national_yearly!$D:$AM, MATCH(R$1, US_national_yearly!$D$1:$AM$1, 0), FALSE) / VLOOKUP(Substitution!$M$16 &amp; $A10, US_national_yearly!$D:$AM, MATCH(Keys!$C$7, US_national_yearly!$D$1:$AM$1, 0), FALSE), 1)</f>
        <v>4.4012796236280106E-2</v>
      </c>
      <c r="S10" s="12">
        <f>$B10 * IFERROR(VLOOKUP(Substitution!$M$16 &amp; $A10, US_national_yearly!$D:$AM, MATCH(S$1, US_national_yearly!$D$1:$AM$1, 0), FALSE) / VLOOKUP(Substitution!$M$16 &amp; $A10, US_national_yearly!$D:$AM, MATCH(Keys!$C$7, US_national_yearly!$D$1:$AM$1, 0), FALSE), 1)</f>
        <v>4.41919521313964E-2</v>
      </c>
      <c r="T10" s="12">
        <f>$B10 * IFERROR(VLOOKUP(Substitution!$M$16 &amp; $A10, US_national_yearly!$D:$AM, MATCH(T$1, US_national_yearly!$D$1:$AM$1, 0), FALSE) / VLOOKUP(Substitution!$M$16 &amp; $A10, US_national_yearly!$D:$AM, MATCH(Keys!$C$7, US_national_yearly!$D$1:$AM$1, 0), FALSE), 1)</f>
        <v>4.4371108026512701E-2</v>
      </c>
      <c r="U10" s="12">
        <f>$B10 * IFERROR(VLOOKUP(Substitution!$M$16 &amp; $A10, US_national_yearly!$D:$AM, MATCH(U$1, US_national_yearly!$D$1:$AM$1, 0), FALSE) / VLOOKUP(Substitution!$M$16 &amp; $A10, US_national_yearly!$D:$AM, MATCH(Keys!$C$7, US_national_yearly!$D$1:$AM$1, 0), FALSE), 1)</f>
        <v>4.4550263921629002E-2</v>
      </c>
      <c r="V10" s="12">
        <f>$B10 * IFERROR(VLOOKUP(Substitution!$M$16 &amp; $A10, US_national_yearly!$D:$AM, MATCH(V$1, US_national_yearly!$D$1:$AM$1, 0), FALSE) / VLOOKUP(Substitution!$M$16 &amp; $A10, US_national_yearly!$D:$AM, MATCH(Keys!$C$7, US_national_yearly!$D$1:$AM$1, 0), FALSE), 1)</f>
        <v>4.4729419816745303E-2</v>
      </c>
      <c r="W10" s="12">
        <f>$B10 * IFERROR(VLOOKUP(Substitution!$M$16 &amp; $A10, US_national_yearly!$D:$AM, MATCH(W$1, US_national_yearly!$D$1:$AM$1, 0), FALSE) / VLOOKUP(Substitution!$M$16 &amp; $A10, US_national_yearly!$D:$AM, MATCH(Keys!$C$7, US_national_yearly!$D$1:$AM$1, 0), FALSE), 1)</f>
        <v>4.4908575711861597E-2</v>
      </c>
      <c r="X10" s="12">
        <f>$B10 * IFERROR(VLOOKUP(Substitution!$M$16 &amp; $A10, US_national_yearly!$D:$AM, MATCH(X$1, US_national_yearly!$D$1:$AM$1, 0), FALSE) / VLOOKUP(Substitution!$M$16 &amp; $A10, US_national_yearly!$D:$AM, MATCH(Keys!$C$7, US_national_yearly!$D$1:$AM$1, 0), FALSE), 1)</f>
        <v>4.5094914645260199E-2</v>
      </c>
      <c r="Y10" s="12">
        <f>$B10 * IFERROR(VLOOKUP(Substitution!$M$16 &amp; $A10, US_national_yearly!$D:$AM, MATCH(Y$1, US_national_yearly!$D$1:$AM$1, 0), FALSE) / VLOOKUP(Substitution!$M$16 &amp; $A10, US_national_yearly!$D:$AM, MATCH(Keys!$C$7, US_national_yearly!$D$1:$AM$1, 0), FALSE), 1)</f>
        <v>4.5281253578658802E-2</v>
      </c>
      <c r="Z10" s="12">
        <f>$B10 * IFERROR(VLOOKUP(Substitution!$M$16 &amp; $A10, US_national_yearly!$D:$AM, MATCH(Z$1, US_national_yearly!$D$1:$AM$1, 0), FALSE) / VLOOKUP(Substitution!$M$16 &amp; $A10, US_national_yearly!$D:$AM, MATCH(Keys!$C$7, US_national_yearly!$D$1:$AM$1, 0), FALSE), 1)</f>
        <v>4.5467592512057398E-2</v>
      </c>
      <c r="AA10" s="12">
        <f>$B10 * IFERROR(VLOOKUP(Substitution!$M$16 &amp; $A10, US_national_yearly!$D:$AM, MATCH(AA$1, US_national_yearly!$D$1:$AM$1, 0), FALSE) / VLOOKUP(Substitution!$M$16 &amp; $A10, US_national_yearly!$D:$AM, MATCH(Keys!$C$7, US_national_yearly!$D$1:$AM$1, 0), FALSE), 1)</f>
        <v>4.5653931445456E-2</v>
      </c>
      <c r="AB10" s="12">
        <f>$B10 * IFERROR(VLOOKUP(Substitution!$M$16 &amp; $A10, US_national_yearly!$D:$AM, MATCH(AB$1, US_national_yearly!$D$1:$AM$1, 0), FALSE) / VLOOKUP(Substitution!$M$16 &amp; $A10, US_national_yearly!$D:$AM, MATCH(Keys!$C$7, US_national_yearly!$D$1:$AM$1, 0), FALSE), 1)</f>
        <v>4.5840270378854603E-2</v>
      </c>
    </row>
    <row r="11" spans="1:28" x14ac:dyDescent="0.25">
      <c r="A11" s="4" t="s">
        <v>309</v>
      </c>
      <c r="B11" s="12">
        <f>IFERROR(VLOOKUP(Substitution!$M$16 &amp; $A11, US_national_yearly!$D:$AM, MATCH(Keys!$C$7, US_national_yearly!$D$1:$AM$1, 0), FALSE), 0)</f>
        <v>1.848458287468036E-3</v>
      </c>
      <c r="C11" s="12">
        <f>$B11 * IFERROR(VLOOKUP(Substitution!$M$16 &amp; $A11, US_national_yearly!$D:$AM, MATCH(C$1, US_national_yearly!$D$1:$AM$1, 0), FALSE) / VLOOKUP(Substitution!$M$16 &amp; $A11, US_national_yearly!$D:$AM, MATCH(Keys!$C$7, US_national_yearly!$D$1:$AM$1, 0), FALSE), 1)</f>
        <v>1.8661998113573719E-3</v>
      </c>
      <c r="D11" s="12">
        <f>$B11 * IFERROR(VLOOKUP(Substitution!$M$16 &amp; $A11, US_national_yearly!$D:$AM, MATCH(D$1, US_national_yearly!$D$1:$AM$1, 0), FALSE) / VLOOKUP(Substitution!$M$16 &amp; $A11, US_national_yearly!$D:$AM, MATCH(Keys!$C$7, US_national_yearly!$D$1:$AM$1, 0), FALSE), 1)</f>
        <v>1.8839413352467081E-3</v>
      </c>
      <c r="E11" s="12">
        <f>$B11 * IFERROR(VLOOKUP(Substitution!$M$16 &amp; $A11, US_national_yearly!$D:$AM, MATCH(E$1, US_national_yearly!$D$1:$AM$1, 0), FALSE) / VLOOKUP(Substitution!$M$16 &amp; $A11, US_national_yearly!$D:$AM, MATCH(Keys!$C$7, US_national_yearly!$D$1:$AM$1, 0), FALSE), 1)</f>
        <v>1.901682859136044E-3</v>
      </c>
      <c r="F11" s="12">
        <f>$B11 * IFERROR(VLOOKUP(Substitution!$M$16 &amp; $A11, US_national_yearly!$D:$AM, MATCH(F$1, US_national_yearly!$D$1:$AM$1, 0), FALSE) / VLOOKUP(Substitution!$M$16 &amp; $A11, US_national_yearly!$D:$AM, MATCH(Keys!$C$7, US_national_yearly!$D$1:$AM$1, 0), FALSE), 1)</f>
        <v>1.9194243830253799E-3</v>
      </c>
      <c r="G11" s="12">
        <f>$B11 * IFERROR(VLOOKUP(Substitution!$M$16 &amp; $A11, US_national_yearly!$D:$AM, MATCH(G$1, US_national_yearly!$D$1:$AM$1, 0), FALSE) / VLOOKUP(Substitution!$M$16 &amp; $A11, US_national_yearly!$D:$AM, MATCH(Keys!$C$7, US_national_yearly!$D$1:$AM$1, 0), FALSE), 1)</f>
        <v>1.937771917887755E-3</v>
      </c>
      <c r="H11" s="12">
        <f>$B11 * IFERROR(VLOOKUP(Substitution!$M$16 &amp; $A11, US_national_yearly!$D:$AM, MATCH(H$1, US_national_yearly!$D$1:$AM$1, 0), FALSE) / VLOOKUP(Substitution!$M$16 &amp; $A11, US_national_yearly!$D:$AM, MATCH(Keys!$C$7, US_national_yearly!$D$1:$AM$1, 0), FALSE), 1)</f>
        <v>1.95611945275013E-3</v>
      </c>
      <c r="I11" s="12">
        <f>$B11 * IFERROR(VLOOKUP(Substitution!$M$16 &amp; $A11, US_national_yearly!$D:$AM, MATCH(I$1, US_national_yearly!$D$1:$AM$1, 0), FALSE) / VLOOKUP(Substitution!$M$16 &amp; $A11, US_national_yearly!$D:$AM, MATCH(Keys!$C$7, US_national_yearly!$D$1:$AM$1, 0), FALSE), 1)</f>
        <v>1.9733541005768642E-3</v>
      </c>
      <c r="J11" s="12">
        <f>$B11 * IFERROR(VLOOKUP(Substitution!$M$16 &amp; $A11, US_national_yearly!$D:$AM, MATCH(J$1, US_national_yearly!$D$1:$AM$1, 0), FALSE) / VLOOKUP(Substitution!$M$16 &amp; $A11, US_national_yearly!$D:$AM, MATCH(Keys!$C$7, US_national_yearly!$D$1:$AM$1, 0), FALSE), 1)</f>
        <v>1.9905887484035979E-3</v>
      </c>
      <c r="K11" s="12">
        <f>$B11 * IFERROR(VLOOKUP(Substitution!$M$16 &amp; $A11, US_national_yearly!$D:$AM, MATCH(K$1, US_national_yearly!$D$1:$AM$1, 0), FALSE) / VLOOKUP(Substitution!$M$16 &amp; $A11, US_national_yearly!$D:$AM, MATCH(Keys!$C$7, US_national_yearly!$D$1:$AM$1, 0), FALSE), 1)</f>
        <v>2.0078233962303321E-3</v>
      </c>
      <c r="L11" s="12">
        <f>$B11 * IFERROR(VLOOKUP(Substitution!$M$16 &amp; $A11, US_national_yearly!$D:$AM, MATCH(L$1, US_national_yearly!$D$1:$AM$1, 0), FALSE) / VLOOKUP(Substitution!$M$16 &amp; $A11, US_national_yearly!$D:$AM, MATCH(Keys!$C$7, US_national_yearly!$D$1:$AM$1, 0), FALSE), 1)</f>
        <v>2.0250580440570659E-3</v>
      </c>
      <c r="M11" s="12">
        <f>$B11 * IFERROR(VLOOKUP(Substitution!$M$16 &amp; $A11, US_national_yearly!$D:$AM, MATCH(M$1, US_national_yearly!$D$1:$AM$1, 0), FALSE) / VLOOKUP(Substitution!$M$16 &amp; $A11, US_national_yearly!$D:$AM, MATCH(Keys!$C$7, US_national_yearly!$D$1:$AM$1, 0), FALSE), 1)</f>
        <v>2.0422926918838001E-3</v>
      </c>
      <c r="N11" s="12">
        <f>$B11 * IFERROR(VLOOKUP(Substitution!$M$16 &amp; $A11, US_national_yearly!$D:$AM, MATCH(N$1, US_national_yearly!$D$1:$AM$1, 0), FALSE) / VLOOKUP(Substitution!$M$16 &amp; $A11, US_national_yearly!$D:$AM, MATCH(Keys!$C$7, US_national_yearly!$D$1:$AM$1, 0), FALSE), 1)</f>
        <v>2.0568664038188838E-3</v>
      </c>
      <c r="O11" s="12">
        <f>$B11 * IFERROR(VLOOKUP(Substitution!$M$16 &amp; $A11, US_national_yearly!$D:$AM, MATCH(O$1, US_national_yearly!$D$1:$AM$1, 0), FALSE) / VLOOKUP(Substitution!$M$16 &amp; $A11, US_national_yearly!$D:$AM, MATCH(Keys!$C$7, US_national_yearly!$D$1:$AM$1, 0), FALSE), 1)</f>
        <v>2.071440115753968E-3</v>
      </c>
      <c r="P11" s="12">
        <f>$B11 * IFERROR(VLOOKUP(Substitution!$M$16 &amp; $A11, US_national_yearly!$D:$AM, MATCH(P$1, US_national_yearly!$D$1:$AM$1, 0), FALSE) / VLOOKUP(Substitution!$M$16 &amp; $A11, US_national_yearly!$D:$AM, MATCH(Keys!$C$7, US_national_yearly!$D$1:$AM$1, 0), FALSE), 1)</f>
        <v>2.0860138276890521E-3</v>
      </c>
      <c r="Q11" s="12">
        <f>$B11 * IFERROR(VLOOKUP(Substitution!$M$16 &amp; $A11, US_national_yearly!$D:$AM, MATCH(Q$1, US_national_yearly!$D$1:$AM$1, 0), FALSE) / VLOOKUP(Substitution!$M$16 &amp; $A11, US_national_yearly!$D:$AM, MATCH(Keys!$C$7, US_national_yearly!$D$1:$AM$1, 0), FALSE), 1)</f>
        <v>2.1005875396241359E-3</v>
      </c>
      <c r="R11" s="12">
        <f>$B11 * IFERROR(VLOOKUP(Substitution!$M$16 &amp; $A11, US_national_yearly!$D:$AM, MATCH(R$1, US_national_yearly!$D$1:$AM$1, 0), FALSE) / VLOOKUP(Substitution!$M$16 &amp; $A11, US_national_yearly!$D:$AM, MATCH(Keys!$C$7, US_national_yearly!$D$1:$AM$1, 0), FALSE), 1)</f>
        <v>2.11516125155922E-3</v>
      </c>
      <c r="S11" s="12">
        <f>$B11 * IFERROR(VLOOKUP(Substitution!$M$16 &amp; $A11, US_national_yearly!$D:$AM, MATCH(S$1, US_national_yearly!$D$1:$AM$1, 0), FALSE) / VLOOKUP(Substitution!$M$16 &amp; $A11, US_national_yearly!$D:$AM, MATCH(Keys!$C$7, US_national_yearly!$D$1:$AM$1, 0), FALSE), 1)</f>
        <v>2.1276892195612701E-3</v>
      </c>
      <c r="T11" s="12">
        <f>$B11 * IFERROR(VLOOKUP(Substitution!$M$16 &amp; $A11, US_national_yearly!$D:$AM, MATCH(T$1, US_national_yearly!$D$1:$AM$1, 0), FALSE) / VLOOKUP(Substitution!$M$16 &amp; $A11, US_national_yearly!$D:$AM, MATCH(Keys!$C$7, US_national_yearly!$D$1:$AM$1, 0), FALSE), 1)</f>
        <v>2.1402171875633202E-3</v>
      </c>
      <c r="U11" s="12">
        <f>$B11 * IFERROR(VLOOKUP(Substitution!$M$16 &amp; $A11, US_national_yearly!$D:$AM, MATCH(U$1, US_national_yearly!$D$1:$AM$1, 0), FALSE) / VLOOKUP(Substitution!$M$16 &amp; $A11, US_national_yearly!$D:$AM, MATCH(Keys!$C$7, US_national_yearly!$D$1:$AM$1, 0), FALSE), 1)</f>
        <v>2.1527451555653698E-3</v>
      </c>
      <c r="V11" s="12">
        <f>$B11 * IFERROR(VLOOKUP(Substitution!$M$16 &amp; $A11, US_national_yearly!$D:$AM, MATCH(V$1, US_national_yearly!$D$1:$AM$1, 0), FALSE) / VLOOKUP(Substitution!$M$16 &amp; $A11, US_national_yearly!$D:$AM, MATCH(Keys!$C$7, US_national_yearly!$D$1:$AM$1, 0), FALSE), 1)</f>
        <v>2.1652731235674199E-3</v>
      </c>
      <c r="W11" s="12">
        <f>$B11 * IFERROR(VLOOKUP(Substitution!$M$16 &amp; $A11, US_national_yearly!$D:$AM, MATCH(W$1, US_national_yearly!$D$1:$AM$1, 0), FALSE) / VLOOKUP(Substitution!$M$16 &amp; $A11, US_national_yearly!$D:$AM, MATCH(Keys!$C$7, US_national_yearly!$D$1:$AM$1, 0), FALSE), 1)</f>
        <v>2.1778010915694699E-3</v>
      </c>
      <c r="X11" s="12">
        <f>$B11 * IFERROR(VLOOKUP(Substitution!$M$16 &amp; $A11, US_national_yearly!$D:$AM, MATCH(X$1, US_national_yearly!$D$1:$AM$1, 0), FALSE) / VLOOKUP(Substitution!$M$16 &amp; $A11, US_national_yearly!$D:$AM, MATCH(Keys!$C$7, US_national_yearly!$D$1:$AM$1, 0), FALSE), 1)</f>
        <v>2.1895118374004462E-3</v>
      </c>
      <c r="Y11" s="12">
        <f>$B11 * IFERROR(VLOOKUP(Substitution!$M$16 &amp; $A11, US_national_yearly!$D:$AM, MATCH(Y$1, US_national_yearly!$D$1:$AM$1, 0), FALSE) / VLOOKUP(Substitution!$M$16 &amp; $A11, US_national_yearly!$D:$AM, MATCH(Keys!$C$7, US_national_yearly!$D$1:$AM$1, 0), FALSE), 1)</f>
        <v>2.201222583231422E-3</v>
      </c>
      <c r="Z11" s="12">
        <f>$B11 * IFERROR(VLOOKUP(Substitution!$M$16 &amp; $A11, US_national_yearly!$D:$AM, MATCH(Z$1, US_national_yearly!$D$1:$AM$1, 0), FALSE) / VLOOKUP(Substitution!$M$16 &amp; $A11, US_national_yearly!$D:$AM, MATCH(Keys!$C$7, US_national_yearly!$D$1:$AM$1, 0), FALSE), 1)</f>
        <v>2.2129333290623978E-3</v>
      </c>
      <c r="AA11" s="12">
        <f>$B11 * IFERROR(VLOOKUP(Substitution!$M$16 &amp; $A11, US_national_yearly!$D:$AM, MATCH(AA$1, US_national_yearly!$D$1:$AM$1, 0), FALSE) / VLOOKUP(Substitution!$M$16 &amp; $A11, US_national_yearly!$D:$AM, MATCH(Keys!$C$7, US_national_yearly!$D$1:$AM$1, 0), FALSE), 1)</f>
        <v>2.2246440748933741E-3</v>
      </c>
      <c r="AB11" s="12">
        <f>$B11 * IFERROR(VLOOKUP(Substitution!$M$16 &amp; $A11, US_national_yearly!$D:$AM, MATCH(AB$1, US_national_yearly!$D$1:$AM$1, 0), FALSE) / VLOOKUP(Substitution!$M$16 &amp; $A11, US_national_yearly!$D:$AM, MATCH(Keys!$C$7, US_national_yearly!$D$1:$AM$1, 0), FALSE), 1)</f>
        <v>2.2363548207243499E-3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Substitution!$G$16)/IFERROR(SUMIFS(COBRA_aggregated!$V:$V, COBRA_aggregated!$A:$A, About!$B$1, COBRA_aggregated!$B:$B, Substitution!$G$16), 1)</f>
        <v>1.0211675416154349E-3</v>
      </c>
      <c r="C12" s="12">
        <f>$B12 * IFERROR(VLOOKUP(Substitution!$M$16 &amp; $A12, US_national_yearly!$D:$AM, MATCH(C$1, US_national_yearly!$D$1:$AM$1, 0), FALSE) / VLOOKUP(Substitution!$M$16 &amp; $A12, US_national_yearly!$D:$AM, MATCH(Keys!$C$7, US_national_yearly!$D$1:$AM$1, 0), FALSE), 1)</f>
        <v>1.0271496339477896E-3</v>
      </c>
      <c r="D12" s="12">
        <f>$B12 * IFERROR(VLOOKUP(Substitution!$M$16 &amp; $A12, US_national_yearly!$D:$AM, MATCH(D$1, US_national_yearly!$D$1:$AM$1, 0), FALSE) / VLOOKUP(Substitution!$M$16 &amp; $A12, US_national_yearly!$D:$AM, MATCH(Keys!$C$7, US_national_yearly!$D$1:$AM$1, 0), FALSE), 1)</f>
        <v>1.0331317262801444E-3</v>
      </c>
      <c r="E12" s="12">
        <f>$B12 * IFERROR(VLOOKUP(Substitution!$M$16 &amp; $A12, US_national_yearly!$D:$AM, MATCH(E$1, US_national_yearly!$D$1:$AM$1, 0), FALSE) / VLOOKUP(Substitution!$M$16 &amp; $A12, US_national_yearly!$D:$AM, MATCH(Keys!$C$7, US_national_yearly!$D$1:$AM$1, 0), FALSE), 1)</f>
        <v>1.0391138186124993E-3</v>
      </c>
      <c r="F12" s="12">
        <f>$B12 * IFERROR(VLOOKUP(Substitution!$M$16 &amp; $A12, US_national_yearly!$D:$AM, MATCH(F$1, US_national_yearly!$D$1:$AM$1, 0), FALSE) / VLOOKUP(Substitution!$M$16 &amp; $A12, US_national_yearly!$D:$AM, MATCH(Keys!$C$7, US_national_yearly!$D$1:$AM$1, 0), FALSE), 1)</f>
        <v>1.0450959109448543E-3</v>
      </c>
      <c r="G12" s="12">
        <f>$B12 * IFERROR(VLOOKUP(Substitution!$M$16 &amp; $A12, US_national_yearly!$D:$AM, MATCH(G$1, US_national_yearly!$D$1:$AM$1, 0), FALSE) / VLOOKUP(Substitution!$M$16 &amp; $A12, US_national_yearly!$D:$AM, MATCH(Keys!$C$7, US_national_yearly!$D$1:$AM$1, 0), FALSE), 1)</f>
        <v>1.0516175487761087E-3</v>
      </c>
      <c r="H12" s="12">
        <f>$B12 * IFERROR(VLOOKUP(Substitution!$M$16 &amp; $A12, US_national_yearly!$D:$AM, MATCH(H$1, US_national_yearly!$D$1:$AM$1, 0), FALSE) / VLOOKUP(Substitution!$M$16 &amp; $A12, US_national_yearly!$D:$AM, MATCH(Keys!$C$7, US_national_yearly!$D$1:$AM$1, 0), FALSE), 1)</f>
        <v>1.0581391866073631E-3</v>
      </c>
      <c r="I12" s="12">
        <f>$B12 * IFERROR(VLOOKUP(Substitution!$M$16 &amp; $A12, US_national_yearly!$D:$AM, MATCH(I$1, US_national_yearly!$D$1:$AM$1, 0), FALSE) / VLOOKUP(Substitution!$M$16 &amp; $A12, US_national_yearly!$D:$AM, MATCH(Keys!$C$7, US_national_yearly!$D$1:$AM$1, 0), FALSE), 1)</f>
        <v>1.0645445043179246E-3</v>
      </c>
      <c r="J12" s="12">
        <f>$B12 * IFERROR(VLOOKUP(Substitution!$M$16 &amp; $A12, US_national_yearly!$D:$AM, MATCH(J$1, US_national_yearly!$D$1:$AM$1, 0), FALSE) / VLOOKUP(Substitution!$M$16 &amp; $A12, US_national_yearly!$D:$AM, MATCH(Keys!$C$7, US_national_yearly!$D$1:$AM$1, 0), FALSE), 1)</f>
        <v>1.0709498220284864E-3</v>
      </c>
      <c r="K12" s="12">
        <f>$B12 * IFERROR(VLOOKUP(Substitution!$M$16 &amp; $A12, US_national_yearly!$D:$AM, MATCH(K$1, US_national_yearly!$D$1:$AM$1, 0), FALSE) / VLOOKUP(Substitution!$M$16 &amp; $A12, US_national_yearly!$D:$AM, MATCH(Keys!$C$7, US_national_yearly!$D$1:$AM$1, 0), FALSE), 1)</f>
        <v>1.0773551397390477E-3</v>
      </c>
      <c r="L12" s="12">
        <f>$B12 * IFERROR(VLOOKUP(Substitution!$M$16 &amp; $A12, US_national_yearly!$D:$AM, MATCH(L$1, US_national_yearly!$D$1:$AM$1, 0), FALSE) / VLOOKUP(Substitution!$M$16 &amp; $A12, US_national_yearly!$D:$AM, MATCH(Keys!$C$7, US_national_yearly!$D$1:$AM$1, 0), FALSE), 1)</f>
        <v>1.0837604574496092E-3</v>
      </c>
      <c r="M12" s="12">
        <f>$B12 * IFERROR(VLOOKUP(Substitution!$M$16 &amp; $A12, US_national_yearly!$D:$AM, MATCH(M$1, US_national_yearly!$D$1:$AM$1, 0), FALSE) / VLOOKUP(Substitution!$M$16 &amp; $A12, US_national_yearly!$D:$AM, MATCH(Keys!$C$7, US_national_yearly!$D$1:$AM$1, 0), FALSE), 1)</f>
        <v>1.0901657751601708E-3</v>
      </c>
      <c r="N12" s="12">
        <f>$B12 * IFERROR(VLOOKUP(Substitution!$M$16 &amp; $A12, US_national_yearly!$D:$AM, MATCH(N$1, US_national_yearly!$D$1:$AM$1, 0), FALSE) / VLOOKUP(Substitution!$M$16 &amp; $A12, US_national_yearly!$D:$AM, MATCH(Keys!$C$7, US_national_yearly!$D$1:$AM$1, 0), FALSE), 1)</f>
        <v>1.0948007532112156E-3</v>
      </c>
      <c r="O12" s="12">
        <f>$B12 * IFERROR(VLOOKUP(Substitution!$M$16 &amp; $A12, US_national_yearly!$D:$AM, MATCH(O$1, US_national_yearly!$D$1:$AM$1, 0), FALSE) / VLOOKUP(Substitution!$M$16 &amp; $A12, US_national_yearly!$D:$AM, MATCH(Keys!$C$7, US_national_yearly!$D$1:$AM$1, 0), FALSE), 1)</f>
        <v>1.0994357312622601E-3</v>
      </c>
      <c r="P12" s="12">
        <f>$B12 * IFERROR(VLOOKUP(Substitution!$M$16 &amp; $A12, US_national_yearly!$D:$AM, MATCH(P$1, US_national_yearly!$D$1:$AM$1, 0), FALSE) / VLOOKUP(Substitution!$M$16 &amp; $A12, US_national_yearly!$D:$AM, MATCH(Keys!$C$7, US_national_yearly!$D$1:$AM$1, 0), FALSE), 1)</f>
        <v>1.1040707093133045E-3</v>
      </c>
      <c r="Q12" s="12">
        <f>$B12 * IFERROR(VLOOKUP(Substitution!$M$16 &amp; $A12, US_national_yearly!$D:$AM, MATCH(Q$1, US_national_yearly!$D$1:$AM$1, 0), FALSE) / VLOOKUP(Substitution!$M$16 &amp; $A12, US_national_yearly!$D:$AM, MATCH(Keys!$C$7, US_national_yearly!$D$1:$AM$1, 0), FALSE), 1)</f>
        <v>1.1087056873643492E-3</v>
      </c>
      <c r="R12" s="12">
        <f>$B12 * IFERROR(VLOOKUP(Substitution!$M$16 &amp; $A12, US_national_yearly!$D:$AM, MATCH(R$1, US_national_yearly!$D$1:$AM$1, 0), FALSE) / VLOOKUP(Substitution!$M$16 &amp; $A12, US_national_yearly!$D:$AM, MATCH(Keys!$C$7, US_national_yearly!$D$1:$AM$1, 0), FALSE), 1)</f>
        <v>1.1133406654153936E-3</v>
      </c>
      <c r="S12" s="12">
        <f>$B12 * IFERROR(VLOOKUP(Substitution!$M$16 &amp; $A12, US_national_yearly!$D:$AM, MATCH(S$1, US_national_yearly!$D$1:$AM$1, 0), FALSE) / VLOOKUP(Substitution!$M$16 &amp; $A12, US_national_yearly!$D:$AM, MATCH(Keys!$C$7, US_national_yearly!$D$1:$AM$1, 0), FALSE), 1)</f>
        <v>1.1177455035616384E-3</v>
      </c>
      <c r="T12" s="12">
        <f>$B12 * IFERROR(VLOOKUP(Substitution!$M$16 &amp; $A12, US_national_yearly!$D:$AM, MATCH(T$1, US_national_yearly!$D$1:$AM$1, 0), FALSE) / VLOOKUP(Substitution!$M$16 &amp; $A12, US_national_yearly!$D:$AM, MATCH(Keys!$C$7, US_national_yearly!$D$1:$AM$1, 0), FALSE), 1)</f>
        <v>1.1221503417078831E-3</v>
      </c>
      <c r="U12" s="12">
        <f>$B12 * IFERROR(VLOOKUP(Substitution!$M$16 &amp; $A12, US_national_yearly!$D:$AM, MATCH(U$1, US_national_yearly!$D$1:$AM$1, 0), FALSE) / VLOOKUP(Substitution!$M$16 &amp; $A12, US_national_yearly!$D:$AM, MATCH(Keys!$C$7, US_national_yearly!$D$1:$AM$1, 0), FALSE), 1)</f>
        <v>1.1265551798541277E-3</v>
      </c>
      <c r="V12" s="12">
        <f>$B12 * IFERROR(VLOOKUP(Substitution!$M$16 &amp; $A12, US_national_yearly!$D:$AM, MATCH(V$1, US_national_yearly!$D$1:$AM$1, 0), FALSE) / VLOOKUP(Substitution!$M$16 &amp; $A12, US_national_yearly!$D:$AM, MATCH(Keys!$C$7, US_national_yearly!$D$1:$AM$1, 0), FALSE), 1)</f>
        <v>1.1309600180003723E-3</v>
      </c>
      <c r="W12" s="12">
        <f>$B12 * IFERROR(VLOOKUP(Substitution!$M$16 &amp; $A12, US_national_yearly!$D:$AM, MATCH(W$1, US_national_yearly!$D$1:$AM$1, 0), FALSE) / VLOOKUP(Substitution!$M$16 &amp; $A12, US_national_yearly!$D:$AM, MATCH(Keys!$C$7, US_national_yearly!$D$1:$AM$1, 0), FALSE), 1)</f>
        <v>1.135364856146617E-3</v>
      </c>
      <c r="X12" s="12">
        <f>$B12 * IFERROR(VLOOKUP(Substitution!$M$16 &amp; $A12, US_national_yearly!$D:$AM, MATCH(X$1, US_national_yearly!$D$1:$AM$1, 0), FALSE) / VLOOKUP(Substitution!$M$16 &amp; $A12, US_national_yearly!$D:$AM, MATCH(Keys!$C$7, US_national_yearly!$D$1:$AM$1, 0), FALSE), 1)</f>
        <v>1.1395477566192734E-3</v>
      </c>
      <c r="Y12" s="12">
        <f>$B12 * IFERROR(VLOOKUP(Substitution!$M$16 &amp; $A12, US_national_yearly!$D:$AM, MATCH(Y$1, US_national_yearly!$D$1:$AM$1, 0), FALSE) / VLOOKUP(Substitution!$M$16 &amp; $A12, US_national_yearly!$D:$AM, MATCH(Keys!$C$7, US_national_yearly!$D$1:$AM$1, 0), FALSE), 1)</f>
        <v>1.1437306570919298E-3</v>
      </c>
      <c r="Z12" s="12">
        <f>$B12 * IFERROR(VLOOKUP(Substitution!$M$16 &amp; $A12, US_national_yearly!$D:$AM, MATCH(Z$1, US_national_yearly!$D$1:$AM$1, 0), FALSE) / VLOOKUP(Substitution!$M$16 &amp; $A12, US_national_yearly!$D:$AM, MATCH(Keys!$C$7, US_national_yearly!$D$1:$AM$1, 0), FALSE), 1)</f>
        <v>1.1479135575645863E-3</v>
      </c>
      <c r="AA12" s="12">
        <f>$B12 * IFERROR(VLOOKUP(Substitution!$M$16 &amp; $A12, US_national_yearly!$D:$AM, MATCH(AA$1, US_national_yearly!$D$1:$AM$1, 0), FALSE) / VLOOKUP(Substitution!$M$16 &amp; $A12, US_national_yearly!$D:$AM, MATCH(Keys!$C$7, US_national_yearly!$D$1:$AM$1, 0), FALSE), 1)</f>
        <v>1.1520964580372425E-3</v>
      </c>
      <c r="AB12" s="12">
        <f>$B12 * IFERROR(VLOOKUP(Substitution!$M$16 &amp; $A12, US_national_yearly!$D:$AM, MATCH(AB$1, US_national_yearly!$D$1:$AM$1, 0), FALSE) / VLOOKUP(Substitution!$M$16 &amp; $A12, US_national_yearly!$D:$AM, MATCH(Keys!$C$7, US_national_yearly!$D$1:$AM$1, 0), FALSE), 1)</f>
        <v>1.1562793585098991E-3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Substitution!$G$16)/IFERROR(SUMIFS(COBRA_aggregated!$V:$V, COBRA_aggregated!$A:$A, About!$B$1, COBRA_aggregated!$B:$B, Substitution!$G$16), 1)</f>
        <v>6.3451360304515106E-3</v>
      </c>
      <c r="C13" s="12">
        <f>$B13 * IFERROR(VLOOKUP(Substitution!$M$16 &amp; $A13, US_national_yearly!$D:$AM, MATCH(C$1, US_national_yearly!$D$1:$AM$1, 0), FALSE) / VLOOKUP(Substitution!$M$16 &amp; $A13, US_national_yearly!$D:$AM, MATCH(Keys!$C$7, US_national_yearly!$D$1:$AM$1, 0), FALSE), 1)</f>
        <v>6.5314054304544417E-3</v>
      </c>
      <c r="D13" s="12">
        <f>$B13 * IFERROR(VLOOKUP(Substitution!$M$16 &amp; $A13, US_national_yearly!$D:$AM, MATCH(D$1, US_national_yearly!$D$1:$AM$1, 0), FALSE) / VLOOKUP(Substitution!$M$16 &amp; $A13, US_national_yearly!$D:$AM, MATCH(Keys!$C$7, US_national_yearly!$D$1:$AM$1, 0), FALSE), 1)</f>
        <v>6.7176748304573729E-3</v>
      </c>
      <c r="E13" s="12">
        <f>$B13 * IFERROR(VLOOKUP(Substitution!$M$16 &amp; $A13, US_national_yearly!$D:$AM, MATCH(E$1, US_national_yearly!$D$1:$AM$1, 0), FALSE) / VLOOKUP(Substitution!$M$16 &amp; $A13, US_national_yearly!$D:$AM, MATCH(Keys!$C$7, US_national_yearly!$D$1:$AM$1, 0), FALSE), 1)</f>
        <v>6.9039442304603023E-3</v>
      </c>
      <c r="F13" s="12">
        <f>$B13 * IFERROR(VLOOKUP(Substitution!$M$16 &amp; $A13, US_national_yearly!$D:$AM, MATCH(F$1, US_national_yearly!$D$1:$AM$1, 0), FALSE) / VLOOKUP(Substitution!$M$16 &amp; $A13, US_national_yearly!$D:$AM, MATCH(Keys!$C$7, US_national_yearly!$D$1:$AM$1, 0), FALSE), 1)</f>
        <v>7.0902136304632352E-3</v>
      </c>
      <c r="G13" s="12">
        <f>$B13 * IFERROR(VLOOKUP(Substitution!$M$16 &amp; $A13, US_national_yearly!$D:$AM, MATCH(G$1, US_national_yearly!$D$1:$AM$1, 0), FALSE) / VLOOKUP(Substitution!$M$16 &amp; $A13, US_national_yearly!$D:$AM, MATCH(Keys!$C$7, US_national_yearly!$D$1:$AM$1, 0), FALSE), 1)</f>
        <v>7.2659997629097913E-3</v>
      </c>
      <c r="H13" s="12">
        <f>$B13 * IFERROR(VLOOKUP(Substitution!$M$16 &amp; $A13, US_national_yearly!$D:$AM, MATCH(H$1, US_national_yearly!$D$1:$AM$1, 0), FALSE) / VLOOKUP(Substitution!$M$16 &amp; $A13, US_national_yearly!$D:$AM, MATCH(Keys!$C$7, US_national_yearly!$D$1:$AM$1, 0), FALSE), 1)</f>
        <v>7.4417858953563492E-3</v>
      </c>
      <c r="I13" s="12">
        <f>$B13 * IFERROR(VLOOKUP(Substitution!$M$16 &amp; $A13, US_national_yearly!$D:$AM, MATCH(I$1, US_national_yearly!$D$1:$AM$1, 0), FALSE) / VLOOKUP(Substitution!$M$16 &amp; $A13, US_national_yearly!$D:$AM, MATCH(Keys!$C$7, US_national_yearly!$D$1:$AM$1, 0), FALSE), 1)</f>
        <v>7.5834999456413608E-3</v>
      </c>
      <c r="J13" s="12">
        <f>$B13 * IFERROR(VLOOKUP(Substitution!$M$16 &amp; $A13, US_national_yearly!$D:$AM, MATCH(J$1, US_national_yearly!$D$1:$AM$1, 0), FALSE) / VLOOKUP(Substitution!$M$16 &amp; $A13, US_national_yearly!$D:$AM, MATCH(Keys!$C$7, US_national_yearly!$D$1:$AM$1, 0), FALSE), 1)</f>
        <v>7.725213995926376E-3</v>
      </c>
      <c r="K13" s="12">
        <f>$B13 * IFERROR(VLOOKUP(Substitution!$M$16 &amp; $A13, US_national_yearly!$D:$AM, MATCH(K$1, US_national_yearly!$D$1:$AM$1, 0), FALSE) / VLOOKUP(Substitution!$M$16 &amp; $A13, US_national_yearly!$D:$AM, MATCH(Keys!$C$7, US_national_yearly!$D$1:$AM$1, 0), FALSE), 1)</f>
        <v>7.8669280462113893E-3</v>
      </c>
      <c r="L13" s="12">
        <f>$B13 * IFERROR(VLOOKUP(Substitution!$M$16 &amp; $A13, US_national_yearly!$D:$AM, MATCH(L$1, US_national_yearly!$D$1:$AM$1, 0), FALSE) / VLOOKUP(Substitution!$M$16 &amp; $A13, US_national_yearly!$D:$AM, MATCH(Keys!$C$7, US_national_yearly!$D$1:$AM$1, 0), FALSE), 1)</f>
        <v>8.0086420964964027E-3</v>
      </c>
      <c r="M13" s="12">
        <f>$B13 * IFERROR(VLOOKUP(Substitution!$M$16 &amp; $A13, US_national_yearly!$D:$AM, MATCH(M$1, US_national_yearly!$D$1:$AM$1, 0), FALSE) / VLOOKUP(Substitution!$M$16 &amp; $A13, US_national_yearly!$D:$AM, MATCH(Keys!$C$7, US_national_yearly!$D$1:$AM$1, 0), FALSE), 1)</f>
        <v>8.1503561467814161E-3</v>
      </c>
      <c r="N13" s="12">
        <f>$B13 * IFERROR(VLOOKUP(Substitution!$M$16 &amp; $A13, US_national_yearly!$D:$AM, MATCH(N$1, US_national_yearly!$D$1:$AM$1, 0), FALSE) / VLOOKUP(Substitution!$M$16 &amp; $A13, US_national_yearly!$D:$AM, MATCH(Keys!$C$7, US_national_yearly!$D$1:$AM$1, 0), FALSE), 1)</f>
        <v>8.2424211437928975E-3</v>
      </c>
      <c r="O13" s="12">
        <f>$B13 * IFERROR(VLOOKUP(Substitution!$M$16 &amp; $A13, US_national_yearly!$D:$AM, MATCH(O$1, US_national_yearly!$D$1:$AM$1, 0), FALSE) / VLOOKUP(Substitution!$M$16 &amp; $A13, US_national_yearly!$D:$AM, MATCH(Keys!$C$7, US_national_yearly!$D$1:$AM$1, 0), FALSE), 1)</f>
        <v>8.3344861408043806E-3</v>
      </c>
      <c r="P13" s="12">
        <f>$B13 * IFERROR(VLOOKUP(Substitution!$M$16 &amp; $A13, US_national_yearly!$D:$AM, MATCH(P$1, US_national_yearly!$D$1:$AM$1, 0), FALSE) / VLOOKUP(Substitution!$M$16 &amp; $A13, US_national_yearly!$D:$AM, MATCH(Keys!$C$7, US_national_yearly!$D$1:$AM$1, 0), FALSE), 1)</f>
        <v>8.4265511378158638E-3</v>
      </c>
      <c r="Q13" s="12">
        <f>$B13 * IFERROR(VLOOKUP(Substitution!$M$16 &amp; $A13, US_national_yearly!$D:$AM, MATCH(Q$1, US_national_yearly!$D$1:$AM$1, 0), FALSE) / VLOOKUP(Substitution!$M$16 &amp; $A13, US_national_yearly!$D:$AM, MATCH(Keys!$C$7, US_national_yearly!$D$1:$AM$1, 0), FALSE), 1)</f>
        <v>8.5186161348273452E-3</v>
      </c>
      <c r="R13" s="12">
        <f>$B13 * IFERROR(VLOOKUP(Substitution!$M$16 &amp; $A13, US_national_yearly!$D:$AM, MATCH(R$1, US_national_yearly!$D$1:$AM$1, 0), FALSE) / VLOOKUP(Substitution!$M$16 &amp; $A13, US_national_yearly!$D:$AM, MATCH(Keys!$C$7, US_national_yearly!$D$1:$AM$1, 0), FALSE), 1)</f>
        <v>8.6106811318388283E-3</v>
      </c>
      <c r="S13" s="12">
        <f>$B13 * IFERROR(VLOOKUP(Substitution!$M$16 &amp; $A13, US_national_yearly!$D:$AM, MATCH(S$1, US_national_yearly!$D$1:$AM$1, 0), FALSE) / VLOOKUP(Substitution!$M$16 &amp; $A13, US_national_yearly!$D:$AM, MATCH(Keys!$C$7, US_national_yearly!$D$1:$AM$1, 0), FALSE), 1)</f>
        <v>8.659035021897913E-3</v>
      </c>
      <c r="T13" s="12">
        <f>$B13 * IFERROR(VLOOKUP(Substitution!$M$16 &amp; $A13, US_national_yearly!$D:$AM, MATCH(T$1, US_national_yearly!$D$1:$AM$1, 0), FALSE) / VLOOKUP(Substitution!$M$16 &amp; $A13, US_national_yearly!$D:$AM, MATCH(Keys!$C$7, US_national_yearly!$D$1:$AM$1, 0), FALSE), 1)</f>
        <v>8.7073889119569977E-3</v>
      </c>
      <c r="U13" s="12">
        <f>$B13 * IFERROR(VLOOKUP(Substitution!$M$16 &amp; $A13, US_national_yearly!$D:$AM, MATCH(U$1, US_national_yearly!$D$1:$AM$1, 0), FALSE) / VLOOKUP(Substitution!$M$16 &amp; $A13, US_national_yearly!$D:$AM, MATCH(Keys!$C$7, US_national_yearly!$D$1:$AM$1, 0), FALSE), 1)</f>
        <v>8.7557428020160824E-3</v>
      </c>
      <c r="V13" s="12">
        <f>$B13 * IFERROR(VLOOKUP(Substitution!$M$16 &amp; $A13, US_national_yearly!$D:$AM, MATCH(V$1, US_national_yearly!$D$1:$AM$1, 0), FALSE) / VLOOKUP(Substitution!$M$16 &amp; $A13, US_national_yearly!$D:$AM, MATCH(Keys!$C$7, US_national_yearly!$D$1:$AM$1, 0), FALSE), 1)</f>
        <v>8.8040966920751671E-3</v>
      </c>
      <c r="W13" s="12">
        <f>$B13 * IFERROR(VLOOKUP(Substitution!$M$16 &amp; $A13, US_national_yearly!$D:$AM, MATCH(W$1, US_national_yearly!$D$1:$AM$1, 0), FALSE) / VLOOKUP(Substitution!$M$16 &amp; $A13, US_national_yearly!$D:$AM, MATCH(Keys!$C$7, US_national_yearly!$D$1:$AM$1, 0), FALSE), 1)</f>
        <v>8.8524505821342518E-3</v>
      </c>
      <c r="X13" s="12">
        <f>$B13 * IFERROR(VLOOKUP(Substitution!$M$16 &amp; $A13, US_national_yearly!$D:$AM, MATCH(X$1, US_national_yearly!$D$1:$AM$1, 0), FALSE) / VLOOKUP(Substitution!$M$16 &amp; $A13, US_national_yearly!$D:$AM, MATCH(Keys!$C$7, US_national_yearly!$D$1:$AM$1, 0), FALSE), 1)</f>
        <v>8.8891739662811803E-3</v>
      </c>
      <c r="Y13" s="12">
        <f>$B13 * IFERROR(VLOOKUP(Substitution!$M$16 &amp; $A13, US_national_yearly!$D:$AM, MATCH(Y$1, US_national_yearly!$D$1:$AM$1, 0), FALSE) / VLOOKUP(Substitution!$M$16 &amp; $A13, US_national_yearly!$D:$AM, MATCH(Keys!$C$7, US_national_yearly!$D$1:$AM$1, 0), FALSE), 1)</f>
        <v>8.9258973504281105E-3</v>
      </c>
      <c r="Z13" s="12">
        <f>$B13 * IFERROR(VLOOKUP(Substitution!$M$16 &amp; $A13, US_national_yearly!$D:$AM, MATCH(Z$1, US_national_yearly!$D$1:$AM$1, 0), FALSE) / VLOOKUP(Substitution!$M$16 &amp; $A13, US_national_yearly!$D:$AM, MATCH(Keys!$C$7, US_national_yearly!$D$1:$AM$1, 0), FALSE), 1)</f>
        <v>8.962620734575039E-3</v>
      </c>
      <c r="AA13" s="12">
        <f>$B13 * IFERROR(VLOOKUP(Substitution!$M$16 &amp; $A13, US_national_yearly!$D:$AM, MATCH(AA$1, US_national_yearly!$D$1:$AM$1, 0), FALSE) / VLOOKUP(Substitution!$M$16 &amp; $A13, US_national_yearly!$D:$AM, MATCH(Keys!$C$7, US_national_yearly!$D$1:$AM$1, 0), FALSE), 1)</f>
        <v>8.9993441187219692E-3</v>
      </c>
      <c r="AB13" s="12">
        <f>$B13 * IFERROR(VLOOKUP(Substitution!$M$16 &amp; $A13, US_national_yearly!$D:$AM, MATCH(AB$1, US_national_yearly!$D$1:$AM$1, 0), FALSE) / VLOOKUP(Substitution!$M$16 &amp; $A13, US_national_yearly!$D:$AM, MATCH(Keys!$C$7, US_national_yearly!$D$1:$AM$1, 0), FALSE), 1)</f>
        <v>9.0360675028688976E-3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Substitution!$G$16)/IFERROR(SUMIFS(COBRA_aggregated!$V:$V, COBRA_aggregated!$A:$A, About!$B$1, COBRA_aggregated!$B:$B, Substitution!$G$16), 1)</f>
        <v>4.1559633120983523</v>
      </c>
      <c r="C14" s="12">
        <f>$B14 * IFERROR(VLOOKUP(Substitution!$M$16 &amp; $A14, US_national_yearly!$D:$AM, MATCH(C$1, US_national_yearly!$D$1:$AM$1, 0), FALSE) / VLOOKUP(Substitution!$M$16 &amp; $A14, US_national_yearly!$D:$AM, MATCH(Keys!$C$7, US_national_yearly!$D$1:$AM$1, 0), FALSE), 1)</f>
        <v>4.1663589932018716</v>
      </c>
      <c r="D14" s="12">
        <f>$B14 * IFERROR(VLOOKUP(Substitution!$M$16 &amp; $A14, US_national_yearly!$D:$AM, MATCH(D$1, US_national_yearly!$D$1:$AM$1, 0), FALSE) / VLOOKUP(Substitution!$M$16 &amp; $A14, US_national_yearly!$D:$AM, MATCH(Keys!$C$7, US_national_yearly!$D$1:$AM$1, 0), FALSE), 1)</f>
        <v>4.17675467430539</v>
      </c>
      <c r="E14" s="12">
        <f>$B14 * IFERROR(VLOOKUP(Substitution!$M$16 &amp; $A14, US_national_yearly!$D:$AM, MATCH(E$1, US_national_yearly!$D$1:$AM$1, 0), FALSE) / VLOOKUP(Substitution!$M$16 &amp; $A14, US_national_yearly!$D:$AM, MATCH(Keys!$C$7, US_national_yearly!$D$1:$AM$1, 0), FALSE), 1)</f>
        <v>4.1871503554089093</v>
      </c>
      <c r="F14" s="12">
        <f>$B14 * IFERROR(VLOOKUP(Substitution!$M$16 &amp; $A14, US_national_yearly!$D:$AM, MATCH(F$1, US_national_yearly!$D$1:$AM$1, 0), FALSE) / VLOOKUP(Substitution!$M$16 &amp; $A14, US_national_yearly!$D:$AM, MATCH(Keys!$C$7, US_national_yearly!$D$1:$AM$1, 0), FALSE), 1)</f>
        <v>4.1975460365124286</v>
      </c>
      <c r="G14" s="12">
        <f>$B14 * IFERROR(VLOOKUP(Substitution!$M$16 &amp; $A14, US_national_yearly!$D:$AM, MATCH(G$1, US_national_yearly!$D$1:$AM$1, 0), FALSE) / VLOOKUP(Substitution!$M$16 &amp; $A14, US_national_yearly!$D:$AM, MATCH(Keys!$C$7, US_national_yearly!$D$1:$AM$1, 0), FALSE), 1)</f>
        <v>4.2128390739919492</v>
      </c>
      <c r="H14" s="12">
        <f>$B14 * IFERROR(VLOOKUP(Substitution!$M$16 &amp; $A14, US_national_yearly!$D:$AM, MATCH(H$1, US_national_yearly!$D$1:$AM$1, 0), FALSE) / VLOOKUP(Substitution!$M$16 &amp; $A14, US_national_yearly!$D:$AM, MATCH(Keys!$C$7, US_national_yearly!$D$1:$AM$1, 0), FALSE), 1)</f>
        <v>4.2281321114714698</v>
      </c>
      <c r="I14" s="12">
        <f>$B14 * IFERROR(VLOOKUP(Substitution!$M$16 &amp; $A14, US_national_yearly!$D:$AM, MATCH(I$1, US_national_yearly!$D$1:$AM$1, 0), FALSE) / VLOOKUP(Substitution!$M$16 &amp; $A14, US_national_yearly!$D:$AM, MATCH(Keys!$C$7, US_national_yearly!$D$1:$AM$1, 0), FALSE), 1)</f>
        <v>4.254211366169117</v>
      </c>
      <c r="J14" s="12">
        <f>$B14 * IFERROR(VLOOKUP(Substitution!$M$16 &amp; $A14, US_national_yearly!$D:$AM, MATCH(J$1, US_national_yearly!$D$1:$AM$1, 0), FALSE) / VLOOKUP(Substitution!$M$16 &amp; $A14, US_national_yearly!$D:$AM, MATCH(Keys!$C$7, US_national_yearly!$D$1:$AM$1, 0), FALSE), 1)</f>
        <v>4.2802906208667633</v>
      </c>
      <c r="K14" s="12">
        <f>$B14 * IFERROR(VLOOKUP(Substitution!$M$16 &amp; $A14, US_national_yearly!$D:$AM, MATCH(K$1, US_national_yearly!$D$1:$AM$1, 0), FALSE) / VLOOKUP(Substitution!$M$16 &amp; $A14, US_national_yearly!$D:$AM, MATCH(Keys!$C$7, US_national_yearly!$D$1:$AM$1, 0), FALSE), 1)</f>
        <v>4.3063698755644095</v>
      </c>
      <c r="L14" s="12">
        <f>$B14 * IFERROR(VLOOKUP(Substitution!$M$16 &amp; $A14, US_national_yearly!$D:$AM, MATCH(L$1, US_national_yearly!$D$1:$AM$1, 0), FALSE) / VLOOKUP(Substitution!$M$16 &amp; $A14, US_national_yearly!$D:$AM, MATCH(Keys!$C$7, US_national_yearly!$D$1:$AM$1, 0), FALSE), 1)</f>
        <v>4.3324491302620567</v>
      </c>
      <c r="M14" s="12">
        <f>$B14 * IFERROR(VLOOKUP(Substitution!$M$16 &amp; $A14, US_national_yearly!$D:$AM, MATCH(M$1, US_national_yearly!$D$1:$AM$1, 0), FALSE) / VLOOKUP(Substitution!$M$16 &amp; $A14, US_national_yearly!$D:$AM, MATCH(Keys!$C$7, US_national_yearly!$D$1:$AM$1, 0), FALSE), 1)</f>
        <v>4.358528384959703</v>
      </c>
      <c r="N14" s="12">
        <f>$B14 * IFERROR(VLOOKUP(Substitution!$M$16 &amp; $A14, US_national_yearly!$D:$AM, MATCH(N$1, US_national_yearly!$D$1:$AM$1, 0), FALSE) / VLOOKUP(Substitution!$M$16 &amp; $A14, US_national_yearly!$D:$AM, MATCH(Keys!$C$7, US_national_yearly!$D$1:$AM$1, 0), FALSE), 1)</f>
        <v>4.3942861796295949</v>
      </c>
      <c r="O14" s="12">
        <f>$B14 * IFERROR(VLOOKUP(Substitution!$M$16 &amp; $A14, US_national_yearly!$D:$AM, MATCH(O$1, US_national_yearly!$D$1:$AM$1, 0), FALSE) / VLOOKUP(Substitution!$M$16 &amp; $A14, US_national_yearly!$D:$AM, MATCH(Keys!$C$7, US_national_yearly!$D$1:$AM$1, 0), FALSE), 1)</f>
        <v>4.4300439742994868</v>
      </c>
      <c r="P14" s="12">
        <f>$B14 * IFERROR(VLOOKUP(Substitution!$M$16 &amp; $A14, US_national_yearly!$D:$AM, MATCH(P$1, US_national_yearly!$D$1:$AM$1, 0), FALSE) / VLOOKUP(Substitution!$M$16 &amp; $A14, US_national_yearly!$D:$AM, MATCH(Keys!$C$7, US_national_yearly!$D$1:$AM$1, 0), FALSE), 1)</f>
        <v>4.4658017689693787</v>
      </c>
      <c r="Q14" s="12">
        <f>$B14 * IFERROR(VLOOKUP(Substitution!$M$16 &amp; $A14, US_national_yearly!$D:$AM, MATCH(Q$1, US_national_yearly!$D$1:$AM$1, 0), FALSE) / VLOOKUP(Substitution!$M$16 &amp; $A14, US_national_yearly!$D:$AM, MATCH(Keys!$C$7, US_national_yearly!$D$1:$AM$1, 0), FALSE), 1)</f>
        <v>4.5015595636392716</v>
      </c>
      <c r="R14" s="12">
        <f>$B14 * IFERROR(VLOOKUP(Substitution!$M$16 &amp; $A14, US_national_yearly!$D:$AM, MATCH(R$1, US_national_yearly!$D$1:$AM$1, 0), FALSE) / VLOOKUP(Substitution!$M$16 &amp; $A14, US_national_yearly!$D:$AM, MATCH(Keys!$C$7, US_national_yearly!$D$1:$AM$1, 0), FALSE), 1)</f>
        <v>4.5373173583091626</v>
      </c>
      <c r="S14" s="12">
        <f>$B14 * IFERROR(VLOOKUP(Substitution!$M$16 &amp; $A14, US_national_yearly!$D:$AM, MATCH(S$1, US_national_yearly!$D$1:$AM$1, 0), FALSE) / VLOOKUP(Substitution!$M$16 &amp; $A14, US_national_yearly!$D:$AM, MATCH(Keys!$C$7, US_national_yearly!$D$1:$AM$1, 0), FALSE), 1)</f>
        <v>4.5738110756402302</v>
      </c>
      <c r="T14" s="12">
        <f>$B14 * IFERROR(VLOOKUP(Substitution!$M$16 &amp; $A14, US_national_yearly!$D:$AM, MATCH(T$1, US_national_yearly!$D$1:$AM$1, 0), FALSE) / VLOOKUP(Substitution!$M$16 &amp; $A14, US_national_yearly!$D:$AM, MATCH(Keys!$C$7, US_national_yearly!$D$1:$AM$1, 0), FALSE), 1)</f>
        <v>4.6103047929712995</v>
      </c>
      <c r="U14" s="12">
        <f>$B14 * IFERROR(VLOOKUP(Substitution!$M$16 &amp; $A14, US_national_yearly!$D:$AM, MATCH(U$1, US_national_yearly!$D$1:$AM$1, 0), FALSE) / VLOOKUP(Substitution!$M$16 &amp; $A14, US_national_yearly!$D:$AM, MATCH(Keys!$C$7, US_national_yearly!$D$1:$AM$1, 0), FALSE), 1)</f>
        <v>4.646798510302367</v>
      </c>
      <c r="V14" s="12">
        <f>$B14 * IFERROR(VLOOKUP(Substitution!$M$16 &amp; $A14, US_national_yearly!$D:$AM, MATCH(V$1, US_national_yearly!$D$1:$AM$1, 0), FALSE) / VLOOKUP(Substitution!$M$16 &amp; $A14, US_national_yearly!$D:$AM, MATCH(Keys!$C$7, US_national_yearly!$D$1:$AM$1, 0), FALSE), 1)</f>
        <v>4.6832922276334354</v>
      </c>
      <c r="W14" s="12">
        <f>$B14 * IFERROR(VLOOKUP(Substitution!$M$16 &amp; $A14, US_national_yearly!$D:$AM, MATCH(W$1, US_national_yearly!$D$1:$AM$1, 0), FALSE) / VLOOKUP(Substitution!$M$16 &amp; $A14, US_national_yearly!$D:$AM, MATCH(Keys!$C$7, US_national_yearly!$D$1:$AM$1, 0), FALSE), 1)</f>
        <v>4.719785944964503</v>
      </c>
      <c r="X14" s="12">
        <f>$B14 * IFERROR(VLOOKUP(Substitution!$M$16 &amp; $A14, US_national_yearly!$D:$AM, MATCH(X$1, US_national_yearly!$D$1:$AM$1, 0), FALSE) / VLOOKUP(Substitution!$M$16 &amp; $A14, US_national_yearly!$D:$AM, MATCH(Keys!$C$7, US_national_yearly!$D$1:$AM$1, 0), FALSE), 1)</f>
        <v>4.7518745825843851</v>
      </c>
      <c r="Y14" s="12">
        <f>$B14 * IFERROR(VLOOKUP(Substitution!$M$16 &amp; $A14, US_national_yearly!$D:$AM, MATCH(Y$1, US_national_yearly!$D$1:$AM$1, 0), FALSE) / VLOOKUP(Substitution!$M$16 &amp; $A14, US_national_yearly!$D:$AM, MATCH(Keys!$C$7, US_national_yearly!$D$1:$AM$1, 0), FALSE), 1)</f>
        <v>4.7839632202042663</v>
      </c>
      <c r="Z14" s="12">
        <f>$B14 * IFERROR(VLOOKUP(Substitution!$M$16 &amp; $A14, US_national_yearly!$D:$AM, MATCH(Z$1, US_national_yearly!$D$1:$AM$1, 0), FALSE) / VLOOKUP(Substitution!$M$16 &amp; $A14, US_national_yearly!$D:$AM, MATCH(Keys!$C$7, US_national_yearly!$D$1:$AM$1, 0), FALSE), 1)</f>
        <v>4.8160518578241476</v>
      </c>
      <c r="AA14" s="12">
        <f>$B14 * IFERROR(VLOOKUP(Substitution!$M$16 &amp; $A14, US_national_yearly!$D:$AM, MATCH(AA$1, US_national_yearly!$D$1:$AM$1, 0), FALSE) / VLOOKUP(Substitution!$M$16 &amp; $A14, US_national_yearly!$D:$AM, MATCH(Keys!$C$7, US_national_yearly!$D$1:$AM$1, 0), FALSE), 1)</f>
        <v>4.8481404954440288</v>
      </c>
      <c r="AB14" s="12">
        <f>$B14 * IFERROR(VLOOKUP(Substitution!$M$16 &amp; $A14, US_national_yearly!$D:$AM, MATCH(AB$1, US_national_yearly!$D$1:$AM$1, 0), FALSE) / VLOOKUP(Substitution!$M$16 &amp; $A14, US_national_yearly!$D:$AM, MATCH(Keys!$C$7, US_national_yearly!$D$1:$AM$1, 0), FALSE), 1)</f>
        <v>4.8802291330639109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Substitution!$G$16)/IFERROR(SUMIFS(COBRA_aggregated!$V:$V, COBRA_aggregated!$A:$A, About!$B$1, COBRA_aggregated!$B:$B, Substitution!$G$16), 1)</f>
        <v>0.70091128788408952</v>
      </c>
      <c r="C15" s="12">
        <f>$B15 * IFERROR(VLOOKUP(Substitution!$M$16 &amp; $A15, US_national_yearly!$D:$AM, MATCH(C$1, US_national_yearly!$D$1:$AM$1, 0), FALSE) / VLOOKUP(Substitution!$M$16 &amp; $A15, US_national_yearly!$D:$AM, MATCH(Keys!$C$7, US_national_yearly!$D$1:$AM$1, 0), FALSE), 1)</f>
        <v>0.70316533939916082</v>
      </c>
      <c r="D15" s="12">
        <f>$B15 * IFERROR(VLOOKUP(Substitution!$M$16 &amp; $A15, US_national_yearly!$D:$AM, MATCH(D$1, US_national_yearly!$D$1:$AM$1, 0), FALSE) / VLOOKUP(Substitution!$M$16 &amp; $A15, US_national_yearly!$D:$AM, MATCH(Keys!$C$7, US_national_yearly!$D$1:$AM$1, 0), FALSE), 1)</f>
        <v>0.70541939091423245</v>
      </c>
      <c r="E15" s="12">
        <f>$B15 * IFERROR(VLOOKUP(Substitution!$M$16 &amp; $A15, US_national_yearly!$D:$AM, MATCH(E$1, US_national_yearly!$D$1:$AM$1, 0), FALSE) / VLOOKUP(Substitution!$M$16 &amp; $A15, US_national_yearly!$D:$AM, MATCH(Keys!$C$7, US_national_yearly!$D$1:$AM$1, 0), FALSE), 1)</f>
        <v>0.70767344242930386</v>
      </c>
      <c r="F15" s="12">
        <f>$B15 * IFERROR(VLOOKUP(Substitution!$M$16 &amp; $A15, US_national_yearly!$D:$AM, MATCH(F$1, US_national_yearly!$D$1:$AM$1, 0), FALSE) / VLOOKUP(Substitution!$M$16 &amp; $A15, US_national_yearly!$D:$AM, MATCH(Keys!$C$7, US_national_yearly!$D$1:$AM$1, 0), FALSE), 1)</f>
        <v>0.70992749394437549</v>
      </c>
      <c r="G15" s="12">
        <f>$B15 * IFERROR(VLOOKUP(Substitution!$M$16 &amp; $A15, US_national_yearly!$D:$AM, MATCH(G$1, US_national_yearly!$D$1:$AM$1, 0), FALSE) / VLOOKUP(Substitution!$M$16 &amp; $A15, US_national_yearly!$D:$AM, MATCH(Keys!$C$7, US_national_yearly!$D$1:$AM$1, 0), FALSE), 1)</f>
        <v>0.71286964030238775</v>
      </c>
      <c r="H15" s="12">
        <f>$B15 * IFERROR(VLOOKUP(Substitution!$M$16 &amp; $A15, US_national_yearly!$D:$AM, MATCH(H$1, US_national_yearly!$D$1:$AM$1, 0), FALSE) / VLOOKUP(Substitution!$M$16 &amp; $A15, US_national_yearly!$D:$AM, MATCH(Keys!$C$7, US_national_yearly!$D$1:$AM$1, 0), FALSE), 1)</f>
        <v>0.71581178666040024</v>
      </c>
      <c r="I15" s="12">
        <f>$B15 * IFERROR(VLOOKUP(Substitution!$M$16 &amp; $A15, US_national_yearly!$D:$AM, MATCH(I$1, US_national_yearly!$D$1:$AM$1, 0), FALSE) / VLOOKUP(Substitution!$M$16 &amp; $A15, US_national_yearly!$D:$AM, MATCH(Keys!$C$7, US_national_yearly!$D$1:$AM$1, 0), FALSE), 1)</f>
        <v>0.72011237558054575</v>
      </c>
      <c r="J15" s="12">
        <f>$B15 * IFERROR(VLOOKUP(Substitution!$M$16 &amp; $A15, US_national_yearly!$D:$AM, MATCH(J$1, US_national_yearly!$D$1:$AM$1, 0), FALSE) / VLOOKUP(Substitution!$M$16 &amp; $A15, US_national_yearly!$D:$AM, MATCH(Keys!$C$7, US_national_yearly!$D$1:$AM$1, 0), FALSE), 1)</f>
        <v>0.72441296450069115</v>
      </c>
      <c r="K15" s="12">
        <f>$B15 * IFERROR(VLOOKUP(Substitution!$M$16 &amp; $A15, US_national_yearly!$D:$AM, MATCH(K$1, US_national_yearly!$D$1:$AM$1, 0), FALSE) / VLOOKUP(Substitution!$M$16 &amp; $A15, US_national_yearly!$D:$AM, MATCH(Keys!$C$7, US_national_yearly!$D$1:$AM$1, 0), FALSE), 1)</f>
        <v>0.72871355342083655</v>
      </c>
      <c r="L15" s="12">
        <f>$B15 * IFERROR(VLOOKUP(Substitution!$M$16 &amp; $A15, US_national_yearly!$D:$AM, MATCH(L$1, US_national_yearly!$D$1:$AM$1, 0), FALSE) / VLOOKUP(Substitution!$M$16 &amp; $A15, US_national_yearly!$D:$AM, MATCH(Keys!$C$7, US_national_yearly!$D$1:$AM$1, 0), FALSE), 1)</f>
        <v>0.73301414234098206</v>
      </c>
      <c r="M15" s="12">
        <f>$B15 * IFERROR(VLOOKUP(Substitution!$M$16 &amp; $A15, US_national_yearly!$D:$AM, MATCH(M$1, US_national_yearly!$D$1:$AM$1, 0), FALSE) / VLOOKUP(Substitution!$M$16 &amp; $A15, US_national_yearly!$D:$AM, MATCH(Keys!$C$7, US_national_yearly!$D$1:$AM$1, 0), FALSE), 1)</f>
        <v>0.73731473126112745</v>
      </c>
      <c r="N15" s="12">
        <f>$B15 * IFERROR(VLOOKUP(Substitution!$M$16 &amp; $A15, US_national_yearly!$D:$AM, MATCH(N$1, US_national_yearly!$D$1:$AM$1, 0), FALSE) / VLOOKUP(Substitution!$M$16 &amp; $A15, US_national_yearly!$D:$AM, MATCH(Keys!$C$7, US_national_yearly!$D$1:$AM$1, 0), FALSE), 1)</f>
        <v>0.74271993840391948</v>
      </c>
      <c r="O15" s="12">
        <f>$B15 * IFERROR(VLOOKUP(Substitution!$M$16 &amp; $A15, US_national_yearly!$D:$AM, MATCH(O$1, US_national_yearly!$D$1:$AM$1, 0), FALSE) / VLOOKUP(Substitution!$M$16 &amp; $A15, US_national_yearly!$D:$AM, MATCH(Keys!$C$7, US_national_yearly!$D$1:$AM$1, 0), FALSE), 1)</f>
        <v>0.74812514554671161</v>
      </c>
      <c r="P15" s="12">
        <f>$B15 * IFERROR(VLOOKUP(Substitution!$M$16 &amp; $A15, US_national_yearly!$D:$AM, MATCH(P$1, US_national_yearly!$D$1:$AM$1, 0), FALSE) / VLOOKUP(Substitution!$M$16 &amp; $A15, US_national_yearly!$D:$AM, MATCH(Keys!$C$7, US_national_yearly!$D$1:$AM$1, 0), FALSE), 1)</f>
        <v>0.75353035268950364</v>
      </c>
      <c r="Q15" s="12">
        <f>$B15 * IFERROR(VLOOKUP(Substitution!$M$16 &amp; $A15, US_national_yearly!$D:$AM, MATCH(Q$1, US_national_yearly!$D$1:$AM$1, 0), FALSE) / VLOOKUP(Substitution!$M$16 &amp; $A15, US_national_yearly!$D:$AM, MATCH(Keys!$C$7, US_national_yearly!$D$1:$AM$1, 0), FALSE), 1)</f>
        <v>0.75893555983229566</v>
      </c>
      <c r="R15" s="12">
        <f>$B15 * IFERROR(VLOOKUP(Substitution!$M$16 &amp; $A15, US_national_yearly!$D:$AM, MATCH(R$1, US_national_yearly!$D$1:$AM$1, 0), FALSE) / VLOOKUP(Substitution!$M$16 &amp; $A15, US_national_yearly!$D:$AM, MATCH(Keys!$C$7, US_national_yearly!$D$1:$AM$1, 0), FALSE), 1)</f>
        <v>0.76434076697508768</v>
      </c>
      <c r="S15" s="12">
        <f>$B15 * IFERROR(VLOOKUP(Substitution!$M$16 &amp; $A15, US_national_yearly!$D:$AM, MATCH(S$1, US_national_yearly!$D$1:$AM$1, 0), FALSE) / VLOOKUP(Substitution!$M$16 &amp; $A15, US_national_yearly!$D:$AM, MATCH(Keys!$C$7, US_national_yearly!$D$1:$AM$1, 0), FALSE), 1)</f>
        <v>0.77038897100512649</v>
      </c>
      <c r="T15" s="12">
        <f>$B15 * IFERROR(VLOOKUP(Substitution!$M$16 &amp; $A15, US_national_yearly!$D:$AM, MATCH(T$1, US_national_yearly!$D$1:$AM$1, 0), FALSE) / VLOOKUP(Substitution!$M$16 &amp; $A15, US_national_yearly!$D:$AM, MATCH(Keys!$C$7, US_national_yearly!$D$1:$AM$1, 0), FALSE), 1)</f>
        <v>0.77643717503516552</v>
      </c>
      <c r="U15" s="12">
        <f>$B15 * IFERROR(VLOOKUP(Substitution!$M$16 &amp; $A15, US_national_yearly!$D:$AM, MATCH(U$1, US_national_yearly!$D$1:$AM$1, 0), FALSE) / VLOOKUP(Substitution!$M$16 &amp; $A15, US_national_yearly!$D:$AM, MATCH(Keys!$C$7, US_national_yearly!$D$1:$AM$1, 0), FALSE), 1)</f>
        <v>0.78248537906520466</v>
      </c>
      <c r="V15" s="12">
        <f>$B15 * IFERROR(VLOOKUP(Substitution!$M$16 &amp; $A15, US_national_yearly!$D:$AM, MATCH(V$1, US_national_yearly!$D$1:$AM$1, 0), FALSE) / VLOOKUP(Substitution!$M$16 &amp; $A15, US_national_yearly!$D:$AM, MATCH(Keys!$C$7, US_national_yearly!$D$1:$AM$1, 0), FALSE), 1)</f>
        <v>0.78853358309524346</v>
      </c>
      <c r="W15" s="12">
        <f>$B15 * IFERROR(VLOOKUP(Substitution!$M$16 &amp; $A15, US_national_yearly!$D:$AM, MATCH(W$1, US_national_yearly!$D$1:$AM$1, 0), FALSE) / VLOOKUP(Substitution!$M$16 &amp; $A15, US_national_yearly!$D:$AM, MATCH(Keys!$C$7, US_national_yearly!$D$1:$AM$1, 0), FALSE), 1)</f>
        <v>0.79458178712528238</v>
      </c>
      <c r="X15" s="12">
        <f>$B15 * IFERROR(VLOOKUP(Substitution!$M$16 &amp; $A15, US_national_yearly!$D:$AM, MATCH(X$1, US_national_yearly!$D$1:$AM$1, 0), FALSE) / VLOOKUP(Substitution!$M$16 &amp; $A15, US_national_yearly!$D:$AM, MATCH(Keys!$C$7, US_national_yearly!$D$1:$AM$1, 0), FALSE), 1)</f>
        <v>0.80001412004035777</v>
      </c>
      <c r="Y15" s="12">
        <f>$B15 * IFERROR(VLOOKUP(Substitution!$M$16 &amp; $A15, US_national_yearly!$D:$AM, MATCH(Y$1, US_national_yearly!$D$1:$AM$1, 0), FALSE) / VLOOKUP(Substitution!$M$16 &amp; $A15, US_national_yearly!$D:$AM, MATCH(Keys!$C$7, US_national_yearly!$D$1:$AM$1, 0), FALSE), 1)</f>
        <v>0.80544645295543338</v>
      </c>
      <c r="Z15" s="12">
        <f>$B15 * IFERROR(VLOOKUP(Substitution!$M$16 &amp; $A15, US_national_yearly!$D:$AM, MATCH(Z$1, US_national_yearly!$D$1:$AM$1, 0), FALSE) / VLOOKUP(Substitution!$M$16 &amp; $A15, US_national_yearly!$D:$AM, MATCH(Keys!$C$7, US_national_yearly!$D$1:$AM$1, 0), FALSE), 1)</f>
        <v>0.81087878587050866</v>
      </c>
      <c r="AA15" s="12">
        <f>$B15 * IFERROR(VLOOKUP(Substitution!$M$16 &amp; $A15, US_national_yearly!$D:$AM, MATCH(AA$1, US_national_yearly!$D$1:$AM$1, 0), FALSE) / VLOOKUP(Substitution!$M$16 &amp; $A15, US_national_yearly!$D:$AM, MATCH(Keys!$C$7, US_national_yearly!$D$1:$AM$1, 0), FALSE), 1)</f>
        <v>0.81631111878558416</v>
      </c>
      <c r="AB15" s="12">
        <f>$B15 * IFERROR(VLOOKUP(Substitution!$M$16 &amp; $A15, US_national_yearly!$D:$AM, MATCH(AB$1, US_national_yearly!$D$1:$AM$1, 0), FALSE) / VLOOKUP(Substitution!$M$16 &amp; $A15, US_national_yearly!$D:$AM, MATCH(Keys!$C$7, US_national_yearly!$D$1:$AM$1, 0), FALSE), 1)</f>
        <v>0.82174345170065966</v>
      </c>
    </row>
    <row r="16" spans="1:28" x14ac:dyDescent="0.25">
      <c r="A16" s="4" t="s">
        <v>319</v>
      </c>
      <c r="B16" s="12">
        <f>IFERROR(VLOOKUP(Substitution!$M$16 &amp; $A16, US_national_yearly!$D:$AM, MATCH(Keys!$C$7, US_national_yearly!$D$1:$AM$1, 0), FALSE), 0)</f>
        <v>1.7320217859466441E-4</v>
      </c>
      <c r="C16" s="12">
        <f>$B16 * IFERROR(VLOOKUP(Substitution!$M$16 &amp; $A16, US_national_yearly!$D:$AM, MATCH(C$1, US_national_yearly!$D$1:$AM$1, 0), FALSE) / VLOOKUP(Substitution!$M$16 &amp; $A16, US_national_yearly!$D:$AM, MATCH(Keys!$C$7, US_national_yearly!$D$1:$AM$1, 0), FALSE), 1)</f>
        <v>1.7663598383985682E-4</v>
      </c>
      <c r="D16" s="12">
        <f>$B16 * IFERROR(VLOOKUP(Substitution!$M$16 &amp; $A16, US_national_yearly!$D:$AM, MATCH(D$1, US_national_yearly!$D$1:$AM$1, 0), FALSE) / VLOOKUP(Substitution!$M$16 &amp; $A16, US_national_yearly!$D:$AM, MATCH(Keys!$C$7, US_national_yearly!$D$1:$AM$1, 0), FALSE), 1)</f>
        <v>1.8006978908504919E-4</v>
      </c>
      <c r="E16" s="12">
        <f>$B16 * IFERROR(VLOOKUP(Substitution!$M$16 &amp; $A16, US_national_yearly!$D:$AM, MATCH(E$1, US_national_yearly!$D$1:$AM$1, 0), FALSE) / VLOOKUP(Substitution!$M$16 &amp; $A16, US_national_yearly!$D:$AM, MATCH(Keys!$C$7, US_national_yearly!$D$1:$AM$1, 0), FALSE), 1)</f>
        <v>1.8350359433024163E-4</v>
      </c>
      <c r="F16" s="12">
        <f>$B16 * IFERROR(VLOOKUP(Substitution!$M$16 &amp; $A16, US_national_yearly!$D:$AM, MATCH(F$1, US_national_yearly!$D$1:$AM$1, 0), FALSE) / VLOOKUP(Substitution!$M$16 &amp; $A16, US_national_yearly!$D:$AM, MATCH(Keys!$C$7, US_national_yearly!$D$1:$AM$1, 0), FALSE), 1)</f>
        <v>1.86937399575434E-4</v>
      </c>
      <c r="G16" s="12">
        <f>$B16 * IFERROR(VLOOKUP(Substitution!$M$16 &amp; $A16, US_national_yearly!$D:$AM, MATCH(G$1, US_national_yearly!$D$1:$AM$1, 0), FALSE) / VLOOKUP(Substitution!$M$16 &amp; $A16, US_national_yearly!$D:$AM, MATCH(Keys!$C$7, US_national_yearly!$D$1:$AM$1, 0), FALSE), 1)</f>
        <v>1.9057511147197047E-4</v>
      </c>
      <c r="H16" s="12">
        <f>$B16 * IFERROR(VLOOKUP(Substitution!$M$16 &amp; $A16, US_national_yearly!$D:$AM, MATCH(H$1, US_national_yearly!$D$1:$AM$1, 0), FALSE) / VLOOKUP(Substitution!$M$16 &amp; $A16, US_national_yearly!$D:$AM, MATCH(Keys!$C$7, US_national_yearly!$D$1:$AM$1, 0), FALSE), 1)</f>
        <v>1.94212823368507E-4</v>
      </c>
      <c r="I16" s="12">
        <f>$B16 * IFERROR(VLOOKUP(Substitution!$M$16 &amp; $A16, US_national_yearly!$D:$AM, MATCH(I$1, US_national_yearly!$D$1:$AM$1, 0), FALSE) / VLOOKUP(Substitution!$M$16 &amp; $A16, US_national_yearly!$D:$AM, MATCH(Keys!$C$7, US_national_yearly!$D$1:$AM$1, 0), FALSE), 1)</f>
        <v>1.9811271074324441E-4</v>
      </c>
      <c r="J16" s="12">
        <f>$B16 * IFERROR(VLOOKUP(Substitution!$M$16 &amp; $A16, US_national_yearly!$D:$AM, MATCH(J$1, US_national_yearly!$D$1:$AM$1, 0), FALSE) / VLOOKUP(Substitution!$M$16 &amp; $A16, US_national_yearly!$D:$AM, MATCH(Keys!$C$7, US_national_yearly!$D$1:$AM$1, 0), FALSE), 1)</f>
        <v>2.020125981179818E-4</v>
      </c>
      <c r="K16" s="12">
        <f>$B16 * IFERROR(VLOOKUP(Substitution!$M$16 &amp; $A16, US_national_yearly!$D:$AM, MATCH(K$1, US_national_yearly!$D$1:$AM$1, 0), FALSE) / VLOOKUP(Substitution!$M$16 &amp; $A16, US_national_yearly!$D:$AM, MATCH(Keys!$C$7, US_national_yearly!$D$1:$AM$1, 0), FALSE), 1)</f>
        <v>2.0591248549271918E-4</v>
      </c>
      <c r="L16" s="12">
        <f>$B16 * IFERROR(VLOOKUP(Substitution!$M$16 &amp; $A16, US_national_yearly!$D:$AM, MATCH(L$1, US_national_yearly!$D$1:$AM$1, 0), FALSE) / VLOOKUP(Substitution!$M$16 &amp; $A16, US_national_yearly!$D:$AM, MATCH(Keys!$C$7, US_national_yearly!$D$1:$AM$1, 0), FALSE), 1)</f>
        <v>2.0981237286745664E-4</v>
      </c>
      <c r="M16" s="12">
        <f>$B16 * IFERROR(VLOOKUP(Substitution!$M$16 &amp; $A16, US_national_yearly!$D:$AM, MATCH(M$1, US_national_yearly!$D$1:$AM$1, 0), FALSE) / VLOOKUP(Substitution!$M$16 &amp; $A16, US_national_yearly!$D:$AM, MATCH(Keys!$C$7, US_national_yearly!$D$1:$AM$1, 0), FALSE), 1)</f>
        <v>2.1371226024219399E-4</v>
      </c>
      <c r="N16" s="12">
        <f>$B16 * IFERROR(VLOOKUP(Substitution!$M$16 &amp; $A16, US_national_yearly!$D:$AM, MATCH(N$1, US_national_yearly!$D$1:$AM$1, 0), FALSE) / VLOOKUP(Substitution!$M$16 &amp; $A16, US_national_yearly!$D:$AM, MATCH(Keys!$C$7, US_national_yearly!$D$1:$AM$1, 0), FALSE), 1)</f>
        <v>2.1701559255348781E-4</v>
      </c>
      <c r="O16" s="12">
        <f>$B16 * IFERROR(VLOOKUP(Substitution!$M$16 &amp; $A16, US_national_yearly!$D:$AM, MATCH(O$1, US_national_yearly!$D$1:$AM$1, 0), FALSE) / VLOOKUP(Substitution!$M$16 &amp; $A16, US_national_yearly!$D:$AM, MATCH(Keys!$C$7, US_national_yearly!$D$1:$AM$1, 0), FALSE), 1)</f>
        <v>2.2031892486478158E-4</v>
      </c>
      <c r="P16" s="12">
        <f>$B16 * IFERROR(VLOOKUP(Substitution!$M$16 &amp; $A16, US_national_yearly!$D:$AM, MATCH(P$1, US_national_yearly!$D$1:$AM$1, 0), FALSE) / VLOOKUP(Substitution!$M$16 &amp; $A16, US_national_yearly!$D:$AM, MATCH(Keys!$C$7, US_national_yearly!$D$1:$AM$1, 0), FALSE), 1)</f>
        <v>2.2362225717607539E-4</v>
      </c>
      <c r="Q16" s="12">
        <f>$B16 * IFERROR(VLOOKUP(Substitution!$M$16 &amp; $A16, US_national_yearly!$D:$AM, MATCH(Q$1, US_national_yearly!$D$1:$AM$1, 0), FALSE) / VLOOKUP(Substitution!$M$16 &amp; $A16, US_national_yearly!$D:$AM, MATCH(Keys!$C$7, US_national_yearly!$D$1:$AM$1, 0), FALSE), 1)</f>
        <v>2.2692558948736921E-4</v>
      </c>
      <c r="R16" s="12">
        <f>$B16 * IFERROR(VLOOKUP(Substitution!$M$16 &amp; $A16, US_national_yearly!$D:$AM, MATCH(R$1, US_national_yearly!$D$1:$AM$1, 0), FALSE) / VLOOKUP(Substitution!$M$16 &amp; $A16, US_national_yearly!$D:$AM, MATCH(Keys!$C$7, US_national_yearly!$D$1:$AM$1, 0), FALSE), 1)</f>
        <v>2.30228921798663E-4</v>
      </c>
      <c r="S16" s="12">
        <f>$B16 * IFERROR(VLOOKUP(Substitution!$M$16 &amp; $A16, US_national_yearly!$D:$AM, MATCH(S$1, US_national_yearly!$D$1:$AM$1, 0), FALSE) / VLOOKUP(Substitution!$M$16 &amp; $A16, US_national_yearly!$D:$AM, MATCH(Keys!$C$7, US_national_yearly!$D$1:$AM$1, 0), FALSE), 1)</f>
        <v>2.3192756366634422E-4</v>
      </c>
      <c r="T16" s="12">
        <f>$B16 * IFERROR(VLOOKUP(Substitution!$M$16 &amp; $A16, US_national_yearly!$D:$AM, MATCH(T$1, US_national_yearly!$D$1:$AM$1, 0), FALSE) / VLOOKUP(Substitution!$M$16 &amp; $A16, US_national_yearly!$D:$AM, MATCH(Keys!$C$7, US_national_yearly!$D$1:$AM$1, 0), FALSE), 1)</f>
        <v>2.3362620553402539E-4</v>
      </c>
      <c r="U16" s="12">
        <f>$B16 * IFERROR(VLOOKUP(Substitution!$M$16 &amp; $A16, US_national_yearly!$D:$AM, MATCH(U$1, US_national_yearly!$D$1:$AM$1, 0), FALSE) / VLOOKUP(Substitution!$M$16 &amp; $A16, US_national_yearly!$D:$AM, MATCH(Keys!$C$7, US_national_yearly!$D$1:$AM$1, 0), FALSE), 1)</f>
        <v>2.3532484740170661E-4</v>
      </c>
      <c r="V16" s="12">
        <f>$B16 * IFERROR(VLOOKUP(Substitution!$M$16 &amp; $A16, US_national_yearly!$D:$AM, MATCH(V$1, US_national_yearly!$D$1:$AM$1, 0), FALSE) / VLOOKUP(Substitution!$M$16 &amp; $A16, US_national_yearly!$D:$AM, MATCH(Keys!$C$7, US_national_yearly!$D$1:$AM$1, 0), FALSE), 1)</f>
        <v>2.3702348926938781E-4</v>
      </c>
      <c r="W16" s="12">
        <f>$B16 * IFERROR(VLOOKUP(Substitution!$M$16 &amp; $A16, US_national_yearly!$D:$AM, MATCH(W$1, US_national_yearly!$D$1:$AM$1, 0), FALSE) / VLOOKUP(Substitution!$M$16 &amp; $A16, US_national_yearly!$D:$AM, MATCH(Keys!$C$7, US_national_yearly!$D$1:$AM$1, 0), FALSE), 1)</f>
        <v>2.38722131137069E-4</v>
      </c>
      <c r="X16" s="12">
        <f>$B16 * IFERROR(VLOOKUP(Substitution!$M$16 &amp; $A16, US_national_yearly!$D:$AM, MATCH(X$1, US_national_yearly!$D$1:$AM$1, 0), FALSE) / VLOOKUP(Substitution!$M$16 &amp; $A16, US_national_yearly!$D:$AM, MATCH(Keys!$C$7, US_national_yearly!$D$1:$AM$1, 0), FALSE), 1)</f>
        <v>2.3958536457878001E-4</v>
      </c>
      <c r="Y16" s="12">
        <f>$B16 * IFERROR(VLOOKUP(Substitution!$M$16 &amp; $A16, US_national_yearly!$D:$AM, MATCH(Y$1, US_national_yearly!$D$1:$AM$1, 0), FALSE) / VLOOKUP(Substitution!$M$16 &amp; $A16, US_national_yearly!$D:$AM, MATCH(Keys!$C$7, US_national_yearly!$D$1:$AM$1, 0), FALSE), 1)</f>
        <v>2.40448598020491E-4</v>
      </c>
      <c r="Z16" s="12">
        <f>$B16 * IFERROR(VLOOKUP(Substitution!$M$16 &amp; $A16, US_national_yearly!$D:$AM, MATCH(Z$1, US_national_yearly!$D$1:$AM$1, 0), FALSE) / VLOOKUP(Substitution!$M$16 &amp; $A16, US_national_yearly!$D:$AM, MATCH(Keys!$C$7, US_national_yearly!$D$1:$AM$1, 0), FALSE), 1)</f>
        <v>2.4131183146220201E-4</v>
      </c>
      <c r="AA16" s="12">
        <f>$B16 * IFERROR(VLOOKUP(Substitution!$M$16 &amp; $A16, US_national_yearly!$D:$AM, MATCH(AA$1, US_national_yearly!$D$1:$AM$1, 0), FALSE) / VLOOKUP(Substitution!$M$16 &amp; $A16, US_national_yearly!$D:$AM, MATCH(Keys!$C$7, US_national_yearly!$D$1:$AM$1, 0), FALSE), 1)</f>
        <v>2.4217506490391299E-4</v>
      </c>
      <c r="AB16" s="12">
        <f>$B16 * IFERROR(VLOOKUP(Substitution!$M$16 &amp; $A16, US_national_yearly!$D:$AM, MATCH(AB$1, US_national_yearly!$D$1:$AM$1, 0), FALSE) / VLOOKUP(Substitution!$M$16 &amp; $A16, US_national_yearly!$D:$AM, MATCH(Keys!$C$7, US_national_yearly!$D$1:$AM$1, 0), FALSE), 1)</f>
        <v>2.43038298345624E-4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Substitution!$G$16)/IFERROR(SUMIFS(COBRA_aggregated!$V:$V, COBRA_aggregated!$A:$A, About!$B$1, COBRA_aggregated!$B:$B, Substitution!$G$16), 1)</f>
        <v>1.7270180613016232E-3</v>
      </c>
      <c r="C17" s="12">
        <f>$B17 * IFERROR(VLOOKUP(Substitution!$M$16 &amp; $A17, US_national_yearly!$D:$AM, MATCH(C$1, US_national_yearly!$D$1:$AM$1, 0), FALSE) / VLOOKUP(Substitution!$M$16 &amp; $A17, US_national_yearly!$D:$AM, MATCH(Keys!$C$7, US_national_yearly!$D$1:$AM$1, 0), FALSE), 1)</f>
        <v>1.7792382458070922E-3</v>
      </c>
      <c r="D17" s="12">
        <f>$B17 * IFERROR(VLOOKUP(Substitution!$M$16 &amp; $A17, US_national_yearly!$D:$AM, MATCH(D$1, US_national_yearly!$D$1:$AM$1, 0), FALSE) / VLOOKUP(Substitution!$M$16 &amp; $A17, US_national_yearly!$D:$AM, MATCH(Keys!$C$7, US_national_yearly!$D$1:$AM$1, 0), FALSE), 1)</f>
        <v>1.8314584303125614E-3</v>
      </c>
      <c r="E17" s="12">
        <f>$B17 * IFERROR(VLOOKUP(Substitution!$M$16 &amp; $A17, US_national_yearly!$D:$AM, MATCH(E$1, US_national_yearly!$D$1:$AM$1, 0), FALSE) / VLOOKUP(Substitution!$M$16 &amp; $A17, US_national_yearly!$D:$AM, MATCH(Keys!$C$7, US_national_yearly!$D$1:$AM$1, 0), FALSE), 1)</f>
        <v>1.8836786148180306E-3</v>
      </c>
      <c r="F17" s="12">
        <f>$B17 * IFERROR(VLOOKUP(Substitution!$M$16 &amp; $A17, US_national_yearly!$D:$AM, MATCH(F$1, US_national_yearly!$D$1:$AM$1, 0), FALSE) / VLOOKUP(Substitution!$M$16 &amp; $A17, US_national_yearly!$D:$AM, MATCH(Keys!$C$7, US_national_yearly!$D$1:$AM$1, 0), FALSE), 1)</f>
        <v>1.9358987993234999E-3</v>
      </c>
      <c r="G17" s="12">
        <f>$B17 * IFERROR(VLOOKUP(Substitution!$M$16 &amp; $A17, US_national_yearly!$D:$AM, MATCH(G$1, US_national_yearly!$D$1:$AM$1, 0), FALSE) / VLOOKUP(Substitution!$M$16 &amp; $A17, US_national_yearly!$D:$AM, MATCH(Keys!$C$7, US_national_yearly!$D$1:$AM$1, 0), FALSE), 1)</f>
        <v>1.9859445714248704E-3</v>
      </c>
      <c r="H17" s="12">
        <f>$B17 * IFERROR(VLOOKUP(Substitution!$M$16 &amp; $A17, US_national_yearly!$D:$AM, MATCH(H$1, US_national_yearly!$D$1:$AM$1, 0), FALSE) / VLOOKUP(Substitution!$M$16 &amp; $A17, US_national_yearly!$D:$AM, MATCH(Keys!$C$7, US_national_yearly!$D$1:$AM$1, 0), FALSE), 1)</f>
        <v>2.035990343526241E-3</v>
      </c>
      <c r="I17" s="12">
        <f>$B17 * IFERROR(VLOOKUP(Substitution!$M$16 &amp; $A17, US_national_yearly!$D:$AM, MATCH(I$1, US_national_yearly!$D$1:$AM$1, 0), FALSE) / VLOOKUP(Substitution!$M$16 &amp; $A17, US_national_yearly!$D:$AM, MATCH(Keys!$C$7, US_national_yearly!$D$1:$AM$1, 0), FALSE), 1)</f>
        <v>2.0789313684184347E-3</v>
      </c>
      <c r="J17" s="12">
        <f>$B17 * IFERROR(VLOOKUP(Substitution!$M$16 &amp; $A17, US_national_yearly!$D:$AM, MATCH(J$1, US_national_yearly!$D$1:$AM$1, 0), FALSE) / VLOOKUP(Substitution!$M$16 &amp; $A17, US_national_yearly!$D:$AM, MATCH(Keys!$C$7, US_national_yearly!$D$1:$AM$1, 0), FALSE), 1)</f>
        <v>2.1218723933106283E-3</v>
      </c>
      <c r="K17" s="12">
        <f>$B17 * IFERROR(VLOOKUP(Substitution!$M$16 &amp; $A17, US_national_yearly!$D:$AM, MATCH(K$1, US_national_yearly!$D$1:$AM$1, 0), FALSE) / VLOOKUP(Substitution!$M$16 &amp; $A17, US_national_yearly!$D:$AM, MATCH(Keys!$C$7, US_national_yearly!$D$1:$AM$1, 0), FALSE), 1)</f>
        <v>2.164813418202822E-3</v>
      </c>
      <c r="L17" s="12">
        <f>$B17 * IFERROR(VLOOKUP(Substitution!$M$16 &amp; $A17, US_national_yearly!$D:$AM, MATCH(L$1, US_national_yearly!$D$1:$AM$1, 0), FALSE) / VLOOKUP(Substitution!$M$16 &amp; $A17, US_national_yearly!$D:$AM, MATCH(Keys!$C$7, US_national_yearly!$D$1:$AM$1, 0), FALSE), 1)</f>
        <v>2.2077544430950157E-3</v>
      </c>
      <c r="M17" s="12">
        <f>$B17 * IFERROR(VLOOKUP(Substitution!$M$16 &amp; $A17, US_national_yearly!$D:$AM, MATCH(M$1, US_national_yearly!$D$1:$AM$1, 0), FALSE) / VLOOKUP(Substitution!$M$16 &amp; $A17, US_national_yearly!$D:$AM, MATCH(Keys!$C$7, US_national_yearly!$D$1:$AM$1, 0), FALSE), 1)</f>
        <v>2.2506954679872094E-3</v>
      </c>
      <c r="N17" s="12">
        <f>$B17 * IFERROR(VLOOKUP(Substitution!$M$16 &amp; $A17, US_national_yearly!$D:$AM, MATCH(N$1, US_national_yearly!$D$1:$AM$1, 0), FALSE) / VLOOKUP(Substitution!$M$16 &amp; $A17, US_national_yearly!$D:$AM, MATCH(Keys!$C$7, US_national_yearly!$D$1:$AM$1, 0), FALSE), 1)</f>
        <v>2.2795455762048581E-3</v>
      </c>
      <c r="O17" s="12">
        <f>$B17 * IFERROR(VLOOKUP(Substitution!$M$16 &amp; $A17, US_national_yearly!$D:$AM, MATCH(O$1, US_national_yearly!$D$1:$AM$1, 0), FALSE) / VLOOKUP(Substitution!$M$16 &amp; $A17, US_national_yearly!$D:$AM, MATCH(Keys!$C$7, US_national_yearly!$D$1:$AM$1, 0), FALSE), 1)</f>
        <v>2.3083956844225074E-3</v>
      </c>
      <c r="P17" s="12">
        <f>$B17 * IFERROR(VLOOKUP(Substitution!$M$16 &amp; $A17, US_national_yearly!$D:$AM, MATCH(P$1, US_national_yearly!$D$1:$AM$1, 0), FALSE) / VLOOKUP(Substitution!$M$16 &amp; $A17, US_national_yearly!$D:$AM, MATCH(Keys!$C$7, US_national_yearly!$D$1:$AM$1, 0), FALSE), 1)</f>
        <v>2.3372457926401557E-3</v>
      </c>
      <c r="Q17" s="12">
        <f>$B17 * IFERROR(VLOOKUP(Substitution!$M$16 &amp; $A17, US_national_yearly!$D:$AM, MATCH(Q$1, US_national_yearly!$D$1:$AM$1, 0), FALSE) / VLOOKUP(Substitution!$M$16 &amp; $A17, US_national_yearly!$D:$AM, MATCH(Keys!$C$7, US_national_yearly!$D$1:$AM$1, 0), FALSE), 1)</f>
        <v>2.3660959008578049E-3</v>
      </c>
      <c r="R17" s="12">
        <f>$B17 * IFERROR(VLOOKUP(Substitution!$M$16 &amp; $A17, US_national_yearly!$D:$AM, MATCH(R$1, US_national_yearly!$D$1:$AM$1, 0), FALSE) / VLOOKUP(Substitution!$M$16 &amp; $A17, US_national_yearly!$D:$AM, MATCH(Keys!$C$7, US_national_yearly!$D$1:$AM$1, 0), FALSE), 1)</f>
        <v>2.3949460090754537E-3</v>
      </c>
      <c r="S17" s="12">
        <f>$B17 * IFERROR(VLOOKUP(Substitution!$M$16 &amp; $A17, US_national_yearly!$D:$AM, MATCH(S$1, US_national_yearly!$D$1:$AM$1, 0), FALSE) / VLOOKUP(Substitution!$M$16 &amp; $A17, US_national_yearly!$D:$AM, MATCH(Keys!$C$7, US_national_yearly!$D$1:$AM$1, 0), FALSE), 1)</f>
        <v>2.4102008278281562E-3</v>
      </c>
      <c r="T17" s="12">
        <f>$B17 * IFERROR(VLOOKUP(Substitution!$M$16 &amp; $A17, US_national_yearly!$D:$AM, MATCH(T$1, US_national_yearly!$D$1:$AM$1, 0), FALSE) / VLOOKUP(Substitution!$M$16 &amp; $A17, US_national_yearly!$D:$AM, MATCH(Keys!$C$7, US_national_yearly!$D$1:$AM$1, 0), FALSE), 1)</f>
        <v>2.4254556465808596E-3</v>
      </c>
      <c r="U17" s="12">
        <f>$B17 * IFERROR(VLOOKUP(Substitution!$M$16 &amp; $A17, US_national_yearly!$D:$AM, MATCH(U$1, US_national_yearly!$D$1:$AM$1, 0), FALSE) / VLOOKUP(Substitution!$M$16 &amp; $A17, US_national_yearly!$D:$AM, MATCH(Keys!$C$7, US_national_yearly!$D$1:$AM$1, 0), FALSE), 1)</f>
        <v>2.4407104653335621E-3</v>
      </c>
      <c r="V17" s="12">
        <f>$B17 * IFERROR(VLOOKUP(Substitution!$M$16 &amp; $A17, US_national_yearly!$D:$AM, MATCH(V$1, US_national_yearly!$D$1:$AM$1, 0), FALSE) / VLOOKUP(Substitution!$M$16 &amp; $A17, US_national_yearly!$D:$AM, MATCH(Keys!$C$7, US_national_yearly!$D$1:$AM$1, 0), FALSE), 1)</f>
        <v>2.4559652840862654E-3</v>
      </c>
      <c r="W17" s="12">
        <f>$B17 * IFERROR(VLOOKUP(Substitution!$M$16 &amp; $A17, US_national_yearly!$D:$AM, MATCH(W$1, US_national_yearly!$D$1:$AM$1, 0), FALSE) / VLOOKUP(Substitution!$M$16 &amp; $A17, US_national_yearly!$D:$AM, MATCH(Keys!$C$7, US_national_yearly!$D$1:$AM$1, 0), FALSE), 1)</f>
        <v>2.4712201028389683E-3</v>
      </c>
      <c r="X17" s="12">
        <f>$B17 * IFERROR(VLOOKUP(Substitution!$M$16 &amp; $A17, US_national_yearly!$D:$AM, MATCH(X$1, US_national_yearly!$D$1:$AM$1, 0), FALSE) / VLOOKUP(Substitution!$M$16 &amp; $A17, US_national_yearly!$D:$AM, MATCH(Keys!$C$7, US_national_yearly!$D$1:$AM$1, 0), FALSE), 1)</f>
        <v>2.4815364049375014E-3</v>
      </c>
      <c r="Y17" s="12">
        <f>$B17 * IFERROR(VLOOKUP(Substitution!$M$16 &amp; $A17, US_national_yearly!$D:$AM, MATCH(Y$1, US_national_yearly!$D$1:$AM$1, 0), FALSE) / VLOOKUP(Substitution!$M$16 &amp; $A17, US_national_yearly!$D:$AM, MATCH(Keys!$C$7, US_national_yearly!$D$1:$AM$1, 0), FALSE), 1)</f>
        <v>2.4918527070360344E-3</v>
      </c>
      <c r="Z17" s="12">
        <f>$B17 * IFERROR(VLOOKUP(Substitution!$M$16 &amp; $A17, US_national_yearly!$D:$AM, MATCH(Z$1, US_national_yearly!$D$1:$AM$1, 0), FALSE) / VLOOKUP(Substitution!$M$16 &amp; $A17, US_national_yearly!$D:$AM, MATCH(Keys!$C$7, US_national_yearly!$D$1:$AM$1, 0), FALSE), 1)</f>
        <v>2.5021690091345679E-3</v>
      </c>
      <c r="AA17" s="12">
        <f>$B17 * IFERROR(VLOOKUP(Substitution!$M$16 &amp; $A17, US_national_yearly!$D:$AM, MATCH(AA$1, US_national_yearly!$D$1:$AM$1, 0), FALSE) / VLOOKUP(Substitution!$M$16 &amp; $A17, US_national_yearly!$D:$AM, MATCH(Keys!$C$7, US_national_yearly!$D$1:$AM$1, 0), FALSE), 1)</f>
        <v>2.5124853112331014E-3</v>
      </c>
      <c r="AB17" s="12">
        <f>$B17 * IFERROR(VLOOKUP(Substitution!$M$16 &amp; $A17, US_national_yearly!$D:$AM, MATCH(AB$1, US_national_yearly!$D$1:$AM$1, 0), FALSE) / VLOOKUP(Substitution!$M$16 &amp; $A17, US_national_yearly!$D:$AM, MATCH(Keys!$C$7, US_national_yearly!$D$1:$AM$1, 0), FALSE), 1)</f>
        <v>2.522801613331634E-3</v>
      </c>
    </row>
    <row r="18" spans="1:28" x14ac:dyDescent="0.25">
      <c r="A18" s="4" t="s">
        <v>323</v>
      </c>
      <c r="B18" s="12">
        <f>IFERROR(VLOOKUP(Substitution!$M$16 &amp; $A18, US_national_yearly!$D:$AM, MATCH(Keys!$C$7, US_national_yearly!$D$1:$AM$1, 0), FALSE), 0)</f>
        <v>1.2399773093217099E-3</v>
      </c>
      <c r="C18" s="12">
        <f>$B18 * IFERROR(VLOOKUP(Substitution!$M$16 &amp; $A18, US_national_yearly!$D:$AM, MATCH(C$1, US_national_yearly!$D$1:$AM$1, 0), FALSE) / VLOOKUP(Substitution!$M$16 &amp; $A18, US_national_yearly!$D:$AM, MATCH(Keys!$C$7, US_national_yearly!$D$1:$AM$1, 0), FALSE), 1)</f>
        <v>1.28077708784619E-3</v>
      </c>
      <c r="D18" s="12">
        <f>$B18 * IFERROR(VLOOKUP(Substitution!$M$16 &amp; $A18, US_national_yearly!$D:$AM, MATCH(D$1, US_national_yearly!$D$1:$AM$1, 0), FALSE) / VLOOKUP(Substitution!$M$16 &amp; $A18, US_national_yearly!$D:$AM, MATCH(Keys!$C$7, US_national_yearly!$D$1:$AM$1, 0), FALSE), 1)</f>
        <v>1.3215768663706702E-3</v>
      </c>
      <c r="E18" s="12">
        <f>$B18 * IFERROR(VLOOKUP(Substitution!$M$16 &amp; $A18, US_national_yearly!$D:$AM, MATCH(E$1, US_national_yearly!$D$1:$AM$1, 0), FALSE) / VLOOKUP(Substitution!$M$16 &amp; $A18, US_national_yearly!$D:$AM, MATCH(Keys!$C$7, US_national_yearly!$D$1:$AM$1, 0), FALSE), 1)</f>
        <v>1.3623766448951501E-3</v>
      </c>
      <c r="F18" s="12">
        <f>$B18 * IFERROR(VLOOKUP(Substitution!$M$16 &amp; $A18, US_national_yearly!$D:$AM, MATCH(F$1, US_national_yearly!$D$1:$AM$1, 0), FALSE) / VLOOKUP(Substitution!$M$16 &amp; $A18, US_national_yearly!$D:$AM, MATCH(Keys!$C$7, US_national_yearly!$D$1:$AM$1, 0), FALSE), 1)</f>
        <v>1.40317642341963E-3</v>
      </c>
      <c r="G18" s="12">
        <f>$B18 * IFERROR(VLOOKUP(Substitution!$M$16 &amp; $A18, US_national_yearly!$D:$AM, MATCH(G$1, US_national_yearly!$D$1:$AM$1, 0), FALSE) / VLOOKUP(Substitution!$M$16 &amp; $A18, US_national_yearly!$D:$AM, MATCH(Keys!$C$7, US_national_yearly!$D$1:$AM$1, 0), FALSE), 1)</f>
        <v>1.44649379408016E-3</v>
      </c>
      <c r="H18" s="12">
        <f>$B18 * IFERROR(VLOOKUP(Substitution!$M$16 &amp; $A18, US_national_yearly!$D:$AM, MATCH(H$1, US_national_yearly!$D$1:$AM$1, 0), FALSE) / VLOOKUP(Substitution!$M$16 &amp; $A18, US_national_yearly!$D:$AM, MATCH(Keys!$C$7, US_national_yearly!$D$1:$AM$1, 0), FALSE), 1)</f>
        <v>1.48981116474069E-3</v>
      </c>
      <c r="I18" s="12">
        <f>$B18 * IFERROR(VLOOKUP(Substitution!$M$16 &amp; $A18, US_national_yearly!$D:$AM, MATCH(I$1, US_national_yearly!$D$1:$AM$1, 0), FALSE) / VLOOKUP(Substitution!$M$16 &amp; $A18, US_national_yearly!$D:$AM, MATCH(Keys!$C$7, US_national_yearly!$D$1:$AM$1, 0), FALSE), 1)</f>
        <v>1.533164293130274E-3</v>
      </c>
      <c r="J18" s="12">
        <f>$B18 * IFERROR(VLOOKUP(Substitution!$M$16 &amp; $A18, US_national_yearly!$D:$AM, MATCH(J$1, US_national_yearly!$D$1:$AM$1, 0), FALSE) / VLOOKUP(Substitution!$M$16 &amp; $A18, US_national_yearly!$D:$AM, MATCH(Keys!$C$7, US_national_yearly!$D$1:$AM$1, 0), FALSE), 1)</f>
        <v>1.576517421519858E-3</v>
      </c>
      <c r="K18" s="12">
        <f>$B18 * IFERROR(VLOOKUP(Substitution!$M$16 &amp; $A18, US_national_yearly!$D:$AM, MATCH(K$1, US_national_yearly!$D$1:$AM$1, 0), FALSE) / VLOOKUP(Substitution!$M$16 &amp; $A18, US_national_yearly!$D:$AM, MATCH(Keys!$C$7, US_national_yearly!$D$1:$AM$1, 0), FALSE), 1)</f>
        <v>1.619870549909442E-3</v>
      </c>
      <c r="L18" s="12">
        <f>$B18 * IFERROR(VLOOKUP(Substitution!$M$16 &amp; $A18, US_national_yearly!$D:$AM, MATCH(L$1, US_national_yearly!$D$1:$AM$1, 0), FALSE) / VLOOKUP(Substitution!$M$16 &amp; $A18, US_national_yearly!$D:$AM, MATCH(Keys!$C$7, US_national_yearly!$D$1:$AM$1, 0), FALSE), 1)</f>
        <v>1.663223678299026E-3</v>
      </c>
      <c r="M18" s="12">
        <f>$B18 * IFERROR(VLOOKUP(Substitution!$M$16 &amp; $A18, US_national_yearly!$D:$AM, MATCH(M$1, US_national_yearly!$D$1:$AM$1, 0), FALSE) / VLOOKUP(Substitution!$M$16 &amp; $A18, US_national_yearly!$D:$AM, MATCH(Keys!$C$7, US_national_yearly!$D$1:$AM$1, 0), FALSE), 1)</f>
        <v>1.70657680668861E-3</v>
      </c>
      <c r="N18" s="12">
        <f>$B18 * IFERROR(VLOOKUP(Substitution!$M$16 &amp; $A18, US_national_yearly!$D:$AM, MATCH(N$1, US_national_yearly!$D$1:$AM$1, 0), FALSE) / VLOOKUP(Substitution!$M$16 &amp; $A18, US_national_yearly!$D:$AM, MATCH(Keys!$C$7, US_national_yearly!$D$1:$AM$1, 0), FALSE), 1)</f>
        <v>1.7379426366453861E-3</v>
      </c>
      <c r="O18" s="12">
        <f>$B18 * IFERROR(VLOOKUP(Substitution!$M$16 &amp; $A18, US_national_yearly!$D:$AM, MATCH(O$1, US_national_yearly!$D$1:$AM$1, 0), FALSE) / VLOOKUP(Substitution!$M$16 &amp; $A18, US_national_yearly!$D:$AM, MATCH(Keys!$C$7, US_national_yearly!$D$1:$AM$1, 0), FALSE), 1)</f>
        <v>1.7693084666021621E-3</v>
      </c>
      <c r="P18" s="12">
        <f>$B18 * IFERROR(VLOOKUP(Substitution!$M$16 &amp; $A18, US_national_yearly!$D:$AM, MATCH(P$1, US_national_yearly!$D$1:$AM$1, 0), FALSE) / VLOOKUP(Substitution!$M$16 &amp; $A18, US_national_yearly!$D:$AM, MATCH(Keys!$C$7, US_national_yearly!$D$1:$AM$1, 0), FALSE), 1)</f>
        <v>1.8006742965589379E-3</v>
      </c>
      <c r="Q18" s="12">
        <f>$B18 * IFERROR(VLOOKUP(Substitution!$M$16 &amp; $A18, US_national_yearly!$D:$AM, MATCH(Q$1, US_national_yearly!$D$1:$AM$1, 0), FALSE) / VLOOKUP(Substitution!$M$16 &amp; $A18, US_national_yearly!$D:$AM, MATCH(Keys!$C$7, US_national_yearly!$D$1:$AM$1, 0), FALSE), 1)</f>
        <v>1.832040126515714E-3</v>
      </c>
      <c r="R18" s="12">
        <f>$B18 * IFERROR(VLOOKUP(Substitution!$M$16 &amp; $A18, US_national_yearly!$D:$AM, MATCH(R$1, US_national_yearly!$D$1:$AM$1, 0), FALSE) / VLOOKUP(Substitution!$M$16 &amp; $A18, US_national_yearly!$D:$AM, MATCH(Keys!$C$7, US_national_yearly!$D$1:$AM$1, 0), FALSE), 1)</f>
        <v>1.86340595647249E-3</v>
      </c>
      <c r="S18" s="12">
        <f>$B18 * IFERROR(VLOOKUP(Substitution!$M$16 &amp; $A18, US_national_yearly!$D:$AM, MATCH(S$1, US_national_yearly!$D$1:$AM$1, 0), FALSE) / VLOOKUP(Substitution!$M$16 &amp; $A18, US_national_yearly!$D:$AM, MATCH(Keys!$C$7, US_national_yearly!$D$1:$AM$1, 0), FALSE), 1)</f>
        <v>1.8786221415536862E-3</v>
      </c>
      <c r="T18" s="12">
        <f>$B18 * IFERROR(VLOOKUP(Substitution!$M$16 &amp; $A18, US_national_yearly!$D:$AM, MATCH(T$1, US_national_yearly!$D$1:$AM$1, 0), FALSE) / VLOOKUP(Substitution!$M$16 &amp; $A18, US_national_yearly!$D:$AM, MATCH(Keys!$C$7, US_national_yearly!$D$1:$AM$1, 0), FALSE), 1)</f>
        <v>1.8938383266348818E-3</v>
      </c>
      <c r="U18" s="12">
        <f>$B18 * IFERROR(VLOOKUP(Substitution!$M$16 &amp; $A18, US_national_yearly!$D:$AM, MATCH(U$1, US_national_yearly!$D$1:$AM$1, 0), FALSE) / VLOOKUP(Substitution!$M$16 &amp; $A18, US_national_yearly!$D:$AM, MATCH(Keys!$C$7, US_national_yearly!$D$1:$AM$1, 0), FALSE), 1)</f>
        <v>1.909054511716078E-3</v>
      </c>
      <c r="V18" s="12">
        <f>$B18 * IFERROR(VLOOKUP(Substitution!$M$16 &amp; $A18, US_national_yearly!$D:$AM, MATCH(V$1, US_national_yearly!$D$1:$AM$1, 0), FALSE) / VLOOKUP(Substitution!$M$16 &amp; $A18, US_national_yearly!$D:$AM, MATCH(Keys!$C$7, US_national_yearly!$D$1:$AM$1, 0), FALSE), 1)</f>
        <v>1.924270696797274E-3</v>
      </c>
      <c r="W18" s="12">
        <f>$B18 * IFERROR(VLOOKUP(Substitution!$M$16 &amp; $A18, US_national_yearly!$D:$AM, MATCH(W$1, US_national_yearly!$D$1:$AM$1, 0), FALSE) / VLOOKUP(Substitution!$M$16 &amp; $A18, US_national_yearly!$D:$AM, MATCH(Keys!$C$7, US_national_yearly!$D$1:$AM$1, 0), FALSE), 1)</f>
        <v>1.93948688187847E-3</v>
      </c>
      <c r="X18" s="12">
        <f>$B18 * IFERROR(VLOOKUP(Substitution!$M$16 &amp; $A18, US_national_yearly!$D:$AM, MATCH(X$1, US_national_yearly!$D$1:$AM$1, 0), FALSE) / VLOOKUP(Substitution!$M$16 &amp; $A18, US_national_yearly!$D:$AM, MATCH(Keys!$C$7, US_national_yearly!$D$1:$AM$1, 0), FALSE), 1)</f>
        <v>1.94431359861502E-3</v>
      </c>
      <c r="Y18" s="12">
        <f>$B18 * IFERROR(VLOOKUP(Substitution!$M$16 &amp; $A18, US_national_yearly!$D:$AM, MATCH(Y$1, US_national_yearly!$D$1:$AM$1, 0), FALSE) / VLOOKUP(Substitution!$M$16 &amp; $A18, US_national_yearly!$D:$AM, MATCH(Keys!$C$7, US_national_yearly!$D$1:$AM$1, 0), FALSE), 1)</f>
        <v>1.9491403153515702E-3</v>
      </c>
      <c r="Z18" s="12">
        <f>$B18 * IFERROR(VLOOKUP(Substitution!$M$16 &amp; $A18, US_national_yearly!$D:$AM, MATCH(Z$1, US_national_yearly!$D$1:$AM$1, 0), FALSE) / VLOOKUP(Substitution!$M$16 &amp; $A18, US_national_yearly!$D:$AM, MATCH(Keys!$C$7, US_national_yearly!$D$1:$AM$1, 0), FALSE), 1)</f>
        <v>1.95396703208812E-3</v>
      </c>
      <c r="AA18" s="12">
        <f>$B18 * IFERROR(VLOOKUP(Substitution!$M$16 &amp; $A18, US_national_yearly!$D:$AM, MATCH(AA$1, US_national_yearly!$D$1:$AM$1, 0), FALSE) / VLOOKUP(Substitution!$M$16 &amp; $A18, US_national_yearly!$D:$AM, MATCH(Keys!$C$7, US_national_yearly!$D$1:$AM$1, 0), FALSE), 1)</f>
        <v>1.9587937488246701E-3</v>
      </c>
      <c r="AB18" s="12">
        <f>$B18 * IFERROR(VLOOKUP(Substitution!$M$16 &amp; $A18, US_national_yearly!$D:$AM, MATCH(AB$1, US_national_yearly!$D$1:$AM$1, 0), FALSE) / VLOOKUP(Substitution!$M$16 &amp; $A18, US_national_yearly!$D:$AM, MATCH(Keys!$C$7, US_national_yearly!$D$1:$AM$1, 0), FALSE), 1)</f>
        <v>1.9636204655612199E-3</v>
      </c>
    </row>
    <row r="19" spans="1:28" x14ac:dyDescent="0.25">
      <c r="A19" s="4" t="s">
        <v>325</v>
      </c>
      <c r="B19" s="12">
        <f>IFERROR(VLOOKUP(Substitution!$M$16 &amp; $A19, US_national_yearly!$D:$AM, MATCH(Keys!$C$7, US_national_yearly!$D$1:$AM$1, 0), FALSE), 0)</f>
        <v>1.6106622475824819E-4</v>
      </c>
      <c r="C19" s="12">
        <f>$B19 * IFERROR(VLOOKUP(Substitution!$M$16 &amp; $A19, US_national_yearly!$D:$AM, MATCH(C$1, US_national_yearly!$D$1:$AM$1, 0), FALSE) / VLOOKUP(Substitution!$M$16 &amp; $A19, US_national_yearly!$D:$AM, MATCH(Keys!$C$7, US_national_yearly!$D$1:$AM$1, 0), FALSE), 1)</f>
        <v>1.6532080587304139E-4</v>
      </c>
      <c r="D19" s="12">
        <f>$B19 * IFERROR(VLOOKUP(Substitution!$M$16 &amp; $A19, US_national_yearly!$D:$AM, MATCH(D$1, US_national_yearly!$D$1:$AM$1, 0), FALSE) / VLOOKUP(Substitution!$M$16 &amp; $A19, US_national_yearly!$D:$AM, MATCH(Keys!$C$7, US_national_yearly!$D$1:$AM$1, 0), FALSE), 1)</f>
        <v>1.6957538698783459E-4</v>
      </c>
      <c r="E19" s="12">
        <f>$B19 * IFERROR(VLOOKUP(Substitution!$M$16 &amp; $A19, US_national_yearly!$D:$AM, MATCH(E$1, US_national_yearly!$D$1:$AM$1, 0), FALSE) / VLOOKUP(Substitution!$M$16 &amp; $A19, US_national_yearly!$D:$AM, MATCH(Keys!$C$7, US_national_yearly!$D$1:$AM$1, 0), FALSE), 1)</f>
        <v>1.7382996810262781E-4</v>
      </c>
      <c r="F19" s="12">
        <f>$B19 * IFERROR(VLOOKUP(Substitution!$M$16 &amp; $A19, US_national_yearly!$D:$AM, MATCH(F$1, US_national_yearly!$D$1:$AM$1, 0), FALSE) / VLOOKUP(Substitution!$M$16 &amp; $A19, US_national_yearly!$D:$AM, MATCH(Keys!$C$7, US_national_yearly!$D$1:$AM$1, 0), FALSE), 1)</f>
        <v>1.7808454921742101E-4</v>
      </c>
      <c r="G19" s="12">
        <f>$B19 * IFERROR(VLOOKUP(Substitution!$M$16 &amp; $A19, US_national_yearly!$D:$AM, MATCH(G$1, US_national_yearly!$D$1:$AM$1, 0), FALSE) / VLOOKUP(Substitution!$M$16 &amp; $A19, US_national_yearly!$D:$AM, MATCH(Keys!$C$7, US_national_yearly!$D$1:$AM$1, 0), FALSE), 1)</f>
        <v>1.816469363693745E-4</v>
      </c>
      <c r="H19" s="12">
        <f>$B19 * IFERROR(VLOOKUP(Substitution!$M$16 &amp; $A19, US_national_yearly!$D:$AM, MATCH(H$1, US_national_yearly!$D$1:$AM$1, 0), FALSE) / VLOOKUP(Substitution!$M$16 &amp; $A19, US_national_yearly!$D:$AM, MATCH(Keys!$C$7, US_national_yearly!$D$1:$AM$1, 0), FALSE), 1)</f>
        <v>1.8520932352132801E-4</v>
      </c>
      <c r="I19" s="12">
        <f>$B19 * IFERROR(VLOOKUP(Substitution!$M$16 &amp; $A19, US_national_yearly!$D:$AM, MATCH(I$1, US_national_yearly!$D$1:$AM$1, 0), FALSE) / VLOOKUP(Substitution!$M$16 &amp; $A19, US_national_yearly!$D:$AM, MATCH(Keys!$C$7, US_national_yearly!$D$1:$AM$1, 0), FALSE), 1)</f>
        <v>1.8755601205552817E-4</v>
      </c>
      <c r="J19" s="12">
        <f>$B19 * IFERROR(VLOOKUP(Substitution!$M$16 &amp; $A19, US_national_yearly!$D:$AM, MATCH(J$1, US_national_yearly!$D$1:$AM$1, 0), FALSE) / VLOOKUP(Substitution!$M$16 &amp; $A19, US_national_yearly!$D:$AM, MATCH(Keys!$C$7, US_national_yearly!$D$1:$AM$1, 0), FALSE), 1)</f>
        <v>1.8990270058972839E-4</v>
      </c>
      <c r="K19" s="12">
        <f>$B19 * IFERROR(VLOOKUP(Substitution!$M$16 &amp; $A19, US_national_yearly!$D:$AM, MATCH(K$1, US_national_yearly!$D$1:$AM$1, 0), FALSE) / VLOOKUP(Substitution!$M$16 &amp; $A19, US_national_yearly!$D:$AM, MATCH(Keys!$C$7, US_national_yearly!$D$1:$AM$1, 0), FALSE), 1)</f>
        <v>1.922493891239286E-4</v>
      </c>
      <c r="L19" s="12">
        <f>$B19 * IFERROR(VLOOKUP(Substitution!$M$16 &amp; $A19, US_national_yearly!$D:$AM, MATCH(L$1, US_national_yearly!$D$1:$AM$1, 0), FALSE) / VLOOKUP(Substitution!$M$16 &amp; $A19, US_national_yearly!$D:$AM, MATCH(Keys!$C$7, US_national_yearly!$D$1:$AM$1, 0), FALSE), 1)</f>
        <v>1.9459607765812877E-4</v>
      </c>
      <c r="M19" s="12">
        <f>$B19 * IFERROR(VLOOKUP(Substitution!$M$16 &amp; $A19, US_national_yearly!$D:$AM, MATCH(M$1, US_national_yearly!$D$1:$AM$1, 0), FALSE) / VLOOKUP(Substitution!$M$16 &amp; $A19, US_national_yearly!$D:$AM, MATCH(Keys!$C$7, US_national_yearly!$D$1:$AM$1, 0), FALSE), 1)</f>
        <v>1.9694276619232901E-4</v>
      </c>
      <c r="N19" s="12">
        <f>$B19 * IFERROR(VLOOKUP(Substitution!$M$16 &amp; $A19, US_national_yearly!$D:$AM, MATCH(N$1, US_national_yearly!$D$1:$AM$1, 0), FALSE) / VLOOKUP(Substitution!$M$16 &amp; $A19, US_national_yearly!$D:$AM, MATCH(Keys!$C$7, US_national_yearly!$D$1:$AM$1, 0), FALSE), 1)</f>
        <v>1.9811740871188859E-4</v>
      </c>
      <c r="O19" s="12">
        <f>$B19 * IFERROR(VLOOKUP(Substitution!$M$16 &amp; $A19, US_national_yearly!$D:$AM, MATCH(O$1, US_national_yearly!$D$1:$AM$1, 0), FALSE) / VLOOKUP(Substitution!$M$16 &amp; $A19, US_national_yearly!$D:$AM, MATCH(Keys!$C$7, US_national_yearly!$D$1:$AM$1, 0), FALSE), 1)</f>
        <v>1.9929205123144818E-4</v>
      </c>
      <c r="P19" s="12">
        <f>$B19 * IFERROR(VLOOKUP(Substitution!$M$16 &amp; $A19, US_national_yearly!$D:$AM, MATCH(P$1, US_national_yearly!$D$1:$AM$1, 0), FALSE) / VLOOKUP(Substitution!$M$16 &amp; $A19, US_national_yearly!$D:$AM, MATCH(Keys!$C$7, US_national_yearly!$D$1:$AM$1, 0), FALSE), 1)</f>
        <v>2.0046669375100779E-4</v>
      </c>
      <c r="Q19" s="12">
        <f>$B19 * IFERROR(VLOOKUP(Substitution!$M$16 &amp; $A19, US_national_yearly!$D:$AM, MATCH(Q$1, US_national_yearly!$D$1:$AM$1, 0), FALSE) / VLOOKUP(Substitution!$M$16 &amp; $A19, US_national_yearly!$D:$AM, MATCH(Keys!$C$7, US_national_yearly!$D$1:$AM$1, 0), FALSE), 1)</f>
        <v>2.016413362705674E-4</v>
      </c>
      <c r="R19" s="12">
        <f>$B19 * IFERROR(VLOOKUP(Substitution!$M$16 &amp; $A19, US_national_yearly!$D:$AM, MATCH(R$1, US_national_yearly!$D$1:$AM$1, 0), FALSE) / VLOOKUP(Substitution!$M$16 &amp; $A19, US_national_yearly!$D:$AM, MATCH(Keys!$C$7, US_national_yearly!$D$1:$AM$1, 0), FALSE), 1)</f>
        <v>2.0281597879012701E-4</v>
      </c>
      <c r="S19" s="12">
        <f>$B19 * IFERROR(VLOOKUP(Substitution!$M$16 &amp; $A19, US_national_yearly!$D:$AM, MATCH(S$1, US_national_yearly!$D$1:$AM$1, 0), FALSE) / VLOOKUP(Substitution!$M$16 &amp; $A19, US_national_yearly!$D:$AM, MATCH(Keys!$C$7, US_national_yearly!$D$1:$AM$1, 0), FALSE), 1)</f>
        <v>2.0348635813489461E-4</v>
      </c>
      <c r="T19" s="12">
        <f>$B19 * IFERROR(VLOOKUP(Substitution!$M$16 &amp; $A19, US_national_yearly!$D:$AM, MATCH(T$1, US_national_yearly!$D$1:$AM$1, 0), FALSE) / VLOOKUP(Substitution!$M$16 &amp; $A19, US_national_yearly!$D:$AM, MATCH(Keys!$C$7, US_national_yearly!$D$1:$AM$1, 0), FALSE), 1)</f>
        <v>2.0415673747966221E-4</v>
      </c>
      <c r="U19" s="12">
        <f>$B19 * IFERROR(VLOOKUP(Substitution!$M$16 &amp; $A19, US_national_yearly!$D:$AM, MATCH(U$1, US_national_yearly!$D$1:$AM$1, 0), FALSE) / VLOOKUP(Substitution!$M$16 &amp; $A19, US_national_yearly!$D:$AM, MATCH(Keys!$C$7, US_national_yearly!$D$1:$AM$1, 0), FALSE), 1)</f>
        <v>2.0482711682442978E-4</v>
      </c>
      <c r="V19" s="12">
        <f>$B19 * IFERROR(VLOOKUP(Substitution!$M$16 &amp; $A19, US_national_yearly!$D:$AM, MATCH(V$1, US_national_yearly!$D$1:$AM$1, 0), FALSE) / VLOOKUP(Substitution!$M$16 &amp; $A19, US_national_yearly!$D:$AM, MATCH(Keys!$C$7, US_national_yearly!$D$1:$AM$1, 0), FALSE), 1)</f>
        <v>2.054974961691974E-4</v>
      </c>
      <c r="W19" s="12">
        <f>$B19 * IFERROR(VLOOKUP(Substitution!$M$16 &amp; $A19, US_national_yearly!$D:$AM, MATCH(W$1, US_national_yearly!$D$1:$AM$1, 0), FALSE) / VLOOKUP(Substitution!$M$16 &amp; $A19, US_national_yearly!$D:$AM, MATCH(Keys!$C$7, US_national_yearly!$D$1:$AM$1, 0), FALSE), 1)</f>
        <v>2.06167875513965E-4</v>
      </c>
      <c r="X19" s="12">
        <f>$B19 * IFERROR(VLOOKUP(Substitution!$M$16 &amp; $A19, US_national_yearly!$D:$AM, MATCH(X$1, US_national_yearly!$D$1:$AM$1, 0), FALSE) / VLOOKUP(Substitution!$M$16 &amp; $A19, US_national_yearly!$D:$AM, MATCH(Keys!$C$7, US_national_yearly!$D$1:$AM$1, 0), FALSE), 1)</f>
        <v>2.071288386547384E-4</v>
      </c>
      <c r="Y19" s="12">
        <f>$B19 * IFERROR(VLOOKUP(Substitution!$M$16 &amp; $A19, US_national_yearly!$D:$AM, MATCH(Y$1, US_national_yearly!$D$1:$AM$1, 0), FALSE) / VLOOKUP(Substitution!$M$16 &amp; $A19, US_national_yearly!$D:$AM, MATCH(Keys!$C$7, US_national_yearly!$D$1:$AM$1, 0), FALSE), 1)</f>
        <v>2.080898017955118E-4</v>
      </c>
      <c r="Z19" s="12">
        <f>$B19 * IFERROR(VLOOKUP(Substitution!$M$16 &amp; $A19, US_national_yearly!$D:$AM, MATCH(Z$1, US_national_yearly!$D$1:$AM$1, 0), FALSE) / VLOOKUP(Substitution!$M$16 &amp; $A19, US_national_yearly!$D:$AM, MATCH(Keys!$C$7, US_national_yearly!$D$1:$AM$1, 0), FALSE), 1)</f>
        <v>2.0905076493628522E-4</v>
      </c>
      <c r="AA19" s="12">
        <f>$B19 * IFERROR(VLOOKUP(Substitution!$M$16 &amp; $A19, US_national_yearly!$D:$AM, MATCH(AA$1, US_national_yearly!$D$1:$AM$1, 0), FALSE) / VLOOKUP(Substitution!$M$16 &amp; $A19, US_national_yearly!$D:$AM, MATCH(Keys!$C$7, US_national_yearly!$D$1:$AM$1, 0), FALSE), 1)</f>
        <v>2.100117280770586E-4</v>
      </c>
      <c r="AB19" s="12">
        <f>$B19 * IFERROR(VLOOKUP(Substitution!$M$16 &amp; $A19, US_national_yearly!$D:$AM, MATCH(AB$1, US_national_yearly!$D$1:$AM$1, 0), FALSE) / VLOOKUP(Substitution!$M$16 &amp; $A19, US_national_yearly!$D:$AM, MATCH(Keys!$C$7, US_national_yearly!$D$1:$AM$1, 0), FALSE), 1)</f>
        <v>2.1097269121783199E-4</v>
      </c>
    </row>
    <row r="20" spans="1:28" x14ac:dyDescent="0.25">
      <c r="A20" s="4" t="s">
        <v>327</v>
      </c>
      <c r="B20" s="12">
        <f>IFERROR(VLOOKUP(Substitution!$M$16 &amp; $A20, US_national_yearly!$D:$AM, MATCH(Keys!$C$7, US_national_yearly!$D$1:$AM$1, 0), FALSE), 0)</f>
        <v>1.4931426477907901E-4</v>
      </c>
      <c r="C20" s="12">
        <f>$B20 * IFERROR(VLOOKUP(Substitution!$M$16 &amp; $A20, US_national_yearly!$D:$AM, MATCH(C$1, US_national_yearly!$D$1:$AM$1, 0), FALSE) / VLOOKUP(Substitution!$M$16 &amp; $A20, US_national_yearly!$D:$AM, MATCH(Keys!$C$7, US_national_yearly!$D$1:$AM$1, 0), FALSE), 1)</f>
        <v>1.5330053795942599E-4</v>
      </c>
      <c r="D20" s="12">
        <f>$B20 * IFERROR(VLOOKUP(Substitution!$M$16 &amp; $A20, US_national_yearly!$D:$AM, MATCH(D$1, US_national_yearly!$D$1:$AM$1, 0), FALSE) / VLOOKUP(Substitution!$M$16 &amp; $A20, US_national_yearly!$D:$AM, MATCH(Keys!$C$7, US_national_yearly!$D$1:$AM$1, 0), FALSE), 1)</f>
        <v>1.57286811139773E-4</v>
      </c>
      <c r="E20" s="12">
        <f>$B20 * IFERROR(VLOOKUP(Substitution!$M$16 &amp; $A20, US_national_yearly!$D:$AM, MATCH(E$1, US_national_yearly!$D$1:$AM$1, 0), FALSE) / VLOOKUP(Substitution!$M$16 &amp; $A20, US_national_yearly!$D:$AM, MATCH(Keys!$C$7, US_national_yearly!$D$1:$AM$1, 0), FALSE), 1)</f>
        <v>1.6127308432012E-4</v>
      </c>
      <c r="F20" s="12">
        <f>$B20 * IFERROR(VLOOKUP(Substitution!$M$16 &amp; $A20, US_national_yearly!$D:$AM, MATCH(F$1, US_national_yearly!$D$1:$AM$1, 0), FALSE) / VLOOKUP(Substitution!$M$16 &amp; $A20, US_national_yearly!$D:$AM, MATCH(Keys!$C$7, US_national_yearly!$D$1:$AM$1, 0), FALSE), 1)</f>
        <v>1.6525935750046701E-4</v>
      </c>
      <c r="G20" s="12">
        <f>$B20 * IFERROR(VLOOKUP(Substitution!$M$16 &amp; $A20, US_national_yearly!$D:$AM, MATCH(G$1, US_national_yearly!$D$1:$AM$1, 0), FALSE) / VLOOKUP(Substitution!$M$16 &amp; $A20, US_national_yearly!$D:$AM, MATCH(Keys!$C$7, US_national_yearly!$D$1:$AM$1, 0), FALSE), 1)</f>
        <v>1.6855797836412551E-4</v>
      </c>
      <c r="H20" s="12">
        <f>$B20 * IFERROR(VLOOKUP(Substitution!$M$16 &amp; $A20, US_national_yearly!$D:$AM, MATCH(H$1, US_national_yearly!$D$1:$AM$1, 0), FALSE) / VLOOKUP(Substitution!$M$16 &amp; $A20, US_national_yearly!$D:$AM, MATCH(Keys!$C$7, US_national_yearly!$D$1:$AM$1, 0), FALSE), 1)</f>
        <v>1.71856599227784E-4</v>
      </c>
      <c r="I20" s="12">
        <f>$B20 * IFERROR(VLOOKUP(Substitution!$M$16 &amp; $A20, US_national_yearly!$D:$AM, MATCH(I$1, US_national_yearly!$D$1:$AM$1, 0), FALSE) / VLOOKUP(Substitution!$M$16 &amp; $A20, US_national_yearly!$D:$AM, MATCH(Keys!$C$7, US_national_yearly!$D$1:$AM$1, 0), FALSE), 1)</f>
        <v>1.7390120936239419E-4</v>
      </c>
      <c r="J20" s="12">
        <f>$B20 * IFERROR(VLOOKUP(Substitution!$M$16 &amp; $A20, US_national_yearly!$D:$AM, MATCH(J$1, US_national_yearly!$D$1:$AM$1, 0), FALSE) / VLOOKUP(Substitution!$M$16 &amp; $A20, US_national_yearly!$D:$AM, MATCH(Keys!$C$7, US_national_yearly!$D$1:$AM$1, 0), FALSE), 1)</f>
        <v>1.7594581949700443E-4</v>
      </c>
      <c r="K20" s="12">
        <f>$B20 * IFERROR(VLOOKUP(Substitution!$M$16 &amp; $A20, US_national_yearly!$D:$AM, MATCH(K$1, US_national_yearly!$D$1:$AM$1, 0), FALSE) / VLOOKUP(Substitution!$M$16 &amp; $A20, US_national_yearly!$D:$AM, MATCH(Keys!$C$7, US_national_yearly!$D$1:$AM$1, 0), FALSE), 1)</f>
        <v>1.7799042963161459E-4</v>
      </c>
      <c r="L20" s="12">
        <f>$B20 * IFERROR(VLOOKUP(Substitution!$M$16 &amp; $A20, US_national_yearly!$D:$AM, MATCH(L$1, US_national_yearly!$D$1:$AM$1, 0), FALSE) / VLOOKUP(Substitution!$M$16 &amp; $A20, US_national_yearly!$D:$AM, MATCH(Keys!$C$7, US_national_yearly!$D$1:$AM$1, 0), FALSE), 1)</f>
        <v>1.8003503976622481E-4</v>
      </c>
      <c r="M20" s="12">
        <f>$B20 * IFERROR(VLOOKUP(Substitution!$M$16 &amp; $A20, US_national_yearly!$D:$AM, MATCH(M$1, US_national_yearly!$D$1:$AM$1, 0), FALSE) / VLOOKUP(Substitution!$M$16 &amp; $A20, US_national_yearly!$D:$AM, MATCH(Keys!$C$7, US_national_yearly!$D$1:$AM$1, 0), FALSE), 1)</f>
        <v>1.82079649900835E-4</v>
      </c>
      <c r="N20" s="12">
        <f>$B20 * IFERROR(VLOOKUP(Substitution!$M$16 &amp; $A20, US_national_yearly!$D:$AM, MATCH(N$1, US_national_yearly!$D$1:$AM$1, 0), FALSE) / VLOOKUP(Substitution!$M$16 &amp; $A20, US_national_yearly!$D:$AM, MATCH(Keys!$C$7, US_national_yearly!$D$1:$AM$1, 0), FALSE), 1)</f>
        <v>1.8306624386228877E-4</v>
      </c>
      <c r="O20" s="12">
        <f>$B20 * IFERROR(VLOOKUP(Substitution!$M$16 &amp; $A20, US_national_yearly!$D:$AM, MATCH(O$1, US_national_yearly!$D$1:$AM$1, 0), FALSE) / VLOOKUP(Substitution!$M$16 &amp; $A20, US_national_yearly!$D:$AM, MATCH(Keys!$C$7, US_national_yearly!$D$1:$AM$1, 0), FALSE), 1)</f>
        <v>1.840528378237426E-4</v>
      </c>
      <c r="P20" s="12">
        <f>$B20 * IFERROR(VLOOKUP(Substitution!$M$16 &amp; $A20, US_national_yearly!$D:$AM, MATCH(P$1, US_national_yearly!$D$1:$AM$1, 0), FALSE) / VLOOKUP(Substitution!$M$16 &amp; $A20, US_national_yearly!$D:$AM, MATCH(Keys!$C$7, US_national_yearly!$D$1:$AM$1, 0), FALSE), 1)</f>
        <v>1.850394317851964E-4</v>
      </c>
      <c r="Q20" s="12">
        <f>$B20 * IFERROR(VLOOKUP(Substitution!$M$16 &amp; $A20, US_national_yearly!$D:$AM, MATCH(Q$1, US_national_yearly!$D$1:$AM$1, 0), FALSE) / VLOOKUP(Substitution!$M$16 &amp; $A20, US_national_yearly!$D:$AM, MATCH(Keys!$C$7, US_national_yearly!$D$1:$AM$1, 0), FALSE), 1)</f>
        <v>1.860260257466502E-4</v>
      </c>
      <c r="R20" s="12">
        <f>$B20 * IFERROR(VLOOKUP(Substitution!$M$16 &amp; $A20, US_national_yearly!$D:$AM, MATCH(R$1, US_national_yearly!$D$1:$AM$1, 0), FALSE) / VLOOKUP(Substitution!$M$16 &amp; $A20, US_national_yearly!$D:$AM, MATCH(Keys!$C$7, US_national_yearly!$D$1:$AM$1, 0), FALSE), 1)</f>
        <v>1.87012619708104E-4</v>
      </c>
      <c r="S20" s="12">
        <f>$B20 * IFERROR(VLOOKUP(Substitution!$M$16 &amp; $A20, US_national_yearly!$D:$AM, MATCH(S$1, US_national_yearly!$D$1:$AM$1, 0), FALSE) / VLOOKUP(Substitution!$M$16 &amp; $A20, US_national_yearly!$D:$AM, MATCH(Keys!$C$7, US_national_yearly!$D$1:$AM$1, 0), FALSE), 1)</f>
        <v>1.8754024126269297E-4</v>
      </c>
      <c r="T20" s="12">
        <f>$B20 * IFERROR(VLOOKUP(Substitution!$M$16 &amp; $A20, US_national_yearly!$D:$AM, MATCH(T$1, US_national_yearly!$D$1:$AM$1, 0), FALSE) / VLOOKUP(Substitution!$M$16 &amp; $A20, US_national_yearly!$D:$AM, MATCH(Keys!$C$7, US_national_yearly!$D$1:$AM$1, 0), FALSE), 1)</f>
        <v>1.8806786281728199E-4</v>
      </c>
      <c r="U20" s="12">
        <f>$B20 * IFERROR(VLOOKUP(Substitution!$M$16 &amp; $A20, US_national_yearly!$D:$AM, MATCH(U$1, US_national_yearly!$D$1:$AM$1, 0), FALSE) / VLOOKUP(Substitution!$M$16 &amp; $A20, US_national_yearly!$D:$AM, MATCH(Keys!$C$7, US_national_yearly!$D$1:$AM$1, 0), FALSE), 1)</f>
        <v>1.8859548437187099E-4</v>
      </c>
      <c r="V20" s="12">
        <f>$B20 * IFERROR(VLOOKUP(Substitution!$M$16 &amp; $A20, US_national_yearly!$D:$AM, MATCH(V$1, US_national_yearly!$D$1:$AM$1, 0), FALSE) / VLOOKUP(Substitution!$M$16 &amp; $A20, US_national_yearly!$D:$AM, MATCH(Keys!$C$7, US_national_yearly!$D$1:$AM$1, 0), FALSE), 1)</f>
        <v>1.8912310592646001E-4</v>
      </c>
      <c r="W20" s="12">
        <f>$B20 * IFERROR(VLOOKUP(Substitution!$M$16 &amp; $A20, US_national_yearly!$D:$AM, MATCH(W$1, US_national_yearly!$D$1:$AM$1, 0), FALSE) / VLOOKUP(Substitution!$M$16 &amp; $A20, US_national_yearly!$D:$AM, MATCH(Keys!$C$7, US_national_yearly!$D$1:$AM$1, 0), FALSE), 1)</f>
        <v>1.8965072748104901E-4</v>
      </c>
      <c r="X20" s="12">
        <f>$B20 * IFERROR(VLOOKUP(Substitution!$M$16 &amp; $A20, US_national_yearly!$D:$AM, MATCH(X$1, US_national_yearly!$D$1:$AM$1, 0), FALSE) / VLOOKUP(Substitution!$M$16 &amp; $A20, US_national_yearly!$D:$AM, MATCH(Keys!$C$7, US_national_yearly!$D$1:$AM$1, 0), FALSE), 1)</f>
        <v>1.9056242566924944E-4</v>
      </c>
      <c r="Y20" s="12">
        <f>$B20 * IFERROR(VLOOKUP(Substitution!$M$16 &amp; $A20, US_national_yearly!$D:$AM, MATCH(Y$1, US_national_yearly!$D$1:$AM$1, 0), FALSE) / VLOOKUP(Substitution!$M$16 &amp; $A20, US_national_yearly!$D:$AM, MATCH(Keys!$C$7, US_national_yearly!$D$1:$AM$1, 0), FALSE), 1)</f>
        <v>1.9147412385744981E-4</v>
      </c>
      <c r="Z20" s="12">
        <f>$B20 * IFERROR(VLOOKUP(Substitution!$M$16 &amp; $A20, US_national_yearly!$D:$AM, MATCH(Z$1, US_national_yearly!$D$1:$AM$1, 0), FALSE) / VLOOKUP(Substitution!$M$16 &amp; $A20, US_national_yearly!$D:$AM, MATCH(Keys!$C$7, US_national_yearly!$D$1:$AM$1, 0), FALSE), 1)</f>
        <v>1.9238582204565019E-4</v>
      </c>
      <c r="AA20" s="12">
        <f>$B20 * IFERROR(VLOOKUP(Substitution!$M$16 &amp; $A20, US_national_yearly!$D:$AM, MATCH(AA$1, US_national_yearly!$D$1:$AM$1, 0), FALSE) / VLOOKUP(Substitution!$M$16 &amp; $A20, US_national_yearly!$D:$AM, MATCH(Keys!$C$7, US_national_yearly!$D$1:$AM$1, 0), FALSE), 1)</f>
        <v>1.9329752023385059E-4</v>
      </c>
      <c r="AB20" s="12">
        <f>$B20 * IFERROR(VLOOKUP(Substitution!$M$16 &amp; $A20, US_national_yearly!$D:$AM, MATCH(AB$1, US_national_yearly!$D$1:$AM$1, 0), FALSE) / VLOOKUP(Substitution!$M$16 &amp; $A20, US_national_yearly!$D:$AM, MATCH(Keys!$C$7, US_national_yearly!$D$1:$AM$1, 0), FALSE), 1)</f>
        <v>1.9420921842205102E-4</v>
      </c>
    </row>
    <row r="21" spans="1:28" x14ac:dyDescent="0.25">
      <c r="A21" s="4" t="s">
        <v>329</v>
      </c>
      <c r="B21" s="12">
        <f>IFERROR(VLOOKUP(Substitution!$M$16 &amp; $A21, US_national_yearly!$D:$AM, MATCH(Keys!$C$7, US_national_yearly!$D$1:$AM$1, 0), FALSE), 0)</f>
        <v>3.5165316585465423E-5</v>
      </c>
      <c r="C21" s="12">
        <f>$B21 * IFERROR(VLOOKUP(Substitution!$M$16 &amp; $A21, US_national_yearly!$D:$AM, MATCH(C$1, US_national_yearly!$D$1:$AM$1, 0), FALSE) / VLOOKUP(Substitution!$M$16 &amp; $A21, US_national_yearly!$D:$AM, MATCH(Keys!$C$7, US_national_yearly!$D$1:$AM$1, 0), FALSE), 1)</f>
        <v>3.5693518824525041E-5</v>
      </c>
      <c r="D21" s="12">
        <f>$B21 * IFERROR(VLOOKUP(Substitution!$M$16 &amp; $A21, US_national_yearly!$D:$AM, MATCH(D$1, US_national_yearly!$D$1:$AM$1, 0), FALSE) / VLOOKUP(Substitution!$M$16 &amp; $A21, US_national_yearly!$D:$AM, MATCH(Keys!$C$7, US_national_yearly!$D$1:$AM$1, 0), FALSE), 1)</f>
        <v>3.6221721063584659E-5</v>
      </c>
      <c r="E21" s="12">
        <f>$B21 * IFERROR(VLOOKUP(Substitution!$M$16 &amp; $A21, US_national_yearly!$D:$AM, MATCH(E$1, US_national_yearly!$D$1:$AM$1, 0), FALSE) / VLOOKUP(Substitution!$M$16 &amp; $A21, US_national_yearly!$D:$AM, MATCH(Keys!$C$7, US_national_yearly!$D$1:$AM$1, 0), FALSE), 1)</f>
        <v>3.6749923302644271E-5</v>
      </c>
      <c r="F21" s="12">
        <f>$B21 * IFERROR(VLOOKUP(Substitution!$M$16 &amp; $A21, US_national_yearly!$D:$AM, MATCH(F$1, US_national_yearly!$D$1:$AM$1, 0), FALSE) / VLOOKUP(Substitution!$M$16 &amp; $A21, US_national_yearly!$D:$AM, MATCH(Keys!$C$7, US_national_yearly!$D$1:$AM$1, 0), FALSE), 1)</f>
        <v>3.7278125541703902E-5</v>
      </c>
      <c r="G21" s="12">
        <f>$B21 * IFERROR(VLOOKUP(Substitution!$M$16 &amp; $A21, US_national_yearly!$D:$AM, MATCH(G$1, US_national_yearly!$D$1:$AM$1, 0), FALSE) / VLOOKUP(Substitution!$M$16 &amp; $A21, US_national_yearly!$D:$AM, MATCH(Keys!$C$7, US_national_yearly!$D$1:$AM$1, 0), FALSE), 1)</f>
        <v>3.777637247839955E-5</v>
      </c>
      <c r="H21" s="12">
        <f>$B21 * IFERROR(VLOOKUP(Substitution!$M$16 &amp; $A21, US_national_yearly!$D:$AM, MATCH(H$1, US_national_yearly!$D$1:$AM$1, 0), FALSE) / VLOOKUP(Substitution!$M$16 &amp; $A21, US_national_yearly!$D:$AM, MATCH(Keys!$C$7, US_national_yearly!$D$1:$AM$1, 0), FALSE), 1)</f>
        <v>3.8274619415095197E-5</v>
      </c>
      <c r="I21" s="12">
        <f>$B21 * IFERROR(VLOOKUP(Substitution!$M$16 &amp; $A21, US_national_yearly!$D:$AM, MATCH(I$1, US_national_yearly!$D$1:$AM$1, 0), FALSE) / VLOOKUP(Substitution!$M$16 &amp; $A21, US_national_yearly!$D:$AM, MATCH(Keys!$C$7, US_national_yearly!$D$1:$AM$1, 0), FALSE), 1)</f>
        <v>3.8668761820373803E-5</v>
      </c>
      <c r="J21" s="12">
        <f>$B21 * IFERROR(VLOOKUP(Substitution!$M$16 &amp; $A21, US_national_yearly!$D:$AM, MATCH(J$1, US_national_yearly!$D$1:$AM$1, 0), FALSE) / VLOOKUP(Substitution!$M$16 &amp; $A21, US_national_yearly!$D:$AM, MATCH(Keys!$C$7, US_national_yearly!$D$1:$AM$1, 0), FALSE), 1)</f>
        <v>3.9062904225652402E-5</v>
      </c>
      <c r="K21" s="12">
        <f>$B21 * IFERROR(VLOOKUP(Substitution!$M$16 &amp; $A21, US_national_yearly!$D:$AM, MATCH(K$1, US_national_yearly!$D$1:$AM$1, 0), FALSE) / VLOOKUP(Substitution!$M$16 &amp; $A21, US_national_yearly!$D:$AM, MATCH(Keys!$C$7, US_national_yearly!$D$1:$AM$1, 0), FALSE), 1)</f>
        <v>3.9457046630931008E-5</v>
      </c>
      <c r="L21" s="12">
        <f>$B21 * IFERROR(VLOOKUP(Substitution!$M$16 &amp; $A21, US_national_yearly!$D:$AM, MATCH(L$1, US_national_yearly!$D$1:$AM$1, 0), FALSE) / VLOOKUP(Substitution!$M$16 &amp; $A21, US_national_yearly!$D:$AM, MATCH(Keys!$C$7, US_national_yearly!$D$1:$AM$1, 0), FALSE), 1)</f>
        <v>3.98511890362096E-5</v>
      </c>
      <c r="M21" s="12">
        <f>$B21 * IFERROR(VLOOKUP(Substitution!$M$16 &amp; $A21, US_national_yearly!$D:$AM, MATCH(M$1, US_national_yearly!$D$1:$AM$1, 0), FALSE) / VLOOKUP(Substitution!$M$16 &amp; $A21, US_national_yearly!$D:$AM, MATCH(Keys!$C$7, US_national_yearly!$D$1:$AM$1, 0), FALSE), 1)</f>
        <v>4.0245331441488199E-5</v>
      </c>
      <c r="N21" s="12">
        <f>$B21 * IFERROR(VLOOKUP(Substitution!$M$16 &amp; $A21, US_national_yearly!$D:$AM, MATCH(N$1, US_national_yearly!$D$1:$AM$1, 0), FALSE) / VLOOKUP(Substitution!$M$16 &amp; $A21, US_national_yearly!$D:$AM, MATCH(Keys!$C$7, US_national_yearly!$D$1:$AM$1, 0), FALSE), 1)</f>
        <v>4.0519962689674698E-5</v>
      </c>
      <c r="O21" s="12">
        <f>$B21 * IFERROR(VLOOKUP(Substitution!$M$16 &amp; $A21, US_national_yearly!$D:$AM, MATCH(O$1, US_national_yearly!$D$1:$AM$1, 0), FALSE) / VLOOKUP(Substitution!$M$16 &amp; $A21, US_national_yearly!$D:$AM, MATCH(Keys!$C$7, US_national_yearly!$D$1:$AM$1, 0), FALSE), 1)</f>
        <v>4.0794593937861203E-5</v>
      </c>
      <c r="P21" s="12">
        <f>$B21 * IFERROR(VLOOKUP(Substitution!$M$16 &amp; $A21, US_national_yearly!$D:$AM, MATCH(P$1, US_national_yearly!$D$1:$AM$1, 0), FALSE) / VLOOKUP(Substitution!$M$16 &amp; $A21, US_national_yearly!$D:$AM, MATCH(Keys!$C$7, US_national_yearly!$D$1:$AM$1, 0), FALSE), 1)</f>
        <v>4.1069225186047702E-5</v>
      </c>
      <c r="Q21" s="12">
        <f>$B21 * IFERROR(VLOOKUP(Substitution!$M$16 &amp; $A21, US_national_yearly!$D:$AM, MATCH(Q$1, US_national_yearly!$D$1:$AM$1, 0), FALSE) / VLOOKUP(Substitution!$M$16 &amp; $A21, US_national_yearly!$D:$AM, MATCH(Keys!$C$7, US_national_yearly!$D$1:$AM$1, 0), FALSE), 1)</f>
        <v>4.13438564342342E-5</v>
      </c>
      <c r="R21" s="12">
        <f>$B21 * IFERROR(VLOOKUP(Substitution!$M$16 &amp; $A21, US_national_yearly!$D:$AM, MATCH(R$1, US_national_yearly!$D$1:$AM$1, 0), FALSE) / VLOOKUP(Substitution!$M$16 &amp; $A21, US_national_yearly!$D:$AM, MATCH(Keys!$C$7, US_national_yearly!$D$1:$AM$1, 0), FALSE), 1)</f>
        <v>4.1618487682420699E-5</v>
      </c>
      <c r="S21" s="12">
        <f>$B21 * IFERROR(VLOOKUP(Substitution!$M$16 &amp; $A21, US_national_yearly!$D:$AM, MATCH(S$1, US_national_yearly!$D$1:$AM$1, 0), FALSE) / VLOOKUP(Substitution!$M$16 &amp; $A21, US_national_yearly!$D:$AM, MATCH(Keys!$C$7, US_national_yearly!$D$1:$AM$1, 0), FALSE), 1)</f>
        <v>4.18376222295981E-5</v>
      </c>
      <c r="T21" s="12">
        <f>$B21 * IFERROR(VLOOKUP(Substitution!$M$16 &amp; $A21, US_national_yearly!$D:$AM, MATCH(T$1, US_national_yearly!$D$1:$AM$1, 0), FALSE) / VLOOKUP(Substitution!$M$16 &amp; $A21, US_national_yearly!$D:$AM, MATCH(Keys!$C$7, US_national_yearly!$D$1:$AM$1, 0), FALSE), 1)</f>
        <v>4.2056756776775494E-5</v>
      </c>
      <c r="U21" s="12">
        <f>$B21 * IFERROR(VLOOKUP(Substitution!$M$16 &amp; $A21, US_national_yearly!$D:$AM, MATCH(U$1, US_national_yearly!$D$1:$AM$1, 0), FALSE) / VLOOKUP(Substitution!$M$16 &amp; $A21, US_national_yearly!$D:$AM, MATCH(Keys!$C$7, US_national_yearly!$D$1:$AM$1, 0), FALSE), 1)</f>
        <v>4.2275891323952902E-5</v>
      </c>
      <c r="V21" s="12">
        <f>$B21 * IFERROR(VLOOKUP(Substitution!$M$16 &amp; $A21, US_national_yearly!$D:$AM, MATCH(V$1, US_national_yearly!$D$1:$AM$1, 0), FALSE) / VLOOKUP(Substitution!$M$16 &amp; $A21, US_national_yearly!$D:$AM, MATCH(Keys!$C$7, US_national_yearly!$D$1:$AM$1, 0), FALSE), 1)</f>
        <v>4.2495025871130303E-5</v>
      </c>
      <c r="W21" s="12">
        <f>$B21 * IFERROR(VLOOKUP(Substitution!$M$16 &amp; $A21, US_national_yearly!$D:$AM, MATCH(W$1, US_national_yearly!$D$1:$AM$1, 0), FALSE) / VLOOKUP(Substitution!$M$16 &amp; $A21, US_national_yearly!$D:$AM, MATCH(Keys!$C$7, US_national_yearly!$D$1:$AM$1, 0), FALSE), 1)</f>
        <v>4.2714160418307698E-5</v>
      </c>
      <c r="X21" s="12">
        <f>$B21 * IFERROR(VLOOKUP(Substitution!$M$16 &amp; $A21, US_national_yearly!$D:$AM, MATCH(X$1, US_national_yearly!$D$1:$AM$1, 0), FALSE) / VLOOKUP(Substitution!$M$16 &amp; $A21, US_national_yearly!$D:$AM, MATCH(Keys!$C$7, US_national_yearly!$D$1:$AM$1, 0), FALSE), 1)</f>
        <v>4.2954089609020259E-5</v>
      </c>
      <c r="Y21" s="12">
        <f>$B21 * IFERROR(VLOOKUP(Substitution!$M$16 &amp; $A21, US_national_yearly!$D:$AM, MATCH(Y$1, US_national_yearly!$D$1:$AM$1, 0), FALSE) / VLOOKUP(Substitution!$M$16 &amp; $A21, US_national_yearly!$D:$AM, MATCH(Keys!$C$7, US_national_yearly!$D$1:$AM$1, 0), FALSE), 1)</f>
        <v>4.3194018799732821E-5</v>
      </c>
      <c r="Z21" s="12">
        <f>$B21 * IFERROR(VLOOKUP(Substitution!$M$16 &amp; $A21, US_national_yearly!$D:$AM, MATCH(Z$1, US_national_yearly!$D$1:$AM$1, 0), FALSE) / VLOOKUP(Substitution!$M$16 &amp; $A21, US_national_yearly!$D:$AM, MATCH(Keys!$C$7, US_national_yearly!$D$1:$AM$1, 0), FALSE), 1)</f>
        <v>4.3433947990445383E-5</v>
      </c>
      <c r="AA21" s="12">
        <f>$B21 * IFERROR(VLOOKUP(Substitution!$M$16 &amp; $A21, US_national_yearly!$D:$AM, MATCH(AA$1, US_national_yearly!$D$1:$AM$1, 0), FALSE) / VLOOKUP(Substitution!$M$16 &amp; $A21, US_national_yearly!$D:$AM, MATCH(Keys!$C$7, US_national_yearly!$D$1:$AM$1, 0), FALSE), 1)</f>
        <v>4.3673877181157944E-5</v>
      </c>
      <c r="AB21" s="12">
        <f>$B21 * IFERROR(VLOOKUP(Substitution!$M$16 &amp; $A21, US_national_yearly!$D:$AM, MATCH(AB$1, US_national_yearly!$D$1:$AM$1, 0), FALSE) / VLOOKUP(Substitution!$M$16 &amp; $A21, US_national_yearly!$D:$AM, MATCH(Keys!$C$7, US_national_yearly!$D$1:$AM$1, 0), FALSE), 1)</f>
        <v>4.3913806371870499E-5</v>
      </c>
    </row>
    <row r="22" spans="1:28" x14ac:dyDescent="0.25">
      <c r="A22" s="4" t="s">
        <v>331</v>
      </c>
      <c r="B22" s="12">
        <f>IFERROR(VLOOKUP(Substitution!$M$16 &amp; $A22, US_national_yearly!$D:$AM, MATCH(Keys!$C$7, US_national_yearly!$D$1:$AM$1, 0), FALSE), 0)</f>
        <v>7.593147612406098E-4</v>
      </c>
      <c r="C22" s="12">
        <f>$B22 * IFERROR(VLOOKUP(Substitution!$M$16 &amp; $A22, US_national_yearly!$D:$AM, MATCH(C$1, US_national_yearly!$D$1:$AM$1, 0), FALSE) / VLOOKUP(Substitution!$M$16 &amp; $A22, US_national_yearly!$D:$AM, MATCH(Keys!$C$7, US_national_yearly!$D$1:$AM$1, 0), FALSE), 1)</f>
        <v>7.7337344946383144E-4</v>
      </c>
      <c r="D22" s="12">
        <f>$B22 * IFERROR(VLOOKUP(Substitution!$M$16 &amp; $A22, US_national_yearly!$D:$AM, MATCH(D$1, US_national_yearly!$D$1:$AM$1, 0), FALSE) / VLOOKUP(Substitution!$M$16 &amp; $A22, US_national_yearly!$D:$AM, MATCH(Keys!$C$7, US_national_yearly!$D$1:$AM$1, 0), FALSE), 1)</f>
        <v>7.8743213768705351E-4</v>
      </c>
      <c r="E22" s="12">
        <f>$B22 * IFERROR(VLOOKUP(Substitution!$M$16 &amp; $A22, US_national_yearly!$D:$AM, MATCH(E$1, US_national_yearly!$D$1:$AM$1, 0), FALSE) / VLOOKUP(Substitution!$M$16 &amp; $A22, US_national_yearly!$D:$AM, MATCH(Keys!$C$7, US_national_yearly!$D$1:$AM$1, 0), FALSE), 1)</f>
        <v>8.0149082591027515E-4</v>
      </c>
      <c r="F22" s="12">
        <f>$B22 * IFERROR(VLOOKUP(Substitution!$M$16 &amp; $A22, US_national_yearly!$D:$AM, MATCH(F$1, US_national_yearly!$D$1:$AM$1, 0), FALSE) / VLOOKUP(Substitution!$M$16 &amp; $A22, US_national_yearly!$D:$AM, MATCH(Keys!$C$7, US_national_yearly!$D$1:$AM$1, 0), FALSE), 1)</f>
        <v>8.15549514133497E-4</v>
      </c>
      <c r="G22" s="12">
        <f>$B22 * IFERROR(VLOOKUP(Substitution!$M$16 &amp; $A22, US_national_yearly!$D:$AM, MATCH(G$1, US_national_yearly!$D$1:$AM$1, 0), FALSE) / VLOOKUP(Substitution!$M$16 &amp; $A22, US_national_yearly!$D:$AM, MATCH(Keys!$C$7, US_national_yearly!$D$1:$AM$1, 0), FALSE), 1)</f>
        <v>8.2931822585687802E-4</v>
      </c>
      <c r="H22" s="12">
        <f>$B22 * IFERROR(VLOOKUP(Substitution!$M$16 &amp; $A22, US_national_yearly!$D:$AM, MATCH(H$1, US_national_yearly!$D$1:$AM$1, 0), FALSE) / VLOOKUP(Substitution!$M$16 &amp; $A22, US_national_yearly!$D:$AM, MATCH(Keys!$C$7, US_national_yearly!$D$1:$AM$1, 0), FALSE), 1)</f>
        <v>8.4308693758025903E-4</v>
      </c>
      <c r="I22" s="12">
        <f>$B22 * IFERROR(VLOOKUP(Substitution!$M$16 &amp; $A22, US_national_yearly!$D:$AM, MATCH(I$1, US_national_yearly!$D$1:$AM$1, 0), FALSE) / VLOOKUP(Substitution!$M$16 &amp; $A22, US_national_yearly!$D:$AM, MATCH(Keys!$C$7, US_national_yearly!$D$1:$AM$1, 0), FALSE), 1)</f>
        <v>8.5646180076837325E-4</v>
      </c>
      <c r="J22" s="12">
        <f>$B22 * IFERROR(VLOOKUP(Substitution!$M$16 &amp; $A22, US_national_yearly!$D:$AM, MATCH(J$1, US_national_yearly!$D$1:$AM$1, 0), FALSE) / VLOOKUP(Substitution!$M$16 &amp; $A22, US_national_yearly!$D:$AM, MATCH(Keys!$C$7, US_national_yearly!$D$1:$AM$1, 0), FALSE), 1)</f>
        <v>8.6983666395648747E-4</v>
      </c>
      <c r="K22" s="12">
        <f>$B22 * IFERROR(VLOOKUP(Substitution!$M$16 &amp; $A22, US_national_yearly!$D:$AM, MATCH(K$1, US_national_yearly!$D$1:$AM$1, 0), FALSE) / VLOOKUP(Substitution!$M$16 &amp; $A22, US_national_yearly!$D:$AM, MATCH(Keys!$C$7, US_national_yearly!$D$1:$AM$1, 0), FALSE), 1)</f>
        <v>8.8321152714460158E-4</v>
      </c>
      <c r="L22" s="12">
        <f>$B22 * IFERROR(VLOOKUP(Substitution!$M$16 &amp; $A22, US_national_yearly!$D:$AM, MATCH(L$1, US_national_yearly!$D$1:$AM$1, 0), FALSE) / VLOOKUP(Substitution!$M$16 &amp; $A22, US_national_yearly!$D:$AM, MATCH(Keys!$C$7, US_national_yearly!$D$1:$AM$1, 0), FALSE), 1)</f>
        <v>8.965863903327158E-4</v>
      </c>
      <c r="M22" s="12">
        <f>$B22 * IFERROR(VLOOKUP(Substitution!$M$16 &amp; $A22, US_national_yearly!$D:$AM, MATCH(M$1, US_national_yearly!$D$1:$AM$1, 0), FALSE) / VLOOKUP(Substitution!$M$16 &amp; $A22, US_national_yearly!$D:$AM, MATCH(Keys!$C$7, US_national_yearly!$D$1:$AM$1, 0), FALSE), 1)</f>
        <v>9.0996125352083002E-4</v>
      </c>
      <c r="N22" s="12">
        <f>$B22 * IFERROR(VLOOKUP(Substitution!$M$16 &amp; $A22, US_national_yearly!$D:$AM, MATCH(N$1, US_national_yearly!$D$1:$AM$1, 0), FALSE) / VLOOKUP(Substitution!$M$16 &amp; $A22, US_national_yearly!$D:$AM, MATCH(Keys!$C$7, US_national_yearly!$D$1:$AM$1, 0), FALSE), 1)</f>
        <v>9.2076758106711116E-4</v>
      </c>
      <c r="O22" s="12">
        <f>$B22 * IFERROR(VLOOKUP(Substitution!$M$16 &amp; $A22, US_national_yearly!$D:$AM, MATCH(O$1, US_national_yearly!$D$1:$AM$1, 0), FALSE) / VLOOKUP(Substitution!$M$16 &amp; $A22, US_national_yearly!$D:$AM, MATCH(Keys!$C$7, US_national_yearly!$D$1:$AM$1, 0), FALSE), 1)</f>
        <v>9.3157390861339242E-4</v>
      </c>
      <c r="P22" s="12">
        <f>$B22 * IFERROR(VLOOKUP(Substitution!$M$16 &amp; $A22, US_national_yearly!$D:$AM, MATCH(P$1, US_national_yearly!$D$1:$AM$1, 0), FALSE) / VLOOKUP(Substitution!$M$16 &amp; $A22, US_national_yearly!$D:$AM, MATCH(Keys!$C$7, US_national_yearly!$D$1:$AM$1, 0), FALSE), 1)</f>
        <v>9.4238023615967345E-4</v>
      </c>
      <c r="Q22" s="12">
        <f>$B22 * IFERROR(VLOOKUP(Substitution!$M$16 &amp; $A22, US_national_yearly!$D:$AM, MATCH(Q$1, US_national_yearly!$D$1:$AM$1, 0), FALSE) / VLOOKUP(Substitution!$M$16 &amp; $A22, US_national_yearly!$D:$AM, MATCH(Keys!$C$7, US_national_yearly!$D$1:$AM$1, 0), FALSE), 1)</f>
        <v>9.5318656370595471E-4</v>
      </c>
      <c r="R22" s="12">
        <f>$B22 * IFERROR(VLOOKUP(Substitution!$M$16 &amp; $A22, US_national_yearly!$D:$AM, MATCH(R$1, US_national_yearly!$D$1:$AM$1, 0), FALSE) / VLOOKUP(Substitution!$M$16 &amp; $A22, US_national_yearly!$D:$AM, MATCH(Keys!$C$7, US_national_yearly!$D$1:$AM$1, 0), FALSE), 1)</f>
        <v>9.6399289125223607E-4</v>
      </c>
      <c r="S22" s="12">
        <f>$B22 * IFERROR(VLOOKUP(Substitution!$M$16 &amp; $A22, US_national_yearly!$D:$AM, MATCH(S$1, US_national_yearly!$D$1:$AM$1, 0), FALSE) / VLOOKUP(Substitution!$M$16 &amp; $A22, US_national_yearly!$D:$AM, MATCH(Keys!$C$7, US_national_yearly!$D$1:$AM$1, 0), FALSE), 1)</f>
        <v>9.7154916269321073E-4</v>
      </c>
      <c r="T22" s="12">
        <f>$B22 * IFERROR(VLOOKUP(Substitution!$M$16 &amp; $A22, US_national_yearly!$D:$AM, MATCH(T$1, US_national_yearly!$D$1:$AM$1, 0), FALSE) / VLOOKUP(Substitution!$M$16 &amp; $A22, US_national_yearly!$D:$AM, MATCH(Keys!$C$7, US_national_yearly!$D$1:$AM$1, 0), FALSE), 1)</f>
        <v>9.7910543413418549E-4</v>
      </c>
      <c r="U22" s="12">
        <f>$B22 * IFERROR(VLOOKUP(Substitution!$M$16 &amp; $A22, US_national_yearly!$D:$AM, MATCH(U$1, US_national_yearly!$D$1:$AM$1, 0), FALSE) / VLOOKUP(Substitution!$M$16 &amp; $A22, US_national_yearly!$D:$AM, MATCH(Keys!$C$7, US_national_yearly!$D$1:$AM$1, 0), FALSE), 1)</f>
        <v>9.8666170557516037E-4</v>
      </c>
      <c r="V22" s="12">
        <f>$B22 * IFERROR(VLOOKUP(Substitution!$M$16 &amp; $A22, US_national_yearly!$D:$AM, MATCH(V$1, US_national_yearly!$D$1:$AM$1, 0), FALSE) / VLOOKUP(Substitution!$M$16 &amp; $A22, US_national_yearly!$D:$AM, MATCH(Keys!$C$7, US_national_yearly!$D$1:$AM$1, 0), FALSE), 1)</f>
        <v>9.9421797701613503E-4</v>
      </c>
      <c r="W22" s="12">
        <f>$B22 * IFERROR(VLOOKUP(Substitution!$M$16 &amp; $A22, US_national_yearly!$D:$AM, MATCH(W$1, US_national_yearly!$D$1:$AM$1, 0), FALSE) / VLOOKUP(Substitution!$M$16 &amp; $A22, US_national_yearly!$D:$AM, MATCH(Keys!$C$7, US_national_yearly!$D$1:$AM$1, 0), FALSE), 1)</f>
        <v>1.0017742484571099E-3</v>
      </c>
      <c r="X22" s="12">
        <f>$B22 * IFERROR(VLOOKUP(Substitution!$M$16 &amp; $A22, US_national_yearly!$D:$AM, MATCH(X$1, US_national_yearly!$D$1:$AM$1, 0), FALSE) / VLOOKUP(Substitution!$M$16 &amp; $A22, US_national_yearly!$D:$AM, MATCH(Keys!$C$7, US_national_yearly!$D$1:$AM$1, 0), FALSE), 1)</f>
        <v>1.0074933889956321E-3</v>
      </c>
      <c r="Y22" s="12">
        <f>$B22 * IFERROR(VLOOKUP(Substitution!$M$16 &amp; $A22, US_national_yearly!$D:$AM, MATCH(Y$1, US_national_yearly!$D$1:$AM$1, 0), FALSE) / VLOOKUP(Substitution!$M$16 &amp; $A22, US_national_yearly!$D:$AM, MATCH(Keys!$C$7, US_national_yearly!$D$1:$AM$1, 0), FALSE), 1)</f>
        <v>1.013212529534154E-3</v>
      </c>
      <c r="Z22" s="12">
        <f>$B22 * IFERROR(VLOOKUP(Substitution!$M$16 &amp; $A22, US_national_yearly!$D:$AM, MATCH(Z$1, US_national_yearly!$D$1:$AM$1, 0), FALSE) / VLOOKUP(Substitution!$M$16 &amp; $A22, US_national_yearly!$D:$AM, MATCH(Keys!$C$7, US_national_yearly!$D$1:$AM$1, 0), FALSE), 1)</f>
        <v>1.018931670072676E-3</v>
      </c>
      <c r="AA22" s="12">
        <f>$B22 * IFERROR(VLOOKUP(Substitution!$M$16 &amp; $A22, US_national_yearly!$D:$AM, MATCH(AA$1, US_national_yearly!$D$1:$AM$1, 0), FALSE) / VLOOKUP(Substitution!$M$16 &amp; $A22, US_national_yearly!$D:$AM, MATCH(Keys!$C$7, US_national_yearly!$D$1:$AM$1, 0), FALSE), 1)</f>
        <v>1.024650810611198E-3</v>
      </c>
      <c r="AB22" s="12">
        <f>$B22 * IFERROR(VLOOKUP(Substitution!$M$16 &amp; $A22, US_national_yearly!$D:$AM, MATCH(AB$1, US_national_yearly!$D$1:$AM$1, 0), FALSE) / VLOOKUP(Substitution!$M$16 &amp; $A22, US_national_yearly!$D:$AM, MATCH(Keys!$C$7, US_national_yearly!$D$1:$AM$1, 0), FALSE), 1)</f>
        <v>1.0303699511497199E-3</v>
      </c>
    </row>
    <row r="23" spans="1:28" x14ac:dyDescent="0.25">
      <c r="A23" s="4" t="s">
        <v>333</v>
      </c>
      <c r="B23" s="12">
        <f>IFERROR(VLOOKUP(Substitution!$M$16 &amp; $A23, US_national_yearly!$D:$AM, MATCH(Keys!$C$7, US_national_yearly!$D$1:$AM$1, 0), FALSE), 0)</f>
        <v>0</v>
      </c>
      <c r="C23" s="12">
        <f>$B23 * IFERROR(VLOOKUP(Substitution!$M$16 &amp; $A23, US_national_yearly!$D:$AM, MATCH(C$1, US_national_yearly!$D$1:$AM$1, 0), FALSE) / VLOOKUP(Substitution!$M$16 &amp; $A23, US_national_yearly!$D:$AM, MATCH(Keys!$C$7, US_national_yearly!$D$1:$AM$1, 0), FALSE), 1)</f>
        <v>0</v>
      </c>
      <c r="D23" s="12">
        <f>$B23 * IFERROR(VLOOKUP(Substitution!$M$16 &amp; $A23, US_national_yearly!$D:$AM, MATCH(D$1, US_national_yearly!$D$1:$AM$1, 0), FALSE) / VLOOKUP(Substitution!$M$16 &amp; $A23, US_national_yearly!$D:$AM, MATCH(Keys!$C$7, US_national_yearly!$D$1:$AM$1, 0), FALSE), 1)</f>
        <v>0</v>
      </c>
      <c r="E23" s="12">
        <f>$B23 * IFERROR(VLOOKUP(Substitution!$M$16 &amp; $A23, US_national_yearly!$D:$AM, MATCH(E$1, US_national_yearly!$D$1:$AM$1, 0), FALSE) / VLOOKUP(Substitution!$M$16 &amp; $A23, US_national_yearly!$D:$AM, MATCH(Keys!$C$7, US_national_yearly!$D$1:$AM$1, 0), FALSE), 1)</f>
        <v>0</v>
      </c>
      <c r="F23" s="12">
        <f>$B23 * IFERROR(VLOOKUP(Substitution!$M$16 &amp; $A23, US_national_yearly!$D:$AM, MATCH(F$1, US_national_yearly!$D$1:$AM$1, 0), FALSE) / VLOOKUP(Substitution!$M$16 &amp; $A23, US_national_yearly!$D:$AM, MATCH(Keys!$C$7, US_national_yearly!$D$1:$AM$1, 0), FALSE), 1)</f>
        <v>0</v>
      </c>
      <c r="G23" s="12">
        <f>$B23 * IFERROR(VLOOKUP(Substitution!$M$16 &amp; $A23, US_national_yearly!$D:$AM, MATCH(G$1, US_national_yearly!$D$1:$AM$1, 0), FALSE) / VLOOKUP(Substitution!$M$16 &amp; $A23, US_national_yearly!$D:$AM, MATCH(Keys!$C$7, US_national_yearly!$D$1:$AM$1, 0), FALSE), 1)</f>
        <v>0</v>
      </c>
      <c r="H23" s="12">
        <f>$B23 * IFERROR(VLOOKUP(Substitution!$M$16 &amp; $A23, US_national_yearly!$D:$AM, MATCH(H$1, US_national_yearly!$D$1:$AM$1, 0), FALSE) / VLOOKUP(Substitution!$M$16 &amp; $A23, US_national_yearly!$D:$AM, MATCH(Keys!$C$7, US_national_yearly!$D$1:$AM$1, 0), FALSE), 1)</f>
        <v>0</v>
      </c>
      <c r="I23" s="12">
        <f>$B23 * IFERROR(VLOOKUP(Substitution!$M$16 &amp; $A23, US_national_yearly!$D:$AM, MATCH(I$1, US_national_yearly!$D$1:$AM$1, 0), FALSE) / VLOOKUP(Substitution!$M$16 &amp; $A23, US_national_yearly!$D:$AM, MATCH(Keys!$C$7, US_national_yearly!$D$1:$AM$1, 0), FALSE), 1)</f>
        <v>0</v>
      </c>
      <c r="J23" s="12">
        <f>$B23 * IFERROR(VLOOKUP(Substitution!$M$16 &amp; $A23, US_national_yearly!$D:$AM, MATCH(J$1, US_national_yearly!$D$1:$AM$1, 0), FALSE) / VLOOKUP(Substitution!$M$16 &amp; $A23, US_national_yearly!$D:$AM, MATCH(Keys!$C$7, US_national_yearly!$D$1:$AM$1, 0), FALSE), 1)</f>
        <v>0</v>
      </c>
      <c r="K23" s="12">
        <f>$B23 * IFERROR(VLOOKUP(Substitution!$M$16 &amp; $A23, US_national_yearly!$D:$AM, MATCH(K$1, US_national_yearly!$D$1:$AM$1, 0), FALSE) / VLOOKUP(Substitution!$M$16 &amp; $A23, US_national_yearly!$D:$AM, MATCH(Keys!$C$7, US_national_yearly!$D$1:$AM$1, 0), FALSE), 1)</f>
        <v>0</v>
      </c>
      <c r="L23" s="12">
        <f>$B23 * IFERROR(VLOOKUP(Substitution!$M$16 &amp; $A23, US_national_yearly!$D:$AM, MATCH(L$1, US_national_yearly!$D$1:$AM$1, 0), FALSE) / VLOOKUP(Substitution!$M$16 &amp; $A23, US_national_yearly!$D:$AM, MATCH(Keys!$C$7, US_national_yearly!$D$1:$AM$1, 0), FALSE), 1)</f>
        <v>0</v>
      </c>
      <c r="M23" s="12">
        <f>$B23 * IFERROR(VLOOKUP(Substitution!$M$16 &amp; $A23, US_national_yearly!$D:$AM, MATCH(M$1, US_national_yearly!$D$1:$AM$1, 0), FALSE) / VLOOKUP(Substitution!$M$16 &amp; $A23, US_national_yearly!$D:$AM, MATCH(Keys!$C$7, US_national_yearly!$D$1:$AM$1, 0), FALSE), 1)</f>
        <v>0</v>
      </c>
      <c r="N23" s="12">
        <f>$B23 * IFERROR(VLOOKUP(Substitution!$M$16 &amp; $A23, US_national_yearly!$D:$AM, MATCH(N$1, US_national_yearly!$D$1:$AM$1, 0), FALSE) / VLOOKUP(Substitution!$M$16 &amp; $A23, US_national_yearly!$D:$AM, MATCH(Keys!$C$7, US_national_yearly!$D$1:$AM$1, 0), FALSE), 1)</f>
        <v>0</v>
      </c>
      <c r="O23" s="12">
        <f>$B23 * IFERROR(VLOOKUP(Substitution!$M$16 &amp; $A23, US_national_yearly!$D:$AM, MATCH(O$1, US_national_yearly!$D$1:$AM$1, 0), FALSE) / VLOOKUP(Substitution!$M$16 &amp; $A23, US_national_yearly!$D:$AM, MATCH(Keys!$C$7, US_national_yearly!$D$1:$AM$1, 0), FALSE), 1)</f>
        <v>0</v>
      </c>
      <c r="P23" s="12">
        <f>$B23 * IFERROR(VLOOKUP(Substitution!$M$16 &amp; $A23, US_national_yearly!$D:$AM, MATCH(P$1, US_national_yearly!$D$1:$AM$1, 0), FALSE) / VLOOKUP(Substitution!$M$16 &amp; $A23, US_national_yearly!$D:$AM, MATCH(Keys!$C$7, US_national_yearly!$D$1:$AM$1, 0), FALSE), 1)</f>
        <v>0</v>
      </c>
      <c r="Q23" s="12">
        <f>$B23 * IFERROR(VLOOKUP(Substitution!$M$16 &amp; $A23, US_national_yearly!$D:$AM, MATCH(Q$1, US_national_yearly!$D$1:$AM$1, 0), FALSE) / VLOOKUP(Substitution!$M$16 &amp; $A23, US_national_yearly!$D:$AM, MATCH(Keys!$C$7, US_national_yearly!$D$1:$AM$1, 0), FALSE), 1)</f>
        <v>0</v>
      </c>
      <c r="R23" s="12">
        <f>$B23 * IFERROR(VLOOKUP(Substitution!$M$16 &amp; $A23, US_national_yearly!$D:$AM, MATCH(R$1, US_national_yearly!$D$1:$AM$1, 0), FALSE) / VLOOKUP(Substitution!$M$16 &amp; $A23, US_national_yearly!$D:$AM, MATCH(Keys!$C$7, US_national_yearly!$D$1:$AM$1, 0), FALSE), 1)</f>
        <v>0</v>
      </c>
      <c r="S23" s="12">
        <f>$B23 * IFERROR(VLOOKUP(Substitution!$M$16 &amp; $A23, US_national_yearly!$D:$AM, MATCH(S$1, US_national_yearly!$D$1:$AM$1, 0), FALSE) / VLOOKUP(Substitution!$M$16 &amp; $A23, US_national_yearly!$D:$AM, MATCH(Keys!$C$7, US_national_yearly!$D$1:$AM$1, 0), FALSE), 1)</f>
        <v>0</v>
      </c>
      <c r="T23" s="12">
        <f>$B23 * IFERROR(VLOOKUP(Substitution!$M$16 &amp; $A23, US_national_yearly!$D:$AM, MATCH(T$1, US_national_yearly!$D$1:$AM$1, 0), FALSE) / VLOOKUP(Substitution!$M$16 &amp; $A23, US_national_yearly!$D:$AM, MATCH(Keys!$C$7, US_national_yearly!$D$1:$AM$1, 0), FALSE), 1)</f>
        <v>0</v>
      </c>
      <c r="U23" s="12">
        <f>$B23 * IFERROR(VLOOKUP(Substitution!$M$16 &amp; $A23, US_national_yearly!$D:$AM, MATCH(U$1, US_national_yearly!$D$1:$AM$1, 0), FALSE) / VLOOKUP(Substitution!$M$16 &amp; $A23, US_national_yearly!$D:$AM, MATCH(Keys!$C$7, US_national_yearly!$D$1:$AM$1, 0), FALSE), 1)</f>
        <v>0</v>
      </c>
      <c r="V23" s="12">
        <f>$B23 * IFERROR(VLOOKUP(Substitution!$M$16 &amp; $A23, US_national_yearly!$D:$AM, MATCH(V$1, US_national_yearly!$D$1:$AM$1, 0), FALSE) / VLOOKUP(Substitution!$M$16 &amp; $A23, US_national_yearly!$D:$AM, MATCH(Keys!$C$7, US_national_yearly!$D$1:$AM$1, 0), FALSE), 1)</f>
        <v>0</v>
      </c>
      <c r="W23" s="12">
        <f>$B23 * IFERROR(VLOOKUP(Substitution!$M$16 &amp; $A23, US_national_yearly!$D:$AM, MATCH(W$1, US_national_yearly!$D$1:$AM$1, 0), FALSE) / VLOOKUP(Substitution!$M$16 &amp; $A23, US_national_yearly!$D:$AM, MATCH(Keys!$C$7, US_national_yearly!$D$1:$AM$1, 0), FALSE), 1)</f>
        <v>0</v>
      </c>
      <c r="X23" s="12">
        <f>$B23 * IFERROR(VLOOKUP(Substitution!$M$16 &amp; $A23, US_national_yearly!$D:$AM, MATCH(X$1, US_national_yearly!$D$1:$AM$1, 0), FALSE) / VLOOKUP(Substitution!$M$16 &amp; $A23, US_national_yearly!$D:$AM, MATCH(Keys!$C$7, US_national_yearly!$D$1:$AM$1, 0), FALSE), 1)</f>
        <v>0</v>
      </c>
      <c r="Y23" s="12">
        <f>$B23 * IFERROR(VLOOKUP(Substitution!$M$16 &amp; $A23, US_national_yearly!$D:$AM, MATCH(Y$1, US_national_yearly!$D$1:$AM$1, 0), FALSE) / VLOOKUP(Substitution!$M$16 &amp; $A23, US_national_yearly!$D:$AM, MATCH(Keys!$C$7, US_national_yearly!$D$1:$AM$1, 0), FALSE), 1)</f>
        <v>0</v>
      </c>
      <c r="Z23" s="12">
        <f>$B23 * IFERROR(VLOOKUP(Substitution!$M$16 &amp; $A23, US_national_yearly!$D:$AM, MATCH(Z$1, US_national_yearly!$D$1:$AM$1, 0), FALSE) / VLOOKUP(Substitution!$M$16 &amp; $A23, US_national_yearly!$D:$AM, MATCH(Keys!$C$7, US_national_yearly!$D$1:$AM$1, 0), FALSE), 1)</f>
        <v>0</v>
      </c>
      <c r="AA23" s="12">
        <f>$B23 * IFERROR(VLOOKUP(Substitution!$M$16 &amp; $A23, US_national_yearly!$D:$AM, MATCH(AA$1, US_national_yearly!$D$1:$AM$1, 0), FALSE) / VLOOKUP(Substitution!$M$16 &amp; $A23, US_national_yearly!$D:$AM, MATCH(Keys!$C$7, US_national_yearly!$D$1:$AM$1, 0), FALSE), 1)</f>
        <v>0</v>
      </c>
      <c r="AB23" s="12">
        <f>$B23 * IFERROR(VLOOKUP(Substitution!$M$16 &amp; $A23, US_national_yearly!$D:$AM, MATCH(AB$1, US_national_yearly!$D$1:$AM$1, 0), FALSE) / VLOOKUP(Substitution!$M$16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Substitution!$G$17)/IFERROR(SUMIFS(COBRA_aggregated!$W:$W, COBRA_aggregated!$A:$A, About!$B$1, COBRA_aggregated!$B:$B, Substitution!$G$17), 1)</f>
        <v>4.3620409516338714E-4</v>
      </c>
      <c r="C2" s="12">
        <f>$B2 * IFERROR(VLOOKUP(Substitution!$M$17 &amp; $A2, US_national_yearly!$D:$AM, MATCH(C$1, US_national_yearly!$D$1:$AM$1, 0), FALSE) / VLOOKUP(Substitution!$M$17 &amp; $A2, US_national_yearly!$D:$AM, MATCH(Keys!$C$7, US_national_yearly!$D$1:$AM$1, 0), FALSE), 1)</f>
        <v>4.4161207000818705E-4</v>
      </c>
      <c r="D2" s="12">
        <f>$B2 * IFERROR(VLOOKUP(Substitution!$M$17 &amp; $A2, US_national_yearly!$D:$AM, MATCH(D$1, US_national_yearly!$D$1:$AM$1, 0), FALSE) / VLOOKUP(Substitution!$M$17 &amp; $A2, US_national_yearly!$D:$AM, MATCH(Keys!$C$7, US_national_yearly!$D$1:$AM$1, 0), FALSE), 1)</f>
        <v>4.4702004485298684E-4</v>
      </c>
      <c r="E2" s="12">
        <f>$B2 * IFERROR(VLOOKUP(Substitution!$M$17 &amp; $A2, US_national_yearly!$D:$AM, MATCH(E$1, US_national_yearly!$D$1:$AM$1, 0), FALSE) / VLOOKUP(Substitution!$M$17 &amp; $A2, US_national_yearly!$D:$AM, MATCH(Keys!$C$7, US_national_yearly!$D$1:$AM$1, 0), FALSE), 1)</f>
        <v>4.5242801969778659E-4</v>
      </c>
      <c r="F2" s="12">
        <f>$B2 * IFERROR(VLOOKUP(Substitution!$M$17 &amp; $A2, US_national_yearly!$D:$AM, MATCH(F$1, US_national_yearly!$D$1:$AM$1, 0), FALSE) / VLOOKUP(Substitution!$M$17 &amp; $A2, US_national_yearly!$D:$AM, MATCH(Keys!$C$7, US_national_yearly!$D$1:$AM$1, 0), FALSE), 1)</f>
        <v>4.5783599454258638E-4</v>
      </c>
      <c r="G2" s="12">
        <f>$B2 * IFERROR(VLOOKUP(Substitution!$M$17 &amp; $A2, US_national_yearly!$D:$AM, MATCH(G$1, US_national_yearly!$D$1:$AM$1, 0), FALSE) / VLOOKUP(Substitution!$M$17 &amp; $A2, US_national_yearly!$D:$AM, MATCH(Keys!$C$7, US_national_yearly!$D$1:$AM$1, 0), FALSE), 1)</f>
        <v>4.6836798476685326E-4</v>
      </c>
      <c r="H2" s="12">
        <f>$B2 * IFERROR(VLOOKUP(Substitution!$M$17 &amp; $A2, US_national_yearly!$D:$AM, MATCH(H$1, US_national_yearly!$D$1:$AM$1, 0), FALSE) / VLOOKUP(Substitution!$M$17 &amp; $A2, US_national_yearly!$D:$AM, MATCH(Keys!$C$7, US_national_yearly!$D$1:$AM$1, 0), FALSE), 1)</f>
        <v>4.7889997499112009E-4</v>
      </c>
      <c r="I2" s="12">
        <f>$B2 * IFERROR(VLOOKUP(Substitution!$M$17 &amp; $A2, US_national_yearly!$D:$AM, MATCH(I$1, US_national_yearly!$D$1:$AM$1, 0), FALSE) / VLOOKUP(Substitution!$M$17 &amp; $A2, US_national_yearly!$D:$AM, MATCH(Keys!$C$7, US_national_yearly!$D$1:$AM$1, 0), FALSE), 1)</f>
        <v>4.8581782951597342E-4</v>
      </c>
      <c r="J2" s="12">
        <f>$B2 * IFERROR(VLOOKUP(Substitution!$M$17 &amp; $A2, US_national_yearly!$D:$AM, MATCH(J$1, US_national_yearly!$D$1:$AM$1, 0), FALSE) / VLOOKUP(Substitution!$M$17 &amp; $A2, US_national_yearly!$D:$AM, MATCH(Keys!$C$7, US_national_yearly!$D$1:$AM$1, 0), FALSE), 1)</f>
        <v>4.9273568404082692E-4</v>
      </c>
      <c r="K2" s="12">
        <f>$B2 * IFERROR(VLOOKUP(Substitution!$M$17 &amp; $A2, US_national_yearly!$D:$AM, MATCH(K$1, US_national_yearly!$D$1:$AM$1, 0), FALSE) / VLOOKUP(Substitution!$M$17 &amp; $A2, US_national_yearly!$D:$AM, MATCH(Keys!$C$7, US_national_yearly!$D$1:$AM$1, 0), FALSE), 1)</f>
        <v>4.996535385656803E-4</v>
      </c>
      <c r="L2" s="12">
        <f>$B2 * IFERROR(VLOOKUP(Substitution!$M$17 &amp; $A2, US_national_yearly!$D:$AM, MATCH(L$1, US_national_yearly!$D$1:$AM$1, 0), FALSE) / VLOOKUP(Substitution!$M$17 &amp; $A2, US_national_yearly!$D:$AM, MATCH(Keys!$C$7, US_national_yearly!$D$1:$AM$1, 0), FALSE), 1)</f>
        <v>5.065713930905338E-4</v>
      </c>
      <c r="M2" s="12">
        <f>$B2 * IFERROR(VLOOKUP(Substitution!$M$17 &amp; $A2, US_national_yearly!$D:$AM, MATCH(M$1, US_national_yearly!$D$1:$AM$1, 0), FALSE) / VLOOKUP(Substitution!$M$17 &amp; $A2, US_national_yearly!$D:$AM, MATCH(Keys!$C$7, US_national_yearly!$D$1:$AM$1, 0), FALSE), 1)</f>
        <v>5.1348924761538729E-4</v>
      </c>
      <c r="N2" s="12">
        <f>$B2 * IFERROR(VLOOKUP(Substitution!$M$17 &amp; $A2, US_national_yearly!$D:$AM, MATCH(N$1, US_national_yearly!$D$1:$AM$1, 0), FALSE) / VLOOKUP(Substitution!$M$17 &amp; $A2, US_national_yearly!$D:$AM, MATCH(Keys!$C$7, US_national_yearly!$D$1:$AM$1, 0), FALSE), 1)</f>
        <v>5.1886052137372989E-4</v>
      </c>
      <c r="O2" s="12">
        <f>$B2 * IFERROR(VLOOKUP(Substitution!$M$17 &amp; $A2, US_national_yearly!$D:$AM, MATCH(O$1, US_national_yearly!$D$1:$AM$1, 0), FALSE) / VLOOKUP(Substitution!$M$17 &amp; $A2, US_national_yearly!$D:$AM, MATCH(Keys!$C$7, US_national_yearly!$D$1:$AM$1, 0), FALSE), 1)</f>
        <v>5.242317951320726E-4</v>
      </c>
      <c r="P2" s="12">
        <f>$B2 * IFERROR(VLOOKUP(Substitution!$M$17 &amp; $A2, US_national_yearly!$D:$AM, MATCH(P$1, US_national_yearly!$D$1:$AM$1, 0), FALSE) / VLOOKUP(Substitution!$M$17 &amp; $A2, US_national_yearly!$D:$AM, MATCH(Keys!$C$7, US_national_yearly!$D$1:$AM$1, 0), FALSE), 1)</f>
        <v>5.2960306889041531E-4</v>
      </c>
      <c r="Q2" s="12">
        <f>$B2 * IFERROR(VLOOKUP(Substitution!$M$17 &amp; $A2, US_national_yearly!$D:$AM, MATCH(Q$1, US_national_yearly!$D$1:$AM$1, 0), FALSE) / VLOOKUP(Substitution!$M$17 &amp; $A2, US_national_yearly!$D:$AM, MATCH(Keys!$C$7, US_national_yearly!$D$1:$AM$1, 0), FALSE), 1)</f>
        <v>5.3497434264875791E-4</v>
      </c>
      <c r="R2" s="12">
        <f>$B2 * IFERROR(VLOOKUP(Substitution!$M$17 &amp; $A2, US_national_yearly!$D:$AM, MATCH(R$1, US_national_yearly!$D$1:$AM$1, 0), FALSE) / VLOOKUP(Substitution!$M$17 &amp; $A2, US_national_yearly!$D:$AM, MATCH(Keys!$C$7, US_national_yearly!$D$1:$AM$1, 0), FALSE), 1)</f>
        <v>5.4034561640710073E-4</v>
      </c>
      <c r="S2" s="12">
        <f>$B2 * IFERROR(VLOOKUP(Substitution!$M$17 &amp; $A2, US_national_yearly!$D:$AM, MATCH(S$1, US_national_yearly!$D$1:$AM$1, 0), FALSE) / VLOOKUP(Substitution!$M$17 &amp; $A2, US_national_yearly!$D:$AM, MATCH(Keys!$C$7, US_national_yearly!$D$1:$AM$1, 0), FALSE), 1)</f>
        <v>5.4319115765840819E-4</v>
      </c>
      <c r="T2" s="12">
        <f>$B2 * IFERROR(VLOOKUP(Substitution!$M$17 &amp; $A2, US_national_yearly!$D:$AM, MATCH(T$1, US_national_yearly!$D$1:$AM$1, 0), FALSE) / VLOOKUP(Substitution!$M$17 &amp; $A2, US_national_yearly!$D:$AM, MATCH(Keys!$C$7, US_national_yearly!$D$1:$AM$1, 0), FALSE), 1)</f>
        <v>5.4603669890971565E-4</v>
      </c>
      <c r="U2" s="12">
        <f>$B2 * IFERROR(VLOOKUP(Substitution!$M$17 &amp; $A2, US_national_yearly!$D:$AM, MATCH(U$1, US_national_yearly!$D$1:$AM$1, 0), FALSE) / VLOOKUP(Substitution!$M$17 &amp; $A2, US_national_yearly!$D:$AM, MATCH(Keys!$C$7, US_national_yearly!$D$1:$AM$1, 0), FALSE), 1)</f>
        <v>5.4888224016102301E-4</v>
      </c>
      <c r="V2" s="12">
        <f>$B2 * IFERROR(VLOOKUP(Substitution!$M$17 &amp; $A2, US_national_yearly!$D:$AM, MATCH(V$1, US_national_yearly!$D$1:$AM$1, 0), FALSE) / VLOOKUP(Substitution!$M$17 &amp; $A2, US_national_yearly!$D:$AM, MATCH(Keys!$C$7, US_national_yearly!$D$1:$AM$1, 0), FALSE), 1)</f>
        <v>5.5172778141233047E-4</v>
      </c>
      <c r="W2" s="12">
        <f>$B2 * IFERROR(VLOOKUP(Substitution!$M$17 &amp; $A2, US_national_yearly!$D:$AM, MATCH(W$1, US_national_yearly!$D$1:$AM$1, 0), FALSE) / VLOOKUP(Substitution!$M$17 &amp; $A2, US_national_yearly!$D:$AM, MATCH(Keys!$C$7, US_national_yearly!$D$1:$AM$1, 0), FALSE), 1)</f>
        <v>5.5457332266363782E-4</v>
      </c>
      <c r="X2" s="12">
        <f>$B2 * IFERROR(VLOOKUP(Substitution!$M$17 &amp; $A2, US_national_yearly!$D:$AM, MATCH(X$1, US_national_yearly!$D$1:$AM$1, 0), FALSE) / VLOOKUP(Substitution!$M$17 &amp; $A2, US_national_yearly!$D:$AM, MATCH(Keys!$C$7, US_national_yearly!$D$1:$AM$1, 0), FALSE), 1)</f>
        <v>5.5507088756321537E-4</v>
      </c>
      <c r="Y2" s="12">
        <f>$B2 * IFERROR(VLOOKUP(Substitution!$M$17 &amp; $A2, US_national_yearly!$D:$AM, MATCH(Y$1, US_national_yearly!$D$1:$AM$1, 0), FALSE) / VLOOKUP(Substitution!$M$17 &amp; $A2, US_national_yearly!$D:$AM, MATCH(Keys!$C$7, US_national_yearly!$D$1:$AM$1, 0), FALSE), 1)</f>
        <v>5.5556845246279303E-4</v>
      </c>
      <c r="Z2" s="12">
        <f>$B2 * IFERROR(VLOOKUP(Substitution!$M$17 &amp; $A2, US_national_yearly!$D:$AM, MATCH(Z$1, US_national_yearly!$D$1:$AM$1, 0), FALSE) / VLOOKUP(Substitution!$M$17 &amp; $A2, US_national_yearly!$D:$AM, MATCH(Keys!$C$7, US_national_yearly!$D$1:$AM$1, 0), FALSE), 1)</f>
        <v>5.5606601736237057E-4</v>
      </c>
      <c r="AA2" s="12">
        <f>$B2 * IFERROR(VLOOKUP(Substitution!$M$17 &amp; $A2, US_national_yearly!$D:$AM, MATCH(AA$1, US_national_yearly!$D$1:$AM$1, 0), FALSE) / VLOOKUP(Substitution!$M$17 &amp; $A2, US_national_yearly!$D:$AM, MATCH(Keys!$C$7, US_national_yearly!$D$1:$AM$1, 0), FALSE), 1)</f>
        <v>5.5656358226194812E-4</v>
      </c>
      <c r="AB2" s="12">
        <f>$B2 * IFERROR(VLOOKUP(Substitution!$M$17 &amp; $A2, US_national_yearly!$D:$AM, MATCH(AB$1, US_national_yearly!$D$1:$AM$1, 0), FALSE) / VLOOKUP(Substitution!$M$17 &amp; $A2, US_national_yearly!$D:$AM, MATCH(Keys!$C$7, US_national_yearly!$D$1:$AM$1, 0), FALSE), 1)</f>
        <v>5.5706114716152567E-4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Substitution!$G$17)/IFERROR(SUMIFS(COBRA_aggregated!$W:$W, COBRA_aggregated!$A:$A, About!$B$1, COBRA_aggregated!$B:$B, Substitution!$G$17), 1)</f>
        <v>7.6724853413517854E-7</v>
      </c>
      <c r="C3" s="12">
        <f>$B3 * IFERROR(VLOOKUP(Substitution!$M$17 &amp; $A3, US_national_yearly!$D:$AM, MATCH(C$1, US_national_yearly!$D$1:$AM$1, 0), FALSE) / VLOOKUP(Substitution!$M$17 &amp; $A3, US_national_yearly!$D:$AM, MATCH(Keys!$C$7, US_national_yearly!$D$1:$AM$1, 0), FALSE), 1)</f>
        <v>7.6055882703679756E-7</v>
      </c>
      <c r="D3" s="12">
        <f>$B3 * IFERROR(VLOOKUP(Substitution!$M$17 &amp; $A3, US_national_yearly!$D:$AM, MATCH(D$1, US_national_yearly!$D$1:$AM$1, 0), FALSE) / VLOOKUP(Substitution!$M$17 &amp; $A3, US_national_yearly!$D:$AM, MATCH(Keys!$C$7, US_national_yearly!$D$1:$AM$1, 0), FALSE), 1)</f>
        <v>7.5386911993841636E-7</v>
      </c>
      <c r="E3" s="12">
        <f>$B3 * IFERROR(VLOOKUP(Substitution!$M$17 &amp; $A3, US_national_yearly!$D:$AM, MATCH(E$1, US_national_yearly!$D$1:$AM$1, 0), FALSE) / VLOOKUP(Substitution!$M$17 &amp; $A3, US_national_yearly!$D:$AM, MATCH(Keys!$C$7, US_national_yearly!$D$1:$AM$1, 0), FALSE), 1)</f>
        <v>7.4717941284003538E-7</v>
      </c>
      <c r="F3" s="12">
        <f>$B3 * IFERROR(VLOOKUP(Substitution!$M$17 &amp; $A3, US_national_yearly!$D:$AM, MATCH(F$1, US_national_yearly!$D$1:$AM$1, 0), FALSE) / VLOOKUP(Substitution!$M$17 &amp; $A3, US_national_yearly!$D:$AM, MATCH(Keys!$C$7, US_national_yearly!$D$1:$AM$1, 0), FALSE), 1)</f>
        <v>7.4048970574165418E-7</v>
      </c>
      <c r="G3" s="12">
        <f>$B3 * IFERROR(VLOOKUP(Substitution!$M$17 &amp; $A3, US_national_yearly!$D:$AM, MATCH(G$1, US_national_yearly!$D$1:$AM$1, 0), FALSE) / VLOOKUP(Substitution!$M$17 &amp; $A3, US_national_yearly!$D:$AM, MATCH(Keys!$C$7, US_national_yearly!$D$1:$AM$1, 0), FALSE), 1)</f>
        <v>4.9246526456102014E-7</v>
      </c>
      <c r="H3" s="12">
        <f>$B3 * IFERROR(VLOOKUP(Substitution!$M$17 &amp; $A3, US_national_yearly!$D:$AM, MATCH(H$1, US_national_yearly!$D$1:$AM$1, 0), FALSE) / VLOOKUP(Substitution!$M$17 &amp; $A3, US_national_yearly!$D:$AM, MATCH(Keys!$C$7, US_national_yearly!$D$1:$AM$1, 0), FALSE), 1)</f>
        <v>2.4444082338038604E-7</v>
      </c>
      <c r="I3" s="12">
        <f>$B3 * IFERROR(VLOOKUP(Substitution!$M$17 &amp; $A3, US_national_yearly!$D:$AM, MATCH(I$1, US_national_yearly!$D$1:$AM$1, 0), FALSE) / VLOOKUP(Substitution!$M$17 &amp; $A3, US_national_yearly!$D:$AM, MATCH(Keys!$C$7, US_national_yearly!$D$1:$AM$1, 0), FALSE), 1)</f>
        <v>2.4284299881936413E-7</v>
      </c>
      <c r="J3" s="12">
        <f>$B3 * IFERROR(VLOOKUP(Substitution!$M$17 &amp; $A3, US_national_yearly!$D:$AM, MATCH(J$1, US_national_yearly!$D$1:$AM$1, 0), FALSE) / VLOOKUP(Substitution!$M$17 &amp; $A3, US_national_yearly!$D:$AM, MATCH(Keys!$C$7, US_national_yearly!$D$1:$AM$1, 0), FALSE), 1)</f>
        <v>2.4124517425834217E-7</v>
      </c>
      <c r="K3" s="12">
        <f>$B3 * IFERROR(VLOOKUP(Substitution!$M$17 &amp; $A3, US_national_yearly!$D:$AM, MATCH(K$1, US_national_yearly!$D$1:$AM$1, 0), FALSE) / VLOOKUP(Substitution!$M$17 &amp; $A3, US_national_yearly!$D:$AM, MATCH(Keys!$C$7, US_national_yearly!$D$1:$AM$1, 0), FALSE), 1)</f>
        <v>2.3964734969732027E-7</v>
      </c>
      <c r="L3" s="12">
        <f>$B3 * IFERROR(VLOOKUP(Substitution!$M$17 &amp; $A3, US_national_yearly!$D:$AM, MATCH(L$1, US_national_yearly!$D$1:$AM$1, 0), FALSE) / VLOOKUP(Substitution!$M$17 &amp; $A3, US_national_yearly!$D:$AM, MATCH(Keys!$C$7, US_national_yearly!$D$1:$AM$1, 0), FALSE), 1)</f>
        <v>2.3804952513629836E-7</v>
      </c>
      <c r="M3" s="12">
        <f>$B3 * IFERROR(VLOOKUP(Substitution!$M$17 &amp; $A3, US_national_yearly!$D:$AM, MATCH(M$1, US_national_yearly!$D$1:$AM$1, 0), FALSE) / VLOOKUP(Substitution!$M$17 &amp; $A3, US_national_yearly!$D:$AM, MATCH(Keys!$C$7, US_national_yearly!$D$1:$AM$1, 0), FALSE), 1)</f>
        <v>2.3645170057527646E-7</v>
      </c>
      <c r="N3" s="12">
        <f>$B3 * IFERROR(VLOOKUP(Substitution!$M$17 &amp; $A3, US_national_yearly!$D:$AM, MATCH(N$1, US_national_yearly!$D$1:$AM$1, 0), FALSE) / VLOOKUP(Substitution!$M$17 &amp; $A3, US_national_yearly!$D:$AM, MATCH(Keys!$C$7, US_national_yearly!$D$1:$AM$1, 0), FALSE), 1)</f>
        <v>2.3544808985449929E-7</v>
      </c>
      <c r="O3" s="12">
        <f>$B3 * IFERROR(VLOOKUP(Substitution!$M$17 &amp; $A3, US_national_yearly!$D:$AM, MATCH(O$1, US_national_yearly!$D$1:$AM$1, 0), FALSE) / VLOOKUP(Substitution!$M$17 &amp; $A3, US_national_yearly!$D:$AM, MATCH(Keys!$C$7, US_national_yearly!$D$1:$AM$1, 0), FALSE), 1)</f>
        <v>2.3444447913372215E-7</v>
      </c>
      <c r="P3" s="12">
        <f>$B3 * IFERROR(VLOOKUP(Substitution!$M$17 &amp; $A3, US_national_yearly!$D:$AM, MATCH(P$1, US_national_yearly!$D$1:$AM$1, 0), FALSE) / VLOOKUP(Substitution!$M$17 &amp; $A3, US_national_yearly!$D:$AM, MATCH(Keys!$C$7, US_national_yearly!$D$1:$AM$1, 0), FALSE), 1)</f>
        <v>2.3344086841294495E-7</v>
      </c>
      <c r="Q3" s="12">
        <f>$B3 * IFERROR(VLOOKUP(Substitution!$M$17 &amp; $A3, US_national_yearly!$D:$AM, MATCH(Q$1, US_national_yearly!$D$1:$AM$1, 0), FALSE) / VLOOKUP(Substitution!$M$17 &amp; $A3, US_national_yearly!$D:$AM, MATCH(Keys!$C$7, US_national_yearly!$D$1:$AM$1, 0), FALSE), 1)</f>
        <v>2.3243725769216781E-7</v>
      </c>
      <c r="R3" s="12">
        <f>$B3 * IFERROR(VLOOKUP(Substitution!$M$17 &amp; $A3, US_national_yearly!$D:$AM, MATCH(R$1, US_national_yearly!$D$1:$AM$1, 0), FALSE) / VLOOKUP(Substitution!$M$17 &amp; $A3, US_national_yearly!$D:$AM, MATCH(Keys!$C$7, US_national_yearly!$D$1:$AM$1, 0), FALSE), 1)</f>
        <v>2.3143364697139064E-7</v>
      </c>
      <c r="S3" s="12">
        <f>$B3 * IFERROR(VLOOKUP(Substitution!$M$17 &amp; $A3, US_national_yearly!$D:$AM, MATCH(S$1, US_national_yearly!$D$1:$AM$1, 0), FALSE) / VLOOKUP(Substitution!$M$17 &amp; $A3, US_national_yearly!$D:$AM, MATCH(Keys!$C$7, US_national_yearly!$D$1:$AM$1, 0), FALSE), 1)</f>
        <v>2.3018262568751629E-7</v>
      </c>
      <c r="T3" s="12">
        <f>$B3 * IFERROR(VLOOKUP(Substitution!$M$17 &amp; $A3, US_national_yearly!$D:$AM, MATCH(T$1, US_national_yearly!$D$1:$AM$1, 0), FALSE) / VLOOKUP(Substitution!$M$17 &amp; $A3, US_national_yearly!$D:$AM, MATCH(Keys!$C$7, US_national_yearly!$D$1:$AM$1, 0), FALSE), 1)</f>
        <v>2.2893160440364193E-7</v>
      </c>
      <c r="U3" s="12">
        <f>$B3 * IFERROR(VLOOKUP(Substitution!$M$17 &amp; $A3, US_national_yearly!$D:$AM, MATCH(U$1, US_national_yearly!$D$1:$AM$1, 0), FALSE) / VLOOKUP(Substitution!$M$17 &amp; $A3, US_national_yearly!$D:$AM, MATCH(Keys!$C$7, US_national_yearly!$D$1:$AM$1, 0), FALSE), 1)</f>
        <v>2.2768058311976761E-7</v>
      </c>
      <c r="V3" s="12">
        <f>$B3 * IFERROR(VLOOKUP(Substitution!$M$17 &amp; $A3, US_national_yearly!$D:$AM, MATCH(V$1, US_national_yearly!$D$1:$AM$1, 0), FALSE) / VLOOKUP(Substitution!$M$17 &amp; $A3, US_national_yearly!$D:$AM, MATCH(Keys!$C$7, US_national_yearly!$D$1:$AM$1, 0), FALSE), 1)</f>
        <v>2.2642956183589329E-7</v>
      </c>
      <c r="W3" s="12">
        <f>$B3 * IFERROR(VLOOKUP(Substitution!$M$17 &amp; $A3, US_national_yearly!$D:$AM, MATCH(W$1, US_national_yearly!$D$1:$AM$1, 0), FALSE) / VLOOKUP(Substitution!$M$17 &amp; $A3, US_national_yearly!$D:$AM, MATCH(Keys!$C$7, US_national_yearly!$D$1:$AM$1, 0), FALSE), 1)</f>
        <v>2.2517854055201892E-7</v>
      </c>
      <c r="X3" s="12">
        <f>$B3 * IFERROR(VLOOKUP(Substitution!$M$17 &amp; $A3, US_national_yearly!$D:$AM, MATCH(X$1, US_national_yearly!$D$1:$AM$1, 0), FALSE) / VLOOKUP(Substitution!$M$17 &amp; $A3, US_national_yearly!$D:$AM, MATCH(Keys!$C$7, US_national_yearly!$D$1:$AM$1, 0), FALSE), 1)</f>
        <v>2.2382978237112306E-7</v>
      </c>
      <c r="Y3" s="12">
        <f>$B3 * IFERROR(VLOOKUP(Substitution!$M$17 &amp; $A3, US_national_yearly!$D:$AM, MATCH(Y$1, US_national_yearly!$D$1:$AM$1, 0), FALSE) / VLOOKUP(Substitution!$M$17 &amp; $A3, US_national_yearly!$D:$AM, MATCH(Keys!$C$7, US_national_yearly!$D$1:$AM$1, 0), FALSE), 1)</f>
        <v>2.2248102419022711E-7</v>
      </c>
      <c r="Z3" s="12">
        <f>$B3 * IFERROR(VLOOKUP(Substitution!$M$17 &amp; $A3, US_national_yearly!$D:$AM, MATCH(Z$1, US_national_yearly!$D$1:$AM$1, 0), FALSE) / VLOOKUP(Substitution!$M$17 &amp; $A3, US_national_yearly!$D:$AM, MATCH(Keys!$C$7, US_national_yearly!$D$1:$AM$1, 0), FALSE), 1)</f>
        <v>2.2113226600933124E-7</v>
      </c>
      <c r="AA3" s="12">
        <f>$B3 * IFERROR(VLOOKUP(Substitution!$M$17 &amp; $A3, US_national_yearly!$D:$AM, MATCH(AA$1, US_national_yearly!$D$1:$AM$1, 0), FALSE) / VLOOKUP(Substitution!$M$17 &amp; $A3, US_national_yearly!$D:$AM, MATCH(Keys!$C$7, US_national_yearly!$D$1:$AM$1, 0), FALSE), 1)</f>
        <v>2.1978350782843535E-7</v>
      </c>
      <c r="AB3" s="12">
        <f>$B3 * IFERROR(VLOOKUP(Substitution!$M$17 &amp; $A3, US_national_yearly!$D:$AM, MATCH(AB$1, US_national_yearly!$D$1:$AM$1, 0), FALSE) / VLOOKUP(Substitution!$M$17 &amp; $A3, US_national_yearly!$D:$AM, MATCH(Keys!$C$7, US_national_yearly!$D$1:$AM$1, 0), FALSE), 1)</f>
        <v>2.1843474964753948E-7</v>
      </c>
    </row>
    <row r="4" spans="1:28" x14ac:dyDescent="0.25">
      <c r="A4" s="4" t="s">
        <v>295</v>
      </c>
      <c r="B4" s="12">
        <f>IFERROR(VLOOKUP(Substitution!$M$17 &amp; $A4, US_national_yearly!$D:$AM, MATCH(Keys!$C$7, US_national_yearly!$D$1:$AM$1, 0), FALSE), 0)</f>
        <v>6.1901565587401963</v>
      </c>
      <c r="C4" s="12">
        <f>$B4 * IFERROR(VLOOKUP(Substitution!$M$17 &amp; $A4, US_national_yearly!$D:$AM, MATCH(C$1, US_national_yearly!$D$1:$AM$1, 0), FALSE) / VLOOKUP(Substitution!$M$17 &amp; $A4, US_national_yearly!$D:$AM, MATCH(Keys!$C$7, US_national_yearly!$D$1:$AM$1, 0), FALSE), 1)</f>
        <v>6.2529805584279625</v>
      </c>
      <c r="D4" s="12">
        <f>$B4 * IFERROR(VLOOKUP(Substitution!$M$17 &amp; $A4, US_national_yearly!$D:$AM, MATCH(D$1, US_national_yearly!$D$1:$AM$1, 0), FALSE) / VLOOKUP(Substitution!$M$17 &amp; $A4, US_national_yearly!$D:$AM, MATCH(Keys!$C$7, US_national_yearly!$D$1:$AM$1, 0), FALSE), 1)</f>
        <v>6.3158045581157278</v>
      </c>
      <c r="E4" s="12">
        <f>$B4 * IFERROR(VLOOKUP(Substitution!$M$17 &amp; $A4, US_national_yearly!$D:$AM, MATCH(E$1, US_national_yearly!$D$1:$AM$1, 0), FALSE) / VLOOKUP(Substitution!$M$17 &amp; $A4, US_national_yearly!$D:$AM, MATCH(Keys!$C$7, US_national_yearly!$D$1:$AM$1, 0), FALSE), 1)</f>
        <v>6.3786285578034931</v>
      </c>
      <c r="F4" s="12">
        <f>$B4 * IFERROR(VLOOKUP(Substitution!$M$17 &amp; $A4, US_national_yearly!$D:$AM, MATCH(F$1, US_national_yearly!$D$1:$AM$1, 0), FALSE) / VLOOKUP(Substitution!$M$17 &amp; $A4, US_national_yearly!$D:$AM, MATCH(Keys!$C$7, US_national_yearly!$D$1:$AM$1, 0), FALSE), 1)</f>
        <v>6.4414525574912602</v>
      </c>
      <c r="G4" s="12">
        <f>$B4 * IFERROR(VLOOKUP(Substitution!$M$17 &amp; $A4, US_national_yearly!$D:$AM, MATCH(G$1, US_national_yearly!$D$1:$AM$1, 0), FALSE) / VLOOKUP(Substitution!$M$17 &amp; $A4, US_national_yearly!$D:$AM, MATCH(Keys!$C$7, US_national_yearly!$D$1:$AM$1, 0), FALSE), 1)</f>
        <v>6.5140600735639804</v>
      </c>
      <c r="H4" s="12">
        <f>$B4 * IFERROR(VLOOKUP(Substitution!$M$17 &amp; $A4, US_national_yearly!$D:$AM, MATCH(H$1, US_national_yearly!$D$1:$AM$1, 0), FALSE) / VLOOKUP(Substitution!$M$17 &amp; $A4, US_national_yearly!$D:$AM, MATCH(Keys!$C$7, US_national_yearly!$D$1:$AM$1, 0), FALSE), 1)</f>
        <v>6.5866675896366997</v>
      </c>
      <c r="I4" s="12">
        <f>$B4 * IFERROR(VLOOKUP(Substitution!$M$17 &amp; $A4, US_national_yearly!$D:$AM, MATCH(I$1, US_national_yearly!$D$1:$AM$1, 0), FALSE) / VLOOKUP(Substitution!$M$17 &amp; $A4, US_national_yearly!$D:$AM, MATCH(Keys!$C$7, US_national_yearly!$D$1:$AM$1, 0), FALSE), 1)</f>
        <v>6.6386342611951008</v>
      </c>
      <c r="J4" s="12">
        <f>$B4 * IFERROR(VLOOKUP(Substitution!$M$17 &amp; $A4, US_national_yearly!$D:$AM, MATCH(J$1, US_national_yearly!$D$1:$AM$1, 0), FALSE) / VLOOKUP(Substitution!$M$17 &amp; $A4, US_national_yearly!$D:$AM, MATCH(Keys!$C$7, US_national_yearly!$D$1:$AM$1, 0), FALSE), 1)</f>
        <v>6.690600932753501</v>
      </c>
      <c r="K4" s="12">
        <f>$B4 * IFERROR(VLOOKUP(Substitution!$M$17 &amp; $A4, US_national_yearly!$D:$AM, MATCH(K$1, US_national_yearly!$D$1:$AM$1, 0), FALSE) / VLOOKUP(Substitution!$M$17 &amp; $A4, US_national_yearly!$D:$AM, MATCH(Keys!$C$7, US_national_yearly!$D$1:$AM$1, 0), FALSE), 1)</f>
        <v>6.7425676043118994</v>
      </c>
      <c r="L4" s="12">
        <f>$B4 * IFERROR(VLOOKUP(Substitution!$M$17 &amp; $A4, US_national_yearly!$D:$AM, MATCH(L$1, US_national_yearly!$D$1:$AM$1, 0), FALSE) / VLOOKUP(Substitution!$M$17 &amp; $A4, US_national_yearly!$D:$AM, MATCH(Keys!$C$7, US_national_yearly!$D$1:$AM$1, 0), FALSE), 1)</f>
        <v>6.7945342758703005</v>
      </c>
      <c r="M4" s="12">
        <f>$B4 * IFERROR(VLOOKUP(Substitution!$M$17 &amp; $A4, US_national_yearly!$D:$AM, MATCH(M$1, US_national_yearly!$D$1:$AM$1, 0), FALSE) / VLOOKUP(Substitution!$M$17 &amp; $A4, US_national_yearly!$D:$AM, MATCH(Keys!$C$7, US_national_yearly!$D$1:$AM$1, 0), FALSE), 1)</f>
        <v>6.8465009474286989</v>
      </c>
      <c r="N4" s="12">
        <f>$B4 * IFERROR(VLOOKUP(Substitution!$M$17 &amp; $A4, US_national_yearly!$D:$AM, MATCH(N$1, US_national_yearly!$D$1:$AM$1, 0), FALSE) / VLOOKUP(Substitution!$M$17 &amp; $A4, US_national_yearly!$D:$AM, MATCH(Keys!$C$7, US_national_yearly!$D$1:$AM$1, 0), FALSE), 1)</f>
        <v>6.8678598698781341</v>
      </c>
      <c r="O4" s="12">
        <f>$B4 * IFERROR(VLOOKUP(Substitution!$M$17 &amp; $A4, US_national_yearly!$D:$AM, MATCH(O$1, US_national_yearly!$D$1:$AM$1, 0), FALSE) / VLOOKUP(Substitution!$M$17 &amp; $A4, US_national_yearly!$D:$AM, MATCH(Keys!$C$7, US_national_yearly!$D$1:$AM$1, 0), FALSE), 1)</f>
        <v>6.8892187923275667</v>
      </c>
      <c r="P4" s="12">
        <f>$B4 * IFERROR(VLOOKUP(Substitution!$M$17 &amp; $A4, US_national_yearly!$D:$AM, MATCH(P$1, US_national_yearly!$D$1:$AM$1, 0), FALSE) / VLOOKUP(Substitution!$M$17 &amp; $A4, US_national_yearly!$D:$AM, MATCH(Keys!$C$7, US_national_yearly!$D$1:$AM$1, 0), FALSE), 1)</f>
        <v>6.910577714777002</v>
      </c>
      <c r="Q4" s="12">
        <f>$B4 * IFERROR(VLOOKUP(Substitution!$M$17 &amp; $A4, US_national_yearly!$D:$AM, MATCH(Q$1, US_national_yearly!$D$1:$AM$1, 0), FALSE) / VLOOKUP(Substitution!$M$17 &amp; $A4, US_national_yearly!$D:$AM, MATCH(Keys!$C$7, US_national_yearly!$D$1:$AM$1, 0), FALSE), 1)</f>
        <v>6.9319366372264355</v>
      </c>
      <c r="R4" s="12">
        <f>$B4 * IFERROR(VLOOKUP(Substitution!$M$17 &amp; $A4, US_national_yearly!$D:$AM, MATCH(R$1, US_national_yearly!$D$1:$AM$1, 0), FALSE) / VLOOKUP(Substitution!$M$17 &amp; $A4, US_national_yearly!$D:$AM, MATCH(Keys!$C$7, US_national_yearly!$D$1:$AM$1, 0), FALSE), 1)</f>
        <v>6.9532955596758699</v>
      </c>
      <c r="S4" s="12">
        <f>$B4 * IFERROR(VLOOKUP(Substitution!$M$17 &amp; $A4, US_national_yearly!$D:$AM, MATCH(S$1, US_national_yearly!$D$1:$AM$1, 0), FALSE) / VLOOKUP(Substitution!$M$17 &amp; $A4, US_national_yearly!$D:$AM, MATCH(Keys!$C$7, US_national_yearly!$D$1:$AM$1, 0), FALSE), 1)</f>
        <v>6.9795206416846813</v>
      </c>
      <c r="T4" s="12">
        <f>$B4 * IFERROR(VLOOKUP(Substitution!$M$17 &amp; $A4, US_national_yearly!$D:$AM, MATCH(T$1, US_national_yearly!$D$1:$AM$1, 0), FALSE) / VLOOKUP(Substitution!$M$17 &amp; $A4, US_national_yearly!$D:$AM, MATCH(Keys!$C$7, US_national_yearly!$D$1:$AM$1, 0), FALSE), 1)</f>
        <v>7.0057457236934937</v>
      </c>
      <c r="U4" s="12">
        <f>$B4 * IFERROR(VLOOKUP(Substitution!$M$17 &amp; $A4, US_national_yearly!$D:$AM, MATCH(U$1, US_national_yearly!$D$1:$AM$1, 0), FALSE) / VLOOKUP(Substitution!$M$17 &amp; $A4, US_national_yearly!$D:$AM, MATCH(Keys!$C$7, US_national_yearly!$D$1:$AM$1, 0), FALSE), 1)</f>
        <v>7.0319708057023051</v>
      </c>
      <c r="V4" s="12">
        <f>$B4 * IFERROR(VLOOKUP(Substitution!$M$17 &amp; $A4, US_national_yearly!$D:$AM, MATCH(V$1, US_national_yearly!$D$1:$AM$1, 0), FALSE) / VLOOKUP(Substitution!$M$17 &amp; $A4, US_national_yearly!$D:$AM, MATCH(Keys!$C$7, US_national_yearly!$D$1:$AM$1, 0), FALSE), 1)</f>
        <v>7.0581958877111157</v>
      </c>
      <c r="W4" s="12">
        <f>$B4 * IFERROR(VLOOKUP(Substitution!$M$17 &amp; $A4, US_national_yearly!$D:$AM, MATCH(W$1, US_national_yearly!$D$1:$AM$1, 0), FALSE) / VLOOKUP(Substitution!$M$17 &amp; $A4, US_national_yearly!$D:$AM, MATCH(Keys!$C$7, US_national_yearly!$D$1:$AM$1, 0), FALSE), 1)</f>
        <v>7.084420969719929</v>
      </c>
      <c r="X4" s="12">
        <f>$B4 * IFERROR(VLOOKUP(Substitution!$M$17 &amp; $A4, US_national_yearly!$D:$AM, MATCH(X$1, US_national_yearly!$D$1:$AM$1, 0), FALSE) / VLOOKUP(Substitution!$M$17 &amp; $A4, US_national_yearly!$D:$AM, MATCH(Keys!$C$7, US_national_yearly!$D$1:$AM$1, 0), FALSE), 1)</f>
        <v>7.1136375357302555</v>
      </c>
      <c r="Y4" s="12">
        <f>$B4 * IFERROR(VLOOKUP(Substitution!$M$17 &amp; $A4, US_national_yearly!$D:$AM, MATCH(Y$1, US_national_yearly!$D$1:$AM$1, 0), FALSE) / VLOOKUP(Substitution!$M$17 &amp; $A4, US_national_yearly!$D:$AM, MATCH(Keys!$C$7, US_national_yearly!$D$1:$AM$1, 0), FALSE), 1)</f>
        <v>7.1428541017405829</v>
      </c>
      <c r="Z4" s="12">
        <f>$B4 * IFERROR(VLOOKUP(Substitution!$M$17 &amp; $A4, US_national_yearly!$D:$AM, MATCH(Z$1, US_national_yearly!$D$1:$AM$1, 0), FALSE) / VLOOKUP(Substitution!$M$17 &amp; $A4, US_national_yearly!$D:$AM, MATCH(Keys!$C$7, US_national_yearly!$D$1:$AM$1, 0), FALSE), 1)</f>
        <v>7.1720706677509067</v>
      </c>
      <c r="AA4" s="12">
        <f>$B4 * IFERROR(VLOOKUP(Substitution!$M$17 &amp; $A4, US_national_yearly!$D:$AM, MATCH(AA$1, US_national_yearly!$D$1:$AM$1, 0), FALSE) / VLOOKUP(Substitution!$M$17 &amp; $A4, US_national_yearly!$D:$AM, MATCH(Keys!$C$7, US_national_yearly!$D$1:$AM$1, 0), FALSE), 1)</f>
        <v>7.2012872337612341</v>
      </c>
      <c r="AB4" s="12">
        <f>$B4 * IFERROR(VLOOKUP(Substitution!$M$17 &amp; $A4, US_national_yearly!$D:$AM, MATCH(AB$1, US_national_yearly!$D$1:$AM$1, 0), FALSE) / VLOOKUP(Substitution!$M$17 &amp; $A4, US_national_yearly!$D:$AM, MATCH(Keys!$C$7, US_national_yearly!$D$1:$AM$1, 0), FALSE), 1)</f>
        <v>7.2305037997715607</v>
      </c>
    </row>
    <row r="5" spans="1:28" x14ac:dyDescent="0.25">
      <c r="A5" s="4" t="s">
        <v>297</v>
      </c>
      <c r="B5" s="12">
        <f>IFERROR(VLOOKUP(Substitution!$M$17 &amp; $A5, US_national_yearly!$D:$AM, MATCH(Keys!$C$7, US_national_yearly!$D$1:$AM$1, 0), FALSE), 0)</f>
        <v>0</v>
      </c>
      <c r="C5" s="12">
        <f>$B5 * IFERROR(VLOOKUP(Substitution!$M$17 &amp; $A5, US_national_yearly!$D:$AM, MATCH(C$1, US_national_yearly!$D$1:$AM$1, 0), FALSE) / VLOOKUP(Substitution!$M$17 &amp; $A5, US_national_yearly!$D:$AM, MATCH(Keys!$C$7, US_national_yearly!$D$1:$AM$1, 0), FALSE), 1)</f>
        <v>0</v>
      </c>
      <c r="D5" s="12">
        <f>$B5 * IFERROR(VLOOKUP(Substitution!$M$17 &amp; $A5, US_national_yearly!$D:$AM, MATCH(D$1, US_national_yearly!$D$1:$AM$1, 0), FALSE) / VLOOKUP(Substitution!$M$17 &amp; $A5, US_national_yearly!$D:$AM, MATCH(Keys!$C$7, US_national_yearly!$D$1:$AM$1, 0), FALSE), 1)</f>
        <v>0</v>
      </c>
      <c r="E5" s="12">
        <f>$B5 * IFERROR(VLOOKUP(Substitution!$M$17 &amp; $A5, US_national_yearly!$D:$AM, MATCH(E$1, US_national_yearly!$D$1:$AM$1, 0), FALSE) / VLOOKUP(Substitution!$M$17 &amp; $A5, US_national_yearly!$D:$AM, MATCH(Keys!$C$7, US_national_yearly!$D$1:$AM$1, 0), FALSE), 1)</f>
        <v>0</v>
      </c>
      <c r="F5" s="12">
        <f>$B5 * IFERROR(VLOOKUP(Substitution!$M$17 &amp; $A5, US_national_yearly!$D:$AM, MATCH(F$1, US_national_yearly!$D$1:$AM$1, 0), FALSE) / VLOOKUP(Substitution!$M$17 &amp; $A5, US_national_yearly!$D:$AM, MATCH(Keys!$C$7, US_national_yearly!$D$1:$AM$1, 0), FALSE), 1)</f>
        <v>0</v>
      </c>
      <c r="G5" s="12">
        <f>$B5 * IFERROR(VLOOKUP(Substitution!$M$17 &amp; $A5, US_national_yearly!$D:$AM, MATCH(G$1, US_national_yearly!$D$1:$AM$1, 0), FALSE) / VLOOKUP(Substitution!$M$17 &amp; $A5, US_national_yearly!$D:$AM, MATCH(Keys!$C$7, US_national_yearly!$D$1:$AM$1, 0), FALSE), 1)</f>
        <v>0</v>
      </c>
      <c r="H5" s="12">
        <f>$B5 * IFERROR(VLOOKUP(Substitution!$M$17 &amp; $A5, US_national_yearly!$D:$AM, MATCH(H$1, US_national_yearly!$D$1:$AM$1, 0), FALSE) / VLOOKUP(Substitution!$M$17 &amp; $A5, US_national_yearly!$D:$AM, MATCH(Keys!$C$7, US_national_yearly!$D$1:$AM$1, 0), FALSE), 1)</f>
        <v>0</v>
      </c>
      <c r="I5" s="12">
        <f>$B5 * IFERROR(VLOOKUP(Substitution!$M$17 &amp; $A5, US_national_yearly!$D:$AM, MATCH(I$1, US_national_yearly!$D$1:$AM$1, 0), FALSE) / VLOOKUP(Substitution!$M$17 &amp; $A5, US_national_yearly!$D:$AM, MATCH(Keys!$C$7, US_national_yearly!$D$1:$AM$1, 0), FALSE), 1)</f>
        <v>0</v>
      </c>
      <c r="J5" s="12">
        <f>$B5 * IFERROR(VLOOKUP(Substitution!$M$17 &amp; $A5, US_national_yearly!$D:$AM, MATCH(J$1, US_national_yearly!$D$1:$AM$1, 0), FALSE) / VLOOKUP(Substitution!$M$17 &amp; $A5, US_national_yearly!$D:$AM, MATCH(Keys!$C$7, US_national_yearly!$D$1:$AM$1, 0), FALSE), 1)</f>
        <v>0</v>
      </c>
      <c r="K5" s="12">
        <f>$B5 * IFERROR(VLOOKUP(Substitution!$M$17 &amp; $A5, US_national_yearly!$D:$AM, MATCH(K$1, US_national_yearly!$D$1:$AM$1, 0), FALSE) / VLOOKUP(Substitution!$M$17 &amp; $A5, US_national_yearly!$D:$AM, MATCH(Keys!$C$7, US_national_yearly!$D$1:$AM$1, 0), FALSE), 1)</f>
        <v>0</v>
      </c>
      <c r="L5" s="12">
        <f>$B5 * IFERROR(VLOOKUP(Substitution!$M$17 &amp; $A5, US_national_yearly!$D:$AM, MATCH(L$1, US_national_yearly!$D$1:$AM$1, 0), FALSE) / VLOOKUP(Substitution!$M$17 &amp; $A5, US_national_yearly!$D:$AM, MATCH(Keys!$C$7, US_national_yearly!$D$1:$AM$1, 0), FALSE), 1)</f>
        <v>0</v>
      </c>
      <c r="M5" s="12">
        <f>$B5 * IFERROR(VLOOKUP(Substitution!$M$17 &amp; $A5, US_national_yearly!$D:$AM, MATCH(M$1, US_national_yearly!$D$1:$AM$1, 0), FALSE) / VLOOKUP(Substitution!$M$17 &amp; $A5, US_national_yearly!$D:$AM, MATCH(Keys!$C$7, US_national_yearly!$D$1:$AM$1, 0), FALSE), 1)</f>
        <v>0</v>
      </c>
      <c r="N5" s="12">
        <f>$B5 * IFERROR(VLOOKUP(Substitution!$M$17 &amp; $A5, US_national_yearly!$D:$AM, MATCH(N$1, US_national_yearly!$D$1:$AM$1, 0), FALSE) / VLOOKUP(Substitution!$M$17 &amp; $A5, US_national_yearly!$D:$AM, MATCH(Keys!$C$7, US_national_yearly!$D$1:$AM$1, 0), FALSE), 1)</f>
        <v>0</v>
      </c>
      <c r="O5" s="12">
        <f>$B5 * IFERROR(VLOOKUP(Substitution!$M$17 &amp; $A5, US_national_yearly!$D:$AM, MATCH(O$1, US_national_yearly!$D$1:$AM$1, 0), FALSE) / VLOOKUP(Substitution!$M$17 &amp; $A5, US_national_yearly!$D:$AM, MATCH(Keys!$C$7, US_national_yearly!$D$1:$AM$1, 0), FALSE), 1)</f>
        <v>0</v>
      </c>
      <c r="P5" s="12">
        <f>$B5 * IFERROR(VLOOKUP(Substitution!$M$17 &amp; $A5, US_national_yearly!$D:$AM, MATCH(P$1, US_national_yearly!$D$1:$AM$1, 0), FALSE) / VLOOKUP(Substitution!$M$17 &amp; $A5, US_national_yearly!$D:$AM, MATCH(Keys!$C$7, US_national_yearly!$D$1:$AM$1, 0), FALSE), 1)</f>
        <v>0</v>
      </c>
      <c r="Q5" s="12">
        <f>$B5 * IFERROR(VLOOKUP(Substitution!$M$17 &amp; $A5, US_national_yearly!$D:$AM, MATCH(Q$1, US_national_yearly!$D$1:$AM$1, 0), FALSE) / VLOOKUP(Substitution!$M$17 &amp; $A5, US_national_yearly!$D:$AM, MATCH(Keys!$C$7, US_national_yearly!$D$1:$AM$1, 0), FALSE), 1)</f>
        <v>0</v>
      </c>
      <c r="R5" s="12">
        <f>$B5 * IFERROR(VLOOKUP(Substitution!$M$17 &amp; $A5, US_national_yearly!$D:$AM, MATCH(R$1, US_national_yearly!$D$1:$AM$1, 0), FALSE) / VLOOKUP(Substitution!$M$17 &amp; $A5, US_national_yearly!$D:$AM, MATCH(Keys!$C$7, US_national_yearly!$D$1:$AM$1, 0), FALSE), 1)</f>
        <v>0</v>
      </c>
      <c r="S5" s="12">
        <f>$B5 * IFERROR(VLOOKUP(Substitution!$M$17 &amp; $A5, US_national_yearly!$D:$AM, MATCH(S$1, US_national_yearly!$D$1:$AM$1, 0), FALSE) / VLOOKUP(Substitution!$M$17 &amp; $A5, US_national_yearly!$D:$AM, MATCH(Keys!$C$7, US_national_yearly!$D$1:$AM$1, 0), FALSE), 1)</f>
        <v>0</v>
      </c>
      <c r="T5" s="12">
        <f>$B5 * IFERROR(VLOOKUP(Substitution!$M$17 &amp; $A5, US_national_yearly!$D:$AM, MATCH(T$1, US_national_yearly!$D$1:$AM$1, 0), FALSE) / VLOOKUP(Substitution!$M$17 &amp; $A5, US_national_yearly!$D:$AM, MATCH(Keys!$C$7, US_national_yearly!$D$1:$AM$1, 0), FALSE), 1)</f>
        <v>0</v>
      </c>
      <c r="U5" s="12">
        <f>$B5 * IFERROR(VLOOKUP(Substitution!$M$17 &amp; $A5, US_national_yearly!$D:$AM, MATCH(U$1, US_national_yearly!$D$1:$AM$1, 0), FALSE) / VLOOKUP(Substitution!$M$17 &amp; $A5, US_national_yearly!$D:$AM, MATCH(Keys!$C$7, US_national_yearly!$D$1:$AM$1, 0), FALSE), 1)</f>
        <v>0</v>
      </c>
      <c r="V5" s="12">
        <f>$B5 * IFERROR(VLOOKUP(Substitution!$M$17 &amp; $A5, US_national_yearly!$D:$AM, MATCH(V$1, US_national_yearly!$D$1:$AM$1, 0), FALSE) / VLOOKUP(Substitution!$M$17 &amp; $A5, US_national_yearly!$D:$AM, MATCH(Keys!$C$7, US_national_yearly!$D$1:$AM$1, 0), FALSE), 1)</f>
        <v>0</v>
      </c>
      <c r="W5" s="12">
        <f>$B5 * IFERROR(VLOOKUP(Substitution!$M$17 &amp; $A5, US_national_yearly!$D:$AM, MATCH(W$1, US_national_yearly!$D$1:$AM$1, 0), FALSE) / VLOOKUP(Substitution!$M$17 &amp; $A5, US_national_yearly!$D:$AM, MATCH(Keys!$C$7, US_national_yearly!$D$1:$AM$1, 0), FALSE), 1)</f>
        <v>0</v>
      </c>
      <c r="X5" s="12">
        <f>$B5 * IFERROR(VLOOKUP(Substitution!$M$17 &amp; $A5, US_national_yearly!$D:$AM, MATCH(X$1, US_national_yearly!$D$1:$AM$1, 0), FALSE) / VLOOKUP(Substitution!$M$17 &amp; $A5, US_national_yearly!$D:$AM, MATCH(Keys!$C$7, US_national_yearly!$D$1:$AM$1, 0), FALSE), 1)</f>
        <v>0</v>
      </c>
      <c r="Y5" s="12">
        <f>$B5 * IFERROR(VLOOKUP(Substitution!$M$17 &amp; $A5, US_national_yearly!$D:$AM, MATCH(Y$1, US_national_yearly!$D$1:$AM$1, 0), FALSE) / VLOOKUP(Substitution!$M$17 &amp; $A5, US_national_yearly!$D:$AM, MATCH(Keys!$C$7, US_national_yearly!$D$1:$AM$1, 0), FALSE), 1)</f>
        <v>0</v>
      </c>
      <c r="Z5" s="12">
        <f>$B5 * IFERROR(VLOOKUP(Substitution!$M$17 &amp; $A5, US_national_yearly!$D:$AM, MATCH(Z$1, US_national_yearly!$D$1:$AM$1, 0), FALSE) / VLOOKUP(Substitution!$M$17 &amp; $A5, US_national_yearly!$D:$AM, MATCH(Keys!$C$7, US_national_yearly!$D$1:$AM$1, 0), FALSE), 1)</f>
        <v>0</v>
      </c>
      <c r="AA5" s="12">
        <f>$B5 * IFERROR(VLOOKUP(Substitution!$M$17 &amp; $A5, US_national_yearly!$D:$AM, MATCH(AA$1, US_national_yearly!$D$1:$AM$1, 0), FALSE) / VLOOKUP(Substitution!$M$17 &amp; $A5, US_national_yearly!$D:$AM, MATCH(Keys!$C$7, US_national_yearly!$D$1:$AM$1, 0), FALSE), 1)</f>
        <v>0</v>
      </c>
      <c r="AB5" s="12">
        <f>$B5 * IFERROR(VLOOKUP(Substitution!$M$17 &amp; $A5, US_national_yearly!$D:$AM, MATCH(AB$1, US_national_yearly!$D$1:$AM$1, 0), FALSE) / VLOOKUP(Substitution!$M$17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Substitution!$G$17)/IFERROR(SUMIFS(COBRA_aggregated!$W:$W, COBRA_aggregated!$A:$A, About!$B$1, COBRA_aggregated!$B:$B, Substitution!$G$17), 1)</f>
        <v>8.1885791756636293E-4</v>
      </c>
      <c r="C6" s="12">
        <f>$B6 * IFERROR(VLOOKUP(Substitution!$M$17 &amp; $A6, US_national_yearly!$D:$AM, MATCH(C$1, US_national_yearly!$D$1:$AM$1, 0), FALSE) / VLOOKUP(Substitution!$M$17 &amp; $A6, US_national_yearly!$D:$AM, MATCH(Keys!$C$7, US_national_yearly!$D$1:$AM$1, 0), FALSE), 1)</f>
        <v>8.1885791756636293E-4</v>
      </c>
      <c r="D6" s="12">
        <f>$B6 * IFERROR(VLOOKUP(Substitution!$M$17 &amp; $A6, US_national_yearly!$D:$AM, MATCH(D$1, US_national_yearly!$D$1:$AM$1, 0), FALSE) / VLOOKUP(Substitution!$M$17 &amp; $A6, US_national_yearly!$D:$AM, MATCH(Keys!$C$7, US_national_yearly!$D$1:$AM$1, 0), FALSE), 1)</f>
        <v>8.1885791756636293E-4</v>
      </c>
      <c r="E6" s="12">
        <f>$B6 * IFERROR(VLOOKUP(Substitution!$M$17 &amp; $A6, US_national_yearly!$D:$AM, MATCH(E$1, US_national_yearly!$D$1:$AM$1, 0), FALSE) / VLOOKUP(Substitution!$M$17 &amp; $A6, US_national_yearly!$D:$AM, MATCH(Keys!$C$7, US_national_yearly!$D$1:$AM$1, 0), FALSE), 1)</f>
        <v>8.1885791756636293E-4</v>
      </c>
      <c r="F6" s="12">
        <f>$B6 * IFERROR(VLOOKUP(Substitution!$M$17 &amp; $A6, US_national_yearly!$D:$AM, MATCH(F$1, US_national_yearly!$D$1:$AM$1, 0), FALSE) / VLOOKUP(Substitution!$M$17 &amp; $A6, US_national_yearly!$D:$AM, MATCH(Keys!$C$7, US_national_yearly!$D$1:$AM$1, 0), FALSE), 1)</f>
        <v>8.1885791756636293E-4</v>
      </c>
      <c r="G6" s="12">
        <f>$B6 * IFERROR(VLOOKUP(Substitution!$M$17 &amp; $A6, US_national_yearly!$D:$AM, MATCH(G$1, US_national_yearly!$D$1:$AM$1, 0), FALSE) / VLOOKUP(Substitution!$M$17 &amp; $A6, US_national_yearly!$D:$AM, MATCH(Keys!$C$7, US_national_yearly!$D$1:$AM$1, 0), FALSE), 1)</f>
        <v>8.1885791756636293E-4</v>
      </c>
      <c r="H6" s="12">
        <f>$B6 * IFERROR(VLOOKUP(Substitution!$M$17 &amp; $A6, US_national_yearly!$D:$AM, MATCH(H$1, US_national_yearly!$D$1:$AM$1, 0), FALSE) / VLOOKUP(Substitution!$M$17 &amp; $A6, US_national_yearly!$D:$AM, MATCH(Keys!$C$7, US_national_yearly!$D$1:$AM$1, 0), FALSE), 1)</f>
        <v>8.1885791756636293E-4</v>
      </c>
      <c r="I6" s="12">
        <f>$B6 * IFERROR(VLOOKUP(Substitution!$M$17 &amp; $A6, US_national_yearly!$D:$AM, MATCH(I$1, US_national_yearly!$D$1:$AM$1, 0), FALSE) / VLOOKUP(Substitution!$M$17 &amp; $A6, US_national_yearly!$D:$AM, MATCH(Keys!$C$7, US_national_yearly!$D$1:$AM$1, 0), FALSE), 1)</f>
        <v>8.1885791756636293E-4</v>
      </c>
      <c r="J6" s="12">
        <f>$B6 * IFERROR(VLOOKUP(Substitution!$M$17 &amp; $A6, US_national_yearly!$D:$AM, MATCH(J$1, US_national_yearly!$D$1:$AM$1, 0), FALSE) / VLOOKUP(Substitution!$M$17 &amp; $A6, US_national_yearly!$D:$AM, MATCH(Keys!$C$7, US_national_yearly!$D$1:$AM$1, 0), FALSE), 1)</f>
        <v>8.1885791756636293E-4</v>
      </c>
      <c r="K6" s="12">
        <f>$B6 * IFERROR(VLOOKUP(Substitution!$M$17 &amp; $A6, US_national_yearly!$D:$AM, MATCH(K$1, US_national_yearly!$D$1:$AM$1, 0), FALSE) / VLOOKUP(Substitution!$M$17 &amp; $A6, US_national_yearly!$D:$AM, MATCH(Keys!$C$7, US_national_yearly!$D$1:$AM$1, 0), FALSE), 1)</f>
        <v>8.1885791756636293E-4</v>
      </c>
      <c r="L6" s="12">
        <f>$B6 * IFERROR(VLOOKUP(Substitution!$M$17 &amp; $A6, US_national_yearly!$D:$AM, MATCH(L$1, US_national_yearly!$D$1:$AM$1, 0), FALSE) / VLOOKUP(Substitution!$M$17 &amp; $A6, US_national_yearly!$D:$AM, MATCH(Keys!$C$7, US_national_yearly!$D$1:$AM$1, 0), FALSE), 1)</f>
        <v>8.1885791756636293E-4</v>
      </c>
      <c r="M6" s="12">
        <f>$B6 * IFERROR(VLOOKUP(Substitution!$M$17 &amp; $A6, US_national_yearly!$D:$AM, MATCH(M$1, US_national_yearly!$D$1:$AM$1, 0), FALSE) / VLOOKUP(Substitution!$M$17 &amp; $A6, US_national_yearly!$D:$AM, MATCH(Keys!$C$7, US_national_yearly!$D$1:$AM$1, 0), FALSE), 1)</f>
        <v>8.1885791756636293E-4</v>
      </c>
      <c r="N6" s="12">
        <f>$B6 * IFERROR(VLOOKUP(Substitution!$M$17 &amp; $A6, US_national_yearly!$D:$AM, MATCH(N$1, US_national_yearly!$D$1:$AM$1, 0), FALSE) / VLOOKUP(Substitution!$M$17 &amp; $A6, US_national_yearly!$D:$AM, MATCH(Keys!$C$7, US_national_yearly!$D$1:$AM$1, 0), FALSE), 1)</f>
        <v>8.1885791756636293E-4</v>
      </c>
      <c r="O6" s="12">
        <f>$B6 * IFERROR(VLOOKUP(Substitution!$M$17 &amp; $A6, US_national_yearly!$D:$AM, MATCH(O$1, US_national_yearly!$D$1:$AM$1, 0), FALSE) / VLOOKUP(Substitution!$M$17 &amp; $A6, US_national_yearly!$D:$AM, MATCH(Keys!$C$7, US_national_yearly!$D$1:$AM$1, 0), FALSE), 1)</f>
        <v>8.1885791756636293E-4</v>
      </c>
      <c r="P6" s="12">
        <f>$B6 * IFERROR(VLOOKUP(Substitution!$M$17 &amp; $A6, US_national_yearly!$D:$AM, MATCH(P$1, US_national_yearly!$D$1:$AM$1, 0), FALSE) / VLOOKUP(Substitution!$M$17 &amp; $A6, US_national_yearly!$D:$AM, MATCH(Keys!$C$7, US_national_yearly!$D$1:$AM$1, 0), FALSE), 1)</f>
        <v>8.1885791756636293E-4</v>
      </c>
      <c r="Q6" s="12">
        <f>$B6 * IFERROR(VLOOKUP(Substitution!$M$17 &amp; $A6, US_national_yearly!$D:$AM, MATCH(Q$1, US_national_yearly!$D$1:$AM$1, 0), FALSE) / VLOOKUP(Substitution!$M$17 &amp; $A6, US_national_yearly!$D:$AM, MATCH(Keys!$C$7, US_national_yearly!$D$1:$AM$1, 0), FALSE), 1)</f>
        <v>8.1885791756636293E-4</v>
      </c>
      <c r="R6" s="12">
        <f>$B6 * IFERROR(VLOOKUP(Substitution!$M$17 &amp; $A6, US_national_yearly!$D:$AM, MATCH(R$1, US_national_yearly!$D$1:$AM$1, 0), FALSE) / VLOOKUP(Substitution!$M$17 &amp; $A6, US_national_yearly!$D:$AM, MATCH(Keys!$C$7, US_national_yearly!$D$1:$AM$1, 0), FALSE), 1)</f>
        <v>8.1885791756636293E-4</v>
      </c>
      <c r="S6" s="12">
        <f>$B6 * IFERROR(VLOOKUP(Substitution!$M$17 &amp; $A6, US_national_yearly!$D:$AM, MATCH(S$1, US_national_yearly!$D$1:$AM$1, 0), FALSE) / VLOOKUP(Substitution!$M$17 &amp; $A6, US_national_yearly!$D:$AM, MATCH(Keys!$C$7, US_national_yearly!$D$1:$AM$1, 0), FALSE), 1)</f>
        <v>8.1885791756636293E-4</v>
      </c>
      <c r="T6" s="12">
        <f>$B6 * IFERROR(VLOOKUP(Substitution!$M$17 &amp; $A6, US_national_yearly!$D:$AM, MATCH(T$1, US_national_yearly!$D$1:$AM$1, 0), FALSE) / VLOOKUP(Substitution!$M$17 &amp; $A6, US_national_yearly!$D:$AM, MATCH(Keys!$C$7, US_national_yearly!$D$1:$AM$1, 0), FALSE), 1)</f>
        <v>8.1885791756636293E-4</v>
      </c>
      <c r="U6" s="12">
        <f>$B6 * IFERROR(VLOOKUP(Substitution!$M$17 &amp; $A6, US_national_yearly!$D:$AM, MATCH(U$1, US_national_yearly!$D$1:$AM$1, 0), FALSE) / VLOOKUP(Substitution!$M$17 &amp; $A6, US_national_yearly!$D:$AM, MATCH(Keys!$C$7, US_national_yearly!$D$1:$AM$1, 0), FALSE), 1)</f>
        <v>8.1885791756636293E-4</v>
      </c>
      <c r="V6" s="12">
        <f>$B6 * IFERROR(VLOOKUP(Substitution!$M$17 &amp; $A6, US_national_yearly!$D:$AM, MATCH(V$1, US_national_yearly!$D$1:$AM$1, 0), FALSE) / VLOOKUP(Substitution!$M$17 &amp; $A6, US_national_yearly!$D:$AM, MATCH(Keys!$C$7, US_national_yearly!$D$1:$AM$1, 0), FALSE), 1)</f>
        <v>8.1885791756636293E-4</v>
      </c>
      <c r="W6" s="12">
        <f>$B6 * IFERROR(VLOOKUP(Substitution!$M$17 &amp; $A6, US_national_yearly!$D:$AM, MATCH(W$1, US_national_yearly!$D$1:$AM$1, 0), FALSE) / VLOOKUP(Substitution!$M$17 &amp; $A6, US_national_yearly!$D:$AM, MATCH(Keys!$C$7, US_national_yearly!$D$1:$AM$1, 0), FALSE), 1)</f>
        <v>8.1885791756636293E-4</v>
      </c>
      <c r="X6" s="12">
        <f>$B6 * IFERROR(VLOOKUP(Substitution!$M$17 &amp; $A6, US_national_yearly!$D:$AM, MATCH(X$1, US_national_yearly!$D$1:$AM$1, 0), FALSE) / VLOOKUP(Substitution!$M$17 &amp; $A6, US_national_yearly!$D:$AM, MATCH(Keys!$C$7, US_national_yearly!$D$1:$AM$1, 0), FALSE), 1)</f>
        <v>8.1885791756636293E-4</v>
      </c>
      <c r="Y6" s="12">
        <f>$B6 * IFERROR(VLOOKUP(Substitution!$M$17 &amp; $A6, US_national_yearly!$D:$AM, MATCH(Y$1, US_national_yearly!$D$1:$AM$1, 0), FALSE) / VLOOKUP(Substitution!$M$17 &amp; $A6, US_national_yearly!$D:$AM, MATCH(Keys!$C$7, US_national_yearly!$D$1:$AM$1, 0), FALSE), 1)</f>
        <v>8.1885791756636293E-4</v>
      </c>
      <c r="Z6" s="12">
        <f>$B6 * IFERROR(VLOOKUP(Substitution!$M$17 &amp; $A6, US_national_yearly!$D:$AM, MATCH(Z$1, US_national_yearly!$D$1:$AM$1, 0), FALSE) / VLOOKUP(Substitution!$M$17 &amp; $A6, US_national_yearly!$D:$AM, MATCH(Keys!$C$7, US_national_yearly!$D$1:$AM$1, 0), FALSE), 1)</f>
        <v>8.1885791756636293E-4</v>
      </c>
      <c r="AA6" s="12">
        <f>$B6 * IFERROR(VLOOKUP(Substitution!$M$17 &amp; $A6, US_national_yearly!$D:$AM, MATCH(AA$1, US_national_yearly!$D$1:$AM$1, 0), FALSE) / VLOOKUP(Substitution!$M$17 &amp; $A6, US_national_yearly!$D:$AM, MATCH(Keys!$C$7, US_national_yearly!$D$1:$AM$1, 0), FALSE), 1)</f>
        <v>8.1885791756636293E-4</v>
      </c>
      <c r="AB6" s="12">
        <f>$B6 * IFERROR(VLOOKUP(Substitution!$M$17 &amp; $A6, US_national_yearly!$D:$AM, MATCH(AB$1, US_national_yearly!$D$1:$AM$1, 0), FALSE) / VLOOKUP(Substitution!$M$17 &amp; $A6, US_national_yearly!$D:$AM, MATCH(Keys!$C$7, US_national_yearly!$D$1:$AM$1, 0), FALSE), 1)</f>
        <v>8.1885791756636293E-4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Substitution!$G$17)/IFERROR(SUMIFS(COBRA_aggregated!$W:$W, COBRA_aggregated!$A:$A, About!$B$1, COBRA_aggregated!$B:$B, Substitution!$G$17), 1)</f>
        <v>1.1027016515630303E-3</v>
      </c>
      <c r="C7" s="12">
        <f>$B7 * IFERROR(VLOOKUP(Substitution!$M$17 &amp; $A7, US_national_yearly!$D:$AM, MATCH(C$1, US_national_yearly!$D$1:$AM$1, 0), FALSE) / VLOOKUP(Substitution!$M$17 &amp; $A7, US_national_yearly!$D:$AM, MATCH(Keys!$C$7, US_national_yearly!$D$1:$AM$1, 0), FALSE), 1)</f>
        <v>1.1027016515630303E-3</v>
      </c>
      <c r="D7" s="12">
        <f>$B7 * IFERROR(VLOOKUP(Substitution!$M$17 &amp; $A7, US_national_yearly!$D:$AM, MATCH(D$1, US_national_yearly!$D$1:$AM$1, 0), FALSE) / VLOOKUP(Substitution!$M$17 &amp; $A7, US_national_yearly!$D:$AM, MATCH(Keys!$C$7, US_national_yearly!$D$1:$AM$1, 0), FALSE), 1)</f>
        <v>1.1027016515630303E-3</v>
      </c>
      <c r="E7" s="12">
        <f>$B7 * IFERROR(VLOOKUP(Substitution!$M$17 &amp; $A7, US_national_yearly!$D:$AM, MATCH(E$1, US_national_yearly!$D$1:$AM$1, 0), FALSE) / VLOOKUP(Substitution!$M$17 &amp; $A7, US_national_yearly!$D:$AM, MATCH(Keys!$C$7, US_national_yearly!$D$1:$AM$1, 0), FALSE), 1)</f>
        <v>1.1027016515630303E-3</v>
      </c>
      <c r="F7" s="12">
        <f>$B7 * IFERROR(VLOOKUP(Substitution!$M$17 &amp; $A7, US_national_yearly!$D:$AM, MATCH(F$1, US_national_yearly!$D$1:$AM$1, 0), FALSE) / VLOOKUP(Substitution!$M$17 &amp; $A7, US_national_yearly!$D:$AM, MATCH(Keys!$C$7, US_national_yearly!$D$1:$AM$1, 0), FALSE), 1)</f>
        <v>1.1027016515630303E-3</v>
      </c>
      <c r="G7" s="12">
        <f>$B7 * IFERROR(VLOOKUP(Substitution!$M$17 &amp; $A7, US_national_yearly!$D:$AM, MATCH(G$1, US_national_yearly!$D$1:$AM$1, 0), FALSE) / VLOOKUP(Substitution!$M$17 &amp; $A7, US_national_yearly!$D:$AM, MATCH(Keys!$C$7, US_national_yearly!$D$1:$AM$1, 0), FALSE), 1)</f>
        <v>1.1027016515630303E-3</v>
      </c>
      <c r="H7" s="12">
        <f>$B7 * IFERROR(VLOOKUP(Substitution!$M$17 &amp; $A7, US_national_yearly!$D:$AM, MATCH(H$1, US_national_yearly!$D$1:$AM$1, 0), FALSE) / VLOOKUP(Substitution!$M$17 &amp; $A7, US_national_yearly!$D:$AM, MATCH(Keys!$C$7, US_national_yearly!$D$1:$AM$1, 0), FALSE), 1)</f>
        <v>1.1027016515630303E-3</v>
      </c>
      <c r="I7" s="12">
        <f>$B7 * IFERROR(VLOOKUP(Substitution!$M$17 &amp; $A7, US_national_yearly!$D:$AM, MATCH(I$1, US_national_yearly!$D$1:$AM$1, 0), FALSE) / VLOOKUP(Substitution!$M$17 &amp; $A7, US_national_yearly!$D:$AM, MATCH(Keys!$C$7, US_national_yearly!$D$1:$AM$1, 0), FALSE), 1)</f>
        <v>1.1027016515630303E-3</v>
      </c>
      <c r="J7" s="12">
        <f>$B7 * IFERROR(VLOOKUP(Substitution!$M$17 &amp; $A7, US_national_yearly!$D:$AM, MATCH(J$1, US_national_yearly!$D$1:$AM$1, 0), FALSE) / VLOOKUP(Substitution!$M$17 &amp; $A7, US_national_yearly!$D:$AM, MATCH(Keys!$C$7, US_national_yearly!$D$1:$AM$1, 0), FALSE), 1)</f>
        <v>1.1027016515630303E-3</v>
      </c>
      <c r="K7" s="12">
        <f>$B7 * IFERROR(VLOOKUP(Substitution!$M$17 &amp; $A7, US_national_yearly!$D:$AM, MATCH(K$1, US_national_yearly!$D$1:$AM$1, 0), FALSE) / VLOOKUP(Substitution!$M$17 &amp; $A7, US_national_yearly!$D:$AM, MATCH(Keys!$C$7, US_national_yearly!$D$1:$AM$1, 0), FALSE), 1)</f>
        <v>1.1027016515630303E-3</v>
      </c>
      <c r="L7" s="12">
        <f>$B7 * IFERROR(VLOOKUP(Substitution!$M$17 &amp; $A7, US_national_yearly!$D:$AM, MATCH(L$1, US_national_yearly!$D$1:$AM$1, 0), FALSE) / VLOOKUP(Substitution!$M$17 &amp; $A7, US_national_yearly!$D:$AM, MATCH(Keys!$C$7, US_national_yearly!$D$1:$AM$1, 0), FALSE), 1)</f>
        <v>1.1027016515630303E-3</v>
      </c>
      <c r="M7" s="12">
        <f>$B7 * IFERROR(VLOOKUP(Substitution!$M$17 &amp; $A7, US_national_yearly!$D:$AM, MATCH(M$1, US_national_yearly!$D$1:$AM$1, 0), FALSE) / VLOOKUP(Substitution!$M$17 &amp; $A7, US_national_yearly!$D:$AM, MATCH(Keys!$C$7, US_national_yearly!$D$1:$AM$1, 0), FALSE), 1)</f>
        <v>1.1027016515630303E-3</v>
      </c>
      <c r="N7" s="12">
        <f>$B7 * IFERROR(VLOOKUP(Substitution!$M$17 &amp; $A7, US_national_yearly!$D:$AM, MATCH(N$1, US_national_yearly!$D$1:$AM$1, 0), FALSE) / VLOOKUP(Substitution!$M$17 &amp; $A7, US_national_yearly!$D:$AM, MATCH(Keys!$C$7, US_national_yearly!$D$1:$AM$1, 0), FALSE), 1)</f>
        <v>1.1027016515630303E-3</v>
      </c>
      <c r="O7" s="12">
        <f>$B7 * IFERROR(VLOOKUP(Substitution!$M$17 &amp; $A7, US_national_yearly!$D:$AM, MATCH(O$1, US_national_yearly!$D$1:$AM$1, 0), FALSE) / VLOOKUP(Substitution!$M$17 &amp; $A7, US_national_yearly!$D:$AM, MATCH(Keys!$C$7, US_national_yearly!$D$1:$AM$1, 0), FALSE), 1)</f>
        <v>1.1027016515630303E-3</v>
      </c>
      <c r="P7" s="12">
        <f>$B7 * IFERROR(VLOOKUP(Substitution!$M$17 &amp; $A7, US_national_yearly!$D:$AM, MATCH(P$1, US_national_yearly!$D$1:$AM$1, 0), FALSE) / VLOOKUP(Substitution!$M$17 &amp; $A7, US_national_yearly!$D:$AM, MATCH(Keys!$C$7, US_national_yearly!$D$1:$AM$1, 0), FALSE), 1)</f>
        <v>1.1027016515630303E-3</v>
      </c>
      <c r="Q7" s="12">
        <f>$B7 * IFERROR(VLOOKUP(Substitution!$M$17 &amp; $A7, US_national_yearly!$D:$AM, MATCH(Q$1, US_national_yearly!$D$1:$AM$1, 0), FALSE) / VLOOKUP(Substitution!$M$17 &amp; $A7, US_national_yearly!$D:$AM, MATCH(Keys!$C$7, US_national_yearly!$D$1:$AM$1, 0), FALSE), 1)</f>
        <v>1.1027016515630303E-3</v>
      </c>
      <c r="R7" s="12">
        <f>$B7 * IFERROR(VLOOKUP(Substitution!$M$17 &amp; $A7, US_national_yearly!$D:$AM, MATCH(R$1, US_national_yearly!$D$1:$AM$1, 0), FALSE) / VLOOKUP(Substitution!$M$17 &amp; $A7, US_national_yearly!$D:$AM, MATCH(Keys!$C$7, US_national_yearly!$D$1:$AM$1, 0), FALSE), 1)</f>
        <v>1.1027016515630303E-3</v>
      </c>
      <c r="S7" s="12">
        <f>$B7 * IFERROR(VLOOKUP(Substitution!$M$17 &amp; $A7, US_national_yearly!$D:$AM, MATCH(S$1, US_national_yearly!$D$1:$AM$1, 0), FALSE) / VLOOKUP(Substitution!$M$17 &amp; $A7, US_national_yearly!$D:$AM, MATCH(Keys!$C$7, US_national_yearly!$D$1:$AM$1, 0), FALSE), 1)</f>
        <v>1.1027016515630303E-3</v>
      </c>
      <c r="T7" s="12">
        <f>$B7 * IFERROR(VLOOKUP(Substitution!$M$17 &amp; $A7, US_national_yearly!$D:$AM, MATCH(T$1, US_national_yearly!$D$1:$AM$1, 0), FALSE) / VLOOKUP(Substitution!$M$17 &amp; $A7, US_national_yearly!$D:$AM, MATCH(Keys!$C$7, US_national_yearly!$D$1:$AM$1, 0), FALSE), 1)</f>
        <v>1.1027016515630303E-3</v>
      </c>
      <c r="U7" s="12">
        <f>$B7 * IFERROR(VLOOKUP(Substitution!$M$17 &amp; $A7, US_national_yearly!$D:$AM, MATCH(U$1, US_national_yearly!$D$1:$AM$1, 0), FALSE) / VLOOKUP(Substitution!$M$17 &amp; $A7, US_national_yearly!$D:$AM, MATCH(Keys!$C$7, US_national_yearly!$D$1:$AM$1, 0), FALSE), 1)</f>
        <v>1.1027016515630303E-3</v>
      </c>
      <c r="V7" s="12">
        <f>$B7 * IFERROR(VLOOKUP(Substitution!$M$17 &amp; $A7, US_national_yearly!$D:$AM, MATCH(V$1, US_national_yearly!$D$1:$AM$1, 0), FALSE) / VLOOKUP(Substitution!$M$17 &amp; $A7, US_national_yearly!$D:$AM, MATCH(Keys!$C$7, US_national_yearly!$D$1:$AM$1, 0), FALSE), 1)</f>
        <v>1.1027016515630303E-3</v>
      </c>
      <c r="W7" s="12">
        <f>$B7 * IFERROR(VLOOKUP(Substitution!$M$17 &amp; $A7, US_national_yearly!$D:$AM, MATCH(W$1, US_national_yearly!$D$1:$AM$1, 0), FALSE) / VLOOKUP(Substitution!$M$17 &amp; $A7, US_national_yearly!$D:$AM, MATCH(Keys!$C$7, US_national_yearly!$D$1:$AM$1, 0), FALSE), 1)</f>
        <v>1.1027016515630303E-3</v>
      </c>
      <c r="X7" s="12">
        <f>$B7 * IFERROR(VLOOKUP(Substitution!$M$17 &amp; $A7, US_national_yearly!$D:$AM, MATCH(X$1, US_national_yearly!$D$1:$AM$1, 0), FALSE) / VLOOKUP(Substitution!$M$17 &amp; $A7, US_national_yearly!$D:$AM, MATCH(Keys!$C$7, US_national_yearly!$D$1:$AM$1, 0), FALSE), 1)</f>
        <v>1.1027016515630303E-3</v>
      </c>
      <c r="Y7" s="12">
        <f>$B7 * IFERROR(VLOOKUP(Substitution!$M$17 &amp; $A7, US_national_yearly!$D:$AM, MATCH(Y$1, US_national_yearly!$D$1:$AM$1, 0), FALSE) / VLOOKUP(Substitution!$M$17 &amp; $A7, US_national_yearly!$D:$AM, MATCH(Keys!$C$7, US_national_yearly!$D$1:$AM$1, 0), FALSE), 1)</f>
        <v>1.1027016515630303E-3</v>
      </c>
      <c r="Z7" s="12">
        <f>$B7 * IFERROR(VLOOKUP(Substitution!$M$17 &amp; $A7, US_national_yearly!$D:$AM, MATCH(Z$1, US_national_yearly!$D$1:$AM$1, 0), FALSE) / VLOOKUP(Substitution!$M$17 &amp; $A7, US_national_yearly!$D:$AM, MATCH(Keys!$C$7, US_national_yearly!$D$1:$AM$1, 0), FALSE), 1)</f>
        <v>1.1027016515630303E-3</v>
      </c>
      <c r="AA7" s="12">
        <f>$B7 * IFERROR(VLOOKUP(Substitution!$M$17 &amp; $A7, US_national_yearly!$D:$AM, MATCH(AA$1, US_national_yearly!$D$1:$AM$1, 0), FALSE) / VLOOKUP(Substitution!$M$17 &amp; $A7, US_national_yearly!$D:$AM, MATCH(Keys!$C$7, US_national_yearly!$D$1:$AM$1, 0), FALSE), 1)</f>
        <v>1.1027016515630303E-3</v>
      </c>
      <c r="AB7" s="12">
        <f>$B7 * IFERROR(VLOOKUP(Substitution!$M$17 &amp; $A7, US_national_yearly!$D:$AM, MATCH(AB$1, US_national_yearly!$D$1:$AM$1, 0), FALSE) / VLOOKUP(Substitution!$M$17 &amp; $A7, US_national_yearly!$D:$AM, MATCH(Keys!$C$7, US_national_yearly!$D$1:$AM$1, 0), FALSE), 1)</f>
        <v>1.1027016515630303E-3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Substitution!$G$17)/IFERROR(SUMIFS(COBRA_aggregated!$W:$W, COBRA_aggregated!$A:$A, About!$B$1, COBRA_aggregated!$B:$B, Substitution!$G$17), 1)</f>
        <v>1.6847746043236005E-3</v>
      </c>
      <c r="C8" s="12">
        <f>$B8 * IFERROR(VLOOKUP(Substitution!$M$17 &amp; $A8, US_national_yearly!$D:$AM, MATCH(C$1, US_national_yearly!$D$1:$AM$1, 0), FALSE) / VLOOKUP(Substitution!$M$17 &amp; $A8, US_national_yearly!$D:$AM, MATCH(Keys!$C$7, US_national_yearly!$D$1:$AM$1, 0), FALSE), 1)</f>
        <v>1.6847746043236005E-3</v>
      </c>
      <c r="D8" s="12">
        <f>$B8 * IFERROR(VLOOKUP(Substitution!$M$17 &amp; $A8, US_national_yearly!$D:$AM, MATCH(D$1, US_national_yearly!$D$1:$AM$1, 0), FALSE) / VLOOKUP(Substitution!$M$17 &amp; $A8, US_national_yearly!$D:$AM, MATCH(Keys!$C$7, US_national_yearly!$D$1:$AM$1, 0), FALSE), 1)</f>
        <v>1.6847746043236005E-3</v>
      </c>
      <c r="E8" s="12">
        <f>$B8 * IFERROR(VLOOKUP(Substitution!$M$17 &amp; $A8, US_national_yearly!$D:$AM, MATCH(E$1, US_national_yearly!$D$1:$AM$1, 0), FALSE) / VLOOKUP(Substitution!$M$17 &amp; $A8, US_national_yearly!$D:$AM, MATCH(Keys!$C$7, US_national_yearly!$D$1:$AM$1, 0), FALSE), 1)</f>
        <v>1.6847746043236005E-3</v>
      </c>
      <c r="F8" s="12">
        <f>$B8 * IFERROR(VLOOKUP(Substitution!$M$17 &amp; $A8, US_national_yearly!$D:$AM, MATCH(F$1, US_national_yearly!$D$1:$AM$1, 0), FALSE) / VLOOKUP(Substitution!$M$17 &amp; $A8, US_national_yearly!$D:$AM, MATCH(Keys!$C$7, US_national_yearly!$D$1:$AM$1, 0), FALSE), 1)</f>
        <v>1.6847746043236005E-3</v>
      </c>
      <c r="G8" s="12">
        <f>$B8 * IFERROR(VLOOKUP(Substitution!$M$17 &amp; $A8, US_national_yearly!$D:$AM, MATCH(G$1, US_national_yearly!$D$1:$AM$1, 0), FALSE) / VLOOKUP(Substitution!$M$17 &amp; $A8, US_national_yearly!$D:$AM, MATCH(Keys!$C$7, US_national_yearly!$D$1:$AM$1, 0), FALSE), 1)</f>
        <v>1.6847746043236005E-3</v>
      </c>
      <c r="H8" s="12">
        <f>$B8 * IFERROR(VLOOKUP(Substitution!$M$17 &amp; $A8, US_national_yearly!$D:$AM, MATCH(H$1, US_national_yearly!$D$1:$AM$1, 0), FALSE) / VLOOKUP(Substitution!$M$17 &amp; $A8, US_national_yearly!$D:$AM, MATCH(Keys!$C$7, US_national_yearly!$D$1:$AM$1, 0), FALSE), 1)</f>
        <v>1.6847746043236005E-3</v>
      </c>
      <c r="I8" s="12">
        <f>$B8 * IFERROR(VLOOKUP(Substitution!$M$17 &amp; $A8, US_national_yearly!$D:$AM, MATCH(I$1, US_national_yearly!$D$1:$AM$1, 0), FALSE) / VLOOKUP(Substitution!$M$17 &amp; $A8, US_national_yearly!$D:$AM, MATCH(Keys!$C$7, US_national_yearly!$D$1:$AM$1, 0), FALSE), 1)</f>
        <v>1.6847746043236005E-3</v>
      </c>
      <c r="J8" s="12">
        <f>$B8 * IFERROR(VLOOKUP(Substitution!$M$17 &amp; $A8, US_national_yearly!$D:$AM, MATCH(J$1, US_national_yearly!$D$1:$AM$1, 0), FALSE) / VLOOKUP(Substitution!$M$17 &amp; $A8, US_national_yearly!$D:$AM, MATCH(Keys!$C$7, US_national_yearly!$D$1:$AM$1, 0), FALSE), 1)</f>
        <v>1.6847746043236005E-3</v>
      </c>
      <c r="K8" s="12">
        <f>$B8 * IFERROR(VLOOKUP(Substitution!$M$17 &amp; $A8, US_national_yearly!$D:$AM, MATCH(K$1, US_national_yearly!$D$1:$AM$1, 0), FALSE) / VLOOKUP(Substitution!$M$17 &amp; $A8, US_national_yearly!$D:$AM, MATCH(Keys!$C$7, US_national_yearly!$D$1:$AM$1, 0), FALSE), 1)</f>
        <v>1.6847746043236005E-3</v>
      </c>
      <c r="L8" s="12">
        <f>$B8 * IFERROR(VLOOKUP(Substitution!$M$17 &amp; $A8, US_national_yearly!$D:$AM, MATCH(L$1, US_national_yearly!$D$1:$AM$1, 0), FALSE) / VLOOKUP(Substitution!$M$17 &amp; $A8, US_national_yearly!$D:$AM, MATCH(Keys!$C$7, US_national_yearly!$D$1:$AM$1, 0), FALSE), 1)</f>
        <v>1.6847746043236005E-3</v>
      </c>
      <c r="M8" s="12">
        <f>$B8 * IFERROR(VLOOKUP(Substitution!$M$17 &amp; $A8, US_national_yearly!$D:$AM, MATCH(M$1, US_national_yearly!$D$1:$AM$1, 0), FALSE) / VLOOKUP(Substitution!$M$17 &amp; $A8, US_national_yearly!$D:$AM, MATCH(Keys!$C$7, US_national_yearly!$D$1:$AM$1, 0), FALSE), 1)</f>
        <v>1.6847746043236005E-3</v>
      </c>
      <c r="N8" s="12">
        <f>$B8 * IFERROR(VLOOKUP(Substitution!$M$17 &amp; $A8, US_national_yearly!$D:$AM, MATCH(N$1, US_national_yearly!$D$1:$AM$1, 0), FALSE) / VLOOKUP(Substitution!$M$17 &amp; $A8, US_national_yearly!$D:$AM, MATCH(Keys!$C$7, US_national_yearly!$D$1:$AM$1, 0), FALSE), 1)</f>
        <v>1.6847746043236005E-3</v>
      </c>
      <c r="O8" s="12">
        <f>$B8 * IFERROR(VLOOKUP(Substitution!$M$17 &amp; $A8, US_national_yearly!$D:$AM, MATCH(O$1, US_national_yearly!$D$1:$AM$1, 0), FALSE) / VLOOKUP(Substitution!$M$17 &amp; $A8, US_national_yearly!$D:$AM, MATCH(Keys!$C$7, US_national_yearly!$D$1:$AM$1, 0), FALSE), 1)</f>
        <v>1.6847746043236005E-3</v>
      </c>
      <c r="P8" s="12">
        <f>$B8 * IFERROR(VLOOKUP(Substitution!$M$17 &amp; $A8, US_national_yearly!$D:$AM, MATCH(P$1, US_national_yearly!$D$1:$AM$1, 0), FALSE) / VLOOKUP(Substitution!$M$17 &amp; $A8, US_national_yearly!$D:$AM, MATCH(Keys!$C$7, US_national_yearly!$D$1:$AM$1, 0), FALSE), 1)</f>
        <v>1.6847746043236005E-3</v>
      </c>
      <c r="Q8" s="12">
        <f>$B8 * IFERROR(VLOOKUP(Substitution!$M$17 &amp; $A8, US_national_yearly!$D:$AM, MATCH(Q$1, US_national_yearly!$D$1:$AM$1, 0), FALSE) / VLOOKUP(Substitution!$M$17 &amp; $A8, US_national_yearly!$D:$AM, MATCH(Keys!$C$7, US_national_yearly!$D$1:$AM$1, 0), FALSE), 1)</f>
        <v>1.6847746043236005E-3</v>
      </c>
      <c r="R8" s="12">
        <f>$B8 * IFERROR(VLOOKUP(Substitution!$M$17 &amp; $A8, US_national_yearly!$D:$AM, MATCH(R$1, US_national_yearly!$D$1:$AM$1, 0), FALSE) / VLOOKUP(Substitution!$M$17 &amp; $A8, US_national_yearly!$D:$AM, MATCH(Keys!$C$7, US_national_yearly!$D$1:$AM$1, 0), FALSE), 1)</f>
        <v>1.6847746043236005E-3</v>
      </c>
      <c r="S8" s="12">
        <f>$B8 * IFERROR(VLOOKUP(Substitution!$M$17 &amp; $A8, US_national_yearly!$D:$AM, MATCH(S$1, US_national_yearly!$D$1:$AM$1, 0), FALSE) / VLOOKUP(Substitution!$M$17 &amp; $A8, US_national_yearly!$D:$AM, MATCH(Keys!$C$7, US_national_yearly!$D$1:$AM$1, 0), FALSE), 1)</f>
        <v>1.6847746043236005E-3</v>
      </c>
      <c r="T8" s="12">
        <f>$B8 * IFERROR(VLOOKUP(Substitution!$M$17 &amp; $A8, US_national_yearly!$D:$AM, MATCH(T$1, US_national_yearly!$D$1:$AM$1, 0), FALSE) / VLOOKUP(Substitution!$M$17 &amp; $A8, US_national_yearly!$D:$AM, MATCH(Keys!$C$7, US_national_yearly!$D$1:$AM$1, 0), FALSE), 1)</f>
        <v>1.6847746043236005E-3</v>
      </c>
      <c r="U8" s="12">
        <f>$B8 * IFERROR(VLOOKUP(Substitution!$M$17 &amp; $A8, US_national_yearly!$D:$AM, MATCH(U$1, US_national_yearly!$D$1:$AM$1, 0), FALSE) / VLOOKUP(Substitution!$M$17 &amp; $A8, US_national_yearly!$D:$AM, MATCH(Keys!$C$7, US_national_yearly!$D$1:$AM$1, 0), FALSE), 1)</f>
        <v>1.6847746043236005E-3</v>
      </c>
      <c r="V8" s="12">
        <f>$B8 * IFERROR(VLOOKUP(Substitution!$M$17 &amp; $A8, US_national_yearly!$D:$AM, MATCH(V$1, US_national_yearly!$D$1:$AM$1, 0), FALSE) / VLOOKUP(Substitution!$M$17 &amp; $A8, US_national_yearly!$D:$AM, MATCH(Keys!$C$7, US_national_yearly!$D$1:$AM$1, 0), FALSE), 1)</f>
        <v>1.6847746043236005E-3</v>
      </c>
      <c r="W8" s="12">
        <f>$B8 * IFERROR(VLOOKUP(Substitution!$M$17 &amp; $A8, US_national_yearly!$D:$AM, MATCH(W$1, US_national_yearly!$D$1:$AM$1, 0), FALSE) / VLOOKUP(Substitution!$M$17 &amp; $A8, US_national_yearly!$D:$AM, MATCH(Keys!$C$7, US_national_yearly!$D$1:$AM$1, 0), FALSE), 1)</f>
        <v>1.6847746043236005E-3</v>
      </c>
      <c r="X8" s="12">
        <f>$B8 * IFERROR(VLOOKUP(Substitution!$M$17 &amp; $A8, US_national_yearly!$D:$AM, MATCH(X$1, US_national_yearly!$D$1:$AM$1, 0), FALSE) / VLOOKUP(Substitution!$M$17 &amp; $A8, US_national_yearly!$D:$AM, MATCH(Keys!$C$7, US_national_yearly!$D$1:$AM$1, 0), FALSE), 1)</f>
        <v>1.6847746043236005E-3</v>
      </c>
      <c r="Y8" s="12">
        <f>$B8 * IFERROR(VLOOKUP(Substitution!$M$17 &amp; $A8, US_national_yearly!$D:$AM, MATCH(Y$1, US_national_yearly!$D$1:$AM$1, 0), FALSE) / VLOOKUP(Substitution!$M$17 &amp; $A8, US_national_yearly!$D:$AM, MATCH(Keys!$C$7, US_national_yearly!$D$1:$AM$1, 0), FALSE), 1)</f>
        <v>1.6847746043236005E-3</v>
      </c>
      <c r="Z8" s="12">
        <f>$B8 * IFERROR(VLOOKUP(Substitution!$M$17 &amp; $A8, US_national_yearly!$D:$AM, MATCH(Z$1, US_national_yearly!$D$1:$AM$1, 0), FALSE) / VLOOKUP(Substitution!$M$17 &amp; $A8, US_national_yearly!$D:$AM, MATCH(Keys!$C$7, US_national_yearly!$D$1:$AM$1, 0), FALSE), 1)</f>
        <v>1.6847746043236005E-3</v>
      </c>
      <c r="AA8" s="12">
        <f>$B8 * IFERROR(VLOOKUP(Substitution!$M$17 &amp; $A8, US_national_yearly!$D:$AM, MATCH(AA$1, US_national_yearly!$D$1:$AM$1, 0), FALSE) / VLOOKUP(Substitution!$M$17 &amp; $A8, US_national_yearly!$D:$AM, MATCH(Keys!$C$7, US_national_yearly!$D$1:$AM$1, 0), FALSE), 1)</f>
        <v>1.6847746043236005E-3</v>
      </c>
      <c r="AB8" s="12">
        <f>$B8 * IFERROR(VLOOKUP(Substitution!$M$17 &amp; $A8, US_national_yearly!$D:$AM, MATCH(AB$1, US_national_yearly!$D$1:$AM$1, 0), FALSE) / VLOOKUP(Substitution!$M$17 &amp; $A8, US_national_yearly!$D:$AM, MATCH(Keys!$C$7, US_national_yearly!$D$1:$AM$1, 0), FALSE), 1)</f>
        <v>1.6847746043236005E-3</v>
      </c>
    </row>
    <row r="9" spans="1:28" x14ac:dyDescent="0.25">
      <c r="A9" s="4" t="s">
        <v>305</v>
      </c>
      <c r="B9" s="12">
        <f>IFERROR(VLOOKUP(Substitution!$M$17 &amp; $A9, US_national_yearly!$D:$AM, MATCH(Keys!$C$7, US_national_yearly!$D$1:$AM$1, 0), FALSE), 0)</f>
        <v>3.3519304088567639E-2</v>
      </c>
      <c r="C9" s="12">
        <f>$B9 * IFERROR(VLOOKUP(Substitution!$M$17 &amp; $A9, US_national_yearly!$D:$AM, MATCH(C$1, US_national_yearly!$D$1:$AM$1, 0), FALSE) / VLOOKUP(Substitution!$M$17 &amp; $A9, US_national_yearly!$D:$AM, MATCH(Keys!$C$7, US_national_yearly!$D$1:$AM$1, 0), FALSE), 1)</f>
        <v>3.3735764535545783E-2</v>
      </c>
      <c r="D9" s="12">
        <f>$B9 * IFERROR(VLOOKUP(Substitution!$M$17 &amp; $A9, US_national_yearly!$D:$AM, MATCH(D$1, US_national_yearly!$D$1:$AM$1, 0), FALSE) / VLOOKUP(Substitution!$M$17 &amp; $A9, US_national_yearly!$D:$AM, MATCH(Keys!$C$7, US_national_yearly!$D$1:$AM$1, 0), FALSE), 1)</f>
        <v>3.3952224982523919E-2</v>
      </c>
      <c r="E9" s="12">
        <f>$B9 * IFERROR(VLOOKUP(Substitution!$M$17 &amp; $A9, US_national_yearly!$D:$AM, MATCH(E$1, US_national_yearly!$D$1:$AM$1, 0), FALSE) / VLOOKUP(Substitution!$M$17 &amp; $A9, US_national_yearly!$D:$AM, MATCH(Keys!$C$7, US_national_yearly!$D$1:$AM$1, 0), FALSE), 1)</f>
        <v>3.4168685429502063E-2</v>
      </c>
      <c r="F9" s="12">
        <f>$B9 * IFERROR(VLOOKUP(Substitution!$M$17 &amp; $A9, US_national_yearly!$D:$AM, MATCH(F$1, US_national_yearly!$D$1:$AM$1, 0), FALSE) / VLOOKUP(Substitution!$M$17 &amp; $A9, US_national_yearly!$D:$AM, MATCH(Keys!$C$7, US_national_yearly!$D$1:$AM$1, 0), FALSE), 1)</f>
        <v>3.4385145876480207E-2</v>
      </c>
      <c r="G9" s="12">
        <f>$B9 * IFERROR(VLOOKUP(Substitution!$M$17 &amp; $A9, US_national_yearly!$D:$AM, MATCH(G$1, US_national_yearly!$D$1:$AM$1, 0), FALSE) / VLOOKUP(Substitution!$M$17 &amp; $A9, US_national_yearly!$D:$AM, MATCH(Keys!$C$7, US_national_yearly!$D$1:$AM$1, 0), FALSE), 1)</f>
        <v>3.4578502087214753E-2</v>
      </c>
      <c r="H9" s="12">
        <f>$B9 * IFERROR(VLOOKUP(Substitution!$M$17 &amp; $A9, US_national_yearly!$D:$AM, MATCH(H$1, US_national_yearly!$D$1:$AM$1, 0), FALSE) / VLOOKUP(Substitution!$M$17 &amp; $A9, US_national_yearly!$D:$AM, MATCH(Keys!$C$7, US_national_yearly!$D$1:$AM$1, 0), FALSE), 1)</f>
        <v>3.47718582979493E-2</v>
      </c>
      <c r="I9" s="12">
        <f>$B9 * IFERROR(VLOOKUP(Substitution!$M$17 &amp; $A9, US_national_yearly!$D:$AM, MATCH(I$1, US_national_yearly!$D$1:$AM$1, 0), FALSE) / VLOOKUP(Substitution!$M$17 &amp; $A9, US_national_yearly!$D:$AM, MATCH(Keys!$C$7, US_national_yearly!$D$1:$AM$1, 0), FALSE), 1)</f>
        <v>3.4931412708775519E-2</v>
      </c>
      <c r="J9" s="12">
        <f>$B9 * IFERROR(VLOOKUP(Substitution!$M$17 &amp; $A9, US_national_yearly!$D:$AM, MATCH(J$1, US_national_yearly!$D$1:$AM$1, 0), FALSE) / VLOOKUP(Substitution!$M$17 &amp; $A9, US_national_yearly!$D:$AM, MATCH(Keys!$C$7, US_national_yearly!$D$1:$AM$1, 0), FALSE), 1)</f>
        <v>3.5090967119601739E-2</v>
      </c>
      <c r="K9" s="12">
        <f>$B9 * IFERROR(VLOOKUP(Substitution!$M$17 &amp; $A9, US_national_yearly!$D:$AM, MATCH(K$1, US_national_yearly!$D$1:$AM$1, 0), FALSE) / VLOOKUP(Substitution!$M$17 &amp; $A9, US_national_yearly!$D:$AM, MATCH(Keys!$C$7, US_national_yearly!$D$1:$AM$1, 0), FALSE), 1)</f>
        <v>3.5250521530427958E-2</v>
      </c>
      <c r="L9" s="12">
        <f>$B9 * IFERROR(VLOOKUP(Substitution!$M$17 &amp; $A9, US_national_yearly!$D:$AM, MATCH(L$1, US_national_yearly!$D$1:$AM$1, 0), FALSE) / VLOOKUP(Substitution!$M$17 &amp; $A9, US_national_yearly!$D:$AM, MATCH(Keys!$C$7, US_national_yearly!$D$1:$AM$1, 0), FALSE), 1)</f>
        <v>3.5410075941254178E-2</v>
      </c>
      <c r="M9" s="12">
        <f>$B9 * IFERROR(VLOOKUP(Substitution!$M$17 &amp; $A9, US_national_yearly!$D:$AM, MATCH(M$1, US_national_yearly!$D$1:$AM$1, 0), FALSE) / VLOOKUP(Substitution!$M$17 &amp; $A9, US_national_yearly!$D:$AM, MATCH(Keys!$C$7, US_national_yearly!$D$1:$AM$1, 0), FALSE), 1)</f>
        <v>3.5569630352080397E-2</v>
      </c>
      <c r="N9" s="12">
        <f>$B9 * IFERROR(VLOOKUP(Substitution!$M$17 &amp; $A9, US_national_yearly!$D:$AM, MATCH(N$1, US_national_yearly!$D$1:$AM$1, 0), FALSE) / VLOOKUP(Substitution!$M$17 &amp; $A9, US_national_yearly!$D:$AM, MATCH(Keys!$C$7, US_national_yearly!$D$1:$AM$1, 0), FALSE), 1)</f>
        <v>3.5718845770042383E-2</v>
      </c>
      <c r="O9" s="12">
        <f>$B9 * IFERROR(VLOOKUP(Substitution!$M$17 &amp; $A9, US_national_yearly!$D:$AM, MATCH(O$1, US_national_yearly!$D$1:$AM$1, 0), FALSE) / VLOOKUP(Substitution!$M$17 &amp; $A9, US_national_yearly!$D:$AM, MATCH(Keys!$C$7, US_national_yearly!$D$1:$AM$1, 0), FALSE), 1)</f>
        <v>3.5868061188004348E-2</v>
      </c>
      <c r="P9" s="12">
        <f>$B9 * IFERROR(VLOOKUP(Substitution!$M$17 &amp; $A9, US_national_yearly!$D:$AM, MATCH(P$1, US_national_yearly!$D$1:$AM$1, 0), FALSE) / VLOOKUP(Substitution!$M$17 &amp; $A9, US_national_yearly!$D:$AM, MATCH(Keys!$C$7, US_national_yearly!$D$1:$AM$1, 0), FALSE), 1)</f>
        <v>3.601727660596634E-2</v>
      </c>
      <c r="Q9" s="12">
        <f>$B9 * IFERROR(VLOOKUP(Substitution!$M$17 &amp; $A9, US_national_yearly!$D:$AM, MATCH(Q$1, US_national_yearly!$D$1:$AM$1, 0), FALSE) / VLOOKUP(Substitution!$M$17 &amp; $A9, US_national_yearly!$D:$AM, MATCH(Keys!$C$7, US_national_yearly!$D$1:$AM$1, 0), FALSE), 1)</f>
        <v>3.6166492023928319E-2</v>
      </c>
      <c r="R9" s="12">
        <f>$B9 * IFERROR(VLOOKUP(Substitution!$M$17 &amp; $A9, US_national_yearly!$D:$AM, MATCH(R$1, US_national_yearly!$D$1:$AM$1, 0), FALSE) / VLOOKUP(Substitution!$M$17 &amp; $A9, US_national_yearly!$D:$AM, MATCH(Keys!$C$7, US_national_yearly!$D$1:$AM$1, 0), FALSE), 1)</f>
        <v>3.6315707441890291E-2</v>
      </c>
      <c r="S9" s="12">
        <f>$B9 * IFERROR(VLOOKUP(Substitution!$M$17 &amp; $A9, US_national_yearly!$D:$AM, MATCH(S$1, US_national_yearly!$D$1:$AM$1, 0), FALSE) / VLOOKUP(Substitution!$M$17 &amp; $A9, US_national_yearly!$D:$AM, MATCH(Keys!$C$7, US_national_yearly!$D$1:$AM$1, 0), FALSE), 1)</f>
        <v>3.6459671358001183E-2</v>
      </c>
      <c r="T9" s="12">
        <f>$B9 * IFERROR(VLOOKUP(Substitution!$M$17 &amp; $A9, US_national_yearly!$D:$AM, MATCH(T$1, US_national_yearly!$D$1:$AM$1, 0), FALSE) / VLOOKUP(Substitution!$M$17 &amp; $A9, US_national_yearly!$D:$AM, MATCH(Keys!$C$7, US_national_yearly!$D$1:$AM$1, 0), FALSE), 1)</f>
        <v>3.6603635274112048E-2</v>
      </c>
      <c r="U9" s="12">
        <f>$B9 * IFERROR(VLOOKUP(Substitution!$M$17 &amp; $A9, US_national_yearly!$D:$AM, MATCH(U$1, US_national_yearly!$D$1:$AM$1, 0), FALSE) / VLOOKUP(Substitution!$M$17 &amp; $A9, US_national_yearly!$D:$AM, MATCH(Keys!$C$7, US_national_yearly!$D$1:$AM$1, 0), FALSE), 1)</f>
        <v>3.674759919022294E-2</v>
      </c>
      <c r="V9" s="12">
        <f>$B9 * IFERROR(VLOOKUP(Substitution!$M$17 &amp; $A9, US_national_yearly!$D:$AM, MATCH(V$1, US_national_yearly!$D$1:$AM$1, 0), FALSE) / VLOOKUP(Substitution!$M$17 &amp; $A9, US_national_yearly!$D:$AM, MATCH(Keys!$C$7, US_national_yearly!$D$1:$AM$1, 0), FALSE), 1)</f>
        <v>3.6891563106333819E-2</v>
      </c>
      <c r="W9" s="12">
        <f>$B9 * IFERROR(VLOOKUP(Substitution!$M$17 &amp; $A9, US_national_yearly!$D:$AM, MATCH(W$1, US_national_yearly!$D$1:$AM$1, 0), FALSE) / VLOOKUP(Substitution!$M$17 &amp; $A9, US_national_yearly!$D:$AM, MATCH(Keys!$C$7, US_national_yearly!$D$1:$AM$1, 0), FALSE), 1)</f>
        <v>3.7035527022444698E-2</v>
      </c>
      <c r="X9" s="12">
        <f>$B9 * IFERROR(VLOOKUP(Substitution!$M$17 &amp; $A9, US_national_yearly!$D:$AM, MATCH(X$1, US_national_yearly!$D$1:$AM$1, 0), FALSE) / VLOOKUP(Substitution!$M$17 &amp; $A9, US_national_yearly!$D:$AM, MATCH(Keys!$C$7, US_national_yearly!$D$1:$AM$1, 0), FALSE), 1)</f>
        <v>3.716825857500234E-2</v>
      </c>
      <c r="Y9" s="12">
        <f>$B9 * IFERROR(VLOOKUP(Substitution!$M$17 &amp; $A9, US_national_yearly!$D:$AM, MATCH(Y$1, US_national_yearly!$D$1:$AM$1, 0), FALSE) / VLOOKUP(Substitution!$M$17 &amp; $A9, US_national_yearly!$D:$AM, MATCH(Keys!$C$7, US_national_yearly!$D$1:$AM$1, 0), FALSE), 1)</f>
        <v>3.7300990127559983E-2</v>
      </c>
      <c r="Z9" s="12">
        <f>$B9 * IFERROR(VLOOKUP(Substitution!$M$17 &amp; $A9, US_national_yearly!$D:$AM, MATCH(Z$1, US_national_yearly!$D$1:$AM$1, 0), FALSE) / VLOOKUP(Substitution!$M$17 &amp; $A9, US_national_yearly!$D:$AM, MATCH(Keys!$C$7, US_national_yearly!$D$1:$AM$1, 0), FALSE), 1)</f>
        <v>3.7433721680117618E-2</v>
      </c>
      <c r="AA9" s="12">
        <f>$B9 * IFERROR(VLOOKUP(Substitution!$M$17 &amp; $A9, US_national_yearly!$D:$AM, MATCH(AA$1, US_national_yearly!$D$1:$AM$1, 0), FALSE) / VLOOKUP(Substitution!$M$17 &amp; $A9, US_national_yearly!$D:$AM, MATCH(Keys!$C$7, US_national_yearly!$D$1:$AM$1, 0), FALSE), 1)</f>
        <v>3.7566453232675261E-2</v>
      </c>
      <c r="AB9" s="12">
        <f>$B9 * IFERROR(VLOOKUP(Substitution!$M$17 &amp; $A9, US_national_yearly!$D:$AM, MATCH(AB$1, US_national_yearly!$D$1:$AM$1, 0), FALSE) / VLOOKUP(Substitution!$M$17 &amp; $A9, US_national_yearly!$D:$AM, MATCH(Keys!$C$7, US_national_yearly!$D$1:$AM$1, 0), FALSE), 1)</f>
        <v>3.7699184785232903E-2</v>
      </c>
    </row>
    <row r="10" spans="1:28" x14ac:dyDescent="0.25">
      <c r="A10" s="4" t="s">
        <v>307</v>
      </c>
      <c r="B10" s="12">
        <f>IFERROR(VLOOKUP(Substitution!$M$17 &amp; $A10, US_national_yearly!$D:$AM, MATCH(Keys!$C$7, US_national_yearly!$D$1:$AM$1, 0), FALSE), 0)</f>
        <v>0.2133759671707216</v>
      </c>
      <c r="C10" s="12">
        <f>$B10 * IFERROR(VLOOKUP(Substitution!$M$17 &amp; $A10, US_national_yearly!$D:$AM, MATCH(C$1, US_national_yearly!$D$1:$AM$1, 0), FALSE) / VLOOKUP(Substitution!$M$17 &amp; $A10, US_national_yearly!$D:$AM, MATCH(Keys!$C$7, US_national_yearly!$D$1:$AM$1, 0), FALSE), 1)</f>
        <v>0.21532259169901219</v>
      </c>
      <c r="D10" s="12">
        <f>$B10 * IFERROR(VLOOKUP(Substitution!$M$17 &amp; $A10, US_national_yearly!$D:$AM, MATCH(D$1, US_national_yearly!$D$1:$AM$1, 0), FALSE) / VLOOKUP(Substitution!$M$17 &amp; $A10, US_national_yearly!$D:$AM, MATCH(Keys!$C$7, US_national_yearly!$D$1:$AM$1, 0), FALSE), 1)</f>
        <v>0.2172692162273028</v>
      </c>
      <c r="E10" s="12">
        <f>$B10 * IFERROR(VLOOKUP(Substitution!$M$17 &amp; $A10, US_national_yearly!$D:$AM, MATCH(E$1, US_national_yearly!$D$1:$AM$1, 0), FALSE) / VLOOKUP(Substitution!$M$17 &amp; $A10, US_national_yearly!$D:$AM, MATCH(Keys!$C$7, US_national_yearly!$D$1:$AM$1, 0), FALSE), 1)</f>
        <v>0.21921584075559339</v>
      </c>
      <c r="F10" s="12">
        <f>$B10 * IFERROR(VLOOKUP(Substitution!$M$17 &amp; $A10, US_national_yearly!$D:$AM, MATCH(F$1, US_national_yearly!$D$1:$AM$1, 0), FALSE) / VLOOKUP(Substitution!$M$17 &amp; $A10, US_national_yearly!$D:$AM, MATCH(Keys!$C$7, US_national_yearly!$D$1:$AM$1, 0), FALSE), 1)</f>
        <v>0.22116246528388397</v>
      </c>
      <c r="G10" s="12">
        <f>$B10 * IFERROR(VLOOKUP(Substitution!$M$17 &amp; $A10, US_national_yearly!$D:$AM, MATCH(G$1, US_national_yearly!$D$1:$AM$1, 0), FALSE) / VLOOKUP(Substitution!$M$17 &amp; $A10, US_national_yearly!$D:$AM, MATCH(Keys!$C$7, US_national_yearly!$D$1:$AM$1, 0), FALSE), 1)</f>
        <v>0.223264893186988</v>
      </c>
      <c r="H10" s="12">
        <f>$B10 * IFERROR(VLOOKUP(Substitution!$M$17 &amp; $A10, US_national_yearly!$D:$AM, MATCH(H$1, US_national_yearly!$D$1:$AM$1, 0), FALSE) / VLOOKUP(Substitution!$M$17 &amp; $A10, US_national_yearly!$D:$AM, MATCH(Keys!$C$7, US_national_yearly!$D$1:$AM$1, 0), FALSE), 1)</f>
        <v>0.225367321090092</v>
      </c>
      <c r="I10" s="12">
        <f>$B10 * IFERROR(VLOOKUP(Substitution!$M$17 &amp; $A10, US_national_yearly!$D:$AM, MATCH(I$1, US_national_yearly!$D$1:$AM$1, 0), FALSE) / VLOOKUP(Substitution!$M$17 &amp; $A10, US_national_yearly!$D:$AM, MATCH(Keys!$C$7, US_national_yearly!$D$1:$AM$1, 0), FALSE), 1)</f>
        <v>0.22693820894926059</v>
      </c>
      <c r="J10" s="12">
        <f>$B10 * IFERROR(VLOOKUP(Substitution!$M$17 &amp; $A10, US_national_yearly!$D:$AM, MATCH(J$1, US_national_yearly!$D$1:$AM$1, 0), FALSE) / VLOOKUP(Substitution!$M$17 &amp; $A10, US_national_yearly!$D:$AM, MATCH(Keys!$C$7, US_national_yearly!$D$1:$AM$1, 0), FALSE), 1)</f>
        <v>0.22850909680842921</v>
      </c>
      <c r="K10" s="12">
        <f>$B10 * IFERROR(VLOOKUP(Substitution!$M$17 &amp; $A10, US_national_yearly!$D:$AM, MATCH(K$1, US_national_yearly!$D$1:$AM$1, 0), FALSE) / VLOOKUP(Substitution!$M$17 &amp; $A10, US_national_yearly!$D:$AM, MATCH(Keys!$C$7, US_national_yearly!$D$1:$AM$1, 0), FALSE), 1)</f>
        <v>0.23007998466759783</v>
      </c>
      <c r="L10" s="12">
        <f>$B10 * IFERROR(VLOOKUP(Substitution!$M$17 &amp; $A10, US_national_yearly!$D:$AM, MATCH(L$1, US_national_yearly!$D$1:$AM$1, 0), FALSE) / VLOOKUP(Substitution!$M$17 &amp; $A10, US_national_yearly!$D:$AM, MATCH(Keys!$C$7, US_national_yearly!$D$1:$AM$1, 0), FALSE), 1)</f>
        <v>0.23165087252676639</v>
      </c>
      <c r="M10" s="12">
        <f>$B10 * IFERROR(VLOOKUP(Substitution!$M$17 &amp; $A10, US_national_yearly!$D:$AM, MATCH(M$1, US_national_yearly!$D$1:$AM$1, 0), FALSE) / VLOOKUP(Substitution!$M$17 &amp; $A10, US_national_yearly!$D:$AM, MATCH(Keys!$C$7, US_national_yearly!$D$1:$AM$1, 0), FALSE), 1)</f>
        <v>0.23322176038593498</v>
      </c>
      <c r="N10" s="12">
        <f>$B10 * IFERROR(VLOOKUP(Substitution!$M$17 &amp; $A10, US_national_yearly!$D:$AM, MATCH(N$1, US_national_yearly!$D$1:$AM$1, 0), FALSE) / VLOOKUP(Substitution!$M$17 &amp; $A10, US_national_yearly!$D:$AM, MATCH(Keys!$C$7, US_national_yearly!$D$1:$AM$1, 0), FALSE), 1)</f>
        <v>0.2340175391341178</v>
      </c>
      <c r="O10" s="12">
        <f>$B10 * IFERROR(VLOOKUP(Substitution!$M$17 &amp; $A10, US_national_yearly!$D:$AM, MATCH(O$1, US_national_yearly!$D$1:$AM$1, 0), FALSE) / VLOOKUP(Substitution!$M$17 &amp; $A10, US_national_yearly!$D:$AM, MATCH(Keys!$C$7, US_national_yearly!$D$1:$AM$1, 0), FALSE), 1)</f>
        <v>0.23481331788230056</v>
      </c>
      <c r="P10" s="12">
        <f>$B10 * IFERROR(VLOOKUP(Substitution!$M$17 &amp; $A10, US_national_yearly!$D:$AM, MATCH(P$1, US_national_yearly!$D$1:$AM$1, 0), FALSE) / VLOOKUP(Substitution!$M$17 &amp; $A10, US_national_yearly!$D:$AM, MATCH(Keys!$C$7, US_national_yearly!$D$1:$AM$1, 0), FALSE), 1)</f>
        <v>0.23560909663048338</v>
      </c>
      <c r="Q10" s="12">
        <f>$B10 * IFERROR(VLOOKUP(Substitution!$M$17 &amp; $A10, US_national_yearly!$D:$AM, MATCH(Q$1, US_national_yearly!$D$1:$AM$1, 0), FALSE) / VLOOKUP(Substitution!$M$17 &amp; $A10, US_national_yearly!$D:$AM, MATCH(Keys!$C$7, US_national_yearly!$D$1:$AM$1, 0), FALSE), 1)</f>
        <v>0.2364048753786662</v>
      </c>
      <c r="R10" s="12">
        <f>$B10 * IFERROR(VLOOKUP(Substitution!$M$17 &amp; $A10, US_national_yearly!$D:$AM, MATCH(R$1, US_national_yearly!$D$1:$AM$1, 0), FALSE) / VLOOKUP(Substitution!$M$17 &amp; $A10, US_national_yearly!$D:$AM, MATCH(Keys!$C$7, US_national_yearly!$D$1:$AM$1, 0), FALSE), 1)</f>
        <v>0.23720065412684901</v>
      </c>
      <c r="S10" s="12">
        <f>$B10 * IFERROR(VLOOKUP(Substitution!$M$17 &amp; $A10, US_national_yearly!$D:$AM, MATCH(S$1, US_national_yearly!$D$1:$AM$1, 0), FALSE) / VLOOKUP(Substitution!$M$17 &amp; $A10, US_national_yearly!$D:$AM, MATCH(Keys!$C$7, US_national_yearly!$D$1:$AM$1, 0), FALSE), 1)</f>
        <v>0.23811610099483782</v>
      </c>
      <c r="T10" s="12">
        <f>$B10 * IFERROR(VLOOKUP(Substitution!$M$17 &amp; $A10, US_national_yearly!$D:$AM, MATCH(T$1, US_national_yearly!$D$1:$AM$1, 0), FALSE) / VLOOKUP(Substitution!$M$17 &amp; $A10, US_national_yearly!$D:$AM, MATCH(Keys!$C$7, US_national_yearly!$D$1:$AM$1, 0), FALSE), 1)</f>
        <v>0.2390315478628266</v>
      </c>
      <c r="U10" s="12">
        <f>$B10 * IFERROR(VLOOKUP(Substitution!$M$17 &amp; $A10, US_national_yearly!$D:$AM, MATCH(U$1, US_national_yearly!$D$1:$AM$1, 0), FALSE) / VLOOKUP(Substitution!$M$17 &amp; $A10, US_national_yearly!$D:$AM, MATCH(Keys!$C$7, US_national_yearly!$D$1:$AM$1, 0), FALSE), 1)</f>
        <v>0.2399469947308154</v>
      </c>
      <c r="V10" s="12">
        <f>$B10 * IFERROR(VLOOKUP(Substitution!$M$17 &amp; $A10, US_national_yearly!$D:$AM, MATCH(V$1, US_national_yearly!$D$1:$AM$1, 0), FALSE) / VLOOKUP(Substitution!$M$17 &amp; $A10, US_national_yearly!$D:$AM, MATCH(Keys!$C$7, US_national_yearly!$D$1:$AM$1, 0), FALSE), 1)</f>
        <v>0.24086244159880421</v>
      </c>
      <c r="W10" s="12">
        <f>$B10 * IFERROR(VLOOKUP(Substitution!$M$17 &amp; $A10, US_national_yearly!$D:$AM, MATCH(W$1, US_national_yearly!$D$1:$AM$1, 0), FALSE) / VLOOKUP(Substitution!$M$17 &amp; $A10, US_national_yearly!$D:$AM, MATCH(Keys!$C$7, US_national_yearly!$D$1:$AM$1, 0), FALSE), 1)</f>
        <v>0.24177788846679302</v>
      </c>
      <c r="X10" s="12">
        <f>$B10 * IFERROR(VLOOKUP(Substitution!$M$17 &amp; $A10, US_national_yearly!$D:$AM, MATCH(X$1, US_national_yearly!$D$1:$AM$1, 0), FALSE) / VLOOKUP(Substitution!$M$17 &amp; $A10, US_national_yearly!$D:$AM, MATCH(Keys!$C$7, US_national_yearly!$D$1:$AM$1, 0), FALSE), 1)</f>
        <v>0.24274108515453796</v>
      </c>
      <c r="Y10" s="12">
        <f>$B10 * IFERROR(VLOOKUP(Substitution!$M$17 &amp; $A10, US_national_yearly!$D:$AM, MATCH(Y$1, US_national_yearly!$D$1:$AM$1, 0), FALSE) / VLOOKUP(Substitution!$M$17 &amp; $A10, US_national_yearly!$D:$AM, MATCH(Keys!$C$7, US_national_yearly!$D$1:$AM$1, 0), FALSE), 1)</f>
        <v>0.24370428184228299</v>
      </c>
      <c r="Z10" s="12">
        <f>$B10 * IFERROR(VLOOKUP(Substitution!$M$17 &amp; $A10, US_national_yearly!$D:$AM, MATCH(Z$1, US_national_yearly!$D$1:$AM$1, 0), FALSE) / VLOOKUP(Substitution!$M$17 &amp; $A10, US_national_yearly!$D:$AM, MATCH(Keys!$C$7, US_national_yearly!$D$1:$AM$1, 0), FALSE), 1)</f>
        <v>0.24466747853002799</v>
      </c>
      <c r="AA10" s="12">
        <f>$B10 * IFERROR(VLOOKUP(Substitution!$M$17 &amp; $A10, US_national_yearly!$D:$AM, MATCH(AA$1, US_national_yearly!$D$1:$AM$1, 0), FALSE) / VLOOKUP(Substitution!$M$17 &amp; $A10, US_national_yearly!$D:$AM, MATCH(Keys!$C$7, US_national_yearly!$D$1:$AM$1, 0), FALSE), 1)</f>
        <v>0.24563067521777301</v>
      </c>
      <c r="AB10" s="12">
        <f>$B10 * IFERROR(VLOOKUP(Substitution!$M$17 &amp; $A10, US_national_yearly!$D:$AM, MATCH(AB$1, US_national_yearly!$D$1:$AM$1, 0), FALSE) / VLOOKUP(Substitution!$M$17 &amp; $A10, US_national_yearly!$D:$AM, MATCH(Keys!$C$7, US_national_yearly!$D$1:$AM$1, 0), FALSE), 1)</f>
        <v>0.24659387190551796</v>
      </c>
    </row>
    <row r="11" spans="1:28" x14ac:dyDescent="0.25">
      <c r="A11" s="4" t="s">
        <v>309</v>
      </c>
      <c r="B11" s="12">
        <f>IFERROR(VLOOKUP(Substitution!$M$17 &amp; $A11, US_national_yearly!$D:$AM, MATCH(Keys!$C$7, US_national_yearly!$D$1:$AM$1, 0), FALSE), 0)</f>
        <v>9.9669907431247928E-3</v>
      </c>
      <c r="C11" s="12">
        <f>$B11 * IFERROR(VLOOKUP(Substitution!$M$17 &amp; $A11, US_national_yearly!$D:$AM, MATCH(C$1, US_national_yearly!$D$1:$AM$1, 0), FALSE) / VLOOKUP(Substitution!$M$17 &amp; $A11, US_national_yearly!$D:$AM, MATCH(Keys!$C$7, US_national_yearly!$D$1:$AM$1, 0), FALSE), 1)</f>
        <v>1.0060610295708438E-2</v>
      </c>
      <c r="D11" s="12">
        <f>$B11 * IFERROR(VLOOKUP(Substitution!$M$17 &amp; $A11, US_national_yearly!$D:$AM, MATCH(D$1, US_national_yearly!$D$1:$AM$1, 0), FALSE) / VLOOKUP(Substitution!$M$17 &amp; $A11, US_national_yearly!$D:$AM, MATCH(Keys!$C$7, US_national_yearly!$D$1:$AM$1, 0), FALSE), 1)</f>
        <v>1.01542298482921E-2</v>
      </c>
      <c r="E11" s="12">
        <f>$B11 * IFERROR(VLOOKUP(Substitution!$M$17 &amp; $A11, US_national_yearly!$D:$AM, MATCH(E$1, US_national_yearly!$D$1:$AM$1, 0), FALSE) / VLOOKUP(Substitution!$M$17 &amp; $A11, US_national_yearly!$D:$AM, MATCH(Keys!$C$7, US_national_yearly!$D$1:$AM$1, 0), FALSE), 1)</f>
        <v>1.0247849400875751E-2</v>
      </c>
      <c r="F11" s="12">
        <f>$B11 * IFERROR(VLOOKUP(Substitution!$M$17 &amp; $A11, US_national_yearly!$D:$AM, MATCH(F$1, US_national_yearly!$D$1:$AM$1, 0), FALSE) / VLOOKUP(Substitution!$M$17 &amp; $A11, US_national_yearly!$D:$AM, MATCH(Keys!$C$7, US_national_yearly!$D$1:$AM$1, 0), FALSE), 1)</f>
        <v>1.0341468953459399E-2</v>
      </c>
      <c r="G11" s="12">
        <f>$B11 * IFERROR(VLOOKUP(Substitution!$M$17 &amp; $A11, US_national_yearly!$D:$AM, MATCH(G$1, US_national_yearly!$D$1:$AM$1, 0), FALSE) / VLOOKUP(Substitution!$M$17 &amp; $A11, US_national_yearly!$D:$AM, MATCH(Keys!$C$7, US_national_yearly!$D$1:$AM$1, 0), FALSE), 1)</f>
        <v>1.0437848055570249E-2</v>
      </c>
      <c r="H11" s="12">
        <f>$B11 * IFERROR(VLOOKUP(Substitution!$M$17 &amp; $A11, US_national_yearly!$D:$AM, MATCH(H$1, US_national_yearly!$D$1:$AM$1, 0), FALSE) / VLOOKUP(Substitution!$M$17 &amp; $A11, US_national_yearly!$D:$AM, MATCH(Keys!$C$7, US_national_yearly!$D$1:$AM$1, 0), FALSE), 1)</f>
        <v>1.0534227157681099E-2</v>
      </c>
      <c r="I11" s="12">
        <f>$B11 * IFERROR(VLOOKUP(Substitution!$M$17 &amp; $A11, US_national_yearly!$D:$AM, MATCH(I$1, US_national_yearly!$D$1:$AM$1, 0), FALSE) / VLOOKUP(Substitution!$M$17 &amp; $A11, US_national_yearly!$D:$AM, MATCH(Keys!$C$7, US_national_yearly!$D$1:$AM$1, 0), FALSE), 1)</f>
        <v>1.06242073750565E-2</v>
      </c>
      <c r="J11" s="12">
        <f>$B11 * IFERROR(VLOOKUP(Substitution!$M$17 &amp; $A11, US_national_yearly!$D:$AM, MATCH(J$1, US_national_yearly!$D$1:$AM$1, 0), FALSE) / VLOOKUP(Substitution!$M$17 &amp; $A11, US_national_yearly!$D:$AM, MATCH(Keys!$C$7, US_national_yearly!$D$1:$AM$1, 0), FALSE), 1)</f>
        <v>1.07141875924319E-2</v>
      </c>
      <c r="K11" s="12">
        <f>$B11 * IFERROR(VLOOKUP(Substitution!$M$17 &amp; $A11, US_national_yearly!$D:$AM, MATCH(K$1, US_national_yearly!$D$1:$AM$1, 0), FALSE) / VLOOKUP(Substitution!$M$17 &amp; $A11, US_national_yearly!$D:$AM, MATCH(Keys!$C$7, US_national_yearly!$D$1:$AM$1, 0), FALSE), 1)</f>
        <v>1.0804167809807299E-2</v>
      </c>
      <c r="L11" s="12">
        <f>$B11 * IFERROR(VLOOKUP(Substitution!$M$17 &amp; $A11, US_national_yearly!$D:$AM, MATCH(L$1, US_national_yearly!$D$1:$AM$1, 0), FALSE) / VLOOKUP(Substitution!$M$17 &amp; $A11, US_national_yearly!$D:$AM, MATCH(Keys!$C$7, US_national_yearly!$D$1:$AM$1, 0), FALSE), 1)</f>
        <v>1.0894148027182702E-2</v>
      </c>
      <c r="M11" s="12">
        <f>$B11 * IFERROR(VLOOKUP(Substitution!$M$17 &amp; $A11, US_national_yearly!$D:$AM, MATCH(M$1, US_national_yearly!$D$1:$AM$1, 0), FALSE) / VLOOKUP(Substitution!$M$17 &amp; $A11, US_national_yearly!$D:$AM, MATCH(Keys!$C$7, US_national_yearly!$D$1:$AM$1, 0), FALSE), 1)</f>
        <v>1.09841282445581E-2</v>
      </c>
      <c r="N11" s="12">
        <f>$B11 * IFERROR(VLOOKUP(Substitution!$M$17 &amp; $A11, US_national_yearly!$D:$AM, MATCH(N$1, US_national_yearly!$D$1:$AM$1, 0), FALSE) / VLOOKUP(Substitution!$M$17 &amp; $A11, US_national_yearly!$D:$AM, MATCH(Keys!$C$7, US_national_yearly!$D$1:$AM$1, 0), FALSE), 1)</f>
        <v>1.105949410917482E-2</v>
      </c>
      <c r="O11" s="12">
        <f>$B11 * IFERROR(VLOOKUP(Substitution!$M$17 &amp; $A11, US_national_yearly!$D:$AM, MATCH(O$1, US_national_yearly!$D$1:$AM$1, 0), FALSE) / VLOOKUP(Substitution!$M$17 &amp; $A11, US_national_yearly!$D:$AM, MATCH(Keys!$C$7, US_national_yearly!$D$1:$AM$1, 0), FALSE), 1)</f>
        <v>1.1134859973791539E-2</v>
      </c>
      <c r="P11" s="12">
        <f>$B11 * IFERROR(VLOOKUP(Substitution!$M$17 &amp; $A11, US_national_yearly!$D:$AM, MATCH(P$1, US_national_yearly!$D$1:$AM$1, 0), FALSE) / VLOOKUP(Substitution!$M$17 &amp; $A11, US_national_yearly!$D:$AM, MATCH(Keys!$C$7, US_national_yearly!$D$1:$AM$1, 0), FALSE), 1)</f>
        <v>1.1210225838408258E-2</v>
      </c>
      <c r="Q11" s="12">
        <f>$B11 * IFERROR(VLOOKUP(Substitution!$M$17 &amp; $A11, US_national_yearly!$D:$AM, MATCH(Q$1, US_national_yearly!$D$1:$AM$1, 0), FALSE) / VLOOKUP(Substitution!$M$17 &amp; $A11, US_national_yearly!$D:$AM, MATCH(Keys!$C$7, US_national_yearly!$D$1:$AM$1, 0), FALSE), 1)</f>
        <v>1.128559170302498E-2</v>
      </c>
      <c r="R11" s="12">
        <f>$B11 * IFERROR(VLOOKUP(Substitution!$M$17 &amp; $A11, US_national_yearly!$D:$AM, MATCH(R$1, US_national_yearly!$D$1:$AM$1, 0), FALSE) / VLOOKUP(Substitution!$M$17 &amp; $A11, US_national_yearly!$D:$AM, MATCH(Keys!$C$7, US_national_yearly!$D$1:$AM$1, 0), FALSE), 1)</f>
        <v>1.1360957567641701E-2</v>
      </c>
      <c r="S11" s="12">
        <f>$B11 * IFERROR(VLOOKUP(Substitution!$M$17 &amp; $A11, US_national_yearly!$D:$AM, MATCH(S$1, US_national_yearly!$D$1:$AM$1, 0), FALSE) / VLOOKUP(Substitution!$M$17 &amp; $A11, US_national_yearly!$D:$AM, MATCH(Keys!$C$7, US_national_yearly!$D$1:$AM$1, 0), FALSE), 1)</f>
        <v>1.1425274993696159E-2</v>
      </c>
      <c r="T11" s="12">
        <f>$B11 * IFERROR(VLOOKUP(Substitution!$M$17 &amp; $A11, US_national_yearly!$D:$AM, MATCH(T$1, US_national_yearly!$D$1:$AM$1, 0), FALSE) / VLOOKUP(Substitution!$M$17 &amp; $A11, US_national_yearly!$D:$AM, MATCH(Keys!$C$7, US_national_yearly!$D$1:$AM$1, 0), FALSE), 1)</f>
        <v>1.148959241975062E-2</v>
      </c>
      <c r="U11" s="12">
        <f>$B11 * IFERROR(VLOOKUP(Substitution!$M$17 &amp; $A11, US_national_yearly!$D:$AM, MATCH(U$1, US_national_yearly!$D$1:$AM$1, 0), FALSE) / VLOOKUP(Substitution!$M$17 &amp; $A11, US_national_yearly!$D:$AM, MATCH(Keys!$C$7, US_national_yearly!$D$1:$AM$1, 0), FALSE), 1)</f>
        <v>1.155390984580508E-2</v>
      </c>
      <c r="V11" s="12">
        <f>$B11 * IFERROR(VLOOKUP(Substitution!$M$17 &amp; $A11, US_national_yearly!$D:$AM, MATCH(V$1, US_national_yearly!$D$1:$AM$1, 0), FALSE) / VLOOKUP(Substitution!$M$17 &amp; $A11, US_national_yearly!$D:$AM, MATCH(Keys!$C$7, US_national_yearly!$D$1:$AM$1, 0), FALSE), 1)</f>
        <v>1.161822727185954E-2</v>
      </c>
      <c r="W11" s="12">
        <f>$B11 * IFERROR(VLOOKUP(Substitution!$M$17 &amp; $A11, US_national_yearly!$D:$AM, MATCH(W$1, US_national_yearly!$D$1:$AM$1, 0), FALSE) / VLOOKUP(Substitution!$M$17 &amp; $A11, US_national_yearly!$D:$AM, MATCH(Keys!$C$7, US_national_yearly!$D$1:$AM$1, 0), FALSE), 1)</f>
        <v>1.1682544697914E-2</v>
      </c>
      <c r="X11" s="12">
        <f>$B11 * IFERROR(VLOOKUP(Substitution!$M$17 &amp; $A11, US_national_yearly!$D:$AM, MATCH(X$1, US_national_yearly!$D$1:$AM$1, 0), FALSE) / VLOOKUP(Substitution!$M$17 &amp; $A11, US_national_yearly!$D:$AM, MATCH(Keys!$C$7, US_national_yearly!$D$1:$AM$1, 0), FALSE), 1)</f>
        <v>1.1742465471941381E-2</v>
      </c>
      <c r="Y11" s="12">
        <f>$B11 * IFERROR(VLOOKUP(Substitution!$M$17 &amp; $A11, US_national_yearly!$D:$AM, MATCH(Y$1, US_national_yearly!$D$1:$AM$1, 0), FALSE) / VLOOKUP(Substitution!$M$17 &amp; $A11, US_national_yearly!$D:$AM, MATCH(Keys!$C$7, US_national_yearly!$D$1:$AM$1, 0), FALSE), 1)</f>
        <v>1.1802386245968761E-2</v>
      </c>
      <c r="Z11" s="12">
        <f>$B11 * IFERROR(VLOOKUP(Substitution!$M$17 &amp; $A11, US_national_yearly!$D:$AM, MATCH(Z$1, US_national_yearly!$D$1:$AM$1, 0), FALSE) / VLOOKUP(Substitution!$M$17 &amp; $A11, US_national_yearly!$D:$AM, MATCH(Keys!$C$7, US_national_yearly!$D$1:$AM$1, 0), FALSE), 1)</f>
        <v>1.1862307019996139E-2</v>
      </c>
      <c r="AA11" s="12">
        <f>$B11 * IFERROR(VLOOKUP(Substitution!$M$17 &amp; $A11, US_national_yearly!$D:$AM, MATCH(AA$1, US_national_yearly!$D$1:$AM$1, 0), FALSE) / VLOOKUP(Substitution!$M$17 &amp; $A11, US_national_yearly!$D:$AM, MATCH(Keys!$C$7, US_national_yearly!$D$1:$AM$1, 0), FALSE), 1)</f>
        <v>1.1922227794023519E-2</v>
      </c>
      <c r="AB11" s="12">
        <f>$B11 * IFERROR(VLOOKUP(Substitution!$M$17 &amp; $A11, US_national_yearly!$D:$AM, MATCH(AB$1, US_national_yearly!$D$1:$AM$1, 0), FALSE) / VLOOKUP(Substitution!$M$17 &amp; $A11, US_national_yearly!$D:$AM, MATCH(Keys!$C$7, US_national_yearly!$D$1:$AM$1, 0), FALSE), 1)</f>
        <v>1.1982148568050899E-2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Substitution!$G$17)/IFERROR(SUMIFS(COBRA_aggregated!$W:$W, COBRA_aggregated!$A:$A, About!$B$1, COBRA_aggregated!$B:$B, Substitution!$G$17), 1)</f>
        <v>2.6330515938844077E-5</v>
      </c>
      <c r="C12" s="12">
        <f>$B12 * IFERROR(VLOOKUP(Substitution!$M$17 &amp; $A12, US_national_yearly!$D:$AM, MATCH(C$1, US_national_yearly!$D$1:$AM$1, 0), FALSE) / VLOOKUP(Substitution!$M$17 &amp; $A12, US_national_yearly!$D:$AM, MATCH(Keys!$C$7, US_national_yearly!$D$1:$AM$1, 0), FALSE), 1)</f>
        <v>2.6481431843508021E-5</v>
      </c>
      <c r="D12" s="12">
        <f>$B12 * IFERROR(VLOOKUP(Substitution!$M$17 &amp; $A12, US_national_yearly!$D:$AM, MATCH(D$1, US_national_yearly!$D$1:$AM$1, 0), FALSE) / VLOOKUP(Substitution!$M$17 &amp; $A12, US_national_yearly!$D:$AM, MATCH(Keys!$C$7, US_national_yearly!$D$1:$AM$1, 0), FALSE), 1)</f>
        <v>2.6632347748171962E-5</v>
      </c>
      <c r="E12" s="12">
        <f>$B12 * IFERROR(VLOOKUP(Substitution!$M$17 &amp; $A12, US_national_yearly!$D:$AM, MATCH(E$1, US_national_yearly!$D$1:$AM$1, 0), FALSE) / VLOOKUP(Substitution!$M$17 &amp; $A12, US_national_yearly!$D:$AM, MATCH(Keys!$C$7, US_national_yearly!$D$1:$AM$1, 0), FALSE), 1)</f>
        <v>2.6783263652835906E-5</v>
      </c>
      <c r="F12" s="12">
        <f>$B12 * IFERROR(VLOOKUP(Substitution!$M$17 &amp; $A12, US_national_yearly!$D:$AM, MATCH(F$1, US_national_yearly!$D$1:$AM$1, 0), FALSE) / VLOOKUP(Substitution!$M$17 &amp; $A12, US_national_yearly!$D:$AM, MATCH(Keys!$C$7, US_national_yearly!$D$1:$AM$1, 0), FALSE), 1)</f>
        <v>2.6934179557499843E-5</v>
      </c>
      <c r="G12" s="12">
        <f>$B12 * IFERROR(VLOOKUP(Substitution!$M$17 &amp; $A12, US_national_yearly!$D:$AM, MATCH(G$1, US_national_yearly!$D$1:$AM$1, 0), FALSE) / VLOOKUP(Substitution!$M$17 &amp; $A12, US_national_yearly!$D:$AM, MATCH(Keys!$C$7, US_national_yearly!$D$1:$AM$1, 0), FALSE), 1)</f>
        <v>2.7097175171896419E-5</v>
      </c>
      <c r="H12" s="12">
        <f>$B12 * IFERROR(VLOOKUP(Substitution!$M$17 &amp; $A12, US_national_yearly!$D:$AM, MATCH(H$1, US_national_yearly!$D$1:$AM$1, 0), FALSE) / VLOOKUP(Substitution!$M$17 &amp; $A12, US_national_yearly!$D:$AM, MATCH(Keys!$C$7, US_national_yearly!$D$1:$AM$1, 0), FALSE), 1)</f>
        <v>2.7260170786292995E-5</v>
      </c>
      <c r="I12" s="12">
        <f>$B12 * IFERROR(VLOOKUP(Substitution!$M$17 &amp; $A12, US_national_yearly!$D:$AM, MATCH(I$1, US_national_yearly!$D$1:$AM$1, 0), FALSE) / VLOOKUP(Substitution!$M$17 &amp; $A12, US_national_yearly!$D:$AM, MATCH(Keys!$C$7, US_national_yearly!$D$1:$AM$1, 0), FALSE), 1)</f>
        <v>2.7415906903073094E-5</v>
      </c>
      <c r="J12" s="12">
        <f>$B12 * IFERROR(VLOOKUP(Substitution!$M$17 &amp; $A12, US_national_yearly!$D:$AM, MATCH(J$1, US_national_yearly!$D$1:$AM$1, 0), FALSE) / VLOOKUP(Substitution!$M$17 &amp; $A12, US_national_yearly!$D:$AM, MATCH(Keys!$C$7, US_national_yearly!$D$1:$AM$1, 0), FALSE), 1)</f>
        <v>2.7571643019853202E-5</v>
      </c>
      <c r="K12" s="12">
        <f>$B12 * IFERROR(VLOOKUP(Substitution!$M$17 &amp; $A12, US_national_yearly!$D:$AM, MATCH(K$1, US_national_yearly!$D$1:$AM$1, 0), FALSE) / VLOOKUP(Substitution!$M$17 &amp; $A12, US_national_yearly!$D:$AM, MATCH(Keys!$C$7, US_national_yearly!$D$1:$AM$1, 0), FALSE), 1)</f>
        <v>2.7727379136633307E-5</v>
      </c>
      <c r="L12" s="12">
        <f>$B12 * IFERROR(VLOOKUP(Substitution!$M$17 &amp; $A12, US_national_yearly!$D:$AM, MATCH(L$1, US_national_yearly!$D$1:$AM$1, 0), FALSE) / VLOOKUP(Substitution!$M$17 &amp; $A12, US_national_yearly!$D:$AM, MATCH(Keys!$C$7, US_national_yearly!$D$1:$AM$1, 0), FALSE), 1)</f>
        <v>2.7883115253413418E-5</v>
      </c>
      <c r="M12" s="12">
        <f>$B12 * IFERROR(VLOOKUP(Substitution!$M$17 &amp; $A12, US_national_yearly!$D:$AM, MATCH(M$1, US_national_yearly!$D$1:$AM$1, 0), FALSE) / VLOOKUP(Substitution!$M$17 &amp; $A12, US_national_yearly!$D:$AM, MATCH(Keys!$C$7, US_national_yearly!$D$1:$AM$1, 0), FALSE), 1)</f>
        <v>2.8038851370193516E-5</v>
      </c>
      <c r="N12" s="12">
        <f>$B12 * IFERROR(VLOOKUP(Substitution!$M$17 &amp; $A12, US_national_yearly!$D:$AM, MATCH(N$1, US_national_yearly!$D$1:$AM$1, 0), FALSE) / VLOOKUP(Substitution!$M$17 &amp; $A12, US_national_yearly!$D:$AM, MATCH(Keys!$C$7, US_national_yearly!$D$1:$AM$1, 0), FALSE), 1)</f>
        <v>2.815062772587133E-5</v>
      </c>
      <c r="O12" s="12">
        <f>$B12 * IFERROR(VLOOKUP(Substitution!$M$17 &amp; $A12, US_national_yearly!$D:$AM, MATCH(O$1, US_national_yearly!$D$1:$AM$1, 0), FALSE) / VLOOKUP(Substitution!$M$17 &amp; $A12, US_national_yearly!$D:$AM, MATCH(Keys!$C$7, US_national_yearly!$D$1:$AM$1, 0), FALSE), 1)</f>
        <v>2.8262404081549137E-5</v>
      </c>
      <c r="P12" s="12">
        <f>$B12 * IFERROR(VLOOKUP(Substitution!$M$17 &amp; $A12, US_national_yearly!$D:$AM, MATCH(P$1, US_national_yearly!$D$1:$AM$1, 0), FALSE) / VLOOKUP(Substitution!$M$17 &amp; $A12, US_national_yearly!$D:$AM, MATCH(Keys!$C$7, US_national_yearly!$D$1:$AM$1, 0), FALSE), 1)</f>
        <v>2.8374180437226941E-5</v>
      </c>
      <c r="Q12" s="12">
        <f>$B12 * IFERROR(VLOOKUP(Substitution!$M$17 &amp; $A12, US_national_yearly!$D:$AM, MATCH(Q$1, US_national_yearly!$D$1:$AM$1, 0), FALSE) / VLOOKUP(Substitution!$M$17 &amp; $A12, US_national_yearly!$D:$AM, MATCH(Keys!$C$7, US_national_yearly!$D$1:$AM$1, 0), FALSE), 1)</f>
        <v>2.8485956792904748E-5</v>
      </c>
      <c r="R12" s="12">
        <f>$B12 * IFERROR(VLOOKUP(Substitution!$M$17 &amp; $A12, US_national_yearly!$D:$AM, MATCH(R$1, US_national_yearly!$D$1:$AM$1, 0), FALSE) / VLOOKUP(Substitution!$M$17 &amp; $A12, US_national_yearly!$D:$AM, MATCH(Keys!$C$7, US_national_yearly!$D$1:$AM$1, 0), FALSE), 1)</f>
        <v>2.8597733148582565E-5</v>
      </c>
      <c r="S12" s="12">
        <f>$B12 * IFERROR(VLOOKUP(Substitution!$M$17 &amp; $A12, US_national_yearly!$D:$AM, MATCH(S$1, US_national_yearly!$D$1:$AM$1, 0), FALSE) / VLOOKUP(Substitution!$M$17 &amp; $A12, US_national_yearly!$D:$AM, MATCH(Keys!$C$7, US_national_yearly!$D$1:$AM$1, 0), FALSE), 1)</f>
        <v>2.8704158967720154E-5</v>
      </c>
      <c r="T12" s="12">
        <f>$B12 * IFERROR(VLOOKUP(Substitution!$M$17 &amp; $A12, US_national_yearly!$D:$AM, MATCH(T$1, US_national_yearly!$D$1:$AM$1, 0), FALSE) / VLOOKUP(Substitution!$M$17 &amp; $A12, US_national_yearly!$D:$AM, MATCH(Keys!$C$7, US_national_yearly!$D$1:$AM$1, 0), FALSE), 1)</f>
        <v>2.8810584786857749E-5</v>
      </c>
      <c r="U12" s="12">
        <f>$B12 * IFERROR(VLOOKUP(Substitution!$M$17 &amp; $A12, US_national_yearly!$D:$AM, MATCH(U$1, US_national_yearly!$D$1:$AM$1, 0), FALSE) / VLOOKUP(Substitution!$M$17 &amp; $A12, US_national_yearly!$D:$AM, MATCH(Keys!$C$7, US_national_yearly!$D$1:$AM$1, 0), FALSE), 1)</f>
        <v>2.8917010605995338E-5</v>
      </c>
      <c r="V12" s="12">
        <f>$B12 * IFERROR(VLOOKUP(Substitution!$M$17 &amp; $A12, US_national_yearly!$D:$AM, MATCH(V$1, US_national_yearly!$D$1:$AM$1, 0), FALSE) / VLOOKUP(Substitution!$M$17 &amp; $A12, US_national_yearly!$D:$AM, MATCH(Keys!$C$7, US_national_yearly!$D$1:$AM$1, 0), FALSE), 1)</f>
        <v>2.9023436425132927E-5</v>
      </c>
      <c r="W12" s="12">
        <f>$B12 * IFERROR(VLOOKUP(Substitution!$M$17 &amp; $A12, US_national_yearly!$D:$AM, MATCH(W$1, US_national_yearly!$D$1:$AM$1, 0), FALSE) / VLOOKUP(Substitution!$M$17 &amp; $A12, US_national_yearly!$D:$AM, MATCH(Keys!$C$7, US_national_yearly!$D$1:$AM$1, 0), FALSE), 1)</f>
        <v>2.9129862244270515E-5</v>
      </c>
      <c r="X12" s="12">
        <f>$B12 * IFERROR(VLOOKUP(Substitution!$M$17 &amp; $A12, US_national_yearly!$D:$AM, MATCH(X$1, US_national_yearly!$D$1:$AM$1, 0), FALSE) / VLOOKUP(Substitution!$M$17 &amp; $A12, US_national_yearly!$D:$AM, MATCH(Keys!$C$7, US_national_yearly!$D$1:$AM$1, 0), FALSE), 1)</f>
        <v>2.9232245239866741E-5</v>
      </c>
      <c r="Y12" s="12">
        <f>$B12 * IFERROR(VLOOKUP(Substitution!$M$17 &amp; $A12, US_national_yearly!$D:$AM, MATCH(Y$1, US_national_yearly!$D$1:$AM$1, 0), FALSE) / VLOOKUP(Substitution!$M$17 &amp; $A12, US_national_yearly!$D:$AM, MATCH(Keys!$C$7, US_national_yearly!$D$1:$AM$1, 0), FALSE), 1)</f>
        <v>2.933462823546295E-5</v>
      </c>
      <c r="Z12" s="12">
        <f>$B12 * IFERROR(VLOOKUP(Substitution!$M$17 &amp; $A12, US_national_yearly!$D:$AM, MATCH(Z$1, US_national_yearly!$D$1:$AM$1, 0), FALSE) / VLOOKUP(Substitution!$M$17 &amp; $A12, US_national_yearly!$D:$AM, MATCH(Keys!$C$7, US_national_yearly!$D$1:$AM$1, 0), FALSE), 1)</f>
        <v>2.943701123105917E-5</v>
      </c>
      <c r="AA12" s="12">
        <f>$B12 * IFERROR(VLOOKUP(Substitution!$M$17 &amp; $A12, US_national_yearly!$D:$AM, MATCH(AA$1, US_national_yearly!$D$1:$AM$1, 0), FALSE) / VLOOKUP(Substitution!$M$17 &amp; $A12, US_national_yearly!$D:$AM, MATCH(Keys!$C$7, US_national_yearly!$D$1:$AM$1, 0), FALSE), 1)</f>
        <v>2.9539394226655379E-5</v>
      </c>
      <c r="AB12" s="12">
        <f>$B12 * IFERROR(VLOOKUP(Substitution!$M$17 &amp; $A12, US_national_yearly!$D:$AM, MATCH(AB$1, US_national_yearly!$D$1:$AM$1, 0), FALSE) / VLOOKUP(Substitution!$M$17 &amp; $A12, US_national_yearly!$D:$AM, MATCH(Keys!$C$7, US_national_yearly!$D$1:$AM$1, 0), FALSE), 1)</f>
        <v>2.9641777222251598E-5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Substitution!$G$17)/IFERROR(SUMIFS(COBRA_aggregated!$W:$W, COBRA_aggregated!$A:$A, About!$B$1, COBRA_aggregated!$B:$B, Substitution!$G$17), 1)</f>
        <v>1.6612388184738175E-4</v>
      </c>
      <c r="C13" s="12">
        <f>$B13 * IFERROR(VLOOKUP(Substitution!$M$17 &amp; $A13, US_national_yearly!$D:$AM, MATCH(C$1, US_national_yearly!$D$1:$AM$1, 0), FALSE) / VLOOKUP(Substitution!$M$17 &amp; $A13, US_national_yearly!$D:$AM, MATCH(Keys!$C$7, US_national_yearly!$D$1:$AM$1, 0), FALSE), 1)</f>
        <v>1.7095354393501319E-4</v>
      </c>
      <c r="D13" s="12">
        <f>$B13 * IFERROR(VLOOKUP(Substitution!$M$17 &amp; $A13, US_national_yearly!$D:$AM, MATCH(D$1, US_national_yearly!$D$1:$AM$1, 0), FALSE) / VLOOKUP(Substitution!$M$17 &amp; $A13, US_national_yearly!$D:$AM, MATCH(Keys!$C$7, US_national_yearly!$D$1:$AM$1, 0), FALSE), 1)</f>
        <v>1.7578320602264463E-4</v>
      </c>
      <c r="E13" s="12">
        <f>$B13 * IFERROR(VLOOKUP(Substitution!$M$17 &amp; $A13, US_national_yearly!$D:$AM, MATCH(E$1, US_national_yearly!$D$1:$AM$1, 0), FALSE) / VLOOKUP(Substitution!$M$17 &amp; $A13, US_national_yearly!$D:$AM, MATCH(Keys!$C$7, US_national_yearly!$D$1:$AM$1, 0), FALSE), 1)</f>
        <v>1.8061286811027602E-4</v>
      </c>
      <c r="F13" s="12">
        <f>$B13 * IFERROR(VLOOKUP(Substitution!$M$17 &amp; $A13, US_national_yearly!$D:$AM, MATCH(F$1, US_national_yearly!$D$1:$AM$1, 0), FALSE) / VLOOKUP(Substitution!$M$17 &amp; $A13, US_national_yearly!$D:$AM, MATCH(Keys!$C$7, US_national_yearly!$D$1:$AM$1, 0), FALSE), 1)</f>
        <v>1.8544253019790749E-4</v>
      </c>
      <c r="G13" s="12">
        <f>$B13 * IFERROR(VLOOKUP(Substitution!$M$17 &amp; $A13, US_national_yearly!$D:$AM, MATCH(G$1, US_national_yearly!$D$1:$AM$1, 0), FALSE) / VLOOKUP(Substitution!$M$17 &amp; $A13, US_national_yearly!$D:$AM, MATCH(Keys!$C$7, US_national_yearly!$D$1:$AM$1, 0), FALSE), 1)</f>
        <v>1.8999720687186173E-4</v>
      </c>
      <c r="H13" s="12">
        <f>$B13 * IFERROR(VLOOKUP(Substitution!$M$17 &amp; $A13, US_national_yearly!$D:$AM, MATCH(H$1, US_national_yearly!$D$1:$AM$1, 0), FALSE) / VLOOKUP(Substitution!$M$17 &amp; $A13, US_national_yearly!$D:$AM, MATCH(Keys!$C$7, US_national_yearly!$D$1:$AM$1, 0), FALSE), 1)</f>
        <v>1.9455188354581594E-4</v>
      </c>
      <c r="I13" s="12">
        <f>$B13 * IFERROR(VLOOKUP(Substitution!$M$17 &amp; $A13, US_national_yearly!$D:$AM, MATCH(I$1, US_national_yearly!$D$1:$AM$1, 0), FALSE) / VLOOKUP(Substitution!$M$17 &amp; $A13, US_national_yearly!$D:$AM, MATCH(Keys!$C$7, US_national_yearly!$D$1:$AM$1, 0), FALSE), 1)</f>
        <v>1.9821232800021303E-4</v>
      </c>
      <c r="J13" s="12">
        <f>$B13 * IFERROR(VLOOKUP(Substitution!$M$17 &amp; $A13, US_national_yearly!$D:$AM, MATCH(J$1, US_national_yearly!$D$1:$AM$1, 0), FALSE) / VLOOKUP(Substitution!$M$17 &amp; $A13, US_national_yearly!$D:$AM, MATCH(Keys!$C$7, US_national_yearly!$D$1:$AM$1, 0), FALSE), 1)</f>
        <v>2.0187277245461012E-4</v>
      </c>
      <c r="K13" s="12">
        <f>$B13 * IFERROR(VLOOKUP(Substitution!$M$17 &amp; $A13, US_national_yearly!$D:$AM, MATCH(K$1, US_national_yearly!$D$1:$AM$1, 0), FALSE) / VLOOKUP(Substitution!$M$17 &amp; $A13, US_national_yearly!$D:$AM, MATCH(Keys!$C$7, US_national_yearly!$D$1:$AM$1, 0), FALSE), 1)</f>
        <v>2.0553321690900723E-4</v>
      </c>
      <c r="L13" s="12">
        <f>$B13 * IFERROR(VLOOKUP(Substitution!$M$17 &amp; $A13, US_national_yearly!$D:$AM, MATCH(L$1, US_national_yearly!$D$1:$AM$1, 0), FALSE) / VLOOKUP(Substitution!$M$17 &amp; $A13, US_national_yearly!$D:$AM, MATCH(Keys!$C$7, US_national_yearly!$D$1:$AM$1, 0), FALSE), 1)</f>
        <v>2.0919366136340432E-4</v>
      </c>
      <c r="M13" s="12">
        <f>$B13 * IFERROR(VLOOKUP(Substitution!$M$17 &amp; $A13, US_national_yearly!$D:$AM, MATCH(M$1, US_national_yearly!$D$1:$AM$1, 0), FALSE) / VLOOKUP(Substitution!$M$17 &amp; $A13, US_national_yearly!$D:$AM, MATCH(Keys!$C$7, US_national_yearly!$D$1:$AM$1, 0), FALSE), 1)</f>
        <v>2.1285410581780144E-4</v>
      </c>
      <c r="N13" s="12">
        <f>$B13 * IFERROR(VLOOKUP(Substitution!$M$17 &amp; $A13, US_national_yearly!$D:$AM, MATCH(N$1, US_national_yearly!$D$1:$AM$1, 0), FALSE) / VLOOKUP(Substitution!$M$17 &amp; $A13, US_national_yearly!$D:$AM, MATCH(Keys!$C$7, US_national_yearly!$D$1:$AM$1, 0), FALSE), 1)</f>
        <v>2.152147310385441E-4</v>
      </c>
      <c r="O13" s="12">
        <f>$B13 * IFERROR(VLOOKUP(Substitution!$M$17 &amp; $A13, US_national_yearly!$D:$AM, MATCH(O$1, US_national_yearly!$D$1:$AM$1, 0), FALSE) / VLOOKUP(Substitution!$M$17 &amp; $A13, US_national_yearly!$D:$AM, MATCH(Keys!$C$7, US_national_yearly!$D$1:$AM$1, 0), FALSE), 1)</f>
        <v>2.1757535625928676E-4</v>
      </c>
      <c r="P13" s="12">
        <f>$B13 * IFERROR(VLOOKUP(Substitution!$M$17 &amp; $A13, US_national_yearly!$D:$AM, MATCH(P$1, US_national_yearly!$D$1:$AM$1, 0), FALSE) / VLOOKUP(Substitution!$M$17 &amp; $A13, US_national_yearly!$D:$AM, MATCH(Keys!$C$7, US_national_yearly!$D$1:$AM$1, 0), FALSE), 1)</f>
        <v>2.1993598148002945E-4</v>
      </c>
      <c r="Q13" s="12">
        <f>$B13 * IFERROR(VLOOKUP(Substitution!$M$17 &amp; $A13, US_national_yearly!$D:$AM, MATCH(Q$1, US_national_yearly!$D$1:$AM$1, 0), FALSE) / VLOOKUP(Substitution!$M$17 &amp; $A13, US_national_yearly!$D:$AM, MATCH(Keys!$C$7, US_national_yearly!$D$1:$AM$1, 0), FALSE), 1)</f>
        <v>2.2229660670077211E-4</v>
      </c>
      <c r="R13" s="12">
        <f>$B13 * IFERROR(VLOOKUP(Substitution!$M$17 &amp; $A13, US_national_yearly!$D:$AM, MATCH(R$1, US_national_yearly!$D$1:$AM$1, 0), FALSE) / VLOOKUP(Substitution!$M$17 &amp; $A13, US_national_yearly!$D:$AM, MATCH(Keys!$C$7, US_national_yearly!$D$1:$AM$1, 0), FALSE), 1)</f>
        <v>2.2465723192151478E-4</v>
      </c>
      <c r="S13" s="12">
        <f>$B13 * IFERROR(VLOOKUP(Substitution!$M$17 &amp; $A13, US_national_yearly!$D:$AM, MATCH(S$1, US_national_yearly!$D$1:$AM$1, 0), FALSE) / VLOOKUP(Substitution!$M$17 &amp; $A13, US_national_yearly!$D:$AM, MATCH(Keys!$C$7, US_national_yearly!$D$1:$AM$1, 0), FALSE), 1)</f>
        <v>2.2590040460530571E-4</v>
      </c>
      <c r="T13" s="12">
        <f>$B13 * IFERROR(VLOOKUP(Substitution!$M$17 &amp; $A13, US_national_yearly!$D:$AM, MATCH(T$1, US_national_yearly!$D$1:$AM$1, 0), FALSE) / VLOOKUP(Substitution!$M$17 &amp; $A13, US_national_yearly!$D:$AM, MATCH(Keys!$C$7, US_national_yearly!$D$1:$AM$1, 0), FALSE), 1)</f>
        <v>2.2714357728909672E-4</v>
      </c>
      <c r="U13" s="12">
        <f>$B13 * IFERROR(VLOOKUP(Substitution!$M$17 &amp; $A13, US_national_yearly!$D:$AM, MATCH(U$1, US_national_yearly!$D$1:$AM$1, 0), FALSE) / VLOOKUP(Substitution!$M$17 &amp; $A13, US_national_yearly!$D:$AM, MATCH(Keys!$C$7, US_national_yearly!$D$1:$AM$1, 0), FALSE), 1)</f>
        <v>2.2838674997288771E-4</v>
      </c>
      <c r="V13" s="12">
        <f>$B13 * IFERROR(VLOOKUP(Substitution!$M$17 &amp; $A13, US_national_yearly!$D:$AM, MATCH(V$1, US_national_yearly!$D$1:$AM$1, 0), FALSE) / VLOOKUP(Substitution!$M$17 &amp; $A13, US_national_yearly!$D:$AM, MATCH(Keys!$C$7, US_national_yearly!$D$1:$AM$1, 0), FALSE), 1)</f>
        <v>2.296299226566787E-4</v>
      </c>
      <c r="W13" s="12">
        <f>$B13 * IFERROR(VLOOKUP(Substitution!$M$17 &amp; $A13, US_national_yearly!$D:$AM, MATCH(W$1, US_national_yearly!$D$1:$AM$1, 0), FALSE) / VLOOKUP(Substitution!$M$17 &amp; $A13, US_national_yearly!$D:$AM, MATCH(Keys!$C$7, US_national_yearly!$D$1:$AM$1, 0), FALSE), 1)</f>
        <v>2.3087309534046966E-4</v>
      </c>
      <c r="X13" s="12">
        <f>$B13 * IFERROR(VLOOKUP(Substitution!$M$17 &amp; $A13, US_national_yearly!$D:$AM, MATCH(X$1, US_national_yearly!$D$1:$AM$1, 0), FALSE) / VLOOKUP(Substitution!$M$17 &amp; $A13, US_national_yearly!$D:$AM, MATCH(Keys!$C$7, US_national_yearly!$D$1:$AM$1, 0), FALSE), 1)</f>
        <v>2.3181684316654267E-4</v>
      </c>
      <c r="Y13" s="12">
        <f>$B13 * IFERROR(VLOOKUP(Substitution!$M$17 &amp; $A13, US_national_yearly!$D:$AM, MATCH(Y$1, US_national_yearly!$D$1:$AM$1, 0), FALSE) / VLOOKUP(Substitution!$M$17 &amp; $A13, US_national_yearly!$D:$AM, MATCH(Keys!$C$7, US_national_yearly!$D$1:$AM$1, 0), FALSE), 1)</f>
        <v>2.3276059099261573E-4</v>
      </c>
      <c r="Z13" s="12">
        <f>$B13 * IFERROR(VLOOKUP(Substitution!$M$17 &amp; $A13, US_national_yearly!$D:$AM, MATCH(Z$1, US_national_yearly!$D$1:$AM$1, 0), FALSE) / VLOOKUP(Substitution!$M$17 &amp; $A13, US_national_yearly!$D:$AM, MATCH(Keys!$C$7, US_national_yearly!$D$1:$AM$1, 0), FALSE), 1)</f>
        <v>2.3370433881868873E-4</v>
      </c>
      <c r="AA13" s="12">
        <f>$B13 * IFERROR(VLOOKUP(Substitution!$M$17 &amp; $A13, US_national_yearly!$D:$AM, MATCH(AA$1, US_national_yearly!$D$1:$AM$1, 0), FALSE) / VLOOKUP(Substitution!$M$17 &amp; $A13, US_national_yearly!$D:$AM, MATCH(Keys!$C$7, US_national_yearly!$D$1:$AM$1, 0), FALSE), 1)</f>
        <v>2.3464808664476179E-4</v>
      </c>
      <c r="AB13" s="12">
        <f>$B13 * IFERROR(VLOOKUP(Substitution!$M$17 &amp; $A13, US_national_yearly!$D:$AM, MATCH(AB$1, US_national_yearly!$D$1:$AM$1, 0), FALSE) / VLOOKUP(Substitution!$M$17 &amp; $A13, US_national_yearly!$D:$AM, MATCH(Keys!$C$7, US_national_yearly!$D$1:$AM$1, 0), FALSE), 1)</f>
        <v>2.355918344708348E-4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Substitution!$G$17)/IFERROR(SUMIFS(COBRA_aggregated!$W:$W, COBRA_aggregated!$A:$A, About!$B$1, COBRA_aggregated!$B:$B, Substitution!$G$17), 1)</f>
        <v>0.10819775385560952</v>
      </c>
      <c r="C14" s="12">
        <f>$B14 * IFERROR(VLOOKUP(Substitution!$M$17 &amp; $A14, US_national_yearly!$D:$AM, MATCH(C$1, US_national_yearly!$D$1:$AM$1, 0), FALSE) / VLOOKUP(Substitution!$M$17 &amp; $A14, US_national_yearly!$D:$AM, MATCH(Keys!$C$7, US_national_yearly!$D$1:$AM$1, 0), FALSE), 1)</f>
        <v>0.10846198560179218</v>
      </c>
      <c r="D14" s="12">
        <f>$B14 * IFERROR(VLOOKUP(Substitution!$M$17 &amp; $A14, US_national_yearly!$D:$AM, MATCH(D$1, US_national_yearly!$D$1:$AM$1, 0), FALSE) / VLOOKUP(Substitution!$M$17 &amp; $A14, US_national_yearly!$D:$AM, MATCH(Keys!$C$7, US_national_yearly!$D$1:$AM$1, 0), FALSE), 1)</f>
        <v>0.10872621734797483</v>
      </c>
      <c r="E14" s="12">
        <f>$B14 * IFERROR(VLOOKUP(Substitution!$M$17 &amp; $A14, US_national_yearly!$D:$AM, MATCH(E$1, US_national_yearly!$D$1:$AM$1, 0), FALSE) / VLOOKUP(Substitution!$M$17 &amp; $A14, US_national_yearly!$D:$AM, MATCH(Keys!$C$7, US_national_yearly!$D$1:$AM$1, 0), FALSE), 1)</f>
        <v>0.10899044909415752</v>
      </c>
      <c r="F14" s="12">
        <f>$B14 * IFERROR(VLOOKUP(Substitution!$M$17 &amp; $A14, US_national_yearly!$D:$AM, MATCH(F$1, US_national_yearly!$D$1:$AM$1, 0), FALSE) / VLOOKUP(Substitution!$M$17 &amp; $A14, US_national_yearly!$D:$AM, MATCH(Keys!$C$7, US_national_yearly!$D$1:$AM$1, 0), FALSE), 1)</f>
        <v>0.10925468084034015</v>
      </c>
      <c r="G14" s="12">
        <f>$B14 * IFERROR(VLOOKUP(Substitution!$M$17 &amp; $A14, US_national_yearly!$D:$AM, MATCH(G$1, US_national_yearly!$D$1:$AM$1, 0), FALSE) / VLOOKUP(Substitution!$M$17 &amp; $A14, US_national_yearly!$D:$AM, MATCH(Keys!$C$7, US_national_yearly!$D$1:$AM$1, 0), FALSE), 1)</f>
        <v>0.10964454687406176</v>
      </c>
      <c r="H14" s="12">
        <f>$B14 * IFERROR(VLOOKUP(Substitution!$M$17 &amp; $A14, US_national_yearly!$D:$AM, MATCH(H$1, US_national_yearly!$D$1:$AM$1, 0), FALSE) / VLOOKUP(Substitution!$M$17 &amp; $A14, US_national_yearly!$D:$AM, MATCH(Keys!$C$7, US_national_yearly!$D$1:$AM$1, 0), FALSE), 1)</f>
        <v>0.11003441290778339</v>
      </c>
      <c r="I14" s="12">
        <f>$B14 * IFERROR(VLOOKUP(Substitution!$M$17 &amp; $A14, US_national_yearly!$D:$AM, MATCH(I$1, US_national_yearly!$D$1:$AM$1, 0), FALSE) / VLOOKUP(Substitution!$M$17 &amp; $A14, US_national_yearly!$D:$AM, MATCH(Keys!$C$7, US_national_yearly!$D$1:$AM$1, 0), FALSE), 1)</f>
        <v>0.11070090529441842</v>
      </c>
      <c r="J14" s="12">
        <f>$B14 * IFERROR(VLOOKUP(Substitution!$M$17 &amp; $A14, US_national_yearly!$D:$AM, MATCH(J$1, US_national_yearly!$D$1:$AM$1, 0), FALSE) / VLOOKUP(Substitution!$M$17 &amp; $A14, US_national_yearly!$D:$AM, MATCH(Keys!$C$7, US_national_yearly!$D$1:$AM$1, 0), FALSE), 1)</f>
        <v>0.1113673976810534</v>
      </c>
      <c r="K14" s="12">
        <f>$B14 * IFERROR(VLOOKUP(Substitution!$M$17 &amp; $A14, US_national_yearly!$D:$AM, MATCH(K$1, US_national_yearly!$D$1:$AM$1, 0), FALSE) / VLOOKUP(Substitution!$M$17 &amp; $A14, US_national_yearly!$D:$AM, MATCH(Keys!$C$7, US_national_yearly!$D$1:$AM$1, 0), FALSE), 1)</f>
        <v>0.11203389006768844</v>
      </c>
      <c r="L14" s="12">
        <f>$B14 * IFERROR(VLOOKUP(Substitution!$M$17 &amp; $A14, US_national_yearly!$D:$AM, MATCH(L$1, US_national_yearly!$D$1:$AM$1, 0), FALSE) / VLOOKUP(Substitution!$M$17 &amp; $A14, US_national_yearly!$D:$AM, MATCH(Keys!$C$7, US_national_yearly!$D$1:$AM$1, 0), FALSE), 1)</f>
        <v>0.11270038245432344</v>
      </c>
      <c r="M14" s="12">
        <f>$B14 * IFERROR(VLOOKUP(Substitution!$M$17 &amp; $A14, US_national_yearly!$D:$AM, MATCH(M$1, US_national_yearly!$D$1:$AM$1, 0), FALSE) / VLOOKUP(Substitution!$M$17 &amp; $A14, US_national_yearly!$D:$AM, MATCH(Keys!$C$7, US_national_yearly!$D$1:$AM$1, 0), FALSE), 1)</f>
        <v>0.11336687484095845</v>
      </c>
      <c r="N14" s="12">
        <f>$B14 * IFERROR(VLOOKUP(Substitution!$M$17 &amp; $A14, US_national_yearly!$D:$AM, MATCH(N$1, US_national_yearly!$D$1:$AM$1, 0), FALSE) / VLOOKUP(Substitution!$M$17 &amp; $A14, US_national_yearly!$D:$AM, MATCH(Keys!$C$7, US_national_yearly!$D$1:$AM$1, 0), FALSE), 1)</f>
        <v>0.11427477016995352</v>
      </c>
      <c r="O14" s="12">
        <f>$B14 * IFERROR(VLOOKUP(Substitution!$M$17 &amp; $A14, US_national_yearly!$D:$AM, MATCH(O$1, US_national_yearly!$D$1:$AM$1, 0), FALSE) / VLOOKUP(Substitution!$M$17 &amp; $A14, US_national_yearly!$D:$AM, MATCH(Keys!$C$7, US_national_yearly!$D$1:$AM$1, 0), FALSE), 1)</f>
        <v>0.11518266549894857</v>
      </c>
      <c r="P14" s="12">
        <f>$B14 * IFERROR(VLOOKUP(Substitution!$M$17 &amp; $A14, US_national_yearly!$D:$AM, MATCH(P$1, US_national_yearly!$D$1:$AM$1, 0), FALSE) / VLOOKUP(Substitution!$M$17 &amp; $A14, US_national_yearly!$D:$AM, MATCH(Keys!$C$7, US_national_yearly!$D$1:$AM$1, 0), FALSE), 1)</f>
        <v>0.11609056082794364</v>
      </c>
      <c r="Q14" s="12">
        <f>$B14 * IFERROR(VLOOKUP(Substitution!$M$17 &amp; $A14, US_national_yearly!$D:$AM, MATCH(Q$1, US_national_yearly!$D$1:$AM$1, 0), FALSE) / VLOOKUP(Substitution!$M$17 &amp; $A14, US_national_yearly!$D:$AM, MATCH(Keys!$C$7, US_national_yearly!$D$1:$AM$1, 0), FALSE), 1)</f>
        <v>0.11699845615693868</v>
      </c>
      <c r="R14" s="12">
        <f>$B14 * IFERROR(VLOOKUP(Substitution!$M$17 &amp; $A14, US_national_yearly!$D:$AM, MATCH(R$1, US_national_yearly!$D$1:$AM$1, 0), FALSE) / VLOOKUP(Substitution!$M$17 &amp; $A14, US_national_yearly!$D:$AM, MATCH(Keys!$C$7, US_national_yearly!$D$1:$AM$1, 0), FALSE), 1)</f>
        <v>0.11790635148593373</v>
      </c>
      <c r="S14" s="12">
        <f>$B14 * IFERROR(VLOOKUP(Substitution!$M$17 &amp; $A14, US_national_yearly!$D:$AM, MATCH(S$1, US_national_yearly!$D$1:$AM$1, 0), FALSE) / VLOOKUP(Substitution!$M$17 &amp; $A14, US_national_yearly!$D:$AM, MATCH(Keys!$C$7, US_national_yearly!$D$1:$AM$1, 0), FALSE), 1)</f>
        <v>0.11882049919256099</v>
      </c>
      <c r="T14" s="12">
        <f>$B14 * IFERROR(VLOOKUP(Substitution!$M$17 &amp; $A14, US_national_yearly!$D:$AM, MATCH(T$1, US_national_yearly!$D$1:$AM$1, 0), FALSE) / VLOOKUP(Substitution!$M$17 &amp; $A14, US_national_yearly!$D:$AM, MATCH(Keys!$C$7, US_national_yearly!$D$1:$AM$1, 0), FALSE), 1)</f>
        <v>0.11973464689918825</v>
      </c>
      <c r="U14" s="12">
        <f>$B14 * IFERROR(VLOOKUP(Substitution!$M$17 &amp; $A14, US_national_yearly!$D:$AM, MATCH(U$1, US_national_yearly!$D$1:$AM$1, 0), FALSE) / VLOOKUP(Substitution!$M$17 &amp; $A14, US_national_yearly!$D:$AM, MATCH(Keys!$C$7, US_national_yearly!$D$1:$AM$1, 0), FALSE), 1)</f>
        <v>0.1206487946058155</v>
      </c>
      <c r="V14" s="12">
        <f>$B14 * IFERROR(VLOOKUP(Substitution!$M$17 &amp; $A14, US_national_yearly!$D:$AM, MATCH(V$1, US_national_yearly!$D$1:$AM$1, 0), FALSE) / VLOOKUP(Substitution!$M$17 &amp; $A14, US_national_yearly!$D:$AM, MATCH(Keys!$C$7, US_national_yearly!$D$1:$AM$1, 0), FALSE), 1)</f>
        <v>0.12156294231244276</v>
      </c>
      <c r="W14" s="12">
        <f>$B14 * IFERROR(VLOOKUP(Substitution!$M$17 &amp; $A14, US_national_yearly!$D:$AM, MATCH(W$1, US_national_yearly!$D$1:$AM$1, 0), FALSE) / VLOOKUP(Substitution!$M$17 &amp; $A14, US_national_yearly!$D:$AM, MATCH(Keys!$C$7, US_national_yearly!$D$1:$AM$1, 0), FALSE), 1)</f>
        <v>0.12247709001907002</v>
      </c>
      <c r="X14" s="12">
        <f>$B14 * IFERROR(VLOOKUP(Substitution!$M$17 &amp; $A14, US_national_yearly!$D:$AM, MATCH(X$1, US_national_yearly!$D$1:$AM$1, 0), FALSE) / VLOOKUP(Substitution!$M$17 &amp; $A14, US_national_yearly!$D:$AM, MATCH(Keys!$C$7, US_national_yearly!$D$1:$AM$1, 0), FALSE), 1)</f>
        <v>0.1232706621934315</v>
      </c>
      <c r="Y14" s="12">
        <f>$B14 * IFERROR(VLOOKUP(Substitution!$M$17 &amp; $A14, US_national_yearly!$D:$AM, MATCH(Y$1, US_national_yearly!$D$1:$AM$1, 0), FALSE) / VLOOKUP(Substitution!$M$17 &amp; $A14, US_national_yearly!$D:$AM, MATCH(Keys!$C$7, US_national_yearly!$D$1:$AM$1, 0), FALSE), 1)</f>
        <v>0.12406423436779299</v>
      </c>
      <c r="Z14" s="12">
        <f>$B14 * IFERROR(VLOOKUP(Substitution!$M$17 &amp; $A14, US_national_yearly!$D:$AM, MATCH(Z$1, US_national_yearly!$D$1:$AM$1, 0), FALSE) / VLOOKUP(Substitution!$M$17 &amp; $A14, US_national_yearly!$D:$AM, MATCH(Keys!$C$7, US_national_yearly!$D$1:$AM$1, 0), FALSE), 1)</f>
        <v>0.12485780654215448</v>
      </c>
      <c r="AA14" s="12">
        <f>$B14 * IFERROR(VLOOKUP(Substitution!$M$17 &amp; $A14, US_national_yearly!$D:$AM, MATCH(AA$1, US_national_yearly!$D$1:$AM$1, 0), FALSE) / VLOOKUP(Substitution!$M$17 &amp; $A14, US_national_yearly!$D:$AM, MATCH(Keys!$C$7, US_national_yearly!$D$1:$AM$1, 0), FALSE), 1)</f>
        <v>0.12565137871651594</v>
      </c>
      <c r="AB14" s="12">
        <f>$B14 * IFERROR(VLOOKUP(Substitution!$M$17 &amp; $A14, US_national_yearly!$D:$AM, MATCH(AB$1, US_national_yearly!$D$1:$AM$1, 0), FALSE) / VLOOKUP(Substitution!$M$17 &amp; $A14, US_national_yearly!$D:$AM, MATCH(Keys!$C$7, US_national_yearly!$D$1:$AM$1, 0), FALSE), 1)</f>
        <v>0.12644495089087743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Substitution!$G$17)/IFERROR(SUMIFS(COBRA_aggregated!$W:$W, COBRA_aggregated!$A:$A, About!$B$1, COBRA_aggregated!$B:$B, Substitution!$G$17), 1)</f>
        <v>1.8243692661772129E-2</v>
      </c>
      <c r="C15" s="12">
        <f>$B15 * IFERROR(VLOOKUP(Substitution!$M$17 &amp; $A15, US_national_yearly!$D:$AM, MATCH(C$1, US_national_yearly!$D$1:$AM$1, 0), FALSE) / VLOOKUP(Substitution!$M$17 &amp; $A15, US_national_yearly!$D:$AM, MATCH(Keys!$C$7, US_national_yearly!$D$1:$AM$1, 0), FALSE), 1)</f>
        <v>1.8300241538178327E-2</v>
      </c>
      <c r="D15" s="12">
        <f>$B15 * IFERROR(VLOOKUP(Substitution!$M$17 &amp; $A15, US_national_yearly!$D:$AM, MATCH(D$1, US_national_yearly!$D$1:$AM$1, 0), FALSE) / VLOOKUP(Substitution!$M$17 &amp; $A15, US_national_yearly!$D:$AM, MATCH(Keys!$C$7, US_national_yearly!$D$1:$AM$1, 0), FALSE), 1)</f>
        <v>1.8356790414584531E-2</v>
      </c>
      <c r="E15" s="12">
        <f>$B15 * IFERROR(VLOOKUP(Substitution!$M$17 &amp; $A15, US_national_yearly!$D:$AM, MATCH(E$1, US_national_yearly!$D$1:$AM$1, 0), FALSE) / VLOOKUP(Substitution!$M$17 &amp; $A15, US_national_yearly!$D:$AM, MATCH(Keys!$C$7, US_national_yearly!$D$1:$AM$1, 0), FALSE), 1)</f>
        <v>1.8413339290990729E-2</v>
      </c>
      <c r="F15" s="12">
        <f>$B15 * IFERROR(VLOOKUP(Substitution!$M$17 &amp; $A15, US_national_yearly!$D:$AM, MATCH(F$1, US_national_yearly!$D$1:$AM$1, 0), FALSE) / VLOOKUP(Substitution!$M$17 &amp; $A15, US_national_yearly!$D:$AM, MATCH(Keys!$C$7, US_national_yearly!$D$1:$AM$1, 0), FALSE), 1)</f>
        <v>1.8469888167396926E-2</v>
      </c>
      <c r="G15" s="12">
        <f>$B15 * IFERROR(VLOOKUP(Substitution!$M$17 &amp; $A15, US_national_yearly!$D:$AM, MATCH(G$1, US_national_yearly!$D$1:$AM$1, 0), FALSE) / VLOOKUP(Substitution!$M$17 &amp; $A15, US_national_yearly!$D:$AM, MATCH(Keys!$C$7, US_national_yearly!$D$1:$AM$1, 0), FALSE), 1)</f>
        <v>1.8544027352803492E-2</v>
      </c>
      <c r="H15" s="12">
        <f>$B15 * IFERROR(VLOOKUP(Substitution!$M$17 &amp; $A15, US_national_yearly!$D:$AM, MATCH(H$1, US_national_yearly!$D$1:$AM$1, 0), FALSE) / VLOOKUP(Substitution!$M$17 &amp; $A15, US_national_yearly!$D:$AM, MATCH(Keys!$C$7, US_national_yearly!$D$1:$AM$1, 0), FALSE), 1)</f>
        <v>1.8618166538210062E-2</v>
      </c>
      <c r="I15" s="12">
        <f>$B15 * IFERROR(VLOOKUP(Substitution!$M$17 &amp; $A15, US_national_yearly!$D:$AM, MATCH(I$1, US_national_yearly!$D$1:$AM$1, 0), FALSE) / VLOOKUP(Substitution!$M$17 &amp; $A15, US_national_yearly!$D:$AM, MATCH(Keys!$C$7, US_national_yearly!$D$1:$AM$1, 0), FALSE), 1)</f>
        <v>1.8727344642912709E-2</v>
      </c>
      <c r="J15" s="12">
        <f>$B15 * IFERROR(VLOOKUP(Substitution!$M$17 &amp; $A15, US_national_yearly!$D:$AM, MATCH(J$1, US_national_yearly!$D$1:$AM$1, 0), FALSE) / VLOOKUP(Substitution!$M$17 &amp; $A15, US_national_yearly!$D:$AM, MATCH(Keys!$C$7, US_national_yearly!$D$1:$AM$1, 0), FALSE), 1)</f>
        <v>1.8836522747615356E-2</v>
      </c>
      <c r="K15" s="12">
        <f>$B15 * IFERROR(VLOOKUP(Substitution!$M$17 &amp; $A15, US_national_yearly!$D:$AM, MATCH(K$1, US_national_yearly!$D$1:$AM$1, 0), FALSE) / VLOOKUP(Substitution!$M$17 &amp; $A15, US_national_yearly!$D:$AM, MATCH(Keys!$C$7, US_national_yearly!$D$1:$AM$1, 0), FALSE), 1)</f>
        <v>1.8945700852318004E-2</v>
      </c>
      <c r="L15" s="12">
        <f>$B15 * IFERROR(VLOOKUP(Substitution!$M$17 &amp; $A15, US_national_yearly!$D:$AM, MATCH(L$1, US_national_yearly!$D$1:$AM$1, 0), FALSE) / VLOOKUP(Substitution!$M$17 &amp; $A15, US_national_yearly!$D:$AM, MATCH(Keys!$C$7, US_national_yearly!$D$1:$AM$1, 0), FALSE), 1)</f>
        <v>1.9054878957020651E-2</v>
      </c>
      <c r="M15" s="12">
        <f>$B15 * IFERROR(VLOOKUP(Substitution!$M$17 &amp; $A15, US_national_yearly!$D:$AM, MATCH(M$1, US_national_yearly!$D$1:$AM$1, 0), FALSE) / VLOOKUP(Substitution!$M$17 &amp; $A15, US_national_yearly!$D:$AM, MATCH(Keys!$C$7, US_national_yearly!$D$1:$AM$1, 0), FALSE), 1)</f>
        <v>1.9164057061723298E-2</v>
      </c>
      <c r="N15" s="12">
        <f>$B15 * IFERROR(VLOOKUP(Substitution!$M$17 &amp; $A15, US_national_yearly!$D:$AM, MATCH(N$1, US_national_yearly!$D$1:$AM$1, 0), FALSE) / VLOOKUP(Substitution!$M$17 &amp; $A15, US_national_yearly!$D:$AM, MATCH(Keys!$C$7, US_national_yearly!$D$1:$AM$1, 0), FALSE), 1)</f>
        <v>1.9301465970051428E-2</v>
      </c>
      <c r="O15" s="12">
        <f>$B15 * IFERROR(VLOOKUP(Substitution!$M$17 &amp; $A15, US_national_yearly!$D:$AM, MATCH(O$1, US_national_yearly!$D$1:$AM$1, 0), FALSE) / VLOOKUP(Substitution!$M$17 &amp; $A15, US_national_yearly!$D:$AM, MATCH(Keys!$C$7, US_national_yearly!$D$1:$AM$1, 0), FALSE), 1)</f>
        <v>1.9438874878379555E-2</v>
      </c>
      <c r="P15" s="12">
        <f>$B15 * IFERROR(VLOOKUP(Substitution!$M$17 &amp; $A15, US_national_yearly!$D:$AM, MATCH(P$1, US_national_yearly!$D$1:$AM$1, 0), FALSE) / VLOOKUP(Substitution!$M$17 &amp; $A15, US_national_yearly!$D:$AM, MATCH(Keys!$C$7, US_national_yearly!$D$1:$AM$1, 0), FALSE), 1)</f>
        <v>1.9576283786707688E-2</v>
      </c>
      <c r="Q15" s="12">
        <f>$B15 * IFERROR(VLOOKUP(Substitution!$M$17 &amp; $A15, US_national_yearly!$D:$AM, MATCH(Q$1, US_national_yearly!$D$1:$AM$1, 0), FALSE) / VLOOKUP(Substitution!$M$17 &amp; $A15, US_national_yearly!$D:$AM, MATCH(Keys!$C$7, US_national_yearly!$D$1:$AM$1, 0), FALSE), 1)</f>
        <v>1.9713692695035815E-2</v>
      </c>
      <c r="R15" s="12">
        <f>$B15 * IFERROR(VLOOKUP(Substitution!$M$17 &amp; $A15, US_national_yearly!$D:$AM, MATCH(R$1, US_national_yearly!$D$1:$AM$1, 0), FALSE) / VLOOKUP(Substitution!$M$17 &amp; $A15, US_national_yearly!$D:$AM, MATCH(Keys!$C$7, US_national_yearly!$D$1:$AM$1, 0), FALSE), 1)</f>
        <v>1.9851101603363945E-2</v>
      </c>
      <c r="S15" s="12">
        <f>$B15 * IFERROR(VLOOKUP(Substitution!$M$17 &amp; $A15, US_national_yearly!$D:$AM, MATCH(S$1, US_national_yearly!$D$1:$AM$1, 0), FALSE) / VLOOKUP(Substitution!$M$17 &amp; $A15, US_national_yearly!$D:$AM, MATCH(Keys!$C$7, US_national_yearly!$D$1:$AM$1, 0), FALSE), 1)</f>
        <v>2.0003081722435638E-2</v>
      </c>
      <c r="T15" s="12">
        <f>$B15 * IFERROR(VLOOKUP(Substitution!$M$17 &amp; $A15, US_national_yearly!$D:$AM, MATCH(T$1, US_national_yearly!$D$1:$AM$1, 0), FALSE) / VLOOKUP(Substitution!$M$17 &amp; $A15, US_national_yearly!$D:$AM, MATCH(Keys!$C$7, US_national_yearly!$D$1:$AM$1, 0), FALSE), 1)</f>
        <v>2.0155061841507334E-2</v>
      </c>
      <c r="U15" s="12">
        <f>$B15 * IFERROR(VLOOKUP(Substitution!$M$17 &amp; $A15, US_national_yearly!$D:$AM, MATCH(U$1, US_national_yearly!$D$1:$AM$1, 0), FALSE) / VLOOKUP(Substitution!$M$17 &amp; $A15, US_national_yearly!$D:$AM, MATCH(Keys!$C$7, US_national_yearly!$D$1:$AM$1, 0), FALSE), 1)</f>
        <v>2.0307041960579024E-2</v>
      </c>
      <c r="V15" s="12">
        <f>$B15 * IFERROR(VLOOKUP(Substitution!$M$17 &amp; $A15, US_national_yearly!$D:$AM, MATCH(V$1, US_national_yearly!$D$1:$AM$1, 0), FALSE) / VLOOKUP(Substitution!$M$17 &amp; $A15, US_national_yearly!$D:$AM, MATCH(Keys!$C$7, US_national_yearly!$D$1:$AM$1, 0), FALSE), 1)</f>
        <v>2.045902207965072E-2</v>
      </c>
      <c r="W15" s="12">
        <f>$B15 * IFERROR(VLOOKUP(Substitution!$M$17 &amp; $A15, US_national_yearly!$D:$AM, MATCH(W$1, US_national_yearly!$D$1:$AM$1, 0), FALSE) / VLOOKUP(Substitution!$M$17 &amp; $A15, US_national_yearly!$D:$AM, MATCH(Keys!$C$7, US_national_yearly!$D$1:$AM$1, 0), FALSE), 1)</f>
        <v>2.0611002198722413E-2</v>
      </c>
      <c r="X15" s="12">
        <f>$B15 * IFERROR(VLOOKUP(Substitution!$M$17 &amp; $A15, US_national_yearly!$D:$AM, MATCH(X$1, US_national_yearly!$D$1:$AM$1, 0), FALSE) / VLOOKUP(Substitution!$M$17 &amp; $A15, US_national_yearly!$D:$AM, MATCH(Keys!$C$7, US_national_yearly!$D$1:$AM$1, 0), FALSE), 1)</f>
        <v>2.0745849553927651E-2</v>
      </c>
      <c r="Y15" s="12">
        <f>$B15 * IFERROR(VLOOKUP(Substitution!$M$17 &amp; $A15, US_national_yearly!$D:$AM, MATCH(Y$1, US_national_yearly!$D$1:$AM$1, 0), FALSE) / VLOOKUP(Substitution!$M$17 &amp; $A15, US_national_yearly!$D:$AM, MATCH(Keys!$C$7, US_national_yearly!$D$1:$AM$1, 0), FALSE), 1)</f>
        <v>2.0880696909132888E-2</v>
      </c>
      <c r="Z15" s="12">
        <f>$B15 * IFERROR(VLOOKUP(Substitution!$M$17 &amp; $A15, US_national_yearly!$D:$AM, MATCH(Z$1, US_national_yearly!$D$1:$AM$1, 0), FALSE) / VLOOKUP(Substitution!$M$17 &amp; $A15, US_national_yearly!$D:$AM, MATCH(Keys!$C$7, US_national_yearly!$D$1:$AM$1, 0), FALSE), 1)</f>
        <v>2.1015544264338128E-2</v>
      </c>
      <c r="AA15" s="12">
        <f>$B15 * IFERROR(VLOOKUP(Substitution!$M$17 &amp; $A15, US_national_yearly!$D:$AM, MATCH(AA$1, US_national_yearly!$D$1:$AM$1, 0), FALSE) / VLOOKUP(Substitution!$M$17 &amp; $A15, US_national_yearly!$D:$AM, MATCH(Keys!$C$7, US_national_yearly!$D$1:$AM$1, 0), FALSE), 1)</f>
        <v>2.1150391619543369E-2</v>
      </c>
      <c r="AB15" s="12">
        <f>$B15 * IFERROR(VLOOKUP(Substitution!$M$17 &amp; $A15, US_national_yearly!$D:$AM, MATCH(AB$1, US_national_yearly!$D$1:$AM$1, 0), FALSE) / VLOOKUP(Substitution!$M$17 &amp; $A15, US_national_yearly!$D:$AM, MATCH(Keys!$C$7, US_national_yearly!$D$1:$AM$1, 0), FALSE), 1)</f>
        <v>2.1285238974748606E-2</v>
      </c>
    </row>
    <row r="16" spans="1:28" x14ac:dyDescent="0.25">
      <c r="A16" s="4" t="s">
        <v>319</v>
      </c>
      <c r="B16" s="12">
        <f>IFERROR(VLOOKUP(Substitution!$M$17 &amp; $A16, US_national_yearly!$D:$AM, MATCH(Keys!$C$7, US_national_yearly!$D$1:$AM$1, 0), FALSE), 0)</f>
        <v>9.3065679572927043E-4</v>
      </c>
      <c r="C16" s="12">
        <f>$B16 * IFERROR(VLOOKUP(Substitution!$M$17 &amp; $A16, US_national_yearly!$D:$AM, MATCH(C$1, US_national_yearly!$D$1:$AM$1, 0), FALSE) / VLOOKUP(Substitution!$M$17 &amp; $A16, US_national_yearly!$D:$AM, MATCH(Keys!$C$7, US_national_yearly!$D$1:$AM$1, 0), FALSE), 1)</f>
        <v>9.4882561704158778E-4</v>
      </c>
      <c r="D16" s="12">
        <f>$B16 * IFERROR(VLOOKUP(Substitution!$M$17 &amp; $A16, US_national_yearly!$D:$AM, MATCH(D$1, US_national_yearly!$D$1:$AM$1, 0), FALSE) / VLOOKUP(Substitution!$M$17 &amp; $A16, US_national_yearly!$D:$AM, MATCH(Keys!$C$7, US_national_yearly!$D$1:$AM$1, 0), FALSE), 1)</f>
        <v>9.6699443835390536E-4</v>
      </c>
      <c r="E16" s="12">
        <f>$B16 * IFERROR(VLOOKUP(Substitution!$M$17 &amp; $A16, US_national_yearly!$D:$AM, MATCH(E$1, US_national_yearly!$D$1:$AM$1, 0), FALSE) / VLOOKUP(Substitution!$M$17 &amp; $A16, US_national_yearly!$D:$AM, MATCH(Keys!$C$7, US_national_yearly!$D$1:$AM$1, 0), FALSE), 1)</f>
        <v>9.8516325966622261E-4</v>
      </c>
      <c r="F16" s="12">
        <f>$B16 * IFERROR(VLOOKUP(Substitution!$M$17 &amp; $A16, US_national_yearly!$D:$AM, MATCH(F$1, US_national_yearly!$D$1:$AM$1, 0), FALSE) / VLOOKUP(Substitution!$M$17 &amp; $A16, US_national_yearly!$D:$AM, MATCH(Keys!$C$7, US_national_yearly!$D$1:$AM$1, 0), FALSE), 1)</f>
        <v>1.0033320809785401E-3</v>
      </c>
      <c r="G16" s="12">
        <f>$B16 * IFERROR(VLOOKUP(Substitution!$M$17 &amp; $A16, US_national_yearly!$D:$AM, MATCH(G$1, US_national_yearly!$D$1:$AM$1, 0), FALSE) / VLOOKUP(Substitution!$M$17 &amp; $A16, US_national_yearly!$D:$AM, MATCH(Keys!$C$7, US_national_yearly!$D$1:$AM$1, 0), FALSE), 1)</f>
        <v>1.0225648401444251E-3</v>
      </c>
      <c r="H16" s="12">
        <f>$B16 * IFERROR(VLOOKUP(Substitution!$M$17 &amp; $A16, US_national_yearly!$D:$AM, MATCH(H$1, US_national_yearly!$D$1:$AM$1, 0), FALSE) / VLOOKUP(Substitution!$M$17 &amp; $A16, US_national_yearly!$D:$AM, MATCH(Keys!$C$7, US_national_yearly!$D$1:$AM$1, 0), FALSE), 1)</f>
        <v>1.0417975993103101E-3</v>
      </c>
      <c r="I16" s="12">
        <f>$B16 * IFERROR(VLOOKUP(Substitution!$M$17 &amp; $A16, US_national_yearly!$D:$AM, MATCH(I$1, US_national_yearly!$D$1:$AM$1, 0), FALSE) / VLOOKUP(Substitution!$M$17 &amp; $A16, US_national_yearly!$D:$AM, MATCH(Keys!$C$7, US_national_yearly!$D$1:$AM$1, 0), FALSE), 1)</f>
        <v>1.0623962113544721E-3</v>
      </c>
      <c r="J16" s="12">
        <f>$B16 * IFERROR(VLOOKUP(Substitution!$M$17 &amp; $A16, US_national_yearly!$D:$AM, MATCH(J$1, US_national_yearly!$D$1:$AM$1, 0), FALSE) / VLOOKUP(Substitution!$M$17 &amp; $A16, US_national_yearly!$D:$AM, MATCH(Keys!$C$7, US_national_yearly!$D$1:$AM$1, 0), FALSE), 1)</f>
        <v>1.0829948233986341E-3</v>
      </c>
      <c r="K16" s="12">
        <f>$B16 * IFERROR(VLOOKUP(Substitution!$M$17 &amp; $A16, US_national_yearly!$D:$AM, MATCH(K$1, US_national_yearly!$D$1:$AM$1, 0), FALSE) / VLOOKUP(Substitution!$M$17 &amp; $A16, US_national_yearly!$D:$AM, MATCH(Keys!$C$7, US_national_yearly!$D$1:$AM$1, 0), FALSE), 1)</f>
        <v>1.1035934354427959E-3</v>
      </c>
      <c r="L16" s="12">
        <f>$B16 * IFERROR(VLOOKUP(Substitution!$M$17 &amp; $A16, US_national_yearly!$D:$AM, MATCH(L$1, US_national_yearly!$D$1:$AM$1, 0), FALSE) / VLOOKUP(Substitution!$M$17 &amp; $A16, US_national_yearly!$D:$AM, MATCH(Keys!$C$7, US_national_yearly!$D$1:$AM$1, 0), FALSE), 1)</f>
        <v>1.1241920474869579E-3</v>
      </c>
      <c r="M16" s="12">
        <f>$B16 * IFERROR(VLOOKUP(Substitution!$M$17 &amp; $A16, US_national_yearly!$D:$AM, MATCH(M$1, US_national_yearly!$D$1:$AM$1, 0), FALSE) / VLOOKUP(Substitution!$M$17 &amp; $A16, US_national_yearly!$D:$AM, MATCH(Keys!$C$7, US_national_yearly!$D$1:$AM$1, 0), FALSE), 1)</f>
        <v>1.14479065953112E-3</v>
      </c>
      <c r="N16" s="12">
        <f>$B16 * IFERROR(VLOOKUP(Substitution!$M$17 &amp; $A16, US_national_yearly!$D:$AM, MATCH(N$1, US_national_yearly!$D$1:$AM$1, 0), FALSE) / VLOOKUP(Substitution!$M$17 &amp; $A16, US_national_yearly!$D:$AM, MATCH(Keys!$C$7, US_national_yearly!$D$1:$AM$1, 0), FALSE), 1)</f>
        <v>1.162195877670528E-3</v>
      </c>
      <c r="O16" s="12">
        <f>$B16 * IFERROR(VLOOKUP(Substitution!$M$17 &amp; $A16, US_national_yearly!$D:$AM, MATCH(O$1, US_national_yearly!$D$1:$AM$1, 0), FALSE) / VLOOKUP(Substitution!$M$17 &amp; $A16, US_national_yearly!$D:$AM, MATCH(Keys!$C$7, US_national_yearly!$D$1:$AM$1, 0), FALSE), 1)</f>
        <v>1.1796010958099359E-3</v>
      </c>
      <c r="P16" s="12">
        <f>$B16 * IFERROR(VLOOKUP(Substitution!$M$17 &amp; $A16, US_national_yearly!$D:$AM, MATCH(P$1, US_national_yearly!$D$1:$AM$1, 0), FALSE) / VLOOKUP(Substitution!$M$17 &amp; $A16, US_national_yearly!$D:$AM, MATCH(Keys!$C$7, US_national_yearly!$D$1:$AM$1, 0), FALSE), 1)</f>
        <v>1.197006313949344E-3</v>
      </c>
      <c r="Q16" s="12">
        <f>$B16 * IFERROR(VLOOKUP(Substitution!$M$17 &amp; $A16, US_national_yearly!$D:$AM, MATCH(Q$1, US_national_yearly!$D$1:$AM$1, 0), FALSE) / VLOOKUP(Substitution!$M$17 &amp; $A16, US_national_yearly!$D:$AM, MATCH(Keys!$C$7, US_national_yearly!$D$1:$AM$1, 0), FALSE), 1)</f>
        <v>1.2144115320887521E-3</v>
      </c>
      <c r="R16" s="12">
        <f>$B16 * IFERROR(VLOOKUP(Substitution!$M$17 &amp; $A16, US_national_yearly!$D:$AM, MATCH(R$1, US_national_yearly!$D$1:$AM$1, 0), FALSE) / VLOOKUP(Substitution!$M$17 &amp; $A16, US_national_yearly!$D:$AM, MATCH(Keys!$C$7, US_national_yearly!$D$1:$AM$1, 0), FALSE), 1)</f>
        <v>1.2318167502281599E-3</v>
      </c>
      <c r="S16" s="12">
        <f>$B16 * IFERROR(VLOOKUP(Substitution!$M$17 &amp; $A16, US_national_yearly!$D:$AM, MATCH(S$1, US_national_yearly!$D$1:$AM$1, 0), FALSE) / VLOOKUP(Substitution!$M$17 &amp; $A16, US_national_yearly!$D:$AM, MATCH(Keys!$C$7, US_national_yearly!$D$1:$AM$1, 0), FALSE), 1)</f>
        <v>1.2406282215345339E-3</v>
      </c>
      <c r="T16" s="12">
        <f>$B16 * IFERROR(VLOOKUP(Substitution!$M$17 &amp; $A16, US_national_yearly!$D:$AM, MATCH(T$1, US_national_yearly!$D$1:$AM$1, 0), FALSE) / VLOOKUP(Substitution!$M$17 &amp; $A16, US_national_yearly!$D:$AM, MATCH(Keys!$C$7, US_national_yearly!$D$1:$AM$1, 0), FALSE), 1)</f>
        <v>1.2494396928409081E-3</v>
      </c>
      <c r="U16" s="12">
        <f>$B16 * IFERROR(VLOOKUP(Substitution!$M$17 &amp; $A16, US_national_yearly!$D:$AM, MATCH(U$1, US_national_yearly!$D$1:$AM$1, 0), FALSE) / VLOOKUP(Substitution!$M$17 &amp; $A16, US_national_yearly!$D:$AM, MATCH(Keys!$C$7, US_national_yearly!$D$1:$AM$1, 0), FALSE), 1)</f>
        <v>1.2582511641472821E-3</v>
      </c>
      <c r="V16" s="12">
        <f>$B16 * IFERROR(VLOOKUP(Substitution!$M$17 &amp; $A16, US_national_yearly!$D:$AM, MATCH(V$1, US_national_yearly!$D$1:$AM$1, 0), FALSE) / VLOOKUP(Substitution!$M$17 &amp; $A16, US_national_yearly!$D:$AM, MATCH(Keys!$C$7, US_national_yearly!$D$1:$AM$1, 0), FALSE), 1)</f>
        <v>1.2670626354536561E-3</v>
      </c>
      <c r="W16" s="12">
        <f>$B16 * IFERROR(VLOOKUP(Substitution!$M$17 &amp; $A16, US_national_yearly!$D:$AM, MATCH(W$1, US_national_yearly!$D$1:$AM$1, 0), FALSE) / VLOOKUP(Substitution!$M$17 &amp; $A16, US_national_yearly!$D:$AM, MATCH(Keys!$C$7, US_national_yearly!$D$1:$AM$1, 0), FALSE), 1)</f>
        <v>1.27587410676003E-3</v>
      </c>
      <c r="X16" s="12">
        <f>$B16 * IFERROR(VLOOKUP(Substitution!$M$17 &amp; $A16, US_national_yearly!$D:$AM, MATCH(X$1, US_national_yearly!$D$1:$AM$1, 0), FALSE) / VLOOKUP(Substitution!$M$17 &amp; $A16, US_national_yearly!$D:$AM, MATCH(Keys!$C$7, US_national_yearly!$D$1:$AM$1, 0), FALSE), 1)</f>
        <v>1.280131977896078E-3</v>
      </c>
      <c r="Y16" s="12">
        <f>$B16 * IFERROR(VLOOKUP(Substitution!$M$17 &amp; $A16, US_national_yearly!$D:$AM, MATCH(Y$1, US_national_yearly!$D$1:$AM$1, 0), FALSE) / VLOOKUP(Substitution!$M$17 &amp; $A16, US_national_yearly!$D:$AM, MATCH(Keys!$C$7, US_national_yearly!$D$1:$AM$1, 0), FALSE), 1)</f>
        <v>1.284389849032126E-3</v>
      </c>
      <c r="Z16" s="12">
        <f>$B16 * IFERROR(VLOOKUP(Substitution!$M$17 &amp; $A16, US_national_yearly!$D:$AM, MATCH(Z$1, US_national_yearly!$D$1:$AM$1, 0), FALSE) / VLOOKUP(Substitution!$M$17 &amp; $A16, US_national_yearly!$D:$AM, MATCH(Keys!$C$7, US_national_yearly!$D$1:$AM$1, 0), FALSE), 1)</f>
        <v>1.288647720168174E-3</v>
      </c>
      <c r="AA16" s="12">
        <f>$B16 * IFERROR(VLOOKUP(Substitution!$M$17 &amp; $A16, US_national_yearly!$D:$AM, MATCH(AA$1, US_national_yearly!$D$1:$AM$1, 0), FALSE) / VLOOKUP(Substitution!$M$17 &amp; $A16, US_national_yearly!$D:$AM, MATCH(Keys!$C$7, US_national_yearly!$D$1:$AM$1, 0), FALSE), 1)</f>
        <v>1.292905591304222E-3</v>
      </c>
      <c r="AB16" s="12">
        <f>$B16 * IFERROR(VLOOKUP(Substitution!$M$17 &amp; $A16, US_national_yearly!$D:$AM, MATCH(AB$1, US_national_yearly!$D$1:$AM$1, 0), FALSE) / VLOOKUP(Substitution!$M$17 &amp; $A16, US_national_yearly!$D:$AM, MATCH(Keys!$C$7, US_national_yearly!$D$1:$AM$1, 0), FALSE), 1)</f>
        <v>1.2971634624402699E-3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Substitution!$G$17)/IFERROR(SUMIFS(COBRA_aggregated!$W:$W, COBRA_aggregated!$A:$A, About!$B$1, COBRA_aggregated!$B:$B, Substitution!$G$17), 1)</f>
        <v>4.5004571974115699E-5</v>
      </c>
      <c r="C17" s="12">
        <f>$B17 * IFERROR(VLOOKUP(Substitution!$M$17 &amp; $A17, US_national_yearly!$D:$AM, MATCH(C$1, US_national_yearly!$D$1:$AM$1, 0), FALSE) / VLOOKUP(Substitution!$M$17 &amp; $A17, US_national_yearly!$D:$AM, MATCH(Keys!$C$7, US_national_yearly!$D$1:$AM$1, 0), FALSE), 1)</f>
        <v>4.6349339967148921E-5</v>
      </c>
      <c r="D17" s="12">
        <f>$B17 * IFERROR(VLOOKUP(Substitution!$M$17 &amp; $A17, US_national_yearly!$D:$AM, MATCH(D$1, US_national_yearly!$D$1:$AM$1, 0), FALSE) / VLOOKUP(Substitution!$M$17 &amp; $A17, US_national_yearly!$D:$AM, MATCH(Keys!$C$7, US_national_yearly!$D$1:$AM$1, 0), FALSE), 1)</f>
        <v>4.769410796018215E-5</v>
      </c>
      <c r="E17" s="12">
        <f>$B17 * IFERROR(VLOOKUP(Substitution!$M$17 &amp; $A17, US_national_yearly!$D:$AM, MATCH(E$1, US_national_yearly!$D$1:$AM$1, 0), FALSE) / VLOOKUP(Substitution!$M$17 &amp; $A17, US_national_yearly!$D:$AM, MATCH(Keys!$C$7, US_national_yearly!$D$1:$AM$1, 0), FALSE), 1)</f>
        <v>4.9038875953215379E-5</v>
      </c>
      <c r="F17" s="12">
        <f>$B17 * IFERROR(VLOOKUP(Substitution!$M$17 &amp; $A17, US_national_yearly!$D:$AM, MATCH(F$1, US_national_yearly!$D$1:$AM$1, 0), FALSE) / VLOOKUP(Substitution!$M$17 &amp; $A17, US_national_yearly!$D:$AM, MATCH(Keys!$C$7, US_national_yearly!$D$1:$AM$1, 0), FALSE), 1)</f>
        <v>5.0383643946248607E-5</v>
      </c>
      <c r="G17" s="12">
        <f>$B17 * IFERROR(VLOOKUP(Substitution!$M$17 &amp; $A17, US_national_yearly!$D:$AM, MATCH(G$1, US_national_yearly!$D$1:$AM$1, 0), FALSE) / VLOOKUP(Substitution!$M$17 &amp; $A17, US_national_yearly!$D:$AM, MATCH(Keys!$C$7, US_national_yearly!$D$1:$AM$1, 0), FALSE), 1)</f>
        <v>5.1671691472037642E-5</v>
      </c>
      <c r="H17" s="12">
        <f>$B17 * IFERROR(VLOOKUP(Substitution!$M$17 &amp; $A17, US_national_yearly!$D:$AM, MATCH(H$1, US_national_yearly!$D$1:$AM$1, 0), FALSE) / VLOOKUP(Substitution!$M$17 &amp; $A17, US_national_yearly!$D:$AM, MATCH(Keys!$C$7, US_national_yearly!$D$1:$AM$1, 0), FALSE), 1)</f>
        <v>5.2959738997826704E-5</v>
      </c>
      <c r="I17" s="12">
        <f>$B17 * IFERROR(VLOOKUP(Substitution!$M$17 &amp; $A17, US_national_yearly!$D:$AM, MATCH(I$1, US_national_yearly!$D$1:$AM$1, 0), FALSE) / VLOOKUP(Substitution!$M$17 &amp; $A17, US_national_yearly!$D:$AM, MATCH(Keys!$C$7, US_national_yearly!$D$1:$AM$1, 0), FALSE), 1)</f>
        <v>5.4061347958525481E-5</v>
      </c>
      <c r="J17" s="12">
        <f>$B17 * IFERROR(VLOOKUP(Substitution!$M$17 &amp; $A17, US_national_yearly!$D:$AM, MATCH(J$1, US_national_yearly!$D$1:$AM$1, 0), FALSE) / VLOOKUP(Substitution!$M$17 &amp; $A17, US_national_yearly!$D:$AM, MATCH(Keys!$C$7, US_national_yearly!$D$1:$AM$1, 0), FALSE), 1)</f>
        <v>5.5162956919224244E-5</v>
      </c>
      <c r="K17" s="12">
        <f>$B17 * IFERROR(VLOOKUP(Substitution!$M$17 &amp; $A17, US_national_yearly!$D:$AM, MATCH(K$1, US_national_yearly!$D$1:$AM$1, 0), FALSE) / VLOOKUP(Substitution!$M$17 &amp; $A17, US_national_yearly!$D:$AM, MATCH(Keys!$C$7, US_national_yearly!$D$1:$AM$1, 0), FALSE), 1)</f>
        <v>5.6264565879923007E-5</v>
      </c>
      <c r="L17" s="12">
        <f>$B17 * IFERROR(VLOOKUP(Substitution!$M$17 &amp; $A17, US_national_yearly!$D:$AM, MATCH(L$1, US_national_yearly!$D$1:$AM$1, 0), FALSE) / VLOOKUP(Substitution!$M$17 &amp; $A17, US_national_yearly!$D:$AM, MATCH(Keys!$C$7, US_national_yearly!$D$1:$AM$1, 0), FALSE), 1)</f>
        <v>5.7366174840621791E-5</v>
      </c>
      <c r="M17" s="12">
        <f>$B17 * IFERROR(VLOOKUP(Substitution!$M$17 &amp; $A17, US_national_yearly!$D:$AM, MATCH(M$1, US_national_yearly!$D$1:$AM$1, 0), FALSE) / VLOOKUP(Substitution!$M$17 &amp; $A17, US_national_yearly!$D:$AM, MATCH(Keys!$C$7, US_national_yearly!$D$1:$AM$1, 0), FALSE), 1)</f>
        <v>5.8467783801320561E-5</v>
      </c>
      <c r="N17" s="12">
        <f>$B17 * IFERROR(VLOOKUP(Substitution!$M$17 &amp; $A17, US_national_yearly!$D:$AM, MATCH(N$1, US_national_yearly!$D$1:$AM$1, 0), FALSE) / VLOOKUP(Substitution!$M$17 &amp; $A17, US_national_yearly!$D:$AM, MATCH(Keys!$C$7, US_national_yearly!$D$1:$AM$1, 0), FALSE), 1)</f>
        <v>5.9202251646619585E-5</v>
      </c>
      <c r="O17" s="12">
        <f>$B17 * IFERROR(VLOOKUP(Substitution!$M$17 &amp; $A17, US_national_yearly!$D:$AM, MATCH(O$1, US_national_yearly!$D$1:$AM$1, 0), FALSE) / VLOOKUP(Substitution!$M$17 &amp; $A17, US_national_yearly!$D:$AM, MATCH(Keys!$C$7, US_national_yearly!$D$1:$AM$1, 0), FALSE), 1)</f>
        <v>5.9936719491918623E-5</v>
      </c>
      <c r="P17" s="12">
        <f>$B17 * IFERROR(VLOOKUP(Substitution!$M$17 &amp; $A17, US_national_yearly!$D:$AM, MATCH(P$1, US_national_yearly!$D$1:$AM$1, 0), FALSE) / VLOOKUP(Substitution!$M$17 &amp; $A17, US_national_yearly!$D:$AM, MATCH(Keys!$C$7, US_national_yearly!$D$1:$AM$1, 0), FALSE), 1)</f>
        <v>6.0671187337217654E-5</v>
      </c>
      <c r="Q17" s="12">
        <f>$B17 * IFERROR(VLOOKUP(Substitution!$M$17 &amp; $A17, US_national_yearly!$D:$AM, MATCH(Q$1, US_national_yearly!$D$1:$AM$1, 0), FALSE) / VLOOKUP(Substitution!$M$17 &amp; $A17, US_national_yearly!$D:$AM, MATCH(Keys!$C$7, US_national_yearly!$D$1:$AM$1, 0), FALSE), 1)</f>
        <v>6.1405655182516692E-5</v>
      </c>
      <c r="R17" s="12">
        <f>$B17 * IFERROR(VLOOKUP(Substitution!$M$17 &amp; $A17, US_national_yearly!$D:$AM, MATCH(R$1, US_national_yearly!$D$1:$AM$1, 0), FALSE) / VLOOKUP(Substitution!$M$17 &amp; $A17, US_national_yearly!$D:$AM, MATCH(Keys!$C$7, US_national_yearly!$D$1:$AM$1, 0), FALSE), 1)</f>
        <v>6.2140123027815716E-5</v>
      </c>
      <c r="S17" s="12">
        <f>$B17 * IFERROR(VLOOKUP(Substitution!$M$17 &amp; $A17, US_national_yearly!$D:$AM, MATCH(S$1, US_national_yearly!$D$1:$AM$1, 0), FALSE) / VLOOKUP(Substitution!$M$17 &amp; $A17, US_national_yearly!$D:$AM, MATCH(Keys!$C$7, US_national_yearly!$D$1:$AM$1, 0), FALSE), 1)</f>
        <v>6.2528725088681908E-5</v>
      </c>
      <c r="T17" s="12">
        <f>$B17 * IFERROR(VLOOKUP(Substitution!$M$17 &amp; $A17, US_national_yearly!$D:$AM, MATCH(T$1, US_national_yearly!$D$1:$AM$1, 0), FALSE) / VLOOKUP(Substitution!$M$17 &amp; $A17, US_national_yearly!$D:$AM, MATCH(Keys!$C$7, US_national_yearly!$D$1:$AM$1, 0), FALSE), 1)</f>
        <v>6.2917327149548087E-5</v>
      </c>
      <c r="U17" s="12">
        <f>$B17 * IFERROR(VLOOKUP(Substitution!$M$17 &amp; $A17, US_national_yearly!$D:$AM, MATCH(U$1, US_national_yearly!$D$1:$AM$1, 0), FALSE) / VLOOKUP(Substitution!$M$17 &amp; $A17, US_national_yearly!$D:$AM, MATCH(Keys!$C$7, US_national_yearly!$D$1:$AM$1, 0), FALSE), 1)</f>
        <v>6.3305929210414252E-5</v>
      </c>
      <c r="V17" s="12">
        <f>$B17 * IFERROR(VLOOKUP(Substitution!$M$17 &amp; $A17, US_national_yearly!$D:$AM, MATCH(V$1, US_national_yearly!$D$1:$AM$1, 0), FALSE) / VLOOKUP(Substitution!$M$17 &amp; $A17, US_national_yearly!$D:$AM, MATCH(Keys!$C$7, US_national_yearly!$D$1:$AM$1, 0), FALSE), 1)</f>
        <v>6.3694531271280431E-5</v>
      </c>
      <c r="W17" s="12">
        <f>$B17 * IFERROR(VLOOKUP(Substitution!$M$17 &amp; $A17, US_national_yearly!$D:$AM, MATCH(W$1, US_national_yearly!$D$1:$AM$1, 0), FALSE) / VLOOKUP(Substitution!$M$17 &amp; $A17, US_national_yearly!$D:$AM, MATCH(Keys!$C$7, US_national_yearly!$D$1:$AM$1, 0), FALSE), 1)</f>
        <v>6.408313333214661E-5</v>
      </c>
      <c r="X17" s="12">
        <f>$B17 * IFERROR(VLOOKUP(Substitution!$M$17 &amp; $A17, US_national_yearly!$D:$AM, MATCH(X$1, US_national_yearly!$D$1:$AM$1, 0), FALSE) / VLOOKUP(Substitution!$M$17 &amp; $A17, US_national_yearly!$D:$AM, MATCH(Keys!$C$7, US_national_yearly!$D$1:$AM$1, 0), FALSE), 1)</f>
        <v>6.4344745351181619E-5</v>
      </c>
      <c r="Y17" s="12">
        <f>$B17 * IFERROR(VLOOKUP(Substitution!$M$17 &amp; $A17, US_national_yearly!$D:$AM, MATCH(Y$1, US_national_yearly!$D$1:$AM$1, 0), FALSE) / VLOOKUP(Substitution!$M$17 &amp; $A17, US_national_yearly!$D:$AM, MATCH(Keys!$C$7, US_national_yearly!$D$1:$AM$1, 0), FALSE), 1)</f>
        <v>6.4606357370216615E-5</v>
      </c>
      <c r="Z17" s="12">
        <f>$B17 * IFERROR(VLOOKUP(Substitution!$M$17 &amp; $A17, US_national_yearly!$D:$AM, MATCH(Z$1, US_national_yearly!$D$1:$AM$1, 0), FALSE) / VLOOKUP(Substitution!$M$17 &amp; $A17, US_national_yearly!$D:$AM, MATCH(Keys!$C$7, US_national_yearly!$D$1:$AM$1, 0), FALSE), 1)</f>
        <v>6.4867969389251624E-5</v>
      </c>
      <c r="AA17" s="12">
        <f>$B17 * IFERROR(VLOOKUP(Substitution!$M$17 &amp; $A17, US_national_yearly!$D:$AM, MATCH(AA$1, US_national_yearly!$D$1:$AM$1, 0), FALSE) / VLOOKUP(Substitution!$M$17 &amp; $A17, US_national_yearly!$D:$AM, MATCH(Keys!$C$7, US_national_yearly!$D$1:$AM$1, 0), FALSE), 1)</f>
        <v>6.5129581408286634E-5</v>
      </c>
      <c r="AB17" s="12">
        <f>$B17 * IFERROR(VLOOKUP(Substitution!$M$17 &amp; $A17, US_national_yearly!$D:$AM, MATCH(AB$1, US_national_yearly!$D$1:$AM$1, 0), FALSE) / VLOOKUP(Substitution!$M$17 &amp; $A17, US_national_yearly!$D:$AM, MATCH(Keys!$C$7, US_national_yearly!$D$1:$AM$1, 0), FALSE), 1)</f>
        <v>6.5391193427321643E-5</v>
      </c>
    </row>
    <row r="18" spans="1:28" x14ac:dyDescent="0.25">
      <c r="A18" s="4" t="s">
        <v>323</v>
      </c>
      <c r="B18" s="12">
        <f>IFERROR(VLOOKUP(Substitution!$M$17 &amp; $A18, US_national_yearly!$D:$AM, MATCH(Keys!$C$7, US_national_yearly!$D$1:$AM$1, 0), FALSE), 0)</f>
        <v>6.6419692478198056E-3</v>
      </c>
      <c r="C18" s="12">
        <f>$B18 * IFERROR(VLOOKUP(Substitution!$M$17 &amp; $A18, US_national_yearly!$D:$AM, MATCH(C$1, US_national_yearly!$D$1:$AM$1, 0), FALSE) / VLOOKUP(Substitution!$M$17 &amp; $A18, US_national_yearly!$D:$AM, MATCH(Keys!$C$7, US_national_yearly!$D$1:$AM$1, 0), FALSE), 1)</f>
        <v>6.8582480009472214E-3</v>
      </c>
      <c r="D18" s="12">
        <f>$B18 * IFERROR(VLOOKUP(Substitution!$M$17 &amp; $A18, US_national_yearly!$D:$AM, MATCH(D$1, US_national_yearly!$D$1:$AM$1, 0), FALSE) / VLOOKUP(Substitution!$M$17 &amp; $A18, US_national_yearly!$D:$AM, MATCH(Keys!$C$7, US_national_yearly!$D$1:$AM$1, 0), FALSE), 1)</f>
        <v>7.0745267540746381E-3</v>
      </c>
      <c r="E18" s="12">
        <f>$B18 * IFERROR(VLOOKUP(Substitution!$M$17 &amp; $A18, US_national_yearly!$D:$AM, MATCH(E$1, US_national_yearly!$D$1:$AM$1, 0), FALSE) / VLOOKUP(Substitution!$M$17 &amp; $A18, US_national_yearly!$D:$AM, MATCH(Keys!$C$7, US_national_yearly!$D$1:$AM$1, 0), FALSE), 1)</f>
        <v>7.2908055072020538E-3</v>
      </c>
      <c r="F18" s="12">
        <f>$B18 * IFERROR(VLOOKUP(Substitution!$M$17 &amp; $A18, US_national_yearly!$D:$AM, MATCH(F$1, US_national_yearly!$D$1:$AM$1, 0), FALSE) / VLOOKUP(Substitution!$M$17 &amp; $A18, US_national_yearly!$D:$AM, MATCH(Keys!$C$7, US_national_yearly!$D$1:$AM$1, 0), FALSE), 1)</f>
        <v>7.5070842603294696E-3</v>
      </c>
      <c r="G18" s="12">
        <f>$B18 * IFERROR(VLOOKUP(Substitution!$M$17 &amp; $A18, US_national_yearly!$D:$AM, MATCH(G$1, US_national_yearly!$D$1:$AM$1, 0), FALSE) / VLOOKUP(Substitution!$M$17 &amp; $A18, US_national_yearly!$D:$AM, MATCH(Keys!$C$7, US_national_yearly!$D$1:$AM$1, 0), FALSE), 1)</f>
        <v>7.73657014099546E-3</v>
      </c>
      <c r="H18" s="12">
        <f>$B18 * IFERROR(VLOOKUP(Substitution!$M$17 &amp; $A18, US_national_yearly!$D:$AM, MATCH(H$1, US_national_yearly!$D$1:$AM$1, 0), FALSE) / VLOOKUP(Substitution!$M$17 &amp; $A18, US_national_yearly!$D:$AM, MATCH(Keys!$C$7, US_national_yearly!$D$1:$AM$1, 0), FALSE), 1)</f>
        <v>7.9660560216614495E-3</v>
      </c>
      <c r="I18" s="12">
        <f>$B18 * IFERROR(VLOOKUP(Substitution!$M$17 &amp; $A18, US_national_yearly!$D:$AM, MATCH(I$1, US_national_yearly!$D$1:$AM$1, 0), FALSE) / VLOOKUP(Substitution!$M$17 &amp; $A18, US_national_yearly!$D:$AM, MATCH(Keys!$C$7, US_national_yearly!$D$1:$AM$1, 0), FALSE), 1)</f>
        <v>8.1952741724031324E-3</v>
      </c>
      <c r="J18" s="12">
        <f>$B18 * IFERROR(VLOOKUP(Substitution!$M$17 &amp; $A18, US_national_yearly!$D:$AM, MATCH(J$1, US_national_yearly!$D$1:$AM$1, 0), FALSE) / VLOOKUP(Substitution!$M$17 &amp; $A18, US_national_yearly!$D:$AM, MATCH(Keys!$C$7, US_national_yearly!$D$1:$AM$1, 0), FALSE), 1)</f>
        <v>8.4244923231448134E-3</v>
      </c>
      <c r="K18" s="12">
        <f>$B18 * IFERROR(VLOOKUP(Substitution!$M$17 &amp; $A18, US_national_yearly!$D:$AM, MATCH(K$1, US_national_yearly!$D$1:$AM$1, 0), FALSE) / VLOOKUP(Substitution!$M$17 &amp; $A18, US_national_yearly!$D:$AM, MATCH(Keys!$C$7, US_national_yearly!$D$1:$AM$1, 0), FALSE), 1)</f>
        <v>8.6537104738864962E-3</v>
      </c>
      <c r="L18" s="12">
        <f>$B18 * IFERROR(VLOOKUP(Substitution!$M$17 &amp; $A18, US_national_yearly!$D:$AM, MATCH(L$1, US_national_yearly!$D$1:$AM$1, 0), FALSE) / VLOOKUP(Substitution!$M$17 &amp; $A18, US_national_yearly!$D:$AM, MATCH(Keys!$C$7, US_national_yearly!$D$1:$AM$1, 0), FALSE), 1)</f>
        <v>8.8829286246281773E-3</v>
      </c>
      <c r="M18" s="12">
        <f>$B18 * IFERROR(VLOOKUP(Substitution!$M$17 &amp; $A18, US_national_yearly!$D:$AM, MATCH(M$1, US_national_yearly!$D$1:$AM$1, 0), FALSE) / VLOOKUP(Substitution!$M$17 &amp; $A18, US_national_yearly!$D:$AM, MATCH(Keys!$C$7, US_national_yearly!$D$1:$AM$1, 0), FALSE), 1)</f>
        <v>9.1121467753698601E-3</v>
      </c>
      <c r="N18" s="12">
        <f>$B18 * IFERROR(VLOOKUP(Substitution!$M$17 &amp; $A18, US_national_yearly!$D:$AM, MATCH(N$1, US_national_yearly!$D$1:$AM$1, 0), FALSE) / VLOOKUP(Substitution!$M$17 &amp; $A18, US_national_yearly!$D:$AM, MATCH(Keys!$C$7, US_national_yearly!$D$1:$AM$1, 0), FALSE), 1)</f>
        <v>9.2771553111392416E-3</v>
      </c>
      <c r="O18" s="12">
        <f>$B18 * IFERROR(VLOOKUP(Substitution!$M$17 &amp; $A18, US_national_yearly!$D:$AM, MATCH(O$1, US_national_yearly!$D$1:$AM$1, 0), FALSE) / VLOOKUP(Substitution!$M$17 &amp; $A18, US_national_yearly!$D:$AM, MATCH(Keys!$C$7, US_national_yearly!$D$1:$AM$1, 0), FALSE), 1)</f>
        <v>9.442163846908623E-3</v>
      </c>
      <c r="P18" s="12">
        <f>$B18 * IFERROR(VLOOKUP(Substitution!$M$17 &amp; $A18, US_national_yearly!$D:$AM, MATCH(P$1, US_national_yearly!$D$1:$AM$1, 0), FALSE) / VLOOKUP(Substitution!$M$17 &amp; $A18, US_national_yearly!$D:$AM, MATCH(Keys!$C$7, US_national_yearly!$D$1:$AM$1, 0), FALSE), 1)</f>
        <v>9.6071723826780062E-3</v>
      </c>
      <c r="Q18" s="12">
        <f>$B18 * IFERROR(VLOOKUP(Substitution!$M$17 &amp; $A18, US_national_yearly!$D:$AM, MATCH(Q$1, US_national_yearly!$D$1:$AM$1, 0), FALSE) / VLOOKUP(Substitution!$M$17 &amp; $A18, US_national_yearly!$D:$AM, MATCH(Keys!$C$7, US_national_yearly!$D$1:$AM$1, 0), FALSE), 1)</f>
        <v>9.7721809184473877E-3</v>
      </c>
      <c r="R18" s="12">
        <f>$B18 * IFERROR(VLOOKUP(Substitution!$M$17 &amp; $A18, US_national_yearly!$D:$AM, MATCH(R$1, US_national_yearly!$D$1:$AM$1, 0), FALSE) / VLOOKUP(Substitution!$M$17 &amp; $A18, US_national_yearly!$D:$AM, MATCH(Keys!$C$7, US_national_yearly!$D$1:$AM$1, 0), FALSE), 1)</f>
        <v>9.9371894542167691E-3</v>
      </c>
      <c r="S18" s="12">
        <f>$B18 * IFERROR(VLOOKUP(Substitution!$M$17 &amp; $A18, US_national_yearly!$D:$AM, MATCH(S$1, US_national_yearly!$D$1:$AM$1, 0), FALSE) / VLOOKUP(Substitution!$M$17 &amp; $A18, US_national_yearly!$D:$AM, MATCH(Keys!$C$7, US_national_yearly!$D$1:$AM$1, 0), FALSE), 1)</f>
        <v>1.0016723602506069E-2</v>
      </c>
      <c r="T18" s="12">
        <f>$B18 * IFERROR(VLOOKUP(Substitution!$M$17 &amp; $A18, US_national_yearly!$D:$AM, MATCH(T$1, US_national_yearly!$D$1:$AM$1, 0), FALSE) / VLOOKUP(Substitution!$M$17 &amp; $A18, US_national_yearly!$D:$AM, MATCH(Keys!$C$7, US_national_yearly!$D$1:$AM$1, 0), FALSE), 1)</f>
        <v>1.009625775079538E-2</v>
      </c>
      <c r="U18" s="12">
        <f>$B18 * IFERROR(VLOOKUP(Substitution!$M$17 &amp; $A18, US_national_yearly!$D:$AM, MATCH(U$1, US_national_yearly!$D$1:$AM$1, 0), FALSE) / VLOOKUP(Substitution!$M$17 &amp; $A18, US_national_yearly!$D:$AM, MATCH(Keys!$C$7, US_national_yearly!$D$1:$AM$1, 0), FALSE), 1)</f>
        <v>1.017579189908469E-2</v>
      </c>
      <c r="V18" s="12">
        <f>$B18 * IFERROR(VLOOKUP(Substitution!$M$17 &amp; $A18, US_national_yearly!$D:$AM, MATCH(V$1, US_national_yearly!$D$1:$AM$1, 0), FALSE) / VLOOKUP(Substitution!$M$17 &amp; $A18, US_national_yearly!$D:$AM, MATCH(Keys!$C$7, US_national_yearly!$D$1:$AM$1, 0), FALSE), 1)</f>
        <v>1.0255326047373991E-2</v>
      </c>
      <c r="W18" s="12">
        <f>$B18 * IFERROR(VLOOKUP(Substitution!$M$17 &amp; $A18, US_national_yearly!$D:$AM, MATCH(W$1, US_national_yearly!$D$1:$AM$1, 0), FALSE) / VLOOKUP(Substitution!$M$17 &amp; $A18, US_national_yearly!$D:$AM, MATCH(Keys!$C$7, US_national_yearly!$D$1:$AM$1, 0), FALSE), 1)</f>
        <v>1.0334860195663299E-2</v>
      </c>
      <c r="X18" s="12">
        <f>$B18 * IFERROR(VLOOKUP(Substitution!$M$17 &amp; $A18, US_national_yearly!$D:$AM, MATCH(X$1, US_national_yearly!$D$1:$AM$1, 0), FALSE) / VLOOKUP(Substitution!$M$17 &amp; $A18, US_national_yearly!$D:$AM, MATCH(Keys!$C$7, US_national_yearly!$D$1:$AM$1, 0), FALSE), 1)</f>
        <v>1.035894783468088E-2</v>
      </c>
      <c r="Y18" s="12">
        <f>$B18 * IFERROR(VLOOKUP(Substitution!$M$17 &amp; $A18, US_national_yearly!$D:$AM, MATCH(Y$1, US_national_yearly!$D$1:$AM$1, 0), FALSE) / VLOOKUP(Substitution!$M$17 &amp; $A18, US_national_yearly!$D:$AM, MATCH(Keys!$C$7, US_national_yearly!$D$1:$AM$1, 0), FALSE), 1)</f>
        <v>1.0383035473698459E-2</v>
      </c>
      <c r="Z18" s="12">
        <f>$B18 * IFERROR(VLOOKUP(Substitution!$M$17 &amp; $A18, US_national_yearly!$D:$AM, MATCH(Z$1, US_national_yearly!$D$1:$AM$1, 0), FALSE) / VLOOKUP(Substitution!$M$17 &amp; $A18, US_national_yearly!$D:$AM, MATCH(Keys!$C$7, US_national_yearly!$D$1:$AM$1, 0), FALSE), 1)</f>
        <v>1.040712311271604E-2</v>
      </c>
      <c r="AA18" s="12">
        <f>$B18 * IFERROR(VLOOKUP(Substitution!$M$17 &amp; $A18, US_national_yearly!$D:$AM, MATCH(AA$1, US_national_yearly!$D$1:$AM$1, 0), FALSE) / VLOOKUP(Substitution!$M$17 &amp; $A18, US_national_yearly!$D:$AM, MATCH(Keys!$C$7, US_national_yearly!$D$1:$AM$1, 0), FALSE), 1)</f>
        <v>1.043121075173362E-2</v>
      </c>
      <c r="AB18" s="12">
        <f>$B18 * IFERROR(VLOOKUP(Substitution!$M$17 &amp; $A18, US_national_yearly!$D:$AM, MATCH(AB$1, US_national_yearly!$D$1:$AM$1, 0), FALSE) / VLOOKUP(Substitution!$M$17 &amp; $A18, US_national_yearly!$D:$AM, MATCH(Keys!$C$7, US_national_yearly!$D$1:$AM$1, 0), FALSE), 1)</f>
        <v>1.0455298390751201E-2</v>
      </c>
    </row>
    <row r="19" spans="1:28" x14ac:dyDescent="0.25">
      <c r="A19" s="4" t="s">
        <v>325</v>
      </c>
      <c r="B19" s="12">
        <f>IFERROR(VLOOKUP(Substitution!$M$17 &amp; $A19, US_national_yearly!$D:$AM, MATCH(Keys!$C$7, US_national_yearly!$D$1:$AM$1, 0), FALSE), 0)</f>
        <v>8.6806982603955562E-4</v>
      </c>
      <c r="C19" s="12">
        <f>$B19 * IFERROR(VLOOKUP(Substitution!$M$17 &amp; $A19, US_national_yearly!$D:$AM, MATCH(C$1, US_national_yearly!$D$1:$AM$1, 0), FALSE) / VLOOKUP(Substitution!$M$17 &amp; $A19, US_national_yearly!$D:$AM, MATCH(Keys!$C$7, US_national_yearly!$D$1:$AM$1, 0), FALSE), 1)</f>
        <v>8.9066281268201019E-4</v>
      </c>
      <c r="D19" s="12">
        <f>$B19 * IFERROR(VLOOKUP(Substitution!$M$17 &amp; $A19, US_national_yearly!$D:$AM, MATCH(D$1, US_national_yearly!$D$1:$AM$1, 0), FALSE) / VLOOKUP(Substitution!$M$17 &amp; $A19, US_national_yearly!$D:$AM, MATCH(Keys!$C$7, US_national_yearly!$D$1:$AM$1, 0), FALSE), 1)</f>
        <v>9.1325579932446488E-4</v>
      </c>
      <c r="E19" s="12">
        <f>$B19 * IFERROR(VLOOKUP(Substitution!$M$17 &amp; $A19, US_national_yearly!$D:$AM, MATCH(E$1, US_national_yearly!$D$1:$AM$1, 0), FALSE) / VLOOKUP(Substitution!$M$17 &amp; $A19, US_national_yearly!$D:$AM, MATCH(Keys!$C$7, US_national_yearly!$D$1:$AM$1, 0), FALSE), 1)</f>
        <v>9.3584878596691945E-4</v>
      </c>
      <c r="F19" s="12">
        <f>$B19 * IFERROR(VLOOKUP(Substitution!$M$17 &amp; $A19, US_national_yearly!$D:$AM, MATCH(F$1, US_national_yearly!$D$1:$AM$1, 0), FALSE) / VLOOKUP(Substitution!$M$17 &amp; $A19, US_national_yearly!$D:$AM, MATCH(Keys!$C$7, US_national_yearly!$D$1:$AM$1, 0), FALSE), 1)</f>
        <v>9.5844177260937403E-4</v>
      </c>
      <c r="G19" s="12">
        <f>$B19 * IFERROR(VLOOKUP(Substitution!$M$17 &amp; $A19, US_national_yearly!$D:$AM, MATCH(G$1, US_national_yearly!$D$1:$AM$1, 0), FALSE) / VLOOKUP(Substitution!$M$17 &amp; $A19, US_national_yearly!$D:$AM, MATCH(Keys!$C$7, US_national_yearly!$D$1:$AM$1, 0), FALSE), 1)</f>
        <v>9.7736113152593548E-4</v>
      </c>
      <c r="H19" s="12">
        <f>$B19 * IFERROR(VLOOKUP(Substitution!$M$17 &amp; $A19, US_national_yearly!$D:$AM, MATCH(H$1, US_national_yearly!$D$1:$AM$1, 0), FALSE) / VLOOKUP(Substitution!$M$17 &amp; $A19, US_national_yearly!$D:$AM, MATCH(Keys!$C$7, US_national_yearly!$D$1:$AM$1, 0), FALSE), 1)</f>
        <v>9.9628049044249694E-4</v>
      </c>
      <c r="I19" s="12">
        <f>$B19 * IFERROR(VLOOKUP(Substitution!$M$17 &amp; $A19, US_national_yearly!$D:$AM, MATCH(I$1, US_national_yearly!$D$1:$AM$1, 0), FALSE) / VLOOKUP(Substitution!$M$17 &amp; $A19, US_national_yearly!$D:$AM, MATCH(Keys!$C$7, US_national_yearly!$D$1:$AM$1, 0), FALSE), 1)</f>
        <v>1.0086702479511159E-3</v>
      </c>
      <c r="J19" s="12">
        <f>$B19 * IFERROR(VLOOKUP(Substitution!$M$17 &amp; $A19, US_national_yearly!$D:$AM, MATCH(J$1, US_national_yearly!$D$1:$AM$1, 0), FALSE) / VLOOKUP(Substitution!$M$17 &amp; $A19, US_national_yearly!$D:$AM, MATCH(Keys!$C$7, US_national_yearly!$D$1:$AM$1, 0), FALSE), 1)</f>
        <v>1.0210600054597341E-3</v>
      </c>
      <c r="K19" s="12">
        <f>$B19 * IFERROR(VLOOKUP(Substitution!$M$17 &amp; $A19, US_national_yearly!$D:$AM, MATCH(K$1, US_national_yearly!$D$1:$AM$1, 0), FALSE) / VLOOKUP(Substitution!$M$17 &amp; $A19, US_national_yearly!$D:$AM, MATCH(Keys!$C$7, US_national_yearly!$D$1:$AM$1, 0), FALSE), 1)</f>
        <v>1.0334497629683531E-3</v>
      </c>
      <c r="L19" s="12">
        <f>$B19 * IFERROR(VLOOKUP(Substitution!$M$17 &amp; $A19, US_national_yearly!$D:$AM, MATCH(L$1, US_national_yearly!$D$1:$AM$1, 0), FALSE) / VLOOKUP(Substitution!$M$17 &amp; $A19, US_national_yearly!$D:$AM, MATCH(Keys!$C$7, US_national_yearly!$D$1:$AM$1, 0), FALSE), 1)</f>
        <v>1.045839520476971E-3</v>
      </c>
      <c r="M19" s="12">
        <f>$B19 * IFERROR(VLOOKUP(Substitution!$M$17 &amp; $A19, US_national_yearly!$D:$AM, MATCH(M$1, US_national_yearly!$D$1:$AM$1, 0), FALSE) / VLOOKUP(Substitution!$M$17 &amp; $A19, US_national_yearly!$D:$AM, MATCH(Keys!$C$7, US_national_yearly!$D$1:$AM$1, 0), FALSE), 1)</f>
        <v>1.05822927798559E-3</v>
      </c>
      <c r="N19" s="12">
        <f>$B19 * IFERROR(VLOOKUP(Substitution!$M$17 &amp; $A19, US_national_yearly!$D:$AM, MATCH(N$1, US_national_yearly!$D$1:$AM$1, 0), FALSE) / VLOOKUP(Substitution!$M$17 &amp; $A19, US_national_yearly!$D:$AM, MATCH(Keys!$C$7, US_national_yearly!$D$1:$AM$1, 0), FALSE), 1)</f>
        <v>1.0643379288689881E-3</v>
      </c>
      <c r="O19" s="12">
        <f>$B19 * IFERROR(VLOOKUP(Substitution!$M$17 &amp; $A19, US_national_yearly!$D:$AM, MATCH(O$1, US_national_yearly!$D$1:$AM$1, 0), FALSE) / VLOOKUP(Substitution!$M$17 &amp; $A19, US_national_yearly!$D:$AM, MATCH(Keys!$C$7, US_national_yearly!$D$1:$AM$1, 0), FALSE), 1)</f>
        <v>1.0704465797523859E-3</v>
      </c>
      <c r="P19" s="12">
        <f>$B19 * IFERROR(VLOOKUP(Substitution!$M$17 &amp; $A19, US_national_yearly!$D:$AM, MATCH(P$1, US_national_yearly!$D$1:$AM$1, 0), FALSE) / VLOOKUP(Substitution!$M$17 &amp; $A19, US_national_yearly!$D:$AM, MATCH(Keys!$C$7, US_national_yearly!$D$1:$AM$1, 0), FALSE), 1)</f>
        <v>1.076555230635784E-3</v>
      </c>
      <c r="Q19" s="12">
        <f>$B19 * IFERROR(VLOOKUP(Substitution!$M$17 &amp; $A19, US_national_yearly!$D:$AM, MATCH(Q$1, US_national_yearly!$D$1:$AM$1, 0), FALSE) / VLOOKUP(Substitution!$M$17 &amp; $A19, US_national_yearly!$D:$AM, MATCH(Keys!$C$7, US_national_yearly!$D$1:$AM$1, 0), FALSE), 1)</f>
        <v>1.0826638815191821E-3</v>
      </c>
      <c r="R19" s="12">
        <f>$B19 * IFERROR(VLOOKUP(Substitution!$M$17 &amp; $A19, US_national_yearly!$D:$AM, MATCH(R$1, US_national_yearly!$D$1:$AM$1, 0), FALSE) / VLOOKUP(Substitution!$M$17 &amp; $A19, US_national_yearly!$D:$AM, MATCH(Keys!$C$7, US_national_yearly!$D$1:$AM$1, 0), FALSE), 1)</f>
        <v>1.0887725324025799E-3</v>
      </c>
      <c r="S19" s="12">
        <f>$B19 * IFERROR(VLOOKUP(Substitution!$M$17 &amp; $A19, US_national_yearly!$D:$AM, MATCH(S$1, US_national_yearly!$D$1:$AM$1, 0), FALSE) / VLOOKUP(Substitution!$M$17 &amp; $A19, US_national_yearly!$D:$AM, MATCH(Keys!$C$7, US_national_yearly!$D$1:$AM$1, 0), FALSE), 1)</f>
        <v>1.0923701848961579E-3</v>
      </c>
      <c r="T19" s="12">
        <f>$B19 * IFERROR(VLOOKUP(Substitution!$M$17 &amp; $A19, US_national_yearly!$D:$AM, MATCH(T$1, US_national_yearly!$D$1:$AM$1, 0), FALSE) / VLOOKUP(Substitution!$M$17 &amp; $A19, US_national_yearly!$D:$AM, MATCH(Keys!$C$7, US_national_yearly!$D$1:$AM$1, 0), FALSE), 1)</f>
        <v>1.0959678373897361E-3</v>
      </c>
      <c r="U19" s="12">
        <f>$B19 * IFERROR(VLOOKUP(Substitution!$M$17 &amp; $A19, US_national_yearly!$D:$AM, MATCH(U$1, US_national_yearly!$D$1:$AM$1, 0), FALSE) / VLOOKUP(Substitution!$M$17 &amp; $A19, US_national_yearly!$D:$AM, MATCH(Keys!$C$7, US_national_yearly!$D$1:$AM$1, 0), FALSE), 1)</f>
        <v>1.0995654898833141E-3</v>
      </c>
      <c r="V19" s="12">
        <f>$B19 * IFERROR(VLOOKUP(Substitution!$M$17 &amp; $A19, US_national_yearly!$D:$AM, MATCH(V$1, US_national_yearly!$D$1:$AM$1, 0), FALSE) / VLOOKUP(Substitution!$M$17 &amp; $A19, US_national_yearly!$D:$AM, MATCH(Keys!$C$7, US_national_yearly!$D$1:$AM$1, 0), FALSE), 1)</f>
        <v>1.1031631423768921E-3</v>
      </c>
      <c r="W19" s="12">
        <f>$B19 * IFERROR(VLOOKUP(Substitution!$M$17 &amp; $A19, US_national_yearly!$D:$AM, MATCH(W$1, US_national_yearly!$D$1:$AM$1, 0), FALSE) / VLOOKUP(Substitution!$M$17 &amp; $A19, US_national_yearly!$D:$AM, MATCH(Keys!$C$7, US_national_yearly!$D$1:$AM$1, 0), FALSE), 1)</f>
        <v>1.10676079487047E-3</v>
      </c>
      <c r="X19" s="12">
        <f>$B19 * IFERROR(VLOOKUP(Substitution!$M$17 &amp; $A19, US_national_yearly!$D:$AM, MATCH(X$1, US_national_yearly!$D$1:$AM$1, 0), FALSE) / VLOOKUP(Substitution!$M$17 &amp; $A19, US_national_yearly!$D:$AM, MATCH(Keys!$C$7, US_national_yearly!$D$1:$AM$1, 0), FALSE), 1)</f>
        <v>1.1119835205529219E-3</v>
      </c>
      <c r="Y19" s="12">
        <f>$B19 * IFERROR(VLOOKUP(Substitution!$M$17 &amp; $A19, US_national_yearly!$D:$AM, MATCH(Y$1, US_national_yearly!$D$1:$AM$1, 0), FALSE) / VLOOKUP(Substitution!$M$17 &amp; $A19, US_national_yearly!$D:$AM, MATCH(Keys!$C$7, US_national_yearly!$D$1:$AM$1, 0), FALSE), 1)</f>
        <v>1.117206246235374E-3</v>
      </c>
      <c r="Z19" s="12">
        <f>$B19 * IFERROR(VLOOKUP(Substitution!$M$17 &amp; $A19, US_national_yearly!$D:$AM, MATCH(Z$1, US_national_yearly!$D$1:$AM$1, 0), FALSE) / VLOOKUP(Substitution!$M$17 &amp; $A19, US_national_yearly!$D:$AM, MATCH(Keys!$C$7, US_national_yearly!$D$1:$AM$1, 0), FALSE), 1)</f>
        <v>1.1224289719178259E-3</v>
      </c>
      <c r="AA19" s="12">
        <f>$B19 * IFERROR(VLOOKUP(Substitution!$M$17 &amp; $A19, US_national_yearly!$D:$AM, MATCH(AA$1, US_national_yearly!$D$1:$AM$1, 0), FALSE) / VLOOKUP(Substitution!$M$17 &amp; $A19, US_national_yearly!$D:$AM, MATCH(Keys!$C$7, US_national_yearly!$D$1:$AM$1, 0), FALSE), 1)</f>
        <v>1.127651697600278E-3</v>
      </c>
      <c r="AB19" s="12">
        <f>$B19 * IFERROR(VLOOKUP(Substitution!$M$17 &amp; $A19, US_national_yearly!$D:$AM, MATCH(AB$1, US_national_yearly!$D$1:$AM$1, 0), FALSE) / VLOOKUP(Substitution!$M$17 &amp; $A19, US_national_yearly!$D:$AM, MATCH(Keys!$C$7, US_national_yearly!$D$1:$AM$1, 0), FALSE), 1)</f>
        <v>1.1328744232827299E-3</v>
      </c>
    </row>
    <row r="20" spans="1:28" x14ac:dyDescent="0.25">
      <c r="A20" s="4" t="s">
        <v>327</v>
      </c>
      <c r="B20" s="12">
        <f>IFERROR(VLOOKUP(Substitution!$M$17 &amp; $A20, US_national_yearly!$D:$AM, MATCH(Keys!$C$7, US_national_yearly!$D$1:$AM$1, 0), FALSE), 0)</f>
        <v>7.9889610076172742E-4</v>
      </c>
      <c r="C20" s="12">
        <f>$B20 * IFERROR(VLOOKUP(Substitution!$M$17 &amp; $A20, US_national_yearly!$D:$AM, MATCH(C$1, US_national_yearly!$D$1:$AM$1, 0), FALSE) / VLOOKUP(Substitution!$M$17 &amp; $A20, US_national_yearly!$D:$AM, MATCH(Keys!$C$7, US_national_yearly!$D$1:$AM$1, 0), FALSE), 1)</f>
        <v>8.1994764665765582E-4</v>
      </c>
      <c r="D20" s="12">
        <f>$B20 * IFERROR(VLOOKUP(Substitution!$M$17 &amp; $A20, US_national_yearly!$D:$AM, MATCH(D$1, US_national_yearly!$D$1:$AM$1, 0), FALSE) / VLOOKUP(Substitution!$M$17 &amp; $A20, US_national_yearly!$D:$AM, MATCH(Keys!$C$7, US_national_yearly!$D$1:$AM$1, 0), FALSE), 1)</f>
        <v>8.4099919255358423E-4</v>
      </c>
      <c r="E20" s="12">
        <f>$B20 * IFERROR(VLOOKUP(Substitution!$M$17 &amp; $A20, US_national_yearly!$D:$AM, MATCH(E$1, US_national_yearly!$D$1:$AM$1, 0), FALSE) / VLOOKUP(Substitution!$M$17 &amp; $A20, US_national_yearly!$D:$AM, MATCH(Keys!$C$7, US_national_yearly!$D$1:$AM$1, 0), FALSE), 1)</f>
        <v>8.6205073844951264E-4</v>
      </c>
      <c r="F20" s="12">
        <f>$B20 * IFERROR(VLOOKUP(Substitution!$M$17 &amp; $A20, US_national_yearly!$D:$AM, MATCH(F$1, US_national_yearly!$D$1:$AM$1, 0), FALSE) / VLOOKUP(Substitution!$M$17 &amp; $A20, US_national_yearly!$D:$AM, MATCH(Keys!$C$7, US_national_yearly!$D$1:$AM$1, 0), FALSE), 1)</f>
        <v>8.8310228434544105E-4</v>
      </c>
      <c r="G20" s="12">
        <f>$B20 * IFERROR(VLOOKUP(Substitution!$M$17 &amp; $A20, US_national_yearly!$D:$AM, MATCH(G$1, US_national_yearly!$D$1:$AM$1, 0), FALSE) / VLOOKUP(Substitution!$M$17 &amp; $A20, US_national_yearly!$D:$AM, MATCH(Keys!$C$7, US_national_yearly!$D$1:$AM$1, 0), FALSE), 1)</f>
        <v>9.0050500817511164E-4</v>
      </c>
      <c r="H20" s="12">
        <f>$B20 * IFERROR(VLOOKUP(Substitution!$M$17 &amp; $A20, US_national_yearly!$D:$AM, MATCH(H$1, US_national_yearly!$D$1:$AM$1, 0), FALSE) / VLOOKUP(Substitution!$M$17 &amp; $A20, US_national_yearly!$D:$AM, MATCH(Keys!$C$7, US_national_yearly!$D$1:$AM$1, 0), FALSE), 1)</f>
        <v>9.1790773200478202E-4</v>
      </c>
      <c r="I20" s="12">
        <f>$B20 * IFERROR(VLOOKUP(Substitution!$M$17 &amp; $A20, US_national_yearly!$D:$AM, MATCH(I$1, US_national_yearly!$D$1:$AM$1, 0), FALSE) / VLOOKUP(Substitution!$M$17 &amp; $A20, US_national_yearly!$D:$AM, MATCH(Keys!$C$7, US_national_yearly!$D$1:$AM$1, 0), FALSE), 1)</f>
        <v>9.2860851484862373E-4</v>
      </c>
      <c r="J20" s="12">
        <f>$B20 * IFERROR(VLOOKUP(Substitution!$M$17 &amp; $A20, US_national_yearly!$D:$AM, MATCH(J$1, US_national_yearly!$D$1:$AM$1, 0), FALSE) / VLOOKUP(Substitution!$M$17 &amp; $A20, US_national_yearly!$D:$AM, MATCH(Keys!$C$7, US_national_yearly!$D$1:$AM$1, 0), FALSE), 1)</f>
        <v>9.3930929769246523E-4</v>
      </c>
      <c r="K20" s="12">
        <f>$B20 * IFERROR(VLOOKUP(Substitution!$M$17 &amp; $A20, US_national_yearly!$D:$AM, MATCH(K$1, US_national_yearly!$D$1:$AM$1, 0), FALSE) / VLOOKUP(Substitution!$M$17 &amp; $A20, US_national_yearly!$D:$AM, MATCH(Keys!$C$7, US_national_yearly!$D$1:$AM$1, 0), FALSE), 1)</f>
        <v>9.5001008053630684E-4</v>
      </c>
      <c r="L20" s="12">
        <f>$B20 * IFERROR(VLOOKUP(Substitution!$M$17 &amp; $A20, US_national_yearly!$D:$AM, MATCH(L$1, US_national_yearly!$D$1:$AM$1, 0), FALSE) / VLOOKUP(Substitution!$M$17 &amp; $A20, US_national_yearly!$D:$AM, MATCH(Keys!$C$7, US_national_yearly!$D$1:$AM$1, 0), FALSE), 1)</f>
        <v>9.6071086338014855E-4</v>
      </c>
      <c r="M20" s="12">
        <f>$B20 * IFERROR(VLOOKUP(Substitution!$M$17 &amp; $A20, US_national_yearly!$D:$AM, MATCH(M$1, US_national_yearly!$D$1:$AM$1, 0), FALSE) / VLOOKUP(Substitution!$M$17 &amp; $A20, US_national_yearly!$D:$AM, MATCH(Keys!$C$7, US_national_yearly!$D$1:$AM$1, 0), FALSE), 1)</f>
        <v>9.7141164622399005E-4</v>
      </c>
      <c r="N20" s="12">
        <f>$B20 * IFERROR(VLOOKUP(Substitution!$M$17 &amp; $A20, US_national_yearly!$D:$AM, MATCH(N$1, US_national_yearly!$D$1:$AM$1, 0), FALSE) / VLOOKUP(Substitution!$M$17 &amp; $A20, US_national_yearly!$D:$AM, MATCH(Keys!$C$7, US_national_yearly!$D$1:$AM$1, 0), FALSE), 1)</f>
        <v>9.7646519645538607E-4</v>
      </c>
      <c r="O20" s="12">
        <f>$B20 * IFERROR(VLOOKUP(Substitution!$M$17 &amp; $A20, US_national_yearly!$D:$AM, MATCH(O$1, US_national_yearly!$D$1:$AM$1, 0), FALSE) / VLOOKUP(Substitution!$M$17 &amp; $A20, US_national_yearly!$D:$AM, MATCH(Keys!$C$7, US_national_yearly!$D$1:$AM$1, 0), FALSE), 1)</f>
        <v>9.8151874668678208E-4</v>
      </c>
      <c r="P20" s="12">
        <f>$B20 * IFERROR(VLOOKUP(Substitution!$M$17 &amp; $A20, US_national_yearly!$D:$AM, MATCH(P$1, US_national_yearly!$D$1:$AM$1, 0), FALSE) / VLOOKUP(Substitution!$M$17 &amp; $A20, US_national_yearly!$D:$AM, MATCH(Keys!$C$7, US_national_yearly!$D$1:$AM$1, 0), FALSE), 1)</f>
        <v>9.8657229691817799E-4</v>
      </c>
      <c r="Q20" s="12">
        <f>$B20 * IFERROR(VLOOKUP(Substitution!$M$17 &amp; $A20, US_national_yearly!$D:$AM, MATCH(Q$1, US_national_yearly!$D$1:$AM$1, 0), FALSE) / VLOOKUP(Substitution!$M$17 &amp; $A20, US_national_yearly!$D:$AM, MATCH(Keys!$C$7, US_national_yearly!$D$1:$AM$1, 0), FALSE), 1)</f>
        <v>9.9162584714957412E-4</v>
      </c>
      <c r="R20" s="12">
        <f>$B20 * IFERROR(VLOOKUP(Substitution!$M$17 &amp; $A20, US_national_yearly!$D:$AM, MATCH(R$1, US_national_yearly!$D$1:$AM$1, 0), FALSE) / VLOOKUP(Substitution!$M$17 &amp; $A20, US_national_yearly!$D:$AM, MATCH(Keys!$C$7, US_national_yearly!$D$1:$AM$1, 0), FALSE), 1)</f>
        <v>9.9667939738097002E-4</v>
      </c>
      <c r="S20" s="12">
        <f>$B20 * IFERROR(VLOOKUP(Substitution!$M$17 &amp; $A20, US_national_yearly!$D:$AM, MATCH(S$1, US_national_yearly!$D$1:$AM$1, 0), FALSE) / VLOOKUP(Substitution!$M$17 &amp; $A20, US_national_yearly!$D:$AM, MATCH(Keys!$C$7, US_national_yearly!$D$1:$AM$1, 0), FALSE), 1)</f>
        <v>9.9946530066084404E-4</v>
      </c>
      <c r="T20" s="12">
        <f>$B20 * IFERROR(VLOOKUP(Substitution!$M$17 &amp; $A20, US_national_yearly!$D:$AM, MATCH(T$1, US_national_yearly!$D$1:$AM$1, 0), FALSE) / VLOOKUP(Substitution!$M$17 &amp; $A20, US_national_yearly!$D:$AM, MATCH(Keys!$C$7, US_national_yearly!$D$1:$AM$1, 0), FALSE), 1)</f>
        <v>1.0022512039407181E-3</v>
      </c>
      <c r="U20" s="12">
        <f>$B20 * IFERROR(VLOOKUP(Substitution!$M$17 &amp; $A20, US_national_yearly!$D:$AM, MATCH(U$1, US_national_yearly!$D$1:$AM$1, 0), FALSE) / VLOOKUP(Substitution!$M$17 &amp; $A20, US_national_yearly!$D:$AM, MATCH(Keys!$C$7, US_national_yearly!$D$1:$AM$1, 0), FALSE), 1)</f>
        <v>1.0050371072205921E-3</v>
      </c>
      <c r="V20" s="12">
        <f>$B20 * IFERROR(VLOOKUP(Substitution!$M$17 &amp; $A20, US_national_yearly!$D:$AM, MATCH(V$1, US_national_yearly!$D$1:$AM$1, 0), FALSE) / VLOOKUP(Substitution!$M$17 &amp; $A20, US_national_yearly!$D:$AM, MATCH(Keys!$C$7, US_national_yearly!$D$1:$AM$1, 0), FALSE), 1)</f>
        <v>1.0078230105004661E-3</v>
      </c>
      <c r="W20" s="12">
        <f>$B20 * IFERROR(VLOOKUP(Substitution!$M$17 &amp; $A20, US_national_yearly!$D:$AM, MATCH(W$1, US_national_yearly!$D$1:$AM$1, 0), FALSE) / VLOOKUP(Substitution!$M$17 &amp; $A20, US_national_yearly!$D:$AM, MATCH(Keys!$C$7, US_national_yearly!$D$1:$AM$1, 0), FALSE), 1)</f>
        <v>1.0106089137803401E-3</v>
      </c>
      <c r="X20" s="12">
        <f>$B20 * IFERROR(VLOOKUP(Substitution!$M$17 &amp; $A20, US_national_yearly!$D:$AM, MATCH(X$1, US_national_yearly!$D$1:$AM$1, 0), FALSE) / VLOOKUP(Substitution!$M$17 &amp; $A20, US_national_yearly!$D:$AM, MATCH(Keys!$C$7, US_national_yearly!$D$1:$AM$1, 0), FALSE), 1)</f>
        <v>1.015501889235874E-3</v>
      </c>
      <c r="Y20" s="12">
        <f>$B20 * IFERROR(VLOOKUP(Substitution!$M$17 &amp; $A20, US_national_yearly!$D:$AM, MATCH(Y$1, US_national_yearly!$D$1:$AM$1, 0), FALSE) / VLOOKUP(Substitution!$M$17 &amp; $A20, US_national_yearly!$D:$AM, MATCH(Keys!$C$7, US_national_yearly!$D$1:$AM$1, 0), FALSE), 1)</f>
        <v>1.0203948646914081E-3</v>
      </c>
      <c r="Z20" s="12">
        <f>$B20 * IFERROR(VLOOKUP(Substitution!$M$17 &amp; $A20, US_national_yearly!$D:$AM, MATCH(Z$1, US_national_yearly!$D$1:$AM$1, 0), FALSE) / VLOOKUP(Substitution!$M$17 &amp; $A20, US_national_yearly!$D:$AM, MATCH(Keys!$C$7, US_national_yearly!$D$1:$AM$1, 0), FALSE), 1)</f>
        <v>1.025287840146942E-3</v>
      </c>
      <c r="AA20" s="12">
        <f>$B20 * IFERROR(VLOOKUP(Substitution!$M$17 &amp; $A20, US_national_yearly!$D:$AM, MATCH(AA$1, US_national_yearly!$D$1:$AM$1, 0), FALSE) / VLOOKUP(Substitution!$M$17 &amp; $A20, US_national_yearly!$D:$AM, MATCH(Keys!$C$7, US_national_yearly!$D$1:$AM$1, 0), FALSE), 1)</f>
        <v>1.0301808156024761E-3</v>
      </c>
      <c r="AB20" s="12">
        <f>$B20 * IFERROR(VLOOKUP(Substitution!$M$17 &amp; $A20, US_national_yearly!$D:$AM, MATCH(AB$1, US_national_yearly!$D$1:$AM$1, 0), FALSE) / VLOOKUP(Substitution!$M$17 &amp; $A20, US_national_yearly!$D:$AM, MATCH(Keys!$C$7, US_national_yearly!$D$1:$AM$1, 0), FALSE), 1)</f>
        <v>1.03507379105801E-3</v>
      </c>
    </row>
    <row r="21" spans="1:28" x14ac:dyDescent="0.25">
      <c r="A21" s="4" t="s">
        <v>329</v>
      </c>
      <c r="B21" s="12">
        <f>IFERROR(VLOOKUP(Substitution!$M$17 &amp; $A21, US_national_yearly!$D:$AM, MATCH(Keys!$C$7, US_national_yearly!$D$1:$AM$1, 0), FALSE), 0)</f>
        <v>1.89349017424774E-4</v>
      </c>
      <c r="C21" s="12">
        <f>$B21 * IFERROR(VLOOKUP(Substitution!$M$17 &amp; $A21, US_national_yearly!$D:$AM, MATCH(C$1, US_national_yearly!$D$1:$AM$1, 0), FALSE) / VLOOKUP(Substitution!$M$17 &amp; $A21, US_national_yearly!$D:$AM, MATCH(Keys!$C$7, US_national_yearly!$D$1:$AM$1, 0), FALSE), 1)</f>
        <v>1.9215373543693599E-4</v>
      </c>
      <c r="D21" s="12">
        <f>$B21 * IFERROR(VLOOKUP(Substitution!$M$17 &amp; $A21, US_national_yearly!$D:$AM, MATCH(D$1, US_national_yearly!$D$1:$AM$1, 0), FALSE) / VLOOKUP(Substitution!$M$17 &amp; $A21, US_national_yearly!$D:$AM, MATCH(Keys!$C$7, US_national_yearly!$D$1:$AM$1, 0), FALSE), 1)</f>
        <v>1.94958453449098E-4</v>
      </c>
      <c r="E21" s="12">
        <f>$B21 * IFERROR(VLOOKUP(Substitution!$M$17 &amp; $A21, US_national_yearly!$D:$AM, MATCH(E$1, US_national_yearly!$D$1:$AM$1, 0), FALSE) / VLOOKUP(Substitution!$M$17 &amp; $A21, US_national_yearly!$D:$AM, MATCH(Keys!$C$7, US_national_yearly!$D$1:$AM$1, 0), FALSE), 1)</f>
        <v>1.9776317146126001E-4</v>
      </c>
      <c r="F21" s="12">
        <f>$B21 * IFERROR(VLOOKUP(Substitution!$M$17 &amp; $A21, US_national_yearly!$D:$AM, MATCH(F$1, US_national_yearly!$D$1:$AM$1, 0), FALSE) / VLOOKUP(Substitution!$M$17 &amp; $A21, US_national_yearly!$D:$AM, MATCH(Keys!$C$7, US_national_yearly!$D$1:$AM$1, 0), FALSE), 1)</f>
        <v>2.0056788947342197E-4</v>
      </c>
      <c r="G21" s="12">
        <f>$B21 * IFERROR(VLOOKUP(Substitution!$M$17 &amp; $A21, US_national_yearly!$D:$AM, MATCH(G$1, US_national_yearly!$D$1:$AM$1, 0), FALSE) / VLOOKUP(Substitution!$M$17 &amp; $A21, US_national_yearly!$D:$AM, MATCH(Keys!$C$7, US_national_yearly!$D$1:$AM$1, 0), FALSE), 1)</f>
        <v>2.0320330932923849E-4</v>
      </c>
      <c r="H21" s="12">
        <f>$B21 * IFERROR(VLOOKUP(Substitution!$M$17 &amp; $A21, US_national_yearly!$D:$AM, MATCH(H$1, US_national_yearly!$D$1:$AM$1, 0), FALSE) / VLOOKUP(Substitution!$M$17 &amp; $A21, US_national_yearly!$D:$AM, MATCH(Keys!$C$7, US_national_yearly!$D$1:$AM$1, 0), FALSE), 1)</f>
        <v>2.0583872918505502E-4</v>
      </c>
      <c r="I21" s="12">
        <f>$B21 * IFERROR(VLOOKUP(Substitution!$M$17 &amp; $A21, US_national_yearly!$D:$AM, MATCH(I$1, US_national_yearly!$D$1:$AM$1, 0), FALSE) / VLOOKUP(Substitution!$M$17 &amp; $A21, US_national_yearly!$D:$AM, MATCH(Keys!$C$7, US_national_yearly!$D$1:$AM$1, 0), FALSE), 1)</f>
        <v>2.0791049962324261E-4</v>
      </c>
      <c r="J21" s="12">
        <f>$B21 * IFERROR(VLOOKUP(Substitution!$M$17 &amp; $A21, US_national_yearly!$D:$AM, MATCH(J$1, US_national_yearly!$D$1:$AM$1, 0), FALSE) / VLOOKUP(Substitution!$M$17 &amp; $A21, US_national_yearly!$D:$AM, MATCH(Keys!$C$7, US_national_yearly!$D$1:$AM$1, 0), FALSE), 1)</f>
        <v>2.0998227006143019E-4</v>
      </c>
      <c r="K21" s="12">
        <f>$B21 * IFERROR(VLOOKUP(Substitution!$M$17 &amp; $A21, US_national_yearly!$D:$AM, MATCH(K$1, US_national_yearly!$D$1:$AM$1, 0), FALSE) / VLOOKUP(Substitution!$M$17 &amp; $A21, US_national_yearly!$D:$AM, MATCH(Keys!$C$7, US_national_yearly!$D$1:$AM$1, 0), FALSE), 1)</f>
        <v>2.1205404049961783E-4</v>
      </c>
      <c r="L21" s="12">
        <f>$B21 * IFERROR(VLOOKUP(Substitution!$M$17 &amp; $A21, US_national_yearly!$D:$AM, MATCH(L$1, US_national_yearly!$D$1:$AM$1, 0), FALSE) / VLOOKUP(Substitution!$M$17 &amp; $A21, US_national_yearly!$D:$AM, MATCH(Keys!$C$7, US_national_yearly!$D$1:$AM$1, 0), FALSE), 1)</f>
        <v>2.1412581093780542E-4</v>
      </c>
      <c r="M21" s="12">
        <f>$B21 * IFERROR(VLOOKUP(Substitution!$M$17 &amp; $A21, US_national_yearly!$D:$AM, MATCH(M$1, US_national_yearly!$D$1:$AM$1, 0), FALSE) / VLOOKUP(Substitution!$M$17 &amp; $A21, US_national_yearly!$D:$AM, MATCH(Keys!$C$7, US_national_yearly!$D$1:$AM$1, 0), FALSE), 1)</f>
        <v>2.1619758137599301E-4</v>
      </c>
      <c r="N21" s="12">
        <f>$B21 * IFERROR(VLOOKUP(Substitution!$M$17 &amp; $A21, US_national_yearly!$D:$AM, MATCH(N$1, US_national_yearly!$D$1:$AM$1, 0), FALSE) / VLOOKUP(Substitution!$M$17 &amp; $A21, US_national_yearly!$D:$AM, MATCH(Keys!$C$7, US_national_yearly!$D$1:$AM$1, 0), FALSE), 1)</f>
        <v>2.1762012051487899E-4</v>
      </c>
      <c r="O21" s="12">
        <f>$B21 * IFERROR(VLOOKUP(Substitution!$M$17 &amp; $A21, US_national_yearly!$D:$AM, MATCH(O$1, US_national_yearly!$D$1:$AM$1, 0), FALSE) / VLOOKUP(Substitution!$M$17 &amp; $A21, US_national_yearly!$D:$AM, MATCH(Keys!$C$7, US_national_yearly!$D$1:$AM$1, 0), FALSE), 1)</f>
        <v>2.1904265965376501E-4</v>
      </c>
      <c r="P21" s="12">
        <f>$B21 * IFERROR(VLOOKUP(Substitution!$M$17 &amp; $A21, US_national_yearly!$D:$AM, MATCH(P$1, US_national_yearly!$D$1:$AM$1, 0), FALSE) / VLOOKUP(Substitution!$M$17 &amp; $A21, US_national_yearly!$D:$AM, MATCH(Keys!$C$7, US_national_yearly!$D$1:$AM$1, 0), FALSE), 1)</f>
        <v>2.20465198792651E-4</v>
      </c>
      <c r="Q21" s="12">
        <f>$B21 * IFERROR(VLOOKUP(Substitution!$M$17 &amp; $A21, US_national_yearly!$D:$AM, MATCH(Q$1, US_national_yearly!$D$1:$AM$1, 0), FALSE) / VLOOKUP(Substitution!$M$17 &amp; $A21, US_national_yearly!$D:$AM, MATCH(Keys!$C$7, US_national_yearly!$D$1:$AM$1, 0), FALSE), 1)</f>
        <v>2.2188773793153701E-4</v>
      </c>
      <c r="R21" s="12">
        <f>$B21 * IFERROR(VLOOKUP(Substitution!$M$17 &amp; $A21, US_national_yearly!$D:$AM, MATCH(R$1, US_national_yearly!$D$1:$AM$1, 0), FALSE) / VLOOKUP(Substitution!$M$17 &amp; $A21, US_national_yearly!$D:$AM, MATCH(Keys!$C$7, US_national_yearly!$D$1:$AM$1, 0), FALSE), 1)</f>
        <v>2.23310277070423E-4</v>
      </c>
      <c r="S21" s="12">
        <f>$B21 * IFERROR(VLOOKUP(Substitution!$M$17 &amp; $A21, US_national_yearly!$D:$AM, MATCH(S$1, US_national_yearly!$D$1:$AM$1, 0), FALSE) / VLOOKUP(Substitution!$M$17 &amp; $A21, US_national_yearly!$D:$AM, MATCH(Keys!$C$7, US_national_yearly!$D$1:$AM$1, 0), FALSE), 1)</f>
        <v>2.2444872831479777E-4</v>
      </c>
      <c r="T21" s="12">
        <f>$B21 * IFERROR(VLOOKUP(Substitution!$M$17 &amp; $A21, US_national_yearly!$D:$AM, MATCH(T$1, US_national_yearly!$D$1:$AM$1, 0), FALSE) / VLOOKUP(Substitution!$M$17 &amp; $A21, US_national_yearly!$D:$AM, MATCH(Keys!$C$7, US_national_yearly!$D$1:$AM$1, 0), FALSE), 1)</f>
        <v>2.2558717955917259E-4</v>
      </c>
      <c r="U21" s="12">
        <f>$B21 * IFERROR(VLOOKUP(Substitution!$M$17 &amp; $A21, US_national_yearly!$D:$AM, MATCH(U$1, US_national_yearly!$D$1:$AM$1, 0), FALSE) / VLOOKUP(Substitution!$M$17 &amp; $A21, US_national_yearly!$D:$AM, MATCH(Keys!$C$7, US_national_yearly!$D$1:$AM$1, 0), FALSE), 1)</f>
        <v>2.2672563080354739E-4</v>
      </c>
      <c r="V21" s="12">
        <f>$B21 * IFERROR(VLOOKUP(Substitution!$M$17 &amp; $A21, US_national_yearly!$D:$AM, MATCH(V$1, US_national_yearly!$D$1:$AM$1, 0), FALSE) / VLOOKUP(Substitution!$M$17 &amp; $A21, US_national_yearly!$D:$AM, MATCH(Keys!$C$7, US_national_yearly!$D$1:$AM$1, 0), FALSE), 1)</f>
        <v>2.2786408204792221E-4</v>
      </c>
      <c r="W21" s="12">
        <f>$B21 * IFERROR(VLOOKUP(Substitution!$M$17 &amp; $A21, US_national_yearly!$D:$AM, MATCH(W$1, US_national_yearly!$D$1:$AM$1, 0), FALSE) / VLOOKUP(Substitution!$M$17 &amp; $A21, US_national_yearly!$D:$AM, MATCH(Keys!$C$7, US_national_yearly!$D$1:$AM$1, 0), FALSE), 1)</f>
        <v>2.29002533292297E-4</v>
      </c>
      <c r="X21" s="12">
        <f>$B21 * IFERROR(VLOOKUP(Substitution!$M$17 &amp; $A21, US_national_yearly!$D:$AM, MATCH(X$1, US_national_yearly!$D$1:$AM$1, 0), FALSE) / VLOOKUP(Substitution!$M$17 &amp; $A21, US_national_yearly!$D:$AM, MATCH(Keys!$C$7, US_national_yearly!$D$1:$AM$1, 0), FALSE), 1)</f>
        <v>2.302581865490352E-4</v>
      </c>
      <c r="Y21" s="12">
        <f>$B21 * IFERROR(VLOOKUP(Substitution!$M$17 &amp; $A21, US_national_yearly!$D:$AM, MATCH(Y$1, US_national_yearly!$D$1:$AM$1, 0), FALSE) / VLOOKUP(Substitution!$M$17 &amp; $A21, US_national_yearly!$D:$AM, MATCH(Keys!$C$7, US_national_yearly!$D$1:$AM$1, 0), FALSE), 1)</f>
        <v>2.315138398057734E-4</v>
      </c>
      <c r="Z21" s="12">
        <f>$B21 * IFERROR(VLOOKUP(Substitution!$M$17 &amp; $A21, US_national_yearly!$D:$AM, MATCH(Z$1, US_national_yearly!$D$1:$AM$1, 0), FALSE) / VLOOKUP(Substitution!$M$17 &amp; $A21, US_national_yearly!$D:$AM, MATCH(Keys!$C$7, US_national_yearly!$D$1:$AM$1, 0), FALSE), 1)</f>
        <v>2.327694930625116E-4</v>
      </c>
      <c r="AA21" s="12">
        <f>$B21 * IFERROR(VLOOKUP(Substitution!$M$17 &amp; $A21, US_national_yearly!$D:$AM, MATCH(AA$1, US_national_yearly!$D$1:$AM$1, 0), FALSE) / VLOOKUP(Substitution!$M$17 &amp; $A21, US_national_yearly!$D:$AM, MATCH(Keys!$C$7, US_national_yearly!$D$1:$AM$1, 0), FALSE), 1)</f>
        <v>2.3402514631924978E-4</v>
      </c>
      <c r="AB21" s="12">
        <f>$B21 * IFERROR(VLOOKUP(Substitution!$M$17 &amp; $A21, US_national_yearly!$D:$AM, MATCH(AB$1, US_national_yearly!$D$1:$AM$1, 0), FALSE) / VLOOKUP(Substitution!$M$17 &amp; $A21, US_national_yearly!$D:$AM, MATCH(Keys!$C$7, US_national_yearly!$D$1:$AM$1, 0), FALSE), 1)</f>
        <v>2.3528079957598803E-4</v>
      </c>
    </row>
    <row r="22" spans="1:28" x14ac:dyDescent="0.25">
      <c r="A22" s="4" t="s">
        <v>331</v>
      </c>
      <c r="B22" s="12">
        <f>IFERROR(VLOOKUP(Substitution!$M$17 &amp; $A22, US_national_yearly!$D:$AM, MATCH(Keys!$C$7, US_national_yearly!$D$1:$AM$1, 0), FALSE), 0)</f>
        <v>4.0723150891446196E-3</v>
      </c>
      <c r="C22" s="12">
        <f>$B22 * IFERROR(VLOOKUP(Substitution!$M$17 &amp; $A22, US_national_yearly!$D:$AM, MATCH(C$1, US_national_yearly!$D$1:$AM$1, 0), FALSE) / VLOOKUP(Substitution!$M$17 &amp; $A22, US_national_yearly!$D:$AM, MATCH(Keys!$C$7, US_national_yearly!$D$1:$AM$1, 0), FALSE), 1)</f>
        <v>4.1466864565720286E-3</v>
      </c>
      <c r="D22" s="12">
        <f>$B22 * IFERROR(VLOOKUP(Substitution!$M$17 &amp; $A22, US_national_yearly!$D:$AM, MATCH(D$1, US_national_yearly!$D$1:$AM$1, 0), FALSE) / VLOOKUP(Substitution!$M$17 &amp; $A22, US_national_yearly!$D:$AM, MATCH(Keys!$C$7, US_national_yearly!$D$1:$AM$1, 0), FALSE), 1)</f>
        <v>4.2210578239994401E-3</v>
      </c>
      <c r="E22" s="12">
        <f>$B22 * IFERROR(VLOOKUP(Substitution!$M$17 &amp; $A22, US_national_yearly!$D:$AM, MATCH(E$1, US_national_yearly!$D$1:$AM$1, 0), FALSE) / VLOOKUP(Substitution!$M$17 &amp; $A22, US_national_yearly!$D:$AM, MATCH(Keys!$C$7, US_national_yearly!$D$1:$AM$1, 0), FALSE), 1)</f>
        <v>4.29542919142685E-3</v>
      </c>
      <c r="F22" s="12">
        <f>$B22 * IFERROR(VLOOKUP(Substitution!$M$17 &amp; $A22, US_national_yearly!$D:$AM, MATCH(F$1, US_national_yearly!$D$1:$AM$1, 0), FALSE) / VLOOKUP(Substitution!$M$17 &amp; $A22, US_national_yearly!$D:$AM, MATCH(Keys!$C$7, US_national_yearly!$D$1:$AM$1, 0), FALSE), 1)</f>
        <v>4.3698005588542598E-3</v>
      </c>
      <c r="G22" s="12">
        <f>$B22 * IFERROR(VLOOKUP(Substitution!$M$17 &amp; $A22, US_national_yearly!$D:$AM, MATCH(G$1, US_national_yearly!$D$1:$AM$1, 0), FALSE) / VLOOKUP(Substitution!$M$17 &amp; $A22, US_national_yearly!$D:$AM, MATCH(Keys!$C$7, US_national_yearly!$D$1:$AM$1, 0), FALSE), 1)</f>
        <v>4.4426301102036651E-3</v>
      </c>
      <c r="H22" s="12">
        <f>$B22 * IFERROR(VLOOKUP(Substitution!$M$17 &amp; $A22, US_national_yearly!$D:$AM, MATCH(H$1, US_national_yearly!$D$1:$AM$1, 0), FALSE) / VLOOKUP(Substitution!$M$17 &amp; $A22, US_national_yearly!$D:$AM, MATCH(Keys!$C$7, US_national_yearly!$D$1:$AM$1, 0), FALSE), 1)</f>
        <v>4.5154596615530696E-3</v>
      </c>
      <c r="I22" s="12">
        <f>$B22 * IFERROR(VLOOKUP(Substitution!$M$17 &amp; $A22, US_national_yearly!$D:$AM, MATCH(I$1, US_national_yearly!$D$1:$AM$1, 0), FALSE) / VLOOKUP(Substitution!$M$17 &amp; $A22, US_national_yearly!$D:$AM, MATCH(Keys!$C$7, US_national_yearly!$D$1:$AM$1, 0), FALSE), 1)</f>
        <v>4.586019552640712E-3</v>
      </c>
      <c r="J22" s="12">
        <f>$B22 * IFERROR(VLOOKUP(Substitution!$M$17 &amp; $A22, US_national_yearly!$D:$AM, MATCH(J$1, US_national_yearly!$D$1:$AM$1, 0), FALSE) / VLOOKUP(Substitution!$M$17 &amp; $A22, US_national_yearly!$D:$AM, MATCH(Keys!$C$7, US_national_yearly!$D$1:$AM$1, 0), FALSE), 1)</f>
        <v>4.6565794437283536E-3</v>
      </c>
      <c r="K22" s="12">
        <f>$B22 * IFERROR(VLOOKUP(Substitution!$M$17 &amp; $A22, US_national_yearly!$D:$AM, MATCH(K$1, US_national_yearly!$D$1:$AM$1, 0), FALSE) / VLOOKUP(Substitution!$M$17 &amp; $A22, US_national_yearly!$D:$AM, MATCH(Keys!$C$7, US_national_yearly!$D$1:$AM$1, 0), FALSE), 1)</f>
        <v>4.7271393348159961E-3</v>
      </c>
      <c r="L22" s="12">
        <f>$B22 * IFERROR(VLOOKUP(Substitution!$M$17 &amp; $A22, US_national_yearly!$D:$AM, MATCH(L$1, US_national_yearly!$D$1:$AM$1, 0), FALSE) / VLOOKUP(Substitution!$M$17 &amp; $A22, US_national_yearly!$D:$AM, MATCH(Keys!$C$7, US_national_yearly!$D$1:$AM$1, 0), FALSE), 1)</f>
        <v>4.7976992259036377E-3</v>
      </c>
      <c r="M22" s="12">
        <f>$B22 * IFERROR(VLOOKUP(Substitution!$M$17 &amp; $A22, US_national_yearly!$D:$AM, MATCH(M$1, US_national_yearly!$D$1:$AM$1, 0), FALSE) / VLOOKUP(Substitution!$M$17 &amp; $A22, US_national_yearly!$D:$AM, MATCH(Keys!$C$7, US_national_yearly!$D$1:$AM$1, 0), FALSE), 1)</f>
        <v>4.8682591169912802E-3</v>
      </c>
      <c r="N22" s="12">
        <f>$B22 * IFERROR(VLOOKUP(Substitution!$M$17 &amp; $A22, US_national_yearly!$D:$AM, MATCH(N$1, US_national_yearly!$D$1:$AM$1, 0), FALSE) / VLOOKUP(Substitution!$M$17 &amp; $A22, US_national_yearly!$D:$AM, MATCH(Keys!$C$7, US_national_yearly!$D$1:$AM$1, 0), FALSE), 1)</f>
        <v>4.9249443992601099E-3</v>
      </c>
      <c r="O22" s="12">
        <f>$B22 * IFERROR(VLOOKUP(Substitution!$M$17 &amp; $A22, US_national_yearly!$D:$AM, MATCH(O$1, US_national_yearly!$D$1:$AM$1, 0), FALSE) / VLOOKUP(Substitution!$M$17 &amp; $A22, US_national_yearly!$D:$AM, MATCH(Keys!$C$7, US_national_yearly!$D$1:$AM$1, 0), FALSE), 1)</f>
        <v>4.9816296815289396E-3</v>
      </c>
      <c r="P22" s="12">
        <f>$B22 * IFERROR(VLOOKUP(Substitution!$M$17 &amp; $A22, US_national_yearly!$D:$AM, MATCH(P$1, US_national_yearly!$D$1:$AM$1, 0), FALSE) / VLOOKUP(Substitution!$M$17 &amp; $A22, US_national_yearly!$D:$AM, MATCH(Keys!$C$7, US_national_yearly!$D$1:$AM$1, 0), FALSE), 1)</f>
        <v>5.0383149637977702E-3</v>
      </c>
      <c r="Q22" s="12">
        <f>$B22 * IFERROR(VLOOKUP(Substitution!$M$17 &amp; $A22, US_national_yearly!$D:$AM, MATCH(Q$1, US_national_yearly!$D$1:$AM$1, 0), FALSE) / VLOOKUP(Substitution!$M$17 &amp; $A22, US_national_yearly!$D:$AM, MATCH(Keys!$C$7, US_national_yearly!$D$1:$AM$1, 0), FALSE), 1)</f>
        <v>5.0950002460666E-3</v>
      </c>
      <c r="R22" s="12">
        <f>$B22 * IFERROR(VLOOKUP(Substitution!$M$17 &amp; $A22, US_national_yearly!$D:$AM, MATCH(R$1, US_national_yearly!$D$1:$AM$1, 0), FALSE) / VLOOKUP(Substitution!$M$17 &amp; $A22, US_national_yearly!$D:$AM, MATCH(Keys!$C$7, US_national_yearly!$D$1:$AM$1, 0), FALSE), 1)</f>
        <v>5.1516855283354297E-3</v>
      </c>
      <c r="S22" s="12">
        <f>$B22 * IFERROR(VLOOKUP(Substitution!$M$17 &amp; $A22, US_national_yearly!$D:$AM, MATCH(S$1, US_national_yearly!$D$1:$AM$1, 0), FALSE) / VLOOKUP(Substitution!$M$17 &amp; $A22, US_national_yearly!$D:$AM, MATCH(Keys!$C$7, US_national_yearly!$D$1:$AM$1, 0), FALSE), 1)</f>
        <v>5.1910716999279457E-3</v>
      </c>
      <c r="T22" s="12">
        <f>$B22 * IFERROR(VLOOKUP(Substitution!$M$17 &amp; $A22, US_national_yearly!$D:$AM, MATCH(T$1, US_national_yearly!$D$1:$AM$1, 0), FALSE) / VLOOKUP(Substitution!$M$17 &amp; $A22, US_national_yearly!$D:$AM, MATCH(Keys!$C$7, US_national_yearly!$D$1:$AM$1, 0), FALSE), 1)</f>
        <v>5.2304578715204617E-3</v>
      </c>
      <c r="U22" s="12">
        <f>$B22 * IFERROR(VLOOKUP(Substitution!$M$17 &amp; $A22, US_national_yearly!$D:$AM, MATCH(U$1, US_national_yearly!$D$1:$AM$1, 0), FALSE) / VLOOKUP(Substitution!$M$17 &amp; $A22, US_national_yearly!$D:$AM, MATCH(Keys!$C$7, US_national_yearly!$D$1:$AM$1, 0), FALSE), 1)</f>
        <v>5.2698440431129777E-3</v>
      </c>
      <c r="V22" s="12">
        <f>$B22 * IFERROR(VLOOKUP(Substitution!$M$17 &amp; $A22, US_national_yearly!$D:$AM, MATCH(V$1, US_national_yearly!$D$1:$AM$1, 0), FALSE) / VLOOKUP(Substitution!$M$17 &amp; $A22, US_national_yearly!$D:$AM, MATCH(Keys!$C$7, US_national_yearly!$D$1:$AM$1, 0), FALSE), 1)</f>
        <v>5.3092302147054937E-3</v>
      </c>
      <c r="W22" s="12">
        <f>$B22 * IFERROR(VLOOKUP(Substitution!$M$17 &amp; $A22, US_national_yearly!$D:$AM, MATCH(W$1, US_national_yearly!$D$1:$AM$1, 0), FALSE) / VLOOKUP(Substitution!$M$17 &amp; $A22, US_national_yearly!$D:$AM, MATCH(Keys!$C$7, US_national_yearly!$D$1:$AM$1, 0), FALSE), 1)</f>
        <v>5.3486163862980097E-3</v>
      </c>
      <c r="X22" s="12">
        <f>$B22 * IFERROR(VLOOKUP(Substitution!$M$17 &amp; $A22, US_national_yearly!$D:$AM, MATCH(X$1, US_national_yearly!$D$1:$AM$1, 0), FALSE) / VLOOKUP(Substitution!$M$17 &amp; $A22, US_national_yearly!$D:$AM, MATCH(Keys!$C$7, US_national_yearly!$D$1:$AM$1, 0), FALSE), 1)</f>
        <v>5.3780998736125936E-3</v>
      </c>
      <c r="Y22" s="12">
        <f>$B22 * IFERROR(VLOOKUP(Substitution!$M$17 &amp; $A22, US_national_yearly!$D:$AM, MATCH(Y$1, US_national_yearly!$D$1:$AM$1, 0), FALSE) / VLOOKUP(Substitution!$M$17 &amp; $A22, US_national_yearly!$D:$AM, MATCH(Keys!$C$7, US_national_yearly!$D$1:$AM$1, 0), FALSE), 1)</f>
        <v>5.4075833609271784E-3</v>
      </c>
      <c r="Z22" s="12">
        <f>$B22 * IFERROR(VLOOKUP(Substitution!$M$17 &amp; $A22, US_national_yearly!$D:$AM, MATCH(Z$1, US_national_yearly!$D$1:$AM$1, 0), FALSE) / VLOOKUP(Substitution!$M$17 &amp; $A22, US_national_yearly!$D:$AM, MATCH(Keys!$C$7, US_national_yearly!$D$1:$AM$1, 0), FALSE), 1)</f>
        <v>5.4370668482417624E-3</v>
      </c>
      <c r="AA22" s="12">
        <f>$B22 * IFERROR(VLOOKUP(Substitution!$M$17 &amp; $A22, US_national_yearly!$D:$AM, MATCH(AA$1, US_national_yearly!$D$1:$AM$1, 0), FALSE) / VLOOKUP(Substitution!$M$17 &amp; $A22, US_national_yearly!$D:$AM, MATCH(Keys!$C$7, US_national_yearly!$D$1:$AM$1, 0), FALSE), 1)</f>
        <v>5.4665503355563463E-3</v>
      </c>
      <c r="AB22" s="12">
        <f>$B22 * IFERROR(VLOOKUP(Substitution!$M$17 &amp; $A22, US_national_yearly!$D:$AM, MATCH(AB$1, US_national_yearly!$D$1:$AM$1, 0), FALSE) / VLOOKUP(Substitution!$M$17 &amp; $A22, US_national_yearly!$D:$AM, MATCH(Keys!$C$7, US_national_yearly!$D$1:$AM$1, 0), FALSE), 1)</f>
        <v>5.4960338228709302E-3</v>
      </c>
    </row>
    <row r="23" spans="1:28" x14ac:dyDescent="0.25">
      <c r="A23" s="4" t="s">
        <v>333</v>
      </c>
      <c r="B23" s="12">
        <f>IFERROR(VLOOKUP(Substitution!$M$17 &amp; $A23, US_national_yearly!$D:$AM, MATCH(Keys!$C$7, US_national_yearly!$D$1:$AM$1, 0), FALSE), 0)</f>
        <v>0</v>
      </c>
      <c r="C23" s="12">
        <f>$B23 * IFERROR(VLOOKUP(Substitution!$M$17 &amp; $A23, US_national_yearly!$D:$AM, MATCH(C$1, US_national_yearly!$D$1:$AM$1, 0), FALSE) / VLOOKUP(Substitution!$M$17 &amp; $A23, US_national_yearly!$D:$AM, MATCH(Keys!$C$7, US_national_yearly!$D$1:$AM$1, 0), FALSE), 1)</f>
        <v>0</v>
      </c>
      <c r="D23" s="12">
        <f>$B23 * IFERROR(VLOOKUP(Substitution!$M$17 &amp; $A23, US_national_yearly!$D:$AM, MATCH(D$1, US_national_yearly!$D$1:$AM$1, 0), FALSE) / VLOOKUP(Substitution!$M$17 &amp; $A23, US_national_yearly!$D:$AM, MATCH(Keys!$C$7, US_national_yearly!$D$1:$AM$1, 0), FALSE), 1)</f>
        <v>0</v>
      </c>
      <c r="E23" s="12">
        <f>$B23 * IFERROR(VLOOKUP(Substitution!$M$17 &amp; $A23, US_national_yearly!$D:$AM, MATCH(E$1, US_national_yearly!$D$1:$AM$1, 0), FALSE) / VLOOKUP(Substitution!$M$17 &amp; $A23, US_national_yearly!$D:$AM, MATCH(Keys!$C$7, US_national_yearly!$D$1:$AM$1, 0), FALSE), 1)</f>
        <v>0</v>
      </c>
      <c r="F23" s="12">
        <f>$B23 * IFERROR(VLOOKUP(Substitution!$M$17 &amp; $A23, US_national_yearly!$D:$AM, MATCH(F$1, US_national_yearly!$D$1:$AM$1, 0), FALSE) / VLOOKUP(Substitution!$M$17 &amp; $A23, US_national_yearly!$D:$AM, MATCH(Keys!$C$7, US_national_yearly!$D$1:$AM$1, 0), FALSE), 1)</f>
        <v>0</v>
      </c>
      <c r="G23" s="12">
        <f>$B23 * IFERROR(VLOOKUP(Substitution!$M$17 &amp; $A23, US_national_yearly!$D:$AM, MATCH(G$1, US_national_yearly!$D$1:$AM$1, 0), FALSE) / VLOOKUP(Substitution!$M$17 &amp; $A23, US_national_yearly!$D:$AM, MATCH(Keys!$C$7, US_national_yearly!$D$1:$AM$1, 0), FALSE), 1)</f>
        <v>0</v>
      </c>
      <c r="H23" s="12">
        <f>$B23 * IFERROR(VLOOKUP(Substitution!$M$17 &amp; $A23, US_national_yearly!$D:$AM, MATCH(H$1, US_national_yearly!$D$1:$AM$1, 0), FALSE) / VLOOKUP(Substitution!$M$17 &amp; $A23, US_national_yearly!$D:$AM, MATCH(Keys!$C$7, US_national_yearly!$D$1:$AM$1, 0), FALSE), 1)</f>
        <v>0</v>
      </c>
      <c r="I23" s="12">
        <f>$B23 * IFERROR(VLOOKUP(Substitution!$M$17 &amp; $A23, US_national_yearly!$D:$AM, MATCH(I$1, US_national_yearly!$D$1:$AM$1, 0), FALSE) / VLOOKUP(Substitution!$M$17 &amp; $A23, US_national_yearly!$D:$AM, MATCH(Keys!$C$7, US_national_yearly!$D$1:$AM$1, 0), FALSE), 1)</f>
        <v>0</v>
      </c>
      <c r="J23" s="12">
        <f>$B23 * IFERROR(VLOOKUP(Substitution!$M$17 &amp; $A23, US_national_yearly!$D:$AM, MATCH(J$1, US_national_yearly!$D$1:$AM$1, 0), FALSE) / VLOOKUP(Substitution!$M$17 &amp; $A23, US_national_yearly!$D:$AM, MATCH(Keys!$C$7, US_national_yearly!$D$1:$AM$1, 0), FALSE), 1)</f>
        <v>0</v>
      </c>
      <c r="K23" s="12">
        <f>$B23 * IFERROR(VLOOKUP(Substitution!$M$17 &amp; $A23, US_national_yearly!$D:$AM, MATCH(K$1, US_national_yearly!$D$1:$AM$1, 0), FALSE) / VLOOKUP(Substitution!$M$17 &amp; $A23, US_national_yearly!$D:$AM, MATCH(Keys!$C$7, US_national_yearly!$D$1:$AM$1, 0), FALSE), 1)</f>
        <v>0</v>
      </c>
      <c r="L23" s="12">
        <f>$B23 * IFERROR(VLOOKUP(Substitution!$M$17 &amp; $A23, US_national_yearly!$D:$AM, MATCH(L$1, US_national_yearly!$D$1:$AM$1, 0), FALSE) / VLOOKUP(Substitution!$M$17 &amp; $A23, US_national_yearly!$D:$AM, MATCH(Keys!$C$7, US_national_yearly!$D$1:$AM$1, 0), FALSE), 1)</f>
        <v>0</v>
      </c>
      <c r="M23" s="12">
        <f>$B23 * IFERROR(VLOOKUP(Substitution!$M$17 &amp; $A23, US_national_yearly!$D:$AM, MATCH(M$1, US_national_yearly!$D$1:$AM$1, 0), FALSE) / VLOOKUP(Substitution!$M$17 &amp; $A23, US_national_yearly!$D:$AM, MATCH(Keys!$C$7, US_national_yearly!$D$1:$AM$1, 0), FALSE), 1)</f>
        <v>0</v>
      </c>
      <c r="N23" s="12">
        <f>$B23 * IFERROR(VLOOKUP(Substitution!$M$17 &amp; $A23, US_national_yearly!$D:$AM, MATCH(N$1, US_national_yearly!$D$1:$AM$1, 0), FALSE) / VLOOKUP(Substitution!$M$17 &amp; $A23, US_national_yearly!$D:$AM, MATCH(Keys!$C$7, US_national_yearly!$D$1:$AM$1, 0), FALSE), 1)</f>
        <v>0</v>
      </c>
      <c r="O23" s="12">
        <f>$B23 * IFERROR(VLOOKUP(Substitution!$M$17 &amp; $A23, US_national_yearly!$D:$AM, MATCH(O$1, US_national_yearly!$D$1:$AM$1, 0), FALSE) / VLOOKUP(Substitution!$M$17 &amp; $A23, US_national_yearly!$D:$AM, MATCH(Keys!$C$7, US_national_yearly!$D$1:$AM$1, 0), FALSE), 1)</f>
        <v>0</v>
      </c>
      <c r="P23" s="12">
        <f>$B23 * IFERROR(VLOOKUP(Substitution!$M$17 &amp; $A23, US_national_yearly!$D:$AM, MATCH(P$1, US_national_yearly!$D$1:$AM$1, 0), FALSE) / VLOOKUP(Substitution!$M$17 &amp; $A23, US_national_yearly!$D:$AM, MATCH(Keys!$C$7, US_national_yearly!$D$1:$AM$1, 0), FALSE), 1)</f>
        <v>0</v>
      </c>
      <c r="Q23" s="12">
        <f>$B23 * IFERROR(VLOOKUP(Substitution!$M$17 &amp; $A23, US_national_yearly!$D:$AM, MATCH(Q$1, US_national_yearly!$D$1:$AM$1, 0), FALSE) / VLOOKUP(Substitution!$M$17 &amp; $A23, US_national_yearly!$D:$AM, MATCH(Keys!$C$7, US_national_yearly!$D$1:$AM$1, 0), FALSE), 1)</f>
        <v>0</v>
      </c>
      <c r="R23" s="12">
        <f>$B23 * IFERROR(VLOOKUP(Substitution!$M$17 &amp; $A23, US_national_yearly!$D:$AM, MATCH(R$1, US_national_yearly!$D$1:$AM$1, 0), FALSE) / VLOOKUP(Substitution!$M$17 &amp; $A23, US_national_yearly!$D:$AM, MATCH(Keys!$C$7, US_national_yearly!$D$1:$AM$1, 0), FALSE), 1)</f>
        <v>0</v>
      </c>
      <c r="S23" s="12">
        <f>$B23 * IFERROR(VLOOKUP(Substitution!$M$17 &amp; $A23, US_national_yearly!$D:$AM, MATCH(S$1, US_national_yearly!$D$1:$AM$1, 0), FALSE) / VLOOKUP(Substitution!$M$17 &amp; $A23, US_national_yearly!$D:$AM, MATCH(Keys!$C$7, US_national_yearly!$D$1:$AM$1, 0), FALSE), 1)</f>
        <v>0</v>
      </c>
      <c r="T23" s="12">
        <f>$B23 * IFERROR(VLOOKUP(Substitution!$M$17 &amp; $A23, US_national_yearly!$D:$AM, MATCH(T$1, US_national_yearly!$D$1:$AM$1, 0), FALSE) / VLOOKUP(Substitution!$M$17 &amp; $A23, US_national_yearly!$D:$AM, MATCH(Keys!$C$7, US_national_yearly!$D$1:$AM$1, 0), FALSE), 1)</f>
        <v>0</v>
      </c>
      <c r="U23" s="12">
        <f>$B23 * IFERROR(VLOOKUP(Substitution!$M$17 &amp; $A23, US_national_yearly!$D:$AM, MATCH(U$1, US_national_yearly!$D$1:$AM$1, 0), FALSE) / VLOOKUP(Substitution!$M$17 &amp; $A23, US_national_yearly!$D:$AM, MATCH(Keys!$C$7, US_national_yearly!$D$1:$AM$1, 0), FALSE), 1)</f>
        <v>0</v>
      </c>
      <c r="V23" s="12">
        <f>$B23 * IFERROR(VLOOKUP(Substitution!$M$17 &amp; $A23, US_national_yearly!$D:$AM, MATCH(V$1, US_national_yearly!$D$1:$AM$1, 0), FALSE) / VLOOKUP(Substitution!$M$17 &amp; $A23, US_national_yearly!$D:$AM, MATCH(Keys!$C$7, US_national_yearly!$D$1:$AM$1, 0), FALSE), 1)</f>
        <v>0</v>
      </c>
      <c r="W23" s="12">
        <f>$B23 * IFERROR(VLOOKUP(Substitution!$M$17 &amp; $A23, US_national_yearly!$D:$AM, MATCH(W$1, US_national_yearly!$D$1:$AM$1, 0), FALSE) / VLOOKUP(Substitution!$M$17 &amp; $A23, US_national_yearly!$D:$AM, MATCH(Keys!$C$7, US_national_yearly!$D$1:$AM$1, 0), FALSE), 1)</f>
        <v>0</v>
      </c>
      <c r="X23" s="12">
        <f>$B23 * IFERROR(VLOOKUP(Substitution!$M$17 &amp; $A23, US_national_yearly!$D:$AM, MATCH(X$1, US_national_yearly!$D$1:$AM$1, 0), FALSE) / VLOOKUP(Substitution!$M$17 &amp; $A23, US_national_yearly!$D:$AM, MATCH(Keys!$C$7, US_national_yearly!$D$1:$AM$1, 0), FALSE), 1)</f>
        <v>0</v>
      </c>
      <c r="Y23" s="12">
        <f>$B23 * IFERROR(VLOOKUP(Substitution!$M$17 &amp; $A23, US_national_yearly!$D:$AM, MATCH(Y$1, US_national_yearly!$D$1:$AM$1, 0), FALSE) / VLOOKUP(Substitution!$M$17 &amp; $A23, US_national_yearly!$D:$AM, MATCH(Keys!$C$7, US_national_yearly!$D$1:$AM$1, 0), FALSE), 1)</f>
        <v>0</v>
      </c>
      <c r="Z23" s="12">
        <f>$B23 * IFERROR(VLOOKUP(Substitution!$M$17 &amp; $A23, US_national_yearly!$D:$AM, MATCH(Z$1, US_national_yearly!$D$1:$AM$1, 0), FALSE) / VLOOKUP(Substitution!$M$17 &amp; $A23, US_national_yearly!$D:$AM, MATCH(Keys!$C$7, US_national_yearly!$D$1:$AM$1, 0), FALSE), 1)</f>
        <v>0</v>
      </c>
      <c r="AA23" s="12">
        <f>$B23 * IFERROR(VLOOKUP(Substitution!$M$17 &amp; $A23, US_national_yearly!$D:$AM, MATCH(AA$1, US_national_yearly!$D$1:$AM$1, 0), FALSE) / VLOOKUP(Substitution!$M$17 &amp; $A23, US_national_yearly!$D:$AM, MATCH(Keys!$C$7, US_national_yearly!$D$1:$AM$1, 0), FALSE), 1)</f>
        <v>0</v>
      </c>
      <c r="AB23" s="12">
        <f>$B23 * IFERROR(VLOOKUP(Substitution!$M$17 &amp; $A23, US_national_yearly!$D:$AM, MATCH(AB$1, US_national_yearly!$D$1:$AM$1, 0), FALSE) / VLOOKUP(Substitution!$M$17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Substitution!$G$18)/IFERROR(SUMIFS(COBRA_aggregated!$W:$W, COBRA_aggregated!$A:$A, About!$B$1, COBRA_aggregated!$B:$B, Substitution!$G$18), 1)</f>
        <v>4.3620409516338714E-4</v>
      </c>
      <c r="C2" s="12">
        <f>$B2 * IFERROR(VLOOKUP(Substitution!$M$18 &amp; $A2, US_national_yearly!$D:$AM, MATCH(C$1, US_national_yearly!$D$1:$AM$1, 0), FALSE) / VLOOKUP(Substitution!$M$18 &amp; $A2, US_national_yearly!$D:$AM, MATCH(Keys!$C$7, US_national_yearly!$D$1:$AM$1, 0), FALSE), 1)</f>
        <v>4.4261119602593781E-4</v>
      </c>
      <c r="D2" s="12">
        <f>$B2 * IFERROR(VLOOKUP(Substitution!$M$18 &amp; $A2, US_national_yearly!$D:$AM, MATCH(D$1, US_national_yearly!$D$1:$AM$1, 0), FALSE) / VLOOKUP(Substitution!$M$18 &amp; $A2, US_national_yearly!$D:$AM, MATCH(Keys!$C$7, US_national_yearly!$D$1:$AM$1, 0), FALSE), 1)</f>
        <v>4.4901829688848843E-4</v>
      </c>
      <c r="E2" s="12">
        <f>$B2 * IFERROR(VLOOKUP(Substitution!$M$18 &amp; $A2, US_national_yearly!$D:$AM, MATCH(E$1, US_national_yearly!$D$1:$AM$1, 0), FALSE) / VLOOKUP(Substitution!$M$18 &amp; $A2, US_national_yearly!$D:$AM, MATCH(Keys!$C$7, US_national_yearly!$D$1:$AM$1, 0), FALSE), 1)</f>
        <v>4.5542539775103911E-4</v>
      </c>
      <c r="F2" s="12">
        <f>$B2 * IFERROR(VLOOKUP(Substitution!$M$18 &amp; $A2, US_national_yearly!$D:$AM, MATCH(F$1, US_national_yearly!$D$1:$AM$1, 0), FALSE) / VLOOKUP(Substitution!$M$18 &amp; $A2, US_national_yearly!$D:$AM, MATCH(Keys!$C$7, US_national_yearly!$D$1:$AM$1, 0), FALSE), 1)</f>
        <v>4.6183249861358983E-4</v>
      </c>
      <c r="G2" s="12">
        <f>$B2 * IFERROR(VLOOKUP(Substitution!$M$18 &amp; $A2, US_national_yearly!$D:$AM, MATCH(G$1, US_national_yearly!$D$1:$AM$1, 0), FALSE) / VLOOKUP(Substitution!$M$18 &amp; $A2, US_national_yearly!$D:$AM, MATCH(Keys!$C$7, US_national_yearly!$D$1:$AM$1, 0), FALSE), 1)</f>
        <v>4.7334116655645429E-4</v>
      </c>
      <c r="H2" s="12">
        <f>$B2 * IFERROR(VLOOKUP(Substitution!$M$18 &amp; $A2, US_national_yearly!$D:$AM, MATCH(H$1, US_national_yearly!$D$1:$AM$1, 0), FALSE) / VLOOKUP(Substitution!$M$18 &amp; $A2, US_national_yearly!$D:$AM, MATCH(Keys!$C$7, US_national_yearly!$D$1:$AM$1, 0), FALSE), 1)</f>
        <v>4.8484983449931891E-4</v>
      </c>
      <c r="I2" s="12">
        <f>$B2 * IFERROR(VLOOKUP(Substitution!$M$18 &amp; $A2, US_national_yearly!$D:$AM, MATCH(I$1, US_national_yearly!$D$1:$AM$1, 0), FALSE) / VLOOKUP(Substitution!$M$18 &amp; $A2, US_national_yearly!$D:$AM, MATCH(Keys!$C$7, US_national_yearly!$D$1:$AM$1, 0), FALSE), 1)</f>
        <v>4.9227889796015943E-4</v>
      </c>
      <c r="J2" s="12">
        <f>$B2 * IFERROR(VLOOKUP(Substitution!$M$18 &amp; $A2, US_national_yearly!$D:$AM, MATCH(J$1, US_national_yearly!$D$1:$AM$1, 0), FALSE) / VLOOKUP(Substitution!$M$18 &amp; $A2, US_national_yearly!$D:$AM, MATCH(Keys!$C$7, US_national_yearly!$D$1:$AM$1, 0), FALSE), 1)</f>
        <v>4.9970796142100005E-4</v>
      </c>
      <c r="K2" s="12">
        <f>$B2 * IFERROR(VLOOKUP(Substitution!$M$18 &amp; $A2, US_national_yearly!$D:$AM, MATCH(K$1, US_national_yearly!$D$1:$AM$1, 0), FALSE) / VLOOKUP(Substitution!$M$18 &amp; $A2, US_national_yearly!$D:$AM, MATCH(Keys!$C$7, US_national_yearly!$D$1:$AM$1, 0), FALSE), 1)</f>
        <v>5.0713702488184057E-4</v>
      </c>
      <c r="L2" s="12">
        <f>$B2 * IFERROR(VLOOKUP(Substitution!$M$18 &amp; $A2, US_national_yearly!$D:$AM, MATCH(L$1, US_national_yearly!$D$1:$AM$1, 0), FALSE) / VLOOKUP(Substitution!$M$18 &amp; $A2, US_national_yearly!$D:$AM, MATCH(Keys!$C$7, US_national_yearly!$D$1:$AM$1, 0), FALSE), 1)</f>
        <v>5.1456608834268109E-4</v>
      </c>
      <c r="M2" s="12">
        <f>$B2 * IFERROR(VLOOKUP(Substitution!$M$18 &amp; $A2, US_national_yearly!$D:$AM, MATCH(M$1, US_national_yearly!$D$1:$AM$1, 0), FALSE) / VLOOKUP(Substitution!$M$18 &amp; $A2, US_national_yearly!$D:$AM, MATCH(Keys!$C$7, US_national_yearly!$D$1:$AM$1, 0), FALSE), 1)</f>
        <v>5.2199515180352172E-4</v>
      </c>
      <c r="N2" s="12">
        <f>$B2 * IFERROR(VLOOKUP(Substitution!$M$18 &amp; $A2, US_national_yearly!$D:$AM, MATCH(N$1, US_national_yearly!$D$1:$AM$1, 0), FALSE) / VLOOKUP(Substitution!$M$18 &amp; $A2, US_national_yearly!$D:$AM, MATCH(Keys!$C$7, US_national_yearly!$D$1:$AM$1, 0), FALSE), 1)</f>
        <v>5.2749857313450356E-4</v>
      </c>
      <c r="O2" s="12">
        <f>$B2 * IFERROR(VLOOKUP(Substitution!$M$18 &amp; $A2, US_national_yearly!$D:$AM, MATCH(O$1, US_national_yearly!$D$1:$AM$1, 0), FALSE) / VLOOKUP(Substitution!$M$18 &amp; $A2, US_national_yearly!$D:$AM, MATCH(Keys!$C$7, US_national_yearly!$D$1:$AM$1, 0), FALSE), 1)</f>
        <v>5.330019944654854E-4</v>
      </c>
      <c r="P2" s="12">
        <f>$B2 * IFERROR(VLOOKUP(Substitution!$M$18 &amp; $A2, US_national_yearly!$D:$AM, MATCH(P$1, US_national_yearly!$D$1:$AM$1, 0), FALSE) / VLOOKUP(Substitution!$M$18 &amp; $A2, US_national_yearly!$D:$AM, MATCH(Keys!$C$7, US_national_yearly!$D$1:$AM$1, 0), FALSE), 1)</f>
        <v>5.3850541579646713E-4</v>
      </c>
      <c r="Q2" s="12">
        <f>$B2 * IFERROR(VLOOKUP(Substitution!$M$18 &amp; $A2, US_national_yearly!$D:$AM, MATCH(Q$1, US_national_yearly!$D$1:$AM$1, 0), FALSE) / VLOOKUP(Substitution!$M$18 &amp; $A2, US_national_yearly!$D:$AM, MATCH(Keys!$C$7, US_national_yearly!$D$1:$AM$1, 0), FALSE), 1)</f>
        <v>5.4400883712744908E-4</v>
      </c>
      <c r="R2" s="12">
        <f>$B2 * IFERROR(VLOOKUP(Substitution!$M$18 &amp; $A2, US_national_yearly!$D:$AM, MATCH(R$1, US_national_yearly!$D$1:$AM$1, 0), FALSE) / VLOOKUP(Substitution!$M$18 &amp; $A2, US_national_yearly!$D:$AM, MATCH(Keys!$C$7, US_national_yearly!$D$1:$AM$1, 0), FALSE), 1)</f>
        <v>5.4951225845843092E-4</v>
      </c>
      <c r="S2" s="12">
        <f>$B2 * IFERROR(VLOOKUP(Substitution!$M$18 &amp; $A2, US_national_yearly!$D:$AM, MATCH(S$1, US_national_yearly!$D$1:$AM$1, 0), FALSE) / VLOOKUP(Substitution!$M$18 &amp; $A2, US_national_yearly!$D:$AM, MATCH(Keys!$C$7, US_national_yearly!$D$1:$AM$1, 0), FALSE), 1)</f>
        <v>5.5201361887207844E-4</v>
      </c>
      <c r="T2" s="12">
        <f>$B2 * IFERROR(VLOOKUP(Substitution!$M$18 &amp; $A2, US_national_yearly!$D:$AM, MATCH(T$1, US_national_yearly!$D$1:$AM$1, 0), FALSE) / VLOOKUP(Substitution!$M$18 &amp; $A2, US_national_yearly!$D:$AM, MATCH(Keys!$C$7, US_national_yearly!$D$1:$AM$1, 0), FALSE), 1)</f>
        <v>5.5451497928572617E-4</v>
      </c>
      <c r="U2" s="12">
        <f>$B2 * IFERROR(VLOOKUP(Substitution!$M$18 &amp; $A2, US_national_yearly!$D:$AM, MATCH(U$1, US_national_yearly!$D$1:$AM$1, 0), FALSE) / VLOOKUP(Substitution!$M$18 &amp; $A2, US_national_yearly!$D:$AM, MATCH(Keys!$C$7, US_national_yearly!$D$1:$AM$1, 0), FALSE), 1)</f>
        <v>5.5701633969937369E-4</v>
      </c>
      <c r="V2" s="12">
        <f>$B2 * IFERROR(VLOOKUP(Substitution!$M$18 &amp; $A2, US_national_yearly!$D:$AM, MATCH(V$1, US_national_yearly!$D$1:$AM$1, 0), FALSE) / VLOOKUP(Substitution!$M$18 &amp; $A2, US_national_yearly!$D:$AM, MATCH(Keys!$C$7, US_national_yearly!$D$1:$AM$1, 0), FALSE), 1)</f>
        <v>5.5951770011302131E-4</v>
      </c>
      <c r="W2" s="12">
        <f>$B2 * IFERROR(VLOOKUP(Substitution!$M$18 &amp; $A2, US_national_yearly!$D:$AM, MATCH(W$1, US_national_yearly!$D$1:$AM$1, 0), FALSE) / VLOOKUP(Substitution!$M$18 &amp; $A2, US_national_yearly!$D:$AM, MATCH(Keys!$C$7, US_national_yearly!$D$1:$AM$1, 0), FALSE), 1)</f>
        <v>5.6201906052666894E-4</v>
      </c>
      <c r="X2" s="12">
        <f>$B2 * IFERROR(VLOOKUP(Substitution!$M$18 &amp; $A2, US_national_yearly!$D:$AM, MATCH(X$1, US_national_yearly!$D$1:$AM$1, 0), FALSE) / VLOOKUP(Substitution!$M$18 &amp; $A2, US_national_yearly!$D:$AM, MATCH(Keys!$C$7, US_national_yearly!$D$1:$AM$1, 0), FALSE), 1)</f>
        <v>5.6210570621560534E-4</v>
      </c>
      <c r="Y2" s="12">
        <f>$B2 * IFERROR(VLOOKUP(Substitution!$M$18 &amp; $A2, US_national_yearly!$D:$AM, MATCH(Y$1, US_national_yearly!$D$1:$AM$1, 0), FALSE) / VLOOKUP(Substitution!$M$18 &amp; $A2, US_national_yearly!$D:$AM, MATCH(Keys!$C$7, US_national_yearly!$D$1:$AM$1, 0), FALSE), 1)</f>
        <v>5.6219235190454173E-4</v>
      </c>
      <c r="Z2" s="12">
        <f>$B2 * IFERROR(VLOOKUP(Substitution!$M$18 &amp; $A2, US_national_yearly!$D:$AM, MATCH(Z$1, US_national_yearly!$D$1:$AM$1, 0), FALSE) / VLOOKUP(Substitution!$M$18 &amp; $A2, US_national_yearly!$D:$AM, MATCH(Keys!$C$7, US_national_yearly!$D$1:$AM$1, 0), FALSE), 1)</f>
        <v>5.6227899759347803E-4</v>
      </c>
      <c r="AA2" s="12">
        <f>$B2 * IFERROR(VLOOKUP(Substitution!$M$18 &amp; $A2, US_national_yearly!$D:$AM, MATCH(AA$1, US_national_yearly!$D$1:$AM$1, 0), FALSE) / VLOOKUP(Substitution!$M$18 &amp; $A2, US_national_yearly!$D:$AM, MATCH(Keys!$C$7, US_national_yearly!$D$1:$AM$1, 0), FALSE), 1)</f>
        <v>5.6236564328241453E-4</v>
      </c>
      <c r="AB2" s="12">
        <f>$B2 * IFERROR(VLOOKUP(Substitution!$M$18 &amp; $A2, US_national_yearly!$D:$AM, MATCH(AB$1, US_national_yearly!$D$1:$AM$1, 0), FALSE) / VLOOKUP(Substitution!$M$18 &amp; $A2, US_national_yearly!$D:$AM, MATCH(Keys!$C$7, US_national_yearly!$D$1:$AM$1, 0), FALSE), 1)</f>
        <v>5.6245228897135093E-4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Substitution!$G$18)/IFERROR(SUMIFS(COBRA_aggregated!$W:$W, COBRA_aggregated!$A:$A, About!$B$1, COBRA_aggregated!$B:$B, Substitution!$G$18), 1)</f>
        <v>7.6724853413517854E-7</v>
      </c>
      <c r="C3" s="12">
        <f>$B3 * IFERROR(VLOOKUP(Substitution!$M$18 &amp; $A3, US_national_yearly!$D:$AM, MATCH(C$1, US_national_yearly!$D$1:$AM$1, 0), FALSE) / VLOOKUP(Substitution!$M$18 &amp; $A3, US_national_yearly!$D:$AM, MATCH(Keys!$C$7, US_national_yearly!$D$1:$AM$1, 0), FALSE), 1)</f>
        <v>7.5993853677359577E-7</v>
      </c>
      <c r="D3" s="12">
        <f>$B3 * IFERROR(VLOOKUP(Substitution!$M$18 &amp; $A3, US_national_yearly!$D:$AM, MATCH(D$1, US_national_yearly!$D$1:$AM$1, 0), FALSE) / VLOOKUP(Substitution!$M$18 &amp; $A3, US_national_yearly!$D:$AM, MATCH(Keys!$C$7, US_national_yearly!$D$1:$AM$1, 0), FALSE), 1)</f>
        <v>7.52628539412013E-7</v>
      </c>
      <c r="E3" s="12">
        <f>$B3 * IFERROR(VLOOKUP(Substitution!$M$18 &amp; $A3, US_national_yearly!$D:$AM, MATCH(E$1, US_national_yearly!$D$1:$AM$1, 0), FALSE) / VLOOKUP(Substitution!$M$18 &amp; $A3, US_national_yearly!$D:$AM, MATCH(Keys!$C$7, US_national_yearly!$D$1:$AM$1, 0), FALSE), 1)</f>
        <v>7.4531854205043024E-7</v>
      </c>
      <c r="F3" s="12">
        <f>$B3 * IFERROR(VLOOKUP(Substitution!$M$18 &amp; $A3, US_national_yearly!$D:$AM, MATCH(F$1, US_national_yearly!$D$1:$AM$1, 0), FALSE) / VLOOKUP(Substitution!$M$18 &amp; $A3, US_national_yearly!$D:$AM, MATCH(Keys!$C$7, US_national_yearly!$D$1:$AM$1, 0), FALSE), 1)</f>
        <v>7.3800854468884747E-7</v>
      </c>
      <c r="G3" s="12">
        <f>$B3 * IFERROR(VLOOKUP(Substitution!$M$18 &amp; $A3, US_national_yearly!$D:$AM, MATCH(G$1, US_national_yearly!$D$1:$AM$1, 0), FALSE) / VLOOKUP(Substitution!$M$18 &amp; $A3, US_national_yearly!$D:$AM, MATCH(Keys!$C$7, US_national_yearly!$D$1:$AM$1, 0), FALSE), 1)</f>
        <v>4.8992651555159337E-7</v>
      </c>
      <c r="H3" s="12">
        <f>$B3 * IFERROR(VLOOKUP(Substitution!$M$18 &amp; $A3, US_national_yearly!$D:$AM, MATCH(H$1, US_national_yearly!$D$1:$AM$1, 0), FALSE) / VLOOKUP(Substitution!$M$18 &amp; $A3, US_national_yearly!$D:$AM, MATCH(Keys!$C$7, US_national_yearly!$D$1:$AM$1, 0), FALSE), 1)</f>
        <v>2.4184448641433932E-7</v>
      </c>
      <c r="I3" s="12">
        <f>$B3 * IFERROR(VLOOKUP(Substitution!$M$18 &amp; $A3, US_national_yearly!$D:$AM, MATCH(I$1, US_national_yearly!$D$1:$AM$1, 0), FALSE) / VLOOKUP(Substitution!$M$18 &amp; $A3, US_national_yearly!$D:$AM, MATCH(Keys!$C$7, US_national_yearly!$D$1:$AM$1, 0), FALSE), 1)</f>
        <v>2.4013441498133335E-7</v>
      </c>
      <c r="J3" s="12">
        <f>$B3 * IFERROR(VLOOKUP(Substitution!$M$18 &amp; $A3, US_national_yearly!$D:$AM, MATCH(J$1, US_national_yearly!$D$1:$AM$1, 0), FALSE) / VLOOKUP(Substitution!$M$18 &amp; $A3, US_national_yearly!$D:$AM, MATCH(Keys!$C$7, US_national_yearly!$D$1:$AM$1, 0), FALSE), 1)</f>
        <v>2.3842434354832733E-7</v>
      </c>
      <c r="K3" s="12">
        <f>$B3 * IFERROR(VLOOKUP(Substitution!$M$18 &amp; $A3, US_national_yearly!$D:$AM, MATCH(K$1, US_national_yearly!$D$1:$AM$1, 0), FALSE) / VLOOKUP(Substitution!$M$18 &amp; $A3, US_national_yearly!$D:$AM, MATCH(Keys!$C$7, US_national_yearly!$D$1:$AM$1, 0), FALSE), 1)</f>
        <v>2.3671427211532138E-7</v>
      </c>
      <c r="L3" s="12">
        <f>$B3 * IFERROR(VLOOKUP(Substitution!$M$18 &amp; $A3, US_national_yearly!$D:$AM, MATCH(L$1, US_national_yearly!$D$1:$AM$1, 0), FALSE) / VLOOKUP(Substitution!$M$18 &amp; $A3, US_national_yearly!$D:$AM, MATCH(Keys!$C$7, US_national_yearly!$D$1:$AM$1, 0), FALSE), 1)</f>
        <v>2.3500420068231542E-7</v>
      </c>
      <c r="M3" s="12">
        <f>$B3 * IFERROR(VLOOKUP(Substitution!$M$18 &amp; $A3, US_national_yearly!$D:$AM, MATCH(M$1, US_national_yearly!$D$1:$AM$1, 0), FALSE) / VLOOKUP(Substitution!$M$18 &amp; $A3, US_national_yearly!$D:$AM, MATCH(Keys!$C$7, US_national_yearly!$D$1:$AM$1, 0), FALSE), 1)</f>
        <v>2.3329412924930939E-7</v>
      </c>
      <c r="N3" s="12">
        <f>$B3 * IFERROR(VLOOKUP(Substitution!$M$18 &amp; $A3, US_national_yearly!$D:$AM, MATCH(N$1, US_national_yearly!$D$1:$AM$1, 0), FALSE) / VLOOKUP(Substitution!$M$18 &amp; $A3, US_national_yearly!$D:$AM, MATCH(Keys!$C$7, US_national_yearly!$D$1:$AM$1, 0), FALSE), 1)</f>
        <v>2.3215905533441551E-7</v>
      </c>
      <c r="O3" s="12">
        <f>$B3 * IFERROR(VLOOKUP(Substitution!$M$18 &amp; $A3, US_national_yearly!$D:$AM, MATCH(O$1, US_national_yearly!$D$1:$AM$1, 0), FALSE) / VLOOKUP(Substitution!$M$18 &amp; $A3, US_national_yearly!$D:$AM, MATCH(Keys!$C$7, US_national_yearly!$D$1:$AM$1, 0), FALSE), 1)</f>
        <v>2.3102398141952166E-7</v>
      </c>
      <c r="P3" s="12">
        <f>$B3 * IFERROR(VLOOKUP(Substitution!$M$18 &amp; $A3, US_national_yearly!$D:$AM, MATCH(P$1, US_national_yearly!$D$1:$AM$1, 0), FALSE) / VLOOKUP(Substitution!$M$18 &amp; $A3, US_national_yearly!$D:$AM, MATCH(Keys!$C$7, US_national_yearly!$D$1:$AM$1, 0), FALSE), 1)</f>
        <v>2.2988890750462777E-7</v>
      </c>
      <c r="Q3" s="12">
        <f>$B3 * IFERROR(VLOOKUP(Substitution!$M$18 &amp; $A3, US_national_yearly!$D:$AM, MATCH(Q$1, US_national_yearly!$D$1:$AM$1, 0), FALSE) / VLOOKUP(Substitution!$M$18 &amp; $A3, US_national_yearly!$D:$AM, MATCH(Keys!$C$7, US_national_yearly!$D$1:$AM$1, 0), FALSE), 1)</f>
        <v>2.2875383358973389E-7</v>
      </c>
      <c r="R3" s="12">
        <f>$B3 * IFERROR(VLOOKUP(Substitution!$M$18 &amp; $A3, US_national_yearly!$D:$AM, MATCH(R$1, US_national_yearly!$D$1:$AM$1, 0), FALSE) / VLOOKUP(Substitution!$M$18 &amp; $A3, US_national_yearly!$D:$AM, MATCH(Keys!$C$7, US_national_yearly!$D$1:$AM$1, 0), FALSE), 1)</f>
        <v>2.2761875967484004E-7</v>
      </c>
      <c r="S3" s="12">
        <f>$B3 * IFERROR(VLOOKUP(Substitution!$M$18 &amp; $A3, US_national_yearly!$D:$AM, MATCH(S$1, US_national_yearly!$D$1:$AM$1, 0), FALSE) / VLOOKUP(Substitution!$M$18 &amp; $A3, US_national_yearly!$D:$AM, MATCH(Keys!$C$7, US_national_yearly!$D$1:$AM$1, 0), FALSE), 1)</f>
        <v>2.2625422032534113E-7</v>
      </c>
      <c r="T3" s="12">
        <f>$B3 * IFERROR(VLOOKUP(Substitution!$M$18 &amp; $A3, US_national_yearly!$D:$AM, MATCH(T$1, US_national_yearly!$D$1:$AM$1, 0), FALSE) / VLOOKUP(Substitution!$M$18 &amp; $A3, US_national_yearly!$D:$AM, MATCH(Keys!$C$7, US_national_yearly!$D$1:$AM$1, 0), FALSE), 1)</f>
        <v>2.2488968097584225E-7</v>
      </c>
      <c r="U3" s="12">
        <f>$B3 * IFERROR(VLOOKUP(Substitution!$M$18 &amp; $A3, US_national_yearly!$D:$AM, MATCH(U$1, US_national_yearly!$D$1:$AM$1, 0), FALSE) / VLOOKUP(Substitution!$M$18 &amp; $A3, US_national_yearly!$D:$AM, MATCH(Keys!$C$7, US_national_yearly!$D$1:$AM$1, 0), FALSE), 1)</f>
        <v>2.2352514162634338E-7</v>
      </c>
      <c r="V3" s="12">
        <f>$B3 * IFERROR(VLOOKUP(Substitution!$M$18 &amp; $A3, US_national_yearly!$D:$AM, MATCH(V$1, US_national_yearly!$D$1:$AM$1, 0), FALSE) / VLOOKUP(Substitution!$M$18 &amp; $A3, US_national_yearly!$D:$AM, MATCH(Keys!$C$7, US_national_yearly!$D$1:$AM$1, 0), FALSE), 1)</f>
        <v>2.2216060227684447E-7</v>
      </c>
      <c r="W3" s="12">
        <f>$B3 * IFERROR(VLOOKUP(Substitution!$M$18 &amp; $A3, US_national_yearly!$D:$AM, MATCH(W$1, US_national_yearly!$D$1:$AM$1, 0), FALSE) / VLOOKUP(Substitution!$M$18 &amp; $A3, US_national_yearly!$D:$AM, MATCH(Keys!$C$7, US_national_yearly!$D$1:$AM$1, 0), FALSE), 1)</f>
        <v>2.2079606292734559E-7</v>
      </c>
      <c r="X3" s="12">
        <f>$B3 * IFERROR(VLOOKUP(Substitution!$M$18 &amp; $A3, US_national_yearly!$D:$AM, MATCH(X$1, US_national_yearly!$D$1:$AM$1, 0), FALSE) / VLOOKUP(Substitution!$M$18 &amp; $A3, US_national_yearly!$D:$AM, MATCH(Keys!$C$7, US_national_yearly!$D$1:$AM$1, 0), FALSE), 1)</f>
        <v>2.1935094976979656E-7</v>
      </c>
      <c r="Y3" s="12">
        <f>$B3 * IFERROR(VLOOKUP(Substitution!$M$18 &amp; $A3, US_national_yearly!$D:$AM, MATCH(Y$1, US_national_yearly!$D$1:$AM$1, 0), FALSE) / VLOOKUP(Substitution!$M$18 &amp; $A3, US_national_yearly!$D:$AM, MATCH(Keys!$C$7, US_national_yearly!$D$1:$AM$1, 0), FALSE), 1)</f>
        <v>2.1790583661224746E-7</v>
      </c>
      <c r="Z3" s="12">
        <f>$B3 * IFERROR(VLOOKUP(Substitution!$M$18 &amp; $A3, US_national_yearly!$D:$AM, MATCH(Z$1, US_national_yearly!$D$1:$AM$1, 0), FALSE) / VLOOKUP(Substitution!$M$18 &amp; $A3, US_national_yearly!$D:$AM, MATCH(Keys!$C$7, US_national_yearly!$D$1:$AM$1, 0), FALSE), 1)</f>
        <v>2.1646072345469837E-7</v>
      </c>
      <c r="AA3" s="12">
        <f>$B3 * IFERROR(VLOOKUP(Substitution!$M$18 &amp; $A3, US_national_yearly!$D:$AM, MATCH(AA$1, US_national_yearly!$D$1:$AM$1, 0), FALSE) / VLOOKUP(Substitution!$M$18 &amp; $A3, US_national_yearly!$D:$AM, MATCH(Keys!$C$7, US_national_yearly!$D$1:$AM$1, 0), FALSE), 1)</f>
        <v>2.1501561029714928E-7</v>
      </c>
      <c r="AB3" s="12">
        <f>$B3 * IFERROR(VLOOKUP(Substitution!$M$18 &amp; $A3, US_national_yearly!$D:$AM, MATCH(AB$1, US_national_yearly!$D$1:$AM$1, 0), FALSE) / VLOOKUP(Substitution!$M$18 &amp; $A3, US_national_yearly!$D:$AM, MATCH(Keys!$C$7, US_national_yearly!$D$1:$AM$1, 0), FALSE), 1)</f>
        <v>2.1357049713960019E-7</v>
      </c>
    </row>
    <row r="4" spans="1:28" x14ac:dyDescent="0.25">
      <c r="A4" s="4" t="s">
        <v>295</v>
      </c>
      <c r="B4" s="12">
        <f>IFERROR(VLOOKUP(Substitution!$M$18 &amp; $A4, US_national_yearly!$D:$AM, MATCH(Keys!$C$7, US_national_yearly!$D$1:$AM$1, 0), FALSE), 0)</f>
        <v>0.535761912021263</v>
      </c>
      <c r="C4" s="12">
        <f>$B4 * IFERROR(VLOOKUP(Substitution!$M$18 &amp; $A4, US_national_yearly!$D:$AM, MATCH(C$1, US_national_yearly!$D$1:$AM$1, 0), FALSE) / VLOOKUP(Substitution!$M$18 &amp; $A4, US_national_yearly!$D:$AM, MATCH(Keys!$C$7, US_national_yearly!$D$1:$AM$1, 0), FALSE), 1)</f>
        <v>0.54097274888435198</v>
      </c>
      <c r="D4" s="12">
        <f>$B4 * IFERROR(VLOOKUP(Substitution!$M$18 &amp; $A4, US_national_yearly!$D:$AM, MATCH(D$1, US_national_yearly!$D$1:$AM$1, 0), FALSE) / VLOOKUP(Substitution!$M$18 &amp; $A4, US_national_yearly!$D:$AM, MATCH(Keys!$C$7, US_national_yearly!$D$1:$AM$1, 0), FALSE), 1)</f>
        <v>0.54618358574744119</v>
      </c>
      <c r="E4" s="12">
        <f>$B4 * IFERROR(VLOOKUP(Substitution!$M$18 &amp; $A4, US_national_yearly!$D:$AM, MATCH(E$1, US_national_yearly!$D$1:$AM$1, 0), FALSE) / VLOOKUP(Substitution!$M$18 &amp; $A4, US_national_yearly!$D:$AM, MATCH(Keys!$C$7, US_national_yearly!$D$1:$AM$1, 0), FALSE), 1)</f>
        <v>0.55139442261053007</v>
      </c>
      <c r="F4" s="12">
        <f>$B4 * IFERROR(VLOOKUP(Substitution!$M$18 &amp; $A4, US_national_yearly!$D:$AM, MATCH(F$1, US_national_yearly!$D$1:$AM$1, 0), FALSE) / VLOOKUP(Substitution!$M$18 &amp; $A4, US_national_yearly!$D:$AM, MATCH(Keys!$C$7, US_national_yearly!$D$1:$AM$1, 0), FALSE), 1)</f>
        <v>0.55660525947361905</v>
      </c>
      <c r="G4" s="12">
        <f>$B4 * IFERROR(VLOOKUP(Substitution!$M$18 &amp; $A4, US_national_yearly!$D:$AM, MATCH(G$1, US_national_yearly!$D$1:$AM$1, 0), FALSE) / VLOOKUP(Substitution!$M$18 &amp; $A4, US_national_yearly!$D:$AM, MATCH(Keys!$C$7, US_national_yearly!$D$1:$AM$1, 0), FALSE), 1)</f>
        <v>0.56263694647486395</v>
      </c>
      <c r="H4" s="12">
        <f>$B4 * IFERROR(VLOOKUP(Substitution!$M$18 &amp; $A4, US_national_yearly!$D:$AM, MATCH(H$1, US_national_yearly!$D$1:$AM$1, 0), FALSE) / VLOOKUP(Substitution!$M$18 &amp; $A4, US_national_yearly!$D:$AM, MATCH(Keys!$C$7, US_national_yearly!$D$1:$AM$1, 0), FALSE), 1)</f>
        <v>0.56866863347610896</v>
      </c>
      <c r="I4" s="12">
        <f>$B4 * IFERROR(VLOOKUP(Substitution!$M$18 &amp; $A4, US_national_yearly!$D:$AM, MATCH(I$1, US_national_yearly!$D$1:$AM$1, 0), FALSE) / VLOOKUP(Substitution!$M$18 &amp; $A4, US_national_yearly!$D:$AM, MATCH(Keys!$C$7, US_national_yearly!$D$1:$AM$1, 0), FALSE), 1)</f>
        <v>0.57282420835998249</v>
      </c>
      <c r="J4" s="12">
        <f>$B4 * IFERROR(VLOOKUP(Substitution!$M$18 &amp; $A4, US_national_yearly!$D:$AM, MATCH(J$1, US_national_yearly!$D$1:$AM$1, 0), FALSE) / VLOOKUP(Substitution!$M$18 &amp; $A4, US_national_yearly!$D:$AM, MATCH(Keys!$C$7, US_national_yearly!$D$1:$AM$1, 0), FALSE), 1)</f>
        <v>0.57697978324385624</v>
      </c>
      <c r="K4" s="12">
        <f>$B4 * IFERROR(VLOOKUP(Substitution!$M$18 &amp; $A4, US_national_yearly!$D:$AM, MATCH(K$1, US_national_yearly!$D$1:$AM$1, 0), FALSE) / VLOOKUP(Substitution!$M$18 &amp; $A4, US_national_yearly!$D:$AM, MATCH(Keys!$C$7, US_national_yearly!$D$1:$AM$1, 0), FALSE), 1)</f>
        <v>0.58113535812772976</v>
      </c>
      <c r="L4" s="12">
        <f>$B4 * IFERROR(VLOOKUP(Substitution!$M$18 &amp; $A4, US_national_yearly!$D:$AM, MATCH(L$1, US_national_yearly!$D$1:$AM$1, 0), FALSE) / VLOOKUP(Substitution!$M$18 &amp; $A4, US_national_yearly!$D:$AM, MATCH(Keys!$C$7, US_national_yearly!$D$1:$AM$1, 0), FALSE), 1)</f>
        <v>0.5852909330116034</v>
      </c>
      <c r="M4" s="12">
        <f>$B4 * IFERROR(VLOOKUP(Substitution!$M$18 &amp; $A4, US_national_yearly!$D:$AM, MATCH(M$1, US_national_yearly!$D$1:$AM$1, 0), FALSE) / VLOOKUP(Substitution!$M$18 &amp; $A4, US_national_yearly!$D:$AM, MATCH(Keys!$C$7, US_national_yearly!$D$1:$AM$1, 0), FALSE), 1)</f>
        <v>0.58944650789547703</v>
      </c>
      <c r="N4" s="12">
        <f>$B4 * IFERROR(VLOOKUP(Substitution!$M$18 &amp; $A4, US_national_yearly!$D:$AM, MATCH(N$1, US_national_yearly!$D$1:$AM$1, 0), FALSE) / VLOOKUP(Substitution!$M$18 &amp; $A4, US_national_yearly!$D:$AM, MATCH(Keys!$C$7, US_national_yearly!$D$1:$AM$1, 0), FALSE), 1)</f>
        <v>0.59087899407618505</v>
      </c>
      <c r="O4" s="12">
        <f>$B4 * IFERROR(VLOOKUP(Substitution!$M$18 &amp; $A4, US_national_yearly!$D:$AM, MATCH(O$1, US_national_yearly!$D$1:$AM$1, 0), FALSE) / VLOOKUP(Substitution!$M$18 &amp; $A4, US_national_yearly!$D:$AM, MATCH(Keys!$C$7, US_national_yearly!$D$1:$AM$1, 0), FALSE), 1)</f>
        <v>0.59231148025689306</v>
      </c>
      <c r="P4" s="12">
        <f>$B4 * IFERROR(VLOOKUP(Substitution!$M$18 &amp; $A4, US_national_yearly!$D:$AM, MATCH(P$1, US_national_yearly!$D$1:$AM$1, 0), FALSE) / VLOOKUP(Substitution!$M$18 &amp; $A4, US_national_yearly!$D:$AM, MATCH(Keys!$C$7, US_national_yearly!$D$1:$AM$1, 0), FALSE), 1)</f>
        <v>0.59374396643760097</v>
      </c>
      <c r="Q4" s="12">
        <f>$B4 * IFERROR(VLOOKUP(Substitution!$M$18 &amp; $A4, US_national_yearly!$D:$AM, MATCH(Q$1, US_national_yearly!$D$1:$AM$1, 0), FALSE) / VLOOKUP(Substitution!$M$18 &amp; $A4, US_national_yearly!$D:$AM, MATCH(Keys!$C$7, US_national_yearly!$D$1:$AM$1, 0), FALSE), 1)</f>
        <v>0.59517645261830909</v>
      </c>
      <c r="R4" s="12">
        <f>$B4 * IFERROR(VLOOKUP(Substitution!$M$18 &amp; $A4, US_national_yearly!$D:$AM, MATCH(R$1, US_national_yearly!$D$1:$AM$1, 0), FALSE) / VLOOKUP(Substitution!$M$18 &amp; $A4, US_national_yearly!$D:$AM, MATCH(Keys!$C$7, US_national_yearly!$D$1:$AM$1, 0), FALSE), 1)</f>
        <v>0.596608938799017</v>
      </c>
      <c r="S4" s="12">
        <f>$B4 * IFERROR(VLOOKUP(Substitution!$M$18 &amp; $A4, US_national_yearly!$D:$AM, MATCH(S$1, US_national_yearly!$D$1:$AM$1, 0), FALSE) / VLOOKUP(Substitution!$M$18 &amp; $A4, US_national_yearly!$D:$AM, MATCH(Keys!$C$7, US_national_yearly!$D$1:$AM$1, 0), FALSE), 1)</f>
        <v>0.59849026207985423</v>
      </c>
      <c r="T4" s="12">
        <f>$B4 * IFERROR(VLOOKUP(Substitution!$M$18 &amp; $A4, US_national_yearly!$D:$AM, MATCH(T$1, US_national_yearly!$D$1:$AM$1, 0), FALSE) / VLOOKUP(Substitution!$M$18 &amp; $A4, US_national_yearly!$D:$AM, MATCH(Keys!$C$7, US_national_yearly!$D$1:$AM$1, 0), FALSE), 1)</f>
        <v>0.60037158536069146</v>
      </c>
      <c r="U4" s="12">
        <f>$B4 * IFERROR(VLOOKUP(Substitution!$M$18 &amp; $A4, US_national_yearly!$D:$AM, MATCH(U$1, US_national_yearly!$D$1:$AM$1, 0), FALSE) / VLOOKUP(Substitution!$M$18 &amp; $A4, US_national_yearly!$D:$AM, MATCH(Keys!$C$7, US_national_yearly!$D$1:$AM$1, 0), FALSE), 1)</f>
        <v>0.60225290864152858</v>
      </c>
      <c r="V4" s="12">
        <f>$B4 * IFERROR(VLOOKUP(Substitution!$M$18 &amp; $A4, US_national_yearly!$D:$AM, MATCH(V$1, US_national_yearly!$D$1:$AM$1, 0), FALSE) / VLOOKUP(Substitution!$M$18 &amp; $A4, US_national_yearly!$D:$AM, MATCH(Keys!$C$7, US_national_yearly!$D$1:$AM$1, 0), FALSE), 1)</f>
        <v>0.60413423192236582</v>
      </c>
      <c r="W4" s="12">
        <f>$B4 * IFERROR(VLOOKUP(Substitution!$M$18 &amp; $A4, US_national_yearly!$D:$AM, MATCH(W$1, US_national_yearly!$D$1:$AM$1, 0), FALSE) / VLOOKUP(Substitution!$M$18 &amp; $A4, US_national_yearly!$D:$AM, MATCH(Keys!$C$7, US_national_yearly!$D$1:$AM$1, 0), FALSE), 1)</f>
        <v>0.60601555520320305</v>
      </c>
      <c r="X4" s="12">
        <f>$B4 * IFERROR(VLOOKUP(Substitution!$M$18 &amp; $A4, US_national_yearly!$D:$AM, MATCH(X$1, US_national_yearly!$D$1:$AM$1, 0), FALSE) / VLOOKUP(Substitution!$M$18 &amp; $A4, US_national_yearly!$D:$AM, MATCH(Keys!$C$7, US_national_yearly!$D$1:$AM$1, 0), FALSE), 1)</f>
        <v>0.6081352320331378</v>
      </c>
      <c r="Y4" s="12">
        <f>$B4 * IFERROR(VLOOKUP(Substitution!$M$18 &amp; $A4, US_national_yearly!$D:$AM, MATCH(Y$1, US_national_yearly!$D$1:$AM$1, 0), FALSE) / VLOOKUP(Substitution!$M$18 &amp; $A4, US_national_yearly!$D:$AM, MATCH(Keys!$C$7, US_national_yearly!$D$1:$AM$1, 0), FALSE), 1)</f>
        <v>0.61025490886307265</v>
      </c>
      <c r="Z4" s="12">
        <f>$B4 * IFERROR(VLOOKUP(Substitution!$M$18 &amp; $A4, US_national_yearly!$D:$AM, MATCH(Z$1, US_national_yearly!$D$1:$AM$1, 0), FALSE) / VLOOKUP(Substitution!$M$18 &amp; $A4, US_national_yearly!$D:$AM, MATCH(Keys!$C$7, US_national_yearly!$D$1:$AM$1, 0), FALSE), 1)</f>
        <v>0.6123745856930074</v>
      </c>
      <c r="AA4" s="12">
        <f>$B4 * IFERROR(VLOOKUP(Substitution!$M$18 &amp; $A4, US_national_yearly!$D:$AM, MATCH(AA$1, US_national_yearly!$D$1:$AM$1, 0), FALSE) / VLOOKUP(Substitution!$M$18 &amp; $A4, US_national_yearly!$D:$AM, MATCH(Keys!$C$7, US_national_yearly!$D$1:$AM$1, 0), FALSE), 1)</f>
        <v>0.61449426252294226</v>
      </c>
      <c r="AB4" s="12">
        <f>$B4 * IFERROR(VLOOKUP(Substitution!$M$18 &amp; $A4, US_national_yearly!$D:$AM, MATCH(AB$1, US_national_yearly!$D$1:$AM$1, 0), FALSE) / VLOOKUP(Substitution!$M$18 &amp; $A4, US_national_yearly!$D:$AM, MATCH(Keys!$C$7, US_national_yearly!$D$1:$AM$1, 0), FALSE), 1)</f>
        <v>0.61661393935287701</v>
      </c>
    </row>
    <row r="5" spans="1:28" x14ac:dyDescent="0.25">
      <c r="A5" s="4" t="s">
        <v>297</v>
      </c>
      <c r="B5" s="12">
        <f>IFERROR(VLOOKUP(Substitution!$M$18 &amp; $A5, US_national_yearly!$D:$AM, MATCH(Keys!$C$7, US_national_yearly!$D$1:$AM$1, 0), FALSE), 0)</f>
        <v>0.87718934501489121</v>
      </c>
      <c r="C5" s="12">
        <f>$B5 * IFERROR(VLOOKUP(Substitution!$M$18 &amp; $A5, US_national_yearly!$D:$AM, MATCH(C$1, US_national_yearly!$D$1:$AM$1, 0), FALSE) / VLOOKUP(Substitution!$M$18 &amp; $A5, US_national_yearly!$D:$AM, MATCH(Keys!$C$7, US_national_yearly!$D$1:$AM$1, 0), FALSE), 1)</f>
        <v>0.88918195751509443</v>
      </c>
      <c r="D5" s="12">
        <f>$B5 * IFERROR(VLOOKUP(Substitution!$M$18 &amp; $A5, US_national_yearly!$D:$AM, MATCH(D$1, US_national_yearly!$D$1:$AM$1, 0), FALSE) / VLOOKUP(Substitution!$M$18 &amp; $A5, US_national_yearly!$D:$AM, MATCH(Keys!$C$7, US_national_yearly!$D$1:$AM$1, 0), FALSE), 1)</f>
        <v>0.90117457001529755</v>
      </c>
      <c r="E5" s="12">
        <f>$B5 * IFERROR(VLOOKUP(Substitution!$M$18 &amp; $A5, US_national_yearly!$D:$AM, MATCH(E$1, US_national_yearly!$D$1:$AM$1, 0), FALSE) / VLOOKUP(Substitution!$M$18 &amp; $A5, US_national_yearly!$D:$AM, MATCH(Keys!$C$7, US_national_yearly!$D$1:$AM$1, 0), FALSE), 1)</f>
        <v>0.91316718251550077</v>
      </c>
      <c r="F5" s="12">
        <f>$B5 * IFERROR(VLOOKUP(Substitution!$M$18 &amp; $A5, US_national_yearly!$D:$AM, MATCH(F$1, US_national_yearly!$D$1:$AM$1, 0), FALSE) / VLOOKUP(Substitution!$M$18 &amp; $A5, US_national_yearly!$D:$AM, MATCH(Keys!$C$7, US_national_yearly!$D$1:$AM$1, 0), FALSE), 1)</f>
        <v>0.925159795015704</v>
      </c>
      <c r="G5" s="12">
        <f>$B5 * IFERROR(VLOOKUP(Substitution!$M$18 &amp; $A5, US_national_yearly!$D:$AM, MATCH(G$1, US_national_yearly!$D$1:$AM$1, 0), FALSE) / VLOOKUP(Substitution!$M$18 &amp; $A5, US_national_yearly!$D:$AM, MATCH(Keys!$C$7, US_national_yearly!$D$1:$AM$1, 0), FALSE), 1)</f>
        <v>0.93473422024424657</v>
      </c>
      <c r="H5" s="12">
        <f>$B5 * IFERROR(VLOOKUP(Substitution!$M$18 &amp; $A5, US_national_yearly!$D:$AM, MATCH(H$1, US_national_yearly!$D$1:$AM$1, 0), FALSE) / VLOOKUP(Substitution!$M$18 &amp; $A5, US_national_yearly!$D:$AM, MATCH(Keys!$C$7, US_national_yearly!$D$1:$AM$1, 0), FALSE), 1)</f>
        <v>0.94430864547278903</v>
      </c>
      <c r="I5" s="12">
        <f>$B5 * IFERROR(VLOOKUP(Substitution!$M$18 &amp; $A5, US_national_yearly!$D:$AM, MATCH(I$1, US_national_yearly!$D$1:$AM$1, 0), FALSE) / VLOOKUP(Substitution!$M$18 &amp; $A5, US_national_yearly!$D:$AM, MATCH(Keys!$C$7, US_national_yearly!$D$1:$AM$1, 0), FALSE), 1)</f>
        <v>0.94760402576418956</v>
      </c>
      <c r="J5" s="12">
        <f>$B5 * IFERROR(VLOOKUP(Substitution!$M$18 &amp; $A5, US_national_yearly!$D:$AM, MATCH(J$1, US_national_yearly!$D$1:$AM$1, 0), FALSE) / VLOOKUP(Substitution!$M$18 &amp; $A5, US_national_yearly!$D:$AM, MATCH(Keys!$C$7, US_national_yearly!$D$1:$AM$1, 0), FALSE), 1)</f>
        <v>0.9508994060555902</v>
      </c>
      <c r="K5" s="12">
        <f>$B5 * IFERROR(VLOOKUP(Substitution!$M$18 &amp; $A5, US_national_yearly!$D:$AM, MATCH(K$1, US_national_yearly!$D$1:$AM$1, 0), FALSE) / VLOOKUP(Substitution!$M$18 &amp; $A5, US_national_yearly!$D:$AM, MATCH(Keys!$C$7, US_national_yearly!$D$1:$AM$1, 0), FALSE), 1)</f>
        <v>0.95419478634699084</v>
      </c>
      <c r="L5" s="12">
        <f>$B5 * IFERROR(VLOOKUP(Substitution!$M$18 &amp; $A5, US_national_yearly!$D:$AM, MATCH(L$1, US_national_yearly!$D$1:$AM$1, 0), FALSE) / VLOOKUP(Substitution!$M$18 &amp; $A5, US_national_yearly!$D:$AM, MATCH(Keys!$C$7, US_national_yearly!$D$1:$AM$1, 0), FALSE), 1)</f>
        <v>0.95749016663839137</v>
      </c>
      <c r="M5" s="12">
        <f>$B5 * IFERROR(VLOOKUP(Substitution!$M$18 &amp; $A5, US_national_yearly!$D:$AM, MATCH(M$1, US_national_yearly!$D$1:$AM$1, 0), FALSE) / VLOOKUP(Substitution!$M$18 &amp; $A5, US_national_yearly!$D:$AM, MATCH(Keys!$C$7, US_national_yearly!$D$1:$AM$1, 0), FALSE), 1)</f>
        <v>0.9607855469297919</v>
      </c>
      <c r="N5" s="12">
        <f>$B5 * IFERROR(VLOOKUP(Substitution!$M$18 &amp; $A5, US_national_yearly!$D:$AM, MATCH(N$1, US_national_yearly!$D$1:$AM$1, 0), FALSE) / VLOOKUP(Substitution!$M$18 &amp; $A5, US_national_yearly!$D:$AM, MATCH(Keys!$C$7, US_national_yearly!$D$1:$AM$1, 0), FALSE), 1)</f>
        <v>0.9646067857833508</v>
      </c>
      <c r="O5" s="12">
        <f>$B5 * IFERROR(VLOOKUP(Substitution!$M$18 &amp; $A5, US_national_yearly!$D:$AM, MATCH(O$1, US_national_yearly!$D$1:$AM$1, 0), FALSE) / VLOOKUP(Substitution!$M$18 &amp; $A5, US_national_yearly!$D:$AM, MATCH(Keys!$C$7, US_national_yearly!$D$1:$AM$1, 0), FALSE), 1)</f>
        <v>0.96842802463690958</v>
      </c>
      <c r="P5" s="12">
        <f>$B5 * IFERROR(VLOOKUP(Substitution!$M$18 &amp; $A5, US_national_yearly!$D:$AM, MATCH(P$1, US_national_yearly!$D$1:$AM$1, 0), FALSE) / VLOOKUP(Substitution!$M$18 &amp; $A5, US_national_yearly!$D:$AM, MATCH(Keys!$C$7, US_national_yearly!$D$1:$AM$1, 0), FALSE), 1)</f>
        <v>0.97224926349046847</v>
      </c>
      <c r="Q5" s="12">
        <f>$B5 * IFERROR(VLOOKUP(Substitution!$M$18 &amp; $A5, US_national_yearly!$D:$AM, MATCH(Q$1, US_national_yearly!$D$1:$AM$1, 0), FALSE) / VLOOKUP(Substitution!$M$18 &amp; $A5, US_national_yearly!$D:$AM, MATCH(Keys!$C$7, US_national_yearly!$D$1:$AM$1, 0), FALSE), 1)</f>
        <v>0.97607050234402726</v>
      </c>
      <c r="R5" s="12">
        <f>$B5 * IFERROR(VLOOKUP(Substitution!$M$18 &amp; $A5, US_national_yearly!$D:$AM, MATCH(R$1, US_national_yearly!$D$1:$AM$1, 0), FALSE) / VLOOKUP(Substitution!$M$18 &amp; $A5, US_national_yearly!$D:$AM, MATCH(Keys!$C$7, US_national_yearly!$D$1:$AM$1, 0), FALSE), 1)</f>
        <v>0.97989174119758604</v>
      </c>
      <c r="S5" s="12">
        <f>$B5 * IFERROR(VLOOKUP(Substitution!$M$18 &amp; $A5, US_national_yearly!$D:$AM, MATCH(S$1, US_national_yearly!$D$1:$AM$1, 0), FALSE) / VLOOKUP(Substitution!$M$18 &amp; $A5, US_national_yearly!$D:$AM, MATCH(Keys!$C$7, US_national_yearly!$D$1:$AM$1, 0), FALSE), 1)</f>
        <v>0.98488349619861282</v>
      </c>
      <c r="T5" s="12">
        <f>$B5 * IFERROR(VLOOKUP(Substitution!$M$18 &amp; $A5, US_national_yearly!$D:$AM, MATCH(T$1, US_national_yearly!$D$1:$AM$1, 0), FALSE) / VLOOKUP(Substitution!$M$18 &amp; $A5, US_national_yearly!$D:$AM, MATCH(Keys!$C$7, US_national_yearly!$D$1:$AM$1, 0), FALSE), 1)</f>
        <v>0.98987525119963948</v>
      </c>
      <c r="U5" s="12">
        <f>$B5 * IFERROR(VLOOKUP(Substitution!$M$18 &amp; $A5, US_national_yearly!$D:$AM, MATCH(U$1, US_national_yearly!$D$1:$AM$1, 0), FALSE) / VLOOKUP(Substitution!$M$18 &amp; $A5, US_national_yearly!$D:$AM, MATCH(Keys!$C$7, US_national_yearly!$D$1:$AM$1, 0), FALSE), 1)</f>
        <v>0.99486700620066637</v>
      </c>
      <c r="V5" s="12">
        <f>$B5 * IFERROR(VLOOKUP(Substitution!$M$18 &amp; $A5, US_national_yearly!$D:$AM, MATCH(V$1, US_national_yearly!$D$1:$AM$1, 0), FALSE) / VLOOKUP(Substitution!$M$18 &amp; $A5, US_national_yearly!$D:$AM, MATCH(Keys!$C$7, US_national_yearly!$D$1:$AM$1, 0), FALSE), 1)</f>
        <v>0.99985876120169315</v>
      </c>
      <c r="W5" s="12">
        <f>$B5 * IFERROR(VLOOKUP(Substitution!$M$18 &amp; $A5, US_national_yearly!$D:$AM, MATCH(W$1, US_national_yearly!$D$1:$AM$1, 0), FALSE) / VLOOKUP(Substitution!$M$18 &amp; $A5, US_national_yearly!$D:$AM, MATCH(Keys!$C$7, US_national_yearly!$D$1:$AM$1, 0), FALSE), 1)</f>
        <v>1.0048505162027199</v>
      </c>
      <c r="X5" s="12">
        <f>$B5 * IFERROR(VLOOKUP(Substitution!$M$18 &amp; $A5, US_national_yearly!$D:$AM, MATCH(X$1, US_national_yearly!$D$1:$AM$1, 0), FALSE) / VLOOKUP(Substitution!$M$18 &amp; $A5, US_national_yearly!$D:$AM, MATCH(Keys!$C$7, US_national_yearly!$D$1:$AM$1, 0), FALSE), 1)</f>
        <v>1.0094885738374779</v>
      </c>
      <c r="Y5" s="12">
        <f>$B5 * IFERROR(VLOOKUP(Substitution!$M$18 &amp; $A5, US_national_yearly!$D:$AM, MATCH(Y$1, US_national_yearly!$D$1:$AM$1, 0), FALSE) / VLOOKUP(Substitution!$M$18 &amp; $A5, US_national_yearly!$D:$AM, MATCH(Keys!$C$7, US_national_yearly!$D$1:$AM$1, 0), FALSE), 1)</f>
        <v>1.0141266314722359</v>
      </c>
      <c r="Z5" s="12">
        <f>$B5 * IFERROR(VLOOKUP(Substitution!$M$18 &amp; $A5, US_national_yearly!$D:$AM, MATCH(Z$1, US_national_yearly!$D$1:$AM$1, 0), FALSE) / VLOOKUP(Substitution!$M$18 &amp; $A5, US_national_yearly!$D:$AM, MATCH(Keys!$C$7, US_national_yearly!$D$1:$AM$1, 0), FALSE), 1)</f>
        <v>1.0187646891069939</v>
      </c>
      <c r="AA5" s="12">
        <f>$B5 * IFERROR(VLOOKUP(Substitution!$M$18 &amp; $A5, US_national_yearly!$D:$AM, MATCH(AA$1, US_national_yearly!$D$1:$AM$1, 0), FALSE) / VLOOKUP(Substitution!$M$18 &amp; $A5, US_national_yearly!$D:$AM, MATCH(Keys!$C$7, US_national_yearly!$D$1:$AM$1, 0), FALSE), 1)</f>
        <v>1.0234027467417519</v>
      </c>
      <c r="AB5" s="12">
        <f>$B5 * IFERROR(VLOOKUP(Substitution!$M$18 &amp; $A5, US_national_yearly!$D:$AM, MATCH(AB$1, US_national_yearly!$D$1:$AM$1, 0), FALSE) / VLOOKUP(Substitution!$M$18 &amp; $A5, US_national_yearly!$D:$AM, MATCH(Keys!$C$7, US_national_yearly!$D$1:$AM$1, 0), FALSE), 1)</f>
        <v>1.0280408043765099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Substitution!$G$18)/IFERROR(SUMIFS(COBRA_aggregated!$W:$W, COBRA_aggregated!$A:$A, About!$B$1, COBRA_aggregated!$B:$B, Substitution!$G$18), 1)</f>
        <v>8.1885791756636293E-4</v>
      </c>
      <c r="C6" s="12">
        <f>$B6 * IFERROR(VLOOKUP(Substitution!$M$18 &amp; $A6, US_national_yearly!$D:$AM, MATCH(C$1, US_national_yearly!$D$1:$AM$1, 0), FALSE) / VLOOKUP(Substitution!$M$18 &amp; $A6, US_national_yearly!$D:$AM, MATCH(Keys!$C$7, US_national_yearly!$D$1:$AM$1, 0), FALSE), 1)</f>
        <v>8.3005304407919524E-4</v>
      </c>
      <c r="D6" s="12">
        <f>$B6 * IFERROR(VLOOKUP(Substitution!$M$18 &amp; $A6, US_national_yearly!$D:$AM, MATCH(D$1, US_national_yearly!$D$1:$AM$1, 0), FALSE) / VLOOKUP(Substitution!$M$18 &amp; $A6, US_national_yearly!$D:$AM, MATCH(Keys!$C$7, US_national_yearly!$D$1:$AM$1, 0), FALSE), 1)</f>
        <v>8.4124817059202754E-4</v>
      </c>
      <c r="E6" s="12">
        <f>$B6 * IFERROR(VLOOKUP(Substitution!$M$18 &amp; $A6, US_national_yearly!$D:$AM, MATCH(E$1, US_national_yearly!$D$1:$AM$1, 0), FALSE) / VLOOKUP(Substitution!$M$18 &amp; $A6, US_national_yearly!$D:$AM, MATCH(Keys!$C$7, US_national_yearly!$D$1:$AM$1, 0), FALSE), 1)</f>
        <v>8.5244329710485985E-4</v>
      </c>
      <c r="F6" s="12">
        <f>$B6 * IFERROR(VLOOKUP(Substitution!$M$18 &amp; $A6, US_national_yearly!$D:$AM, MATCH(F$1, US_national_yearly!$D$1:$AM$1, 0), FALSE) / VLOOKUP(Substitution!$M$18 &amp; $A6, US_national_yearly!$D:$AM, MATCH(Keys!$C$7, US_national_yearly!$D$1:$AM$1, 0), FALSE), 1)</f>
        <v>8.6363842361769205E-4</v>
      </c>
      <c r="G6" s="12">
        <f>$B6 * IFERROR(VLOOKUP(Substitution!$M$18 &amp; $A6, US_national_yearly!$D:$AM, MATCH(G$1, US_national_yearly!$D$1:$AM$1, 0), FALSE) / VLOOKUP(Substitution!$M$18 &amp; $A6, US_national_yearly!$D:$AM, MATCH(Keys!$C$7, US_national_yearly!$D$1:$AM$1, 0), FALSE), 1)</f>
        <v>8.7257616772494961E-4</v>
      </c>
      <c r="H6" s="12">
        <f>$B6 * IFERROR(VLOOKUP(Substitution!$M$18 &amp; $A6, US_national_yearly!$D:$AM, MATCH(H$1, US_national_yearly!$D$1:$AM$1, 0), FALSE) / VLOOKUP(Substitution!$M$18 &amp; $A6, US_national_yearly!$D:$AM, MATCH(Keys!$C$7, US_national_yearly!$D$1:$AM$1, 0), FALSE), 1)</f>
        <v>8.8151391183220729E-4</v>
      </c>
      <c r="I6" s="12">
        <f>$B6 * IFERROR(VLOOKUP(Substitution!$M$18 &amp; $A6, US_national_yearly!$D:$AM, MATCH(I$1, US_national_yearly!$D$1:$AM$1, 0), FALSE) / VLOOKUP(Substitution!$M$18 &amp; $A6, US_national_yearly!$D:$AM, MATCH(Keys!$C$7, US_national_yearly!$D$1:$AM$1, 0), FALSE), 1)</f>
        <v>8.8459015558215825E-4</v>
      </c>
      <c r="J6" s="12">
        <f>$B6 * IFERROR(VLOOKUP(Substitution!$M$18 &amp; $A6, US_national_yearly!$D:$AM, MATCH(J$1, US_national_yearly!$D$1:$AM$1, 0), FALSE) / VLOOKUP(Substitution!$M$18 &amp; $A6, US_national_yearly!$D:$AM, MATCH(Keys!$C$7, US_national_yearly!$D$1:$AM$1, 0), FALSE), 1)</f>
        <v>8.8766639933210943E-4</v>
      </c>
      <c r="K6" s="12">
        <f>$B6 * IFERROR(VLOOKUP(Substitution!$M$18 &amp; $A6, US_national_yearly!$D:$AM, MATCH(K$1, US_national_yearly!$D$1:$AM$1, 0), FALSE) / VLOOKUP(Substitution!$M$18 &amp; $A6, US_national_yearly!$D:$AM, MATCH(Keys!$C$7, US_national_yearly!$D$1:$AM$1, 0), FALSE), 1)</f>
        <v>8.907426430820604E-4</v>
      </c>
      <c r="L6" s="12">
        <f>$B6 * IFERROR(VLOOKUP(Substitution!$M$18 &amp; $A6, US_national_yearly!$D:$AM, MATCH(L$1, US_national_yearly!$D$1:$AM$1, 0), FALSE) / VLOOKUP(Substitution!$M$18 &amp; $A6, US_national_yearly!$D:$AM, MATCH(Keys!$C$7, US_national_yearly!$D$1:$AM$1, 0), FALSE), 1)</f>
        <v>8.9381888683201147E-4</v>
      </c>
      <c r="M6" s="12">
        <f>$B6 * IFERROR(VLOOKUP(Substitution!$M$18 &amp; $A6, US_national_yearly!$D:$AM, MATCH(M$1, US_national_yearly!$D$1:$AM$1, 0), FALSE) / VLOOKUP(Substitution!$M$18 &amp; $A6, US_national_yearly!$D:$AM, MATCH(Keys!$C$7, US_national_yearly!$D$1:$AM$1, 0), FALSE), 1)</f>
        <v>8.9689513058196265E-4</v>
      </c>
      <c r="N6" s="12">
        <f>$B6 * IFERROR(VLOOKUP(Substitution!$M$18 &amp; $A6, US_national_yearly!$D:$AM, MATCH(N$1, US_national_yearly!$D$1:$AM$1, 0), FALSE) / VLOOKUP(Substitution!$M$18 &amp; $A6, US_national_yearly!$D:$AM, MATCH(Keys!$C$7, US_national_yearly!$D$1:$AM$1, 0), FALSE), 1)</f>
        <v>9.0046226428950357E-4</v>
      </c>
      <c r="O6" s="12">
        <f>$B6 * IFERROR(VLOOKUP(Substitution!$M$18 &amp; $A6, US_national_yearly!$D:$AM, MATCH(O$1, US_national_yearly!$D$1:$AM$1, 0), FALSE) / VLOOKUP(Substitution!$M$18 &amp; $A6, US_national_yearly!$D:$AM, MATCH(Keys!$C$7, US_national_yearly!$D$1:$AM$1, 0), FALSE), 1)</f>
        <v>9.040293979970446E-4</v>
      </c>
      <c r="P6" s="12">
        <f>$B6 * IFERROR(VLOOKUP(Substitution!$M$18 &amp; $A6, US_national_yearly!$D:$AM, MATCH(P$1, US_national_yearly!$D$1:$AM$1, 0), FALSE) / VLOOKUP(Substitution!$M$18 &amp; $A6, US_national_yearly!$D:$AM, MATCH(Keys!$C$7, US_national_yearly!$D$1:$AM$1, 0), FALSE), 1)</f>
        <v>9.0759653170458551E-4</v>
      </c>
      <c r="Q6" s="12">
        <f>$B6 * IFERROR(VLOOKUP(Substitution!$M$18 &amp; $A6, US_national_yearly!$D:$AM, MATCH(Q$1, US_national_yearly!$D$1:$AM$1, 0), FALSE) / VLOOKUP(Substitution!$M$18 &amp; $A6, US_national_yearly!$D:$AM, MATCH(Keys!$C$7, US_national_yearly!$D$1:$AM$1, 0), FALSE), 1)</f>
        <v>9.1116366541212665E-4</v>
      </c>
      <c r="R6" s="12">
        <f>$B6 * IFERROR(VLOOKUP(Substitution!$M$18 &amp; $A6, US_national_yearly!$D:$AM, MATCH(R$1, US_national_yearly!$D$1:$AM$1, 0), FALSE) / VLOOKUP(Substitution!$M$18 &amp; $A6, US_national_yearly!$D:$AM, MATCH(Keys!$C$7, US_national_yearly!$D$1:$AM$1, 0), FALSE), 1)</f>
        <v>9.1473079911966767E-4</v>
      </c>
      <c r="S6" s="12">
        <f>$B6 * IFERROR(VLOOKUP(Substitution!$M$18 &amp; $A6, US_national_yearly!$D:$AM, MATCH(S$1, US_national_yearly!$D$1:$AM$1, 0), FALSE) / VLOOKUP(Substitution!$M$18 &amp; $A6, US_national_yearly!$D:$AM, MATCH(Keys!$C$7, US_national_yearly!$D$1:$AM$1, 0), FALSE), 1)</f>
        <v>9.1939061186538341E-4</v>
      </c>
      <c r="T6" s="12">
        <f>$B6 * IFERROR(VLOOKUP(Substitution!$M$18 &amp; $A6, US_national_yearly!$D:$AM, MATCH(T$1, US_national_yearly!$D$1:$AM$1, 0), FALSE) / VLOOKUP(Substitution!$M$18 &amp; $A6, US_national_yearly!$D:$AM, MATCH(Keys!$C$7, US_national_yearly!$D$1:$AM$1, 0), FALSE), 1)</f>
        <v>9.2405042461109904E-4</v>
      </c>
      <c r="U6" s="12">
        <f>$B6 * IFERROR(VLOOKUP(Substitution!$M$18 &amp; $A6, US_national_yearly!$D:$AM, MATCH(U$1, US_national_yearly!$D$1:$AM$1, 0), FALSE) / VLOOKUP(Substitution!$M$18 &amp; $A6, US_national_yearly!$D:$AM, MATCH(Keys!$C$7, US_national_yearly!$D$1:$AM$1, 0), FALSE), 1)</f>
        <v>9.2871023735681445E-4</v>
      </c>
      <c r="V6" s="12">
        <f>$B6 * IFERROR(VLOOKUP(Substitution!$M$18 &amp; $A6, US_national_yearly!$D:$AM, MATCH(V$1, US_national_yearly!$D$1:$AM$1, 0), FALSE) / VLOOKUP(Substitution!$M$18 &amp; $A6, US_national_yearly!$D:$AM, MATCH(Keys!$C$7, US_national_yearly!$D$1:$AM$1, 0), FALSE), 1)</f>
        <v>9.333700501025303E-4</v>
      </c>
      <c r="W6" s="12">
        <f>$B6 * IFERROR(VLOOKUP(Substitution!$M$18 &amp; $A6, US_national_yearly!$D:$AM, MATCH(W$1, US_national_yearly!$D$1:$AM$1, 0), FALSE) / VLOOKUP(Substitution!$M$18 &amp; $A6, US_national_yearly!$D:$AM, MATCH(Keys!$C$7, US_national_yearly!$D$1:$AM$1, 0), FALSE), 1)</f>
        <v>9.3802986284824582E-4</v>
      </c>
      <c r="X6" s="12">
        <f>$B6 * IFERROR(VLOOKUP(Substitution!$M$18 &amp; $A6, US_national_yearly!$D:$AM, MATCH(X$1, US_national_yearly!$D$1:$AM$1, 0), FALSE) / VLOOKUP(Substitution!$M$18 &amp; $A6, US_national_yearly!$D:$AM, MATCH(Keys!$C$7, US_national_yearly!$D$1:$AM$1, 0), FALSE), 1)</f>
        <v>9.4235949843676217E-4</v>
      </c>
      <c r="Y6" s="12">
        <f>$B6 * IFERROR(VLOOKUP(Substitution!$M$18 &amp; $A6, US_national_yearly!$D:$AM, MATCH(Y$1, US_national_yearly!$D$1:$AM$1, 0), FALSE) / VLOOKUP(Substitution!$M$18 &amp; $A6, US_national_yearly!$D:$AM, MATCH(Keys!$C$7, US_national_yearly!$D$1:$AM$1, 0), FALSE), 1)</f>
        <v>9.4668913402527852E-4</v>
      </c>
      <c r="Z6" s="12">
        <f>$B6 * IFERROR(VLOOKUP(Substitution!$M$18 &amp; $A6, US_national_yearly!$D:$AM, MATCH(Z$1, US_national_yearly!$D$1:$AM$1, 0), FALSE) / VLOOKUP(Substitution!$M$18 &amp; $A6, US_national_yearly!$D:$AM, MATCH(Keys!$C$7, US_national_yearly!$D$1:$AM$1, 0), FALSE), 1)</f>
        <v>9.5101876961379487E-4</v>
      </c>
      <c r="AA6" s="12">
        <f>$B6 * IFERROR(VLOOKUP(Substitution!$M$18 &amp; $A6, US_national_yearly!$D:$AM, MATCH(AA$1, US_national_yearly!$D$1:$AM$1, 0), FALSE) / VLOOKUP(Substitution!$M$18 &amp; $A6, US_national_yearly!$D:$AM, MATCH(Keys!$C$7, US_national_yearly!$D$1:$AM$1, 0), FALSE), 1)</f>
        <v>9.5534840520231123E-4</v>
      </c>
      <c r="AB6" s="12">
        <f>$B6 * IFERROR(VLOOKUP(Substitution!$M$18 &amp; $A6, US_national_yearly!$D:$AM, MATCH(AB$1, US_national_yearly!$D$1:$AM$1, 0), FALSE) / VLOOKUP(Substitution!$M$18 &amp; $A6, US_national_yearly!$D:$AM, MATCH(Keys!$C$7, US_national_yearly!$D$1:$AM$1, 0), FALSE), 1)</f>
        <v>9.596780407908278E-4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Substitution!$G$18)/IFERROR(SUMIFS(COBRA_aggregated!$W:$W, COBRA_aggregated!$A:$A, About!$B$1, COBRA_aggregated!$B:$B, Substitution!$G$18), 1)</f>
        <v>1.1027016515630303E-3</v>
      </c>
      <c r="C7" s="12">
        <f>$B7 * IFERROR(VLOOKUP(Substitution!$M$18 &amp; $A7, US_national_yearly!$D:$AM, MATCH(C$1, US_national_yearly!$D$1:$AM$1, 0), FALSE) / VLOOKUP(Substitution!$M$18 &amp; $A7, US_national_yearly!$D:$AM, MATCH(Keys!$C$7, US_national_yearly!$D$1:$AM$1, 0), FALSE), 1)</f>
        <v>1.1177773859739383E-3</v>
      </c>
      <c r="D7" s="12">
        <f>$B7 * IFERROR(VLOOKUP(Substitution!$M$18 &amp; $A7, US_national_yearly!$D:$AM, MATCH(D$1, US_national_yearly!$D$1:$AM$1, 0), FALSE) / VLOOKUP(Substitution!$M$18 &amp; $A7, US_national_yearly!$D:$AM, MATCH(Keys!$C$7, US_national_yearly!$D$1:$AM$1, 0), FALSE), 1)</f>
        <v>1.132853120384846E-3</v>
      </c>
      <c r="E7" s="12">
        <f>$B7 * IFERROR(VLOOKUP(Substitution!$M$18 &amp; $A7, US_national_yearly!$D:$AM, MATCH(E$1, US_national_yearly!$D$1:$AM$1, 0), FALSE) / VLOOKUP(Substitution!$M$18 &amp; $A7, US_national_yearly!$D:$AM, MATCH(Keys!$C$7, US_national_yearly!$D$1:$AM$1, 0), FALSE), 1)</f>
        <v>1.1479288547957542E-3</v>
      </c>
      <c r="F7" s="12">
        <f>$B7 * IFERROR(VLOOKUP(Substitution!$M$18 &amp; $A7, US_national_yearly!$D:$AM, MATCH(F$1, US_national_yearly!$D$1:$AM$1, 0), FALSE) / VLOOKUP(Substitution!$M$18 &amp; $A7, US_national_yearly!$D:$AM, MATCH(Keys!$C$7, US_national_yearly!$D$1:$AM$1, 0), FALSE), 1)</f>
        <v>1.1630045892066622E-3</v>
      </c>
      <c r="G7" s="12">
        <f>$B7 * IFERROR(VLOOKUP(Substitution!$M$18 &amp; $A7, US_national_yearly!$D:$AM, MATCH(G$1, US_national_yearly!$D$1:$AM$1, 0), FALSE) / VLOOKUP(Substitution!$M$18 &amp; $A7, US_national_yearly!$D:$AM, MATCH(Keys!$C$7, US_national_yearly!$D$1:$AM$1, 0), FALSE), 1)</f>
        <v>1.1750404564317592E-3</v>
      </c>
      <c r="H7" s="12">
        <f>$B7 * IFERROR(VLOOKUP(Substitution!$M$18 &amp; $A7, US_national_yearly!$D:$AM, MATCH(H$1, US_national_yearly!$D$1:$AM$1, 0), FALSE) / VLOOKUP(Substitution!$M$18 &amp; $A7, US_national_yearly!$D:$AM, MATCH(Keys!$C$7, US_national_yearly!$D$1:$AM$1, 0), FALSE), 1)</f>
        <v>1.1870763236568561E-3</v>
      </c>
      <c r="I7" s="12">
        <f>$B7 * IFERROR(VLOOKUP(Substitution!$M$18 &amp; $A7, US_national_yearly!$D:$AM, MATCH(I$1, US_national_yearly!$D$1:$AM$1, 0), FALSE) / VLOOKUP(Substitution!$M$18 &amp; $A7, US_national_yearly!$D:$AM, MATCH(Keys!$C$7, US_national_yearly!$D$1:$AM$1, 0), FALSE), 1)</f>
        <v>1.1912188970733444E-3</v>
      </c>
      <c r="J7" s="12">
        <f>$B7 * IFERROR(VLOOKUP(Substitution!$M$18 &amp; $A7, US_national_yearly!$D:$AM, MATCH(J$1, US_national_yearly!$D$1:$AM$1, 0), FALSE) / VLOOKUP(Substitution!$M$18 &amp; $A7, US_national_yearly!$D:$AM, MATCH(Keys!$C$7, US_national_yearly!$D$1:$AM$1, 0), FALSE), 1)</f>
        <v>1.1953614704898329E-3</v>
      </c>
      <c r="K7" s="12">
        <f>$B7 * IFERROR(VLOOKUP(Substitution!$M$18 &amp; $A7, US_national_yearly!$D:$AM, MATCH(K$1, US_national_yearly!$D$1:$AM$1, 0), FALSE) / VLOOKUP(Substitution!$M$18 &amp; $A7, US_national_yearly!$D:$AM, MATCH(Keys!$C$7, US_national_yearly!$D$1:$AM$1, 0), FALSE), 1)</f>
        <v>1.1995040439063214E-3</v>
      </c>
      <c r="L7" s="12">
        <f>$B7 * IFERROR(VLOOKUP(Substitution!$M$18 &amp; $A7, US_national_yearly!$D:$AM, MATCH(L$1, US_national_yearly!$D$1:$AM$1, 0), FALSE) / VLOOKUP(Substitution!$M$18 &amp; $A7, US_national_yearly!$D:$AM, MATCH(Keys!$C$7, US_national_yearly!$D$1:$AM$1, 0), FALSE), 1)</f>
        <v>1.2036466173228099E-3</v>
      </c>
      <c r="M7" s="12">
        <f>$B7 * IFERROR(VLOOKUP(Substitution!$M$18 &amp; $A7, US_national_yearly!$D:$AM, MATCH(M$1, US_national_yearly!$D$1:$AM$1, 0), FALSE) / VLOOKUP(Substitution!$M$18 &amp; $A7, US_national_yearly!$D:$AM, MATCH(Keys!$C$7, US_national_yearly!$D$1:$AM$1, 0), FALSE), 1)</f>
        <v>1.2077891907392984E-3</v>
      </c>
      <c r="N7" s="12">
        <f>$B7 * IFERROR(VLOOKUP(Substitution!$M$18 &amp; $A7, US_national_yearly!$D:$AM, MATCH(N$1, US_national_yearly!$D$1:$AM$1, 0), FALSE) / VLOOKUP(Substitution!$M$18 &amp; $A7, US_national_yearly!$D:$AM, MATCH(Keys!$C$7, US_national_yearly!$D$1:$AM$1, 0), FALSE), 1)</f>
        <v>1.2125928131181091E-3</v>
      </c>
      <c r="O7" s="12">
        <f>$B7 * IFERROR(VLOOKUP(Substitution!$M$18 &amp; $A7, US_national_yearly!$D:$AM, MATCH(O$1, US_national_yearly!$D$1:$AM$1, 0), FALSE) / VLOOKUP(Substitution!$M$18 &amp; $A7, US_national_yearly!$D:$AM, MATCH(Keys!$C$7, US_national_yearly!$D$1:$AM$1, 0), FALSE), 1)</f>
        <v>1.2173964354969199E-3</v>
      </c>
      <c r="P7" s="12">
        <f>$B7 * IFERROR(VLOOKUP(Substitution!$M$18 &amp; $A7, US_national_yearly!$D:$AM, MATCH(P$1, US_national_yearly!$D$1:$AM$1, 0), FALSE) / VLOOKUP(Substitution!$M$18 &amp; $A7, US_national_yearly!$D:$AM, MATCH(Keys!$C$7, US_national_yearly!$D$1:$AM$1, 0), FALSE), 1)</f>
        <v>1.2222000578757304E-3</v>
      </c>
      <c r="Q7" s="12">
        <f>$B7 * IFERROR(VLOOKUP(Substitution!$M$18 &amp; $A7, US_national_yearly!$D:$AM, MATCH(Q$1, US_national_yearly!$D$1:$AM$1, 0), FALSE) / VLOOKUP(Substitution!$M$18 &amp; $A7, US_national_yearly!$D:$AM, MATCH(Keys!$C$7, US_national_yearly!$D$1:$AM$1, 0), FALSE), 1)</f>
        <v>1.2270036802545412E-3</v>
      </c>
      <c r="R7" s="12">
        <f>$B7 * IFERROR(VLOOKUP(Substitution!$M$18 &amp; $A7, US_national_yearly!$D:$AM, MATCH(R$1, US_national_yearly!$D$1:$AM$1, 0), FALSE) / VLOOKUP(Substitution!$M$18 &amp; $A7, US_national_yearly!$D:$AM, MATCH(Keys!$C$7, US_national_yearly!$D$1:$AM$1, 0), FALSE), 1)</f>
        <v>1.2318073026333521E-3</v>
      </c>
      <c r="S7" s="12">
        <f>$B7 * IFERROR(VLOOKUP(Substitution!$M$18 &amp; $A7, US_national_yearly!$D:$AM, MATCH(S$1, US_national_yearly!$D$1:$AM$1, 0), FALSE) / VLOOKUP(Substitution!$M$18 &amp; $A7, US_national_yearly!$D:$AM, MATCH(Keys!$C$7, US_national_yearly!$D$1:$AM$1, 0), FALSE), 1)</f>
        <v>1.2380823634200548E-3</v>
      </c>
      <c r="T7" s="12">
        <f>$B7 * IFERROR(VLOOKUP(Substitution!$M$18 &amp; $A7, US_national_yearly!$D:$AM, MATCH(T$1, US_national_yearly!$D$1:$AM$1, 0), FALSE) / VLOOKUP(Substitution!$M$18 &amp; $A7, US_national_yearly!$D:$AM, MATCH(Keys!$C$7, US_national_yearly!$D$1:$AM$1, 0), FALSE), 1)</f>
        <v>1.244357424206758E-3</v>
      </c>
      <c r="U7" s="12">
        <f>$B7 * IFERROR(VLOOKUP(Substitution!$M$18 &amp; $A7, US_national_yearly!$D:$AM, MATCH(U$1, US_national_yearly!$D$1:$AM$1, 0), FALSE) / VLOOKUP(Substitution!$M$18 &amp; $A7, US_national_yearly!$D:$AM, MATCH(Keys!$C$7, US_national_yearly!$D$1:$AM$1, 0), FALSE), 1)</f>
        <v>1.2506324849934608E-3</v>
      </c>
      <c r="V7" s="12">
        <f>$B7 * IFERROR(VLOOKUP(Substitution!$M$18 &amp; $A7, US_national_yearly!$D:$AM, MATCH(V$1, US_national_yearly!$D$1:$AM$1, 0), FALSE) / VLOOKUP(Substitution!$M$18 &amp; $A7, US_national_yearly!$D:$AM, MATCH(Keys!$C$7, US_national_yearly!$D$1:$AM$1, 0), FALSE), 1)</f>
        <v>1.2569075457801633E-3</v>
      </c>
      <c r="W7" s="12">
        <f>$B7 * IFERROR(VLOOKUP(Substitution!$M$18 &amp; $A7, US_national_yearly!$D:$AM, MATCH(W$1, US_national_yearly!$D$1:$AM$1, 0), FALSE) / VLOOKUP(Substitution!$M$18 &amp; $A7, US_national_yearly!$D:$AM, MATCH(Keys!$C$7, US_national_yearly!$D$1:$AM$1, 0), FALSE), 1)</f>
        <v>1.2631826065668662E-3</v>
      </c>
      <c r="X7" s="12">
        <f>$B7 * IFERROR(VLOOKUP(Substitution!$M$18 &amp; $A7, US_national_yearly!$D:$AM, MATCH(X$1, US_national_yearly!$D$1:$AM$1, 0), FALSE) / VLOOKUP(Substitution!$M$18 &amp; $A7, US_national_yearly!$D:$AM, MATCH(Keys!$C$7, US_national_yearly!$D$1:$AM$1, 0), FALSE), 1)</f>
        <v>1.2690130396694173E-3</v>
      </c>
      <c r="Y7" s="12">
        <f>$B7 * IFERROR(VLOOKUP(Substitution!$M$18 &amp; $A7, US_national_yearly!$D:$AM, MATCH(Y$1, US_national_yearly!$D$1:$AM$1, 0), FALSE) / VLOOKUP(Substitution!$M$18 &amp; $A7, US_national_yearly!$D:$AM, MATCH(Keys!$C$7, US_national_yearly!$D$1:$AM$1, 0), FALSE), 1)</f>
        <v>1.2748434727719686E-3</v>
      </c>
      <c r="Z7" s="12">
        <f>$B7 * IFERROR(VLOOKUP(Substitution!$M$18 &amp; $A7, US_national_yearly!$D:$AM, MATCH(Z$1, US_national_yearly!$D$1:$AM$1, 0), FALSE) / VLOOKUP(Substitution!$M$18 &amp; $A7, US_national_yearly!$D:$AM, MATCH(Keys!$C$7, US_national_yearly!$D$1:$AM$1, 0), FALSE), 1)</f>
        <v>1.2806739058745199E-3</v>
      </c>
      <c r="AA7" s="12">
        <f>$B7 * IFERROR(VLOOKUP(Substitution!$M$18 &amp; $A7, US_national_yearly!$D:$AM, MATCH(AA$1, US_national_yearly!$D$1:$AM$1, 0), FALSE) / VLOOKUP(Substitution!$M$18 &amp; $A7, US_national_yearly!$D:$AM, MATCH(Keys!$C$7, US_national_yearly!$D$1:$AM$1, 0), FALSE), 1)</f>
        <v>1.286504338977071E-3</v>
      </c>
      <c r="AB7" s="12">
        <f>$B7 * IFERROR(VLOOKUP(Substitution!$M$18 &amp; $A7, US_national_yearly!$D:$AM, MATCH(AB$1, US_national_yearly!$D$1:$AM$1, 0), FALSE) / VLOOKUP(Substitution!$M$18 &amp; $A7, US_national_yearly!$D:$AM, MATCH(Keys!$C$7, US_national_yearly!$D$1:$AM$1, 0), FALSE), 1)</f>
        <v>1.2923347720796223E-3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Substitution!$G$18)/IFERROR(SUMIFS(COBRA_aggregated!$W:$W, COBRA_aggregated!$A:$A, About!$B$1, COBRA_aggregated!$B:$B, Substitution!$G$18), 1)</f>
        <v>1.6847746043236005E-3</v>
      </c>
      <c r="C8" s="12">
        <f>$B8 * IFERROR(VLOOKUP(Substitution!$M$18 &amp; $A8, US_national_yearly!$D:$AM, MATCH(C$1, US_national_yearly!$D$1:$AM$1, 0), FALSE) / VLOOKUP(Substitution!$M$18 &amp; $A8, US_national_yearly!$D:$AM, MATCH(Keys!$C$7, US_national_yearly!$D$1:$AM$1, 0), FALSE), 1)</f>
        <v>1.7078082276939085E-3</v>
      </c>
      <c r="D8" s="12">
        <f>$B8 * IFERROR(VLOOKUP(Substitution!$M$18 &amp; $A8, US_national_yearly!$D:$AM, MATCH(D$1, US_national_yearly!$D$1:$AM$1, 0), FALSE) / VLOOKUP(Substitution!$M$18 &amp; $A8, US_national_yearly!$D:$AM, MATCH(Keys!$C$7, US_national_yearly!$D$1:$AM$1, 0), FALSE), 1)</f>
        <v>1.7308418510642175E-3</v>
      </c>
      <c r="E8" s="12">
        <f>$B8 * IFERROR(VLOOKUP(Substitution!$M$18 &amp; $A8, US_national_yearly!$D:$AM, MATCH(E$1, US_national_yearly!$D$1:$AM$1, 0), FALSE) / VLOOKUP(Substitution!$M$18 &amp; $A8, US_national_yearly!$D:$AM, MATCH(Keys!$C$7, US_national_yearly!$D$1:$AM$1, 0), FALSE), 1)</f>
        <v>1.7538754744345255E-3</v>
      </c>
      <c r="F8" s="12">
        <f>$B8 * IFERROR(VLOOKUP(Substitution!$M$18 &amp; $A8, US_national_yearly!$D:$AM, MATCH(F$1, US_national_yearly!$D$1:$AM$1, 0), FALSE) / VLOOKUP(Substitution!$M$18 &amp; $A8, US_national_yearly!$D:$AM, MATCH(Keys!$C$7, US_national_yearly!$D$1:$AM$1, 0), FALSE), 1)</f>
        <v>1.7769090978048336E-3</v>
      </c>
      <c r="G8" s="12">
        <f>$B8 * IFERROR(VLOOKUP(Substitution!$M$18 &amp; $A8, US_national_yearly!$D:$AM, MATCH(G$1, US_national_yearly!$D$1:$AM$1, 0), FALSE) / VLOOKUP(Substitution!$M$18 &amp; $A8, US_national_yearly!$D:$AM, MATCH(Keys!$C$7, US_national_yearly!$D$1:$AM$1, 0), FALSE), 1)</f>
        <v>1.7952982273483143E-3</v>
      </c>
      <c r="H8" s="12">
        <f>$B8 * IFERROR(VLOOKUP(Substitution!$M$18 &amp; $A8, US_national_yearly!$D:$AM, MATCH(H$1, US_national_yearly!$D$1:$AM$1, 0), FALSE) / VLOOKUP(Substitution!$M$18 &amp; $A8, US_national_yearly!$D:$AM, MATCH(Keys!$C$7, US_national_yearly!$D$1:$AM$1, 0), FALSE), 1)</f>
        <v>1.8136873568917952E-3</v>
      </c>
      <c r="I8" s="12">
        <f>$B8 * IFERROR(VLOOKUP(Substitution!$M$18 &amp; $A8, US_national_yearly!$D:$AM, MATCH(I$1, US_national_yearly!$D$1:$AM$1, 0), FALSE) / VLOOKUP(Substitution!$M$18 &amp; $A8, US_national_yearly!$D:$AM, MATCH(Keys!$C$7, US_national_yearly!$D$1:$AM$1, 0), FALSE), 1)</f>
        <v>1.8200166324176144E-3</v>
      </c>
      <c r="J8" s="12">
        <f>$B8 * IFERROR(VLOOKUP(Substitution!$M$18 &amp; $A8, US_national_yearly!$D:$AM, MATCH(J$1, US_national_yearly!$D$1:$AM$1, 0), FALSE) / VLOOKUP(Substitution!$M$18 &amp; $A8, US_national_yearly!$D:$AM, MATCH(Keys!$C$7, US_national_yearly!$D$1:$AM$1, 0), FALSE), 1)</f>
        <v>1.8263459079434338E-3</v>
      </c>
      <c r="K8" s="12">
        <f>$B8 * IFERROR(VLOOKUP(Substitution!$M$18 &amp; $A8, US_national_yearly!$D:$AM, MATCH(K$1, US_national_yearly!$D$1:$AM$1, 0), FALSE) / VLOOKUP(Substitution!$M$18 &amp; $A8, US_national_yearly!$D:$AM, MATCH(Keys!$C$7, US_national_yearly!$D$1:$AM$1, 0), FALSE), 1)</f>
        <v>1.8326751834692526E-3</v>
      </c>
      <c r="L8" s="12">
        <f>$B8 * IFERROR(VLOOKUP(Substitution!$M$18 &amp; $A8, US_national_yearly!$D:$AM, MATCH(L$1, US_national_yearly!$D$1:$AM$1, 0), FALSE) / VLOOKUP(Substitution!$M$18 &amp; $A8, US_national_yearly!$D:$AM, MATCH(Keys!$C$7, US_national_yearly!$D$1:$AM$1, 0), FALSE), 1)</f>
        <v>1.8390044589950722E-3</v>
      </c>
      <c r="M8" s="12">
        <f>$B8 * IFERROR(VLOOKUP(Substitution!$M$18 &amp; $A8, US_national_yearly!$D:$AM, MATCH(M$1, US_national_yearly!$D$1:$AM$1, 0), FALSE) / VLOOKUP(Substitution!$M$18 &amp; $A8, US_national_yearly!$D:$AM, MATCH(Keys!$C$7, US_national_yearly!$D$1:$AM$1, 0), FALSE), 1)</f>
        <v>1.8453337345208914E-3</v>
      </c>
      <c r="N8" s="12">
        <f>$B8 * IFERROR(VLOOKUP(Substitution!$M$18 &amp; $A8, US_national_yearly!$D:$AM, MATCH(N$1, US_national_yearly!$D$1:$AM$1, 0), FALSE) / VLOOKUP(Substitution!$M$18 &amp; $A8, US_national_yearly!$D:$AM, MATCH(Keys!$C$7, US_national_yearly!$D$1:$AM$1, 0), FALSE), 1)</f>
        <v>1.8526730008198741E-3</v>
      </c>
      <c r="O8" s="12">
        <f>$B8 * IFERROR(VLOOKUP(Substitution!$M$18 &amp; $A8, US_national_yearly!$D:$AM, MATCH(O$1, US_national_yearly!$D$1:$AM$1, 0), FALSE) / VLOOKUP(Substitution!$M$18 &amp; $A8, US_national_yearly!$D:$AM, MATCH(Keys!$C$7, US_national_yearly!$D$1:$AM$1, 0), FALSE), 1)</f>
        <v>1.8600122671188571E-3</v>
      </c>
      <c r="P8" s="12">
        <f>$B8 * IFERROR(VLOOKUP(Substitution!$M$18 &amp; $A8, US_national_yearly!$D:$AM, MATCH(P$1, US_national_yearly!$D$1:$AM$1, 0), FALSE) / VLOOKUP(Substitution!$M$18 &amp; $A8, US_national_yearly!$D:$AM, MATCH(Keys!$C$7, US_national_yearly!$D$1:$AM$1, 0), FALSE), 1)</f>
        <v>1.8673515334178398E-3</v>
      </c>
      <c r="Q8" s="12">
        <f>$B8 * IFERROR(VLOOKUP(Substitution!$M$18 &amp; $A8, US_national_yearly!$D:$AM, MATCH(Q$1, US_national_yearly!$D$1:$AM$1, 0), FALSE) / VLOOKUP(Substitution!$M$18 &amp; $A8, US_national_yearly!$D:$AM, MATCH(Keys!$C$7, US_national_yearly!$D$1:$AM$1, 0), FALSE), 1)</f>
        <v>1.874690799716823E-3</v>
      </c>
      <c r="R8" s="12">
        <f>$B8 * IFERROR(VLOOKUP(Substitution!$M$18 &amp; $A8, US_national_yearly!$D:$AM, MATCH(R$1, US_national_yearly!$D$1:$AM$1, 0), FALSE) / VLOOKUP(Substitution!$M$18 &amp; $A8, US_national_yearly!$D:$AM, MATCH(Keys!$C$7, US_national_yearly!$D$1:$AM$1, 0), FALSE), 1)</f>
        <v>1.8820300660158057E-3</v>
      </c>
      <c r="S8" s="12">
        <f>$B8 * IFERROR(VLOOKUP(Substitution!$M$18 &amp; $A8, US_national_yearly!$D:$AM, MATCH(S$1, US_national_yearly!$D$1:$AM$1, 0), FALSE) / VLOOKUP(Substitution!$M$18 &amp; $A8, US_national_yearly!$D:$AM, MATCH(Keys!$C$7, US_national_yearly!$D$1:$AM$1, 0), FALSE), 1)</f>
        <v>1.8916174853355928E-3</v>
      </c>
      <c r="T8" s="12">
        <f>$B8 * IFERROR(VLOOKUP(Substitution!$M$18 &amp; $A8, US_national_yearly!$D:$AM, MATCH(T$1, US_national_yearly!$D$1:$AM$1, 0), FALSE) / VLOOKUP(Substitution!$M$18 &amp; $A8, US_national_yearly!$D:$AM, MATCH(Keys!$C$7, US_national_yearly!$D$1:$AM$1, 0), FALSE), 1)</f>
        <v>1.9012049046553802E-3</v>
      </c>
      <c r="U8" s="12">
        <f>$B8 * IFERROR(VLOOKUP(Substitution!$M$18 &amp; $A8, US_national_yearly!$D:$AM, MATCH(U$1, US_national_yearly!$D$1:$AM$1, 0), FALSE) / VLOOKUP(Substitution!$M$18 &amp; $A8, US_national_yearly!$D:$AM, MATCH(Keys!$C$7, US_national_yearly!$D$1:$AM$1, 0), FALSE), 1)</f>
        <v>1.9107923239751676E-3</v>
      </c>
      <c r="V8" s="12">
        <f>$B8 * IFERROR(VLOOKUP(Substitution!$M$18 &amp; $A8, US_national_yearly!$D:$AM, MATCH(V$1, US_national_yearly!$D$1:$AM$1, 0), FALSE) / VLOOKUP(Substitution!$M$18 &amp; $A8, US_national_yearly!$D:$AM, MATCH(Keys!$C$7, US_national_yearly!$D$1:$AM$1, 0), FALSE), 1)</f>
        <v>1.9203797432949552E-3</v>
      </c>
      <c r="W8" s="12">
        <f>$B8 * IFERROR(VLOOKUP(Substitution!$M$18 &amp; $A8, US_national_yearly!$D:$AM, MATCH(W$1, US_national_yearly!$D$1:$AM$1, 0), FALSE) / VLOOKUP(Substitution!$M$18 &amp; $A8, US_national_yearly!$D:$AM, MATCH(Keys!$C$7, US_national_yearly!$D$1:$AM$1, 0), FALSE), 1)</f>
        <v>1.9299671626147421E-3</v>
      </c>
      <c r="X8" s="12">
        <f>$B8 * IFERROR(VLOOKUP(Substitution!$M$18 &amp; $A8, US_national_yearly!$D:$AM, MATCH(X$1, US_national_yearly!$D$1:$AM$1, 0), FALSE) / VLOOKUP(Substitution!$M$18 &amp; $A8, US_national_yearly!$D:$AM, MATCH(Keys!$C$7, US_national_yearly!$D$1:$AM$1, 0), FALSE), 1)</f>
        <v>1.938875252733394E-3</v>
      </c>
      <c r="Y8" s="12">
        <f>$B8 * IFERROR(VLOOKUP(Substitution!$M$18 &amp; $A8, US_national_yearly!$D:$AM, MATCH(Y$1, US_national_yearly!$D$1:$AM$1, 0), FALSE) / VLOOKUP(Substitution!$M$18 &amp; $A8, US_national_yearly!$D:$AM, MATCH(Keys!$C$7, US_national_yearly!$D$1:$AM$1, 0), FALSE), 1)</f>
        <v>1.9477833428520452E-3</v>
      </c>
      <c r="Z8" s="12">
        <f>$B8 * IFERROR(VLOOKUP(Substitution!$M$18 &amp; $A8, US_national_yearly!$D:$AM, MATCH(Z$1, US_national_yearly!$D$1:$AM$1, 0), FALSE) / VLOOKUP(Substitution!$M$18 &amp; $A8, US_national_yearly!$D:$AM, MATCH(Keys!$C$7, US_national_yearly!$D$1:$AM$1, 0), FALSE), 1)</f>
        <v>1.956691432970697E-3</v>
      </c>
      <c r="AA8" s="12">
        <f>$B8 * IFERROR(VLOOKUP(Substitution!$M$18 &amp; $A8, US_national_yearly!$D:$AM, MATCH(AA$1, US_national_yearly!$D$1:$AM$1, 0), FALSE) / VLOOKUP(Substitution!$M$18 &amp; $A8, US_national_yearly!$D:$AM, MATCH(Keys!$C$7, US_national_yearly!$D$1:$AM$1, 0), FALSE), 1)</f>
        <v>1.9655995230893485E-3</v>
      </c>
      <c r="AB8" s="12">
        <f>$B8 * IFERROR(VLOOKUP(Substitution!$M$18 &amp; $A8, US_national_yearly!$D:$AM, MATCH(AB$1, US_national_yearly!$D$1:$AM$1, 0), FALSE) / VLOOKUP(Substitution!$M$18 &amp; $A8, US_national_yearly!$D:$AM, MATCH(Keys!$C$7, US_national_yearly!$D$1:$AM$1, 0), FALSE), 1)</f>
        <v>1.9745076132080003E-3</v>
      </c>
    </row>
    <row r="9" spans="1:28" x14ac:dyDescent="0.25">
      <c r="A9" s="4" t="s">
        <v>305</v>
      </c>
      <c r="B9" s="12">
        <f>IFERROR(VLOOKUP(Substitution!$M$18 &amp; $A9, US_national_yearly!$D:$AM, MATCH(Keys!$C$7, US_national_yearly!$D$1:$AM$1, 0), FALSE), 0)</f>
        <v>2.372967102977722E-2</v>
      </c>
      <c r="C9" s="12">
        <f>$B9 * IFERROR(VLOOKUP(Substitution!$M$18 &amp; $A9, US_national_yearly!$D:$AM, MATCH(C$1, US_national_yearly!$D$1:$AM$1, 0), FALSE) / VLOOKUP(Substitution!$M$18 &amp; $A9, US_national_yearly!$D:$AM, MATCH(Keys!$C$7, US_national_yearly!$D$1:$AM$1, 0), FALSE), 1)</f>
        <v>2.3879202103342739E-2</v>
      </c>
      <c r="D9" s="12">
        <f>$B9 * IFERROR(VLOOKUP(Substitution!$M$18 &amp; $A9, US_national_yearly!$D:$AM, MATCH(D$1, US_national_yearly!$D$1:$AM$1, 0), FALSE) / VLOOKUP(Substitution!$M$18 &amp; $A9, US_national_yearly!$D:$AM, MATCH(Keys!$C$7, US_national_yearly!$D$1:$AM$1, 0), FALSE), 1)</f>
        <v>2.4028733176908259E-2</v>
      </c>
      <c r="E9" s="12">
        <f>$B9 * IFERROR(VLOOKUP(Substitution!$M$18 &amp; $A9, US_national_yearly!$D:$AM, MATCH(E$1, US_national_yearly!$D$1:$AM$1, 0), FALSE) / VLOOKUP(Substitution!$M$18 &amp; $A9, US_national_yearly!$D:$AM, MATCH(Keys!$C$7, US_national_yearly!$D$1:$AM$1, 0), FALSE), 1)</f>
        <v>2.4178264250473779E-2</v>
      </c>
      <c r="F9" s="12">
        <f>$B9 * IFERROR(VLOOKUP(Substitution!$M$18 &amp; $A9, US_national_yearly!$D:$AM, MATCH(F$1, US_national_yearly!$D$1:$AM$1, 0), FALSE) / VLOOKUP(Substitution!$M$18 &amp; $A9, US_national_yearly!$D:$AM, MATCH(Keys!$C$7, US_national_yearly!$D$1:$AM$1, 0), FALSE), 1)</f>
        <v>2.4327795324039302E-2</v>
      </c>
      <c r="G9" s="12">
        <f>$B9 * IFERROR(VLOOKUP(Substitution!$M$18 &amp; $A9, US_national_yearly!$D:$AM, MATCH(G$1, US_national_yearly!$D$1:$AM$1, 0), FALSE) / VLOOKUP(Substitution!$M$18 &amp; $A9, US_national_yearly!$D:$AM, MATCH(Keys!$C$7, US_national_yearly!$D$1:$AM$1, 0), FALSE), 1)</f>
        <v>2.44753371735675E-2</v>
      </c>
      <c r="H9" s="12">
        <f>$B9 * IFERROR(VLOOKUP(Substitution!$M$18 &amp; $A9, US_national_yearly!$D:$AM, MATCH(H$1, US_national_yearly!$D$1:$AM$1, 0), FALSE) / VLOOKUP(Substitution!$M$18 &amp; $A9, US_national_yearly!$D:$AM, MATCH(Keys!$C$7, US_national_yearly!$D$1:$AM$1, 0), FALSE), 1)</f>
        <v>2.4622879023095699E-2</v>
      </c>
      <c r="I9" s="12">
        <f>$B9 * IFERROR(VLOOKUP(Substitution!$M$18 &amp; $A9, US_national_yearly!$D:$AM, MATCH(I$1, US_national_yearly!$D$1:$AM$1, 0), FALSE) / VLOOKUP(Substitution!$M$18 &amp; $A9, US_national_yearly!$D:$AM, MATCH(Keys!$C$7, US_national_yearly!$D$1:$AM$1, 0), FALSE), 1)</f>
        <v>2.4754943563359479E-2</v>
      </c>
      <c r="J9" s="12">
        <f>$B9 * IFERROR(VLOOKUP(Substitution!$M$18 &amp; $A9, US_national_yearly!$D:$AM, MATCH(J$1, US_national_yearly!$D$1:$AM$1, 0), FALSE) / VLOOKUP(Substitution!$M$18 &amp; $A9, US_national_yearly!$D:$AM, MATCH(Keys!$C$7, US_national_yearly!$D$1:$AM$1, 0), FALSE), 1)</f>
        <v>2.4887008103623258E-2</v>
      </c>
      <c r="K9" s="12">
        <f>$B9 * IFERROR(VLOOKUP(Substitution!$M$18 &amp; $A9, US_national_yearly!$D:$AM, MATCH(K$1, US_national_yearly!$D$1:$AM$1, 0), FALSE) / VLOOKUP(Substitution!$M$18 &amp; $A9, US_national_yearly!$D:$AM, MATCH(Keys!$C$7, US_national_yearly!$D$1:$AM$1, 0), FALSE), 1)</f>
        <v>2.5019072643887037E-2</v>
      </c>
      <c r="L9" s="12">
        <f>$B9 * IFERROR(VLOOKUP(Substitution!$M$18 &amp; $A9, US_national_yearly!$D:$AM, MATCH(L$1, US_national_yearly!$D$1:$AM$1, 0), FALSE) / VLOOKUP(Substitution!$M$18 &amp; $A9, US_national_yearly!$D:$AM, MATCH(Keys!$C$7, US_national_yearly!$D$1:$AM$1, 0), FALSE), 1)</f>
        <v>2.5151137184150817E-2</v>
      </c>
      <c r="M9" s="12">
        <f>$B9 * IFERROR(VLOOKUP(Substitution!$M$18 &amp; $A9, US_national_yearly!$D:$AM, MATCH(M$1, US_national_yearly!$D$1:$AM$1, 0), FALSE) / VLOOKUP(Substitution!$M$18 &amp; $A9, US_national_yearly!$D:$AM, MATCH(Keys!$C$7, US_national_yearly!$D$1:$AM$1, 0), FALSE), 1)</f>
        <v>2.5283201724414596E-2</v>
      </c>
      <c r="N9" s="12">
        <f>$B9 * IFERROR(VLOOKUP(Substitution!$M$18 &amp; $A9, US_national_yearly!$D:$AM, MATCH(N$1, US_national_yearly!$D$1:$AM$1, 0), FALSE) / VLOOKUP(Substitution!$M$18 &amp; $A9, US_national_yearly!$D:$AM, MATCH(Keys!$C$7, US_national_yearly!$D$1:$AM$1, 0), FALSE), 1)</f>
        <v>2.5403307038980364E-2</v>
      </c>
      <c r="O9" s="12">
        <f>$B9 * IFERROR(VLOOKUP(Substitution!$M$18 &amp; $A9, US_national_yearly!$D:$AM, MATCH(O$1, US_national_yearly!$D$1:$AM$1, 0), FALSE) / VLOOKUP(Substitution!$M$18 &amp; $A9, US_national_yearly!$D:$AM, MATCH(Keys!$C$7, US_national_yearly!$D$1:$AM$1, 0), FALSE), 1)</f>
        <v>2.5523412353546122E-2</v>
      </c>
      <c r="P9" s="12">
        <f>$B9 * IFERROR(VLOOKUP(Substitution!$M$18 &amp; $A9, US_national_yearly!$D:$AM, MATCH(P$1, US_national_yearly!$D$1:$AM$1, 0), FALSE) / VLOOKUP(Substitution!$M$18 &amp; $A9, US_national_yearly!$D:$AM, MATCH(Keys!$C$7, US_national_yearly!$D$1:$AM$1, 0), FALSE), 1)</f>
        <v>2.5643517668111876E-2</v>
      </c>
      <c r="Q9" s="12">
        <f>$B9 * IFERROR(VLOOKUP(Substitution!$M$18 &amp; $A9, US_national_yearly!$D:$AM, MATCH(Q$1, US_national_yearly!$D$1:$AM$1, 0), FALSE) / VLOOKUP(Substitution!$M$18 &amp; $A9, US_national_yearly!$D:$AM, MATCH(Keys!$C$7, US_national_yearly!$D$1:$AM$1, 0), FALSE), 1)</f>
        <v>2.5763622982677644E-2</v>
      </c>
      <c r="R9" s="12">
        <f>$B9 * IFERROR(VLOOKUP(Substitution!$M$18 &amp; $A9, US_national_yearly!$D:$AM, MATCH(R$1, US_national_yearly!$D$1:$AM$1, 0), FALSE) / VLOOKUP(Substitution!$M$18 &amp; $A9, US_national_yearly!$D:$AM, MATCH(Keys!$C$7, US_national_yearly!$D$1:$AM$1, 0), FALSE), 1)</f>
        <v>2.5883728297243402E-2</v>
      </c>
      <c r="S9" s="12">
        <f>$B9 * IFERROR(VLOOKUP(Substitution!$M$18 &amp; $A9, US_national_yearly!$D:$AM, MATCH(S$1, US_national_yearly!$D$1:$AM$1, 0), FALSE) / VLOOKUP(Substitution!$M$18 &amp; $A9, US_national_yearly!$D:$AM, MATCH(Keys!$C$7, US_national_yearly!$D$1:$AM$1, 0), FALSE), 1)</f>
        <v>2.5994718020261556E-2</v>
      </c>
      <c r="T9" s="12">
        <f>$B9 * IFERROR(VLOOKUP(Substitution!$M$18 &amp; $A9, US_national_yearly!$D:$AM, MATCH(T$1, US_national_yearly!$D$1:$AM$1, 0), FALSE) / VLOOKUP(Substitution!$M$18 &amp; $A9, US_national_yearly!$D:$AM, MATCH(Keys!$C$7, US_national_yearly!$D$1:$AM$1, 0), FALSE), 1)</f>
        <v>2.6105707743279721E-2</v>
      </c>
      <c r="U9" s="12">
        <f>$B9 * IFERROR(VLOOKUP(Substitution!$M$18 &amp; $A9, US_national_yearly!$D:$AM, MATCH(U$1, US_national_yearly!$D$1:$AM$1, 0), FALSE) / VLOOKUP(Substitution!$M$18 &amp; $A9, US_national_yearly!$D:$AM, MATCH(Keys!$C$7, US_national_yearly!$D$1:$AM$1, 0), FALSE), 1)</f>
        <v>2.6216697466297876E-2</v>
      </c>
      <c r="V9" s="12">
        <f>$B9 * IFERROR(VLOOKUP(Substitution!$M$18 &amp; $A9, US_national_yearly!$D:$AM, MATCH(V$1, US_national_yearly!$D$1:$AM$1, 0), FALSE) / VLOOKUP(Substitution!$M$18 &amp; $A9, US_national_yearly!$D:$AM, MATCH(Keys!$C$7, US_national_yearly!$D$1:$AM$1, 0), FALSE), 1)</f>
        <v>2.6327687189316044E-2</v>
      </c>
      <c r="W9" s="12">
        <f>$B9 * IFERROR(VLOOKUP(Substitution!$M$18 &amp; $A9, US_national_yearly!$D:$AM, MATCH(W$1, US_national_yearly!$D$1:$AM$1, 0), FALSE) / VLOOKUP(Substitution!$M$18 &amp; $A9, US_national_yearly!$D:$AM, MATCH(Keys!$C$7, US_national_yearly!$D$1:$AM$1, 0), FALSE), 1)</f>
        <v>2.6438676912334199E-2</v>
      </c>
      <c r="X9" s="12">
        <f>$B9 * IFERROR(VLOOKUP(Substitution!$M$18 &amp; $A9, US_national_yearly!$D:$AM, MATCH(X$1, US_national_yearly!$D$1:$AM$1, 0), FALSE) / VLOOKUP(Substitution!$M$18 &amp; $A9, US_national_yearly!$D:$AM, MATCH(Keys!$C$7, US_national_yearly!$D$1:$AM$1, 0), FALSE), 1)</f>
        <v>2.6540772147290743E-2</v>
      </c>
      <c r="Y9" s="12">
        <f>$B9 * IFERROR(VLOOKUP(Substitution!$M$18 &amp; $A9, US_national_yearly!$D:$AM, MATCH(Y$1, US_national_yearly!$D$1:$AM$1, 0), FALSE) / VLOOKUP(Substitution!$M$18 &amp; $A9, US_national_yearly!$D:$AM, MATCH(Keys!$C$7, US_national_yearly!$D$1:$AM$1, 0), FALSE), 1)</f>
        <v>2.664286738224728E-2</v>
      </c>
      <c r="Z9" s="12">
        <f>$B9 * IFERROR(VLOOKUP(Substitution!$M$18 &amp; $A9, US_national_yearly!$D:$AM, MATCH(Z$1, US_national_yearly!$D$1:$AM$1, 0), FALSE) / VLOOKUP(Substitution!$M$18 &amp; $A9, US_national_yearly!$D:$AM, MATCH(Keys!$C$7, US_national_yearly!$D$1:$AM$1, 0), FALSE), 1)</f>
        <v>2.674496261720382E-2</v>
      </c>
      <c r="AA9" s="12">
        <f>$B9 * IFERROR(VLOOKUP(Substitution!$M$18 &amp; $A9, US_national_yearly!$D:$AM, MATCH(AA$1, US_national_yearly!$D$1:$AM$1, 0), FALSE) / VLOOKUP(Substitution!$M$18 &amp; $A9, US_national_yearly!$D:$AM, MATCH(Keys!$C$7, US_national_yearly!$D$1:$AM$1, 0), FALSE), 1)</f>
        <v>2.684705785216036E-2</v>
      </c>
      <c r="AB9" s="12">
        <f>$B9 * IFERROR(VLOOKUP(Substitution!$M$18 &amp; $A9, US_national_yearly!$D:$AM, MATCH(AB$1, US_national_yearly!$D$1:$AM$1, 0), FALSE) / VLOOKUP(Substitution!$M$18 &amp; $A9, US_national_yearly!$D:$AM, MATCH(Keys!$C$7, US_national_yearly!$D$1:$AM$1, 0), FALSE), 1)</f>
        <v>2.6949153087116904E-2</v>
      </c>
    </row>
    <row r="10" spans="1:28" x14ac:dyDescent="0.25">
      <c r="A10" s="4" t="s">
        <v>307</v>
      </c>
      <c r="B10" s="12">
        <f>IFERROR(VLOOKUP(Substitution!$M$18 &amp; $A10, US_national_yearly!$D:$AM, MATCH(Keys!$C$7, US_national_yearly!$D$1:$AM$1, 0), FALSE), 0)</f>
        <v>0.1524682084608848</v>
      </c>
      <c r="C10" s="12">
        <f>$B10 * IFERROR(VLOOKUP(Substitution!$M$18 &amp; $A10, US_national_yearly!$D:$AM, MATCH(C$1, US_national_yearly!$D$1:$AM$1, 0), FALSE) / VLOOKUP(Substitution!$M$18 &amp; $A10, US_national_yearly!$D:$AM, MATCH(Keys!$C$7, US_national_yearly!$D$1:$AM$1, 0), FALSE), 1)</f>
        <v>0.15390269852338259</v>
      </c>
      <c r="D10" s="12">
        <f>$B10 * IFERROR(VLOOKUP(Substitution!$M$18 &amp; $A10, US_national_yearly!$D:$AM, MATCH(D$1, US_national_yearly!$D$1:$AM$1, 0), FALSE) / VLOOKUP(Substitution!$M$18 &amp; $A10, US_national_yearly!$D:$AM, MATCH(Keys!$C$7, US_national_yearly!$D$1:$AM$1, 0), FALSE), 1)</f>
        <v>0.15533718858588041</v>
      </c>
      <c r="E10" s="12">
        <f>$B10 * IFERROR(VLOOKUP(Substitution!$M$18 &amp; $A10, US_national_yearly!$D:$AM, MATCH(E$1, US_national_yearly!$D$1:$AM$1, 0), FALSE) / VLOOKUP(Substitution!$M$18 &amp; $A10, US_national_yearly!$D:$AM, MATCH(Keys!$C$7, US_national_yearly!$D$1:$AM$1, 0), FALSE), 1)</f>
        <v>0.15677167864837821</v>
      </c>
      <c r="F10" s="12">
        <f>$B10 * IFERROR(VLOOKUP(Substitution!$M$18 &amp; $A10, US_national_yearly!$D:$AM, MATCH(F$1, US_national_yearly!$D$1:$AM$1, 0), FALSE) / VLOOKUP(Substitution!$M$18 &amp; $A10, US_national_yearly!$D:$AM, MATCH(Keys!$C$7, US_national_yearly!$D$1:$AM$1, 0), FALSE), 1)</f>
        <v>0.15820616871087601</v>
      </c>
      <c r="G10" s="12">
        <f>$B10 * IFERROR(VLOOKUP(Substitution!$M$18 &amp; $A10, US_national_yearly!$D:$AM, MATCH(G$1, US_national_yearly!$D$1:$AM$1, 0), FALSE) / VLOOKUP(Substitution!$M$18 &amp; $A10, US_national_yearly!$D:$AM, MATCH(Keys!$C$7, US_national_yearly!$D$1:$AM$1, 0), FALSE), 1)</f>
        <v>0.1597835676606085</v>
      </c>
      <c r="H10" s="12">
        <f>$B10 * IFERROR(VLOOKUP(Substitution!$M$18 &amp; $A10, US_national_yearly!$D:$AM, MATCH(H$1, US_national_yearly!$D$1:$AM$1, 0), FALSE) / VLOOKUP(Substitution!$M$18 &amp; $A10, US_national_yearly!$D:$AM, MATCH(Keys!$C$7, US_national_yearly!$D$1:$AM$1, 0), FALSE), 1)</f>
        <v>0.16136096661034099</v>
      </c>
      <c r="I10" s="12">
        <f>$B10 * IFERROR(VLOOKUP(Substitution!$M$18 &amp; $A10, US_national_yearly!$D:$AM, MATCH(I$1, US_national_yearly!$D$1:$AM$1, 0), FALSE) / VLOOKUP(Substitution!$M$18 &amp; $A10, US_national_yearly!$D:$AM, MATCH(Keys!$C$7, US_national_yearly!$D$1:$AM$1, 0), FALSE), 1)</f>
        <v>0.16257984875156761</v>
      </c>
      <c r="J10" s="12">
        <f>$B10 * IFERROR(VLOOKUP(Substitution!$M$18 &amp; $A10, US_national_yearly!$D:$AM, MATCH(J$1, US_national_yearly!$D$1:$AM$1, 0), FALSE) / VLOOKUP(Substitution!$M$18 &amp; $A10, US_national_yearly!$D:$AM, MATCH(Keys!$C$7, US_national_yearly!$D$1:$AM$1, 0), FALSE), 1)</f>
        <v>0.16379873089279423</v>
      </c>
      <c r="K10" s="12">
        <f>$B10 * IFERROR(VLOOKUP(Substitution!$M$18 &amp; $A10, US_national_yearly!$D:$AM, MATCH(K$1, US_national_yearly!$D$1:$AM$1, 0), FALSE) / VLOOKUP(Substitution!$M$18 &amp; $A10, US_national_yearly!$D:$AM, MATCH(Keys!$C$7, US_national_yearly!$D$1:$AM$1, 0), FALSE), 1)</f>
        <v>0.16501761303402079</v>
      </c>
      <c r="L10" s="12">
        <f>$B10 * IFERROR(VLOOKUP(Substitution!$M$18 &amp; $A10, US_national_yearly!$D:$AM, MATCH(L$1, US_national_yearly!$D$1:$AM$1, 0), FALSE) / VLOOKUP(Substitution!$M$18 &amp; $A10, US_national_yearly!$D:$AM, MATCH(Keys!$C$7, US_national_yearly!$D$1:$AM$1, 0), FALSE), 1)</f>
        <v>0.16623649517524741</v>
      </c>
      <c r="M10" s="12">
        <f>$B10 * IFERROR(VLOOKUP(Substitution!$M$18 &amp; $A10, US_national_yearly!$D:$AM, MATCH(M$1, US_national_yearly!$D$1:$AM$1, 0), FALSE) / VLOOKUP(Substitution!$M$18 &amp; $A10, US_national_yearly!$D:$AM, MATCH(Keys!$C$7, US_national_yearly!$D$1:$AM$1, 0), FALSE), 1)</f>
        <v>0.167455377316474</v>
      </c>
      <c r="N10" s="12">
        <f>$B10 * IFERROR(VLOOKUP(Substitution!$M$18 &amp; $A10, US_national_yearly!$D:$AM, MATCH(N$1, US_national_yearly!$D$1:$AM$1, 0), FALSE) / VLOOKUP(Substitution!$M$18 &amp; $A10, US_national_yearly!$D:$AM, MATCH(Keys!$C$7, US_national_yearly!$D$1:$AM$1, 0), FALSE), 1)</f>
        <v>0.16810407952755321</v>
      </c>
      <c r="O10" s="12">
        <f>$B10 * IFERROR(VLOOKUP(Substitution!$M$18 &amp; $A10, US_national_yearly!$D:$AM, MATCH(O$1, US_national_yearly!$D$1:$AM$1, 0), FALSE) / VLOOKUP(Substitution!$M$18 &amp; $A10, US_national_yearly!$D:$AM, MATCH(Keys!$C$7, US_national_yearly!$D$1:$AM$1, 0), FALSE), 1)</f>
        <v>0.1687527817386324</v>
      </c>
      <c r="P10" s="12">
        <f>$B10 * IFERROR(VLOOKUP(Substitution!$M$18 &amp; $A10, US_national_yearly!$D:$AM, MATCH(P$1, US_national_yearly!$D$1:$AM$1, 0), FALSE) / VLOOKUP(Substitution!$M$18 &amp; $A10, US_national_yearly!$D:$AM, MATCH(Keys!$C$7, US_national_yearly!$D$1:$AM$1, 0), FALSE), 1)</f>
        <v>0.16940148394971161</v>
      </c>
      <c r="Q10" s="12">
        <f>$B10 * IFERROR(VLOOKUP(Substitution!$M$18 &amp; $A10, US_national_yearly!$D:$AM, MATCH(Q$1, US_national_yearly!$D$1:$AM$1, 0), FALSE) / VLOOKUP(Substitution!$M$18 &amp; $A10, US_national_yearly!$D:$AM, MATCH(Keys!$C$7, US_national_yearly!$D$1:$AM$1, 0), FALSE), 1)</f>
        <v>0.17005018616079076</v>
      </c>
      <c r="R10" s="12">
        <f>$B10 * IFERROR(VLOOKUP(Substitution!$M$18 &amp; $A10, US_national_yearly!$D:$AM, MATCH(R$1, US_national_yearly!$D$1:$AM$1, 0), FALSE) / VLOOKUP(Substitution!$M$18 &amp; $A10, US_national_yearly!$D:$AM, MATCH(Keys!$C$7, US_national_yearly!$D$1:$AM$1, 0), FALSE), 1)</f>
        <v>0.17069888837186997</v>
      </c>
      <c r="S10" s="12">
        <f>$B10 * IFERROR(VLOOKUP(Substitution!$M$18 &amp; $A10, US_national_yearly!$D:$AM, MATCH(S$1, US_national_yearly!$D$1:$AM$1, 0), FALSE) / VLOOKUP(Substitution!$M$18 &amp; $A10, US_national_yearly!$D:$AM, MATCH(Keys!$C$7, US_national_yearly!$D$1:$AM$1, 0), FALSE), 1)</f>
        <v>0.17143698291529164</v>
      </c>
      <c r="T10" s="12">
        <f>$B10 * IFERROR(VLOOKUP(Substitution!$M$18 &amp; $A10, US_national_yearly!$D:$AM, MATCH(T$1, US_national_yearly!$D$1:$AM$1, 0), FALSE) / VLOOKUP(Substitution!$M$18 &amp; $A10, US_national_yearly!$D:$AM, MATCH(Keys!$C$7, US_national_yearly!$D$1:$AM$1, 0), FALSE), 1)</f>
        <v>0.17217507745871319</v>
      </c>
      <c r="U10" s="12">
        <f>$B10 * IFERROR(VLOOKUP(Substitution!$M$18 &amp; $A10, US_national_yearly!$D:$AM, MATCH(U$1, US_national_yearly!$D$1:$AM$1, 0), FALSE) / VLOOKUP(Substitution!$M$18 &amp; $A10, US_national_yearly!$D:$AM, MATCH(Keys!$C$7, US_national_yearly!$D$1:$AM$1, 0), FALSE), 1)</f>
        <v>0.1729131720021348</v>
      </c>
      <c r="V10" s="12">
        <f>$B10 * IFERROR(VLOOKUP(Substitution!$M$18 &amp; $A10, US_national_yearly!$D:$AM, MATCH(V$1, US_national_yearly!$D$1:$AM$1, 0), FALSE) / VLOOKUP(Substitution!$M$18 &amp; $A10, US_national_yearly!$D:$AM, MATCH(Keys!$C$7, US_national_yearly!$D$1:$AM$1, 0), FALSE), 1)</f>
        <v>0.1736512665455564</v>
      </c>
      <c r="W10" s="12">
        <f>$B10 * IFERROR(VLOOKUP(Substitution!$M$18 &amp; $A10, US_national_yearly!$D:$AM, MATCH(W$1, US_national_yearly!$D$1:$AM$1, 0), FALSE) / VLOOKUP(Substitution!$M$18 &amp; $A10, US_national_yearly!$D:$AM, MATCH(Keys!$C$7, US_national_yearly!$D$1:$AM$1, 0), FALSE), 1)</f>
        <v>0.17438936108897801</v>
      </c>
      <c r="X10" s="12">
        <f>$B10 * IFERROR(VLOOKUP(Substitution!$M$18 &amp; $A10, US_national_yearly!$D:$AM, MATCH(X$1, US_national_yearly!$D$1:$AM$1, 0), FALSE) / VLOOKUP(Substitution!$M$18 &amp; $A10, US_national_yearly!$D:$AM, MATCH(Keys!$C$7, US_national_yearly!$D$1:$AM$1, 0), FALSE), 1)</f>
        <v>0.17515153603531039</v>
      </c>
      <c r="Y10" s="12">
        <f>$B10 * IFERROR(VLOOKUP(Substitution!$M$18 &amp; $A10, US_national_yearly!$D:$AM, MATCH(Y$1, US_national_yearly!$D$1:$AM$1, 0), FALSE) / VLOOKUP(Substitution!$M$18 &amp; $A10, US_national_yearly!$D:$AM, MATCH(Keys!$C$7, US_national_yearly!$D$1:$AM$1, 0), FALSE), 1)</f>
        <v>0.17591371098164277</v>
      </c>
      <c r="Z10" s="12">
        <f>$B10 * IFERROR(VLOOKUP(Substitution!$M$18 &amp; $A10, US_national_yearly!$D:$AM, MATCH(Z$1, US_national_yearly!$D$1:$AM$1, 0), FALSE) / VLOOKUP(Substitution!$M$18 &amp; $A10, US_national_yearly!$D:$AM, MATCH(Keys!$C$7, US_national_yearly!$D$1:$AM$1, 0), FALSE), 1)</f>
        <v>0.1766758859279752</v>
      </c>
      <c r="AA10" s="12">
        <f>$B10 * IFERROR(VLOOKUP(Substitution!$M$18 &amp; $A10, US_national_yearly!$D:$AM, MATCH(AA$1, US_national_yearly!$D$1:$AM$1, 0), FALSE) / VLOOKUP(Substitution!$M$18 &amp; $A10, US_national_yearly!$D:$AM, MATCH(Keys!$C$7, US_national_yearly!$D$1:$AM$1, 0), FALSE), 1)</f>
        <v>0.17743806087430763</v>
      </c>
      <c r="AB10" s="12">
        <f>$B10 * IFERROR(VLOOKUP(Substitution!$M$18 &amp; $A10, US_national_yearly!$D:$AM, MATCH(AB$1, US_national_yearly!$D$1:$AM$1, 0), FALSE) / VLOOKUP(Substitution!$M$18 &amp; $A10, US_national_yearly!$D:$AM, MATCH(Keys!$C$7, US_national_yearly!$D$1:$AM$1, 0), FALSE), 1)</f>
        <v>0.17820023582064001</v>
      </c>
    </row>
    <row r="11" spans="1:28" x14ac:dyDescent="0.25">
      <c r="A11" s="4" t="s">
        <v>309</v>
      </c>
      <c r="B11" s="12">
        <f>IFERROR(VLOOKUP(Substitution!$M$18 &amp; $A11, US_national_yearly!$D:$AM, MATCH(Keys!$C$7, US_national_yearly!$D$1:$AM$1, 0), FALSE), 0)</f>
        <v>9.1734366332611381E-3</v>
      </c>
      <c r="C11" s="12">
        <f>$B11 * IFERROR(VLOOKUP(Substitution!$M$18 &amp; $A11, US_national_yearly!$D:$AM, MATCH(C$1, US_national_yearly!$D$1:$AM$1, 0), FALSE) / VLOOKUP(Substitution!$M$18 &amp; $A11, US_national_yearly!$D:$AM, MATCH(Keys!$C$7, US_national_yearly!$D$1:$AM$1, 0), FALSE), 1)</f>
        <v>9.2631336340910555E-3</v>
      </c>
      <c r="D11" s="12">
        <f>$B11 * IFERROR(VLOOKUP(Substitution!$M$18 &amp; $A11, US_national_yearly!$D:$AM, MATCH(D$1, US_national_yearly!$D$1:$AM$1, 0), FALSE) / VLOOKUP(Substitution!$M$18 &amp; $A11, US_national_yearly!$D:$AM, MATCH(Keys!$C$7, US_national_yearly!$D$1:$AM$1, 0), FALSE), 1)</f>
        <v>9.3528306349209764E-3</v>
      </c>
      <c r="E11" s="12">
        <f>$B11 * IFERROR(VLOOKUP(Substitution!$M$18 &amp; $A11, US_national_yearly!$D:$AM, MATCH(E$1, US_national_yearly!$D$1:$AM$1, 0), FALSE) / VLOOKUP(Substitution!$M$18 &amp; $A11, US_national_yearly!$D:$AM, MATCH(Keys!$C$7, US_national_yearly!$D$1:$AM$1, 0), FALSE), 1)</f>
        <v>9.4425276357508921E-3</v>
      </c>
      <c r="F11" s="12">
        <f>$B11 * IFERROR(VLOOKUP(Substitution!$M$18 &amp; $A11, US_national_yearly!$D:$AM, MATCH(F$1, US_national_yearly!$D$1:$AM$1, 0), FALSE) / VLOOKUP(Substitution!$M$18 &amp; $A11, US_national_yearly!$D:$AM, MATCH(Keys!$C$7, US_national_yearly!$D$1:$AM$1, 0), FALSE), 1)</f>
        <v>9.5322246365808095E-3</v>
      </c>
      <c r="G11" s="12">
        <f>$B11 * IFERROR(VLOOKUP(Substitution!$M$18 &amp; $A11, US_national_yearly!$D:$AM, MATCH(G$1, US_national_yearly!$D$1:$AM$1, 0), FALSE) / VLOOKUP(Substitution!$M$18 &amp; $A11, US_national_yearly!$D:$AM, MATCH(Keys!$C$7, US_national_yearly!$D$1:$AM$1, 0), FALSE), 1)</f>
        <v>9.6250304394095154E-3</v>
      </c>
      <c r="H11" s="12">
        <f>$B11 * IFERROR(VLOOKUP(Substitution!$M$18 &amp; $A11, US_national_yearly!$D:$AM, MATCH(H$1, US_national_yearly!$D$1:$AM$1, 0), FALSE) / VLOOKUP(Substitution!$M$18 &amp; $A11, US_national_yearly!$D:$AM, MATCH(Keys!$C$7, US_national_yearly!$D$1:$AM$1, 0), FALSE), 1)</f>
        <v>9.7178362422382196E-3</v>
      </c>
      <c r="I11" s="12">
        <f>$B11 * IFERROR(VLOOKUP(Substitution!$M$18 &amp; $A11, US_national_yearly!$D:$AM, MATCH(I$1, US_national_yearly!$D$1:$AM$1, 0), FALSE) / VLOOKUP(Substitution!$M$18 &amp; $A11, US_national_yearly!$D:$AM, MATCH(Keys!$C$7, US_national_yearly!$D$1:$AM$1, 0), FALSE), 1)</f>
        <v>9.8053651221661955E-3</v>
      </c>
      <c r="J11" s="12">
        <f>$B11 * IFERROR(VLOOKUP(Substitution!$M$18 &amp; $A11, US_national_yearly!$D:$AM, MATCH(J$1, US_national_yearly!$D$1:$AM$1, 0), FALSE) / VLOOKUP(Substitution!$M$18 &amp; $A11, US_national_yearly!$D:$AM, MATCH(Keys!$C$7, US_national_yearly!$D$1:$AM$1, 0), FALSE), 1)</f>
        <v>9.8928940020941714E-3</v>
      </c>
      <c r="K11" s="12">
        <f>$B11 * IFERROR(VLOOKUP(Substitution!$M$18 &amp; $A11, US_national_yearly!$D:$AM, MATCH(K$1, US_national_yearly!$D$1:$AM$1, 0), FALSE) / VLOOKUP(Substitution!$M$18 &amp; $A11, US_national_yearly!$D:$AM, MATCH(Keys!$C$7, US_national_yearly!$D$1:$AM$1, 0), FALSE), 1)</f>
        <v>9.980422882022149E-3</v>
      </c>
      <c r="L11" s="12">
        <f>$B11 * IFERROR(VLOOKUP(Substitution!$M$18 &amp; $A11, US_national_yearly!$D:$AM, MATCH(L$1, US_national_yearly!$D$1:$AM$1, 0), FALSE) / VLOOKUP(Substitution!$M$18 &amp; $A11, US_national_yearly!$D:$AM, MATCH(Keys!$C$7, US_national_yearly!$D$1:$AM$1, 0), FALSE), 1)</f>
        <v>1.006795176195012E-2</v>
      </c>
      <c r="M11" s="12">
        <f>$B11 * IFERROR(VLOOKUP(Substitution!$M$18 &amp; $A11, US_national_yearly!$D:$AM, MATCH(M$1, US_national_yearly!$D$1:$AM$1, 0), FALSE) / VLOOKUP(Substitution!$M$18 &amp; $A11, US_national_yearly!$D:$AM, MATCH(Keys!$C$7, US_national_yearly!$D$1:$AM$1, 0), FALSE), 1)</f>
        <v>1.0155480641878101E-2</v>
      </c>
      <c r="N11" s="12">
        <f>$B11 * IFERROR(VLOOKUP(Substitution!$M$18 &amp; $A11, US_national_yearly!$D:$AM, MATCH(N$1, US_national_yearly!$D$1:$AM$1, 0), FALSE) / VLOOKUP(Substitution!$M$18 &amp; $A11, US_national_yearly!$D:$AM, MATCH(Keys!$C$7, US_national_yearly!$D$1:$AM$1, 0), FALSE), 1)</f>
        <v>1.0229886273962799E-2</v>
      </c>
      <c r="O11" s="12">
        <f>$B11 * IFERROR(VLOOKUP(Substitution!$M$18 &amp; $A11, US_national_yearly!$D:$AM, MATCH(O$1, US_national_yearly!$D$1:$AM$1, 0), FALSE) / VLOOKUP(Substitution!$M$18 &amp; $A11, US_national_yearly!$D:$AM, MATCH(Keys!$C$7, US_national_yearly!$D$1:$AM$1, 0), FALSE), 1)</f>
        <v>1.0304291906047499E-2</v>
      </c>
      <c r="P11" s="12">
        <f>$B11 * IFERROR(VLOOKUP(Substitution!$M$18 &amp; $A11, US_national_yearly!$D:$AM, MATCH(P$1, US_national_yearly!$D$1:$AM$1, 0), FALSE) / VLOOKUP(Substitution!$M$18 &amp; $A11, US_national_yearly!$D:$AM, MATCH(Keys!$C$7, US_national_yearly!$D$1:$AM$1, 0), FALSE), 1)</f>
        <v>1.0378697538132201E-2</v>
      </c>
      <c r="Q11" s="12">
        <f>$B11 * IFERROR(VLOOKUP(Substitution!$M$18 &amp; $A11, US_national_yearly!$D:$AM, MATCH(Q$1, US_national_yearly!$D$1:$AM$1, 0), FALSE) / VLOOKUP(Substitution!$M$18 &amp; $A11, US_national_yearly!$D:$AM, MATCH(Keys!$C$7, US_national_yearly!$D$1:$AM$1, 0), FALSE), 1)</f>
        <v>1.04531031702169E-2</v>
      </c>
      <c r="R11" s="12">
        <f>$B11 * IFERROR(VLOOKUP(Substitution!$M$18 &amp; $A11, US_national_yearly!$D:$AM, MATCH(R$1, US_national_yearly!$D$1:$AM$1, 0), FALSE) / VLOOKUP(Substitution!$M$18 &amp; $A11, US_national_yearly!$D:$AM, MATCH(Keys!$C$7, US_national_yearly!$D$1:$AM$1, 0), FALSE), 1)</f>
        <v>1.05275088023016E-2</v>
      </c>
      <c r="S11" s="12">
        <f>$B11 * IFERROR(VLOOKUP(Substitution!$M$18 &amp; $A11, US_national_yearly!$D:$AM, MATCH(S$1, US_national_yearly!$D$1:$AM$1, 0), FALSE) / VLOOKUP(Substitution!$M$18 &amp; $A11, US_national_yearly!$D:$AM, MATCH(Keys!$C$7, US_national_yearly!$D$1:$AM$1, 0), FALSE), 1)</f>
        <v>1.059152835184292E-2</v>
      </c>
      <c r="T11" s="12">
        <f>$B11 * IFERROR(VLOOKUP(Substitution!$M$18 &amp; $A11, US_national_yearly!$D:$AM, MATCH(T$1, US_national_yearly!$D$1:$AM$1, 0), FALSE) / VLOOKUP(Substitution!$M$18 &amp; $A11, US_national_yearly!$D:$AM, MATCH(Keys!$C$7, US_national_yearly!$D$1:$AM$1, 0), FALSE), 1)</f>
        <v>1.0655547901384239E-2</v>
      </c>
      <c r="U11" s="12">
        <f>$B11 * IFERROR(VLOOKUP(Substitution!$M$18 &amp; $A11, US_national_yearly!$D:$AM, MATCH(U$1, US_national_yearly!$D$1:$AM$1, 0), FALSE) / VLOOKUP(Substitution!$M$18 &amp; $A11, US_national_yearly!$D:$AM, MATCH(Keys!$C$7, US_national_yearly!$D$1:$AM$1, 0), FALSE), 1)</f>
        <v>1.071956745092556E-2</v>
      </c>
      <c r="V11" s="12">
        <f>$B11 * IFERROR(VLOOKUP(Substitution!$M$18 &amp; $A11, US_national_yearly!$D:$AM, MATCH(V$1, US_national_yearly!$D$1:$AM$1, 0), FALSE) / VLOOKUP(Substitution!$M$18 &amp; $A11, US_national_yearly!$D:$AM, MATCH(Keys!$C$7, US_national_yearly!$D$1:$AM$1, 0), FALSE), 1)</f>
        <v>1.0783587000466881E-2</v>
      </c>
      <c r="W11" s="12">
        <f>$B11 * IFERROR(VLOOKUP(Substitution!$M$18 &amp; $A11, US_national_yearly!$D:$AM, MATCH(W$1, US_national_yearly!$D$1:$AM$1, 0), FALSE) / VLOOKUP(Substitution!$M$18 &amp; $A11, US_national_yearly!$D:$AM, MATCH(Keys!$C$7, US_national_yearly!$D$1:$AM$1, 0), FALSE), 1)</f>
        <v>1.0847606550008201E-2</v>
      </c>
      <c r="X11" s="12">
        <f>$B11 * IFERROR(VLOOKUP(Substitution!$M$18 &amp; $A11, US_national_yearly!$D:$AM, MATCH(X$1, US_national_yearly!$D$1:$AM$1, 0), FALSE) / VLOOKUP(Substitution!$M$18 &amp; $A11, US_national_yearly!$D:$AM, MATCH(Keys!$C$7, US_national_yearly!$D$1:$AM$1, 0), FALSE), 1)</f>
        <v>1.0907252756575938E-2</v>
      </c>
      <c r="Y11" s="12">
        <f>$B11 * IFERROR(VLOOKUP(Substitution!$M$18 &amp; $A11, US_national_yearly!$D:$AM, MATCH(Y$1, US_national_yearly!$D$1:$AM$1, 0), FALSE) / VLOOKUP(Substitution!$M$18 &amp; $A11, US_national_yearly!$D:$AM, MATCH(Keys!$C$7, US_national_yearly!$D$1:$AM$1, 0), FALSE), 1)</f>
        <v>1.096689896314368E-2</v>
      </c>
      <c r="Z11" s="12">
        <f>$B11 * IFERROR(VLOOKUP(Substitution!$M$18 &amp; $A11, US_national_yearly!$D:$AM, MATCH(Z$1, US_national_yearly!$D$1:$AM$1, 0), FALSE) / VLOOKUP(Substitution!$M$18 &amp; $A11, US_national_yearly!$D:$AM, MATCH(Keys!$C$7, US_national_yearly!$D$1:$AM$1, 0), FALSE), 1)</f>
        <v>1.1026545169711421E-2</v>
      </c>
      <c r="AA11" s="12">
        <f>$B11 * IFERROR(VLOOKUP(Substitution!$M$18 &amp; $A11, US_national_yearly!$D:$AM, MATCH(AA$1, US_national_yearly!$D$1:$AM$1, 0), FALSE) / VLOOKUP(Substitution!$M$18 &amp; $A11, US_national_yearly!$D:$AM, MATCH(Keys!$C$7, US_national_yearly!$D$1:$AM$1, 0), FALSE), 1)</f>
        <v>1.1086191376279159E-2</v>
      </c>
      <c r="AB11" s="12">
        <f>$B11 * IFERROR(VLOOKUP(Substitution!$M$18 &amp; $A11, US_national_yearly!$D:$AM, MATCH(AB$1, US_national_yearly!$D$1:$AM$1, 0), FALSE) / VLOOKUP(Substitution!$M$18 &amp; $A11, US_national_yearly!$D:$AM, MATCH(Keys!$C$7, US_national_yearly!$D$1:$AM$1, 0), FALSE), 1)</f>
        <v>1.11458375828469E-2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Substitution!$G$18)/IFERROR(SUMIFS(COBRA_aggregated!$W:$W, COBRA_aggregated!$A:$A, About!$B$1, COBRA_aggregated!$B:$B, Substitution!$G$18), 1)</f>
        <v>2.6330515938844077E-5</v>
      </c>
      <c r="C12" s="12">
        <f>$B12 * IFERROR(VLOOKUP(Substitution!$M$18 &amp; $A12, US_national_yearly!$D:$AM, MATCH(C$1, US_national_yearly!$D$1:$AM$1, 0), FALSE) / VLOOKUP(Substitution!$M$18 &amp; $A12, US_national_yearly!$D:$AM, MATCH(Keys!$C$7, US_national_yearly!$D$1:$AM$1, 0), FALSE), 1)</f>
        <v>2.6987321830384808E-5</v>
      </c>
      <c r="D12" s="12">
        <f>$B12 * IFERROR(VLOOKUP(Substitution!$M$18 &amp; $A12, US_national_yearly!$D:$AM, MATCH(D$1, US_national_yearly!$D$1:$AM$1, 0), FALSE) / VLOOKUP(Substitution!$M$18 &amp; $A12, US_national_yearly!$D:$AM, MATCH(Keys!$C$7, US_national_yearly!$D$1:$AM$1, 0), FALSE), 1)</f>
        <v>2.7644127721925543E-5</v>
      </c>
      <c r="E12" s="12">
        <f>$B12 * IFERROR(VLOOKUP(Substitution!$M$18 &amp; $A12, US_national_yearly!$D:$AM, MATCH(E$1, US_national_yearly!$D$1:$AM$1, 0), FALSE) / VLOOKUP(Substitution!$M$18 &amp; $A12, US_national_yearly!$D:$AM, MATCH(Keys!$C$7, US_national_yearly!$D$1:$AM$1, 0), FALSE), 1)</f>
        <v>2.8300933613466277E-5</v>
      </c>
      <c r="F12" s="12">
        <f>$B12 * IFERROR(VLOOKUP(Substitution!$M$18 &amp; $A12, US_national_yearly!$D:$AM, MATCH(F$1, US_national_yearly!$D$1:$AM$1, 0), FALSE) / VLOOKUP(Substitution!$M$18 &amp; $A12, US_national_yearly!$D:$AM, MATCH(Keys!$C$7, US_national_yearly!$D$1:$AM$1, 0), FALSE), 1)</f>
        <v>2.8957739505007015E-5</v>
      </c>
      <c r="G12" s="12">
        <f>$B12 * IFERROR(VLOOKUP(Substitution!$M$18 &amp; $A12, US_national_yearly!$D:$AM, MATCH(G$1, US_national_yearly!$D$1:$AM$1, 0), FALSE) / VLOOKUP(Substitution!$M$18 &amp; $A12, US_national_yearly!$D:$AM, MATCH(Keys!$C$7, US_national_yearly!$D$1:$AM$1, 0), FALSE), 1)</f>
        <v>2.9585668292331469E-5</v>
      </c>
      <c r="H12" s="12">
        <f>$B12 * IFERROR(VLOOKUP(Substitution!$M$18 &amp; $A12, US_national_yearly!$D:$AM, MATCH(H$1, US_national_yearly!$D$1:$AM$1, 0), FALSE) / VLOOKUP(Substitution!$M$18 &amp; $A12, US_national_yearly!$D:$AM, MATCH(Keys!$C$7, US_national_yearly!$D$1:$AM$1, 0), FALSE), 1)</f>
        <v>3.0213597079655924E-5</v>
      </c>
      <c r="I12" s="12">
        <f>$B12 * IFERROR(VLOOKUP(Substitution!$M$18 &amp; $A12, US_national_yearly!$D:$AM, MATCH(I$1, US_national_yearly!$D$1:$AM$1, 0), FALSE) / VLOOKUP(Substitution!$M$18 &amp; $A12, US_national_yearly!$D:$AM, MATCH(Keys!$C$7, US_national_yearly!$D$1:$AM$1, 0), FALSE), 1)</f>
        <v>3.0746721529003862E-5</v>
      </c>
      <c r="J12" s="12">
        <f>$B12 * IFERROR(VLOOKUP(Substitution!$M$18 &amp; $A12, US_national_yearly!$D:$AM, MATCH(J$1, US_national_yearly!$D$1:$AM$1, 0), FALSE) / VLOOKUP(Substitution!$M$18 &amp; $A12, US_national_yearly!$D:$AM, MATCH(Keys!$C$7, US_national_yearly!$D$1:$AM$1, 0), FALSE), 1)</f>
        <v>3.1279845978351794E-5</v>
      </c>
      <c r="K12" s="12">
        <f>$B12 * IFERROR(VLOOKUP(Substitution!$M$18 &amp; $A12, US_national_yearly!$D:$AM, MATCH(K$1, US_national_yearly!$D$1:$AM$1, 0), FALSE) / VLOOKUP(Substitution!$M$18 &amp; $A12, US_national_yearly!$D:$AM, MATCH(Keys!$C$7, US_national_yearly!$D$1:$AM$1, 0), FALSE), 1)</f>
        <v>3.1812970427699725E-5</v>
      </c>
      <c r="L12" s="12">
        <f>$B12 * IFERROR(VLOOKUP(Substitution!$M$18 &amp; $A12, US_national_yearly!$D:$AM, MATCH(L$1, US_national_yearly!$D$1:$AM$1, 0), FALSE) / VLOOKUP(Substitution!$M$18 &amp; $A12, US_national_yearly!$D:$AM, MATCH(Keys!$C$7, US_national_yearly!$D$1:$AM$1, 0), FALSE), 1)</f>
        <v>3.2346094877047664E-5</v>
      </c>
      <c r="M12" s="12">
        <f>$B12 * IFERROR(VLOOKUP(Substitution!$M$18 &amp; $A12, US_national_yearly!$D:$AM, MATCH(M$1, US_national_yearly!$D$1:$AM$1, 0), FALSE) / VLOOKUP(Substitution!$M$18 &amp; $A12, US_national_yearly!$D:$AM, MATCH(Keys!$C$7, US_national_yearly!$D$1:$AM$1, 0), FALSE), 1)</f>
        <v>3.2879219326395602E-5</v>
      </c>
      <c r="N12" s="12">
        <f>$B12 * IFERROR(VLOOKUP(Substitution!$M$18 &amp; $A12, US_national_yearly!$D:$AM, MATCH(N$1, US_national_yearly!$D$1:$AM$1, 0), FALSE) / VLOOKUP(Substitution!$M$18 &amp; $A12, US_national_yearly!$D:$AM, MATCH(Keys!$C$7, US_national_yearly!$D$1:$AM$1, 0), FALSE), 1)</f>
        <v>3.3235622619455487E-5</v>
      </c>
      <c r="O12" s="12">
        <f>$B12 * IFERROR(VLOOKUP(Substitution!$M$18 &amp; $A12, US_national_yearly!$D:$AM, MATCH(O$1, US_national_yearly!$D$1:$AM$1, 0), FALSE) / VLOOKUP(Substitution!$M$18 &amp; $A12, US_national_yearly!$D:$AM, MATCH(Keys!$C$7, US_national_yearly!$D$1:$AM$1, 0), FALSE), 1)</f>
        <v>3.3592025912515378E-5</v>
      </c>
      <c r="P12" s="12">
        <f>$B12 * IFERROR(VLOOKUP(Substitution!$M$18 &amp; $A12, US_national_yearly!$D:$AM, MATCH(P$1, US_national_yearly!$D$1:$AM$1, 0), FALSE) / VLOOKUP(Substitution!$M$18 &amp; $A12, US_national_yearly!$D:$AM, MATCH(Keys!$C$7, US_national_yearly!$D$1:$AM$1, 0), FALSE), 1)</f>
        <v>3.394842920557527E-5</v>
      </c>
      <c r="Q12" s="12">
        <f>$B12 * IFERROR(VLOOKUP(Substitution!$M$18 &amp; $A12, US_national_yearly!$D:$AM, MATCH(Q$1, US_national_yearly!$D$1:$AM$1, 0), FALSE) / VLOOKUP(Substitution!$M$18 &amp; $A12, US_national_yearly!$D:$AM, MATCH(Keys!$C$7, US_national_yearly!$D$1:$AM$1, 0), FALSE), 1)</f>
        <v>3.4304832498635169E-5</v>
      </c>
      <c r="R12" s="12">
        <f>$B12 * IFERROR(VLOOKUP(Substitution!$M$18 &amp; $A12, US_national_yearly!$D:$AM, MATCH(R$1, US_national_yearly!$D$1:$AM$1, 0), FALSE) / VLOOKUP(Substitution!$M$18 &amp; $A12, US_national_yearly!$D:$AM, MATCH(Keys!$C$7, US_national_yearly!$D$1:$AM$1, 0), FALSE), 1)</f>
        <v>3.4661235791695053E-5</v>
      </c>
      <c r="S12" s="12">
        <f>$B12 * IFERROR(VLOOKUP(Substitution!$M$18 &amp; $A12, US_national_yearly!$D:$AM, MATCH(S$1, US_national_yearly!$D$1:$AM$1, 0), FALSE) / VLOOKUP(Substitution!$M$18 &amp; $A12, US_national_yearly!$D:$AM, MATCH(Keys!$C$7, US_national_yearly!$D$1:$AM$1, 0), FALSE), 1)</f>
        <v>3.4852187018705953E-5</v>
      </c>
      <c r="T12" s="12">
        <f>$B12 * IFERROR(VLOOKUP(Substitution!$M$18 &amp; $A12, US_national_yearly!$D:$AM, MATCH(T$1, US_national_yearly!$D$1:$AM$1, 0), FALSE) / VLOOKUP(Substitution!$M$18 &amp; $A12, US_national_yearly!$D:$AM, MATCH(Keys!$C$7, US_national_yearly!$D$1:$AM$1, 0), FALSE), 1)</f>
        <v>3.5043138245716852E-5</v>
      </c>
      <c r="U12" s="12">
        <f>$B12 * IFERROR(VLOOKUP(Substitution!$M$18 &amp; $A12, US_national_yearly!$D:$AM, MATCH(U$1, US_national_yearly!$D$1:$AM$1, 0), FALSE) / VLOOKUP(Substitution!$M$18 &amp; $A12, US_national_yearly!$D:$AM, MATCH(Keys!$C$7, US_national_yearly!$D$1:$AM$1, 0), FALSE), 1)</f>
        <v>3.5234089472727745E-5</v>
      </c>
      <c r="V12" s="12">
        <f>$B12 * IFERROR(VLOOKUP(Substitution!$M$18 &amp; $A12, US_national_yearly!$D:$AM, MATCH(V$1, US_national_yearly!$D$1:$AM$1, 0), FALSE) / VLOOKUP(Substitution!$M$18 &amp; $A12, US_national_yearly!$D:$AM, MATCH(Keys!$C$7, US_national_yearly!$D$1:$AM$1, 0), FALSE), 1)</f>
        <v>3.5425040699738637E-5</v>
      </c>
      <c r="W12" s="12">
        <f>$B12 * IFERROR(VLOOKUP(Substitution!$M$18 &amp; $A12, US_national_yearly!$D:$AM, MATCH(W$1, US_national_yearly!$D$1:$AM$1, 0), FALSE) / VLOOKUP(Substitution!$M$18 &amp; $A12, US_national_yearly!$D:$AM, MATCH(Keys!$C$7, US_national_yearly!$D$1:$AM$1, 0), FALSE), 1)</f>
        <v>3.5615991926749543E-5</v>
      </c>
      <c r="X12" s="12">
        <f>$B12 * IFERROR(VLOOKUP(Substitution!$M$18 &amp; $A12, US_national_yearly!$D:$AM, MATCH(X$1, US_national_yearly!$D$1:$AM$1, 0), FALSE) / VLOOKUP(Substitution!$M$18 &amp; $A12, US_national_yearly!$D:$AM, MATCH(Keys!$C$7, US_national_yearly!$D$1:$AM$1, 0), FALSE), 1)</f>
        <v>3.574648228269927E-5</v>
      </c>
      <c r="Y12" s="12">
        <f>$B12 * IFERROR(VLOOKUP(Substitution!$M$18 &amp; $A12, US_national_yearly!$D:$AM, MATCH(Y$1, US_national_yearly!$D$1:$AM$1, 0), FALSE) / VLOOKUP(Substitution!$M$18 &amp; $A12, US_national_yearly!$D:$AM, MATCH(Keys!$C$7, US_national_yearly!$D$1:$AM$1, 0), FALSE), 1)</f>
        <v>3.5876972638649011E-5</v>
      </c>
      <c r="Z12" s="12">
        <f>$B12 * IFERROR(VLOOKUP(Substitution!$M$18 &amp; $A12, US_national_yearly!$D:$AM, MATCH(Z$1, US_national_yearly!$D$1:$AM$1, 0), FALSE) / VLOOKUP(Substitution!$M$18 &amp; $A12, US_national_yearly!$D:$AM, MATCH(Keys!$C$7, US_national_yearly!$D$1:$AM$1, 0), FALSE), 1)</f>
        <v>3.6007462994598751E-5</v>
      </c>
      <c r="AA12" s="12">
        <f>$B12 * IFERROR(VLOOKUP(Substitution!$M$18 &amp; $A12, US_national_yearly!$D:$AM, MATCH(AA$1, US_national_yearly!$D$1:$AM$1, 0), FALSE) / VLOOKUP(Substitution!$M$18 &amp; $A12, US_national_yearly!$D:$AM, MATCH(Keys!$C$7, US_national_yearly!$D$1:$AM$1, 0), FALSE), 1)</f>
        <v>3.6137953350548485E-5</v>
      </c>
      <c r="AB12" s="12">
        <f>$B12 * IFERROR(VLOOKUP(Substitution!$M$18 &amp; $A12, US_national_yearly!$D:$AM, MATCH(AB$1, US_national_yearly!$D$1:$AM$1, 0), FALSE) / VLOOKUP(Substitution!$M$18 &amp; $A12, US_national_yearly!$D:$AM, MATCH(Keys!$C$7, US_national_yearly!$D$1:$AM$1, 0), FALSE), 1)</f>
        <v>3.6268443706498219E-5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Substitution!$G$18)/IFERROR(SUMIFS(COBRA_aggregated!$W:$W, COBRA_aggregated!$A:$A, About!$B$1, COBRA_aggregated!$B:$B, Substitution!$G$18), 1)</f>
        <v>1.6612388184738175E-4</v>
      </c>
      <c r="C13" s="12">
        <f>$B13 * IFERROR(VLOOKUP(Substitution!$M$18 &amp; $A13, US_national_yearly!$D:$AM, MATCH(C$1, US_national_yearly!$D$1:$AM$1, 0), FALSE) / VLOOKUP(Substitution!$M$18 &amp; $A13, US_national_yearly!$D:$AM, MATCH(Keys!$C$7, US_national_yearly!$D$1:$AM$1, 0), FALSE), 1)</f>
        <v>1.708732172649201E-4</v>
      </c>
      <c r="D13" s="12">
        <f>$B13 * IFERROR(VLOOKUP(Substitution!$M$18 &amp; $A13, US_national_yearly!$D:$AM, MATCH(D$1, US_national_yearly!$D$1:$AM$1, 0), FALSE) / VLOOKUP(Substitution!$M$18 &amp; $A13, US_national_yearly!$D:$AM, MATCH(Keys!$C$7, US_national_yearly!$D$1:$AM$1, 0), FALSE), 1)</f>
        <v>1.7562255268245843E-4</v>
      </c>
      <c r="E13" s="12">
        <f>$B13 * IFERROR(VLOOKUP(Substitution!$M$18 &amp; $A13, US_national_yearly!$D:$AM, MATCH(E$1, US_national_yearly!$D$1:$AM$1, 0), FALSE) / VLOOKUP(Substitution!$M$18 &amp; $A13, US_national_yearly!$D:$AM, MATCH(Keys!$C$7, US_national_yearly!$D$1:$AM$1, 0), FALSE), 1)</f>
        <v>1.8037188809999675E-4</v>
      </c>
      <c r="F13" s="12">
        <f>$B13 * IFERROR(VLOOKUP(Substitution!$M$18 &amp; $A13, US_national_yearly!$D:$AM, MATCH(F$1, US_national_yearly!$D$1:$AM$1, 0), FALSE) / VLOOKUP(Substitution!$M$18 &amp; $A13, US_national_yearly!$D:$AM, MATCH(Keys!$C$7, US_national_yearly!$D$1:$AM$1, 0), FALSE), 1)</f>
        <v>1.8512122351753508E-4</v>
      </c>
      <c r="G13" s="12">
        <f>$B13 * IFERROR(VLOOKUP(Substitution!$M$18 &amp; $A13, US_national_yearly!$D:$AM, MATCH(G$1, US_national_yearly!$D$1:$AM$1, 0), FALSE) / VLOOKUP(Substitution!$M$18 &amp; $A13, US_national_yearly!$D:$AM, MATCH(Keys!$C$7, US_national_yearly!$D$1:$AM$1, 0), FALSE), 1)</f>
        <v>1.8955946759445708E-4</v>
      </c>
      <c r="H13" s="12">
        <f>$B13 * IFERROR(VLOOKUP(Substitution!$M$18 &amp; $A13, US_national_yearly!$D:$AM, MATCH(H$1, US_national_yearly!$D$1:$AM$1, 0), FALSE) / VLOOKUP(Substitution!$M$18 &amp; $A13, US_national_yearly!$D:$AM, MATCH(Keys!$C$7, US_national_yearly!$D$1:$AM$1, 0), FALSE), 1)</f>
        <v>1.9399771167137911E-4</v>
      </c>
      <c r="I13" s="12">
        <f>$B13 * IFERROR(VLOOKUP(Substitution!$M$18 &amp; $A13, US_national_yearly!$D:$AM, MATCH(I$1, US_national_yearly!$D$1:$AM$1, 0), FALSE) / VLOOKUP(Substitution!$M$18 &amp; $A13, US_national_yearly!$D:$AM, MATCH(Keys!$C$7, US_national_yearly!$D$1:$AM$1, 0), FALSE), 1)</f>
        <v>1.9749675978629263E-4</v>
      </c>
      <c r="J13" s="12">
        <f>$B13 * IFERROR(VLOOKUP(Substitution!$M$18 &amp; $A13, US_national_yearly!$D:$AM, MATCH(J$1, US_national_yearly!$D$1:$AM$1, 0), FALSE) / VLOOKUP(Substitution!$M$18 &amp; $A13, US_national_yearly!$D:$AM, MATCH(Keys!$C$7, US_national_yearly!$D$1:$AM$1, 0), FALSE), 1)</f>
        <v>2.009958079012062E-4</v>
      </c>
      <c r="K13" s="12">
        <f>$B13 * IFERROR(VLOOKUP(Substitution!$M$18 &amp; $A13, US_national_yearly!$D:$AM, MATCH(K$1, US_national_yearly!$D$1:$AM$1, 0), FALSE) / VLOOKUP(Substitution!$M$18 &amp; $A13, US_national_yearly!$D:$AM, MATCH(Keys!$C$7, US_national_yearly!$D$1:$AM$1, 0), FALSE), 1)</f>
        <v>2.0449485601611964E-4</v>
      </c>
      <c r="L13" s="12">
        <f>$B13 * IFERROR(VLOOKUP(Substitution!$M$18 &amp; $A13, US_national_yearly!$D:$AM, MATCH(L$1, US_national_yearly!$D$1:$AM$1, 0), FALSE) / VLOOKUP(Substitution!$M$18 &amp; $A13, US_national_yearly!$D:$AM, MATCH(Keys!$C$7, US_national_yearly!$D$1:$AM$1, 0), FALSE), 1)</f>
        <v>2.0799390413103332E-4</v>
      </c>
      <c r="M13" s="12">
        <f>$B13 * IFERROR(VLOOKUP(Substitution!$M$18 &amp; $A13, US_national_yearly!$D:$AM, MATCH(M$1, US_national_yearly!$D$1:$AM$1, 0), FALSE) / VLOOKUP(Substitution!$M$18 &amp; $A13, US_national_yearly!$D:$AM, MATCH(Keys!$C$7, US_national_yearly!$D$1:$AM$1, 0), FALSE), 1)</f>
        <v>2.1149295224594681E-4</v>
      </c>
      <c r="N13" s="12">
        <f>$B13 * IFERROR(VLOOKUP(Substitution!$M$18 &amp; $A13, US_national_yearly!$D:$AM, MATCH(N$1, US_national_yearly!$D$1:$AM$1, 0), FALSE) / VLOOKUP(Substitution!$M$18 &amp; $A13, US_national_yearly!$D:$AM, MATCH(Keys!$C$7, US_national_yearly!$D$1:$AM$1, 0), FALSE), 1)</f>
        <v>2.1359808570603345E-4</v>
      </c>
      <c r="O13" s="12">
        <f>$B13 * IFERROR(VLOOKUP(Substitution!$M$18 &amp; $A13, US_national_yearly!$D:$AM, MATCH(O$1, US_national_yearly!$D$1:$AM$1, 0), FALSE) / VLOOKUP(Substitution!$M$18 &amp; $A13, US_national_yearly!$D:$AM, MATCH(Keys!$C$7, US_national_yearly!$D$1:$AM$1, 0), FALSE), 1)</f>
        <v>2.157032191661201E-4</v>
      </c>
      <c r="P13" s="12">
        <f>$B13 * IFERROR(VLOOKUP(Substitution!$M$18 &amp; $A13, US_national_yearly!$D:$AM, MATCH(P$1, US_national_yearly!$D$1:$AM$1, 0), FALSE) / VLOOKUP(Substitution!$M$18 &amp; $A13, US_national_yearly!$D:$AM, MATCH(Keys!$C$7, US_national_yearly!$D$1:$AM$1, 0), FALSE), 1)</f>
        <v>2.1780835262620672E-4</v>
      </c>
      <c r="Q13" s="12">
        <f>$B13 * IFERROR(VLOOKUP(Substitution!$M$18 &amp; $A13, US_national_yearly!$D:$AM, MATCH(Q$1, US_national_yearly!$D$1:$AM$1, 0), FALSE) / VLOOKUP(Substitution!$M$18 &amp; $A13, US_national_yearly!$D:$AM, MATCH(Keys!$C$7, US_national_yearly!$D$1:$AM$1, 0), FALSE), 1)</f>
        <v>2.1991348608629342E-4</v>
      </c>
      <c r="R13" s="12">
        <f>$B13 * IFERROR(VLOOKUP(Substitution!$M$18 &amp; $A13, US_national_yearly!$D:$AM, MATCH(R$1, US_national_yearly!$D$1:$AM$1, 0), FALSE) / VLOOKUP(Substitution!$M$18 &amp; $A13, US_national_yearly!$D:$AM, MATCH(Keys!$C$7, US_national_yearly!$D$1:$AM$1, 0), FALSE), 1)</f>
        <v>2.2201861954638006E-4</v>
      </c>
      <c r="S13" s="12">
        <f>$B13 * IFERROR(VLOOKUP(Substitution!$M$18 &amp; $A13, US_national_yearly!$D:$AM, MATCH(S$1, US_national_yearly!$D$1:$AM$1, 0), FALSE) / VLOOKUP(Substitution!$M$18 &amp; $A13, US_national_yearly!$D:$AM, MATCH(Keys!$C$7, US_national_yearly!$D$1:$AM$1, 0), FALSE), 1)</f>
        <v>2.229735226437615E-4</v>
      </c>
      <c r="T13" s="12">
        <f>$B13 * IFERROR(VLOOKUP(Substitution!$M$18 &amp; $A13, US_national_yearly!$D:$AM, MATCH(T$1, US_national_yearly!$D$1:$AM$1, 0), FALSE) / VLOOKUP(Substitution!$M$18 &amp; $A13, US_national_yearly!$D:$AM, MATCH(Keys!$C$7, US_national_yearly!$D$1:$AM$1, 0), FALSE), 1)</f>
        <v>2.2392842574114294E-4</v>
      </c>
      <c r="U13" s="12">
        <f>$B13 * IFERROR(VLOOKUP(Substitution!$M$18 &amp; $A13, US_national_yearly!$D:$AM, MATCH(U$1, US_national_yearly!$D$1:$AM$1, 0), FALSE) / VLOOKUP(Substitution!$M$18 &amp; $A13, US_national_yearly!$D:$AM, MATCH(Keys!$C$7, US_national_yearly!$D$1:$AM$1, 0), FALSE), 1)</f>
        <v>2.2488332883852441E-4</v>
      </c>
      <c r="V13" s="12">
        <f>$B13 * IFERROR(VLOOKUP(Substitution!$M$18 &amp; $A13, US_national_yearly!$D:$AM, MATCH(V$1, US_national_yearly!$D$1:$AM$1, 0), FALSE) / VLOOKUP(Substitution!$M$18 &amp; $A13, US_national_yearly!$D:$AM, MATCH(Keys!$C$7, US_national_yearly!$D$1:$AM$1, 0), FALSE), 1)</f>
        <v>2.2583823193590585E-4</v>
      </c>
      <c r="W13" s="12">
        <f>$B13 * IFERROR(VLOOKUP(Substitution!$M$18 &amp; $A13, US_national_yearly!$D:$AM, MATCH(W$1, US_national_yearly!$D$1:$AM$1, 0), FALSE) / VLOOKUP(Substitution!$M$18 &amp; $A13, US_national_yearly!$D:$AM, MATCH(Keys!$C$7, US_national_yearly!$D$1:$AM$1, 0), FALSE), 1)</f>
        <v>2.2679313503328729E-4</v>
      </c>
      <c r="X13" s="12">
        <f>$B13 * IFERROR(VLOOKUP(Substitution!$M$18 &amp; $A13, US_national_yearly!$D:$AM, MATCH(X$1, US_national_yearly!$D$1:$AM$1, 0), FALSE) / VLOOKUP(Substitution!$M$18 &amp; $A13, US_national_yearly!$D:$AM, MATCH(Keys!$C$7, US_national_yearly!$D$1:$AM$1, 0), FALSE), 1)</f>
        <v>2.2743125152824978E-4</v>
      </c>
      <c r="Y13" s="12">
        <f>$B13 * IFERROR(VLOOKUP(Substitution!$M$18 &amp; $A13, US_national_yearly!$D:$AM, MATCH(Y$1, US_national_yearly!$D$1:$AM$1, 0), FALSE) / VLOOKUP(Substitution!$M$18 &amp; $A13, US_national_yearly!$D:$AM, MATCH(Keys!$C$7, US_national_yearly!$D$1:$AM$1, 0), FALSE), 1)</f>
        <v>2.2806936802321229E-4</v>
      </c>
      <c r="Z13" s="12">
        <f>$B13 * IFERROR(VLOOKUP(Substitution!$M$18 &amp; $A13, US_national_yearly!$D:$AM, MATCH(Z$1, US_national_yearly!$D$1:$AM$1, 0), FALSE) / VLOOKUP(Substitution!$M$18 &amp; $A13, US_national_yearly!$D:$AM, MATCH(Keys!$C$7, US_national_yearly!$D$1:$AM$1, 0), FALSE), 1)</f>
        <v>2.2870748451817472E-4</v>
      </c>
      <c r="AA13" s="12">
        <f>$B13 * IFERROR(VLOOKUP(Substitution!$M$18 &amp; $A13, US_national_yearly!$D:$AM, MATCH(AA$1, US_national_yearly!$D$1:$AM$1, 0), FALSE) / VLOOKUP(Substitution!$M$18 &amp; $A13, US_national_yearly!$D:$AM, MATCH(Keys!$C$7, US_national_yearly!$D$1:$AM$1, 0), FALSE), 1)</f>
        <v>2.293456010131372E-4</v>
      </c>
      <c r="AB13" s="12">
        <f>$B13 * IFERROR(VLOOKUP(Substitution!$M$18 &amp; $A13, US_national_yearly!$D:$AM, MATCH(AB$1, US_national_yearly!$D$1:$AM$1, 0), FALSE) / VLOOKUP(Substitution!$M$18 &amp; $A13, US_national_yearly!$D:$AM, MATCH(Keys!$C$7, US_national_yearly!$D$1:$AM$1, 0), FALSE), 1)</f>
        <v>2.2998371750809971E-4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Substitution!$G$18)/IFERROR(SUMIFS(COBRA_aggregated!$W:$W, COBRA_aggregated!$A:$A, About!$B$1, COBRA_aggregated!$B:$B, Substitution!$G$18), 1)</f>
        <v>0.10819775385560952</v>
      </c>
      <c r="C14" s="12">
        <f>$B14 * IFERROR(VLOOKUP(Substitution!$M$18 &amp; $A14, US_national_yearly!$D:$AM, MATCH(C$1, US_national_yearly!$D$1:$AM$1, 0), FALSE) / VLOOKUP(Substitution!$M$18 &amp; $A14, US_national_yearly!$D:$AM, MATCH(Keys!$C$7, US_national_yearly!$D$1:$AM$1, 0), FALSE), 1)</f>
        <v>0.10836363916986816</v>
      </c>
      <c r="D14" s="12">
        <f>$B14 * IFERROR(VLOOKUP(Substitution!$M$18 &amp; $A14, US_national_yearly!$D:$AM, MATCH(D$1, US_national_yearly!$D$1:$AM$1, 0), FALSE) / VLOOKUP(Substitution!$M$18 &amp; $A14, US_national_yearly!$D:$AM, MATCH(Keys!$C$7, US_national_yearly!$D$1:$AM$1, 0), FALSE), 1)</f>
        <v>0.10852952448412682</v>
      </c>
      <c r="E14" s="12">
        <f>$B14 * IFERROR(VLOOKUP(Substitution!$M$18 &amp; $A14, US_national_yearly!$D:$AM, MATCH(E$1, US_national_yearly!$D$1:$AM$1, 0), FALSE) / VLOOKUP(Substitution!$M$18 &amp; $A14, US_national_yearly!$D:$AM, MATCH(Keys!$C$7, US_national_yearly!$D$1:$AM$1, 0), FALSE), 1)</f>
        <v>0.10869540979838549</v>
      </c>
      <c r="F14" s="12">
        <f>$B14 * IFERROR(VLOOKUP(Substitution!$M$18 &amp; $A14, US_national_yearly!$D:$AM, MATCH(F$1, US_national_yearly!$D$1:$AM$1, 0), FALSE) / VLOOKUP(Substitution!$M$18 &amp; $A14, US_national_yearly!$D:$AM, MATCH(Keys!$C$7, US_national_yearly!$D$1:$AM$1, 0), FALSE), 1)</f>
        <v>0.10886129511264414</v>
      </c>
      <c r="G14" s="12">
        <f>$B14 * IFERROR(VLOOKUP(Substitution!$M$18 &amp; $A14, US_national_yearly!$D:$AM, MATCH(G$1, US_national_yearly!$D$1:$AM$1, 0), FALSE) / VLOOKUP(Substitution!$M$18 &amp; $A14, US_national_yearly!$D:$AM, MATCH(Keys!$C$7, US_national_yearly!$D$1:$AM$1, 0), FALSE), 1)</f>
        <v>0.10916084450609766</v>
      </c>
      <c r="H14" s="12">
        <f>$B14 * IFERROR(VLOOKUP(Substitution!$M$18 &amp; $A14, US_national_yearly!$D:$AM, MATCH(H$1, US_national_yearly!$D$1:$AM$1, 0), FALSE) / VLOOKUP(Substitution!$M$18 &amp; $A14, US_national_yearly!$D:$AM, MATCH(Keys!$C$7, US_national_yearly!$D$1:$AM$1, 0), FALSE), 1)</f>
        <v>0.10946039389955114</v>
      </c>
      <c r="I14" s="12">
        <f>$B14 * IFERROR(VLOOKUP(Substitution!$M$18 &amp; $A14, US_national_yearly!$D:$AM, MATCH(I$1, US_national_yearly!$D$1:$AM$1, 0), FALSE) / VLOOKUP(Substitution!$M$18 &amp; $A14, US_national_yearly!$D:$AM, MATCH(Keys!$C$7, US_national_yearly!$D$1:$AM$1, 0), FALSE), 1)</f>
        <v>0.11004630066773749</v>
      </c>
      <c r="J14" s="12">
        <f>$B14 * IFERROR(VLOOKUP(Substitution!$M$18 &amp; $A14, US_national_yearly!$D:$AM, MATCH(J$1, US_national_yearly!$D$1:$AM$1, 0), FALSE) / VLOOKUP(Substitution!$M$18 &amp; $A14, US_national_yearly!$D:$AM, MATCH(Keys!$C$7, US_national_yearly!$D$1:$AM$1, 0), FALSE), 1)</f>
        <v>0.11063220743592381</v>
      </c>
      <c r="K14" s="12">
        <f>$B14 * IFERROR(VLOOKUP(Substitution!$M$18 &amp; $A14, US_national_yearly!$D:$AM, MATCH(K$1, US_national_yearly!$D$1:$AM$1, 0), FALSE) / VLOOKUP(Substitution!$M$18 &amp; $A14, US_national_yearly!$D:$AM, MATCH(Keys!$C$7, US_national_yearly!$D$1:$AM$1, 0), FALSE), 1)</f>
        <v>0.11121811420411015</v>
      </c>
      <c r="L14" s="12">
        <f>$B14 * IFERROR(VLOOKUP(Substitution!$M$18 &amp; $A14, US_national_yearly!$D:$AM, MATCH(L$1, US_national_yearly!$D$1:$AM$1, 0), FALSE) / VLOOKUP(Substitution!$M$18 &amp; $A14, US_national_yearly!$D:$AM, MATCH(Keys!$C$7, US_national_yearly!$D$1:$AM$1, 0), FALSE), 1)</f>
        <v>0.11180402097229647</v>
      </c>
      <c r="M14" s="12">
        <f>$B14 * IFERROR(VLOOKUP(Substitution!$M$18 &amp; $A14, US_national_yearly!$D:$AM, MATCH(M$1, US_national_yearly!$D$1:$AM$1, 0), FALSE) / VLOOKUP(Substitution!$M$18 &amp; $A14, US_national_yearly!$D:$AM, MATCH(Keys!$C$7, US_national_yearly!$D$1:$AM$1, 0), FALSE), 1)</f>
        <v>0.11238992774048281</v>
      </c>
      <c r="N14" s="12">
        <f>$B14 * IFERROR(VLOOKUP(Substitution!$M$18 &amp; $A14, US_national_yearly!$D:$AM, MATCH(N$1, US_national_yearly!$D$1:$AM$1, 0), FALSE) / VLOOKUP(Substitution!$M$18 &amp; $A14, US_national_yearly!$D:$AM, MATCH(Keys!$C$7, US_national_yearly!$D$1:$AM$1, 0), FALSE), 1)</f>
        <v>0.11322881338104344</v>
      </c>
      <c r="O14" s="12">
        <f>$B14 * IFERROR(VLOOKUP(Substitution!$M$18 &amp; $A14, US_national_yearly!$D:$AM, MATCH(O$1, US_national_yearly!$D$1:$AM$1, 0), FALSE) / VLOOKUP(Substitution!$M$18 &amp; $A14, US_national_yearly!$D:$AM, MATCH(Keys!$C$7, US_national_yearly!$D$1:$AM$1, 0), FALSE), 1)</f>
        <v>0.11406769902160409</v>
      </c>
      <c r="P14" s="12">
        <f>$B14 * IFERROR(VLOOKUP(Substitution!$M$18 &amp; $A14, US_national_yearly!$D:$AM, MATCH(P$1, US_national_yearly!$D$1:$AM$1, 0), FALSE) / VLOOKUP(Substitution!$M$18 &amp; $A14, US_national_yearly!$D:$AM, MATCH(Keys!$C$7, US_national_yearly!$D$1:$AM$1, 0), FALSE), 1)</f>
        <v>0.11490658466216473</v>
      </c>
      <c r="Q14" s="12">
        <f>$B14 * IFERROR(VLOOKUP(Substitution!$M$18 &amp; $A14, US_national_yearly!$D:$AM, MATCH(Q$1, US_national_yearly!$D$1:$AM$1, 0), FALSE) / VLOOKUP(Substitution!$M$18 &amp; $A14, US_national_yearly!$D:$AM, MATCH(Keys!$C$7, US_national_yearly!$D$1:$AM$1, 0), FALSE), 1)</f>
        <v>0.11574547030272536</v>
      </c>
      <c r="R14" s="12">
        <f>$B14 * IFERROR(VLOOKUP(Substitution!$M$18 &amp; $A14, US_national_yearly!$D:$AM, MATCH(R$1, US_national_yearly!$D$1:$AM$1, 0), FALSE) / VLOOKUP(Substitution!$M$18 &amp; $A14, US_national_yearly!$D:$AM, MATCH(Keys!$C$7, US_national_yearly!$D$1:$AM$1, 0), FALSE), 1)</f>
        <v>0.11658435594328601</v>
      </c>
      <c r="S14" s="12">
        <f>$B14 * IFERROR(VLOOKUP(Substitution!$M$18 &amp; $A14, US_national_yearly!$D:$AM, MATCH(S$1, US_national_yearly!$D$1:$AM$1, 0), FALSE) / VLOOKUP(Substitution!$M$18 &amp; $A14, US_national_yearly!$D:$AM, MATCH(Keys!$C$7, US_national_yearly!$D$1:$AM$1, 0), FALSE), 1)</f>
        <v>0.11742306520993621</v>
      </c>
      <c r="T14" s="12">
        <f>$B14 * IFERROR(VLOOKUP(Substitution!$M$18 &amp; $A14, US_national_yearly!$D:$AM, MATCH(T$1, US_national_yearly!$D$1:$AM$1, 0), FALSE) / VLOOKUP(Substitution!$M$18 &amp; $A14, US_national_yearly!$D:$AM, MATCH(Keys!$C$7, US_national_yearly!$D$1:$AM$1, 0), FALSE), 1)</f>
        <v>0.11826177447658641</v>
      </c>
      <c r="U14" s="12">
        <f>$B14 * IFERROR(VLOOKUP(Substitution!$M$18 &amp; $A14, US_national_yearly!$D:$AM, MATCH(U$1, US_national_yearly!$D$1:$AM$1, 0), FALSE) / VLOOKUP(Substitution!$M$18 &amp; $A14, US_national_yearly!$D:$AM, MATCH(Keys!$C$7, US_national_yearly!$D$1:$AM$1, 0), FALSE), 1)</f>
        <v>0.11910048374323663</v>
      </c>
      <c r="V14" s="12">
        <f>$B14 * IFERROR(VLOOKUP(Substitution!$M$18 &amp; $A14, US_national_yearly!$D:$AM, MATCH(V$1, US_national_yearly!$D$1:$AM$1, 0), FALSE) / VLOOKUP(Substitution!$M$18 &amp; $A14, US_national_yearly!$D:$AM, MATCH(Keys!$C$7, US_national_yearly!$D$1:$AM$1, 0), FALSE), 1)</f>
        <v>0.11993919300988684</v>
      </c>
      <c r="W14" s="12">
        <f>$B14 * IFERROR(VLOOKUP(Substitution!$M$18 &amp; $A14, US_national_yearly!$D:$AM, MATCH(W$1, US_national_yearly!$D$1:$AM$1, 0), FALSE) / VLOOKUP(Substitution!$M$18 &amp; $A14, US_national_yearly!$D:$AM, MATCH(Keys!$C$7, US_national_yearly!$D$1:$AM$1, 0), FALSE), 1)</f>
        <v>0.12077790227653704</v>
      </c>
      <c r="X14" s="12">
        <f>$B14 * IFERROR(VLOOKUP(Substitution!$M$18 &amp; $A14, US_national_yearly!$D:$AM, MATCH(X$1, US_national_yearly!$D$1:$AM$1, 0), FALSE) / VLOOKUP(Substitution!$M$18 &amp; $A14, US_national_yearly!$D:$AM, MATCH(Keys!$C$7, US_national_yearly!$D$1:$AM$1, 0), FALSE), 1)</f>
        <v>0.12148699901016426</v>
      </c>
      <c r="Y14" s="12">
        <f>$B14 * IFERROR(VLOOKUP(Substitution!$M$18 &amp; $A14, US_national_yearly!$D:$AM, MATCH(Y$1, US_national_yearly!$D$1:$AM$1, 0), FALSE) / VLOOKUP(Substitution!$M$18 &amp; $A14, US_national_yearly!$D:$AM, MATCH(Keys!$C$7, US_national_yearly!$D$1:$AM$1, 0), FALSE), 1)</f>
        <v>0.12219609574379148</v>
      </c>
      <c r="Z14" s="12">
        <f>$B14 * IFERROR(VLOOKUP(Substitution!$M$18 &amp; $A14, US_national_yearly!$D:$AM, MATCH(Z$1, US_national_yearly!$D$1:$AM$1, 0), FALSE) / VLOOKUP(Substitution!$M$18 &amp; $A14, US_national_yearly!$D:$AM, MATCH(Keys!$C$7, US_national_yearly!$D$1:$AM$1, 0), FALSE), 1)</f>
        <v>0.12290519247741868</v>
      </c>
      <c r="AA14" s="12">
        <f>$B14 * IFERROR(VLOOKUP(Substitution!$M$18 &amp; $A14, US_national_yearly!$D:$AM, MATCH(AA$1, US_national_yearly!$D$1:$AM$1, 0), FALSE) / VLOOKUP(Substitution!$M$18 &amp; $A14, US_national_yearly!$D:$AM, MATCH(Keys!$C$7, US_national_yearly!$D$1:$AM$1, 0), FALSE), 1)</f>
        <v>0.12361428921104591</v>
      </c>
      <c r="AB14" s="12">
        <f>$B14 * IFERROR(VLOOKUP(Substitution!$M$18 &amp; $A14, US_national_yearly!$D:$AM, MATCH(AB$1, US_national_yearly!$D$1:$AM$1, 0), FALSE) / VLOOKUP(Substitution!$M$18 &amp; $A14, US_national_yearly!$D:$AM, MATCH(Keys!$C$7, US_national_yearly!$D$1:$AM$1, 0), FALSE), 1)</f>
        <v>0.12432338594467313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Substitution!$G$18)/IFERROR(SUMIFS(COBRA_aggregated!$W:$W, COBRA_aggregated!$A:$A, About!$B$1, COBRA_aggregated!$B:$B, Substitution!$G$18), 1)</f>
        <v>1.8243692661772129E-2</v>
      </c>
      <c r="C15" s="12">
        <f>$B15 * IFERROR(VLOOKUP(Substitution!$M$18 &amp; $A15, US_national_yearly!$D:$AM, MATCH(C$1, US_national_yearly!$D$1:$AM$1, 0), FALSE) / VLOOKUP(Substitution!$M$18 &amp; $A15, US_national_yearly!$D:$AM, MATCH(Keys!$C$7, US_national_yearly!$D$1:$AM$1, 0), FALSE), 1)</f>
        <v>1.8284274774649573E-2</v>
      </c>
      <c r="D15" s="12">
        <f>$B15 * IFERROR(VLOOKUP(Substitution!$M$18 &amp; $A15, US_national_yearly!$D:$AM, MATCH(D$1, US_national_yearly!$D$1:$AM$1, 0), FALSE) / VLOOKUP(Substitution!$M$18 &amp; $A15, US_national_yearly!$D:$AM, MATCH(Keys!$C$7, US_national_yearly!$D$1:$AM$1, 0), FALSE), 1)</f>
        <v>1.8324856887527021E-2</v>
      </c>
      <c r="E15" s="12">
        <f>$B15 * IFERROR(VLOOKUP(Substitution!$M$18 &amp; $A15, US_national_yearly!$D:$AM, MATCH(E$1, US_national_yearly!$D$1:$AM$1, 0), FALSE) / VLOOKUP(Substitution!$M$18 &amp; $A15, US_national_yearly!$D:$AM, MATCH(Keys!$C$7, US_national_yearly!$D$1:$AM$1, 0), FALSE), 1)</f>
        <v>1.8365439000404462E-2</v>
      </c>
      <c r="F15" s="12">
        <f>$B15 * IFERROR(VLOOKUP(Substitution!$M$18 &amp; $A15, US_national_yearly!$D:$AM, MATCH(F$1, US_national_yearly!$D$1:$AM$1, 0), FALSE) / VLOOKUP(Substitution!$M$18 &amp; $A15, US_national_yearly!$D:$AM, MATCH(Keys!$C$7, US_national_yearly!$D$1:$AM$1, 0), FALSE), 1)</f>
        <v>1.840602111328191E-2</v>
      </c>
      <c r="G15" s="12">
        <f>$B15 * IFERROR(VLOOKUP(Substitution!$M$18 &amp; $A15, US_national_yearly!$D:$AM, MATCH(G$1, US_national_yearly!$D$1:$AM$1, 0), FALSE) / VLOOKUP(Substitution!$M$18 &amp; $A15, US_national_yearly!$D:$AM, MATCH(Keys!$C$7, US_national_yearly!$D$1:$AM$1, 0), FALSE), 1)</f>
        <v>1.8465271344266419E-2</v>
      </c>
      <c r="H15" s="12">
        <f>$B15 * IFERROR(VLOOKUP(Substitution!$M$18 &amp; $A15, US_national_yearly!$D:$AM, MATCH(H$1, US_national_yearly!$D$1:$AM$1, 0), FALSE) / VLOOKUP(Substitution!$M$18 &amp; $A15, US_national_yearly!$D:$AM, MATCH(Keys!$C$7, US_national_yearly!$D$1:$AM$1, 0), FALSE), 1)</f>
        <v>1.8524521575250936E-2</v>
      </c>
      <c r="I15" s="12">
        <f>$B15 * IFERROR(VLOOKUP(Substitution!$M$18 &amp; $A15, US_national_yearly!$D:$AM, MATCH(I$1, US_national_yearly!$D$1:$AM$1, 0), FALSE) / VLOOKUP(Substitution!$M$18 &amp; $A15, US_national_yearly!$D:$AM, MATCH(Keys!$C$7, US_national_yearly!$D$1:$AM$1, 0), FALSE), 1)</f>
        <v>1.8620503738307485E-2</v>
      </c>
      <c r="J15" s="12">
        <f>$B15 * IFERROR(VLOOKUP(Substitution!$M$18 &amp; $A15, US_national_yearly!$D:$AM, MATCH(J$1, US_national_yearly!$D$1:$AM$1, 0), FALSE) / VLOOKUP(Substitution!$M$18 &amp; $A15, US_national_yearly!$D:$AM, MATCH(Keys!$C$7, US_national_yearly!$D$1:$AM$1, 0), FALSE), 1)</f>
        <v>1.8716485901364037E-2</v>
      </c>
      <c r="K15" s="12">
        <f>$B15 * IFERROR(VLOOKUP(Substitution!$M$18 &amp; $A15, US_national_yearly!$D:$AM, MATCH(K$1, US_national_yearly!$D$1:$AM$1, 0), FALSE) / VLOOKUP(Substitution!$M$18 &amp; $A15, US_national_yearly!$D:$AM, MATCH(Keys!$C$7, US_national_yearly!$D$1:$AM$1, 0), FALSE), 1)</f>
        <v>1.8812468064420589E-2</v>
      </c>
      <c r="L15" s="12">
        <f>$B15 * IFERROR(VLOOKUP(Substitution!$M$18 &amp; $A15, US_national_yearly!$D:$AM, MATCH(L$1, US_national_yearly!$D$1:$AM$1, 0), FALSE) / VLOOKUP(Substitution!$M$18 &amp; $A15, US_national_yearly!$D:$AM, MATCH(Keys!$C$7, US_national_yearly!$D$1:$AM$1, 0), FALSE), 1)</f>
        <v>1.8908450227477138E-2</v>
      </c>
      <c r="M15" s="12">
        <f>$B15 * IFERROR(VLOOKUP(Substitution!$M$18 &amp; $A15, US_national_yearly!$D:$AM, MATCH(M$1, US_national_yearly!$D$1:$AM$1, 0), FALSE) / VLOOKUP(Substitution!$M$18 &amp; $A15, US_national_yearly!$D:$AM, MATCH(Keys!$C$7, US_national_yearly!$D$1:$AM$1, 0), FALSE), 1)</f>
        <v>1.900443239053369E-2</v>
      </c>
      <c r="N15" s="12">
        <f>$B15 * IFERROR(VLOOKUP(Substitution!$M$18 &amp; $A15, US_national_yearly!$D:$AM, MATCH(N$1, US_national_yearly!$D$1:$AM$1, 0), FALSE) / VLOOKUP(Substitution!$M$18 &amp; $A15, US_national_yearly!$D:$AM, MATCH(Keys!$C$7, US_national_yearly!$D$1:$AM$1, 0), FALSE), 1)</f>
        <v>1.9129347286023921E-2</v>
      </c>
      <c r="O15" s="12">
        <f>$B15 * IFERROR(VLOOKUP(Substitution!$M$18 &amp; $A15, US_national_yearly!$D:$AM, MATCH(O$1, US_national_yearly!$D$1:$AM$1, 0), FALSE) / VLOOKUP(Substitution!$M$18 &amp; $A15, US_national_yearly!$D:$AM, MATCH(Keys!$C$7, US_national_yearly!$D$1:$AM$1, 0), FALSE), 1)</f>
        <v>1.9254262181514149E-2</v>
      </c>
      <c r="P15" s="12">
        <f>$B15 * IFERROR(VLOOKUP(Substitution!$M$18 &amp; $A15, US_national_yearly!$D:$AM, MATCH(P$1, US_national_yearly!$D$1:$AM$1, 0), FALSE) / VLOOKUP(Substitution!$M$18 &amp; $A15, US_national_yearly!$D:$AM, MATCH(Keys!$C$7, US_national_yearly!$D$1:$AM$1, 0), FALSE), 1)</f>
        <v>1.9379177077004379E-2</v>
      </c>
      <c r="Q15" s="12">
        <f>$B15 * IFERROR(VLOOKUP(Substitution!$M$18 &amp; $A15, US_national_yearly!$D:$AM, MATCH(Q$1, US_national_yearly!$D$1:$AM$1, 0), FALSE) / VLOOKUP(Substitution!$M$18 &amp; $A15, US_national_yearly!$D:$AM, MATCH(Keys!$C$7, US_national_yearly!$D$1:$AM$1, 0), FALSE), 1)</f>
        <v>1.9504091972494603E-2</v>
      </c>
      <c r="R15" s="12">
        <f>$B15 * IFERROR(VLOOKUP(Substitution!$M$18 &amp; $A15, US_national_yearly!$D:$AM, MATCH(R$1, US_national_yearly!$D$1:$AM$1, 0), FALSE) / VLOOKUP(Substitution!$M$18 &amp; $A15, US_national_yearly!$D:$AM, MATCH(Keys!$C$7, US_national_yearly!$D$1:$AM$1, 0), FALSE), 1)</f>
        <v>1.9629006867984838E-2</v>
      </c>
      <c r="S15" s="12">
        <f>$B15 * IFERROR(VLOOKUP(Substitution!$M$18 &amp; $A15, US_national_yearly!$D:$AM, MATCH(S$1, US_national_yearly!$D$1:$AM$1, 0), FALSE) / VLOOKUP(Substitution!$M$18 &amp; $A15, US_national_yearly!$D:$AM, MATCH(Keys!$C$7, US_national_yearly!$D$1:$AM$1, 0), FALSE), 1)</f>
        <v>1.9768271004587491E-2</v>
      </c>
      <c r="T15" s="12">
        <f>$B15 * IFERROR(VLOOKUP(Substitution!$M$18 &amp; $A15, US_national_yearly!$D:$AM, MATCH(T$1, US_national_yearly!$D$1:$AM$1, 0), FALSE) / VLOOKUP(Substitution!$M$18 &amp; $A15, US_national_yearly!$D:$AM, MATCH(Keys!$C$7, US_national_yearly!$D$1:$AM$1, 0), FALSE), 1)</f>
        <v>1.990753514119014E-2</v>
      </c>
      <c r="U15" s="12">
        <f>$B15 * IFERROR(VLOOKUP(Substitution!$M$18 &amp; $A15, US_national_yearly!$D:$AM, MATCH(U$1, US_national_yearly!$D$1:$AM$1, 0), FALSE) / VLOOKUP(Substitution!$M$18 &amp; $A15, US_national_yearly!$D:$AM, MATCH(Keys!$C$7, US_national_yearly!$D$1:$AM$1, 0), FALSE), 1)</f>
        <v>2.0046799277792789E-2</v>
      </c>
      <c r="V15" s="12">
        <f>$B15 * IFERROR(VLOOKUP(Substitution!$M$18 &amp; $A15, US_national_yearly!$D:$AM, MATCH(V$1, US_national_yearly!$D$1:$AM$1, 0), FALSE) / VLOOKUP(Substitution!$M$18 &amp; $A15, US_national_yearly!$D:$AM, MATCH(Keys!$C$7, US_national_yearly!$D$1:$AM$1, 0), FALSE), 1)</f>
        <v>2.0186063414395442E-2</v>
      </c>
      <c r="W15" s="12">
        <f>$B15 * IFERROR(VLOOKUP(Substitution!$M$18 &amp; $A15, US_national_yearly!$D:$AM, MATCH(W$1, US_national_yearly!$D$1:$AM$1, 0), FALSE) / VLOOKUP(Substitution!$M$18 &amp; $A15, US_national_yearly!$D:$AM, MATCH(Keys!$C$7, US_national_yearly!$D$1:$AM$1, 0), FALSE), 1)</f>
        <v>2.0325327550998095E-2</v>
      </c>
      <c r="X15" s="12">
        <f>$B15 * IFERROR(VLOOKUP(Substitution!$M$18 &amp; $A15, US_national_yearly!$D:$AM, MATCH(X$1, US_national_yearly!$D$1:$AM$1, 0), FALSE) / VLOOKUP(Substitution!$M$18 &amp; $A15, US_national_yearly!$D:$AM, MATCH(Keys!$C$7, US_national_yearly!$D$1:$AM$1, 0), FALSE), 1)</f>
        <v>2.0446201396459356E-2</v>
      </c>
      <c r="Y15" s="12">
        <f>$B15 * IFERROR(VLOOKUP(Substitution!$M$18 &amp; $A15, US_national_yearly!$D:$AM, MATCH(Y$1, US_national_yearly!$D$1:$AM$1, 0), FALSE) / VLOOKUP(Substitution!$M$18 &amp; $A15, US_national_yearly!$D:$AM, MATCH(Keys!$C$7, US_national_yearly!$D$1:$AM$1, 0), FALSE), 1)</f>
        <v>2.0567075241920613E-2</v>
      </c>
      <c r="Z15" s="12">
        <f>$B15 * IFERROR(VLOOKUP(Substitution!$M$18 &amp; $A15, US_national_yearly!$D:$AM, MATCH(Z$1, US_national_yearly!$D$1:$AM$1, 0), FALSE) / VLOOKUP(Substitution!$M$18 &amp; $A15, US_national_yearly!$D:$AM, MATCH(Keys!$C$7, US_national_yearly!$D$1:$AM$1, 0), FALSE), 1)</f>
        <v>2.0687949087381873E-2</v>
      </c>
      <c r="AA15" s="12">
        <f>$B15 * IFERROR(VLOOKUP(Substitution!$M$18 &amp; $A15, US_national_yearly!$D:$AM, MATCH(AA$1, US_national_yearly!$D$1:$AM$1, 0), FALSE) / VLOOKUP(Substitution!$M$18 &amp; $A15, US_national_yearly!$D:$AM, MATCH(Keys!$C$7, US_national_yearly!$D$1:$AM$1, 0), FALSE), 1)</f>
        <v>2.0808822932843134E-2</v>
      </c>
      <c r="AB15" s="12">
        <f>$B15 * IFERROR(VLOOKUP(Substitution!$M$18 &amp; $A15, US_national_yearly!$D:$AM, MATCH(AB$1, US_national_yearly!$D$1:$AM$1, 0), FALSE) / VLOOKUP(Substitution!$M$18 &amp; $A15, US_national_yearly!$D:$AM, MATCH(Keys!$C$7, US_national_yearly!$D$1:$AM$1, 0), FALSE), 1)</f>
        <v>2.0929696778304391E-2</v>
      </c>
    </row>
    <row r="16" spans="1:28" x14ac:dyDescent="0.25">
      <c r="A16" s="4" t="s">
        <v>319</v>
      </c>
      <c r="B16" s="12">
        <f>IFERROR(VLOOKUP(Substitution!$M$18 &amp; $A16, US_national_yearly!$D:$AM, MATCH(Keys!$C$7, US_national_yearly!$D$1:$AM$1, 0), FALSE), 0)</f>
        <v>8.1348821267153792E-5</v>
      </c>
      <c r="C16" s="12">
        <f>$B16 * IFERROR(VLOOKUP(Substitution!$M$18 &amp; $A16, US_national_yearly!$D:$AM, MATCH(C$1, US_national_yearly!$D$1:$AM$1, 0), FALSE) / VLOOKUP(Substitution!$M$18 &amp; $A16, US_national_yearly!$D:$AM, MATCH(Keys!$C$7, US_national_yearly!$D$1:$AM$1, 0), FALSE), 1)</f>
        <v>8.2887455758784602E-5</v>
      </c>
      <c r="D16" s="12">
        <f>$B16 * IFERROR(VLOOKUP(Substitution!$M$18 &amp; $A16, US_national_yearly!$D:$AM, MATCH(D$1, US_national_yearly!$D$1:$AM$1, 0), FALSE) / VLOOKUP(Substitution!$M$18 &amp; $A16, US_national_yearly!$D:$AM, MATCH(Keys!$C$7, US_national_yearly!$D$1:$AM$1, 0), FALSE), 1)</f>
        <v>8.4426090250415398E-5</v>
      </c>
      <c r="E16" s="12">
        <f>$B16 * IFERROR(VLOOKUP(Substitution!$M$18 &amp; $A16, US_national_yearly!$D:$AM, MATCH(E$1, US_national_yearly!$D$1:$AM$1, 0), FALSE) / VLOOKUP(Substitution!$M$18 &amp; $A16, US_national_yearly!$D:$AM, MATCH(Keys!$C$7, US_national_yearly!$D$1:$AM$1, 0), FALSE), 1)</f>
        <v>8.5964724742046208E-5</v>
      </c>
      <c r="F16" s="12">
        <f>$B16 * IFERROR(VLOOKUP(Substitution!$M$18 &amp; $A16, US_national_yearly!$D:$AM, MATCH(F$1, US_national_yearly!$D$1:$AM$1, 0), FALSE) / VLOOKUP(Substitution!$M$18 &amp; $A16, US_national_yearly!$D:$AM, MATCH(Keys!$C$7, US_national_yearly!$D$1:$AM$1, 0), FALSE), 1)</f>
        <v>8.7503359233677004E-5</v>
      </c>
      <c r="G16" s="12">
        <f>$B16 * IFERROR(VLOOKUP(Substitution!$M$18 &amp; $A16, US_national_yearly!$D:$AM, MATCH(G$1, US_national_yearly!$D$1:$AM$1, 0), FALSE) / VLOOKUP(Substitution!$M$18 &amp; $A16, US_national_yearly!$D:$AM, MATCH(Keys!$C$7, US_national_yearly!$D$1:$AM$1, 0), FALSE), 1)</f>
        <v>8.9144266603621299E-5</v>
      </c>
      <c r="H16" s="12">
        <f>$B16 * IFERROR(VLOOKUP(Substitution!$M$18 &amp; $A16, US_national_yearly!$D:$AM, MATCH(H$1, US_national_yearly!$D$1:$AM$1, 0), FALSE) / VLOOKUP(Substitution!$M$18 &amp; $A16, US_national_yearly!$D:$AM, MATCH(Keys!$C$7, US_national_yearly!$D$1:$AM$1, 0), FALSE), 1)</f>
        <v>9.0785173973565594E-5</v>
      </c>
      <c r="I16" s="12">
        <f>$B16 * IFERROR(VLOOKUP(Substitution!$M$18 &amp; $A16, US_national_yearly!$D:$AM, MATCH(I$1, US_national_yearly!$D$1:$AM$1, 0), FALSE) / VLOOKUP(Substitution!$M$18 &amp; $A16, US_national_yearly!$D:$AM, MATCH(Keys!$C$7, US_national_yearly!$D$1:$AM$1, 0), FALSE), 1)</f>
        <v>9.2531801058983956E-5</v>
      </c>
      <c r="J16" s="12">
        <f>$B16 * IFERROR(VLOOKUP(Substitution!$M$18 &amp; $A16, US_national_yearly!$D:$AM, MATCH(J$1, US_national_yearly!$D$1:$AM$1, 0), FALSE) / VLOOKUP(Substitution!$M$18 &amp; $A16, US_national_yearly!$D:$AM, MATCH(Keys!$C$7, US_national_yearly!$D$1:$AM$1, 0), FALSE), 1)</f>
        <v>9.4278428144402358E-5</v>
      </c>
      <c r="K16" s="12">
        <f>$B16 * IFERROR(VLOOKUP(Substitution!$M$18 &amp; $A16, US_national_yearly!$D:$AM, MATCH(K$1, US_national_yearly!$D$1:$AM$1, 0), FALSE) / VLOOKUP(Substitution!$M$18 &amp; $A16, US_national_yearly!$D:$AM, MATCH(Keys!$C$7, US_national_yearly!$D$1:$AM$1, 0), FALSE), 1)</f>
        <v>9.602505522982072E-5</v>
      </c>
      <c r="L16" s="12">
        <f>$B16 * IFERROR(VLOOKUP(Substitution!$M$18 &amp; $A16, US_national_yearly!$D:$AM, MATCH(L$1, US_national_yearly!$D$1:$AM$1, 0), FALSE) / VLOOKUP(Substitution!$M$18 &amp; $A16, US_national_yearly!$D:$AM, MATCH(Keys!$C$7, US_national_yearly!$D$1:$AM$1, 0), FALSE), 1)</f>
        <v>9.7771682315239122E-5</v>
      </c>
      <c r="M16" s="12">
        <f>$B16 * IFERROR(VLOOKUP(Substitution!$M$18 &amp; $A16, US_national_yearly!$D:$AM, MATCH(M$1, US_national_yearly!$D$1:$AM$1, 0), FALSE) / VLOOKUP(Substitution!$M$18 &amp; $A16, US_national_yearly!$D:$AM, MATCH(Keys!$C$7, US_national_yearly!$D$1:$AM$1, 0), FALSE), 1)</f>
        <v>9.9518309400657511E-5</v>
      </c>
      <c r="N16" s="12">
        <f>$B16 * IFERROR(VLOOKUP(Substitution!$M$18 &amp; $A16, US_national_yearly!$D:$AM, MATCH(N$1, US_national_yearly!$D$1:$AM$1, 0), FALSE) / VLOOKUP(Substitution!$M$18 &amp; $A16, US_national_yearly!$D:$AM, MATCH(Keys!$C$7, US_national_yearly!$D$1:$AM$1, 0), FALSE), 1)</f>
        <v>1.0094505661244781E-4</v>
      </c>
      <c r="O16" s="12">
        <f>$B16 * IFERROR(VLOOKUP(Substitution!$M$18 &amp; $A16, US_national_yearly!$D:$AM, MATCH(O$1, US_national_yearly!$D$1:$AM$1, 0), FALSE) / VLOOKUP(Substitution!$M$18 &amp; $A16, US_national_yearly!$D:$AM, MATCH(Keys!$C$7, US_national_yearly!$D$1:$AM$1, 0), FALSE), 1)</f>
        <v>1.023718038242381E-4</v>
      </c>
      <c r="P16" s="12">
        <f>$B16 * IFERROR(VLOOKUP(Substitution!$M$18 &amp; $A16, US_national_yearly!$D:$AM, MATCH(P$1, US_national_yearly!$D$1:$AM$1, 0), FALSE) / VLOOKUP(Substitution!$M$18 &amp; $A16, US_national_yearly!$D:$AM, MATCH(Keys!$C$7, US_national_yearly!$D$1:$AM$1, 0), FALSE), 1)</f>
        <v>1.037985510360284E-4</v>
      </c>
      <c r="Q16" s="12">
        <f>$B16 * IFERROR(VLOOKUP(Substitution!$M$18 &amp; $A16, US_national_yearly!$D:$AM, MATCH(Q$1, US_national_yearly!$D$1:$AM$1, 0), FALSE) / VLOOKUP(Substitution!$M$18 &amp; $A16, US_national_yearly!$D:$AM, MATCH(Keys!$C$7, US_national_yearly!$D$1:$AM$1, 0), FALSE), 1)</f>
        <v>1.052252982478187E-4</v>
      </c>
      <c r="R16" s="12">
        <f>$B16 * IFERROR(VLOOKUP(Substitution!$M$18 &amp; $A16, US_national_yearly!$D:$AM, MATCH(R$1, US_national_yearly!$D$1:$AM$1, 0), FALSE) / VLOOKUP(Substitution!$M$18 &amp; $A16, US_national_yearly!$D:$AM, MATCH(Keys!$C$7, US_national_yearly!$D$1:$AM$1, 0), FALSE), 1)</f>
        <v>1.06652045459609E-4</v>
      </c>
      <c r="S16" s="12">
        <f>$B16 * IFERROR(VLOOKUP(Substitution!$M$18 &amp; $A16, US_national_yearly!$D:$AM, MATCH(S$1, US_national_yearly!$D$1:$AM$1, 0), FALSE) / VLOOKUP(Substitution!$M$18 &amp; $A16, US_national_yearly!$D:$AM, MATCH(Keys!$C$7, US_national_yearly!$D$1:$AM$1, 0), FALSE), 1)</f>
        <v>1.0727782243136801E-4</v>
      </c>
      <c r="T16" s="12">
        <f>$B16 * IFERROR(VLOOKUP(Substitution!$M$18 &amp; $A16, US_national_yearly!$D:$AM, MATCH(T$1, US_national_yearly!$D$1:$AM$1, 0), FALSE) / VLOOKUP(Substitution!$M$18 &amp; $A16, US_national_yearly!$D:$AM, MATCH(Keys!$C$7, US_national_yearly!$D$1:$AM$1, 0), FALSE), 1)</f>
        <v>1.07903599403127E-4</v>
      </c>
      <c r="U16" s="12">
        <f>$B16 * IFERROR(VLOOKUP(Substitution!$M$18 &amp; $A16, US_national_yearly!$D:$AM, MATCH(U$1, US_national_yearly!$D$1:$AM$1, 0), FALSE) / VLOOKUP(Substitution!$M$18 &amp; $A16, US_national_yearly!$D:$AM, MATCH(Keys!$C$7, US_national_yearly!$D$1:$AM$1, 0), FALSE), 1)</f>
        <v>1.08529376374886E-4</v>
      </c>
      <c r="V16" s="12">
        <f>$B16 * IFERROR(VLOOKUP(Substitution!$M$18 &amp; $A16, US_national_yearly!$D:$AM, MATCH(V$1, US_national_yearly!$D$1:$AM$1, 0), FALSE) / VLOOKUP(Substitution!$M$18 &amp; $A16, US_national_yearly!$D:$AM, MATCH(Keys!$C$7, US_national_yearly!$D$1:$AM$1, 0), FALSE), 1)</f>
        <v>1.09155153346645E-4</v>
      </c>
      <c r="W16" s="12">
        <f>$B16 * IFERROR(VLOOKUP(Substitution!$M$18 &amp; $A16, US_national_yearly!$D:$AM, MATCH(W$1, US_national_yearly!$D$1:$AM$1, 0), FALSE) / VLOOKUP(Substitution!$M$18 &amp; $A16, US_national_yearly!$D:$AM, MATCH(Keys!$C$7, US_national_yearly!$D$1:$AM$1, 0), FALSE), 1)</f>
        <v>1.09780930318404E-4</v>
      </c>
      <c r="X16" s="12">
        <f>$B16 * IFERROR(VLOOKUP(Substitution!$M$18 &amp; $A16, US_national_yearly!$D:$AM, MATCH(X$1, US_national_yearly!$D$1:$AM$1, 0), FALSE) / VLOOKUP(Substitution!$M$18 &amp; $A16, US_national_yearly!$D:$AM, MATCH(Keys!$C$7, US_national_yearly!$D$1:$AM$1, 0), FALSE), 1)</f>
        <v>1.100041086816446E-4</v>
      </c>
      <c r="Y16" s="12">
        <f>$B16 * IFERROR(VLOOKUP(Substitution!$M$18 &amp; $A16, US_national_yearly!$D:$AM, MATCH(Y$1, US_national_yearly!$D$1:$AM$1, 0), FALSE) / VLOOKUP(Substitution!$M$18 &amp; $A16, US_national_yearly!$D:$AM, MATCH(Keys!$C$7, US_national_yearly!$D$1:$AM$1, 0), FALSE), 1)</f>
        <v>1.102272870448852E-4</v>
      </c>
      <c r="Z16" s="12">
        <f>$B16 * IFERROR(VLOOKUP(Substitution!$M$18 &amp; $A16, US_national_yearly!$D:$AM, MATCH(Z$1, US_national_yearly!$D$1:$AM$1, 0), FALSE) / VLOOKUP(Substitution!$M$18 &amp; $A16, US_national_yearly!$D:$AM, MATCH(Keys!$C$7, US_national_yearly!$D$1:$AM$1, 0), FALSE), 1)</f>
        <v>1.104504654081258E-4</v>
      </c>
      <c r="AA16" s="12">
        <f>$B16 * IFERROR(VLOOKUP(Substitution!$M$18 &amp; $A16, US_national_yearly!$D:$AM, MATCH(AA$1, US_national_yearly!$D$1:$AM$1, 0), FALSE) / VLOOKUP(Substitution!$M$18 &amp; $A16, US_national_yearly!$D:$AM, MATCH(Keys!$C$7, US_national_yearly!$D$1:$AM$1, 0), FALSE), 1)</f>
        <v>1.1067364377136642E-4</v>
      </c>
      <c r="AB16" s="12">
        <f>$B16 * IFERROR(VLOOKUP(Substitution!$M$18 &amp; $A16, US_national_yearly!$D:$AM, MATCH(AB$1, US_national_yearly!$D$1:$AM$1, 0), FALSE) / VLOOKUP(Substitution!$M$18 &amp; $A16, US_national_yearly!$D:$AM, MATCH(Keys!$C$7, US_national_yearly!$D$1:$AM$1, 0), FALSE), 1)</f>
        <v>1.1089682213460701E-4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Substitution!$G$18)/IFERROR(SUMIFS(COBRA_aggregated!$W:$W, COBRA_aggregated!$A:$A, About!$B$1, COBRA_aggregated!$B:$B, Substitution!$G$18), 1)</f>
        <v>4.5004571974115699E-5</v>
      </c>
      <c r="C17" s="12">
        <f>$B17 * IFERROR(VLOOKUP(Substitution!$M$18 &amp; $A17, US_national_yearly!$D:$AM, MATCH(C$1, US_national_yearly!$D$1:$AM$1, 0), FALSE) / VLOOKUP(Substitution!$M$18 &amp; $A17, US_national_yearly!$D:$AM, MATCH(Keys!$C$7, US_national_yearly!$D$1:$AM$1, 0), FALSE), 1)</f>
        <v>4.6327014747134231E-5</v>
      </c>
      <c r="D17" s="12">
        <f>$B17 * IFERROR(VLOOKUP(Substitution!$M$18 &amp; $A17, US_national_yearly!$D:$AM, MATCH(D$1, US_national_yearly!$D$1:$AM$1, 0), FALSE) / VLOOKUP(Substitution!$M$18 &amp; $A17, US_national_yearly!$D:$AM, MATCH(Keys!$C$7, US_national_yearly!$D$1:$AM$1, 0), FALSE), 1)</f>
        <v>4.7649457520152749E-5</v>
      </c>
      <c r="E17" s="12">
        <f>$B17 * IFERROR(VLOOKUP(Substitution!$M$18 &amp; $A17, US_national_yearly!$D:$AM, MATCH(E$1, US_national_yearly!$D$1:$AM$1, 0), FALSE) / VLOOKUP(Substitution!$M$18 &amp; $A17, US_national_yearly!$D:$AM, MATCH(Keys!$C$7, US_national_yearly!$D$1:$AM$1, 0), FALSE), 1)</f>
        <v>4.8971900293171267E-5</v>
      </c>
      <c r="F17" s="12">
        <f>$B17 * IFERROR(VLOOKUP(Substitution!$M$18 &amp; $A17, US_national_yearly!$D:$AM, MATCH(F$1, US_national_yearly!$D$1:$AM$1, 0), FALSE) / VLOOKUP(Substitution!$M$18 &amp; $A17, US_national_yearly!$D:$AM, MATCH(Keys!$C$7, US_national_yearly!$D$1:$AM$1, 0), FALSE), 1)</f>
        <v>5.0294343066189799E-5</v>
      </c>
      <c r="G17" s="12">
        <f>$B17 * IFERROR(VLOOKUP(Substitution!$M$18 &amp; $A17, US_national_yearly!$D:$AM, MATCH(G$1, US_national_yearly!$D$1:$AM$1, 0), FALSE) / VLOOKUP(Substitution!$M$18 &amp; $A17, US_national_yearly!$D:$AM, MATCH(Keys!$C$7, US_national_yearly!$D$1:$AM$1, 0), FALSE), 1)</f>
        <v>5.155044500211476E-5</v>
      </c>
      <c r="H17" s="12">
        <f>$B17 * IFERROR(VLOOKUP(Substitution!$M$18 &amp; $A17, US_national_yearly!$D:$AM, MATCH(H$1, US_national_yearly!$D$1:$AM$1, 0), FALSE) / VLOOKUP(Substitution!$M$18 &amp; $A17, US_national_yearly!$D:$AM, MATCH(Keys!$C$7, US_national_yearly!$D$1:$AM$1, 0), FALSE), 1)</f>
        <v>5.2806546938039735E-5</v>
      </c>
      <c r="I17" s="12">
        <f>$B17 * IFERROR(VLOOKUP(Substitution!$M$18 &amp; $A17, US_national_yearly!$D:$AM, MATCH(I$1, US_national_yearly!$D$1:$AM$1, 0), FALSE) / VLOOKUP(Substitution!$M$18 &amp; $A17, US_national_yearly!$D:$AM, MATCH(Keys!$C$7, US_national_yearly!$D$1:$AM$1, 0), FALSE), 1)</f>
        <v>5.3862831763357775E-5</v>
      </c>
      <c r="J17" s="12">
        <f>$B17 * IFERROR(VLOOKUP(Substitution!$M$18 &amp; $A17, US_national_yearly!$D:$AM, MATCH(J$1, US_national_yearly!$D$1:$AM$1, 0), FALSE) / VLOOKUP(Substitution!$M$18 &amp; $A17, US_national_yearly!$D:$AM, MATCH(Keys!$C$7, US_national_yearly!$D$1:$AM$1, 0), FALSE), 1)</f>
        <v>5.4919116588675814E-5</v>
      </c>
      <c r="K17" s="12">
        <f>$B17 * IFERROR(VLOOKUP(Substitution!$M$18 &amp; $A17, US_national_yearly!$D:$AM, MATCH(K$1, US_national_yearly!$D$1:$AM$1, 0), FALSE) / VLOOKUP(Substitution!$M$18 &amp; $A17, US_national_yearly!$D:$AM, MATCH(Keys!$C$7, US_national_yearly!$D$1:$AM$1, 0), FALSE), 1)</f>
        <v>5.5975401413993854E-5</v>
      </c>
      <c r="L17" s="12">
        <f>$B17 * IFERROR(VLOOKUP(Substitution!$M$18 &amp; $A17, US_national_yearly!$D:$AM, MATCH(L$1, US_national_yearly!$D$1:$AM$1, 0), FALSE) / VLOOKUP(Substitution!$M$18 &amp; $A17, US_national_yearly!$D:$AM, MATCH(Keys!$C$7, US_national_yearly!$D$1:$AM$1, 0), FALSE), 1)</f>
        <v>5.7031686239311893E-5</v>
      </c>
      <c r="M17" s="12">
        <f>$B17 * IFERROR(VLOOKUP(Substitution!$M$18 &amp; $A17, US_national_yearly!$D:$AM, MATCH(M$1, US_national_yearly!$D$1:$AM$1, 0), FALSE) / VLOOKUP(Substitution!$M$18 &amp; $A17, US_national_yearly!$D:$AM, MATCH(Keys!$C$7, US_national_yearly!$D$1:$AM$1, 0), FALSE), 1)</f>
        <v>5.8087971064629946E-5</v>
      </c>
      <c r="N17" s="12">
        <f>$B17 * IFERROR(VLOOKUP(Substitution!$M$18 &amp; $A17, US_national_yearly!$D:$AM, MATCH(N$1, US_national_yearly!$D$1:$AM$1, 0), FALSE) / VLOOKUP(Substitution!$M$18 &amp; $A17, US_national_yearly!$D:$AM, MATCH(Keys!$C$7, US_national_yearly!$D$1:$AM$1, 0), FALSE), 1)</f>
        <v>5.8748500965672768E-5</v>
      </c>
      <c r="O17" s="12">
        <f>$B17 * IFERROR(VLOOKUP(Substitution!$M$18 &amp; $A17, US_national_yearly!$D:$AM, MATCH(O$1, US_national_yearly!$D$1:$AM$1, 0), FALSE) / VLOOKUP(Substitution!$M$18 &amp; $A17, US_national_yearly!$D:$AM, MATCH(Keys!$C$7, US_national_yearly!$D$1:$AM$1, 0), FALSE), 1)</f>
        <v>5.9409030866715603E-5</v>
      </c>
      <c r="P17" s="12">
        <f>$B17 * IFERROR(VLOOKUP(Substitution!$M$18 &amp; $A17, US_national_yearly!$D:$AM, MATCH(P$1, US_national_yearly!$D$1:$AM$1, 0), FALSE) / VLOOKUP(Substitution!$M$18 &amp; $A17, US_national_yearly!$D:$AM, MATCH(Keys!$C$7, US_national_yearly!$D$1:$AM$1, 0), FALSE), 1)</f>
        <v>6.0069560767758424E-5</v>
      </c>
      <c r="Q17" s="12">
        <f>$B17 * IFERROR(VLOOKUP(Substitution!$M$18 &amp; $A17, US_national_yearly!$D:$AM, MATCH(Q$1, US_national_yearly!$D$1:$AM$1, 0), FALSE) / VLOOKUP(Substitution!$M$18 &amp; $A17, US_national_yearly!$D:$AM, MATCH(Keys!$C$7, US_national_yearly!$D$1:$AM$1, 0), FALSE), 1)</f>
        <v>6.0730090668801253E-5</v>
      </c>
      <c r="R17" s="12">
        <f>$B17 * IFERROR(VLOOKUP(Substitution!$M$18 &amp; $A17, US_national_yearly!$D:$AM, MATCH(R$1, US_national_yearly!$D$1:$AM$1, 0), FALSE) / VLOOKUP(Substitution!$M$18 &amp; $A17, US_national_yearly!$D:$AM, MATCH(Keys!$C$7, US_national_yearly!$D$1:$AM$1, 0), FALSE), 1)</f>
        <v>6.1390620569844081E-5</v>
      </c>
      <c r="S17" s="12">
        <f>$B17 * IFERROR(VLOOKUP(Substitution!$M$18 &amp; $A17, US_national_yearly!$D:$AM, MATCH(S$1, US_national_yearly!$D$1:$AM$1, 0), FALSE) / VLOOKUP(Substitution!$M$18 &amp; $A17, US_national_yearly!$D:$AM, MATCH(Keys!$C$7, US_national_yearly!$D$1:$AM$1, 0), FALSE), 1)</f>
        <v>6.1692002225221328E-5</v>
      </c>
      <c r="T17" s="12">
        <f>$B17 * IFERROR(VLOOKUP(Substitution!$M$18 &amp; $A17, US_national_yearly!$D:$AM, MATCH(T$1, US_national_yearly!$D$1:$AM$1, 0), FALSE) / VLOOKUP(Substitution!$M$18 &amp; $A17, US_national_yearly!$D:$AM, MATCH(Keys!$C$7, US_national_yearly!$D$1:$AM$1, 0), FALSE), 1)</f>
        <v>6.1993383880598561E-5</v>
      </c>
      <c r="U17" s="12">
        <f>$B17 * IFERROR(VLOOKUP(Substitution!$M$18 &amp; $A17, US_national_yearly!$D:$AM, MATCH(U$1, US_national_yearly!$D$1:$AM$1, 0), FALSE) / VLOOKUP(Substitution!$M$18 &amp; $A17, US_national_yearly!$D:$AM, MATCH(Keys!$C$7, US_national_yearly!$D$1:$AM$1, 0), FALSE), 1)</f>
        <v>6.2294765535975808E-5</v>
      </c>
      <c r="V17" s="12">
        <f>$B17 * IFERROR(VLOOKUP(Substitution!$M$18 &amp; $A17, US_national_yearly!$D:$AM, MATCH(V$1, US_national_yearly!$D$1:$AM$1, 0), FALSE) / VLOOKUP(Substitution!$M$18 &amp; $A17, US_national_yearly!$D:$AM, MATCH(Keys!$C$7, US_national_yearly!$D$1:$AM$1, 0), FALSE), 1)</f>
        <v>6.2596147191353041E-5</v>
      </c>
      <c r="W17" s="12">
        <f>$B17 * IFERROR(VLOOKUP(Substitution!$M$18 &amp; $A17, US_national_yearly!$D:$AM, MATCH(W$1, US_national_yearly!$D$1:$AM$1, 0), FALSE) / VLOOKUP(Substitution!$M$18 &amp; $A17, US_national_yearly!$D:$AM, MATCH(Keys!$C$7, US_national_yearly!$D$1:$AM$1, 0), FALSE), 1)</f>
        <v>6.2897528846730288E-5</v>
      </c>
      <c r="X17" s="12">
        <f>$B17 * IFERROR(VLOOKUP(Substitution!$M$18 &amp; $A17, US_national_yearly!$D:$AM, MATCH(X$1, US_national_yearly!$D$1:$AM$1, 0), FALSE) / VLOOKUP(Substitution!$M$18 &amp; $A17, US_national_yearly!$D:$AM, MATCH(Keys!$C$7, US_national_yearly!$D$1:$AM$1, 0), FALSE), 1)</f>
        <v>6.3065258186733637E-5</v>
      </c>
      <c r="Y17" s="12">
        <f>$B17 * IFERROR(VLOOKUP(Substitution!$M$18 &amp; $A17, US_national_yearly!$D:$AM, MATCH(Y$1, US_national_yearly!$D$1:$AM$1, 0), FALSE) / VLOOKUP(Substitution!$M$18 &amp; $A17, US_national_yearly!$D:$AM, MATCH(Keys!$C$7, US_national_yearly!$D$1:$AM$1, 0), FALSE), 1)</f>
        <v>6.3232987526736986E-5</v>
      </c>
      <c r="Z17" s="12">
        <f>$B17 * IFERROR(VLOOKUP(Substitution!$M$18 &amp; $A17, US_national_yearly!$D:$AM, MATCH(Z$1, US_national_yearly!$D$1:$AM$1, 0), FALSE) / VLOOKUP(Substitution!$M$18 &amp; $A17, US_national_yearly!$D:$AM, MATCH(Keys!$C$7, US_national_yearly!$D$1:$AM$1, 0), FALSE), 1)</f>
        <v>6.3400716866740336E-5</v>
      </c>
      <c r="AA17" s="12">
        <f>$B17 * IFERROR(VLOOKUP(Substitution!$M$18 &amp; $A17, US_national_yearly!$D:$AM, MATCH(AA$1, US_national_yearly!$D$1:$AM$1, 0), FALSE) / VLOOKUP(Substitution!$M$18 &amp; $A17, US_national_yearly!$D:$AM, MATCH(Keys!$C$7, US_national_yearly!$D$1:$AM$1, 0), FALSE), 1)</f>
        <v>6.3568446206743685E-5</v>
      </c>
      <c r="AB17" s="12">
        <f>$B17 * IFERROR(VLOOKUP(Substitution!$M$18 &amp; $A17, US_national_yearly!$D:$AM, MATCH(AB$1, US_national_yearly!$D$1:$AM$1, 0), FALSE) / VLOOKUP(Substitution!$M$18 &amp; $A17, US_national_yearly!$D:$AM, MATCH(Keys!$C$7, US_national_yearly!$D$1:$AM$1, 0), FALSE), 1)</f>
        <v>6.3736175546747035E-5</v>
      </c>
    </row>
    <row r="18" spans="1:28" x14ac:dyDescent="0.25">
      <c r="A18" s="4" t="s">
        <v>323</v>
      </c>
      <c r="B18" s="12">
        <f>IFERROR(VLOOKUP(Substitution!$M$18 &amp; $A18, US_national_yearly!$D:$AM, MATCH(Keys!$C$7, US_national_yearly!$D$1:$AM$1, 0), FALSE), 0)</f>
        <v>5.887373994742436E-4</v>
      </c>
      <c r="C18" s="12">
        <f>$B18 * IFERROR(VLOOKUP(Substitution!$M$18 &amp; $A18, US_national_yearly!$D:$AM, MATCH(C$1, US_national_yearly!$D$1:$AM$1, 0), FALSE) / VLOOKUP(Substitution!$M$18 &amp; $A18, US_national_yearly!$D:$AM, MATCH(Keys!$C$7, US_national_yearly!$D$1:$AM$1, 0), FALSE), 1)</f>
        <v>6.0777122226172119E-4</v>
      </c>
      <c r="D18" s="12">
        <f>$B18 * IFERROR(VLOOKUP(Substitution!$M$18 &amp; $A18, US_national_yearly!$D:$AM, MATCH(D$1, US_national_yearly!$D$1:$AM$1, 0), FALSE) / VLOOKUP(Substitution!$M$18 &amp; $A18, US_national_yearly!$D:$AM, MATCH(Keys!$C$7, US_national_yearly!$D$1:$AM$1, 0), FALSE), 1)</f>
        <v>6.2680504504919877E-4</v>
      </c>
      <c r="E18" s="12">
        <f>$B18 * IFERROR(VLOOKUP(Substitution!$M$18 &amp; $A18, US_national_yearly!$D:$AM, MATCH(E$1, US_national_yearly!$D$1:$AM$1, 0), FALSE) / VLOOKUP(Substitution!$M$18 &amp; $A18, US_national_yearly!$D:$AM, MATCH(Keys!$C$7, US_national_yearly!$D$1:$AM$1, 0), FALSE), 1)</f>
        <v>6.4583886783667636E-4</v>
      </c>
      <c r="F18" s="12">
        <f>$B18 * IFERROR(VLOOKUP(Substitution!$M$18 &amp; $A18, US_national_yearly!$D:$AM, MATCH(F$1, US_national_yearly!$D$1:$AM$1, 0), FALSE) / VLOOKUP(Substitution!$M$18 &amp; $A18, US_national_yearly!$D:$AM, MATCH(Keys!$C$7, US_national_yearly!$D$1:$AM$1, 0), FALSE), 1)</f>
        <v>6.6487269062415406E-4</v>
      </c>
      <c r="G18" s="12">
        <f>$B18 * IFERROR(VLOOKUP(Substitution!$M$18 &amp; $A18, US_national_yearly!$D:$AM, MATCH(G$1, US_national_yearly!$D$1:$AM$1, 0), FALSE) / VLOOKUP(Substitution!$M$18 &amp; $A18, US_national_yearly!$D:$AM, MATCH(Keys!$C$7, US_national_yearly!$D$1:$AM$1, 0), FALSE), 1)</f>
        <v>6.8499691797475784E-4</v>
      </c>
      <c r="H18" s="12">
        <f>$B18 * IFERROR(VLOOKUP(Substitution!$M$18 &amp; $A18, US_national_yearly!$D:$AM, MATCH(H$1, US_national_yearly!$D$1:$AM$1, 0), FALSE) / VLOOKUP(Substitution!$M$18 &amp; $A18, US_national_yearly!$D:$AM, MATCH(Keys!$C$7, US_national_yearly!$D$1:$AM$1, 0), FALSE), 1)</f>
        <v>7.0512114532536195E-4</v>
      </c>
      <c r="I18" s="12">
        <f>$B18 * IFERROR(VLOOKUP(Substitution!$M$18 &amp; $A18, US_national_yearly!$D:$AM, MATCH(I$1, US_national_yearly!$D$1:$AM$1, 0), FALSE) / VLOOKUP(Substitution!$M$18 &amp; $A18, US_national_yearly!$D:$AM, MATCH(Keys!$C$7, US_national_yearly!$D$1:$AM$1, 0), FALSE), 1)</f>
        <v>7.2505483355470176E-4</v>
      </c>
      <c r="J18" s="12">
        <f>$B18 * IFERROR(VLOOKUP(Substitution!$M$18 &amp; $A18, US_national_yearly!$D:$AM, MATCH(J$1, US_national_yearly!$D$1:$AM$1, 0), FALSE) / VLOOKUP(Substitution!$M$18 &amp; $A18, US_national_yearly!$D:$AM, MATCH(Keys!$C$7, US_national_yearly!$D$1:$AM$1, 0), FALSE), 1)</f>
        <v>7.4498852178404168E-4</v>
      </c>
      <c r="K18" s="12">
        <f>$B18 * IFERROR(VLOOKUP(Substitution!$M$18 &amp; $A18, US_national_yearly!$D:$AM, MATCH(K$1, US_national_yearly!$D$1:$AM$1, 0), FALSE) / VLOOKUP(Substitution!$M$18 &amp; $A18, US_national_yearly!$D:$AM, MATCH(Keys!$C$7, US_national_yearly!$D$1:$AM$1, 0), FALSE), 1)</f>
        <v>7.6492221001338138E-4</v>
      </c>
      <c r="L18" s="12">
        <f>$B18 * IFERROR(VLOOKUP(Substitution!$M$18 &amp; $A18, US_national_yearly!$D:$AM, MATCH(L$1, US_national_yearly!$D$1:$AM$1, 0), FALSE) / VLOOKUP(Substitution!$M$18 &amp; $A18, US_national_yearly!$D:$AM, MATCH(Keys!$C$7, US_national_yearly!$D$1:$AM$1, 0), FALSE), 1)</f>
        <v>7.8485589824272119E-4</v>
      </c>
      <c r="M18" s="12">
        <f>$B18 * IFERROR(VLOOKUP(Substitution!$M$18 &amp; $A18, US_national_yearly!$D:$AM, MATCH(M$1, US_national_yearly!$D$1:$AM$1, 0), FALSE) / VLOOKUP(Substitution!$M$18 &amp; $A18, US_national_yearly!$D:$AM, MATCH(Keys!$C$7, US_national_yearly!$D$1:$AM$1, 0), FALSE), 1)</f>
        <v>8.04789586472061E-4</v>
      </c>
      <c r="N18" s="12">
        <f>$B18 * IFERROR(VLOOKUP(Substitution!$M$18 &amp; $A18, US_national_yearly!$D:$AM, MATCH(N$1, US_national_yearly!$D$1:$AM$1, 0), FALSE) / VLOOKUP(Substitution!$M$18 &amp; $A18, US_national_yearly!$D:$AM, MATCH(Keys!$C$7, US_national_yearly!$D$1:$AM$1, 0), FALSE), 1)</f>
        <v>8.1859877805789353E-4</v>
      </c>
      <c r="O18" s="12">
        <f>$B18 * IFERROR(VLOOKUP(Substitution!$M$18 &amp; $A18, US_national_yearly!$D:$AM, MATCH(O$1, US_national_yearly!$D$1:$AM$1, 0), FALSE) / VLOOKUP(Substitution!$M$18 &amp; $A18, US_national_yearly!$D:$AM, MATCH(Keys!$C$7, US_national_yearly!$D$1:$AM$1, 0), FALSE), 1)</f>
        <v>8.3240796964372617E-4</v>
      </c>
      <c r="P18" s="12">
        <f>$B18 * IFERROR(VLOOKUP(Substitution!$M$18 &amp; $A18, US_national_yearly!$D:$AM, MATCH(P$1, US_national_yearly!$D$1:$AM$1, 0), FALSE) / VLOOKUP(Substitution!$M$18 &amp; $A18, US_national_yearly!$D:$AM, MATCH(Keys!$C$7, US_national_yearly!$D$1:$AM$1, 0), FALSE), 1)</f>
        <v>8.462171612295588E-4</v>
      </c>
      <c r="Q18" s="12">
        <f>$B18 * IFERROR(VLOOKUP(Substitution!$M$18 &amp; $A18, US_national_yearly!$D:$AM, MATCH(Q$1, US_national_yearly!$D$1:$AM$1, 0), FALSE) / VLOOKUP(Substitution!$M$18 &amp; $A18, US_national_yearly!$D:$AM, MATCH(Keys!$C$7, US_national_yearly!$D$1:$AM$1, 0), FALSE), 1)</f>
        <v>8.6002635281539133E-4</v>
      </c>
      <c r="R18" s="12">
        <f>$B18 * IFERROR(VLOOKUP(Substitution!$M$18 &amp; $A18, US_national_yearly!$D:$AM, MATCH(R$1, US_national_yearly!$D$1:$AM$1, 0), FALSE) / VLOOKUP(Substitution!$M$18 &amp; $A18, US_national_yearly!$D:$AM, MATCH(Keys!$C$7, US_national_yearly!$D$1:$AM$1, 0), FALSE), 1)</f>
        <v>8.7383554440122397E-4</v>
      </c>
      <c r="S18" s="12">
        <f>$B18 * IFERROR(VLOOKUP(Substitution!$M$18 &amp; $A18, US_national_yearly!$D:$AM, MATCH(S$1, US_national_yearly!$D$1:$AM$1, 0), FALSE) / VLOOKUP(Substitution!$M$18 &amp; $A18, US_national_yearly!$D:$AM, MATCH(Keys!$C$7, US_national_yearly!$D$1:$AM$1, 0), FALSE), 1)</f>
        <v>8.7979165951300193E-4</v>
      </c>
      <c r="T18" s="12">
        <f>$B18 * IFERROR(VLOOKUP(Substitution!$M$18 &amp; $A18, US_national_yearly!$D:$AM, MATCH(T$1, US_national_yearly!$D$1:$AM$1, 0), FALSE) / VLOOKUP(Substitution!$M$18 &amp; $A18, US_national_yearly!$D:$AM, MATCH(Keys!$C$7, US_national_yearly!$D$1:$AM$1, 0), FALSE), 1)</f>
        <v>8.8574777462477989E-4</v>
      </c>
      <c r="U18" s="12">
        <f>$B18 * IFERROR(VLOOKUP(Substitution!$M$18 &amp; $A18, US_national_yearly!$D:$AM, MATCH(U$1, US_national_yearly!$D$1:$AM$1, 0), FALSE) / VLOOKUP(Substitution!$M$18 &amp; $A18, US_national_yearly!$D:$AM, MATCH(Keys!$C$7, US_national_yearly!$D$1:$AM$1, 0), FALSE), 1)</f>
        <v>8.9170388973655796E-4</v>
      </c>
      <c r="V18" s="12">
        <f>$B18 * IFERROR(VLOOKUP(Substitution!$M$18 &amp; $A18, US_national_yearly!$D:$AM, MATCH(V$1, US_national_yearly!$D$1:$AM$1, 0), FALSE) / VLOOKUP(Substitution!$M$18 &amp; $A18, US_national_yearly!$D:$AM, MATCH(Keys!$C$7, US_national_yearly!$D$1:$AM$1, 0), FALSE), 1)</f>
        <v>8.9766000484833603E-4</v>
      </c>
      <c r="W18" s="12">
        <f>$B18 * IFERROR(VLOOKUP(Substitution!$M$18 &amp; $A18, US_national_yearly!$D:$AM, MATCH(W$1, US_national_yearly!$D$1:$AM$1, 0), FALSE) / VLOOKUP(Substitution!$M$18 &amp; $A18, US_national_yearly!$D:$AM, MATCH(Keys!$C$7, US_national_yearly!$D$1:$AM$1, 0), FALSE), 1)</f>
        <v>9.0361611996011399E-4</v>
      </c>
      <c r="X18" s="12">
        <f>$B18 * IFERROR(VLOOKUP(Substitution!$M$18 &amp; $A18, US_national_yearly!$D:$AM, MATCH(X$1, US_national_yearly!$D$1:$AM$1, 0), FALSE) / VLOOKUP(Substitution!$M$18 &amp; $A18, US_national_yearly!$D:$AM, MATCH(Keys!$C$7, US_national_yearly!$D$1:$AM$1, 0), FALSE), 1)</f>
        <v>9.0460043928977717E-4</v>
      </c>
      <c r="Y18" s="12">
        <f>$B18 * IFERROR(VLOOKUP(Substitution!$M$18 &amp; $A18, US_national_yearly!$D:$AM, MATCH(Y$1, US_national_yearly!$D$1:$AM$1, 0), FALSE) / VLOOKUP(Substitution!$M$18 &amp; $A18, US_national_yearly!$D:$AM, MATCH(Keys!$C$7, US_national_yearly!$D$1:$AM$1, 0), FALSE), 1)</f>
        <v>9.0558475861944035E-4</v>
      </c>
      <c r="Z18" s="12">
        <f>$B18 * IFERROR(VLOOKUP(Substitution!$M$18 &amp; $A18, US_national_yearly!$D:$AM, MATCH(Z$1, US_national_yearly!$D$1:$AM$1, 0), FALSE) / VLOOKUP(Substitution!$M$18 &amp; $A18, US_national_yearly!$D:$AM, MATCH(Keys!$C$7, US_national_yearly!$D$1:$AM$1, 0), FALSE), 1)</f>
        <v>9.0656907794910353E-4</v>
      </c>
      <c r="AA18" s="12">
        <f>$B18 * IFERROR(VLOOKUP(Substitution!$M$18 &amp; $A18, US_national_yearly!$D:$AM, MATCH(AA$1, US_national_yearly!$D$1:$AM$1, 0), FALSE) / VLOOKUP(Substitution!$M$18 &amp; $A18, US_national_yearly!$D:$AM, MATCH(Keys!$C$7, US_national_yearly!$D$1:$AM$1, 0), FALSE), 1)</f>
        <v>9.0755339727876681E-4</v>
      </c>
      <c r="AB18" s="12">
        <f>$B18 * IFERROR(VLOOKUP(Substitution!$M$18 &amp; $A18, US_national_yearly!$D:$AM, MATCH(AB$1, US_national_yearly!$D$1:$AM$1, 0), FALSE) / VLOOKUP(Substitution!$M$18 &amp; $A18, US_national_yearly!$D:$AM, MATCH(Keys!$C$7, US_national_yearly!$D$1:$AM$1, 0), FALSE), 1)</f>
        <v>9.0853771660842999E-4</v>
      </c>
    </row>
    <row r="19" spans="1:28" x14ac:dyDescent="0.25">
      <c r="A19" s="4" t="s">
        <v>325</v>
      </c>
      <c r="B19" s="12">
        <f>IFERROR(VLOOKUP(Substitution!$M$18 &amp; $A19, US_national_yearly!$D:$AM, MATCH(Keys!$C$7, US_national_yearly!$D$1:$AM$1, 0), FALSE), 0)</f>
        <v>7.7666396930083702E-5</v>
      </c>
      <c r="C19" s="12">
        <f>$B19 * IFERROR(VLOOKUP(Substitution!$M$18 &amp; $A19, US_national_yearly!$D:$AM, MATCH(C$1, US_national_yearly!$D$1:$AM$1, 0), FALSE) / VLOOKUP(Substitution!$M$18 &amp; $A19, US_national_yearly!$D:$AM, MATCH(Keys!$C$7, US_national_yearly!$D$1:$AM$1, 0), FALSE), 1)</f>
        <v>7.9659402775907303E-5</v>
      </c>
      <c r="D19" s="12">
        <f>$B19 * IFERROR(VLOOKUP(Substitution!$M$18 &amp; $A19, US_national_yearly!$D:$AM, MATCH(D$1, US_national_yearly!$D$1:$AM$1, 0), FALSE) / VLOOKUP(Substitution!$M$18 &amp; $A19, US_national_yearly!$D:$AM, MATCH(Keys!$C$7, US_national_yearly!$D$1:$AM$1, 0), FALSE), 1)</f>
        <v>8.1652408621730918E-5</v>
      </c>
      <c r="E19" s="12">
        <f>$B19 * IFERROR(VLOOKUP(Substitution!$M$18 &amp; $A19, US_national_yearly!$D:$AM, MATCH(E$1, US_national_yearly!$D$1:$AM$1, 0), FALSE) / VLOOKUP(Substitution!$M$18 &amp; $A19, US_national_yearly!$D:$AM, MATCH(Keys!$C$7, US_national_yearly!$D$1:$AM$1, 0), FALSE), 1)</f>
        <v>8.3645414467554505E-5</v>
      </c>
      <c r="F19" s="12">
        <f>$B19 * IFERROR(VLOOKUP(Substitution!$M$18 &amp; $A19, US_national_yearly!$D:$AM, MATCH(F$1, US_national_yearly!$D$1:$AM$1, 0), FALSE) / VLOOKUP(Substitution!$M$18 &amp; $A19, US_national_yearly!$D:$AM, MATCH(Keys!$C$7, US_national_yearly!$D$1:$AM$1, 0), FALSE), 1)</f>
        <v>8.5638420313378106E-5</v>
      </c>
      <c r="G19" s="12">
        <f>$B19 * IFERROR(VLOOKUP(Substitution!$M$18 &amp; $A19, US_national_yearly!$D:$AM, MATCH(G$1, US_national_yearly!$D$1:$AM$1, 0), FALSE) / VLOOKUP(Substitution!$M$18 &amp; $A19, US_national_yearly!$D:$AM, MATCH(Keys!$C$7, US_national_yearly!$D$1:$AM$1, 0), FALSE), 1)</f>
        <v>8.7277423034707712E-5</v>
      </c>
      <c r="H19" s="12">
        <f>$B19 * IFERROR(VLOOKUP(Substitution!$M$18 &amp; $A19, US_national_yearly!$D:$AM, MATCH(H$1, US_national_yearly!$D$1:$AM$1, 0), FALSE) / VLOOKUP(Substitution!$M$18 &amp; $A19, US_national_yearly!$D:$AM, MATCH(Keys!$C$7, US_national_yearly!$D$1:$AM$1, 0), FALSE), 1)</f>
        <v>8.8916425756037305E-5</v>
      </c>
      <c r="I19" s="12">
        <f>$B19 * IFERROR(VLOOKUP(Substitution!$M$18 &amp; $A19, US_national_yearly!$D:$AM, MATCH(I$1, US_national_yearly!$D$1:$AM$1, 0), FALSE) / VLOOKUP(Substitution!$M$18 &amp; $A19, US_national_yearly!$D:$AM, MATCH(Keys!$C$7, US_national_yearly!$D$1:$AM$1, 0), FALSE), 1)</f>
        <v>8.9950083825264524E-5</v>
      </c>
      <c r="J19" s="12">
        <f>$B19 * IFERROR(VLOOKUP(Substitution!$M$18 &amp; $A19, US_national_yearly!$D:$AM, MATCH(J$1, US_national_yearly!$D$1:$AM$1, 0), FALSE) / VLOOKUP(Substitution!$M$18 &amp; $A19, US_national_yearly!$D:$AM, MATCH(Keys!$C$7, US_national_yearly!$D$1:$AM$1, 0), FALSE), 1)</f>
        <v>9.0983741894491715E-5</v>
      </c>
      <c r="K19" s="12">
        <f>$B19 * IFERROR(VLOOKUP(Substitution!$M$18 &amp; $A19, US_national_yearly!$D:$AM, MATCH(K$1, US_national_yearly!$D$1:$AM$1, 0), FALSE) / VLOOKUP(Substitution!$M$18 &amp; $A19, US_national_yearly!$D:$AM, MATCH(Keys!$C$7, US_national_yearly!$D$1:$AM$1, 0), FALSE), 1)</f>
        <v>9.2017399963718907E-5</v>
      </c>
      <c r="L19" s="12">
        <f>$B19 * IFERROR(VLOOKUP(Substitution!$M$18 &amp; $A19, US_national_yearly!$D:$AM, MATCH(L$1, US_national_yearly!$D$1:$AM$1, 0), FALSE) / VLOOKUP(Substitution!$M$18 &amp; $A19, US_national_yearly!$D:$AM, MATCH(Keys!$C$7, US_national_yearly!$D$1:$AM$1, 0), FALSE), 1)</f>
        <v>9.3051058032946098E-5</v>
      </c>
      <c r="M19" s="12">
        <f>$B19 * IFERROR(VLOOKUP(Substitution!$M$18 &amp; $A19, US_national_yearly!$D:$AM, MATCH(M$1, US_national_yearly!$D$1:$AM$1, 0), FALSE) / VLOOKUP(Substitution!$M$18 &amp; $A19, US_national_yearly!$D:$AM, MATCH(Keys!$C$7, US_national_yearly!$D$1:$AM$1, 0), FALSE), 1)</f>
        <v>9.4084716102173303E-5</v>
      </c>
      <c r="N19" s="12">
        <f>$B19 * IFERROR(VLOOKUP(Substitution!$M$18 &amp; $A19, US_national_yearly!$D:$AM, MATCH(N$1, US_national_yearly!$D$1:$AM$1, 0), FALSE) / VLOOKUP(Substitution!$M$18 &amp; $A19, US_national_yearly!$D:$AM, MATCH(Keys!$C$7, US_national_yearly!$D$1:$AM$1, 0), FALSE), 1)</f>
        <v>9.4521459242841562E-5</v>
      </c>
      <c r="O19" s="12">
        <f>$B19 * IFERROR(VLOOKUP(Substitution!$M$18 &amp; $A19, US_national_yearly!$D:$AM, MATCH(O$1, US_national_yearly!$D$1:$AM$1, 0), FALSE) / VLOOKUP(Substitution!$M$18 &amp; $A19, US_national_yearly!$D:$AM, MATCH(Keys!$C$7, US_national_yearly!$D$1:$AM$1, 0), FALSE), 1)</f>
        <v>9.495820238350982E-5</v>
      </c>
      <c r="P19" s="12">
        <f>$B19 * IFERROR(VLOOKUP(Substitution!$M$18 &amp; $A19, US_national_yearly!$D:$AM, MATCH(P$1, US_national_yearly!$D$1:$AM$1, 0), FALSE) / VLOOKUP(Substitution!$M$18 &amp; $A19, US_national_yearly!$D:$AM, MATCH(Keys!$C$7, US_national_yearly!$D$1:$AM$1, 0), FALSE), 1)</f>
        <v>9.5394945524178079E-5</v>
      </c>
      <c r="Q19" s="12">
        <f>$B19 * IFERROR(VLOOKUP(Substitution!$M$18 &amp; $A19, US_national_yearly!$D:$AM, MATCH(Q$1, US_national_yearly!$D$1:$AM$1, 0), FALSE) / VLOOKUP(Substitution!$M$18 &amp; $A19, US_national_yearly!$D:$AM, MATCH(Keys!$C$7, US_national_yearly!$D$1:$AM$1, 0), FALSE), 1)</f>
        <v>9.5831688664846338E-5</v>
      </c>
      <c r="R19" s="12">
        <f>$B19 * IFERROR(VLOOKUP(Substitution!$M$18 &amp; $A19, US_national_yearly!$D:$AM, MATCH(R$1, US_national_yearly!$D$1:$AM$1, 0), FALSE) / VLOOKUP(Substitution!$M$18 &amp; $A19, US_national_yearly!$D:$AM, MATCH(Keys!$C$7, US_national_yearly!$D$1:$AM$1, 0), FALSE), 1)</f>
        <v>9.6268431805514597E-5</v>
      </c>
      <c r="S19" s="12">
        <f>$B19 * IFERROR(VLOOKUP(Substitution!$M$18 &amp; $A19, US_national_yearly!$D:$AM, MATCH(S$1, US_national_yearly!$D$1:$AM$1, 0), FALSE) / VLOOKUP(Substitution!$M$18 &amp; $A19, US_national_yearly!$D:$AM, MATCH(Keys!$C$7, US_national_yearly!$D$1:$AM$1, 0), FALSE), 1)</f>
        <v>9.6473395445963867E-5</v>
      </c>
      <c r="T19" s="12">
        <f>$B19 * IFERROR(VLOOKUP(Substitution!$M$18 &amp; $A19, US_national_yearly!$D:$AM, MATCH(T$1, US_national_yearly!$D$1:$AM$1, 0), FALSE) / VLOOKUP(Substitution!$M$18 &amp; $A19, US_national_yearly!$D:$AM, MATCH(Keys!$C$7, US_national_yearly!$D$1:$AM$1, 0), FALSE), 1)</f>
        <v>9.6678359086413163E-5</v>
      </c>
      <c r="U19" s="12">
        <f>$B19 * IFERROR(VLOOKUP(Substitution!$M$18 &amp; $A19, US_national_yearly!$D:$AM, MATCH(U$1, US_national_yearly!$D$1:$AM$1, 0), FALSE) / VLOOKUP(Substitution!$M$18 &amp; $A19, US_national_yearly!$D:$AM, MATCH(Keys!$C$7, US_national_yearly!$D$1:$AM$1, 0), FALSE), 1)</f>
        <v>9.6883322726862433E-5</v>
      </c>
      <c r="V19" s="12">
        <f>$B19 * IFERROR(VLOOKUP(Substitution!$M$18 &amp; $A19, US_national_yearly!$D:$AM, MATCH(V$1, US_national_yearly!$D$1:$AM$1, 0), FALSE) / VLOOKUP(Substitution!$M$18 &amp; $A19, US_national_yearly!$D:$AM, MATCH(Keys!$C$7, US_national_yearly!$D$1:$AM$1, 0), FALSE), 1)</f>
        <v>9.7088286367311716E-5</v>
      </c>
      <c r="W19" s="12">
        <f>$B19 * IFERROR(VLOOKUP(Substitution!$M$18 &amp; $A19, US_national_yearly!$D:$AM, MATCH(W$1, US_national_yearly!$D$1:$AM$1, 0), FALSE) / VLOOKUP(Substitution!$M$18 &amp; $A19, US_national_yearly!$D:$AM, MATCH(Keys!$C$7, US_national_yearly!$D$1:$AM$1, 0), FALSE), 1)</f>
        <v>9.7293250007760999E-5</v>
      </c>
      <c r="X19" s="12">
        <f>$B19 * IFERROR(VLOOKUP(Substitution!$M$18 &amp; $A19, US_national_yearly!$D:$AM, MATCH(X$1, US_national_yearly!$D$1:$AM$1, 0), FALSE) / VLOOKUP(Substitution!$M$18 &amp; $A19, US_national_yearly!$D:$AM, MATCH(Keys!$C$7, US_national_yearly!$D$1:$AM$1, 0), FALSE), 1)</f>
        <v>9.7638638567141685E-5</v>
      </c>
      <c r="Y19" s="12">
        <f>$B19 * IFERROR(VLOOKUP(Substitution!$M$18 &amp; $A19, US_national_yearly!$D:$AM, MATCH(Y$1, US_national_yearly!$D$1:$AM$1, 0), FALSE) / VLOOKUP(Substitution!$M$18 &amp; $A19, US_national_yearly!$D:$AM, MATCH(Keys!$C$7, US_national_yearly!$D$1:$AM$1, 0), FALSE), 1)</f>
        <v>9.7984027126522358E-5</v>
      </c>
      <c r="Z19" s="12">
        <f>$B19 * IFERROR(VLOOKUP(Substitution!$M$18 &amp; $A19, US_national_yearly!$D:$AM, MATCH(Z$1, US_national_yearly!$D$1:$AM$1, 0), FALSE) / VLOOKUP(Substitution!$M$18 &amp; $A19, US_national_yearly!$D:$AM, MATCH(Keys!$C$7, US_national_yearly!$D$1:$AM$1, 0), FALSE), 1)</f>
        <v>9.8329415685903044E-5</v>
      </c>
      <c r="AA19" s="12">
        <f>$B19 * IFERROR(VLOOKUP(Substitution!$M$18 &amp; $A19, US_national_yearly!$D:$AM, MATCH(AA$1, US_national_yearly!$D$1:$AM$1, 0), FALSE) / VLOOKUP(Substitution!$M$18 &amp; $A19, US_national_yearly!$D:$AM, MATCH(Keys!$C$7, US_national_yearly!$D$1:$AM$1, 0), FALSE), 1)</f>
        <v>9.8674804245283716E-5</v>
      </c>
      <c r="AB19" s="12">
        <f>$B19 * IFERROR(VLOOKUP(Substitution!$M$18 &amp; $A19, US_national_yearly!$D:$AM, MATCH(AB$1, US_national_yearly!$D$1:$AM$1, 0), FALSE) / VLOOKUP(Substitution!$M$18 &amp; $A19, US_national_yearly!$D:$AM, MATCH(Keys!$C$7, US_national_yearly!$D$1:$AM$1, 0), FALSE), 1)</f>
        <v>9.9020192804664402E-5</v>
      </c>
    </row>
    <row r="20" spans="1:28" x14ac:dyDescent="0.25">
      <c r="A20" s="4" t="s">
        <v>327</v>
      </c>
      <c r="B20" s="12">
        <f>IFERROR(VLOOKUP(Substitution!$M$18 &amp; $A20, US_national_yearly!$D:$AM, MATCH(Keys!$C$7, US_national_yearly!$D$1:$AM$1, 0), FALSE), 0)</f>
        <v>7.0075287244190126E-5</v>
      </c>
      <c r="C20" s="12">
        <f>$B20 * IFERROR(VLOOKUP(Substitution!$M$18 &amp; $A20, US_national_yearly!$D:$AM, MATCH(C$1, US_national_yearly!$D$1:$AM$1, 0), FALSE) / VLOOKUP(Substitution!$M$18 &amp; $A20, US_national_yearly!$D:$AM, MATCH(Keys!$C$7, US_national_yearly!$D$1:$AM$1, 0), FALSE), 1)</f>
        <v>7.1889198031153639E-5</v>
      </c>
      <c r="D20" s="12">
        <f>$B20 * IFERROR(VLOOKUP(Substitution!$M$18 &amp; $A20, US_national_yearly!$D:$AM, MATCH(D$1, US_national_yearly!$D$1:$AM$1, 0), FALSE) / VLOOKUP(Substitution!$M$18 &amp; $A20, US_national_yearly!$D:$AM, MATCH(Keys!$C$7, US_national_yearly!$D$1:$AM$1, 0), FALSE), 1)</f>
        <v>7.3703108818117178E-5</v>
      </c>
      <c r="E20" s="12">
        <f>$B20 * IFERROR(VLOOKUP(Substitution!$M$18 &amp; $A20, US_national_yearly!$D:$AM, MATCH(E$1, US_national_yearly!$D$1:$AM$1, 0), FALSE) / VLOOKUP(Substitution!$M$18 &amp; $A20, US_national_yearly!$D:$AM, MATCH(Keys!$C$7, US_national_yearly!$D$1:$AM$1, 0), FALSE), 1)</f>
        <v>7.5517019605080677E-5</v>
      </c>
      <c r="F20" s="12">
        <f>$B20 * IFERROR(VLOOKUP(Substitution!$M$18 &amp; $A20, US_national_yearly!$D:$AM, MATCH(F$1, US_national_yearly!$D$1:$AM$1, 0), FALSE) / VLOOKUP(Substitution!$M$18 &amp; $A20, US_national_yearly!$D:$AM, MATCH(Keys!$C$7, US_national_yearly!$D$1:$AM$1, 0), FALSE), 1)</f>
        <v>7.7330930392044203E-5</v>
      </c>
      <c r="G20" s="12">
        <f>$B20 * IFERROR(VLOOKUP(Substitution!$M$18 &amp; $A20, US_national_yearly!$D:$AM, MATCH(G$1, US_national_yearly!$D$1:$AM$1, 0), FALSE) / VLOOKUP(Substitution!$M$18 &amp; $A20, US_national_yearly!$D:$AM, MATCH(Keys!$C$7, US_national_yearly!$D$1:$AM$1, 0), FALSE), 1)</f>
        <v>7.8802648357615204E-5</v>
      </c>
      <c r="H20" s="12">
        <f>$B20 * IFERROR(VLOOKUP(Substitution!$M$18 &amp; $A20, US_national_yearly!$D:$AM, MATCH(H$1, US_national_yearly!$D$1:$AM$1, 0), FALSE) / VLOOKUP(Substitution!$M$18 &amp; $A20, US_national_yearly!$D:$AM, MATCH(Keys!$C$7, US_national_yearly!$D$1:$AM$1, 0), FALSE), 1)</f>
        <v>8.0274366323186206E-5</v>
      </c>
      <c r="I20" s="12">
        <f>$B20 * IFERROR(VLOOKUP(Substitution!$M$18 &amp; $A20, US_national_yearly!$D:$AM, MATCH(I$1, US_national_yearly!$D$1:$AM$1, 0), FALSE) / VLOOKUP(Substitution!$M$18 &amp; $A20, US_national_yearly!$D:$AM, MATCH(Keys!$C$7, US_national_yearly!$D$1:$AM$1, 0), FALSE), 1)</f>
        <v>8.1138964846462486E-5</v>
      </c>
      <c r="J20" s="12">
        <f>$B20 * IFERROR(VLOOKUP(Substitution!$M$18 &amp; $A20, US_national_yearly!$D:$AM, MATCH(J$1, US_national_yearly!$D$1:$AM$1, 0), FALSE) / VLOOKUP(Substitution!$M$18 &amp; $A20, US_national_yearly!$D:$AM, MATCH(Keys!$C$7, US_national_yearly!$D$1:$AM$1, 0), FALSE), 1)</f>
        <v>8.2003563369738766E-5</v>
      </c>
      <c r="K20" s="12">
        <f>$B20 * IFERROR(VLOOKUP(Substitution!$M$18 &amp; $A20, US_national_yearly!$D:$AM, MATCH(K$1, US_national_yearly!$D$1:$AM$1, 0), FALSE) / VLOOKUP(Substitution!$M$18 &amp; $A20, US_national_yearly!$D:$AM, MATCH(Keys!$C$7, US_national_yearly!$D$1:$AM$1, 0), FALSE), 1)</f>
        <v>8.2868161893015046E-5</v>
      </c>
      <c r="L20" s="12">
        <f>$B20 * IFERROR(VLOOKUP(Substitution!$M$18 &amp; $A20, US_national_yearly!$D:$AM, MATCH(L$1, US_national_yearly!$D$1:$AM$1, 0), FALSE) / VLOOKUP(Substitution!$M$18 &amp; $A20, US_national_yearly!$D:$AM, MATCH(Keys!$C$7, US_national_yearly!$D$1:$AM$1, 0), FALSE), 1)</f>
        <v>8.3732760416291326E-5</v>
      </c>
      <c r="M20" s="12">
        <f>$B20 * IFERROR(VLOOKUP(Substitution!$M$18 &amp; $A20, US_national_yearly!$D:$AM, MATCH(M$1, US_national_yearly!$D$1:$AM$1, 0), FALSE) / VLOOKUP(Substitution!$M$18 &amp; $A20, US_national_yearly!$D:$AM, MATCH(Keys!$C$7, US_national_yearly!$D$1:$AM$1, 0), FALSE), 1)</f>
        <v>8.4597358939567606E-5</v>
      </c>
      <c r="N20" s="12">
        <f>$B20 * IFERROR(VLOOKUP(Substitution!$M$18 &amp; $A20, US_national_yearly!$D:$AM, MATCH(N$1, US_national_yearly!$D$1:$AM$1, 0), FALSE) / VLOOKUP(Substitution!$M$18 &amp; $A20, US_national_yearly!$D:$AM, MATCH(Keys!$C$7, US_national_yearly!$D$1:$AM$1, 0), FALSE), 1)</f>
        <v>8.4935894269165418E-5</v>
      </c>
      <c r="O20" s="12">
        <f>$B20 * IFERROR(VLOOKUP(Substitution!$M$18 &amp; $A20, US_national_yearly!$D:$AM, MATCH(O$1, US_national_yearly!$D$1:$AM$1, 0), FALSE) / VLOOKUP(Substitution!$M$18 &amp; $A20, US_national_yearly!$D:$AM, MATCH(Keys!$C$7, US_national_yearly!$D$1:$AM$1, 0), FALSE), 1)</f>
        <v>8.5274429598763258E-5</v>
      </c>
      <c r="P20" s="12">
        <f>$B20 * IFERROR(VLOOKUP(Substitution!$M$18 &amp; $A20, US_national_yearly!$D:$AM, MATCH(P$1, US_national_yearly!$D$1:$AM$1, 0), FALSE) / VLOOKUP(Substitution!$M$18 &amp; $A20, US_national_yearly!$D:$AM, MATCH(Keys!$C$7, US_national_yearly!$D$1:$AM$1, 0), FALSE), 1)</f>
        <v>8.5612964928361056E-5</v>
      </c>
      <c r="Q20" s="12">
        <f>$B20 * IFERROR(VLOOKUP(Substitution!$M$18 &amp; $A20, US_national_yearly!$D:$AM, MATCH(Q$1, US_national_yearly!$D$1:$AM$1, 0), FALSE) / VLOOKUP(Substitution!$M$18 &amp; $A20, US_national_yearly!$D:$AM, MATCH(Keys!$C$7, US_national_yearly!$D$1:$AM$1, 0), FALSE), 1)</f>
        <v>8.5951500257958882E-5</v>
      </c>
      <c r="R20" s="12">
        <f>$B20 * IFERROR(VLOOKUP(Substitution!$M$18 &amp; $A20, US_national_yearly!$D:$AM, MATCH(R$1, US_national_yearly!$D$1:$AM$1, 0), FALSE) / VLOOKUP(Substitution!$M$18 &amp; $A20, US_national_yearly!$D:$AM, MATCH(Keys!$C$7, US_national_yearly!$D$1:$AM$1, 0), FALSE), 1)</f>
        <v>8.6290035587556694E-5</v>
      </c>
      <c r="S20" s="12">
        <f>$B20 * IFERROR(VLOOKUP(Substitution!$M$18 &amp; $A20, US_national_yearly!$D:$AM, MATCH(S$1, US_national_yearly!$D$1:$AM$1, 0), FALSE) / VLOOKUP(Substitution!$M$18 &amp; $A20, US_national_yearly!$D:$AM, MATCH(Keys!$C$7, US_national_yearly!$D$1:$AM$1, 0), FALSE), 1)</f>
        <v>8.6426875447422172E-5</v>
      </c>
      <c r="T20" s="12">
        <f>$B20 * IFERROR(VLOOKUP(Substitution!$M$18 &amp; $A20, US_national_yearly!$D:$AM, MATCH(T$1, US_national_yearly!$D$1:$AM$1, 0), FALSE) / VLOOKUP(Substitution!$M$18 &amp; $A20, US_national_yearly!$D:$AM, MATCH(Keys!$C$7, US_national_yearly!$D$1:$AM$1, 0), FALSE), 1)</f>
        <v>8.6563715307287623E-5</v>
      </c>
      <c r="U20" s="12">
        <f>$B20 * IFERROR(VLOOKUP(Substitution!$M$18 &amp; $A20, US_national_yearly!$D:$AM, MATCH(U$1, US_national_yearly!$D$1:$AM$1, 0), FALSE) / VLOOKUP(Substitution!$M$18 &amp; $A20, US_national_yearly!$D:$AM, MATCH(Keys!$C$7, US_national_yearly!$D$1:$AM$1, 0), FALSE), 1)</f>
        <v>8.6700555167153073E-5</v>
      </c>
      <c r="V20" s="12">
        <f>$B20 * IFERROR(VLOOKUP(Substitution!$M$18 &amp; $A20, US_national_yearly!$D:$AM, MATCH(V$1, US_national_yearly!$D$1:$AM$1, 0), FALSE) / VLOOKUP(Substitution!$M$18 &amp; $A20, US_national_yearly!$D:$AM, MATCH(Keys!$C$7, US_national_yearly!$D$1:$AM$1, 0), FALSE), 1)</f>
        <v>8.6837395027018538E-5</v>
      </c>
      <c r="W20" s="12">
        <f>$B20 * IFERROR(VLOOKUP(Substitution!$M$18 &amp; $A20, US_national_yearly!$D:$AM, MATCH(W$1, US_national_yearly!$D$1:$AM$1, 0), FALSE) / VLOOKUP(Substitution!$M$18 &amp; $A20, US_national_yearly!$D:$AM, MATCH(Keys!$C$7, US_national_yearly!$D$1:$AM$1, 0), FALSE), 1)</f>
        <v>8.6974234886884002E-5</v>
      </c>
      <c r="X20" s="12">
        <f>$B20 * IFERROR(VLOOKUP(Substitution!$M$18 &amp; $A20, US_national_yearly!$D:$AM, MATCH(X$1, US_national_yearly!$D$1:$AM$1, 0), FALSE) / VLOOKUP(Substitution!$M$18 &amp; $A20, US_national_yearly!$D:$AM, MATCH(Keys!$C$7, US_national_yearly!$D$1:$AM$1, 0), FALSE), 1)</f>
        <v>8.7293241251107503E-5</v>
      </c>
      <c r="Y20" s="12">
        <f>$B20 * IFERROR(VLOOKUP(Substitution!$M$18 &amp; $A20, US_national_yearly!$D:$AM, MATCH(Y$1, US_national_yearly!$D$1:$AM$1, 0), FALSE) / VLOOKUP(Substitution!$M$18 &amp; $A20, US_national_yearly!$D:$AM, MATCH(Keys!$C$7, US_national_yearly!$D$1:$AM$1, 0), FALSE), 1)</f>
        <v>8.7612247615331004E-5</v>
      </c>
      <c r="Z20" s="12">
        <f>$B20 * IFERROR(VLOOKUP(Substitution!$M$18 &amp; $A20, US_national_yearly!$D:$AM, MATCH(Z$1, US_national_yearly!$D$1:$AM$1, 0), FALSE) / VLOOKUP(Substitution!$M$18 &amp; $A20, US_national_yearly!$D:$AM, MATCH(Keys!$C$7, US_national_yearly!$D$1:$AM$1, 0), FALSE), 1)</f>
        <v>8.7931253979554505E-5</v>
      </c>
      <c r="AA20" s="12">
        <f>$B20 * IFERROR(VLOOKUP(Substitution!$M$18 &amp; $A20, US_national_yearly!$D:$AM, MATCH(AA$1, US_national_yearly!$D$1:$AM$1, 0), FALSE) / VLOOKUP(Substitution!$M$18 &amp; $A20, US_national_yearly!$D:$AM, MATCH(Keys!$C$7, US_national_yearly!$D$1:$AM$1, 0), FALSE), 1)</f>
        <v>8.8250260343777993E-5</v>
      </c>
      <c r="AB20" s="12">
        <f>$B20 * IFERROR(VLOOKUP(Substitution!$M$18 &amp; $A20, US_national_yearly!$D:$AM, MATCH(AB$1, US_national_yearly!$D$1:$AM$1, 0), FALSE) / VLOOKUP(Substitution!$M$18 &amp; $A20, US_national_yearly!$D:$AM, MATCH(Keys!$C$7, US_national_yearly!$D$1:$AM$1, 0), FALSE), 1)</f>
        <v>8.8569266708001494E-5</v>
      </c>
    </row>
    <row r="21" spans="1:28" x14ac:dyDescent="0.25">
      <c r="A21" s="4" t="s">
        <v>329</v>
      </c>
      <c r="B21" s="12">
        <f>IFERROR(VLOOKUP(Substitution!$M$18 &amp; $A21, US_national_yearly!$D:$AM, MATCH(Keys!$C$7, US_national_yearly!$D$1:$AM$1, 0), FALSE), 0)</f>
        <v>1.6490788064464081E-5</v>
      </c>
      <c r="C21" s="12">
        <f>$B21 * IFERROR(VLOOKUP(Substitution!$M$18 &amp; $A21, US_national_yearly!$D:$AM, MATCH(C$1, US_national_yearly!$D$1:$AM$1, 0), FALSE) / VLOOKUP(Substitution!$M$18 &amp; $A21, US_national_yearly!$D:$AM, MATCH(Keys!$C$7, US_national_yearly!$D$1:$AM$1, 0), FALSE), 1)</f>
        <v>1.672442756886756E-5</v>
      </c>
      <c r="D21" s="12">
        <f>$B21 * IFERROR(VLOOKUP(Substitution!$M$18 &amp; $A21, US_national_yearly!$D:$AM, MATCH(D$1, US_national_yearly!$D$1:$AM$1, 0), FALSE) / VLOOKUP(Substitution!$M$18 &amp; $A21, US_national_yearly!$D:$AM, MATCH(Keys!$C$7, US_national_yearly!$D$1:$AM$1, 0), FALSE), 1)</f>
        <v>1.6958067073271039E-5</v>
      </c>
      <c r="E21" s="12">
        <f>$B21 * IFERROR(VLOOKUP(Substitution!$M$18 &amp; $A21, US_national_yearly!$D:$AM, MATCH(E$1, US_national_yearly!$D$1:$AM$1, 0), FALSE) / VLOOKUP(Substitution!$M$18 &amp; $A21, US_national_yearly!$D:$AM, MATCH(Keys!$C$7, US_national_yearly!$D$1:$AM$1, 0), FALSE), 1)</f>
        <v>1.7191706577674522E-5</v>
      </c>
      <c r="F21" s="12">
        <f>$B21 * IFERROR(VLOOKUP(Substitution!$M$18 &amp; $A21, US_national_yearly!$D:$AM, MATCH(F$1, US_national_yearly!$D$1:$AM$1, 0), FALSE) / VLOOKUP(Substitution!$M$18 &amp; $A21, US_national_yearly!$D:$AM, MATCH(Keys!$C$7, US_national_yearly!$D$1:$AM$1, 0), FALSE), 1)</f>
        <v>1.7425346082078001E-5</v>
      </c>
      <c r="G21" s="12">
        <f>$B21 * IFERROR(VLOOKUP(Substitution!$M$18 &amp; $A21, US_national_yearly!$D:$AM, MATCH(G$1, US_national_yearly!$D$1:$AM$1, 0), FALSE) / VLOOKUP(Substitution!$M$18 &amp; $A21, US_national_yearly!$D:$AM, MATCH(Keys!$C$7, US_national_yearly!$D$1:$AM$1, 0), FALSE), 1)</f>
        <v>1.7641257167810301E-5</v>
      </c>
      <c r="H21" s="12">
        <f>$B21 * IFERROR(VLOOKUP(Substitution!$M$18 &amp; $A21, US_national_yearly!$D:$AM, MATCH(H$1, US_national_yearly!$D$1:$AM$1, 0), FALSE) / VLOOKUP(Substitution!$M$18 &amp; $A21, US_national_yearly!$D:$AM, MATCH(Keys!$C$7, US_national_yearly!$D$1:$AM$1, 0), FALSE), 1)</f>
        <v>1.7857168253542601E-5</v>
      </c>
      <c r="I21" s="12">
        <f>$B21 * IFERROR(VLOOKUP(Substitution!$M$18 &amp; $A21, US_national_yearly!$D:$AM, MATCH(I$1, US_national_yearly!$D$1:$AM$1, 0), FALSE) / VLOOKUP(Substitution!$M$18 &amp; $A21, US_national_yearly!$D:$AM, MATCH(Keys!$C$7, US_national_yearly!$D$1:$AM$1, 0), FALSE), 1)</f>
        <v>1.802352514842044E-5</v>
      </c>
      <c r="J21" s="12">
        <f>$B21 * IFERROR(VLOOKUP(Substitution!$M$18 &amp; $A21, US_national_yearly!$D:$AM, MATCH(J$1, US_national_yearly!$D$1:$AM$1, 0), FALSE) / VLOOKUP(Substitution!$M$18 &amp; $A21, US_national_yearly!$D:$AM, MATCH(Keys!$C$7, US_national_yearly!$D$1:$AM$1, 0), FALSE), 1)</f>
        <v>1.8189882043298279E-5</v>
      </c>
      <c r="K21" s="12">
        <f>$B21 * IFERROR(VLOOKUP(Substitution!$M$18 &amp; $A21, US_national_yearly!$D:$AM, MATCH(K$1, US_national_yearly!$D$1:$AM$1, 0), FALSE) / VLOOKUP(Substitution!$M$18 &amp; $A21, US_national_yearly!$D:$AM, MATCH(Keys!$C$7, US_national_yearly!$D$1:$AM$1, 0), FALSE), 1)</f>
        <v>1.8356238938176121E-5</v>
      </c>
      <c r="L21" s="12">
        <f>$B21 * IFERROR(VLOOKUP(Substitution!$M$18 &amp; $A21, US_national_yearly!$D:$AM, MATCH(L$1, US_national_yearly!$D$1:$AM$1, 0), FALSE) / VLOOKUP(Substitution!$M$18 &amp; $A21, US_national_yearly!$D:$AM, MATCH(Keys!$C$7, US_national_yearly!$D$1:$AM$1, 0), FALSE), 1)</f>
        <v>1.852259583305396E-5</v>
      </c>
      <c r="M21" s="12">
        <f>$B21 * IFERROR(VLOOKUP(Substitution!$M$18 &amp; $A21, US_national_yearly!$D:$AM, MATCH(M$1, US_national_yearly!$D$1:$AM$1, 0), FALSE) / VLOOKUP(Substitution!$M$18 &amp; $A21, US_national_yearly!$D:$AM, MATCH(Keys!$C$7, US_national_yearly!$D$1:$AM$1, 0), FALSE), 1)</f>
        <v>1.8688952727931799E-5</v>
      </c>
      <c r="N21" s="12">
        <f>$B21 * IFERROR(VLOOKUP(Substitution!$M$18 &amp; $A21, US_national_yearly!$D:$AM, MATCH(N$1, US_national_yearly!$D$1:$AM$1, 0), FALSE) / VLOOKUP(Substitution!$M$18 &amp; $A21, US_national_yearly!$D:$AM, MATCH(Keys!$C$7, US_national_yearly!$D$1:$AM$1, 0), FALSE), 1)</f>
        <v>1.8794575234062759E-5</v>
      </c>
      <c r="O21" s="12">
        <f>$B21 * IFERROR(VLOOKUP(Substitution!$M$18 &amp; $A21, US_national_yearly!$D:$AM, MATCH(O$1, US_national_yearly!$D$1:$AM$1, 0), FALSE) / VLOOKUP(Substitution!$M$18 &amp; $A21, US_national_yearly!$D:$AM, MATCH(Keys!$C$7, US_national_yearly!$D$1:$AM$1, 0), FALSE), 1)</f>
        <v>1.8900197740193721E-5</v>
      </c>
      <c r="P21" s="12">
        <f>$B21 * IFERROR(VLOOKUP(Substitution!$M$18 &amp; $A21, US_national_yearly!$D:$AM, MATCH(P$1, US_national_yearly!$D$1:$AM$1, 0), FALSE) / VLOOKUP(Substitution!$M$18 &amp; $A21, US_national_yearly!$D:$AM, MATCH(Keys!$C$7, US_national_yearly!$D$1:$AM$1, 0), FALSE), 1)</f>
        <v>1.9005820246324681E-5</v>
      </c>
      <c r="Q21" s="12">
        <f>$B21 * IFERROR(VLOOKUP(Substitution!$M$18 &amp; $A21, US_national_yearly!$D:$AM, MATCH(Q$1, US_national_yearly!$D$1:$AM$1, 0), FALSE) / VLOOKUP(Substitution!$M$18 &amp; $A21, US_national_yearly!$D:$AM, MATCH(Keys!$C$7, US_national_yearly!$D$1:$AM$1, 0), FALSE), 1)</f>
        <v>1.9111442752455643E-5</v>
      </c>
      <c r="R21" s="12">
        <f>$B21 * IFERROR(VLOOKUP(Substitution!$M$18 &amp; $A21, US_national_yearly!$D:$AM, MATCH(R$1, US_national_yearly!$D$1:$AM$1, 0), FALSE) / VLOOKUP(Substitution!$M$18 &amp; $A21, US_national_yearly!$D:$AM, MATCH(Keys!$C$7, US_national_yearly!$D$1:$AM$1, 0), FALSE), 1)</f>
        <v>1.9217065258586599E-5</v>
      </c>
      <c r="S21" s="12">
        <f>$B21 * IFERROR(VLOOKUP(Substitution!$M$18 &amp; $A21, US_national_yearly!$D:$AM, MATCH(S$1, US_national_yearly!$D$1:$AM$1, 0), FALSE) / VLOOKUP(Substitution!$M$18 &amp; $A21, US_national_yearly!$D:$AM, MATCH(Keys!$C$7, US_national_yearly!$D$1:$AM$1, 0), FALSE), 1)</f>
        <v>1.9296495382693342E-5</v>
      </c>
      <c r="T21" s="12">
        <f>$B21 * IFERROR(VLOOKUP(Substitution!$M$18 &amp; $A21, US_national_yearly!$D:$AM, MATCH(T$1, US_national_yearly!$D$1:$AM$1, 0), FALSE) / VLOOKUP(Substitution!$M$18 &amp; $A21, US_national_yearly!$D:$AM, MATCH(Keys!$C$7, US_national_yearly!$D$1:$AM$1, 0), FALSE), 1)</f>
        <v>1.937592550680008E-5</v>
      </c>
      <c r="U21" s="12">
        <f>$B21 * IFERROR(VLOOKUP(Substitution!$M$18 &amp; $A21, US_national_yearly!$D:$AM, MATCH(U$1, US_national_yearly!$D$1:$AM$1, 0), FALSE) / VLOOKUP(Substitution!$M$18 &amp; $A21, US_national_yearly!$D:$AM, MATCH(Keys!$C$7, US_national_yearly!$D$1:$AM$1, 0), FALSE), 1)</f>
        <v>1.9455355630906819E-5</v>
      </c>
      <c r="V21" s="12">
        <f>$B21 * IFERROR(VLOOKUP(Substitution!$M$18 &amp; $A21, US_national_yearly!$D:$AM, MATCH(V$1, US_national_yearly!$D$1:$AM$1, 0), FALSE) / VLOOKUP(Substitution!$M$18 &amp; $A21, US_national_yearly!$D:$AM, MATCH(Keys!$C$7, US_national_yearly!$D$1:$AM$1, 0), FALSE), 1)</f>
        <v>1.9534785755013562E-5</v>
      </c>
      <c r="W21" s="12">
        <f>$B21 * IFERROR(VLOOKUP(Substitution!$M$18 &amp; $A21, US_national_yearly!$D:$AM, MATCH(W$1, US_national_yearly!$D$1:$AM$1, 0), FALSE) / VLOOKUP(Substitution!$M$18 &amp; $A21, US_national_yearly!$D:$AM, MATCH(Keys!$C$7, US_national_yearly!$D$1:$AM$1, 0), FALSE), 1)</f>
        <v>1.9614215879120301E-5</v>
      </c>
      <c r="X21" s="12">
        <f>$B21 * IFERROR(VLOOKUP(Substitution!$M$18 &amp; $A21, US_national_yearly!$D:$AM, MATCH(X$1, US_national_yearly!$D$1:$AM$1, 0), FALSE) / VLOOKUP(Substitution!$M$18 &amp; $A21, US_national_yearly!$D:$AM, MATCH(Keys!$C$7, US_national_yearly!$D$1:$AM$1, 0), FALSE), 1)</f>
        <v>1.970267106683272E-5</v>
      </c>
      <c r="Y21" s="12">
        <f>$B21 * IFERROR(VLOOKUP(Substitution!$M$18 &amp; $A21, US_national_yearly!$D:$AM, MATCH(Y$1, US_national_yearly!$D$1:$AM$1, 0), FALSE) / VLOOKUP(Substitution!$M$18 &amp; $A21, US_national_yearly!$D:$AM, MATCH(Keys!$C$7, US_national_yearly!$D$1:$AM$1, 0), FALSE), 1)</f>
        <v>1.9791126254545139E-5</v>
      </c>
      <c r="Z21" s="12">
        <f>$B21 * IFERROR(VLOOKUP(Substitution!$M$18 &amp; $A21, US_national_yearly!$D:$AM, MATCH(Z$1, US_national_yearly!$D$1:$AM$1, 0), FALSE) / VLOOKUP(Substitution!$M$18 &amp; $A21, US_national_yearly!$D:$AM, MATCH(Keys!$C$7, US_national_yearly!$D$1:$AM$1, 0), FALSE), 1)</f>
        <v>1.9879581442257559E-5</v>
      </c>
      <c r="AA21" s="12">
        <f>$B21 * IFERROR(VLOOKUP(Substitution!$M$18 &amp; $A21, US_national_yearly!$D:$AM, MATCH(AA$1, US_national_yearly!$D$1:$AM$1, 0), FALSE) / VLOOKUP(Substitution!$M$18 &amp; $A21, US_national_yearly!$D:$AM, MATCH(Keys!$C$7, US_national_yearly!$D$1:$AM$1, 0), FALSE), 1)</f>
        <v>1.9968036629969978E-5</v>
      </c>
      <c r="AB21" s="12">
        <f>$B21 * IFERROR(VLOOKUP(Substitution!$M$18 &amp; $A21, US_national_yearly!$D:$AM, MATCH(AB$1, US_national_yearly!$D$1:$AM$1, 0), FALSE) / VLOOKUP(Substitution!$M$18 &amp; $A21, US_national_yearly!$D:$AM, MATCH(Keys!$C$7, US_national_yearly!$D$1:$AM$1, 0), FALSE), 1)</f>
        <v>2.0056491817682401E-5</v>
      </c>
    </row>
    <row r="22" spans="1:28" x14ac:dyDescent="0.25">
      <c r="A22" s="4" t="s">
        <v>331</v>
      </c>
      <c r="B22" s="12">
        <f>IFERROR(VLOOKUP(Substitution!$M$18 &amp; $A22, US_national_yearly!$D:$AM, MATCH(Keys!$C$7, US_national_yearly!$D$1:$AM$1, 0), FALSE), 0)</f>
        <v>3.5249232542265821E-4</v>
      </c>
      <c r="C22" s="12">
        <f>$B22 * IFERROR(VLOOKUP(Substitution!$M$18 &amp; $A22, US_national_yearly!$D:$AM, MATCH(C$1, US_national_yearly!$D$1:$AM$1, 0), FALSE) / VLOOKUP(Substitution!$M$18 &amp; $A22, US_national_yearly!$D:$AM, MATCH(Keys!$C$7, US_national_yearly!$D$1:$AM$1, 0), FALSE), 1)</f>
        <v>3.5871666828731034E-4</v>
      </c>
      <c r="D22" s="12">
        <f>$B22 * IFERROR(VLOOKUP(Substitution!$M$18 &amp; $A22, US_national_yearly!$D:$AM, MATCH(D$1, US_national_yearly!$D$1:$AM$1, 0), FALSE) / VLOOKUP(Substitution!$M$18 &amp; $A22, US_national_yearly!$D:$AM, MATCH(Keys!$C$7, US_national_yearly!$D$1:$AM$1, 0), FALSE), 1)</f>
        <v>3.6494101115196257E-4</v>
      </c>
      <c r="E22" s="12">
        <f>$B22 * IFERROR(VLOOKUP(Substitution!$M$18 &amp; $A22, US_national_yearly!$D:$AM, MATCH(E$1, US_national_yearly!$D$1:$AM$1, 0), FALSE) / VLOOKUP(Substitution!$M$18 &amp; $A22, US_national_yearly!$D:$AM, MATCH(Keys!$C$7, US_national_yearly!$D$1:$AM$1, 0), FALSE), 1)</f>
        <v>3.7116535401661481E-4</v>
      </c>
      <c r="F22" s="12">
        <f>$B22 * IFERROR(VLOOKUP(Substitution!$M$18 &amp; $A22, US_national_yearly!$D:$AM, MATCH(F$1, US_national_yearly!$D$1:$AM$1, 0), FALSE) / VLOOKUP(Substitution!$M$18 &amp; $A22, US_national_yearly!$D:$AM, MATCH(Keys!$C$7, US_national_yearly!$D$1:$AM$1, 0), FALSE), 1)</f>
        <v>3.7738969688126705E-4</v>
      </c>
      <c r="G22" s="12">
        <f>$B22 * IFERROR(VLOOKUP(Substitution!$M$18 &amp; $A22, US_national_yearly!$D:$AM, MATCH(G$1, US_national_yearly!$D$1:$AM$1, 0), FALSE) / VLOOKUP(Substitution!$M$18 &amp; $A22, US_national_yearly!$D:$AM, MATCH(Keys!$C$7, US_national_yearly!$D$1:$AM$1, 0), FALSE), 1)</f>
        <v>3.8344923071142751E-4</v>
      </c>
      <c r="H22" s="12">
        <f>$B22 * IFERROR(VLOOKUP(Substitution!$M$18 &amp; $A22, US_national_yearly!$D:$AM, MATCH(H$1, US_national_yearly!$D$1:$AM$1, 0), FALSE) / VLOOKUP(Substitution!$M$18 &amp; $A22, US_national_yearly!$D:$AM, MATCH(Keys!$C$7, US_national_yearly!$D$1:$AM$1, 0), FALSE), 1)</f>
        <v>3.8950876454158802E-4</v>
      </c>
      <c r="I22" s="12">
        <f>$B22 * IFERROR(VLOOKUP(Substitution!$M$18 &amp; $A22, US_national_yearly!$D:$AM, MATCH(I$1, US_national_yearly!$D$1:$AM$1, 0), FALSE) / VLOOKUP(Substitution!$M$18 &amp; $A22, US_national_yearly!$D:$AM, MATCH(Keys!$C$7, US_national_yearly!$D$1:$AM$1, 0), FALSE), 1)</f>
        <v>3.952921729781104E-4</v>
      </c>
      <c r="J22" s="12">
        <f>$B22 * IFERROR(VLOOKUP(Substitution!$M$18 &amp; $A22, US_national_yearly!$D:$AM, MATCH(J$1, US_national_yearly!$D$1:$AM$1, 0), FALSE) / VLOOKUP(Substitution!$M$18 &amp; $A22, US_national_yearly!$D:$AM, MATCH(Keys!$C$7, US_national_yearly!$D$1:$AM$1, 0), FALSE), 1)</f>
        <v>4.0107558141463283E-4</v>
      </c>
      <c r="K22" s="12">
        <f>$B22 * IFERROR(VLOOKUP(Substitution!$M$18 &amp; $A22, US_national_yearly!$D:$AM, MATCH(K$1, US_national_yearly!$D$1:$AM$1, 0), FALSE) / VLOOKUP(Substitution!$M$18 &amp; $A22, US_national_yearly!$D:$AM, MATCH(Keys!$C$7, US_national_yearly!$D$1:$AM$1, 0), FALSE), 1)</f>
        <v>4.0685898985115521E-4</v>
      </c>
      <c r="L22" s="12">
        <f>$B22 * IFERROR(VLOOKUP(Substitution!$M$18 &amp; $A22, US_national_yearly!$D:$AM, MATCH(L$1, US_national_yearly!$D$1:$AM$1, 0), FALSE) / VLOOKUP(Substitution!$M$18 &amp; $A22, US_national_yearly!$D:$AM, MATCH(Keys!$C$7, US_national_yearly!$D$1:$AM$1, 0), FALSE), 1)</f>
        <v>4.1264239828767759E-4</v>
      </c>
      <c r="M22" s="12">
        <f>$B22 * IFERROR(VLOOKUP(Substitution!$M$18 &amp; $A22, US_national_yearly!$D:$AM, MATCH(M$1, US_national_yearly!$D$1:$AM$1, 0), FALSE) / VLOOKUP(Substitution!$M$18 &amp; $A22, US_national_yearly!$D:$AM, MATCH(Keys!$C$7, US_national_yearly!$D$1:$AM$1, 0), FALSE), 1)</f>
        <v>4.1842580672420002E-4</v>
      </c>
      <c r="N22" s="12">
        <f>$B22 * IFERROR(VLOOKUP(Substitution!$M$18 &amp; $A22, US_national_yearly!$D:$AM, MATCH(N$1, US_national_yearly!$D$1:$AM$1, 0), FALSE) / VLOOKUP(Substitution!$M$18 &amp; $A22, US_national_yearly!$D:$AM, MATCH(Keys!$C$7, US_national_yearly!$D$1:$AM$1, 0), FALSE), 1)</f>
        <v>4.2287782839169953E-4</v>
      </c>
      <c r="O22" s="12">
        <f>$B22 * IFERROR(VLOOKUP(Substitution!$M$18 &amp; $A22, US_national_yearly!$D:$AM, MATCH(O$1, US_national_yearly!$D$1:$AM$1, 0), FALSE) / VLOOKUP(Substitution!$M$18 &amp; $A22, US_national_yearly!$D:$AM, MATCH(Keys!$C$7, US_national_yearly!$D$1:$AM$1, 0), FALSE), 1)</f>
        <v>4.2732985005919914E-4</v>
      </c>
      <c r="P22" s="12">
        <f>$B22 * IFERROR(VLOOKUP(Substitution!$M$18 &amp; $A22, US_national_yearly!$D:$AM, MATCH(P$1, US_national_yearly!$D$1:$AM$1, 0), FALSE) / VLOOKUP(Substitution!$M$18 &amp; $A22, US_national_yearly!$D:$AM, MATCH(Keys!$C$7, US_national_yearly!$D$1:$AM$1, 0), FALSE), 1)</f>
        <v>4.3178187172669886E-4</v>
      </c>
      <c r="Q22" s="12">
        <f>$B22 * IFERROR(VLOOKUP(Substitution!$M$18 &amp; $A22, US_national_yearly!$D:$AM, MATCH(Q$1, US_national_yearly!$D$1:$AM$1, 0), FALSE) / VLOOKUP(Substitution!$M$18 &amp; $A22, US_national_yearly!$D:$AM, MATCH(Keys!$C$7, US_national_yearly!$D$1:$AM$1, 0), FALSE), 1)</f>
        <v>4.3623389339419847E-4</v>
      </c>
      <c r="R22" s="12">
        <f>$B22 * IFERROR(VLOOKUP(Substitution!$M$18 &amp; $A22, US_national_yearly!$D:$AM, MATCH(R$1, US_national_yearly!$D$1:$AM$1, 0), FALSE) / VLOOKUP(Substitution!$M$18 &amp; $A22, US_national_yearly!$D:$AM, MATCH(Keys!$C$7, US_national_yearly!$D$1:$AM$1, 0), FALSE), 1)</f>
        <v>4.4068591506169798E-4</v>
      </c>
      <c r="S22" s="12">
        <f>$B22 * IFERROR(VLOOKUP(Substitution!$M$18 &amp; $A22, US_national_yearly!$D:$AM, MATCH(S$1, US_national_yearly!$D$1:$AM$1, 0), FALSE) / VLOOKUP(Substitution!$M$18 &amp; $A22, US_national_yearly!$D:$AM, MATCH(Keys!$C$7, US_national_yearly!$D$1:$AM$1, 0), FALSE), 1)</f>
        <v>4.4353278346386562E-4</v>
      </c>
      <c r="T22" s="12">
        <f>$B22 * IFERROR(VLOOKUP(Substitution!$M$18 &amp; $A22, US_national_yearly!$D:$AM, MATCH(T$1, US_national_yearly!$D$1:$AM$1, 0), FALSE) / VLOOKUP(Substitution!$M$18 &amp; $A22, US_national_yearly!$D:$AM, MATCH(Keys!$C$7, US_national_yearly!$D$1:$AM$1, 0), FALSE), 1)</f>
        <v>4.4637965186603321E-4</v>
      </c>
      <c r="U22" s="12">
        <f>$B22 * IFERROR(VLOOKUP(Substitution!$M$18 &amp; $A22, US_national_yearly!$D:$AM, MATCH(U$1, US_national_yearly!$D$1:$AM$1, 0), FALSE) / VLOOKUP(Substitution!$M$18 &amp; $A22, US_national_yearly!$D:$AM, MATCH(Keys!$C$7, US_national_yearly!$D$1:$AM$1, 0), FALSE), 1)</f>
        <v>4.4922652026820086E-4</v>
      </c>
      <c r="V22" s="12">
        <f>$B22 * IFERROR(VLOOKUP(Substitution!$M$18 &amp; $A22, US_national_yearly!$D:$AM, MATCH(V$1, US_national_yearly!$D$1:$AM$1, 0), FALSE) / VLOOKUP(Substitution!$M$18 &amp; $A22, US_national_yearly!$D:$AM, MATCH(Keys!$C$7, US_national_yearly!$D$1:$AM$1, 0), FALSE), 1)</f>
        <v>4.520733886703684E-4</v>
      </c>
      <c r="W22" s="12">
        <f>$B22 * IFERROR(VLOOKUP(Substitution!$M$18 &amp; $A22, US_national_yearly!$D:$AM, MATCH(W$1, US_national_yearly!$D$1:$AM$1, 0), FALSE) / VLOOKUP(Substitution!$M$18 &amp; $A22, US_national_yearly!$D:$AM, MATCH(Keys!$C$7, US_national_yearly!$D$1:$AM$1, 0), FALSE), 1)</f>
        <v>4.5492025707253599E-4</v>
      </c>
      <c r="X22" s="12">
        <f>$B22 * IFERROR(VLOOKUP(Substitution!$M$18 &amp; $A22, US_national_yearly!$D:$AM, MATCH(X$1, US_national_yearly!$D$1:$AM$1, 0), FALSE) / VLOOKUP(Substitution!$M$18 &amp; $A22, US_national_yearly!$D:$AM, MATCH(Keys!$C$7, US_national_yearly!$D$1:$AM$1, 0), FALSE), 1)</f>
        <v>4.5687704691316878E-4</v>
      </c>
      <c r="Y22" s="12">
        <f>$B22 * IFERROR(VLOOKUP(Substitution!$M$18 &amp; $A22, US_national_yearly!$D:$AM, MATCH(Y$1, US_national_yearly!$D$1:$AM$1, 0), FALSE) / VLOOKUP(Substitution!$M$18 &amp; $A22, US_national_yearly!$D:$AM, MATCH(Keys!$C$7, US_national_yearly!$D$1:$AM$1, 0), FALSE), 1)</f>
        <v>4.5883383675380163E-4</v>
      </c>
      <c r="Z22" s="12">
        <f>$B22 * IFERROR(VLOOKUP(Substitution!$M$18 &amp; $A22, US_national_yearly!$D:$AM, MATCH(Z$1, US_national_yearly!$D$1:$AM$1, 0), FALSE) / VLOOKUP(Substitution!$M$18 &amp; $A22, US_national_yearly!$D:$AM, MATCH(Keys!$C$7, US_national_yearly!$D$1:$AM$1, 0), FALSE), 1)</f>
        <v>4.6079062659443436E-4</v>
      </c>
      <c r="AA22" s="12">
        <f>$B22 * IFERROR(VLOOKUP(Substitution!$M$18 &amp; $A22, US_national_yearly!$D:$AM, MATCH(AA$1, US_national_yearly!$D$1:$AM$1, 0), FALSE) / VLOOKUP(Substitution!$M$18 &amp; $A22, US_national_yearly!$D:$AM, MATCH(Keys!$C$7, US_national_yearly!$D$1:$AM$1, 0), FALSE), 1)</f>
        <v>4.6274741643506721E-4</v>
      </c>
      <c r="AB22" s="12">
        <f>$B22 * IFERROR(VLOOKUP(Substitution!$M$18 &amp; $A22, US_national_yearly!$D:$AM, MATCH(AB$1, US_national_yearly!$D$1:$AM$1, 0), FALSE) / VLOOKUP(Substitution!$M$18 &amp; $A22, US_national_yearly!$D:$AM, MATCH(Keys!$C$7, US_national_yearly!$D$1:$AM$1, 0), FALSE), 1)</f>
        <v>4.647042062757E-4</v>
      </c>
    </row>
    <row r="23" spans="1:28" x14ac:dyDescent="0.25">
      <c r="A23" s="4" t="s">
        <v>333</v>
      </c>
      <c r="B23" s="12">
        <f>IFERROR(VLOOKUP(Substitution!$M$18 &amp; $A23, US_national_yearly!$D:$AM, MATCH(Keys!$C$7, US_national_yearly!$D$1:$AM$1, 0), FALSE), 0)</f>
        <v>1.9744073031331659</v>
      </c>
      <c r="C23" s="12">
        <f>$B23 * IFERROR(VLOOKUP(Substitution!$M$18 &amp; $A23, US_national_yearly!$D:$AM, MATCH(C$1, US_national_yearly!$D$1:$AM$1, 0), FALSE) / VLOOKUP(Substitution!$M$18 &amp; $A23, US_national_yearly!$D:$AM, MATCH(Keys!$C$7, US_national_yearly!$D$1:$AM$1, 0), FALSE), 1)</f>
        <v>1.9951417554548521</v>
      </c>
      <c r="D23" s="12">
        <f>$B23 * IFERROR(VLOOKUP(Substitution!$M$18 &amp; $A23, US_national_yearly!$D:$AM, MATCH(D$1, US_national_yearly!$D$1:$AM$1, 0), FALSE) / VLOOKUP(Substitution!$M$18 &amp; $A23, US_national_yearly!$D:$AM, MATCH(Keys!$C$7, US_national_yearly!$D$1:$AM$1, 0), FALSE), 1)</f>
        <v>2.0158762077765382</v>
      </c>
      <c r="E23" s="12">
        <f>$B23 * IFERROR(VLOOKUP(Substitution!$M$18 &amp; $A23, US_national_yearly!$D:$AM, MATCH(E$1, US_national_yearly!$D$1:$AM$1, 0), FALSE) / VLOOKUP(Substitution!$M$18 &amp; $A23, US_national_yearly!$D:$AM, MATCH(Keys!$C$7, US_national_yearly!$D$1:$AM$1, 0), FALSE), 1)</f>
        <v>2.0366106600982241</v>
      </c>
      <c r="F23" s="12">
        <f>$B23 * IFERROR(VLOOKUP(Substitution!$M$18 &amp; $A23, US_national_yearly!$D:$AM, MATCH(F$1, US_national_yearly!$D$1:$AM$1, 0), FALSE) / VLOOKUP(Substitution!$M$18 &amp; $A23, US_national_yearly!$D:$AM, MATCH(Keys!$C$7, US_national_yearly!$D$1:$AM$1, 0), FALSE), 1)</f>
        <v>2.05734511241991</v>
      </c>
      <c r="G23" s="12">
        <f>$B23 * IFERROR(VLOOKUP(Substitution!$M$18 &amp; $A23, US_national_yearly!$D:$AM, MATCH(G$1, US_national_yearly!$D$1:$AM$1, 0), FALSE) / VLOOKUP(Substitution!$M$18 &amp; $A23, US_national_yearly!$D:$AM, MATCH(Keys!$C$7, US_national_yearly!$D$1:$AM$1, 0), FALSE), 1)</f>
        <v>2.080508708091295</v>
      </c>
      <c r="H23" s="12">
        <f>$B23 * IFERROR(VLOOKUP(Substitution!$M$18 &amp; $A23, US_national_yearly!$D:$AM, MATCH(H$1, US_national_yearly!$D$1:$AM$1, 0), FALSE) / VLOOKUP(Substitution!$M$18 &amp; $A23, US_national_yearly!$D:$AM, MATCH(Keys!$C$7, US_national_yearly!$D$1:$AM$1, 0), FALSE), 1)</f>
        <v>2.1036723037626799</v>
      </c>
      <c r="I23" s="12">
        <f>$B23 * IFERROR(VLOOKUP(Substitution!$M$18 &amp; $A23, US_national_yearly!$D:$AM, MATCH(I$1, US_national_yearly!$D$1:$AM$1, 0), FALSE) / VLOOKUP(Substitution!$M$18 &amp; $A23, US_national_yearly!$D:$AM, MATCH(Keys!$C$7, US_national_yearly!$D$1:$AM$1, 0), FALSE), 1)</f>
        <v>2.1210036242749539</v>
      </c>
      <c r="J23" s="12">
        <f>$B23 * IFERROR(VLOOKUP(Substitution!$M$18 &amp; $A23, US_national_yearly!$D:$AM, MATCH(J$1, US_national_yearly!$D$1:$AM$1, 0), FALSE) / VLOOKUP(Substitution!$M$18 &amp; $A23, US_national_yearly!$D:$AM, MATCH(Keys!$C$7, US_national_yearly!$D$1:$AM$1, 0), FALSE), 1)</f>
        <v>2.138334944787228</v>
      </c>
      <c r="K23" s="12">
        <f>$B23 * IFERROR(VLOOKUP(Substitution!$M$18 &amp; $A23, US_national_yearly!$D:$AM, MATCH(K$1, US_national_yearly!$D$1:$AM$1, 0), FALSE) / VLOOKUP(Substitution!$M$18 &amp; $A23, US_national_yearly!$D:$AM, MATCH(Keys!$C$7, US_national_yearly!$D$1:$AM$1, 0), FALSE), 1)</f>
        <v>2.155666265299502</v>
      </c>
      <c r="L23" s="12">
        <f>$B23 * IFERROR(VLOOKUP(Substitution!$M$18 &amp; $A23, US_national_yearly!$D:$AM, MATCH(L$1, US_national_yearly!$D$1:$AM$1, 0), FALSE) / VLOOKUP(Substitution!$M$18 &amp; $A23, US_national_yearly!$D:$AM, MATCH(Keys!$C$7, US_national_yearly!$D$1:$AM$1, 0), FALSE), 1)</f>
        <v>2.172997585811776</v>
      </c>
      <c r="M23" s="12">
        <f>$B23 * IFERROR(VLOOKUP(Substitution!$M$18 &amp; $A23, US_national_yearly!$D:$AM, MATCH(M$1, US_national_yearly!$D$1:$AM$1, 0), FALSE) / VLOOKUP(Substitution!$M$18 &amp; $A23, US_national_yearly!$D:$AM, MATCH(Keys!$C$7, US_national_yearly!$D$1:$AM$1, 0), FALSE), 1)</f>
        <v>2.1903289063240501</v>
      </c>
      <c r="N23" s="12">
        <f>$B23 * IFERROR(VLOOKUP(Substitution!$M$18 &amp; $A23, US_national_yearly!$D:$AM, MATCH(N$1, US_national_yearly!$D$1:$AM$1, 0), FALSE) / VLOOKUP(Substitution!$M$18 &amp; $A23, US_national_yearly!$D:$AM, MATCH(Keys!$C$7, US_national_yearly!$D$1:$AM$1, 0), FALSE), 1)</f>
        <v>2.1985971700830098</v>
      </c>
      <c r="O23" s="12">
        <f>$B23 * IFERROR(VLOOKUP(Substitution!$M$18 &amp; $A23, US_national_yearly!$D:$AM, MATCH(O$1, US_national_yearly!$D$1:$AM$1, 0), FALSE) / VLOOKUP(Substitution!$M$18 &amp; $A23, US_national_yearly!$D:$AM, MATCH(Keys!$C$7, US_national_yearly!$D$1:$AM$1, 0), FALSE), 1)</f>
        <v>2.20686543384197</v>
      </c>
      <c r="P23" s="12">
        <f>$B23 * IFERROR(VLOOKUP(Substitution!$M$18 &amp; $A23, US_national_yearly!$D:$AM, MATCH(P$1, US_national_yearly!$D$1:$AM$1, 0), FALSE) / VLOOKUP(Substitution!$M$18 &amp; $A23, US_national_yearly!$D:$AM, MATCH(Keys!$C$7, US_national_yearly!$D$1:$AM$1, 0), FALSE), 1)</f>
        <v>2.2151336976009302</v>
      </c>
      <c r="Q23" s="12">
        <f>$B23 * IFERROR(VLOOKUP(Substitution!$M$18 &amp; $A23, US_national_yearly!$D:$AM, MATCH(Q$1, US_national_yearly!$D$1:$AM$1, 0), FALSE) / VLOOKUP(Substitution!$M$18 &amp; $A23, US_national_yearly!$D:$AM, MATCH(Keys!$C$7, US_national_yearly!$D$1:$AM$1, 0), FALSE), 1)</f>
        <v>2.2234019613598899</v>
      </c>
      <c r="R23" s="12">
        <f>$B23 * IFERROR(VLOOKUP(Substitution!$M$18 &amp; $A23, US_national_yearly!$D:$AM, MATCH(R$1, US_national_yearly!$D$1:$AM$1, 0), FALSE) / VLOOKUP(Substitution!$M$18 &amp; $A23, US_national_yearly!$D:$AM, MATCH(Keys!$C$7, US_national_yearly!$D$1:$AM$1, 0), FALSE), 1)</f>
        <v>2.23167022511885</v>
      </c>
      <c r="S23" s="12">
        <f>$B23 * IFERROR(VLOOKUP(Substitution!$M$18 &amp; $A23, US_national_yearly!$D:$AM, MATCH(S$1, US_national_yearly!$D$1:$AM$1, 0), FALSE) / VLOOKUP(Substitution!$M$18 &amp; $A23, US_national_yearly!$D:$AM, MATCH(Keys!$C$7, US_national_yearly!$D$1:$AM$1, 0), FALSE), 1)</f>
        <v>2.2416742732150041</v>
      </c>
      <c r="T23" s="12">
        <f>$B23 * IFERROR(VLOOKUP(Substitution!$M$18 &amp; $A23, US_national_yearly!$D:$AM, MATCH(T$1, US_national_yearly!$D$1:$AM$1, 0), FALSE) / VLOOKUP(Substitution!$M$18 &amp; $A23, US_national_yearly!$D:$AM, MATCH(Keys!$C$7, US_national_yearly!$D$1:$AM$1, 0), FALSE), 1)</f>
        <v>2.2516783213111582</v>
      </c>
      <c r="U23" s="12">
        <f>$B23 * IFERROR(VLOOKUP(Substitution!$M$18 &amp; $A23, US_national_yearly!$D:$AM, MATCH(U$1, US_national_yearly!$D$1:$AM$1, 0), FALSE) / VLOOKUP(Substitution!$M$18 &amp; $A23, US_national_yearly!$D:$AM, MATCH(Keys!$C$7, US_national_yearly!$D$1:$AM$1, 0), FALSE), 1)</f>
        <v>2.2616823694073118</v>
      </c>
      <c r="V23" s="12">
        <f>$B23 * IFERROR(VLOOKUP(Substitution!$M$18 &amp; $A23, US_national_yearly!$D:$AM, MATCH(V$1, US_national_yearly!$D$1:$AM$1, 0), FALSE) / VLOOKUP(Substitution!$M$18 &amp; $A23, US_national_yearly!$D:$AM, MATCH(Keys!$C$7, US_national_yearly!$D$1:$AM$1, 0), FALSE), 1)</f>
        <v>2.2716864175034659</v>
      </c>
      <c r="W23" s="12">
        <f>$B23 * IFERROR(VLOOKUP(Substitution!$M$18 &amp; $A23, US_national_yearly!$D:$AM, MATCH(W$1, US_national_yearly!$D$1:$AM$1, 0), FALSE) / VLOOKUP(Substitution!$M$18 &amp; $A23, US_national_yearly!$D:$AM, MATCH(Keys!$C$7, US_national_yearly!$D$1:$AM$1, 0), FALSE), 1)</f>
        <v>2.28169046559962</v>
      </c>
      <c r="X23" s="12">
        <f>$B23 * IFERROR(VLOOKUP(Substitution!$M$18 &amp; $A23, US_national_yearly!$D:$AM, MATCH(X$1, US_national_yearly!$D$1:$AM$1, 0), FALSE) / VLOOKUP(Substitution!$M$18 &amp; $A23, US_national_yearly!$D:$AM, MATCH(Keys!$C$7, US_national_yearly!$D$1:$AM$1, 0), FALSE), 1)</f>
        <v>2.2922778018669101</v>
      </c>
      <c r="Y23" s="12">
        <f>$B23 * IFERROR(VLOOKUP(Substitution!$M$18 &amp; $A23, US_national_yearly!$D:$AM, MATCH(Y$1, US_national_yearly!$D$1:$AM$1, 0), FALSE) / VLOOKUP(Substitution!$M$18 &amp; $A23, US_national_yearly!$D:$AM, MATCH(Keys!$C$7, US_national_yearly!$D$1:$AM$1, 0), FALSE), 1)</f>
        <v>2.3028651381341998</v>
      </c>
      <c r="Z23" s="12">
        <f>$B23 * IFERROR(VLOOKUP(Substitution!$M$18 &amp; $A23, US_national_yearly!$D:$AM, MATCH(Z$1, US_national_yearly!$D$1:$AM$1, 0), FALSE) / VLOOKUP(Substitution!$M$18 &amp; $A23, US_national_yearly!$D:$AM, MATCH(Keys!$C$7, US_national_yearly!$D$1:$AM$1, 0), FALSE), 1)</f>
        <v>2.3134524744014899</v>
      </c>
      <c r="AA23" s="12">
        <f>$B23 * IFERROR(VLOOKUP(Substitution!$M$18 &amp; $A23, US_national_yearly!$D:$AM, MATCH(AA$1, US_national_yearly!$D$1:$AM$1, 0), FALSE) / VLOOKUP(Substitution!$M$18 &amp; $A23, US_national_yearly!$D:$AM, MATCH(Keys!$C$7, US_national_yearly!$D$1:$AM$1, 0), FALSE), 1)</f>
        <v>2.3240398106687801</v>
      </c>
      <c r="AB23" s="12">
        <f>$B23 * IFERROR(VLOOKUP(Substitution!$M$18 &amp; $A23, US_national_yearly!$D:$AM, MATCH(AB$1, US_national_yearly!$D$1:$AM$1, 0), FALSE) / VLOOKUP(Substitution!$M$18 &amp; $A23, US_national_yearly!$D:$AM, MATCH(Keys!$C$7, US_national_yearly!$D$1:$AM$1, 0), FALSE), 1)</f>
        <v>2.3346271469360702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Substitution!$G$19)/IFERROR(SUMIFS(COBRA_aggregated!$W:$W, COBRA_aggregated!$A:$A, About!$B$1, COBRA_aggregated!$B:$B, Substitution!$G$19), 1)</f>
        <v>4.3620409516338714E-4</v>
      </c>
      <c r="C2" s="12">
        <f>$B2 * IFERROR(VLOOKUP(Substitution!$M$19 &amp; $A2, US_national_yearly!$D:$AM, MATCH(C$1, US_national_yearly!$D$1:$AM$1, 0), FALSE) / VLOOKUP(Substitution!$M$19 &amp; $A2, US_national_yearly!$D:$AM, MATCH(Keys!$C$7, US_national_yearly!$D$1:$AM$1, 0), FALSE), 1)</f>
        <v>4.4172838401411094E-4</v>
      </c>
      <c r="D2" s="12">
        <f>$B2 * IFERROR(VLOOKUP(Substitution!$M$19 &amp; $A2, US_national_yearly!$D:$AM, MATCH(D$1, US_national_yearly!$D$1:$AM$1, 0), FALSE) / VLOOKUP(Substitution!$M$19 &amp; $A2, US_national_yearly!$D:$AM, MATCH(Keys!$C$7, US_national_yearly!$D$1:$AM$1, 0), FALSE), 1)</f>
        <v>4.4725267286483485E-4</v>
      </c>
      <c r="E2" s="12">
        <f>$B2 * IFERROR(VLOOKUP(Substitution!$M$19 &amp; $A2, US_national_yearly!$D:$AM, MATCH(E$1, US_national_yearly!$D$1:$AM$1, 0), FALSE) / VLOOKUP(Substitution!$M$19 &amp; $A2, US_national_yearly!$D:$AM, MATCH(Keys!$C$7, US_national_yearly!$D$1:$AM$1, 0), FALSE), 1)</f>
        <v>4.5277696171555865E-4</v>
      </c>
      <c r="F2" s="12">
        <f>$B2 * IFERROR(VLOOKUP(Substitution!$M$19 &amp; $A2, US_national_yearly!$D:$AM, MATCH(F$1, US_national_yearly!$D$1:$AM$1, 0), FALSE) / VLOOKUP(Substitution!$M$19 &amp; $A2, US_national_yearly!$D:$AM, MATCH(Keys!$C$7, US_national_yearly!$D$1:$AM$1, 0), FALSE), 1)</f>
        <v>4.5830125056628245E-4</v>
      </c>
      <c r="G2" s="12">
        <f>$B2 * IFERROR(VLOOKUP(Substitution!$M$19 &amp; $A2, US_national_yearly!$D:$AM, MATCH(G$1, US_national_yearly!$D$1:$AM$1, 0), FALSE) / VLOOKUP(Substitution!$M$19 &amp; $A2, US_national_yearly!$D:$AM, MATCH(Keys!$C$7, US_national_yearly!$D$1:$AM$1, 0), FALSE), 1)</f>
        <v>4.6894624209889988E-4</v>
      </c>
      <c r="H2" s="12">
        <f>$B2 * IFERROR(VLOOKUP(Substitution!$M$19 &amp; $A2, US_national_yearly!$D:$AM, MATCH(H$1, US_national_yearly!$D$1:$AM$1, 0), FALSE) / VLOOKUP(Substitution!$M$19 &amp; $A2, US_national_yearly!$D:$AM, MATCH(Keys!$C$7, US_national_yearly!$D$1:$AM$1, 0), FALSE), 1)</f>
        <v>4.795912336315172E-4</v>
      </c>
      <c r="I2" s="12">
        <f>$B2 * IFERROR(VLOOKUP(Substitution!$M$19 &amp; $A2, US_national_yearly!$D:$AM, MATCH(I$1, US_national_yearly!$D$1:$AM$1, 0), FALSE) / VLOOKUP(Substitution!$M$19 &amp; $A2, US_national_yearly!$D:$AM, MATCH(Keys!$C$7, US_national_yearly!$D$1:$AM$1, 0), FALSE), 1)</f>
        <v>4.8662609629768878E-4</v>
      </c>
      <c r="J2" s="12">
        <f>$B2 * IFERROR(VLOOKUP(Substitution!$M$19 &amp; $A2, US_national_yearly!$D:$AM, MATCH(J$1, US_national_yearly!$D$1:$AM$1, 0), FALSE) / VLOOKUP(Substitution!$M$19 &amp; $A2, US_national_yearly!$D:$AM, MATCH(Keys!$C$7, US_national_yearly!$D$1:$AM$1, 0), FALSE), 1)</f>
        <v>4.9366095896386029E-4</v>
      </c>
      <c r="K2" s="12">
        <f>$B2 * IFERROR(VLOOKUP(Substitution!$M$19 &amp; $A2, US_national_yearly!$D:$AM, MATCH(K$1, US_national_yearly!$D$1:$AM$1, 0), FALSE) / VLOOKUP(Substitution!$M$19 &amp; $A2, US_national_yearly!$D:$AM, MATCH(Keys!$C$7, US_national_yearly!$D$1:$AM$1, 0), FALSE), 1)</f>
        <v>5.0069582163003181E-4</v>
      </c>
      <c r="L2" s="12">
        <f>$B2 * IFERROR(VLOOKUP(Substitution!$M$19 &amp; $A2, US_national_yearly!$D:$AM, MATCH(L$1, US_national_yearly!$D$1:$AM$1, 0), FALSE) / VLOOKUP(Substitution!$M$19 &amp; $A2, US_national_yearly!$D:$AM, MATCH(Keys!$C$7, US_national_yearly!$D$1:$AM$1, 0), FALSE), 1)</f>
        <v>5.0773068429620333E-4</v>
      </c>
      <c r="M2" s="12">
        <f>$B2 * IFERROR(VLOOKUP(Substitution!$M$19 &amp; $A2, US_national_yearly!$D:$AM, MATCH(M$1, US_national_yearly!$D$1:$AM$1, 0), FALSE) / VLOOKUP(Substitution!$M$19 &amp; $A2, US_national_yearly!$D:$AM, MATCH(Keys!$C$7, US_national_yearly!$D$1:$AM$1, 0), FALSE), 1)</f>
        <v>5.1476554696237495E-4</v>
      </c>
      <c r="N2" s="12">
        <f>$B2 * IFERROR(VLOOKUP(Substitution!$M$19 &amp; $A2, US_national_yearly!$D:$AM, MATCH(N$1, US_national_yearly!$D$1:$AM$1, 0), FALSE) / VLOOKUP(Substitution!$M$19 &amp; $A2, US_national_yearly!$D:$AM, MATCH(Keys!$C$7, US_national_yearly!$D$1:$AM$1, 0), FALSE), 1)</f>
        <v>5.2026220705958829E-4</v>
      </c>
      <c r="O2" s="12">
        <f>$B2 * IFERROR(VLOOKUP(Substitution!$M$19 &amp; $A2, US_national_yearly!$D:$AM, MATCH(O$1, US_national_yearly!$D$1:$AM$1, 0), FALSE) / VLOOKUP(Substitution!$M$19 &amp; $A2, US_national_yearly!$D:$AM, MATCH(Keys!$C$7, US_national_yearly!$D$1:$AM$1, 0), FALSE), 1)</f>
        <v>5.2575886715680153E-4</v>
      </c>
      <c r="P2" s="12">
        <f>$B2 * IFERROR(VLOOKUP(Substitution!$M$19 &amp; $A2, US_national_yearly!$D:$AM, MATCH(P$1, US_national_yearly!$D$1:$AM$1, 0), FALSE) / VLOOKUP(Substitution!$M$19 &amp; $A2, US_national_yearly!$D:$AM, MATCH(Keys!$C$7, US_national_yearly!$D$1:$AM$1, 0), FALSE), 1)</f>
        <v>5.3125552725401487E-4</v>
      </c>
      <c r="Q2" s="12">
        <f>$B2 * IFERROR(VLOOKUP(Substitution!$M$19 &amp; $A2, US_national_yearly!$D:$AM, MATCH(Q$1, US_national_yearly!$D$1:$AM$1, 0), FALSE) / VLOOKUP(Substitution!$M$19 &amp; $A2, US_national_yearly!$D:$AM, MATCH(Keys!$C$7, US_national_yearly!$D$1:$AM$1, 0), FALSE), 1)</f>
        <v>5.3675218735122821E-4</v>
      </c>
      <c r="R2" s="12">
        <f>$B2 * IFERROR(VLOOKUP(Substitution!$M$19 &amp; $A2, US_national_yearly!$D:$AM, MATCH(R$1, US_national_yearly!$D$1:$AM$1, 0), FALSE) / VLOOKUP(Substitution!$M$19 &amp; $A2, US_national_yearly!$D:$AM, MATCH(Keys!$C$7, US_national_yearly!$D$1:$AM$1, 0), FALSE), 1)</f>
        <v>5.4224884744844134E-4</v>
      </c>
      <c r="S2" s="12">
        <f>$B2 * IFERROR(VLOOKUP(Substitution!$M$19 &amp; $A2, US_national_yearly!$D:$AM, MATCH(S$1, US_national_yearly!$D$1:$AM$1, 0), FALSE) / VLOOKUP(Substitution!$M$19 &amp; $A2, US_national_yearly!$D:$AM, MATCH(Keys!$C$7, US_national_yearly!$D$1:$AM$1, 0), FALSE), 1)</f>
        <v>5.4519238211962349E-4</v>
      </c>
      <c r="T2" s="12">
        <f>$B2 * IFERROR(VLOOKUP(Substitution!$M$19 &amp; $A2, US_national_yearly!$D:$AM, MATCH(T$1, US_national_yearly!$D$1:$AM$1, 0), FALSE) / VLOOKUP(Substitution!$M$19 &amp; $A2, US_national_yearly!$D:$AM, MATCH(Keys!$C$7, US_national_yearly!$D$1:$AM$1, 0), FALSE), 1)</f>
        <v>5.4813591679080554E-4</v>
      </c>
      <c r="U2" s="12">
        <f>$B2 * IFERROR(VLOOKUP(Substitution!$M$19 &amp; $A2, US_national_yearly!$D:$AM, MATCH(U$1, US_national_yearly!$D$1:$AM$1, 0), FALSE) / VLOOKUP(Substitution!$M$19 &amp; $A2, US_national_yearly!$D:$AM, MATCH(Keys!$C$7, US_national_yearly!$D$1:$AM$1, 0), FALSE), 1)</f>
        <v>5.5107945146198759E-4</v>
      </c>
      <c r="V2" s="12">
        <f>$B2 * IFERROR(VLOOKUP(Substitution!$M$19 &amp; $A2, US_national_yearly!$D:$AM, MATCH(V$1, US_national_yearly!$D$1:$AM$1, 0), FALSE) / VLOOKUP(Substitution!$M$19 &amp; $A2, US_national_yearly!$D:$AM, MATCH(Keys!$C$7, US_national_yearly!$D$1:$AM$1, 0), FALSE), 1)</f>
        <v>5.5402298613316963E-4</v>
      </c>
      <c r="W2" s="12">
        <f>$B2 * IFERROR(VLOOKUP(Substitution!$M$19 &amp; $A2, US_national_yearly!$D:$AM, MATCH(W$1, US_national_yearly!$D$1:$AM$1, 0), FALSE) / VLOOKUP(Substitution!$M$19 &amp; $A2, US_national_yearly!$D:$AM, MATCH(Keys!$C$7, US_national_yearly!$D$1:$AM$1, 0), FALSE), 1)</f>
        <v>5.5696652080435179E-4</v>
      </c>
      <c r="X2" s="12">
        <f>$B2 * IFERROR(VLOOKUP(Substitution!$M$19 &amp; $A2, US_national_yearly!$D:$AM, MATCH(X$1, US_national_yearly!$D$1:$AM$1, 0), FALSE) / VLOOKUP(Substitution!$M$19 &amp; $A2, US_national_yearly!$D:$AM, MATCH(Keys!$C$7, US_national_yearly!$D$1:$AM$1, 0), FALSE), 1)</f>
        <v>5.5756450887639781E-4</v>
      </c>
      <c r="Y2" s="12">
        <f>$B2 * IFERROR(VLOOKUP(Substitution!$M$19 &amp; $A2, US_national_yearly!$D:$AM, MATCH(Y$1, US_national_yearly!$D$1:$AM$1, 0), FALSE) / VLOOKUP(Substitution!$M$19 &amp; $A2, US_national_yearly!$D:$AM, MATCH(Keys!$C$7, US_national_yearly!$D$1:$AM$1, 0), FALSE), 1)</f>
        <v>5.5816249694844405E-4</v>
      </c>
      <c r="Z2" s="12">
        <f>$B2 * IFERROR(VLOOKUP(Substitution!$M$19 &amp; $A2, US_national_yearly!$D:$AM, MATCH(Z$1, US_national_yearly!$D$1:$AM$1, 0), FALSE) / VLOOKUP(Substitution!$M$19 &amp; $A2, US_national_yearly!$D:$AM, MATCH(Keys!$C$7, US_national_yearly!$D$1:$AM$1, 0), FALSE), 1)</f>
        <v>5.5876048502049018E-4</v>
      </c>
      <c r="AA2" s="12">
        <f>$B2 * IFERROR(VLOOKUP(Substitution!$M$19 &amp; $A2, US_national_yearly!$D:$AM, MATCH(AA$1, US_national_yearly!$D$1:$AM$1, 0), FALSE) / VLOOKUP(Substitution!$M$19 &amp; $A2, US_national_yearly!$D:$AM, MATCH(Keys!$C$7, US_national_yearly!$D$1:$AM$1, 0), FALSE), 1)</f>
        <v>5.5935847309253632E-4</v>
      </c>
      <c r="AB2" s="12">
        <f>$B2 * IFERROR(VLOOKUP(Substitution!$M$19 &amp; $A2, US_national_yearly!$D:$AM, MATCH(AB$1, US_national_yearly!$D$1:$AM$1, 0), FALSE) / VLOOKUP(Substitution!$M$19 &amp; $A2, US_national_yearly!$D:$AM, MATCH(Keys!$C$7, US_national_yearly!$D$1:$AM$1, 0), FALSE), 1)</f>
        <v>5.5995646116458245E-4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Substitution!$G$19)/IFERROR(SUMIFS(COBRA_aggregated!$W:$W, COBRA_aggregated!$A:$A, About!$B$1, COBRA_aggregated!$B:$B, Substitution!$G$19), 1)</f>
        <v>7.6724853413517854E-7</v>
      </c>
      <c r="C3" s="12">
        <f>$B3 * IFERROR(VLOOKUP(Substitution!$M$19 &amp; $A3, US_national_yearly!$D:$AM, MATCH(C$1, US_national_yearly!$D$1:$AM$1, 0), FALSE) / VLOOKUP(Substitution!$M$19 &amp; $A3, US_national_yearly!$D:$AM, MATCH(Keys!$C$7, US_national_yearly!$D$1:$AM$1, 0), FALSE), 1)</f>
        <v>7.6065772927655038E-7</v>
      </c>
      <c r="D3" s="12">
        <f>$B3 * IFERROR(VLOOKUP(Substitution!$M$19 &amp; $A3, US_national_yearly!$D:$AM, MATCH(D$1, US_national_yearly!$D$1:$AM$1, 0), FALSE) / VLOOKUP(Substitution!$M$19 &amp; $A3, US_national_yearly!$D:$AM, MATCH(Keys!$C$7, US_national_yearly!$D$1:$AM$1, 0), FALSE), 1)</f>
        <v>7.5406692441792234E-7</v>
      </c>
      <c r="E3" s="12">
        <f>$B3 * IFERROR(VLOOKUP(Substitution!$M$19 &amp; $A3, US_national_yearly!$D:$AM, MATCH(E$1, US_national_yearly!$D$1:$AM$1, 0), FALSE) / VLOOKUP(Substitution!$M$19 &amp; $A3, US_national_yearly!$D:$AM, MATCH(Keys!$C$7, US_national_yearly!$D$1:$AM$1, 0), FALSE), 1)</f>
        <v>7.4747611955929418E-7</v>
      </c>
      <c r="F3" s="12">
        <f>$B3 * IFERROR(VLOOKUP(Substitution!$M$19 &amp; $A3, US_national_yearly!$D:$AM, MATCH(F$1, US_national_yearly!$D$1:$AM$1, 0), FALSE) / VLOOKUP(Substitution!$M$19 &amp; $A3, US_national_yearly!$D:$AM, MATCH(Keys!$C$7, US_national_yearly!$D$1:$AM$1, 0), FALSE), 1)</f>
        <v>7.4088531470066614E-7</v>
      </c>
      <c r="G3" s="12">
        <f>$B3 * IFERROR(VLOOKUP(Substitution!$M$19 &amp; $A3, US_national_yearly!$D:$AM, MATCH(G$1, US_national_yearly!$D$1:$AM$1, 0), FALSE) / VLOOKUP(Substitution!$M$19 &amp; $A3, US_national_yearly!$D:$AM, MATCH(Keys!$C$7, US_national_yearly!$D$1:$AM$1, 0), FALSE), 1)</f>
        <v>4.934892916650003E-7</v>
      </c>
      <c r="H3" s="12">
        <f>$B3 * IFERROR(VLOOKUP(Substitution!$M$19 &amp; $A3, US_national_yearly!$D:$AM, MATCH(H$1, US_national_yearly!$D$1:$AM$1, 0), FALSE) / VLOOKUP(Substitution!$M$19 &amp; $A3, US_national_yearly!$D:$AM, MATCH(Keys!$C$7, US_national_yearly!$D$1:$AM$1, 0), FALSE), 1)</f>
        <v>2.4609326862933494E-7</v>
      </c>
      <c r="I3" s="12">
        <f>$B3 * IFERROR(VLOOKUP(Substitution!$M$19 &amp; $A3, US_national_yearly!$D:$AM, MATCH(I$1, US_national_yearly!$D$1:$AM$1, 0), FALSE) / VLOOKUP(Substitution!$M$19 &amp; $A3, US_national_yearly!$D:$AM, MATCH(Keys!$C$7, US_national_yearly!$D$1:$AM$1, 0), FALSE), 1)</f>
        <v>2.4454945124143639E-7</v>
      </c>
      <c r="J3" s="12">
        <f>$B3 * IFERROR(VLOOKUP(Substitution!$M$19 &amp; $A3, US_national_yearly!$D:$AM, MATCH(J$1, US_national_yearly!$D$1:$AM$1, 0), FALSE) / VLOOKUP(Substitution!$M$19 &amp; $A3, US_national_yearly!$D:$AM, MATCH(Keys!$C$7, US_national_yearly!$D$1:$AM$1, 0), FALSE), 1)</f>
        <v>2.4300563385353783E-7</v>
      </c>
      <c r="K3" s="12">
        <f>$B3 * IFERROR(VLOOKUP(Substitution!$M$19 &amp; $A3, US_national_yearly!$D:$AM, MATCH(K$1, US_national_yearly!$D$1:$AM$1, 0), FALSE) / VLOOKUP(Substitution!$M$19 &amp; $A3, US_national_yearly!$D:$AM, MATCH(Keys!$C$7, US_national_yearly!$D$1:$AM$1, 0), FALSE), 1)</f>
        <v>2.4146181646563928E-7</v>
      </c>
      <c r="L3" s="12">
        <f>$B3 * IFERROR(VLOOKUP(Substitution!$M$19 &amp; $A3, US_national_yearly!$D:$AM, MATCH(L$1, US_national_yearly!$D$1:$AM$1, 0), FALSE) / VLOOKUP(Substitution!$M$19 &amp; $A3, US_national_yearly!$D:$AM, MATCH(Keys!$C$7, US_national_yearly!$D$1:$AM$1, 0), FALSE), 1)</f>
        <v>2.3991799907774078E-7</v>
      </c>
      <c r="M3" s="12">
        <f>$B3 * IFERROR(VLOOKUP(Substitution!$M$19 &amp; $A3, US_national_yearly!$D:$AM, MATCH(M$1, US_national_yearly!$D$1:$AM$1, 0), FALSE) / VLOOKUP(Substitution!$M$19 &amp; $A3, US_national_yearly!$D:$AM, MATCH(Keys!$C$7, US_national_yearly!$D$1:$AM$1, 0), FALSE), 1)</f>
        <v>2.383741816898422E-7</v>
      </c>
      <c r="N3" s="12">
        <f>$B3 * IFERROR(VLOOKUP(Substitution!$M$19 &amp; $A3, US_national_yearly!$D:$AM, MATCH(N$1, US_national_yearly!$D$1:$AM$1, 0), FALSE) / VLOOKUP(Substitution!$M$19 &amp; $A3, US_national_yearly!$D:$AM, MATCH(Keys!$C$7, US_national_yearly!$D$1:$AM$1, 0), FALSE), 1)</f>
        <v>2.3740513907349761E-7</v>
      </c>
      <c r="O3" s="12">
        <f>$B3 * IFERROR(VLOOKUP(Substitution!$M$19 &amp; $A3, US_national_yearly!$D:$AM, MATCH(O$1, US_national_yearly!$D$1:$AM$1, 0), FALSE) / VLOOKUP(Substitution!$M$19 &amp; $A3, US_national_yearly!$D:$AM, MATCH(Keys!$C$7, US_national_yearly!$D$1:$AM$1, 0), FALSE), 1)</f>
        <v>2.3643609645715302E-7</v>
      </c>
      <c r="P3" s="12">
        <f>$B3 * IFERROR(VLOOKUP(Substitution!$M$19 &amp; $A3, US_national_yearly!$D:$AM, MATCH(P$1, US_national_yearly!$D$1:$AM$1, 0), FALSE) / VLOOKUP(Substitution!$M$19 &amp; $A3, US_national_yearly!$D:$AM, MATCH(Keys!$C$7, US_national_yearly!$D$1:$AM$1, 0), FALSE), 1)</f>
        <v>2.3546705384080837E-7</v>
      </c>
      <c r="Q3" s="12">
        <f>$B3 * IFERROR(VLOOKUP(Substitution!$M$19 &amp; $A3, US_national_yearly!$D:$AM, MATCH(Q$1, US_national_yearly!$D$1:$AM$1, 0), FALSE) / VLOOKUP(Substitution!$M$19 &amp; $A3, US_national_yearly!$D:$AM, MATCH(Keys!$C$7, US_national_yearly!$D$1:$AM$1, 0), FALSE), 1)</f>
        <v>2.3449801122446378E-7</v>
      </c>
      <c r="R3" s="12">
        <f>$B3 * IFERROR(VLOOKUP(Substitution!$M$19 &amp; $A3, US_national_yearly!$D:$AM, MATCH(R$1, US_national_yearly!$D$1:$AM$1, 0), FALSE) / VLOOKUP(Substitution!$M$19 &amp; $A3, US_national_yearly!$D:$AM, MATCH(Keys!$C$7, US_national_yearly!$D$1:$AM$1, 0), FALSE), 1)</f>
        <v>2.3352896860811914E-7</v>
      </c>
      <c r="S3" s="12">
        <f>$B3 * IFERROR(VLOOKUP(Substitution!$M$19 &amp; $A3, US_national_yearly!$D:$AM, MATCH(S$1, US_national_yearly!$D$1:$AM$1, 0), FALSE) / VLOOKUP(Substitution!$M$19 &amp; $A3, US_national_yearly!$D:$AM, MATCH(Keys!$C$7, US_national_yearly!$D$1:$AM$1, 0), FALSE), 1)</f>
        <v>2.3231227656795861E-7</v>
      </c>
      <c r="T3" s="12">
        <f>$B3 * IFERROR(VLOOKUP(Substitution!$M$19 &amp; $A3, US_national_yearly!$D:$AM, MATCH(T$1, US_national_yearly!$D$1:$AM$1, 0), FALSE) / VLOOKUP(Substitution!$M$19 &amp; $A3, US_national_yearly!$D:$AM, MATCH(Keys!$C$7, US_national_yearly!$D$1:$AM$1, 0), FALSE), 1)</f>
        <v>2.3109558452779808E-7</v>
      </c>
      <c r="U3" s="12">
        <f>$B3 * IFERROR(VLOOKUP(Substitution!$M$19 &amp; $A3, US_national_yearly!$D:$AM, MATCH(U$1, US_national_yearly!$D$1:$AM$1, 0), FALSE) / VLOOKUP(Substitution!$M$19 &amp; $A3, US_national_yearly!$D:$AM, MATCH(Keys!$C$7, US_national_yearly!$D$1:$AM$1, 0), FALSE), 1)</f>
        <v>2.2987889248763745E-7</v>
      </c>
      <c r="V3" s="12">
        <f>$B3 * IFERROR(VLOOKUP(Substitution!$M$19 &amp; $A3, US_national_yearly!$D:$AM, MATCH(V$1, US_national_yearly!$D$1:$AM$1, 0), FALSE) / VLOOKUP(Substitution!$M$19 &amp; $A3, US_national_yearly!$D:$AM, MATCH(Keys!$C$7, US_national_yearly!$D$1:$AM$1, 0), FALSE), 1)</f>
        <v>2.2866220044747697E-7</v>
      </c>
      <c r="W3" s="12">
        <f>$B3 * IFERROR(VLOOKUP(Substitution!$M$19 &amp; $A3, US_national_yearly!$D:$AM, MATCH(W$1, US_national_yearly!$D$1:$AM$1, 0), FALSE) / VLOOKUP(Substitution!$M$19 &amp; $A3, US_national_yearly!$D:$AM, MATCH(Keys!$C$7, US_national_yearly!$D$1:$AM$1, 0), FALSE), 1)</f>
        <v>2.2744550840731639E-7</v>
      </c>
      <c r="X3" s="12">
        <f>$B3 * IFERROR(VLOOKUP(Substitution!$M$19 &amp; $A3, US_national_yearly!$D:$AM, MATCH(X$1, US_national_yearly!$D$1:$AM$1, 0), FALSE) / VLOOKUP(Substitution!$M$19 &amp; $A3, US_national_yearly!$D:$AM, MATCH(Keys!$C$7, US_national_yearly!$D$1:$AM$1, 0), FALSE), 1)</f>
        <v>2.2611528844856813E-7</v>
      </c>
      <c r="Y3" s="12">
        <f>$B3 * IFERROR(VLOOKUP(Substitution!$M$19 &amp; $A3, US_national_yearly!$D:$AM, MATCH(Y$1, US_national_yearly!$D$1:$AM$1, 0), FALSE) / VLOOKUP(Substitution!$M$19 &amp; $A3, US_national_yearly!$D:$AM, MATCH(Keys!$C$7, US_national_yearly!$D$1:$AM$1, 0), FALSE), 1)</f>
        <v>2.2478506848981982E-7</v>
      </c>
      <c r="Z3" s="12">
        <f>$B3 * IFERROR(VLOOKUP(Substitution!$M$19 &amp; $A3, US_national_yearly!$D:$AM, MATCH(Z$1, US_national_yearly!$D$1:$AM$1, 0), FALSE) / VLOOKUP(Substitution!$M$19 &amp; $A3, US_national_yearly!$D:$AM, MATCH(Keys!$C$7, US_national_yearly!$D$1:$AM$1, 0), FALSE), 1)</f>
        <v>2.2345484853107157E-7</v>
      </c>
      <c r="AA3" s="12">
        <f>$B3 * IFERROR(VLOOKUP(Substitution!$M$19 &amp; $A3, US_national_yearly!$D:$AM, MATCH(AA$1, US_national_yearly!$D$1:$AM$1, 0), FALSE) / VLOOKUP(Substitution!$M$19 &amp; $A3, US_national_yearly!$D:$AM, MATCH(Keys!$C$7, US_national_yearly!$D$1:$AM$1, 0), FALSE), 1)</f>
        <v>2.2212462857232326E-7</v>
      </c>
      <c r="AB3" s="12">
        <f>$B3 * IFERROR(VLOOKUP(Substitution!$M$19 &amp; $A3, US_national_yearly!$D:$AM, MATCH(AB$1, US_national_yearly!$D$1:$AM$1, 0), FALSE) / VLOOKUP(Substitution!$M$19 &amp; $A3, US_national_yearly!$D:$AM, MATCH(Keys!$C$7, US_national_yearly!$D$1:$AM$1, 0), FALSE), 1)</f>
        <v>2.2079440861357501E-7</v>
      </c>
    </row>
    <row r="4" spans="1:28" x14ac:dyDescent="0.25">
      <c r="A4" s="4" t="s">
        <v>295</v>
      </c>
      <c r="B4" s="12">
        <f>IFERROR(VLOOKUP(Substitution!$M$19 &amp; $A4, US_national_yearly!$D:$AM, MATCH(Keys!$C$7, US_national_yearly!$D$1:$AM$1, 0), FALSE), 0)</f>
        <v>1.114512095510634</v>
      </c>
      <c r="C4" s="12">
        <f>$B4 * IFERROR(VLOOKUP(Substitution!$M$19 &amp; $A4, US_national_yearly!$D:$AM, MATCH(C$1, US_national_yearly!$D$1:$AM$1, 0), FALSE) / VLOOKUP(Substitution!$M$19 &amp; $A4, US_national_yearly!$D:$AM, MATCH(Keys!$C$7, US_national_yearly!$D$1:$AM$1, 0), FALSE), 1)</f>
        <v>1.125999672560418</v>
      </c>
      <c r="D4" s="12">
        <f>$B4 * IFERROR(VLOOKUP(Substitution!$M$19 &amp; $A4, US_national_yearly!$D:$AM, MATCH(D$1, US_national_yearly!$D$1:$AM$1, 0), FALSE) / VLOOKUP(Substitution!$M$19 &amp; $A4, US_national_yearly!$D:$AM, MATCH(Keys!$C$7, US_national_yearly!$D$1:$AM$1, 0), FALSE), 1)</f>
        <v>1.137487249610202</v>
      </c>
      <c r="E4" s="12">
        <f>$B4 * IFERROR(VLOOKUP(Substitution!$M$19 &amp; $A4, US_national_yearly!$D:$AM, MATCH(E$1, US_national_yearly!$D$1:$AM$1, 0), FALSE) / VLOOKUP(Substitution!$M$19 &amp; $A4, US_national_yearly!$D:$AM, MATCH(Keys!$C$7, US_national_yearly!$D$1:$AM$1, 0), FALSE), 1)</f>
        <v>1.148974826659986</v>
      </c>
      <c r="F4" s="12">
        <f>$B4 * IFERROR(VLOOKUP(Substitution!$M$19 &amp; $A4, US_national_yearly!$D:$AM, MATCH(F$1, US_national_yearly!$D$1:$AM$1, 0), FALSE) / VLOOKUP(Substitution!$M$19 &amp; $A4, US_national_yearly!$D:$AM, MATCH(Keys!$C$7, US_national_yearly!$D$1:$AM$1, 0), FALSE), 1)</f>
        <v>1.1604624037097699</v>
      </c>
      <c r="G4" s="12">
        <f>$B4 * IFERROR(VLOOKUP(Substitution!$M$19 &amp; $A4, US_national_yearly!$D:$AM, MATCH(G$1, US_national_yearly!$D$1:$AM$1, 0), FALSE) / VLOOKUP(Substitution!$M$19 &amp; $A4, US_national_yearly!$D:$AM, MATCH(Keys!$C$7, US_national_yearly!$D$1:$AM$1, 0), FALSE), 1)</f>
        <v>1.1738759040130498</v>
      </c>
      <c r="H4" s="12">
        <f>$B4 * IFERROR(VLOOKUP(Substitution!$M$19 &amp; $A4, US_national_yearly!$D:$AM, MATCH(H$1, US_national_yearly!$D$1:$AM$1, 0), FALSE) / VLOOKUP(Substitution!$M$19 &amp; $A4, US_national_yearly!$D:$AM, MATCH(Keys!$C$7, US_national_yearly!$D$1:$AM$1, 0), FALSE), 1)</f>
        <v>1.18728940431633</v>
      </c>
      <c r="I4" s="12">
        <f>$B4 * IFERROR(VLOOKUP(Substitution!$M$19 &amp; $A4, US_national_yearly!$D:$AM, MATCH(I$1, US_national_yearly!$D$1:$AM$1, 0), FALSE) / VLOOKUP(Substitution!$M$19 &amp; $A4, US_national_yearly!$D:$AM, MATCH(Keys!$C$7, US_national_yearly!$D$1:$AM$1, 0), FALSE), 1)</f>
        <v>1.197073157170226</v>
      </c>
      <c r="J4" s="12">
        <f>$B4 * IFERROR(VLOOKUP(Substitution!$M$19 &amp; $A4, US_national_yearly!$D:$AM, MATCH(J$1, US_national_yearly!$D$1:$AM$1, 0), FALSE) / VLOOKUP(Substitution!$M$19 &amp; $A4, US_national_yearly!$D:$AM, MATCH(Keys!$C$7, US_national_yearly!$D$1:$AM$1, 0), FALSE), 1)</f>
        <v>1.206856910024122</v>
      </c>
      <c r="K4" s="12">
        <f>$B4 * IFERROR(VLOOKUP(Substitution!$M$19 &amp; $A4, US_national_yearly!$D:$AM, MATCH(K$1, US_national_yearly!$D$1:$AM$1, 0), FALSE) / VLOOKUP(Substitution!$M$19 &amp; $A4, US_national_yearly!$D:$AM, MATCH(Keys!$C$7, US_national_yearly!$D$1:$AM$1, 0), FALSE), 1)</f>
        <v>1.216640662878018</v>
      </c>
      <c r="L4" s="12">
        <f>$B4 * IFERROR(VLOOKUP(Substitution!$M$19 &amp; $A4, US_national_yearly!$D:$AM, MATCH(L$1, US_national_yearly!$D$1:$AM$1, 0), FALSE) / VLOOKUP(Substitution!$M$19 &amp; $A4, US_national_yearly!$D:$AM, MATCH(Keys!$C$7, US_national_yearly!$D$1:$AM$1, 0), FALSE), 1)</f>
        <v>1.226424415731914</v>
      </c>
      <c r="M4" s="12">
        <f>$B4 * IFERROR(VLOOKUP(Substitution!$M$19 &amp; $A4, US_national_yearly!$D:$AM, MATCH(M$1, US_national_yearly!$D$1:$AM$1, 0), FALSE) / VLOOKUP(Substitution!$M$19 &amp; $A4, US_national_yearly!$D:$AM, MATCH(Keys!$C$7, US_national_yearly!$D$1:$AM$1, 0), FALSE), 1)</f>
        <v>1.23620816858581</v>
      </c>
      <c r="N4" s="12">
        <f>$B4 * IFERROR(VLOOKUP(Substitution!$M$19 &amp; $A4, US_national_yearly!$D:$AM, MATCH(N$1, US_national_yearly!$D$1:$AM$1, 0), FALSE) / VLOOKUP(Substitution!$M$19 &amp; $A4, US_national_yearly!$D:$AM, MATCH(Keys!$C$7, US_national_yearly!$D$1:$AM$1, 0), FALSE), 1)</f>
        <v>1.2403869950056259</v>
      </c>
      <c r="O4" s="12">
        <f>$B4 * IFERROR(VLOOKUP(Substitution!$M$19 &amp; $A4, US_national_yearly!$D:$AM, MATCH(O$1, US_national_yearly!$D$1:$AM$1, 0), FALSE) / VLOOKUP(Substitution!$M$19 &amp; $A4, US_national_yearly!$D:$AM, MATCH(Keys!$C$7, US_national_yearly!$D$1:$AM$1, 0), FALSE), 1)</f>
        <v>1.244565821425442</v>
      </c>
      <c r="P4" s="12">
        <f>$B4 * IFERROR(VLOOKUP(Substitution!$M$19 &amp; $A4, US_national_yearly!$D:$AM, MATCH(P$1, US_national_yearly!$D$1:$AM$1, 0), FALSE) / VLOOKUP(Substitution!$M$19 &amp; $A4, US_national_yearly!$D:$AM, MATCH(Keys!$C$7, US_national_yearly!$D$1:$AM$1, 0), FALSE), 1)</f>
        <v>1.248744647845258</v>
      </c>
      <c r="Q4" s="12">
        <f>$B4 * IFERROR(VLOOKUP(Substitution!$M$19 &amp; $A4, US_national_yearly!$D:$AM, MATCH(Q$1, US_national_yearly!$D$1:$AM$1, 0), FALSE) / VLOOKUP(Substitution!$M$19 &amp; $A4, US_national_yearly!$D:$AM, MATCH(Keys!$C$7, US_national_yearly!$D$1:$AM$1, 0), FALSE), 1)</f>
        <v>1.2529234742650741</v>
      </c>
      <c r="R4" s="12">
        <f>$B4 * IFERROR(VLOOKUP(Substitution!$M$19 &amp; $A4, US_national_yearly!$D:$AM, MATCH(R$1, US_national_yearly!$D$1:$AM$1, 0), FALSE) / VLOOKUP(Substitution!$M$19 &amp; $A4, US_national_yearly!$D:$AM, MATCH(Keys!$C$7, US_national_yearly!$D$1:$AM$1, 0), FALSE), 1)</f>
        <v>1.25710230068489</v>
      </c>
      <c r="S4" s="12">
        <f>$B4 * IFERROR(VLOOKUP(Substitution!$M$19 &amp; $A4, US_national_yearly!$D:$AM, MATCH(S$1, US_national_yearly!$D$1:$AM$1, 0), FALSE) / VLOOKUP(Substitution!$M$19 &amp; $A4, US_national_yearly!$D:$AM, MATCH(Keys!$C$7, US_national_yearly!$D$1:$AM$1, 0), FALSE), 1)</f>
        <v>1.2621876140677379</v>
      </c>
      <c r="T4" s="12">
        <f>$B4 * IFERROR(VLOOKUP(Substitution!$M$19 &amp; $A4, US_national_yearly!$D:$AM, MATCH(T$1, US_national_yearly!$D$1:$AM$1, 0), FALSE) / VLOOKUP(Substitution!$M$19 &amp; $A4, US_national_yearly!$D:$AM, MATCH(Keys!$C$7, US_national_yearly!$D$1:$AM$1, 0), FALSE), 1)</f>
        <v>1.2672729274505861</v>
      </c>
      <c r="U4" s="12">
        <f>$B4 * IFERROR(VLOOKUP(Substitution!$M$19 &amp; $A4, US_national_yearly!$D:$AM, MATCH(U$1, US_national_yearly!$D$1:$AM$1, 0), FALSE) / VLOOKUP(Substitution!$M$19 &amp; $A4, US_national_yearly!$D:$AM, MATCH(Keys!$C$7, US_national_yearly!$D$1:$AM$1, 0), FALSE), 1)</f>
        <v>1.272358240833434</v>
      </c>
      <c r="V4" s="12">
        <f>$B4 * IFERROR(VLOOKUP(Substitution!$M$19 &amp; $A4, US_national_yearly!$D:$AM, MATCH(V$1, US_national_yearly!$D$1:$AM$1, 0), FALSE) / VLOOKUP(Substitution!$M$19 &amp; $A4, US_national_yearly!$D:$AM, MATCH(Keys!$C$7, US_national_yearly!$D$1:$AM$1, 0), FALSE), 1)</f>
        <v>1.2774435542162821</v>
      </c>
      <c r="W4" s="12">
        <f>$B4 * IFERROR(VLOOKUP(Substitution!$M$19 &amp; $A4, US_national_yearly!$D:$AM, MATCH(W$1, US_national_yearly!$D$1:$AM$1, 0), FALSE) / VLOOKUP(Substitution!$M$19 &amp; $A4, US_national_yearly!$D:$AM, MATCH(Keys!$C$7, US_national_yearly!$D$1:$AM$1, 0), FALSE), 1)</f>
        <v>1.28252886759913</v>
      </c>
      <c r="X4" s="12">
        <f>$B4 * IFERROR(VLOOKUP(Substitution!$M$19 &amp; $A4, US_national_yearly!$D:$AM, MATCH(X$1, US_national_yearly!$D$1:$AM$1, 0), FALSE) / VLOOKUP(Substitution!$M$19 &amp; $A4, US_national_yearly!$D:$AM, MATCH(Keys!$C$7, US_national_yearly!$D$1:$AM$1, 0), FALSE), 1)</f>
        <v>1.28814230335299</v>
      </c>
      <c r="Y4" s="12">
        <f>$B4 * IFERROR(VLOOKUP(Substitution!$M$19 &amp; $A4, US_national_yearly!$D:$AM, MATCH(Y$1, US_national_yearly!$D$1:$AM$1, 0), FALSE) / VLOOKUP(Substitution!$M$19 &amp; $A4, US_national_yearly!$D:$AM, MATCH(Keys!$C$7, US_national_yearly!$D$1:$AM$1, 0), FALSE), 1)</f>
        <v>1.2937557391068502</v>
      </c>
      <c r="Z4" s="12">
        <f>$B4 * IFERROR(VLOOKUP(Substitution!$M$19 &amp; $A4, US_national_yearly!$D:$AM, MATCH(Z$1, US_national_yearly!$D$1:$AM$1, 0), FALSE) / VLOOKUP(Substitution!$M$19 &amp; $A4, US_national_yearly!$D:$AM, MATCH(Keys!$C$7, US_national_yearly!$D$1:$AM$1, 0), FALSE), 1)</f>
        <v>1.2993691748607099</v>
      </c>
      <c r="AA4" s="12">
        <f>$B4 * IFERROR(VLOOKUP(Substitution!$M$19 &amp; $A4, US_national_yearly!$D:$AM, MATCH(AA$1, US_national_yearly!$D$1:$AM$1, 0), FALSE) / VLOOKUP(Substitution!$M$19 &amp; $A4, US_national_yearly!$D:$AM, MATCH(Keys!$C$7, US_national_yearly!$D$1:$AM$1, 0), FALSE), 1)</f>
        <v>1.3049826106145701</v>
      </c>
      <c r="AB4" s="12">
        <f>$B4 * IFERROR(VLOOKUP(Substitution!$M$19 &amp; $A4, US_national_yearly!$D:$AM, MATCH(AB$1, US_national_yearly!$D$1:$AM$1, 0), FALSE) / VLOOKUP(Substitution!$M$19 &amp; $A4, US_national_yearly!$D:$AM, MATCH(Keys!$C$7, US_national_yearly!$D$1:$AM$1, 0), FALSE), 1)</f>
        <v>1.3105960463684301</v>
      </c>
    </row>
    <row r="5" spans="1:28" x14ac:dyDescent="0.25">
      <c r="A5" s="4" t="s">
        <v>297</v>
      </c>
      <c r="B5" s="12">
        <f>IFERROR(VLOOKUP(Substitution!$M$19 &amp; $A5, US_national_yearly!$D:$AM, MATCH(Keys!$C$7, US_national_yearly!$D$1:$AM$1, 0), FALSE), 0)</f>
        <v>0</v>
      </c>
      <c r="C5" s="12">
        <f>$B5 * IFERROR(VLOOKUP(Substitution!$M$19 &amp; $A5, US_national_yearly!$D:$AM, MATCH(C$1, US_national_yearly!$D$1:$AM$1, 0), FALSE) / VLOOKUP(Substitution!$M$19 &amp; $A5, US_national_yearly!$D:$AM, MATCH(Keys!$C$7, US_national_yearly!$D$1:$AM$1, 0), FALSE), 1)</f>
        <v>0</v>
      </c>
      <c r="D5" s="12">
        <f>$B5 * IFERROR(VLOOKUP(Substitution!$M$19 &amp; $A5, US_national_yearly!$D:$AM, MATCH(D$1, US_national_yearly!$D$1:$AM$1, 0), FALSE) / VLOOKUP(Substitution!$M$19 &amp; $A5, US_national_yearly!$D:$AM, MATCH(Keys!$C$7, US_national_yearly!$D$1:$AM$1, 0), FALSE), 1)</f>
        <v>0</v>
      </c>
      <c r="E5" s="12">
        <f>$B5 * IFERROR(VLOOKUP(Substitution!$M$19 &amp; $A5, US_national_yearly!$D:$AM, MATCH(E$1, US_national_yearly!$D$1:$AM$1, 0), FALSE) / VLOOKUP(Substitution!$M$19 &amp; $A5, US_national_yearly!$D:$AM, MATCH(Keys!$C$7, US_national_yearly!$D$1:$AM$1, 0), FALSE), 1)</f>
        <v>0</v>
      </c>
      <c r="F5" s="12">
        <f>$B5 * IFERROR(VLOOKUP(Substitution!$M$19 &amp; $A5, US_national_yearly!$D:$AM, MATCH(F$1, US_national_yearly!$D$1:$AM$1, 0), FALSE) / VLOOKUP(Substitution!$M$19 &amp; $A5, US_national_yearly!$D:$AM, MATCH(Keys!$C$7, US_national_yearly!$D$1:$AM$1, 0), FALSE), 1)</f>
        <v>0</v>
      </c>
      <c r="G5" s="12">
        <f>$B5 * IFERROR(VLOOKUP(Substitution!$M$19 &amp; $A5, US_national_yearly!$D:$AM, MATCH(G$1, US_national_yearly!$D$1:$AM$1, 0), FALSE) / VLOOKUP(Substitution!$M$19 &amp; $A5, US_national_yearly!$D:$AM, MATCH(Keys!$C$7, US_national_yearly!$D$1:$AM$1, 0), FALSE), 1)</f>
        <v>0</v>
      </c>
      <c r="H5" s="12">
        <f>$B5 * IFERROR(VLOOKUP(Substitution!$M$19 &amp; $A5, US_national_yearly!$D:$AM, MATCH(H$1, US_national_yearly!$D$1:$AM$1, 0), FALSE) / VLOOKUP(Substitution!$M$19 &amp; $A5, US_national_yearly!$D:$AM, MATCH(Keys!$C$7, US_national_yearly!$D$1:$AM$1, 0), FALSE), 1)</f>
        <v>0</v>
      </c>
      <c r="I5" s="12">
        <f>$B5 * IFERROR(VLOOKUP(Substitution!$M$19 &amp; $A5, US_national_yearly!$D:$AM, MATCH(I$1, US_national_yearly!$D$1:$AM$1, 0), FALSE) / VLOOKUP(Substitution!$M$19 &amp; $A5, US_national_yearly!$D:$AM, MATCH(Keys!$C$7, US_national_yearly!$D$1:$AM$1, 0), FALSE), 1)</f>
        <v>0</v>
      </c>
      <c r="J5" s="12">
        <f>$B5 * IFERROR(VLOOKUP(Substitution!$M$19 &amp; $A5, US_national_yearly!$D:$AM, MATCH(J$1, US_national_yearly!$D$1:$AM$1, 0), FALSE) / VLOOKUP(Substitution!$M$19 &amp; $A5, US_national_yearly!$D:$AM, MATCH(Keys!$C$7, US_national_yearly!$D$1:$AM$1, 0), FALSE), 1)</f>
        <v>0</v>
      </c>
      <c r="K5" s="12">
        <f>$B5 * IFERROR(VLOOKUP(Substitution!$M$19 &amp; $A5, US_national_yearly!$D:$AM, MATCH(K$1, US_national_yearly!$D$1:$AM$1, 0), FALSE) / VLOOKUP(Substitution!$M$19 &amp; $A5, US_national_yearly!$D:$AM, MATCH(Keys!$C$7, US_national_yearly!$D$1:$AM$1, 0), FALSE), 1)</f>
        <v>0</v>
      </c>
      <c r="L5" s="12">
        <f>$B5 * IFERROR(VLOOKUP(Substitution!$M$19 &amp; $A5, US_national_yearly!$D:$AM, MATCH(L$1, US_national_yearly!$D$1:$AM$1, 0), FALSE) / VLOOKUP(Substitution!$M$19 &amp; $A5, US_national_yearly!$D:$AM, MATCH(Keys!$C$7, US_national_yearly!$D$1:$AM$1, 0), FALSE), 1)</f>
        <v>0</v>
      </c>
      <c r="M5" s="12">
        <f>$B5 * IFERROR(VLOOKUP(Substitution!$M$19 &amp; $A5, US_national_yearly!$D:$AM, MATCH(M$1, US_national_yearly!$D$1:$AM$1, 0), FALSE) / VLOOKUP(Substitution!$M$19 &amp; $A5, US_national_yearly!$D:$AM, MATCH(Keys!$C$7, US_national_yearly!$D$1:$AM$1, 0), FALSE), 1)</f>
        <v>0</v>
      </c>
      <c r="N5" s="12">
        <f>$B5 * IFERROR(VLOOKUP(Substitution!$M$19 &amp; $A5, US_national_yearly!$D:$AM, MATCH(N$1, US_national_yearly!$D$1:$AM$1, 0), FALSE) / VLOOKUP(Substitution!$M$19 &amp; $A5, US_national_yearly!$D:$AM, MATCH(Keys!$C$7, US_national_yearly!$D$1:$AM$1, 0), FALSE), 1)</f>
        <v>0</v>
      </c>
      <c r="O5" s="12">
        <f>$B5 * IFERROR(VLOOKUP(Substitution!$M$19 &amp; $A5, US_national_yearly!$D:$AM, MATCH(O$1, US_national_yearly!$D$1:$AM$1, 0), FALSE) / VLOOKUP(Substitution!$M$19 &amp; $A5, US_national_yearly!$D:$AM, MATCH(Keys!$C$7, US_national_yearly!$D$1:$AM$1, 0), FALSE), 1)</f>
        <v>0</v>
      </c>
      <c r="P5" s="12">
        <f>$B5 * IFERROR(VLOOKUP(Substitution!$M$19 &amp; $A5, US_national_yearly!$D:$AM, MATCH(P$1, US_national_yearly!$D$1:$AM$1, 0), FALSE) / VLOOKUP(Substitution!$M$19 &amp; $A5, US_national_yearly!$D:$AM, MATCH(Keys!$C$7, US_national_yearly!$D$1:$AM$1, 0), FALSE), 1)</f>
        <v>0</v>
      </c>
      <c r="Q5" s="12">
        <f>$B5 * IFERROR(VLOOKUP(Substitution!$M$19 &amp; $A5, US_national_yearly!$D:$AM, MATCH(Q$1, US_national_yearly!$D$1:$AM$1, 0), FALSE) / VLOOKUP(Substitution!$M$19 &amp; $A5, US_national_yearly!$D:$AM, MATCH(Keys!$C$7, US_national_yearly!$D$1:$AM$1, 0), FALSE), 1)</f>
        <v>0</v>
      </c>
      <c r="R5" s="12">
        <f>$B5 * IFERROR(VLOOKUP(Substitution!$M$19 &amp; $A5, US_national_yearly!$D:$AM, MATCH(R$1, US_national_yearly!$D$1:$AM$1, 0), FALSE) / VLOOKUP(Substitution!$M$19 &amp; $A5, US_national_yearly!$D:$AM, MATCH(Keys!$C$7, US_national_yearly!$D$1:$AM$1, 0), FALSE), 1)</f>
        <v>0</v>
      </c>
      <c r="S5" s="12">
        <f>$B5 * IFERROR(VLOOKUP(Substitution!$M$19 &amp; $A5, US_national_yearly!$D:$AM, MATCH(S$1, US_national_yearly!$D$1:$AM$1, 0), FALSE) / VLOOKUP(Substitution!$M$19 &amp; $A5, US_national_yearly!$D:$AM, MATCH(Keys!$C$7, US_national_yearly!$D$1:$AM$1, 0), FALSE), 1)</f>
        <v>0</v>
      </c>
      <c r="T5" s="12">
        <f>$B5 * IFERROR(VLOOKUP(Substitution!$M$19 &amp; $A5, US_national_yearly!$D:$AM, MATCH(T$1, US_national_yearly!$D$1:$AM$1, 0), FALSE) / VLOOKUP(Substitution!$M$19 &amp; $A5, US_national_yearly!$D:$AM, MATCH(Keys!$C$7, US_national_yearly!$D$1:$AM$1, 0), FALSE), 1)</f>
        <v>0</v>
      </c>
      <c r="U5" s="12">
        <f>$B5 * IFERROR(VLOOKUP(Substitution!$M$19 &amp; $A5, US_national_yearly!$D:$AM, MATCH(U$1, US_national_yearly!$D$1:$AM$1, 0), FALSE) / VLOOKUP(Substitution!$M$19 &amp; $A5, US_national_yearly!$D:$AM, MATCH(Keys!$C$7, US_national_yearly!$D$1:$AM$1, 0), FALSE), 1)</f>
        <v>0</v>
      </c>
      <c r="V5" s="12">
        <f>$B5 * IFERROR(VLOOKUP(Substitution!$M$19 &amp; $A5, US_national_yearly!$D:$AM, MATCH(V$1, US_national_yearly!$D$1:$AM$1, 0), FALSE) / VLOOKUP(Substitution!$M$19 &amp; $A5, US_national_yearly!$D:$AM, MATCH(Keys!$C$7, US_national_yearly!$D$1:$AM$1, 0), FALSE), 1)</f>
        <v>0</v>
      </c>
      <c r="W5" s="12">
        <f>$B5 * IFERROR(VLOOKUP(Substitution!$M$19 &amp; $A5, US_national_yearly!$D:$AM, MATCH(W$1, US_national_yearly!$D$1:$AM$1, 0), FALSE) / VLOOKUP(Substitution!$M$19 &amp; $A5, US_national_yearly!$D:$AM, MATCH(Keys!$C$7, US_national_yearly!$D$1:$AM$1, 0), FALSE), 1)</f>
        <v>0</v>
      </c>
      <c r="X5" s="12">
        <f>$B5 * IFERROR(VLOOKUP(Substitution!$M$19 &amp; $A5, US_national_yearly!$D:$AM, MATCH(X$1, US_national_yearly!$D$1:$AM$1, 0), FALSE) / VLOOKUP(Substitution!$M$19 &amp; $A5, US_national_yearly!$D:$AM, MATCH(Keys!$C$7, US_national_yearly!$D$1:$AM$1, 0), FALSE), 1)</f>
        <v>0</v>
      </c>
      <c r="Y5" s="12">
        <f>$B5 * IFERROR(VLOOKUP(Substitution!$M$19 &amp; $A5, US_national_yearly!$D:$AM, MATCH(Y$1, US_national_yearly!$D$1:$AM$1, 0), FALSE) / VLOOKUP(Substitution!$M$19 &amp; $A5, US_national_yearly!$D:$AM, MATCH(Keys!$C$7, US_national_yearly!$D$1:$AM$1, 0), FALSE), 1)</f>
        <v>0</v>
      </c>
      <c r="Z5" s="12">
        <f>$B5 * IFERROR(VLOOKUP(Substitution!$M$19 &amp; $A5, US_national_yearly!$D:$AM, MATCH(Z$1, US_national_yearly!$D$1:$AM$1, 0), FALSE) / VLOOKUP(Substitution!$M$19 &amp; $A5, US_national_yearly!$D:$AM, MATCH(Keys!$C$7, US_national_yearly!$D$1:$AM$1, 0), FALSE), 1)</f>
        <v>0</v>
      </c>
      <c r="AA5" s="12">
        <f>$B5 * IFERROR(VLOOKUP(Substitution!$M$19 &amp; $A5, US_national_yearly!$D:$AM, MATCH(AA$1, US_national_yearly!$D$1:$AM$1, 0), FALSE) / VLOOKUP(Substitution!$M$19 &amp; $A5, US_national_yearly!$D:$AM, MATCH(Keys!$C$7, US_national_yearly!$D$1:$AM$1, 0), FALSE), 1)</f>
        <v>0</v>
      </c>
      <c r="AB5" s="12">
        <f>$B5 * IFERROR(VLOOKUP(Substitution!$M$19 &amp; $A5, US_national_yearly!$D:$AM, MATCH(AB$1, US_national_yearly!$D$1:$AM$1, 0), FALSE) / VLOOKUP(Substitution!$M$19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Substitution!$G$19)/IFERROR(SUMIFS(COBRA_aggregated!$W:$W, COBRA_aggregated!$A:$A, About!$B$1, COBRA_aggregated!$B:$B, Substitution!$G$19), 1)</f>
        <v>8.1885791756636293E-4</v>
      </c>
      <c r="C6" s="12">
        <f>$B6 * IFERROR(VLOOKUP(Substitution!$M$19 &amp; $A6, US_national_yearly!$D:$AM, MATCH(C$1, US_national_yearly!$D$1:$AM$1, 0), FALSE) / VLOOKUP(Substitution!$M$19 &amp; $A6, US_national_yearly!$D:$AM, MATCH(Keys!$C$7, US_national_yearly!$D$1:$AM$1, 0), FALSE), 1)</f>
        <v>8.1885791756636293E-4</v>
      </c>
      <c r="D6" s="12">
        <f>$B6 * IFERROR(VLOOKUP(Substitution!$M$19 &amp; $A6, US_national_yearly!$D:$AM, MATCH(D$1, US_national_yearly!$D$1:$AM$1, 0), FALSE) / VLOOKUP(Substitution!$M$19 &amp; $A6, US_national_yearly!$D:$AM, MATCH(Keys!$C$7, US_national_yearly!$D$1:$AM$1, 0), FALSE), 1)</f>
        <v>8.1885791756636293E-4</v>
      </c>
      <c r="E6" s="12">
        <f>$B6 * IFERROR(VLOOKUP(Substitution!$M$19 &amp; $A6, US_national_yearly!$D:$AM, MATCH(E$1, US_national_yearly!$D$1:$AM$1, 0), FALSE) / VLOOKUP(Substitution!$M$19 &amp; $A6, US_national_yearly!$D:$AM, MATCH(Keys!$C$7, US_national_yearly!$D$1:$AM$1, 0), FALSE), 1)</f>
        <v>8.1885791756636293E-4</v>
      </c>
      <c r="F6" s="12">
        <f>$B6 * IFERROR(VLOOKUP(Substitution!$M$19 &amp; $A6, US_national_yearly!$D:$AM, MATCH(F$1, US_national_yearly!$D$1:$AM$1, 0), FALSE) / VLOOKUP(Substitution!$M$19 &amp; $A6, US_national_yearly!$D:$AM, MATCH(Keys!$C$7, US_national_yearly!$D$1:$AM$1, 0), FALSE), 1)</f>
        <v>8.1885791756636293E-4</v>
      </c>
      <c r="G6" s="12">
        <f>$B6 * IFERROR(VLOOKUP(Substitution!$M$19 &amp; $A6, US_national_yearly!$D:$AM, MATCH(G$1, US_national_yearly!$D$1:$AM$1, 0), FALSE) / VLOOKUP(Substitution!$M$19 &amp; $A6, US_national_yearly!$D:$AM, MATCH(Keys!$C$7, US_national_yearly!$D$1:$AM$1, 0), FALSE), 1)</f>
        <v>8.1885791756636293E-4</v>
      </c>
      <c r="H6" s="12">
        <f>$B6 * IFERROR(VLOOKUP(Substitution!$M$19 &amp; $A6, US_national_yearly!$D:$AM, MATCH(H$1, US_national_yearly!$D$1:$AM$1, 0), FALSE) / VLOOKUP(Substitution!$M$19 &amp; $A6, US_national_yearly!$D:$AM, MATCH(Keys!$C$7, US_national_yearly!$D$1:$AM$1, 0), FALSE), 1)</f>
        <v>8.1885791756636293E-4</v>
      </c>
      <c r="I6" s="12">
        <f>$B6 * IFERROR(VLOOKUP(Substitution!$M$19 &amp; $A6, US_national_yearly!$D:$AM, MATCH(I$1, US_national_yearly!$D$1:$AM$1, 0), FALSE) / VLOOKUP(Substitution!$M$19 &amp; $A6, US_national_yearly!$D:$AM, MATCH(Keys!$C$7, US_national_yearly!$D$1:$AM$1, 0), FALSE), 1)</f>
        <v>8.1885791756636293E-4</v>
      </c>
      <c r="J6" s="12">
        <f>$B6 * IFERROR(VLOOKUP(Substitution!$M$19 &amp; $A6, US_national_yearly!$D:$AM, MATCH(J$1, US_national_yearly!$D$1:$AM$1, 0), FALSE) / VLOOKUP(Substitution!$M$19 &amp; $A6, US_national_yearly!$D:$AM, MATCH(Keys!$C$7, US_national_yearly!$D$1:$AM$1, 0), FALSE), 1)</f>
        <v>8.1885791756636293E-4</v>
      </c>
      <c r="K6" s="12">
        <f>$B6 * IFERROR(VLOOKUP(Substitution!$M$19 &amp; $A6, US_national_yearly!$D:$AM, MATCH(K$1, US_national_yearly!$D$1:$AM$1, 0), FALSE) / VLOOKUP(Substitution!$M$19 &amp; $A6, US_national_yearly!$D:$AM, MATCH(Keys!$C$7, US_national_yearly!$D$1:$AM$1, 0), FALSE), 1)</f>
        <v>8.1885791756636293E-4</v>
      </c>
      <c r="L6" s="12">
        <f>$B6 * IFERROR(VLOOKUP(Substitution!$M$19 &amp; $A6, US_national_yearly!$D:$AM, MATCH(L$1, US_national_yearly!$D$1:$AM$1, 0), FALSE) / VLOOKUP(Substitution!$M$19 &amp; $A6, US_national_yearly!$D:$AM, MATCH(Keys!$C$7, US_national_yearly!$D$1:$AM$1, 0), FALSE), 1)</f>
        <v>8.1885791756636293E-4</v>
      </c>
      <c r="M6" s="12">
        <f>$B6 * IFERROR(VLOOKUP(Substitution!$M$19 &amp; $A6, US_national_yearly!$D:$AM, MATCH(M$1, US_national_yearly!$D$1:$AM$1, 0), FALSE) / VLOOKUP(Substitution!$M$19 &amp; $A6, US_national_yearly!$D:$AM, MATCH(Keys!$C$7, US_national_yearly!$D$1:$AM$1, 0), FALSE), 1)</f>
        <v>8.1885791756636293E-4</v>
      </c>
      <c r="N6" s="12">
        <f>$B6 * IFERROR(VLOOKUP(Substitution!$M$19 &amp; $A6, US_national_yearly!$D:$AM, MATCH(N$1, US_national_yearly!$D$1:$AM$1, 0), FALSE) / VLOOKUP(Substitution!$M$19 &amp; $A6, US_national_yearly!$D:$AM, MATCH(Keys!$C$7, US_national_yearly!$D$1:$AM$1, 0), FALSE), 1)</f>
        <v>8.1885791756636293E-4</v>
      </c>
      <c r="O6" s="12">
        <f>$B6 * IFERROR(VLOOKUP(Substitution!$M$19 &amp; $A6, US_national_yearly!$D:$AM, MATCH(O$1, US_national_yearly!$D$1:$AM$1, 0), FALSE) / VLOOKUP(Substitution!$M$19 &amp; $A6, US_national_yearly!$D:$AM, MATCH(Keys!$C$7, US_national_yearly!$D$1:$AM$1, 0), FALSE), 1)</f>
        <v>8.1885791756636293E-4</v>
      </c>
      <c r="P6" s="12">
        <f>$B6 * IFERROR(VLOOKUP(Substitution!$M$19 &amp; $A6, US_national_yearly!$D:$AM, MATCH(P$1, US_national_yearly!$D$1:$AM$1, 0), FALSE) / VLOOKUP(Substitution!$M$19 &amp; $A6, US_national_yearly!$D:$AM, MATCH(Keys!$C$7, US_national_yearly!$D$1:$AM$1, 0), FALSE), 1)</f>
        <v>8.1885791756636293E-4</v>
      </c>
      <c r="Q6" s="12">
        <f>$B6 * IFERROR(VLOOKUP(Substitution!$M$19 &amp; $A6, US_national_yearly!$D:$AM, MATCH(Q$1, US_national_yearly!$D$1:$AM$1, 0), FALSE) / VLOOKUP(Substitution!$M$19 &amp; $A6, US_national_yearly!$D:$AM, MATCH(Keys!$C$7, US_national_yearly!$D$1:$AM$1, 0), FALSE), 1)</f>
        <v>8.1885791756636293E-4</v>
      </c>
      <c r="R6" s="12">
        <f>$B6 * IFERROR(VLOOKUP(Substitution!$M$19 &amp; $A6, US_national_yearly!$D:$AM, MATCH(R$1, US_national_yearly!$D$1:$AM$1, 0), FALSE) / VLOOKUP(Substitution!$M$19 &amp; $A6, US_national_yearly!$D:$AM, MATCH(Keys!$C$7, US_national_yearly!$D$1:$AM$1, 0), FALSE), 1)</f>
        <v>8.1885791756636293E-4</v>
      </c>
      <c r="S6" s="12">
        <f>$B6 * IFERROR(VLOOKUP(Substitution!$M$19 &amp; $A6, US_national_yearly!$D:$AM, MATCH(S$1, US_national_yearly!$D$1:$AM$1, 0), FALSE) / VLOOKUP(Substitution!$M$19 &amp; $A6, US_national_yearly!$D:$AM, MATCH(Keys!$C$7, US_national_yearly!$D$1:$AM$1, 0), FALSE), 1)</f>
        <v>8.1885791756636293E-4</v>
      </c>
      <c r="T6" s="12">
        <f>$B6 * IFERROR(VLOOKUP(Substitution!$M$19 &amp; $A6, US_national_yearly!$D:$AM, MATCH(T$1, US_national_yearly!$D$1:$AM$1, 0), FALSE) / VLOOKUP(Substitution!$M$19 &amp; $A6, US_national_yearly!$D:$AM, MATCH(Keys!$C$7, US_national_yearly!$D$1:$AM$1, 0), FALSE), 1)</f>
        <v>8.1885791756636293E-4</v>
      </c>
      <c r="U6" s="12">
        <f>$B6 * IFERROR(VLOOKUP(Substitution!$M$19 &amp; $A6, US_national_yearly!$D:$AM, MATCH(U$1, US_national_yearly!$D$1:$AM$1, 0), FALSE) / VLOOKUP(Substitution!$M$19 &amp; $A6, US_national_yearly!$D:$AM, MATCH(Keys!$C$7, US_national_yearly!$D$1:$AM$1, 0), FALSE), 1)</f>
        <v>8.1885791756636293E-4</v>
      </c>
      <c r="V6" s="12">
        <f>$B6 * IFERROR(VLOOKUP(Substitution!$M$19 &amp; $A6, US_national_yearly!$D:$AM, MATCH(V$1, US_national_yearly!$D$1:$AM$1, 0), FALSE) / VLOOKUP(Substitution!$M$19 &amp; $A6, US_national_yearly!$D:$AM, MATCH(Keys!$C$7, US_national_yearly!$D$1:$AM$1, 0), FALSE), 1)</f>
        <v>8.1885791756636293E-4</v>
      </c>
      <c r="W6" s="12">
        <f>$B6 * IFERROR(VLOOKUP(Substitution!$M$19 &amp; $A6, US_national_yearly!$D:$AM, MATCH(W$1, US_national_yearly!$D$1:$AM$1, 0), FALSE) / VLOOKUP(Substitution!$M$19 &amp; $A6, US_national_yearly!$D:$AM, MATCH(Keys!$C$7, US_national_yearly!$D$1:$AM$1, 0), FALSE), 1)</f>
        <v>8.1885791756636293E-4</v>
      </c>
      <c r="X6" s="12">
        <f>$B6 * IFERROR(VLOOKUP(Substitution!$M$19 &amp; $A6, US_national_yearly!$D:$AM, MATCH(X$1, US_national_yearly!$D$1:$AM$1, 0), FALSE) / VLOOKUP(Substitution!$M$19 &amp; $A6, US_national_yearly!$D:$AM, MATCH(Keys!$C$7, US_national_yearly!$D$1:$AM$1, 0), FALSE), 1)</f>
        <v>8.1885791756636293E-4</v>
      </c>
      <c r="Y6" s="12">
        <f>$B6 * IFERROR(VLOOKUP(Substitution!$M$19 &amp; $A6, US_national_yearly!$D:$AM, MATCH(Y$1, US_national_yearly!$D$1:$AM$1, 0), FALSE) / VLOOKUP(Substitution!$M$19 &amp; $A6, US_national_yearly!$D:$AM, MATCH(Keys!$C$7, US_national_yearly!$D$1:$AM$1, 0), FALSE), 1)</f>
        <v>8.1885791756636293E-4</v>
      </c>
      <c r="Z6" s="12">
        <f>$B6 * IFERROR(VLOOKUP(Substitution!$M$19 &amp; $A6, US_national_yearly!$D:$AM, MATCH(Z$1, US_national_yearly!$D$1:$AM$1, 0), FALSE) / VLOOKUP(Substitution!$M$19 &amp; $A6, US_national_yearly!$D:$AM, MATCH(Keys!$C$7, US_national_yearly!$D$1:$AM$1, 0), FALSE), 1)</f>
        <v>8.1885791756636293E-4</v>
      </c>
      <c r="AA6" s="12">
        <f>$B6 * IFERROR(VLOOKUP(Substitution!$M$19 &amp; $A6, US_national_yearly!$D:$AM, MATCH(AA$1, US_national_yearly!$D$1:$AM$1, 0), FALSE) / VLOOKUP(Substitution!$M$19 &amp; $A6, US_national_yearly!$D:$AM, MATCH(Keys!$C$7, US_national_yearly!$D$1:$AM$1, 0), FALSE), 1)</f>
        <v>8.1885791756636293E-4</v>
      </c>
      <c r="AB6" s="12">
        <f>$B6 * IFERROR(VLOOKUP(Substitution!$M$19 &amp; $A6, US_national_yearly!$D:$AM, MATCH(AB$1, US_national_yearly!$D$1:$AM$1, 0), FALSE) / VLOOKUP(Substitution!$M$19 &amp; $A6, US_national_yearly!$D:$AM, MATCH(Keys!$C$7, US_national_yearly!$D$1:$AM$1, 0), FALSE), 1)</f>
        <v>8.1885791756636293E-4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Substitution!$G$19)/IFERROR(SUMIFS(COBRA_aggregated!$W:$W, COBRA_aggregated!$A:$A, About!$B$1, COBRA_aggregated!$B:$B, Substitution!$G$19), 1)</f>
        <v>1.1027016515630303E-3</v>
      </c>
      <c r="C7" s="12">
        <f>$B7 * IFERROR(VLOOKUP(Substitution!$M$19 &amp; $A7, US_national_yearly!$D:$AM, MATCH(C$1, US_national_yearly!$D$1:$AM$1, 0), FALSE) / VLOOKUP(Substitution!$M$19 &amp; $A7, US_national_yearly!$D:$AM, MATCH(Keys!$C$7, US_national_yearly!$D$1:$AM$1, 0), FALSE), 1)</f>
        <v>1.1027016515630303E-3</v>
      </c>
      <c r="D7" s="12">
        <f>$B7 * IFERROR(VLOOKUP(Substitution!$M$19 &amp; $A7, US_national_yearly!$D:$AM, MATCH(D$1, US_national_yearly!$D$1:$AM$1, 0), FALSE) / VLOOKUP(Substitution!$M$19 &amp; $A7, US_national_yearly!$D:$AM, MATCH(Keys!$C$7, US_national_yearly!$D$1:$AM$1, 0), FALSE), 1)</f>
        <v>1.1027016515630303E-3</v>
      </c>
      <c r="E7" s="12">
        <f>$B7 * IFERROR(VLOOKUP(Substitution!$M$19 &amp; $A7, US_national_yearly!$D:$AM, MATCH(E$1, US_national_yearly!$D$1:$AM$1, 0), FALSE) / VLOOKUP(Substitution!$M$19 &amp; $A7, US_national_yearly!$D:$AM, MATCH(Keys!$C$7, US_national_yearly!$D$1:$AM$1, 0), FALSE), 1)</f>
        <v>1.1027016515630303E-3</v>
      </c>
      <c r="F7" s="12">
        <f>$B7 * IFERROR(VLOOKUP(Substitution!$M$19 &amp; $A7, US_national_yearly!$D:$AM, MATCH(F$1, US_national_yearly!$D$1:$AM$1, 0), FALSE) / VLOOKUP(Substitution!$M$19 &amp; $A7, US_national_yearly!$D:$AM, MATCH(Keys!$C$7, US_national_yearly!$D$1:$AM$1, 0), FALSE), 1)</f>
        <v>1.1027016515630303E-3</v>
      </c>
      <c r="G7" s="12">
        <f>$B7 * IFERROR(VLOOKUP(Substitution!$M$19 &amp; $A7, US_national_yearly!$D:$AM, MATCH(G$1, US_national_yearly!$D$1:$AM$1, 0), FALSE) / VLOOKUP(Substitution!$M$19 &amp; $A7, US_national_yearly!$D:$AM, MATCH(Keys!$C$7, US_national_yearly!$D$1:$AM$1, 0), FALSE), 1)</f>
        <v>1.1027016515630303E-3</v>
      </c>
      <c r="H7" s="12">
        <f>$B7 * IFERROR(VLOOKUP(Substitution!$M$19 &amp; $A7, US_national_yearly!$D:$AM, MATCH(H$1, US_national_yearly!$D$1:$AM$1, 0), FALSE) / VLOOKUP(Substitution!$M$19 &amp; $A7, US_national_yearly!$D:$AM, MATCH(Keys!$C$7, US_national_yearly!$D$1:$AM$1, 0), FALSE), 1)</f>
        <v>1.1027016515630303E-3</v>
      </c>
      <c r="I7" s="12">
        <f>$B7 * IFERROR(VLOOKUP(Substitution!$M$19 &amp; $A7, US_national_yearly!$D:$AM, MATCH(I$1, US_national_yearly!$D$1:$AM$1, 0), FALSE) / VLOOKUP(Substitution!$M$19 &amp; $A7, US_national_yearly!$D:$AM, MATCH(Keys!$C$7, US_national_yearly!$D$1:$AM$1, 0), FALSE), 1)</f>
        <v>1.1027016515630303E-3</v>
      </c>
      <c r="J7" s="12">
        <f>$B7 * IFERROR(VLOOKUP(Substitution!$M$19 &amp; $A7, US_national_yearly!$D:$AM, MATCH(J$1, US_national_yearly!$D$1:$AM$1, 0), FALSE) / VLOOKUP(Substitution!$M$19 &amp; $A7, US_national_yearly!$D:$AM, MATCH(Keys!$C$7, US_national_yearly!$D$1:$AM$1, 0), FALSE), 1)</f>
        <v>1.1027016515630303E-3</v>
      </c>
      <c r="K7" s="12">
        <f>$B7 * IFERROR(VLOOKUP(Substitution!$M$19 &amp; $A7, US_national_yearly!$D:$AM, MATCH(K$1, US_national_yearly!$D$1:$AM$1, 0), FALSE) / VLOOKUP(Substitution!$M$19 &amp; $A7, US_national_yearly!$D:$AM, MATCH(Keys!$C$7, US_national_yearly!$D$1:$AM$1, 0), FALSE), 1)</f>
        <v>1.1027016515630303E-3</v>
      </c>
      <c r="L7" s="12">
        <f>$B7 * IFERROR(VLOOKUP(Substitution!$M$19 &amp; $A7, US_national_yearly!$D:$AM, MATCH(L$1, US_national_yearly!$D$1:$AM$1, 0), FALSE) / VLOOKUP(Substitution!$M$19 &amp; $A7, US_national_yearly!$D:$AM, MATCH(Keys!$C$7, US_national_yearly!$D$1:$AM$1, 0), FALSE), 1)</f>
        <v>1.1027016515630303E-3</v>
      </c>
      <c r="M7" s="12">
        <f>$B7 * IFERROR(VLOOKUP(Substitution!$M$19 &amp; $A7, US_national_yearly!$D:$AM, MATCH(M$1, US_national_yearly!$D$1:$AM$1, 0), FALSE) / VLOOKUP(Substitution!$M$19 &amp; $A7, US_national_yearly!$D:$AM, MATCH(Keys!$C$7, US_national_yearly!$D$1:$AM$1, 0), FALSE), 1)</f>
        <v>1.1027016515630303E-3</v>
      </c>
      <c r="N7" s="12">
        <f>$B7 * IFERROR(VLOOKUP(Substitution!$M$19 &amp; $A7, US_national_yearly!$D:$AM, MATCH(N$1, US_national_yearly!$D$1:$AM$1, 0), FALSE) / VLOOKUP(Substitution!$M$19 &amp; $A7, US_national_yearly!$D:$AM, MATCH(Keys!$C$7, US_national_yearly!$D$1:$AM$1, 0), FALSE), 1)</f>
        <v>1.1027016515630303E-3</v>
      </c>
      <c r="O7" s="12">
        <f>$B7 * IFERROR(VLOOKUP(Substitution!$M$19 &amp; $A7, US_national_yearly!$D:$AM, MATCH(O$1, US_national_yearly!$D$1:$AM$1, 0), FALSE) / VLOOKUP(Substitution!$M$19 &amp; $A7, US_national_yearly!$D:$AM, MATCH(Keys!$C$7, US_national_yearly!$D$1:$AM$1, 0), FALSE), 1)</f>
        <v>1.1027016515630303E-3</v>
      </c>
      <c r="P7" s="12">
        <f>$B7 * IFERROR(VLOOKUP(Substitution!$M$19 &amp; $A7, US_national_yearly!$D:$AM, MATCH(P$1, US_national_yearly!$D$1:$AM$1, 0), FALSE) / VLOOKUP(Substitution!$M$19 &amp; $A7, US_national_yearly!$D:$AM, MATCH(Keys!$C$7, US_national_yearly!$D$1:$AM$1, 0), FALSE), 1)</f>
        <v>1.1027016515630303E-3</v>
      </c>
      <c r="Q7" s="12">
        <f>$B7 * IFERROR(VLOOKUP(Substitution!$M$19 &amp; $A7, US_national_yearly!$D:$AM, MATCH(Q$1, US_national_yearly!$D$1:$AM$1, 0), FALSE) / VLOOKUP(Substitution!$M$19 &amp; $A7, US_national_yearly!$D:$AM, MATCH(Keys!$C$7, US_national_yearly!$D$1:$AM$1, 0), FALSE), 1)</f>
        <v>1.1027016515630303E-3</v>
      </c>
      <c r="R7" s="12">
        <f>$B7 * IFERROR(VLOOKUP(Substitution!$M$19 &amp; $A7, US_national_yearly!$D:$AM, MATCH(R$1, US_national_yearly!$D$1:$AM$1, 0), FALSE) / VLOOKUP(Substitution!$M$19 &amp; $A7, US_national_yearly!$D:$AM, MATCH(Keys!$C$7, US_national_yearly!$D$1:$AM$1, 0), FALSE), 1)</f>
        <v>1.1027016515630303E-3</v>
      </c>
      <c r="S7" s="12">
        <f>$B7 * IFERROR(VLOOKUP(Substitution!$M$19 &amp; $A7, US_national_yearly!$D:$AM, MATCH(S$1, US_national_yearly!$D$1:$AM$1, 0), FALSE) / VLOOKUP(Substitution!$M$19 &amp; $A7, US_national_yearly!$D:$AM, MATCH(Keys!$C$7, US_national_yearly!$D$1:$AM$1, 0), FALSE), 1)</f>
        <v>1.1027016515630303E-3</v>
      </c>
      <c r="T7" s="12">
        <f>$B7 * IFERROR(VLOOKUP(Substitution!$M$19 &amp; $A7, US_national_yearly!$D:$AM, MATCH(T$1, US_national_yearly!$D$1:$AM$1, 0), FALSE) / VLOOKUP(Substitution!$M$19 &amp; $A7, US_national_yearly!$D:$AM, MATCH(Keys!$C$7, US_national_yearly!$D$1:$AM$1, 0), FALSE), 1)</f>
        <v>1.1027016515630303E-3</v>
      </c>
      <c r="U7" s="12">
        <f>$B7 * IFERROR(VLOOKUP(Substitution!$M$19 &amp; $A7, US_national_yearly!$D:$AM, MATCH(U$1, US_national_yearly!$D$1:$AM$1, 0), FALSE) / VLOOKUP(Substitution!$M$19 &amp; $A7, US_national_yearly!$D:$AM, MATCH(Keys!$C$7, US_national_yearly!$D$1:$AM$1, 0), FALSE), 1)</f>
        <v>1.1027016515630303E-3</v>
      </c>
      <c r="V7" s="12">
        <f>$B7 * IFERROR(VLOOKUP(Substitution!$M$19 &amp; $A7, US_national_yearly!$D:$AM, MATCH(V$1, US_national_yearly!$D$1:$AM$1, 0), FALSE) / VLOOKUP(Substitution!$M$19 &amp; $A7, US_national_yearly!$D:$AM, MATCH(Keys!$C$7, US_national_yearly!$D$1:$AM$1, 0), FALSE), 1)</f>
        <v>1.1027016515630303E-3</v>
      </c>
      <c r="W7" s="12">
        <f>$B7 * IFERROR(VLOOKUP(Substitution!$M$19 &amp; $A7, US_national_yearly!$D:$AM, MATCH(W$1, US_national_yearly!$D$1:$AM$1, 0), FALSE) / VLOOKUP(Substitution!$M$19 &amp; $A7, US_national_yearly!$D:$AM, MATCH(Keys!$C$7, US_national_yearly!$D$1:$AM$1, 0), FALSE), 1)</f>
        <v>1.1027016515630303E-3</v>
      </c>
      <c r="X7" s="12">
        <f>$B7 * IFERROR(VLOOKUP(Substitution!$M$19 &amp; $A7, US_national_yearly!$D:$AM, MATCH(X$1, US_national_yearly!$D$1:$AM$1, 0), FALSE) / VLOOKUP(Substitution!$M$19 &amp; $A7, US_national_yearly!$D:$AM, MATCH(Keys!$C$7, US_national_yearly!$D$1:$AM$1, 0), FALSE), 1)</f>
        <v>1.1027016515630303E-3</v>
      </c>
      <c r="Y7" s="12">
        <f>$B7 * IFERROR(VLOOKUP(Substitution!$M$19 &amp; $A7, US_national_yearly!$D:$AM, MATCH(Y$1, US_national_yearly!$D$1:$AM$1, 0), FALSE) / VLOOKUP(Substitution!$M$19 &amp; $A7, US_national_yearly!$D:$AM, MATCH(Keys!$C$7, US_national_yearly!$D$1:$AM$1, 0), FALSE), 1)</f>
        <v>1.1027016515630303E-3</v>
      </c>
      <c r="Z7" s="12">
        <f>$B7 * IFERROR(VLOOKUP(Substitution!$M$19 &amp; $A7, US_national_yearly!$D:$AM, MATCH(Z$1, US_national_yearly!$D$1:$AM$1, 0), FALSE) / VLOOKUP(Substitution!$M$19 &amp; $A7, US_national_yearly!$D:$AM, MATCH(Keys!$C$7, US_national_yearly!$D$1:$AM$1, 0), FALSE), 1)</f>
        <v>1.1027016515630303E-3</v>
      </c>
      <c r="AA7" s="12">
        <f>$B7 * IFERROR(VLOOKUP(Substitution!$M$19 &amp; $A7, US_national_yearly!$D:$AM, MATCH(AA$1, US_national_yearly!$D$1:$AM$1, 0), FALSE) / VLOOKUP(Substitution!$M$19 &amp; $A7, US_national_yearly!$D:$AM, MATCH(Keys!$C$7, US_national_yearly!$D$1:$AM$1, 0), FALSE), 1)</f>
        <v>1.1027016515630303E-3</v>
      </c>
      <c r="AB7" s="12">
        <f>$B7 * IFERROR(VLOOKUP(Substitution!$M$19 &amp; $A7, US_national_yearly!$D:$AM, MATCH(AB$1, US_national_yearly!$D$1:$AM$1, 0), FALSE) / VLOOKUP(Substitution!$M$19 &amp; $A7, US_national_yearly!$D:$AM, MATCH(Keys!$C$7, US_national_yearly!$D$1:$AM$1, 0), FALSE), 1)</f>
        <v>1.1027016515630303E-3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Substitution!$G$19)/IFERROR(SUMIFS(COBRA_aggregated!$W:$W, COBRA_aggregated!$A:$A, About!$B$1, COBRA_aggregated!$B:$B, Substitution!$G$19), 1)</f>
        <v>1.6847746043236005E-3</v>
      </c>
      <c r="C8" s="12">
        <f>$B8 * IFERROR(VLOOKUP(Substitution!$M$19 &amp; $A8, US_national_yearly!$D:$AM, MATCH(C$1, US_national_yearly!$D$1:$AM$1, 0), FALSE) / VLOOKUP(Substitution!$M$19 &amp; $A8, US_national_yearly!$D:$AM, MATCH(Keys!$C$7, US_national_yearly!$D$1:$AM$1, 0), FALSE), 1)</f>
        <v>1.6847746043236005E-3</v>
      </c>
      <c r="D8" s="12">
        <f>$B8 * IFERROR(VLOOKUP(Substitution!$M$19 &amp; $A8, US_national_yearly!$D:$AM, MATCH(D$1, US_national_yearly!$D$1:$AM$1, 0), FALSE) / VLOOKUP(Substitution!$M$19 &amp; $A8, US_national_yearly!$D:$AM, MATCH(Keys!$C$7, US_national_yearly!$D$1:$AM$1, 0), FALSE), 1)</f>
        <v>1.6847746043236005E-3</v>
      </c>
      <c r="E8" s="12">
        <f>$B8 * IFERROR(VLOOKUP(Substitution!$M$19 &amp; $A8, US_national_yearly!$D:$AM, MATCH(E$1, US_national_yearly!$D$1:$AM$1, 0), FALSE) / VLOOKUP(Substitution!$M$19 &amp; $A8, US_national_yearly!$D:$AM, MATCH(Keys!$C$7, US_national_yearly!$D$1:$AM$1, 0), FALSE), 1)</f>
        <v>1.6847746043236005E-3</v>
      </c>
      <c r="F8" s="12">
        <f>$B8 * IFERROR(VLOOKUP(Substitution!$M$19 &amp; $A8, US_national_yearly!$D:$AM, MATCH(F$1, US_national_yearly!$D$1:$AM$1, 0), FALSE) / VLOOKUP(Substitution!$M$19 &amp; $A8, US_national_yearly!$D:$AM, MATCH(Keys!$C$7, US_national_yearly!$D$1:$AM$1, 0), FALSE), 1)</f>
        <v>1.6847746043236005E-3</v>
      </c>
      <c r="G8" s="12">
        <f>$B8 * IFERROR(VLOOKUP(Substitution!$M$19 &amp; $A8, US_national_yearly!$D:$AM, MATCH(G$1, US_national_yearly!$D$1:$AM$1, 0), FALSE) / VLOOKUP(Substitution!$M$19 &amp; $A8, US_national_yearly!$D:$AM, MATCH(Keys!$C$7, US_national_yearly!$D$1:$AM$1, 0), FALSE), 1)</f>
        <v>1.6847746043236005E-3</v>
      </c>
      <c r="H8" s="12">
        <f>$B8 * IFERROR(VLOOKUP(Substitution!$M$19 &amp; $A8, US_national_yearly!$D:$AM, MATCH(H$1, US_national_yearly!$D$1:$AM$1, 0), FALSE) / VLOOKUP(Substitution!$M$19 &amp; $A8, US_national_yearly!$D:$AM, MATCH(Keys!$C$7, US_national_yearly!$D$1:$AM$1, 0), FALSE), 1)</f>
        <v>1.6847746043236005E-3</v>
      </c>
      <c r="I8" s="12">
        <f>$B8 * IFERROR(VLOOKUP(Substitution!$M$19 &amp; $A8, US_national_yearly!$D:$AM, MATCH(I$1, US_national_yearly!$D$1:$AM$1, 0), FALSE) / VLOOKUP(Substitution!$M$19 &amp; $A8, US_national_yearly!$D:$AM, MATCH(Keys!$C$7, US_national_yearly!$D$1:$AM$1, 0), FALSE), 1)</f>
        <v>1.6847746043236005E-3</v>
      </c>
      <c r="J8" s="12">
        <f>$B8 * IFERROR(VLOOKUP(Substitution!$M$19 &amp; $A8, US_national_yearly!$D:$AM, MATCH(J$1, US_national_yearly!$D$1:$AM$1, 0), FALSE) / VLOOKUP(Substitution!$M$19 &amp; $A8, US_national_yearly!$D:$AM, MATCH(Keys!$C$7, US_national_yearly!$D$1:$AM$1, 0), FALSE), 1)</f>
        <v>1.6847746043236005E-3</v>
      </c>
      <c r="K8" s="12">
        <f>$B8 * IFERROR(VLOOKUP(Substitution!$M$19 &amp; $A8, US_national_yearly!$D:$AM, MATCH(K$1, US_national_yearly!$D$1:$AM$1, 0), FALSE) / VLOOKUP(Substitution!$M$19 &amp; $A8, US_national_yearly!$D:$AM, MATCH(Keys!$C$7, US_national_yearly!$D$1:$AM$1, 0), FALSE), 1)</f>
        <v>1.6847746043236005E-3</v>
      </c>
      <c r="L8" s="12">
        <f>$B8 * IFERROR(VLOOKUP(Substitution!$M$19 &amp; $A8, US_national_yearly!$D:$AM, MATCH(L$1, US_national_yearly!$D$1:$AM$1, 0), FALSE) / VLOOKUP(Substitution!$M$19 &amp; $A8, US_national_yearly!$D:$AM, MATCH(Keys!$C$7, US_national_yearly!$D$1:$AM$1, 0), FALSE), 1)</f>
        <v>1.6847746043236005E-3</v>
      </c>
      <c r="M8" s="12">
        <f>$B8 * IFERROR(VLOOKUP(Substitution!$M$19 &amp; $A8, US_national_yearly!$D:$AM, MATCH(M$1, US_national_yearly!$D$1:$AM$1, 0), FALSE) / VLOOKUP(Substitution!$M$19 &amp; $A8, US_national_yearly!$D:$AM, MATCH(Keys!$C$7, US_national_yearly!$D$1:$AM$1, 0), FALSE), 1)</f>
        <v>1.6847746043236005E-3</v>
      </c>
      <c r="N8" s="12">
        <f>$B8 * IFERROR(VLOOKUP(Substitution!$M$19 &amp; $A8, US_national_yearly!$D:$AM, MATCH(N$1, US_national_yearly!$D$1:$AM$1, 0), FALSE) / VLOOKUP(Substitution!$M$19 &amp; $A8, US_national_yearly!$D:$AM, MATCH(Keys!$C$7, US_national_yearly!$D$1:$AM$1, 0), FALSE), 1)</f>
        <v>1.6847746043236005E-3</v>
      </c>
      <c r="O8" s="12">
        <f>$B8 * IFERROR(VLOOKUP(Substitution!$M$19 &amp; $A8, US_national_yearly!$D:$AM, MATCH(O$1, US_national_yearly!$D$1:$AM$1, 0), FALSE) / VLOOKUP(Substitution!$M$19 &amp; $A8, US_national_yearly!$D:$AM, MATCH(Keys!$C$7, US_national_yearly!$D$1:$AM$1, 0), FALSE), 1)</f>
        <v>1.6847746043236005E-3</v>
      </c>
      <c r="P8" s="12">
        <f>$B8 * IFERROR(VLOOKUP(Substitution!$M$19 &amp; $A8, US_national_yearly!$D:$AM, MATCH(P$1, US_national_yearly!$D$1:$AM$1, 0), FALSE) / VLOOKUP(Substitution!$M$19 &amp; $A8, US_national_yearly!$D:$AM, MATCH(Keys!$C$7, US_national_yearly!$D$1:$AM$1, 0), FALSE), 1)</f>
        <v>1.6847746043236005E-3</v>
      </c>
      <c r="Q8" s="12">
        <f>$B8 * IFERROR(VLOOKUP(Substitution!$M$19 &amp; $A8, US_national_yearly!$D:$AM, MATCH(Q$1, US_national_yearly!$D$1:$AM$1, 0), FALSE) / VLOOKUP(Substitution!$M$19 &amp; $A8, US_national_yearly!$D:$AM, MATCH(Keys!$C$7, US_national_yearly!$D$1:$AM$1, 0), FALSE), 1)</f>
        <v>1.6847746043236005E-3</v>
      </c>
      <c r="R8" s="12">
        <f>$B8 * IFERROR(VLOOKUP(Substitution!$M$19 &amp; $A8, US_national_yearly!$D:$AM, MATCH(R$1, US_national_yearly!$D$1:$AM$1, 0), FALSE) / VLOOKUP(Substitution!$M$19 &amp; $A8, US_national_yearly!$D:$AM, MATCH(Keys!$C$7, US_national_yearly!$D$1:$AM$1, 0), FALSE), 1)</f>
        <v>1.6847746043236005E-3</v>
      </c>
      <c r="S8" s="12">
        <f>$B8 * IFERROR(VLOOKUP(Substitution!$M$19 &amp; $A8, US_national_yearly!$D:$AM, MATCH(S$1, US_national_yearly!$D$1:$AM$1, 0), FALSE) / VLOOKUP(Substitution!$M$19 &amp; $A8, US_national_yearly!$D:$AM, MATCH(Keys!$C$7, US_national_yearly!$D$1:$AM$1, 0), FALSE), 1)</f>
        <v>1.6847746043236005E-3</v>
      </c>
      <c r="T8" s="12">
        <f>$B8 * IFERROR(VLOOKUP(Substitution!$M$19 &amp; $A8, US_national_yearly!$D:$AM, MATCH(T$1, US_national_yearly!$D$1:$AM$1, 0), FALSE) / VLOOKUP(Substitution!$M$19 &amp; $A8, US_national_yearly!$D:$AM, MATCH(Keys!$C$7, US_national_yearly!$D$1:$AM$1, 0), FALSE), 1)</f>
        <v>1.6847746043236005E-3</v>
      </c>
      <c r="U8" s="12">
        <f>$B8 * IFERROR(VLOOKUP(Substitution!$M$19 &amp; $A8, US_national_yearly!$D:$AM, MATCH(U$1, US_national_yearly!$D$1:$AM$1, 0), FALSE) / VLOOKUP(Substitution!$M$19 &amp; $A8, US_national_yearly!$D:$AM, MATCH(Keys!$C$7, US_national_yearly!$D$1:$AM$1, 0), FALSE), 1)</f>
        <v>1.6847746043236005E-3</v>
      </c>
      <c r="V8" s="12">
        <f>$B8 * IFERROR(VLOOKUP(Substitution!$M$19 &amp; $A8, US_national_yearly!$D:$AM, MATCH(V$1, US_national_yearly!$D$1:$AM$1, 0), FALSE) / VLOOKUP(Substitution!$M$19 &amp; $A8, US_national_yearly!$D:$AM, MATCH(Keys!$C$7, US_national_yearly!$D$1:$AM$1, 0), FALSE), 1)</f>
        <v>1.6847746043236005E-3</v>
      </c>
      <c r="W8" s="12">
        <f>$B8 * IFERROR(VLOOKUP(Substitution!$M$19 &amp; $A8, US_national_yearly!$D:$AM, MATCH(W$1, US_national_yearly!$D$1:$AM$1, 0), FALSE) / VLOOKUP(Substitution!$M$19 &amp; $A8, US_national_yearly!$D:$AM, MATCH(Keys!$C$7, US_national_yearly!$D$1:$AM$1, 0), FALSE), 1)</f>
        <v>1.6847746043236005E-3</v>
      </c>
      <c r="X8" s="12">
        <f>$B8 * IFERROR(VLOOKUP(Substitution!$M$19 &amp; $A8, US_national_yearly!$D:$AM, MATCH(X$1, US_national_yearly!$D$1:$AM$1, 0), FALSE) / VLOOKUP(Substitution!$M$19 &amp; $A8, US_national_yearly!$D:$AM, MATCH(Keys!$C$7, US_national_yearly!$D$1:$AM$1, 0), FALSE), 1)</f>
        <v>1.6847746043236005E-3</v>
      </c>
      <c r="Y8" s="12">
        <f>$B8 * IFERROR(VLOOKUP(Substitution!$M$19 &amp; $A8, US_national_yearly!$D:$AM, MATCH(Y$1, US_national_yearly!$D$1:$AM$1, 0), FALSE) / VLOOKUP(Substitution!$M$19 &amp; $A8, US_national_yearly!$D:$AM, MATCH(Keys!$C$7, US_national_yearly!$D$1:$AM$1, 0), FALSE), 1)</f>
        <v>1.6847746043236005E-3</v>
      </c>
      <c r="Z8" s="12">
        <f>$B8 * IFERROR(VLOOKUP(Substitution!$M$19 &amp; $A8, US_national_yearly!$D:$AM, MATCH(Z$1, US_national_yearly!$D$1:$AM$1, 0), FALSE) / VLOOKUP(Substitution!$M$19 &amp; $A8, US_national_yearly!$D:$AM, MATCH(Keys!$C$7, US_national_yearly!$D$1:$AM$1, 0), FALSE), 1)</f>
        <v>1.6847746043236005E-3</v>
      </c>
      <c r="AA8" s="12">
        <f>$B8 * IFERROR(VLOOKUP(Substitution!$M$19 &amp; $A8, US_national_yearly!$D:$AM, MATCH(AA$1, US_national_yearly!$D$1:$AM$1, 0), FALSE) / VLOOKUP(Substitution!$M$19 &amp; $A8, US_national_yearly!$D:$AM, MATCH(Keys!$C$7, US_national_yearly!$D$1:$AM$1, 0), FALSE), 1)</f>
        <v>1.6847746043236005E-3</v>
      </c>
      <c r="AB8" s="12">
        <f>$B8 * IFERROR(VLOOKUP(Substitution!$M$19 &amp; $A8, US_national_yearly!$D:$AM, MATCH(AB$1, US_national_yearly!$D$1:$AM$1, 0), FALSE) / VLOOKUP(Substitution!$M$19 &amp; $A8, US_national_yearly!$D:$AM, MATCH(Keys!$C$7, US_national_yearly!$D$1:$AM$1, 0), FALSE), 1)</f>
        <v>1.6847746043236005E-3</v>
      </c>
    </row>
    <row r="9" spans="1:28" x14ac:dyDescent="0.25">
      <c r="A9" s="4" t="s">
        <v>305</v>
      </c>
      <c r="B9" s="12">
        <f>IFERROR(VLOOKUP(Substitution!$M$19 &amp; $A9, US_national_yearly!$D:$AM, MATCH(Keys!$C$7, US_national_yearly!$D$1:$AM$1, 0), FALSE), 0)</f>
        <v>6.0297405567772419E-3</v>
      </c>
      <c r="C9" s="12">
        <f>$B9 * IFERROR(VLOOKUP(Substitution!$M$19 &amp; $A9, US_national_yearly!$D:$AM, MATCH(C$1, US_national_yearly!$D$1:$AM$1, 0), FALSE) / VLOOKUP(Substitution!$M$19 &amp; $A9, US_national_yearly!$D:$AM, MATCH(Keys!$C$7, US_national_yearly!$D$1:$AM$1, 0), FALSE), 1)</f>
        <v>6.0700067281742242E-3</v>
      </c>
      <c r="D9" s="12">
        <f>$B9 * IFERROR(VLOOKUP(Substitution!$M$19 &amp; $A9, US_national_yearly!$D:$AM, MATCH(D$1, US_national_yearly!$D$1:$AM$1, 0), FALSE) / VLOOKUP(Substitution!$M$19 &amp; $A9, US_national_yearly!$D:$AM, MATCH(Keys!$C$7, US_national_yearly!$D$1:$AM$1, 0), FALSE), 1)</f>
        <v>6.1102728995712056E-3</v>
      </c>
      <c r="E9" s="12">
        <f>$B9 * IFERROR(VLOOKUP(Substitution!$M$19 &amp; $A9, US_national_yearly!$D:$AM, MATCH(E$1, US_national_yearly!$D$1:$AM$1, 0), FALSE) / VLOOKUP(Substitution!$M$19 &amp; $A9, US_national_yearly!$D:$AM, MATCH(Keys!$C$7, US_national_yearly!$D$1:$AM$1, 0), FALSE), 1)</f>
        <v>6.1505390709681879E-3</v>
      </c>
      <c r="F9" s="12">
        <f>$B9 * IFERROR(VLOOKUP(Substitution!$M$19 &amp; $A9, US_national_yearly!$D:$AM, MATCH(F$1, US_national_yearly!$D$1:$AM$1, 0), FALSE) / VLOOKUP(Substitution!$M$19 &amp; $A9, US_national_yearly!$D:$AM, MATCH(Keys!$C$7, US_national_yearly!$D$1:$AM$1, 0), FALSE), 1)</f>
        <v>6.1908052423651711E-3</v>
      </c>
      <c r="G9" s="12">
        <f>$B9 * IFERROR(VLOOKUP(Substitution!$M$19 &amp; $A9, US_national_yearly!$D:$AM, MATCH(G$1, US_national_yearly!$D$1:$AM$1, 0), FALSE) / VLOOKUP(Substitution!$M$19 &amp; $A9, US_national_yearly!$D:$AM, MATCH(Keys!$C$7, US_national_yearly!$D$1:$AM$1, 0), FALSE), 1)</f>
        <v>6.2270806998044447E-3</v>
      </c>
      <c r="H9" s="12">
        <f>$B9 * IFERROR(VLOOKUP(Substitution!$M$19 &amp; $A9, US_national_yearly!$D:$AM, MATCH(H$1, US_national_yearly!$D$1:$AM$1, 0), FALSE) / VLOOKUP(Substitution!$M$19 &amp; $A9, US_national_yearly!$D:$AM, MATCH(Keys!$C$7, US_national_yearly!$D$1:$AM$1, 0), FALSE), 1)</f>
        <v>6.2633561572437201E-3</v>
      </c>
      <c r="I9" s="12">
        <f>$B9 * IFERROR(VLOOKUP(Substitution!$M$19 &amp; $A9, US_national_yearly!$D:$AM, MATCH(I$1, US_national_yearly!$D$1:$AM$1, 0), FALSE) / VLOOKUP(Substitution!$M$19 &amp; $A9, US_national_yearly!$D:$AM, MATCH(Keys!$C$7, US_national_yearly!$D$1:$AM$1, 0), FALSE), 1)</f>
        <v>6.2938418219528718E-3</v>
      </c>
      <c r="J9" s="12">
        <f>$B9 * IFERROR(VLOOKUP(Substitution!$M$19 &amp; $A9, US_national_yearly!$D:$AM, MATCH(J$1, US_national_yearly!$D$1:$AM$1, 0), FALSE) / VLOOKUP(Substitution!$M$19 &amp; $A9, US_national_yearly!$D:$AM, MATCH(Keys!$C$7, US_national_yearly!$D$1:$AM$1, 0), FALSE), 1)</f>
        <v>6.3243274866620243E-3</v>
      </c>
      <c r="K9" s="12">
        <f>$B9 * IFERROR(VLOOKUP(Substitution!$M$19 &amp; $A9, US_national_yearly!$D:$AM, MATCH(K$1, US_national_yearly!$D$1:$AM$1, 0), FALSE) / VLOOKUP(Substitution!$M$19 &amp; $A9, US_national_yearly!$D:$AM, MATCH(Keys!$C$7, US_national_yearly!$D$1:$AM$1, 0), FALSE), 1)</f>
        <v>6.354813151371176E-3</v>
      </c>
      <c r="L9" s="12">
        <f>$B9 * IFERROR(VLOOKUP(Substitution!$M$19 &amp; $A9, US_national_yearly!$D:$AM, MATCH(L$1, US_national_yearly!$D$1:$AM$1, 0), FALSE) / VLOOKUP(Substitution!$M$19 &amp; $A9, US_national_yearly!$D:$AM, MATCH(Keys!$C$7, US_national_yearly!$D$1:$AM$1, 0), FALSE), 1)</f>
        <v>6.3852988160803302E-3</v>
      </c>
      <c r="M9" s="12">
        <f>$B9 * IFERROR(VLOOKUP(Substitution!$M$19 &amp; $A9, US_national_yearly!$D:$AM, MATCH(M$1, US_national_yearly!$D$1:$AM$1, 0), FALSE) / VLOOKUP(Substitution!$M$19 &amp; $A9, US_national_yearly!$D:$AM, MATCH(Keys!$C$7, US_national_yearly!$D$1:$AM$1, 0), FALSE), 1)</f>
        <v>6.4157844807894802E-3</v>
      </c>
      <c r="N9" s="12">
        <f>$B9 * IFERROR(VLOOKUP(Substitution!$M$19 &amp; $A9, US_national_yearly!$D:$AM, MATCH(N$1, US_national_yearly!$D$1:$AM$1, 0), FALSE) / VLOOKUP(Substitution!$M$19 &amp; $A9, US_national_yearly!$D:$AM, MATCH(Keys!$C$7, US_national_yearly!$D$1:$AM$1, 0), FALSE), 1)</f>
        <v>6.4444596976193083E-3</v>
      </c>
      <c r="O9" s="12">
        <f>$B9 * IFERROR(VLOOKUP(Substitution!$M$19 &amp; $A9, US_national_yearly!$D:$AM, MATCH(O$1, US_national_yearly!$D$1:$AM$1, 0), FALSE) / VLOOKUP(Substitution!$M$19 &amp; $A9, US_national_yearly!$D:$AM, MATCH(Keys!$C$7, US_national_yearly!$D$1:$AM$1, 0), FALSE), 1)</f>
        <v>6.473134914449132E-3</v>
      </c>
      <c r="P9" s="12">
        <f>$B9 * IFERROR(VLOOKUP(Substitution!$M$19 &amp; $A9, US_national_yearly!$D:$AM, MATCH(P$1, US_national_yearly!$D$1:$AM$1, 0), FALSE) / VLOOKUP(Substitution!$M$19 &amp; $A9, US_national_yearly!$D:$AM, MATCH(Keys!$C$7, US_national_yearly!$D$1:$AM$1, 0), FALSE), 1)</f>
        <v>6.5018101312789584E-3</v>
      </c>
      <c r="Q9" s="12">
        <f>$B9 * IFERROR(VLOOKUP(Substitution!$M$19 &amp; $A9, US_national_yearly!$D:$AM, MATCH(Q$1, US_national_yearly!$D$1:$AM$1, 0), FALSE) / VLOOKUP(Substitution!$M$19 &amp; $A9, US_national_yearly!$D:$AM, MATCH(Keys!$C$7, US_national_yearly!$D$1:$AM$1, 0), FALSE), 1)</f>
        <v>6.5304853481087831E-3</v>
      </c>
      <c r="R9" s="12">
        <f>$B9 * IFERROR(VLOOKUP(Substitution!$M$19 &amp; $A9, US_national_yearly!$D:$AM, MATCH(R$1, US_national_yearly!$D$1:$AM$1, 0), FALSE) / VLOOKUP(Substitution!$M$19 &amp; $A9, US_national_yearly!$D:$AM, MATCH(Keys!$C$7, US_national_yearly!$D$1:$AM$1, 0), FALSE), 1)</f>
        <v>6.5591605649386103E-3</v>
      </c>
      <c r="S9" s="12">
        <f>$B9 * IFERROR(VLOOKUP(Substitution!$M$19 &amp; $A9, US_national_yearly!$D:$AM, MATCH(S$1, US_national_yearly!$D$1:$AM$1, 0), FALSE) / VLOOKUP(Substitution!$M$19 &amp; $A9, US_national_yearly!$D:$AM, MATCH(Keys!$C$7, US_national_yearly!$D$1:$AM$1, 0), FALSE), 1)</f>
        <v>6.5869078784305422E-3</v>
      </c>
      <c r="T9" s="12">
        <f>$B9 * IFERROR(VLOOKUP(Substitution!$M$19 &amp; $A9, US_national_yearly!$D:$AM, MATCH(T$1, US_national_yearly!$D$1:$AM$1, 0), FALSE) / VLOOKUP(Substitution!$M$19 &amp; $A9, US_national_yearly!$D:$AM, MATCH(Keys!$C$7, US_national_yearly!$D$1:$AM$1, 0), FALSE), 1)</f>
        <v>6.6146551919224741E-3</v>
      </c>
      <c r="U9" s="12">
        <f>$B9 * IFERROR(VLOOKUP(Substitution!$M$19 &amp; $A9, US_national_yearly!$D:$AM, MATCH(U$1, US_national_yearly!$D$1:$AM$1, 0), FALSE) / VLOOKUP(Substitution!$M$19 &amp; $A9, US_national_yearly!$D:$AM, MATCH(Keys!$C$7, US_national_yearly!$D$1:$AM$1, 0), FALSE), 1)</f>
        <v>6.6424025054144069E-3</v>
      </c>
      <c r="V9" s="12">
        <f>$B9 * IFERROR(VLOOKUP(Substitution!$M$19 &amp; $A9, US_national_yearly!$D:$AM, MATCH(V$1, US_national_yearly!$D$1:$AM$1, 0), FALSE) / VLOOKUP(Substitution!$M$19 &amp; $A9, US_national_yearly!$D:$AM, MATCH(Keys!$C$7, US_national_yearly!$D$1:$AM$1, 0), FALSE), 1)</f>
        <v>6.6701498189063379E-3</v>
      </c>
      <c r="W9" s="12">
        <f>$B9 * IFERROR(VLOOKUP(Substitution!$M$19 &amp; $A9, US_national_yearly!$D:$AM, MATCH(W$1, US_national_yearly!$D$1:$AM$1, 0), FALSE) / VLOOKUP(Substitution!$M$19 &amp; $A9, US_national_yearly!$D:$AM, MATCH(Keys!$C$7, US_national_yearly!$D$1:$AM$1, 0), FALSE), 1)</f>
        <v>6.6978971323982698E-3</v>
      </c>
      <c r="X9" s="12">
        <f>$B9 * IFERROR(VLOOKUP(Substitution!$M$19 &amp; $A9, US_national_yearly!$D:$AM, MATCH(X$1, US_national_yearly!$D$1:$AM$1, 0), FALSE) / VLOOKUP(Substitution!$M$19 &amp; $A9, US_national_yearly!$D:$AM, MATCH(Keys!$C$7, US_national_yearly!$D$1:$AM$1, 0), FALSE), 1)</f>
        <v>6.7232579678051328E-3</v>
      </c>
      <c r="Y9" s="12">
        <f>$B9 * IFERROR(VLOOKUP(Substitution!$M$19 &amp; $A9, US_national_yearly!$D:$AM, MATCH(Y$1, US_national_yearly!$D$1:$AM$1, 0), FALSE) / VLOOKUP(Substitution!$M$19 &amp; $A9, US_national_yearly!$D:$AM, MATCH(Keys!$C$7, US_national_yearly!$D$1:$AM$1, 0), FALSE), 1)</f>
        <v>6.7486188032119939E-3</v>
      </c>
      <c r="Z9" s="12">
        <f>$B9 * IFERROR(VLOOKUP(Substitution!$M$19 &amp; $A9, US_national_yearly!$D:$AM, MATCH(Z$1, US_national_yearly!$D$1:$AM$1, 0), FALSE) / VLOOKUP(Substitution!$M$19 &amp; $A9, US_national_yearly!$D:$AM, MATCH(Keys!$C$7, US_national_yearly!$D$1:$AM$1, 0), FALSE), 1)</f>
        <v>6.773979638618856E-3</v>
      </c>
      <c r="AA9" s="12">
        <f>$B9 * IFERROR(VLOOKUP(Substitution!$M$19 &amp; $A9, US_national_yearly!$D:$AM, MATCH(AA$1, US_national_yearly!$D$1:$AM$1, 0), FALSE) / VLOOKUP(Substitution!$M$19 &amp; $A9, US_national_yearly!$D:$AM, MATCH(Keys!$C$7, US_national_yearly!$D$1:$AM$1, 0), FALSE), 1)</f>
        <v>6.7993404740257172E-3</v>
      </c>
      <c r="AB9" s="12">
        <f>$B9 * IFERROR(VLOOKUP(Substitution!$M$19 &amp; $A9, US_national_yearly!$D:$AM, MATCH(AB$1, US_national_yearly!$D$1:$AM$1, 0), FALSE) / VLOOKUP(Substitution!$M$19 &amp; $A9, US_national_yearly!$D:$AM, MATCH(Keys!$C$7, US_national_yearly!$D$1:$AM$1, 0), FALSE), 1)</f>
        <v>6.8247013094325801E-3</v>
      </c>
    </row>
    <row r="10" spans="1:28" x14ac:dyDescent="0.25">
      <c r="A10" s="4" t="s">
        <v>307</v>
      </c>
      <c r="B10" s="12">
        <f>IFERROR(VLOOKUP(Substitution!$M$19 &amp; $A10, US_national_yearly!$D:$AM, MATCH(Keys!$C$7, US_national_yearly!$D$1:$AM$1, 0), FALSE), 0)</f>
        <v>3.84101549799548E-2</v>
      </c>
      <c r="C10" s="12">
        <f>$B10 * IFERROR(VLOOKUP(Substitution!$M$19 &amp; $A10, US_national_yearly!$D:$AM, MATCH(C$1, US_national_yearly!$D$1:$AM$1, 0), FALSE) / VLOOKUP(Substitution!$M$19 &amp; $A10, US_national_yearly!$D:$AM, MATCH(Keys!$C$7, US_national_yearly!$D$1:$AM$1, 0), FALSE), 1)</f>
        <v>3.8767294818997898E-2</v>
      </c>
      <c r="D10" s="12">
        <f>$B10 * IFERROR(VLOOKUP(Substitution!$M$19 &amp; $A10, US_national_yearly!$D:$AM, MATCH(D$1, US_national_yearly!$D$1:$AM$1, 0), FALSE) / VLOOKUP(Substitution!$M$19 &amp; $A10, US_national_yearly!$D:$AM, MATCH(Keys!$C$7, US_national_yearly!$D$1:$AM$1, 0), FALSE), 1)</f>
        <v>3.9124434658041003E-2</v>
      </c>
      <c r="E10" s="12">
        <f>$B10 * IFERROR(VLOOKUP(Substitution!$M$19 &amp; $A10, US_national_yearly!$D:$AM, MATCH(E$1, US_national_yearly!$D$1:$AM$1, 0), FALSE) / VLOOKUP(Substitution!$M$19 &amp; $A10, US_national_yearly!$D:$AM, MATCH(Keys!$C$7, US_national_yearly!$D$1:$AM$1, 0), FALSE), 1)</f>
        <v>3.9481574497084108E-2</v>
      </c>
      <c r="F10" s="12">
        <f>$B10 * IFERROR(VLOOKUP(Substitution!$M$19 &amp; $A10, US_national_yearly!$D:$AM, MATCH(F$1, US_national_yearly!$D$1:$AM$1, 0), FALSE) / VLOOKUP(Substitution!$M$19 &amp; $A10, US_national_yearly!$D:$AM, MATCH(Keys!$C$7, US_national_yearly!$D$1:$AM$1, 0), FALSE), 1)</f>
        <v>3.9838714336127193E-2</v>
      </c>
      <c r="G10" s="12">
        <f>$B10 * IFERROR(VLOOKUP(Substitution!$M$19 &amp; $A10, US_national_yearly!$D:$AM, MATCH(G$1, US_national_yearly!$D$1:$AM$1, 0), FALSE) / VLOOKUP(Substitution!$M$19 &amp; $A10, US_national_yearly!$D:$AM, MATCH(Keys!$C$7, US_national_yearly!$D$1:$AM$1, 0), FALSE), 1)</f>
        <v>4.0228137617406748E-2</v>
      </c>
      <c r="H10" s="12">
        <f>$B10 * IFERROR(VLOOKUP(Substitution!$M$19 &amp; $A10, US_national_yearly!$D:$AM, MATCH(H$1, US_national_yearly!$D$1:$AM$1, 0), FALSE) / VLOOKUP(Substitution!$M$19 &amp; $A10, US_national_yearly!$D:$AM, MATCH(Keys!$C$7, US_national_yearly!$D$1:$AM$1, 0), FALSE), 1)</f>
        <v>4.0617560898686303E-2</v>
      </c>
      <c r="I10" s="12">
        <f>$B10 * IFERROR(VLOOKUP(Substitution!$M$19 &amp; $A10, US_national_yearly!$D:$AM, MATCH(I$1, US_national_yearly!$D$1:$AM$1, 0), FALSE) / VLOOKUP(Substitution!$M$19 &amp; $A10, US_national_yearly!$D:$AM, MATCH(Keys!$C$7, US_national_yearly!$D$1:$AM$1, 0), FALSE), 1)</f>
        <v>4.0914080765830842E-2</v>
      </c>
      <c r="J10" s="12">
        <f>$B10 * IFERROR(VLOOKUP(Substitution!$M$19 &amp; $A10, US_national_yearly!$D:$AM, MATCH(J$1, US_national_yearly!$D$1:$AM$1, 0), FALSE) / VLOOKUP(Substitution!$M$19 &amp; $A10, US_national_yearly!$D:$AM, MATCH(Keys!$C$7, US_national_yearly!$D$1:$AM$1, 0), FALSE), 1)</f>
        <v>4.121060063297538E-2</v>
      </c>
      <c r="K10" s="12">
        <f>$B10 * IFERROR(VLOOKUP(Substitution!$M$19 &amp; $A10, US_national_yearly!$D:$AM, MATCH(K$1, US_national_yearly!$D$1:$AM$1, 0), FALSE) / VLOOKUP(Substitution!$M$19 &amp; $A10, US_national_yearly!$D:$AM, MATCH(Keys!$C$7, US_national_yearly!$D$1:$AM$1, 0), FALSE), 1)</f>
        <v>4.1507120500119919E-2</v>
      </c>
      <c r="L10" s="12">
        <f>$B10 * IFERROR(VLOOKUP(Substitution!$M$19 &amp; $A10, US_national_yearly!$D:$AM, MATCH(L$1, US_national_yearly!$D$1:$AM$1, 0), FALSE) / VLOOKUP(Substitution!$M$19 &amp; $A10, US_national_yearly!$D:$AM, MATCH(Keys!$C$7, US_national_yearly!$D$1:$AM$1, 0), FALSE), 1)</f>
        <v>4.1803640367264458E-2</v>
      </c>
      <c r="M10" s="12">
        <f>$B10 * IFERROR(VLOOKUP(Substitution!$M$19 &amp; $A10, US_national_yearly!$D:$AM, MATCH(M$1, US_national_yearly!$D$1:$AM$1, 0), FALSE) / VLOOKUP(Substitution!$M$19 &amp; $A10, US_national_yearly!$D:$AM, MATCH(Keys!$C$7, US_national_yearly!$D$1:$AM$1, 0), FALSE), 1)</f>
        <v>4.2100160234408997E-2</v>
      </c>
      <c r="N10" s="12">
        <f>$B10 * IFERROR(VLOOKUP(Substitution!$M$19 &amp; $A10, US_national_yearly!$D:$AM, MATCH(N$1, US_national_yearly!$D$1:$AM$1, 0), FALSE) / VLOOKUP(Substitution!$M$19 &amp; $A10, US_national_yearly!$D:$AM, MATCH(Keys!$C$7, US_national_yearly!$D$1:$AM$1, 0), FALSE), 1)</f>
        <v>4.2255037086527322E-2</v>
      </c>
      <c r="O10" s="12">
        <f>$B10 * IFERROR(VLOOKUP(Substitution!$M$19 &amp; $A10, US_national_yearly!$D:$AM, MATCH(O$1, US_national_yearly!$D$1:$AM$1, 0), FALSE) / VLOOKUP(Substitution!$M$19 &amp; $A10, US_national_yearly!$D:$AM, MATCH(Keys!$C$7, US_national_yearly!$D$1:$AM$1, 0), FALSE), 1)</f>
        <v>4.2409913938645627E-2</v>
      </c>
      <c r="P10" s="12">
        <f>$B10 * IFERROR(VLOOKUP(Substitution!$M$19 &amp; $A10, US_national_yearly!$D:$AM, MATCH(P$1, US_national_yearly!$D$1:$AM$1, 0), FALSE) / VLOOKUP(Substitution!$M$19 &amp; $A10, US_national_yearly!$D:$AM, MATCH(Keys!$C$7, US_national_yearly!$D$1:$AM$1, 0), FALSE), 1)</f>
        <v>4.2564790790763959E-2</v>
      </c>
      <c r="Q10" s="12">
        <f>$B10 * IFERROR(VLOOKUP(Substitution!$M$19 &amp; $A10, US_national_yearly!$D:$AM, MATCH(Q$1, US_national_yearly!$D$1:$AM$1, 0), FALSE) / VLOOKUP(Substitution!$M$19 &amp; $A10, US_national_yearly!$D:$AM, MATCH(Keys!$C$7, US_national_yearly!$D$1:$AM$1, 0), FALSE), 1)</f>
        <v>4.2719667642882278E-2</v>
      </c>
      <c r="R10" s="12">
        <f>$B10 * IFERROR(VLOOKUP(Substitution!$M$19 &amp; $A10, US_national_yearly!$D:$AM, MATCH(R$1, US_national_yearly!$D$1:$AM$1, 0), FALSE) / VLOOKUP(Substitution!$M$19 &amp; $A10, US_national_yearly!$D:$AM, MATCH(Keys!$C$7, US_national_yearly!$D$1:$AM$1, 0), FALSE), 1)</f>
        <v>4.287454449500059E-2</v>
      </c>
      <c r="S10" s="12">
        <f>$B10 * IFERROR(VLOOKUP(Substitution!$M$19 &amp; $A10, US_national_yearly!$D:$AM, MATCH(S$1, US_national_yearly!$D$1:$AM$1, 0), FALSE) / VLOOKUP(Substitution!$M$19 &amp; $A10, US_national_yearly!$D:$AM, MATCH(Keys!$C$7, US_national_yearly!$D$1:$AM$1, 0), FALSE), 1)</f>
        <v>4.3051647925138707E-2</v>
      </c>
      <c r="T10" s="12">
        <f>$B10 * IFERROR(VLOOKUP(Substitution!$M$19 &amp; $A10, US_national_yearly!$D:$AM, MATCH(T$1, US_national_yearly!$D$1:$AM$1, 0), FALSE) / VLOOKUP(Substitution!$M$19 &amp; $A10, US_national_yearly!$D:$AM, MATCH(Keys!$C$7, US_national_yearly!$D$1:$AM$1, 0), FALSE), 1)</f>
        <v>4.3228751355276838E-2</v>
      </c>
      <c r="U10" s="12">
        <f>$B10 * IFERROR(VLOOKUP(Substitution!$M$19 &amp; $A10, US_national_yearly!$D:$AM, MATCH(U$1, US_national_yearly!$D$1:$AM$1, 0), FALSE) / VLOOKUP(Substitution!$M$19 &amp; $A10, US_national_yearly!$D:$AM, MATCH(Keys!$C$7, US_national_yearly!$D$1:$AM$1, 0), FALSE), 1)</f>
        <v>4.3405854785414963E-2</v>
      </c>
      <c r="V10" s="12">
        <f>$B10 * IFERROR(VLOOKUP(Substitution!$M$19 &amp; $A10, US_national_yearly!$D:$AM, MATCH(V$1, US_national_yearly!$D$1:$AM$1, 0), FALSE) / VLOOKUP(Substitution!$M$19 &amp; $A10, US_national_yearly!$D:$AM, MATCH(Keys!$C$7, US_national_yearly!$D$1:$AM$1, 0), FALSE), 1)</f>
        <v>4.358295821555308E-2</v>
      </c>
      <c r="W10" s="12">
        <f>$B10 * IFERROR(VLOOKUP(Substitution!$M$19 &amp; $A10, US_national_yearly!$D:$AM, MATCH(W$1, US_national_yearly!$D$1:$AM$1, 0), FALSE) / VLOOKUP(Substitution!$M$19 &amp; $A10, US_national_yearly!$D:$AM, MATCH(Keys!$C$7, US_national_yearly!$D$1:$AM$1, 0), FALSE), 1)</f>
        <v>4.3760061645691198E-2</v>
      </c>
      <c r="X10" s="12">
        <f>$B10 * IFERROR(VLOOKUP(Substitution!$M$19 &amp; $A10, US_national_yearly!$D:$AM, MATCH(X$1, US_national_yearly!$D$1:$AM$1, 0), FALSE) / VLOOKUP(Substitution!$M$19 &amp; $A10, US_national_yearly!$D:$AM, MATCH(Keys!$C$7, US_national_yearly!$D$1:$AM$1, 0), FALSE), 1)</f>
        <v>4.3944875992111783E-2</v>
      </c>
      <c r="Y10" s="12">
        <f>$B10 * IFERROR(VLOOKUP(Substitution!$M$19 &amp; $A10, US_national_yearly!$D:$AM, MATCH(Y$1, US_national_yearly!$D$1:$AM$1, 0), FALSE) / VLOOKUP(Substitution!$M$19 &amp; $A10, US_national_yearly!$D:$AM, MATCH(Keys!$C$7, US_national_yearly!$D$1:$AM$1, 0), FALSE), 1)</f>
        <v>4.4129690338532361E-2</v>
      </c>
      <c r="Z10" s="12">
        <f>$B10 * IFERROR(VLOOKUP(Substitution!$M$19 &amp; $A10, US_national_yearly!$D:$AM, MATCH(Z$1, US_national_yearly!$D$1:$AM$1, 0), FALSE) / VLOOKUP(Substitution!$M$19 &amp; $A10, US_national_yearly!$D:$AM, MATCH(Keys!$C$7, US_national_yearly!$D$1:$AM$1, 0), FALSE), 1)</f>
        <v>4.4314504684952932E-2</v>
      </c>
      <c r="AA10" s="12">
        <f>$B10 * IFERROR(VLOOKUP(Substitution!$M$19 &amp; $A10, US_national_yearly!$D:$AM, MATCH(AA$1, US_national_yearly!$D$1:$AM$1, 0), FALSE) / VLOOKUP(Substitution!$M$19 &amp; $A10, US_national_yearly!$D:$AM, MATCH(Keys!$C$7, US_national_yearly!$D$1:$AM$1, 0), FALSE), 1)</f>
        <v>4.4499319031373517E-2</v>
      </c>
      <c r="AB10" s="12">
        <f>$B10 * IFERROR(VLOOKUP(Substitution!$M$19 &amp; $A10, US_national_yearly!$D:$AM, MATCH(AB$1, US_national_yearly!$D$1:$AM$1, 0), FALSE) / VLOOKUP(Substitution!$M$19 &amp; $A10, US_national_yearly!$D:$AM, MATCH(Keys!$C$7, US_national_yearly!$D$1:$AM$1, 0), FALSE), 1)</f>
        <v>4.4684133377794102E-2</v>
      </c>
    </row>
    <row r="11" spans="1:28" x14ac:dyDescent="0.25">
      <c r="A11" s="4" t="s">
        <v>309</v>
      </c>
      <c r="B11" s="12">
        <f>IFERROR(VLOOKUP(Substitution!$M$19 &amp; $A11, US_national_yearly!$D:$AM, MATCH(Keys!$C$7, US_national_yearly!$D$1:$AM$1, 0), FALSE), 0)</f>
        <v>1.805717261900288E-3</v>
      </c>
      <c r="C11" s="12">
        <f>$B11 * IFERROR(VLOOKUP(Substitution!$M$19 &amp; $A11, US_national_yearly!$D:$AM, MATCH(C$1, US_national_yearly!$D$1:$AM$1, 0), FALSE) / VLOOKUP(Substitution!$M$19 &amp; $A11, US_national_yearly!$D:$AM, MATCH(Keys!$C$7, US_national_yearly!$D$1:$AM$1, 0), FALSE), 1)</f>
        <v>1.823084524635106E-3</v>
      </c>
      <c r="D11" s="12">
        <f>$B11 * IFERROR(VLOOKUP(Substitution!$M$19 &amp; $A11, US_national_yearly!$D:$AM, MATCH(D$1, US_national_yearly!$D$1:$AM$1, 0), FALSE) / VLOOKUP(Substitution!$M$19 &amp; $A11, US_national_yearly!$D:$AM, MATCH(Keys!$C$7, US_national_yearly!$D$1:$AM$1, 0), FALSE), 1)</f>
        <v>1.8404517873699237E-3</v>
      </c>
      <c r="E11" s="12">
        <f>$B11 * IFERROR(VLOOKUP(Substitution!$M$19 &amp; $A11, US_national_yearly!$D:$AM, MATCH(E$1, US_national_yearly!$D$1:$AM$1, 0), FALSE) / VLOOKUP(Substitution!$M$19 &amp; $A11, US_national_yearly!$D:$AM, MATCH(Keys!$C$7, US_national_yearly!$D$1:$AM$1, 0), FALSE), 1)</f>
        <v>1.8578190501047421E-3</v>
      </c>
      <c r="F11" s="12">
        <f>$B11 * IFERROR(VLOOKUP(Substitution!$M$19 &amp; $A11, US_national_yearly!$D:$AM, MATCH(F$1, US_national_yearly!$D$1:$AM$1, 0), FALSE) / VLOOKUP(Substitution!$M$19 &amp; $A11, US_national_yearly!$D:$AM, MATCH(Keys!$C$7, US_national_yearly!$D$1:$AM$1, 0), FALSE), 1)</f>
        <v>1.8751863128395601E-3</v>
      </c>
      <c r="G11" s="12">
        <f>$B11 * IFERROR(VLOOKUP(Substitution!$M$19 &amp; $A11, US_national_yearly!$D:$AM, MATCH(G$1, US_national_yearly!$D$1:$AM$1, 0), FALSE) / VLOOKUP(Substitution!$M$19 &amp; $A11, US_national_yearly!$D:$AM, MATCH(Keys!$C$7, US_national_yearly!$D$1:$AM$1, 0), FALSE), 1)</f>
        <v>1.8931403079101847E-3</v>
      </c>
      <c r="H11" s="12">
        <f>$B11 * IFERROR(VLOOKUP(Substitution!$M$19 &amp; $A11, US_national_yearly!$D:$AM, MATCH(H$1, US_national_yearly!$D$1:$AM$1, 0), FALSE) / VLOOKUP(Substitution!$M$19 &amp; $A11, US_national_yearly!$D:$AM, MATCH(Keys!$C$7, US_national_yearly!$D$1:$AM$1, 0), FALSE), 1)</f>
        <v>1.91109430298081E-3</v>
      </c>
      <c r="I11" s="12">
        <f>$B11 * IFERROR(VLOOKUP(Substitution!$M$19 &amp; $A11, US_national_yearly!$D:$AM, MATCH(I$1, US_national_yearly!$D$1:$AM$1, 0), FALSE) / VLOOKUP(Substitution!$M$19 &amp; $A11, US_national_yearly!$D:$AM, MATCH(Keys!$C$7, US_national_yearly!$D$1:$AM$1, 0), FALSE), 1)</f>
        <v>1.9279580502372358E-3</v>
      </c>
      <c r="J11" s="12">
        <f>$B11 * IFERROR(VLOOKUP(Substitution!$M$19 &amp; $A11, US_national_yearly!$D:$AM, MATCH(J$1, US_national_yearly!$D$1:$AM$1, 0), FALSE) / VLOOKUP(Substitution!$M$19 &amp; $A11, US_national_yearly!$D:$AM, MATCH(Keys!$C$7, US_national_yearly!$D$1:$AM$1, 0), FALSE), 1)</f>
        <v>1.9448217974936623E-3</v>
      </c>
      <c r="K11" s="12">
        <f>$B11 * IFERROR(VLOOKUP(Substitution!$M$19 &amp; $A11, US_national_yearly!$D:$AM, MATCH(K$1, US_national_yearly!$D$1:$AM$1, 0), FALSE) / VLOOKUP(Substitution!$M$19 &amp; $A11, US_national_yearly!$D:$AM, MATCH(Keys!$C$7, US_national_yearly!$D$1:$AM$1, 0), FALSE), 1)</f>
        <v>1.9616855447500878E-3</v>
      </c>
      <c r="L11" s="12">
        <f>$B11 * IFERROR(VLOOKUP(Substitution!$M$19 &amp; $A11, US_national_yearly!$D:$AM, MATCH(L$1, US_national_yearly!$D$1:$AM$1, 0), FALSE) / VLOOKUP(Substitution!$M$19 &amp; $A11, US_national_yearly!$D:$AM, MATCH(Keys!$C$7, US_national_yearly!$D$1:$AM$1, 0), FALSE), 1)</f>
        <v>1.978549292006514E-3</v>
      </c>
      <c r="M11" s="12">
        <f>$B11 * IFERROR(VLOOKUP(Substitution!$M$19 &amp; $A11, US_national_yearly!$D:$AM, MATCH(M$1, US_national_yearly!$D$1:$AM$1, 0), FALSE) / VLOOKUP(Substitution!$M$19 &amp; $A11, US_national_yearly!$D:$AM, MATCH(Keys!$C$7, US_national_yearly!$D$1:$AM$1, 0), FALSE), 1)</f>
        <v>1.9954130392629398E-3</v>
      </c>
      <c r="N11" s="12">
        <f>$B11 * IFERROR(VLOOKUP(Substitution!$M$19 &amp; $A11, US_national_yearly!$D:$AM, MATCH(N$1, US_national_yearly!$D$1:$AM$1, 0), FALSE) / VLOOKUP(Substitution!$M$19 &amp; $A11, US_national_yearly!$D:$AM, MATCH(Keys!$C$7, US_national_yearly!$D$1:$AM$1, 0), FALSE), 1)</f>
        <v>2.009687303232712E-3</v>
      </c>
      <c r="O11" s="12">
        <f>$B11 * IFERROR(VLOOKUP(Substitution!$M$19 &amp; $A11, US_national_yearly!$D:$AM, MATCH(O$1, US_national_yearly!$D$1:$AM$1, 0), FALSE) / VLOOKUP(Substitution!$M$19 &amp; $A11, US_national_yearly!$D:$AM, MATCH(Keys!$C$7, US_national_yearly!$D$1:$AM$1, 0), FALSE), 1)</f>
        <v>2.0239615672024841E-3</v>
      </c>
      <c r="P11" s="12">
        <f>$B11 * IFERROR(VLOOKUP(Substitution!$M$19 &amp; $A11, US_national_yearly!$D:$AM, MATCH(P$1, US_national_yearly!$D$1:$AM$1, 0), FALSE) / VLOOKUP(Substitution!$M$19 &amp; $A11, US_national_yearly!$D:$AM, MATCH(Keys!$C$7, US_national_yearly!$D$1:$AM$1, 0), FALSE), 1)</f>
        <v>2.0382358311722558E-3</v>
      </c>
      <c r="Q11" s="12">
        <f>$B11 * IFERROR(VLOOKUP(Substitution!$M$19 &amp; $A11, US_national_yearly!$D:$AM, MATCH(Q$1, US_national_yearly!$D$1:$AM$1, 0), FALSE) / VLOOKUP(Substitution!$M$19 &amp; $A11, US_national_yearly!$D:$AM, MATCH(Keys!$C$7, US_national_yearly!$D$1:$AM$1, 0), FALSE), 1)</f>
        <v>2.0525100951420279E-3</v>
      </c>
      <c r="R11" s="12">
        <f>$B11 * IFERROR(VLOOKUP(Substitution!$M$19 &amp; $A11, US_national_yearly!$D:$AM, MATCH(R$1, US_national_yearly!$D$1:$AM$1, 0), FALSE) / VLOOKUP(Substitution!$M$19 &amp; $A11, US_national_yearly!$D:$AM, MATCH(Keys!$C$7, US_national_yearly!$D$1:$AM$1, 0), FALSE), 1)</f>
        <v>2.0667843591118001E-3</v>
      </c>
      <c r="S11" s="12">
        <f>$B11 * IFERROR(VLOOKUP(Substitution!$M$19 &amp; $A11, US_national_yearly!$D:$AM, MATCH(S$1, US_national_yearly!$D$1:$AM$1, 0), FALSE) / VLOOKUP(Substitution!$M$19 &amp; $A11, US_national_yearly!$D:$AM, MATCH(Keys!$C$7, US_national_yearly!$D$1:$AM$1, 0), FALSE), 1)</f>
        <v>2.0790583411905159E-3</v>
      </c>
      <c r="T11" s="12">
        <f>$B11 * IFERROR(VLOOKUP(Substitution!$M$19 &amp; $A11, US_national_yearly!$D:$AM, MATCH(T$1, US_national_yearly!$D$1:$AM$1, 0), FALSE) / VLOOKUP(Substitution!$M$19 &amp; $A11, US_national_yearly!$D:$AM, MATCH(Keys!$C$7, US_national_yearly!$D$1:$AM$1, 0), FALSE), 1)</f>
        <v>2.0913323232692321E-3</v>
      </c>
      <c r="U11" s="12">
        <f>$B11 * IFERROR(VLOOKUP(Substitution!$M$19 &amp; $A11, US_national_yearly!$D:$AM, MATCH(U$1, US_national_yearly!$D$1:$AM$1, 0), FALSE) / VLOOKUP(Substitution!$M$19 &amp; $A11, US_national_yearly!$D:$AM, MATCH(Keys!$C$7, US_national_yearly!$D$1:$AM$1, 0), FALSE), 1)</f>
        <v>2.1036063053479479E-3</v>
      </c>
      <c r="V11" s="12">
        <f>$B11 * IFERROR(VLOOKUP(Substitution!$M$19 &amp; $A11, US_national_yearly!$D:$AM, MATCH(V$1, US_national_yearly!$D$1:$AM$1, 0), FALSE) / VLOOKUP(Substitution!$M$19 &amp; $A11, US_national_yearly!$D:$AM, MATCH(Keys!$C$7, US_national_yearly!$D$1:$AM$1, 0), FALSE), 1)</f>
        <v>2.1158802874266642E-3</v>
      </c>
      <c r="W11" s="12">
        <f>$B11 * IFERROR(VLOOKUP(Substitution!$M$19 &amp; $A11, US_national_yearly!$D:$AM, MATCH(W$1, US_national_yearly!$D$1:$AM$1, 0), FALSE) / VLOOKUP(Substitution!$M$19 &amp; $A11, US_national_yearly!$D:$AM, MATCH(Keys!$C$7, US_national_yearly!$D$1:$AM$1, 0), FALSE), 1)</f>
        <v>2.12815426950538E-3</v>
      </c>
      <c r="X11" s="12">
        <f>$B11 * IFERROR(VLOOKUP(Substitution!$M$19 &amp; $A11, US_national_yearly!$D:$AM, MATCH(X$1, US_national_yearly!$D$1:$AM$1, 0), FALSE) / VLOOKUP(Substitution!$M$19 &amp; $A11, US_national_yearly!$D:$AM, MATCH(Keys!$C$7, US_national_yearly!$D$1:$AM$1, 0), FALSE), 1)</f>
        <v>2.1396285573208459E-3</v>
      </c>
      <c r="Y11" s="12">
        <f>$B11 * IFERROR(VLOOKUP(Substitution!$M$19 &amp; $A11, US_national_yearly!$D:$AM, MATCH(Y$1, US_national_yearly!$D$1:$AM$1, 0), FALSE) / VLOOKUP(Substitution!$M$19 &amp; $A11, US_national_yearly!$D:$AM, MATCH(Keys!$C$7, US_national_yearly!$D$1:$AM$1, 0), FALSE), 1)</f>
        <v>2.1511028451363119E-3</v>
      </c>
      <c r="Z11" s="12">
        <f>$B11 * IFERROR(VLOOKUP(Substitution!$M$19 &amp; $A11, US_national_yearly!$D:$AM, MATCH(Z$1, US_national_yearly!$D$1:$AM$1, 0), FALSE) / VLOOKUP(Substitution!$M$19 &amp; $A11, US_national_yearly!$D:$AM, MATCH(Keys!$C$7, US_national_yearly!$D$1:$AM$1, 0), FALSE), 1)</f>
        <v>2.1625771329517778E-3</v>
      </c>
      <c r="AA11" s="12">
        <f>$B11 * IFERROR(VLOOKUP(Substitution!$M$19 &amp; $A11, US_national_yearly!$D:$AM, MATCH(AA$1, US_national_yearly!$D$1:$AM$1, 0), FALSE) / VLOOKUP(Substitution!$M$19 &amp; $A11, US_national_yearly!$D:$AM, MATCH(Keys!$C$7, US_national_yearly!$D$1:$AM$1, 0), FALSE), 1)</f>
        <v>2.1740514207672442E-3</v>
      </c>
      <c r="AB11" s="12">
        <f>$B11 * IFERROR(VLOOKUP(Substitution!$M$19 &amp; $A11, US_national_yearly!$D:$AM, MATCH(AB$1, US_national_yearly!$D$1:$AM$1, 0), FALSE) / VLOOKUP(Substitution!$M$19 &amp; $A11, US_national_yearly!$D:$AM, MATCH(Keys!$C$7, US_national_yearly!$D$1:$AM$1, 0), FALSE), 1)</f>
        <v>2.1855257085827101E-3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Substitution!$G$19)/IFERROR(SUMIFS(COBRA_aggregated!$W:$W, COBRA_aggregated!$A:$A, About!$B$1, COBRA_aggregated!$B:$B, Substitution!$G$19), 1)</f>
        <v>2.6330515938844077E-5</v>
      </c>
      <c r="C12" s="12">
        <f>$B12 * IFERROR(VLOOKUP(Substitution!$M$19 &amp; $A12, US_national_yearly!$D:$AM, MATCH(C$1, US_national_yearly!$D$1:$AM$1, 0), FALSE) / VLOOKUP(Substitution!$M$19 &amp; $A12, US_national_yearly!$D:$AM, MATCH(Keys!$C$7, US_national_yearly!$D$1:$AM$1, 0), FALSE), 1)</f>
        <v>2.6485814630343723E-5</v>
      </c>
      <c r="D12" s="12">
        <f>$B12 * IFERROR(VLOOKUP(Substitution!$M$19 &amp; $A12, US_national_yearly!$D:$AM, MATCH(D$1, US_national_yearly!$D$1:$AM$1, 0), FALSE) / VLOOKUP(Substitution!$M$19 &amp; $A12, US_national_yearly!$D:$AM, MATCH(Keys!$C$7, US_national_yearly!$D$1:$AM$1, 0), FALSE), 1)</f>
        <v>2.6641113321843369E-5</v>
      </c>
      <c r="E12" s="12">
        <f>$B12 * IFERROR(VLOOKUP(Substitution!$M$19 &amp; $A12, US_national_yearly!$D:$AM, MATCH(E$1, US_national_yearly!$D$1:$AM$1, 0), FALSE) / VLOOKUP(Substitution!$M$19 &amp; $A12, US_national_yearly!$D:$AM, MATCH(Keys!$C$7, US_national_yearly!$D$1:$AM$1, 0), FALSE), 1)</f>
        <v>2.6796412013343015E-5</v>
      </c>
      <c r="F12" s="12">
        <f>$B12 * IFERROR(VLOOKUP(Substitution!$M$19 &amp; $A12, US_national_yearly!$D:$AM, MATCH(F$1, US_national_yearly!$D$1:$AM$1, 0), FALSE) / VLOOKUP(Substitution!$M$19 &amp; $A12, US_national_yearly!$D:$AM, MATCH(Keys!$C$7, US_national_yearly!$D$1:$AM$1, 0), FALSE), 1)</f>
        <v>2.695171070484266E-5</v>
      </c>
      <c r="G12" s="12">
        <f>$B12 * IFERROR(VLOOKUP(Substitution!$M$19 &amp; $A12, US_national_yearly!$D:$AM, MATCH(G$1, US_national_yearly!$D$1:$AM$1, 0), FALSE) / VLOOKUP(Substitution!$M$19 &amp; $A12, US_national_yearly!$D:$AM, MATCH(Keys!$C$7, US_national_yearly!$D$1:$AM$1, 0), FALSE), 1)</f>
        <v>2.7121012472962049E-5</v>
      </c>
      <c r="H12" s="12">
        <f>$B12 * IFERROR(VLOOKUP(Substitution!$M$19 &amp; $A12, US_national_yearly!$D:$AM, MATCH(H$1, US_national_yearly!$D$1:$AM$1, 0), FALSE) / VLOOKUP(Substitution!$M$19 &amp; $A12, US_national_yearly!$D:$AM, MATCH(Keys!$C$7, US_national_yearly!$D$1:$AM$1, 0), FALSE), 1)</f>
        <v>2.7290314241081437E-5</v>
      </c>
      <c r="I12" s="12">
        <f>$B12 * IFERROR(VLOOKUP(Substitution!$M$19 &amp; $A12, US_national_yearly!$D:$AM, MATCH(I$1, US_national_yearly!$D$1:$AM$1, 0), FALSE) / VLOOKUP(Substitution!$M$19 &amp; $A12, US_national_yearly!$D:$AM, MATCH(Keys!$C$7, US_national_yearly!$D$1:$AM$1, 0), FALSE), 1)</f>
        <v>2.7457265942214964E-5</v>
      </c>
      <c r="J12" s="12">
        <f>$B12 * IFERROR(VLOOKUP(Substitution!$M$19 &amp; $A12, US_national_yearly!$D:$AM, MATCH(J$1, US_national_yearly!$D$1:$AM$1, 0), FALSE) / VLOOKUP(Substitution!$M$19 &amp; $A12, US_national_yearly!$D:$AM, MATCH(Keys!$C$7, US_national_yearly!$D$1:$AM$1, 0), FALSE), 1)</f>
        <v>2.7624217643348498E-5</v>
      </c>
      <c r="K12" s="12">
        <f>$B12 * IFERROR(VLOOKUP(Substitution!$M$19 &amp; $A12, US_national_yearly!$D:$AM, MATCH(K$1, US_national_yearly!$D$1:$AM$1, 0), FALSE) / VLOOKUP(Substitution!$M$19 &amp; $A12, US_national_yearly!$D:$AM, MATCH(Keys!$C$7, US_national_yearly!$D$1:$AM$1, 0), FALSE), 1)</f>
        <v>2.7791169344482022E-5</v>
      </c>
      <c r="L12" s="12">
        <f>$B12 * IFERROR(VLOOKUP(Substitution!$M$19 &amp; $A12, US_national_yearly!$D:$AM, MATCH(L$1, US_national_yearly!$D$1:$AM$1, 0), FALSE) / VLOOKUP(Substitution!$M$19 &amp; $A12, US_national_yearly!$D:$AM, MATCH(Keys!$C$7, US_national_yearly!$D$1:$AM$1, 0), FALSE), 1)</f>
        <v>2.7958121045615557E-5</v>
      </c>
      <c r="M12" s="12">
        <f>$B12 * IFERROR(VLOOKUP(Substitution!$M$19 &amp; $A12, US_national_yearly!$D:$AM, MATCH(M$1, US_national_yearly!$D$1:$AM$1, 0), FALSE) / VLOOKUP(Substitution!$M$19 &amp; $A12, US_national_yearly!$D:$AM, MATCH(Keys!$C$7, US_national_yearly!$D$1:$AM$1, 0), FALSE), 1)</f>
        <v>2.8125072746749081E-5</v>
      </c>
      <c r="N12" s="12">
        <f>$B12 * IFERROR(VLOOKUP(Substitution!$M$19 &amp; $A12, US_national_yearly!$D:$AM, MATCH(N$1, US_national_yearly!$D$1:$AM$1, 0), FALSE) / VLOOKUP(Substitution!$M$19 &amp; $A12, US_national_yearly!$D:$AM, MATCH(Keys!$C$7, US_national_yearly!$D$1:$AM$1, 0), FALSE), 1)</f>
        <v>2.8246942335011665E-5</v>
      </c>
      <c r="O12" s="12">
        <f>$B12 * IFERROR(VLOOKUP(Substitution!$M$19 &amp; $A12, US_national_yearly!$D:$AM, MATCH(O$1, US_national_yearly!$D$1:$AM$1, 0), FALSE) / VLOOKUP(Substitution!$M$19 &amp; $A12, US_national_yearly!$D:$AM, MATCH(Keys!$C$7, US_national_yearly!$D$1:$AM$1, 0), FALSE), 1)</f>
        <v>2.8368811923274246E-5</v>
      </c>
      <c r="P12" s="12">
        <f>$B12 * IFERROR(VLOOKUP(Substitution!$M$19 &amp; $A12, US_national_yearly!$D:$AM, MATCH(P$1, US_national_yearly!$D$1:$AM$1, 0), FALSE) / VLOOKUP(Substitution!$M$19 &amp; $A12, US_national_yearly!$D:$AM, MATCH(Keys!$C$7, US_national_yearly!$D$1:$AM$1, 0), FALSE), 1)</f>
        <v>2.8490681511536827E-5</v>
      </c>
      <c r="Q12" s="12">
        <f>$B12 * IFERROR(VLOOKUP(Substitution!$M$19 &amp; $A12, US_national_yearly!$D:$AM, MATCH(Q$1, US_national_yearly!$D$1:$AM$1, 0), FALSE) / VLOOKUP(Substitution!$M$19 &amp; $A12, US_national_yearly!$D:$AM, MATCH(Keys!$C$7, US_national_yearly!$D$1:$AM$1, 0), FALSE), 1)</f>
        <v>2.8612551099799411E-5</v>
      </c>
      <c r="R12" s="12">
        <f>$B12 * IFERROR(VLOOKUP(Substitution!$M$19 &amp; $A12, US_national_yearly!$D:$AM, MATCH(R$1, US_national_yearly!$D$1:$AM$1, 0), FALSE) / VLOOKUP(Substitution!$M$19 &amp; $A12, US_national_yearly!$D:$AM, MATCH(Keys!$C$7, US_national_yearly!$D$1:$AM$1, 0), FALSE), 1)</f>
        <v>2.8734420688061992E-5</v>
      </c>
      <c r="S12" s="12">
        <f>$B12 * IFERROR(VLOOKUP(Substitution!$M$19 &amp; $A12, US_national_yearly!$D:$AM, MATCH(S$1, US_national_yearly!$D$1:$AM$1, 0), FALSE) / VLOOKUP(Substitution!$M$19 &amp; $A12, US_national_yearly!$D:$AM, MATCH(Keys!$C$7, US_national_yearly!$D$1:$AM$1, 0), FALSE), 1)</f>
        <v>2.8850674976352517E-5</v>
      </c>
      <c r="T12" s="12">
        <f>$B12 * IFERROR(VLOOKUP(Substitution!$M$19 &amp; $A12, US_national_yearly!$D:$AM, MATCH(T$1, US_national_yearly!$D$1:$AM$1, 0), FALSE) / VLOOKUP(Substitution!$M$19 &amp; $A12, US_national_yearly!$D:$AM, MATCH(Keys!$C$7, US_national_yearly!$D$1:$AM$1, 0), FALSE), 1)</f>
        <v>2.8966929264643035E-5</v>
      </c>
      <c r="U12" s="12">
        <f>$B12 * IFERROR(VLOOKUP(Substitution!$M$19 &amp; $A12, US_national_yearly!$D:$AM, MATCH(U$1, US_national_yearly!$D$1:$AM$1, 0), FALSE) / VLOOKUP(Substitution!$M$19 &amp; $A12, US_national_yearly!$D:$AM, MATCH(Keys!$C$7, US_national_yearly!$D$1:$AM$1, 0), FALSE), 1)</f>
        <v>2.908318355293356E-5</v>
      </c>
      <c r="V12" s="12">
        <f>$B12 * IFERROR(VLOOKUP(Substitution!$M$19 &amp; $A12, US_national_yearly!$D:$AM, MATCH(V$1, US_national_yearly!$D$1:$AM$1, 0), FALSE) / VLOOKUP(Substitution!$M$19 &amp; $A12, US_national_yearly!$D:$AM, MATCH(Keys!$C$7, US_national_yearly!$D$1:$AM$1, 0), FALSE), 1)</f>
        <v>2.9199437841224085E-5</v>
      </c>
      <c r="W12" s="12">
        <f>$B12 * IFERROR(VLOOKUP(Substitution!$M$19 &amp; $A12, US_national_yearly!$D:$AM, MATCH(W$1, US_national_yearly!$D$1:$AM$1, 0), FALSE) / VLOOKUP(Substitution!$M$19 &amp; $A12, US_national_yearly!$D:$AM, MATCH(Keys!$C$7, US_national_yearly!$D$1:$AM$1, 0), FALSE), 1)</f>
        <v>2.931569212951461E-5</v>
      </c>
      <c r="X12" s="12">
        <f>$B12 * IFERROR(VLOOKUP(Substitution!$M$19 &amp; $A12, US_national_yearly!$D:$AM, MATCH(X$1, US_national_yearly!$D$1:$AM$1, 0), FALSE) / VLOOKUP(Substitution!$M$19 &amp; $A12, US_national_yearly!$D:$AM, MATCH(Keys!$C$7, US_national_yearly!$D$1:$AM$1, 0), FALSE), 1)</f>
        <v>2.9425998362416433E-5</v>
      </c>
      <c r="Y12" s="12">
        <f>$B12 * IFERROR(VLOOKUP(Substitution!$M$19 &amp; $A12, US_national_yearly!$D:$AM, MATCH(Y$1, US_national_yearly!$D$1:$AM$1, 0), FALSE) / VLOOKUP(Substitution!$M$19 &amp; $A12, US_national_yearly!$D:$AM, MATCH(Keys!$C$7, US_national_yearly!$D$1:$AM$1, 0), FALSE), 1)</f>
        <v>2.9536304595318253E-5</v>
      </c>
      <c r="Z12" s="12">
        <f>$B12 * IFERROR(VLOOKUP(Substitution!$M$19 &amp; $A12, US_national_yearly!$D:$AM, MATCH(Z$1, US_national_yearly!$D$1:$AM$1, 0), FALSE) / VLOOKUP(Substitution!$M$19 &amp; $A12, US_national_yearly!$D:$AM, MATCH(Keys!$C$7, US_national_yearly!$D$1:$AM$1, 0), FALSE), 1)</f>
        <v>2.9646610828220077E-5</v>
      </c>
      <c r="AA12" s="12">
        <f>$B12 * IFERROR(VLOOKUP(Substitution!$M$19 &amp; $A12, US_national_yearly!$D:$AM, MATCH(AA$1, US_national_yearly!$D$1:$AM$1, 0), FALSE) / VLOOKUP(Substitution!$M$19 &amp; $A12, US_national_yearly!$D:$AM, MATCH(Keys!$C$7, US_national_yearly!$D$1:$AM$1, 0), FALSE), 1)</f>
        <v>2.9756917061121897E-5</v>
      </c>
      <c r="AB12" s="12">
        <f>$B12 * IFERROR(VLOOKUP(Substitution!$M$19 &amp; $A12, US_national_yearly!$D:$AM, MATCH(AB$1, US_national_yearly!$D$1:$AM$1, 0), FALSE) / VLOOKUP(Substitution!$M$19 &amp; $A12, US_national_yearly!$D:$AM, MATCH(Keys!$C$7, US_national_yearly!$D$1:$AM$1, 0), FALSE), 1)</f>
        <v>2.9867223294023727E-5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Substitution!$G$19)/IFERROR(SUMIFS(COBRA_aggregated!$W:$W, COBRA_aggregated!$A:$A, About!$B$1, COBRA_aggregated!$B:$B, Substitution!$G$19), 1)</f>
        <v>1.6612388184738175E-4</v>
      </c>
      <c r="C13" s="12">
        <f>$B13 * IFERROR(VLOOKUP(Substitution!$M$19 &amp; $A13, US_national_yearly!$D:$AM, MATCH(C$1, US_national_yearly!$D$1:$AM$1, 0), FALSE) / VLOOKUP(Substitution!$M$19 &amp; $A13, US_national_yearly!$D:$AM, MATCH(Keys!$C$7, US_national_yearly!$D$1:$AM$1, 0), FALSE), 1)</f>
        <v>1.7100067562339738E-4</v>
      </c>
      <c r="D13" s="12">
        <f>$B13 * IFERROR(VLOOKUP(Substitution!$M$19 &amp; $A13, US_national_yearly!$D:$AM, MATCH(D$1, US_national_yearly!$D$1:$AM$1, 0), FALSE) / VLOOKUP(Substitution!$M$19 &amp; $A13, US_national_yearly!$D:$AM, MATCH(Keys!$C$7, US_national_yearly!$D$1:$AM$1, 0), FALSE), 1)</f>
        <v>1.7587746939941304E-4</v>
      </c>
      <c r="E13" s="12">
        <f>$B13 * IFERROR(VLOOKUP(Substitution!$M$19 &amp; $A13, US_national_yearly!$D:$AM, MATCH(E$1, US_national_yearly!$D$1:$AM$1, 0), FALSE) / VLOOKUP(Substitution!$M$19 &amp; $A13, US_national_yearly!$D:$AM, MATCH(Keys!$C$7, US_national_yearly!$D$1:$AM$1, 0), FALSE), 1)</f>
        <v>1.8075426317542867E-4</v>
      </c>
      <c r="F13" s="12">
        <f>$B13 * IFERROR(VLOOKUP(Substitution!$M$19 &amp; $A13, US_national_yearly!$D:$AM, MATCH(F$1, US_national_yearly!$D$1:$AM$1, 0), FALSE) / VLOOKUP(Substitution!$M$19 &amp; $A13, US_national_yearly!$D:$AM, MATCH(Keys!$C$7, US_national_yearly!$D$1:$AM$1, 0), FALSE), 1)</f>
        <v>1.8563105695144428E-4</v>
      </c>
      <c r="G13" s="12">
        <f>$B13 * IFERROR(VLOOKUP(Substitution!$M$19 &amp; $A13, US_national_yearly!$D:$AM, MATCH(G$1, US_national_yearly!$D$1:$AM$1, 0), FALSE) / VLOOKUP(Substitution!$M$19 &amp; $A13, US_national_yearly!$D:$AM, MATCH(Keys!$C$7, US_national_yearly!$D$1:$AM$1, 0), FALSE), 1)</f>
        <v>1.9023032583248377E-4</v>
      </c>
      <c r="H13" s="12">
        <f>$B13 * IFERROR(VLOOKUP(Substitution!$M$19 &amp; $A13, US_national_yearly!$D:$AM, MATCH(H$1, US_national_yearly!$D$1:$AM$1, 0), FALSE) / VLOOKUP(Substitution!$M$19 &amp; $A13, US_national_yearly!$D:$AM, MATCH(Keys!$C$7, US_national_yearly!$D$1:$AM$1, 0), FALSE), 1)</f>
        <v>1.9482959471352326E-4</v>
      </c>
      <c r="I13" s="12">
        <f>$B13 * IFERROR(VLOOKUP(Substitution!$M$19 &amp; $A13, US_national_yearly!$D:$AM, MATCH(I$1, US_national_yearly!$D$1:$AM$1, 0), FALSE) / VLOOKUP(Substitution!$M$19 &amp; $A13, US_national_yearly!$D:$AM, MATCH(Keys!$C$7, US_national_yearly!$D$1:$AM$1, 0), FALSE), 1)</f>
        <v>1.9853056435864791E-4</v>
      </c>
      <c r="J13" s="12">
        <f>$B13 * IFERROR(VLOOKUP(Substitution!$M$19 &amp; $A13, US_national_yearly!$D:$AM, MATCH(J$1, US_national_yearly!$D$1:$AM$1, 0), FALSE) / VLOOKUP(Substitution!$M$19 &amp; $A13, US_national_yearly!$D:$AM, MATCH(Keys!$C$7, US_national_yearly!$D$1:$AM$1, 0), FALSE), 1)</f>
        <v>2.0223153400377255E-4</v>
      </c>
      <c r="K13" s="12">
        <f>$B13 * IFERROR(VLOOKUP(Substitution!$M$19 &amp; $A13, US_national_yearly!$D:$AM, MATCH(K$1, US_national_yearly!$D$1:$AM$1, 0), FALSE) / VLOOKUP(Substitution!$M$19 &amp; $A13, US_national_yearly!$D:$AM, MATCH(Keys!$C$7, US_national_yearly!$D$1:$AM$1, 0), FALSE), 1)</f>
        <v>2.059325036488972E-4</v>
      </c>
      <c r="L13" s="12">
        <f>$B13 * IFERROR(VLOOKUP(Substitution!$M$19 &amp; $A13, US_national_yearly!$D:$AM, MATCH(L$1, US_national_yearly!$D$1:$AM$1, 0), FALSE) / VLOOKUP(Substitution!$M$19 &amp; $A13, US_national_yearly!$D:$AM, MATCH(Keys!$C$7, US_national_yearly!$D$1:$AM$1, 0), FALSE), 1)</f>
        <v>2.096334732940219E-4</v>
      </c>
      <c r="M13" s="12">
        <f>$B13 * IFERROR(VLOOKUP(Substitution!$M$19 &amp; $A13, US_national_yearly!$D:$AM, MATCH(M$1, US_national_yearly!$D$1:$AM$1, 0), FALSE) / VLOOKUP(Substitution!$M$19 &amp; $A13, US_national_yearly!$D:$AM, MATCH(Keys!$C$7, US_national_yearly!$D$1:$AM$1, 0), FALSE), 1)</f>
        <v>2.1333444293914657E-4</v>
      </c>
      <c r="N13" s="12">
        <f>$B13 * IFERROR(VLOOKUP(Substitution!$M$19 &amp; $A13, US_national_yearly!$D:$AM, MATCH(N$1, US_national_yearly!$D$1:$AM$1, 0), FALSE) / VLOOKUP(Substitution!$M$19 &amp; $A13, US_national_yearly!$D:$AM, MATCH(Keys!$C$7, US_national_yearly!$D$1:$AM$1, 0), FALSE), 1)</f>
        <v>2.1573752724337168E-4</v>
      </c>
      <c r="O13" s="12">
        <f>$B13 * IFERROR(VLOOKUP(Substitution!$M$19 &amp; $A13, US_national_yearly!$D:$AM, MATCH(O$1, US_national_yearly!$D$1:$AM$1, 0), FALSE) / VLOOKUP(Substitution!$M$19 &amp; $A13, US_national_yearly!$D:$AM, MATCH(Keys!$C$7, US_national_yearly!$D$1:$AM$1, 0), FALSE), 1)</f>
        <v>2.1814061154759685E-4</v>
      </c>
      <c r="P13" s="12">
        <f>$B13 * IFERROR(VLOOKUP(Substitution!$M$19 &amp; $A13, US_national_yearly!$D:$AM, MATCH(P$1, US_national_yearly!$D$1:$AM$1, 0), FALSE) / VLOOKUP(Substitution!$M$19 &amp; $A13, US_national_yearly!$D:$AM, MATCH(Keys!$C$7, US_national_yearly!$D$1:$AM$1, 0), FALSE), 1)</f>
        <v>2.2054369585182201E-4</v>
      </c>
      <c r="Q13" s="12">
        <f>$B13 * IFERROR(VLOOKUP(Substitution!$M$19 &amp; $A13, US_national_yearly!$D:$AM, MATCH(Q$1, US_national_yearly!$D$1:$AM$1, 0), FALSE) / VLOOKUP(Substitution!$M$19 &amp; $A13, US_national_yearly!$D:$AM, MATCH(Keys!$C$7, US_national_yearly!$D$1:$AM$1, 0), FALSE), 1)</f>
        <v>2.2294678015604715E-4</v>
      </c>
      <c r="R13" s="12">
        <f>$B13 * IFERROR(VLOOKUP(Substitution!$M$19 &amp; $A13, US_national_yearly!$D:$AM, MATCH(R$1, US_national_yearly!$D$1:$AM$1, 0), FALSE) / VLOOKUP(Substitution!$M$19 &amp; $A13, US_national_yearly!$D:$AM, MATCH(Keys!$C$7, US_national_yearly!$D$1:$AM$1, 0), FALSE), 1)</f>
        <v>2.2534986446027229E-4</v>
      </c>
      <c r="S13" s="12">
        <f>$B13 * IFERROR(VLOOKUP(Substitution!$M$19 &amp; $A13, US_national_yearly!$D:$AM, MATCH(S$1, US_national_yearly!$D$1:$AM$1, 0), FALSE) / VLOOKUP(Substitution!$M$19 &amp; $A13, US_national_yearly!$D:$AM, MATCH(Keys!$C$7, US_national_yearly!$D$1:$AM$1, 0), FALSE), 1)</f>
        <v>2.2660450125866599E-4</v>
      </c>
      <c r="T13" s="12">
        <f>$B13 * IFERROR(VLOOKUP(Substitution!$M$19 &amp; $A13, US_national_yearly!$D:$AM, MATCH(T$1, US_national_yearly!$D$1:$AM$1, 0), FALSE) / VLOOKUP(Substitution!$M$19 &amp; $A13, US_national_yearly!$D:$AM, MATCH(Keys!$C$7, US_national_yearly!$D$1:$AM$1, 0), FALSE), 1)</f>
        <v>2.2785913805705967E-4</v>
      </c>
      <c r="U13" s="12">
        <f>$B13 * IFERROR(VLOOKUP(Substitution!$M$19 &amp; $A13, US_national_yearly!$D:$AM, MATCH(U$1, US_national_yearly!$D$1:$AM$1, 0), FALSE) / VLOOKUP(Substitution!$M$19 &amp; $A13, US_national_yearly!$D:$AM, MATCH(Keys!$C$7, US_national_yearly!$D$1:$AM$1, 0), FALSE), 1)</f>
        <v>2.2911377485545332E-4</v>
      </c>
      <c r="V13" s="12">
        <f>$B13 * IFERROR(VLOOKUP(Substitution!$M$19 &amp; $A13, US_national_yearly!$D:$AM, MATCH(V$1, US_national_yearly!$D$1:$AM$1, 0), FALSE) / VLOOKUP(Substitution!$M$19 &amp; $A13, US_national_yearly!$D:$AM, MATCH(Keys!$C$7, US_national_yearly!$D$1:$AM$1, 0), FALSE), 1)</f>
        <v>2.3036841165384697E-4</v>
      </c>
      <c r="W13" s="12">
        <f>$B13 * IFERROR(VLOOKUP(Substitution!$M$19 &amp; $A13, US_national_yearly!$D:$AM, MATCH(W$1, US_national_yearly!$D$1:$AM$1, 0), FALSE) / VLOOKUP(Substitution!$M$19 &amp; $A13, US_national_yearly!$D:$AM, MATCH(Keys!$C$7, US_national_yearly!$D$1:$AM$1, 0), FALSE), 1)</f>
        <v>2.316230484522407E-4</v>
      </c>
      <c r="X13" s="12">
        <f>$B13 * IFERROR(VLOOKUP(Substitution!$M$19 &amp; $A13, US_national_yearly!$D:$AM, MATCH(X$1, US_national_yearly!$D$1:$AM$1, 0), FALSE) / VLOOKUP(Substitution!$M$19 &amp; $A13, US_national_yearly!$D:$AM, MATCH(Keys!$C$7, US_national_yearly!$D$1:$AM$1, 0), FALSE), 1)</f>
        <v>2.3257018948711532E-4</v>
      </c>
      <c r="Y13" s="12">
        <f>$B13 * IFERROR(VLOOKUP(Substitution!$M$19 &amp; $A13, US_national_yearly!$D:$AM, MATCH(Y$1, US_national_yearly!$D$1:$AM$1, 0), FALSE) / VLOOKUP(Substitution!$M$19 &amp; $A13, US_national_yearly!$D:$AM, MATCH(Keys!$C$7, US_national_yearly!$D$1:$AM$1, 0), FALSE), 1)</f>
        <v>2.3351733052198997E-4</v>
      </c>
      <c r="Z13" s="12">
        <f>$B13 * IFERROR(VLOOKUP(Substitution!$M$19 &amp; $A13, US_national_yearly!$D:$AM, MATCH(Z$1, US_national_yearly!$D$1:$AM$1, 0), FALSE) / VLOOKUP(Substitution!$M$19 &amp; $A13, US_national_yearly!$D:$AM, MATCH(Keys!$C$7, US_national_yearly!$D$1:$AM$1, 0), FALSE), 1)</f>
        <v>2.3446447155686458E-4</v>
      </c>
      <c r="AA13" s="12">
        <f>$B13 * IFERROR(VLOOKUP(Substitution!$M$19 &amp; $A13, US_national_yearly!$D:$AM, MATCH(AA$1, US_national_yearly!$D$1:$AM$1, 0), FALSE) / VLOOKUP(Substitution!$M$19 &amp; $A13, US_national_yearly!$D:$AM, MATCH(Keys!$C$7, US_national_yearly!$D$1:$AM$1, 0), FALSE), 1)</f>
        <v>2.354116125917392E-4</v>
      </c>
      <c r="AB13" s="12">
        <f>$B13 * IFERROR(VLOOKUP(Substitution!$M$19 &amp; $A13, US_national_yearly!$D:$AM, MATCH(AB$1, US_national_yearly!$D$1:$AM$1, 0), FALSE) / VLOOKUP(Substitution!$M$19 &amp; $A13, US_national_yearly!$D:$AM, MATCH(Keys!$C$7, US_national_yearly!$D$1:$AM$1, 0), FALSE), 1)</f>
        <v>2.3635875362661385E-4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Substitution!$G$19)/IFERROR(SUMIFS(COBRA_aggregated!$W:$W, COBRA_aggregated!$A:$A, About!$B$1, COBRA_aggregated!$B:$B, Substitution!$G$19), 1)</f>
        <v>0.10819775385560952</v>
      </c>
      <c r="C14" s="12">
        <f>$B14 * IFERROR(VLOOKUP(Substitution!$M$19 &amp; $A14, US_national_yearly!$D:$AM, MATCH(C$1, US_national_yearly!$D$1:$AM$1, 0), FALSE) / VLOOKUP(Substitution!$M$19 &amp; $A14, US_national_yearly!$D:$AM, MATCH(Keys!$C$7, US_national_yearly!$D$1:$AM$1, 0), FALSE), 1)</f>
        <v>0.10847048434241863</v>
      </c>
      <c r="D14" s="12">
        <f>$B14 * IFERROR(VLOOKUP(Substitution!$M$19 &amp; $A14, US_national_yearly!$D:$AM, MATCH(D$1, US_national_yearly!$D$1:$AM$1, 0), FALSE) / VLOOKUP(Substitution!$M$19 &amp; $A14, US_national_yearly!$D:$AM, MATCH(Keys!$C$7, US_national_yearly!$D$1:$AM$1, 0), FALSE), 1)</f>
        <v>0.10874321482922771</v>
      </c>
      <c r="E14" s="12">
        <f>$B14 * IFERROR(VLOOKUP(Substitution!$M$19 &amp; $A14, US_national_yearly!$D:$AM, MATCH(E$1, US_national_yearly!$D$1:$AM$1, 0), FALSE) / VLOOKUP(Substitution!$M$19 &amp; $A14, US_national_yearly!$D:$AM, MATCH(Keys!$C$7, US_national_yearly!$D$1:$AM$1, 0), FALSE), 1)</f>
        <v>0.10901594531603681</v>
      </c>
      <c r="F14" s="12">
        <f>$B14 * IFERROR(VLOOKUP(Substitution!$M$19 &amp; $A14, US_national_yearly!$D:$AM, MATCH(F$1, US_national_yearly!$D$1:$AM$1, 0), FALSE) / VLOOKUP(Substitution!$M$19 &amp; $A14, US_national_yearly!$D:$AM, MATCH(Keys!$C$7, US_national_yearly!$D$1:$AM$1, 0), FALSE), 1)</f>
        <v>0.10928867580284589</v>
      </c>
      <c r="G14" s="12">
        <f>$B14 * IFERROR(VLOOKUP(Substitution!$M$19 &amp; $A14, US_national_yearly!$D:$AM, MATCH(G$1, US_national_yearly!$D$1:$AM$1, 0), FALSE) / VLOOKUP(Substitution!$M$19 &amp; $A14, US_national_yearly!$D:$AM, MATCH(Keys!$C$7, US_national_yearly!$D$1:$AM$1, 0), FALSE), 1)</f>
        <v>0.10969010828623625</v>
      </c>
      <c r="H14" s="12">
        <f>$B14 * IFERROR(VLOOKUP(Substitution!$M$19 &amp; $A14, US_national_yearly!$D:$AM, MATCH(H$1, US_national_yearly!$D$1:$AM$1, 0), FALSE) / VLOOKUP(Substitution!$M$19 &amp; $A14, US_national_yearly!$D:$AM, MATCH(Keys!$C$7, US_national_yearly!$D$1:$AM$1, 0), FALSE), 1)</f>
        <v>0.1100915407696266</v>
      </c>
      <c r="I14" s="12">
        <f>$B14 * IFERROR(VLOOKUP(Substitution!$M$19 &amp; $A14, US_national_yearly!$D:$AM, MATCH(I$1, US_national_yearly!$D$1:$AM$1, 0), FALSE) / VLOOKUP(Substitution!$M$19 &amp; $A14, US_national_yearly!$D:$AM, MATCH(Keys!$C$7, US_national_yearly!$D$1:$AM$1, 0), FALSE), 1)</f>
        <v>0.11077614645215739</v>
      </c>
      <c r="J14" s="12">
        <f>$B14 * IFERROR(VLOOKUP(Substitution!$M$19 &amp; $A14, US_national_yearly!$D:$AM, MATCH(J$1, US_national_yearly!$D$1:$AM$1, 0), FALSE) / VLOOKUP(Substitution!$M$19 &amp; $A14, US_national_yearly!$D:$AM, MATCH(Keys!$C$7, US_national_yearly!$D$1:$AM$1, 0), FALSE), 1)</f>
        <v>0.11146075213468819</v>
      </c>
      <c r="K14" s="12">
        <f>$B14 * IFERROR(VLOOKUP(Substitution!$M$19 &amp; $A14, US_national_yearly!$D:$AM, MATCH(K$1, US_national_yearly!$D$1:$AM$1, 0), FALSE) / VLOOKUP(Substitution!$M$19 &amp; $A14, US_national_yearly!$D:$AM, MATCH(Keys!$C$7, US_national_yearly!$D$1:$AM$1, 0), FALSE), 1)</f>
        <v>0.11214535781721899</v>
      </c>
      <c r="L14" s="12">
        <f>$B14 * IFERROR(VLOOKUP(Substitution!$M$19 &amp; $A14, US_national_yearly!$D:$AM, MATCH(L$1, US_national_yearly!$D$1:$AM$1, 0), FALSE) / VLOOKUP(Substitution!$M$19 &amp; $A14, US_national_yearly!$D:$AM, MATCH(Keys!$C$7, US_national_yearly!$D$1:$AM$1, 0), FALSE), 1)</f>
        <v>0.11282996349974977</v>
      </c>
      <c r="M14" s="12">
        <f>$B14 * IFERROR(VLOOKUP(Substitution!$M$19 &amp; $A14, US_national_yearly!$D:$AM, MATCH(M$1, US_national_yearly!$D$1:$AM$1, 0), FALSE) / VLOOKUP(Substitution!$M$19 &amp; $A14, US_national_yearly!$D:$AM, MATCH(Keys!$C$7, US_national_yearly!$D$1:$AM$1, 0), FALSE), 1)</f>
        <v>0.11351456918228056</v>
      </c>
      <c r="N14" s="12">
        <f>$B14 * IFERROR(VLOOKUP(Substitution!$M$19 &amp; $A14, US_national_yearly!$D:$AM, MATCH(N$1, US_national_yearly!$D$1:$AM$1, 0), FALSE) / VLOOKUP(Substitution!$M$19 &amp; $A14, US_national_yearly!$D:$AM, MATCH(Keys!$C$7, US_national_yearly!$D$1:$AM$1, 0), FALSE), 1)</f>
        <v>0.11445099990485426</v>
      </c>
      <c r="O14" s="12">
        <f>$B14 * IFERROR(VLOOKUP(Substitution!$M$19 &amp; $A14, US_national_yearly!$D:$AM, MATCH(O$1, US_national_yearly!$D$1:$AM$1, 0), FALSE) / VLOOKUP(Substitution!$M$19 &amp; $A14, US_national_yearly!$D:$AM, MATCH(Keys!$C$7, US_national_yearly!$D$1:$AM$1, 0), FALSE), 1)</f>
        <v>0.11538743062742796</v>
      </c>
      <c r="P14" s="12">
        <f>$B14 * IFERROR(VLOOKUP(Substitution!$M$19 &amp; $A14, US_national_yearly!$D:$AM, MATCH(P$1, US_national_yearly!$D$1:$AM$1, 0), FALSE) / VLOOKUP(Substitution!$M$19 &amp; $A14, US_national_yearly!$D:$AM, MATCH(Keys!$C$7, US_national_yearly!$D$1:$AM$1, 0), FALSE), 1)</f>
        <v>0.11632386135000165</v>
      </c>
      <c r="Q14" s="12">
        <f>$B14 * IFERROR(VLOOKUP(Substitution!$M$19 &amp; $A14, US_national_yearly!$D:$AM, MATCH(Q$1, US_national_yearly!$D$1:$AM$1, 0), FALSE) / VLOOKUP(Substitution!$M$19 &amp; $A14, US_national_yearly!$D:$AM, MATCH(Keys!$C$7, US_national_yearly!$D$1:$AM$1, 0), FALSE), 1)</f>
        <v>0.11726029207257535</v>
      </c>
      <c r="R14" s="12">
        <f>$B14 * IFERROR(VLOOKUP(Substitution!$M$19 &amp; $A14, US_national_yearly!$D:$AM, MATCH(R$1, US_national_yearly!$D$1:$AM$1, 0), FALSE) / VLOOKUP(Substitution!$M$19 &amp; $A14, US_national_yearly!$D:$AM, MATCH(Keys!$C$7, US_national_yearly!$D$1:$AM$1, 0), FALSE), 1)</f>
        <v>0.11819672279514905</v>
      </c>
      <c r="S14" s="12">
        <f>$B14 * IFERROR(VLOOKUP(Substitution!$M$19 &amp; $A14, US_national_yearly!$D:$AM, MATCH(S$1, US_national_yearly!$D$1:$AM$1, 0), FALSE) / VLOOKUP(Substitution!$M$19 &amp; $A14, US_national_yearly!$D:$AM, MATCH(Keys!$C$7, US_national_yearly!$D$1:$AM$1, 0), FALSE), 1)</f>
        <v>0.11915150556896313</v>
      </c>
      <c r="T14" s="12">
        <f>$B14 * IFERROR(VLOOKUP(Substitution!$M$19 &amp; $A14, US_national_yearly!$D:$AM, MATCH(T$1, US_national_yearly!$D$1:$AM$1, 0), FALSE) / VLOOKUP(Substitution!$M$19 &amp; $A14, US_national_yearly!$D:$AM, MATCH(Keys!$C$7, US_national_yearly!$D$1:$AM$1, 0), FALSE), 1)</f>
        <v>0.12010628834277721</v>
      </c>
      <c r="U14" s="12">
        <f>$B14 * IFERROR(VLOOKUP(Substitution!$M$19 &amp; $A14, US_national_yearly!$D:$AM, MATCH(U$1, US_national_yearly!$D$1:$AM$1, 0), FALSE) / VLOOKUP(Substitution!$M$19 &amp; $A14, US_national_yearly!$D:$AM, MATCH(Keys!$C$7, US_national_yearly!$D$1:$AM$1, 0), FALSE), 1)</f>
        <v>0.12106107111659128</v>
      </c>
      <c r="V14" s="12">
        <f>$B14 * IFERROR(VLOOKUP(Substitution!$M$19 &amp; $A14, US_national_yearly!$D:$AM, MATCH(V$1, US_national_yearly!$D$1:$AM$1, 0), FALSE) / VLOOKUP(Substitution!$M$19 &amp; $A14, US_national_yearly!$D:$AM, MATCH(Keys!$C$7, US_national_yearly!$D$1:$AM$1, 0), FALSE), 1)</f>
        <v>0.12201585389040537</v>
      </c>
      <c r="W14" s="12">
        <f>$B14 * IFERROR(VLOOKUP(Substitution!$M$19 &amp; $A14, US_national_yearly!$D:$AM, MATCH(W$1, US_national_yearly!$D$1:$AM$1, 0), FALSE) / VLOOKUP(Substitution!$M$19 &amp; $A14, US_national_yearly!$D:$AM, MATCH(Keys!$C$7, US_national_yearly!$D$1:$AM$1, 0), FALSE), 1)</f>
        <v>0.12297063666421947</v>
      </c>
      <c r="X14" s="12">
        <f>$B14 * IFERROR(VLOOKUP(Substitution!$M$19 &amp; $A14, US_national_yearly!$D:$AM, MATCH(X$1, US_national_yearly!$D$1:$AM$1, 0), FALSE) / VLOOKUP(Substitution!$M$19 &amp; $A14, US_national_yearly!$D:$AM, MATCH(Keys!$C$7, US_national_yearly!$D$1:$AM$1, 0), FALSE), 1)</f>
        <v>0.12381029202827978</v>
      </c>
      <c r="Y14" s="12">
        <f>$B14 * IFERROR(VLOOKUP(Substitution!$M$19 &amp; $A14, US_national_yearly!$D:$AM, MATCH(Y$1, US_national_yearly!$D$1:$AM$1, 0), FALSE) / VLOOKUP(Substitution!$M$19 &amp; $A14, US_national_yearly!$D:$AM, MATCH(Keys!$C$7, US_national_yearly!$D$1:$AM$1, 0), FALSE), 1)</f>
        <v>0.12464994739234009</v>
      </c>
      <c r="Z14" s="12">
        <f>$B14 * IFERROR(VLOOKUP(Substitution!$M$19 &amp; $A14, US_national_yearly!$D:$AM, MATCH(Z$1, US_national_yearly!$D$1:$AM$1, 0), FALSE) / VLOOKUP(Substitution!$M$19 &amp; $A14, US_national_yearly!$D:$AM, MATCH(Keys!$C$7, US_national_yearly!$D$1:$AM$1, 0), FALSE), 1)</f>
        <v>0.12548960275640042</v>
      </c>
      <c r="AA14" s="12">
        <f>$B14 * IFERROR(VLOOKUP(Substitution!$M$19 &amp; $A14, US_national_yearly!$D:$AM, MATCH(AA$1, US_national_yearly!$D$1:$AM$1, 0), FALSE) / VLOOKUP(Substitution!$M$19 &amp; $A14, US_national_yearly!$D:$AM, MATCH(Keys!$C$7, US_national_yearly!$D$1:$AM$1, 0), FALSE), 1)</f>
        <v>0.12632925812046072</v>
      </c>
      <c r="AB14" s="12">
        <f>$B14 * IFERROR(VLOOKUP(Substitution!$M$19 &amp; $A14, US_national_yearly!$D:$AM, MATCH(AB$1, US_national_yearly!$D$1:$AM$1, 0), FALSE) / VLOOKUP(Substitution!$M$19 &amp; $A14, US_national_yearly!$D:$AM, MATCH(Keys!$C$7, US_national_yearly!$D$1:$AM$1, 0), FALSE), 1)</f>
        <v>0.12716891348452106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Substitution!$G$19)/IFERROR(SUMIFS(COBRA_aggregated!$W:$W, COBRA_aggregated!$A:$A, About!$B$1, COBRA_aggregated!$B:$B, Substitution!$G$19), 1)</f>
        <v>1.8243692661772129E-2</v>
      </c>
      <c r="C15" s="12">
        <f>$B15 * IFERROR(VLOOKUP(Substitution!$M$19 &amp; $A15, US_national_yearly!$D:$AM, MATCH(C$1, US_national_yearly!$D$1:$AM$1, 0), FALSE) / VLOOKUP(Substitution!$M$19 &amp; $A15, US_national_yearly!$D:$AM, MATCH(Keys!$C$7, US_national_yearly!$D$1:$AM$1, 0), FALSE), 1)</f>
        <v>1.8302799326417804E-2</v>
      </c>
      <c r="D15" s="12">
        <f>$B15 * IFERROR(VLOOKUP(Substitution!$M$19 &amp; $A15, US_national_yearly!$D:$AM, MATCH(D$1, US_national_yearly!$D$1:$AM$1, 0), FALSE) / VLOOKUP(Substitution!$M$19 &amp; $A15, US_national_yearly!$D:$AM, MATCH(Keys!$C$7, US_national_yearly!$D$1:$AM$1, 0), FALSE), 1)</f>
        <v>1.8361905991063476E-2</v>
      </c>
      <c r="E15" s="12">
        <f>$B15 * IFERROR(VLOOKUP(Substitution!$M$19 &amp; $A15, US_national_yearly!$D:$AM, MATCH(E$1, US_national_yearly!$D$1:$AM$1, 0), FALSE) / VLOOKUP(Substitution!$M$19 &amp; $A15, US_national_yearly!$D:$AM, MATCH(Keys!$C$7, US_national_yearly!$D$1:$AM$1, 0), FALSE), 1)</f>
        <v>1.8421012655709151E-2</v>
      </c>
      <c r="F15" s="12">
        <f>$B15 * IFERROR(VLOOKUP(Substitution!$M$19 &amp; $A15, US_national_yearly!$D:$AM, MATCH(F$1, US_national_yearly!$D$1:$AM$1, 0), FALSE) / VLOOKUP(Substitution!$M$19 &amp; $A15, US_national_yearly!$D:$AM, MATCH(Keys!$C$7, US_national_yearly!$D$1:$AM$1, 0), FALSE), 1)</f>
        <v>1.8480119320354826E-2</v>
      </c>
      <c r="G15" s="12">
        <f>$B15 * IFERROR(VLOOKUP(Substitution!$M$19 &amp; $A15, US_national_yearly!$D:$AM, MATCH(G$1, US_national_yearly!$D$1:$AM$1, 0), FALSE) / VLOOKUP(Substitution!$M$19 &amp; $A15, US_national_yearly!$D:$AM, MATCH(Keys!$C$7, US_national_yearly!$D$1:$AM$1, 0), FALSE), 1)</f>
        <v>1.8557349409877067E-2</v>
      </c>
      <c r="H15" s="12">
        <f>$B15 * IFERROR(VLOOKUP(Substitution!$M$19 &amp; $A15, US_national_yearly!$D:$AM, MATCH(H$1, US_national_yearly!$D$1:$AM$1, 0), FALSE) / VLOOKUP(Substitution!$M$19 &amp; $A15, US_national_yearly!$D:$AM, MATCH(Keys!$C$7, US_national_yearly!$D$1:$AM$1, 0), FALSE), 1)</f>
        <v>1.8634579499399305E-2</v>
      </c>
      <c r="I15" s="12">
        <f>$B15 * IFERROR(VLOOKUP(Substitution!$M$19 &amp; $A15, US_national_yearly!$D:$AM, MATCH(I$1, US_national_yearly!$D$1:$AM$1, 0), FALSE) / VLOOKUP(Substitution!$M$19 &amp; $A15, US_national_yearly!$D:$AM, MATCH(Keys!$C$7, US_national_yearly!$D$1:$AM$1, 0), FALSE), 1)</f>
        <v>1.8747556752978775E-2</v>
      </c>
      <c r="J15" s="12">
        <f>$B15 * IFERROR(VLOOKUP(Substitution!$M$19 &amp; $A15, US_national_yearly!$D:$AM, MATCH(J$1, US_national_yearly!$D$1:$AM$1, 0), FALSE) / VLOOKUP(Substitution!$M$19 &amp; $A15, US_national_yearly!$D:$AM, MATCH(Keys!$C$7, US_national_yearly!$D$1:$AM$1, 0), FALSE), 1)</f>
        <v>1.8860534006558238E-2</v>
      </c>
      <c r="K15" s="12">
        <f>$B15 * IFERROR(VLOOKUP(Substitution!$M$19 &amp; $A15, US_national_yearly!$D:$AM, MATCH(K$1, US_national_yearly!$D$1:$AM$1, 0), FALSE) / VLOOKUP(Substitution!$M$19 &amp; $A15, US_national_yearly!$D:$AM, MATCH(Keys!$C$7, US_national_yearly!$D$1:$AM$1, 0), FALSE), 1)</f>
        <v>1.8973511260137708E-2</v>
      </c>
      <c r="L15" s="12">
        <f>$B15 * IFERROR(VLOOKUP(Substitution!$M$19 &amp; $A15, US_national_yearly!$D:$AM, MATCH(L$1, US_national_yearly!$D$1:$AM$1, 0), FALSE) / VLOOKUP(Substitution!$M$19 &amp; $A15, US_national_yearly!$D:$AM, MATCH(Keys!$C$7, US_national_yearly!$D$1:$AM$1, 0), FALSE), 1)</f>
        <v>1.9086488513717175E-2</v>
      </c>
      <c r="M15" s="12">
        <f>$B15 * IFERROR(VLOOKUP(Substitution!$M$19 &amp; $A15, US_national_yearly!$D:$AM, MATCH(M$1, US_national_yearly!$D$1:$AM$1, 0), FALSE) / VLOOKUP(Substitution!$M$19 &amp; $A15, US_national_yearly!$D:$AM, MATCH(Keys!$C$7, US_national_yearly!$D$1:$AM$1, 0), FALSE), 1)</f>
        <v>1.9199465767296645E-2</v>
      </c>
      <c r="N15" s="12">
        <f>$B15 * IFERROR(VLOOKUP(Substitution!$M$19 &amp; $A15, US_national_yearly!$D:$AM, MATCH(N$1, US_national_yearly!$D$1:$AM$1, 0), FALSE) / VLOOKUP(Substitution!$M$19 &amp; $A15, US_national_yearly!$D:$AM, MATCH(Keys!$C$7, US_national_yearly!$D$1:$AM$1, 0), FALSE), 1)</f>
        <v>1.9341120935256039E-2</v>
      </c>
      <c r="O15" s="12">
        <f>$B15 * IFERROR(VLOOKUP(Substitution!$M$19 &amp; $A15, US_national_yearly!$D:$AM, MATCH(O$1, US_national_yearly!$D$1:$AM$1, 0), FALSE) / VLOOKUP(Substitution!$M$19 &amp; $A15, US_national_yearly!$D:$AM, MATCH(Keys!$C$7, US_national_yearly!$D$1:$AM$1, 0), FALSE), 1)</f>
        <v>1.9482776103215433E-2</v>
      </c>
      <c r="P15" s="12">
        <f>$B15 * IFERROR(VLOOKUP(Substitution!$M$19 &amp; $A15, US_national_yearly!$D:$AM, MATCH(P$1, US_national_yearly!$D$1:$AM$1, 0), FALSE) / VLOOKUP(Substitution!$M$19 &amp; $A15, US_national_yearly!$D:$AM, MATCH(Keys!$C$7, US_national_yearly!$D$1:$AM$1, 0), FALSE), 1)</f>
        <v>1.962443127117482E-2</v>
      </c>
      <c r="Q15" s="12">
        <f>$B15 * IFERROR(VLOOKUP(Substitution!$M$19 &amp; $A15, US_national_yearly!$D:$AM, MATCH(Q$1, US_national_yearly!$D$1:$AM$1, 0), FALSE) / VLOOKUP(Substitution!$M$19 &amp; $A15, US_national_yearly!$D:$AM, MATCH(Keys!$C$7, US_national_yearly!$D$1:$AM$1, 0), FALSE), 1)</f>
        <v>1.9766086439134214E-2</v>
      </c>
      <c r="R15" s="12">
        <f>$B15 * IFERROR(VLOOKUP(Substitution!$M$19 &amp; $A15, US_national_yearly!$D:$AM, MATCH(R$1, US_national_yearly!$D$1:$AM$1, 0), FALSE) / VLOOKUP(Substitution!$M$19 &amp; $A15, US_national_yearly!$D:$AM, MATCH(Keys!$C$7, US_national_yearly!$D$1:$AM$1, 0), FALSE), 1)</f>
        <v>1.9907741607093608E-2</v>
      </c>
      <c r="S15" s="12">
        <f>$B15 * IFERROR(VLOOKUP(Substitution!$M$19 &amp; $A15, US_national_yearly!$D:$AM, MATCH(S$1, US_national_yearly!$D$1:$AM$1, 0), FALSE) / VLOOKUP(Substitution!$M$19 &amp; $A15, US_national_yearly!$D:$AM, MATCH(Keys!$C$7, US_national_yearly!$D$1:$AM$1, 0), FALSE), 1)</f>
        <v>2.0066040790257103E-2</v>
      </c>
      <c r="T15" s="12">
        <f>$B15 * IFERROR(VLOOKUP(Substitution!$M$19 &amp; $A15, US_national_yearly!$D:$AM, MATCH(T$1, US_national_yearly!$D$1:$AM$1, 0), FALSE) / VLOOKUP(Substitution!$M$19 &amp; $A15, US_national_yearly!$D:$AM, MATCH(Keys!$C$7, US_national_yearly!$D$1:$AM$1, 0), FALSE), 1)</f>
        <v>2.0224339973420605E-2</v>
      </c>
      <c r="U15" s="12">
        <f>$B15 * IFERROR(VLOOKUP(Substitution!$M$19 &amp; $A15, US_national_yearly!$D:$AM, MATCH(U$1, US_national_yearly!$D$1:$AM$1, 0), FALSE) / VLOOKUP(Substitution!$M$19 &amp; $A15, US_national_yearly!$D:$AM, MATCH(Keys!$C$7, US_national_yearly!$D$1:$AM$1, 0), FALSE), 1)</f>
        <v>2.0382639156584101E-2</v>
      </c>
      <c r="V15" s="12">
        <f>$B15 * IFERROR(VLOOKUP(Substitution!$M$19 &amp; $A15, US_national_yearly!$D:$AM, MATCH(V$1, US_national_yearly!$D$1:$AM$1, 0), FALSE) / VLOOKUP(Substitution!$M$19 &amp; $A15, US_national_yearly!$D:$AM, MATCH(Keys!$C$7, US_national_yearly!$D$1:$AM$1, 0), FALSE), 1)</f>
        <v>2.05409383397476E-2</v>
      </c>
      <c r="W15" s="12">
        <f>$B15 * IFERROR(VLOOKUP(Substitution!$M$19 &amp; $A15, US_national_yearly!$D:$AM, MATCH(W$1, US_national_yearly!$D$1:$AM$1, 0), FALSE) / VLOOKUP(Substitution!$M$19 &amp; $A15, US_national_yearly!$D:$AM, MATCH(Keys!$C$7, US_national_yearly!$D$1:$AM$1, 0), FALSE), 1)</f>
        <v>2.0699237522911099E-2</v>
      </c>
      <c r="X15" s="12">
        <f>$B15 * IFERROR(VLOOKUP(Substitution!$M$19 &amp; $A15, US_national_yearly!$D:$AM, MATCH(X$1, US_national_yearly!$D$1:$AM$1, 0), FALSE) / VLOOKUP(Substitution!$M$19 &amp; $A15, US_national_yearly!$D:$AM, MATCH(Keys!$C$7, US_national_yearly!$D$1:$AM$1, 0), FALSE), 1)</f>
        <v>2.0841368369968298E-2</v>
      </c>
      <c r="Y15" s="12">
        <f>$B15 * IFERROR(VLOOKUP(Substitution!$M$19 &amp; $A15, US_national_yearly!$D:$AM, MATCH(Y$1, US_national_yearly!$D$1:$AM$1, 0), FALSE) / VLOOKUP(Substitution!$M$19 &amp; $A15, US_national_yearly!$D:$AM, MATCH(Keys!$C$7, US_national_yearly!$D$1:$AM$1, 0), FALSE), 1)</f>
        <v>2.0983499217025497E-2</v>
      </c>
      <c r="Z15" s="12">
        <f>$B15 * IFERROR(VLOOKUP(Substitution!$M$19 &amp; $A15, US_national_yearly!$D:$AM, MATCH(Z$1, US_national_yearly!$D$1:$AM$1, 0), FALSE) / VLOOKUP(Substitution!$M$19 &amp; $A15, US_national_yearly!$D:$AM, MATCH(Keys!$C$7, US_national_yearly!$D$1:$AM$1, 0), FALSE), 1)</f>
        <v>2.1125630064082697E-2</v>
      </c>
      <c r="AA15" s="12">
        <f>$B15 * IFERROR(VLOOKUP(Substitution!$M$19 &amp; $A15, US_national_yearly!$D:$AM, MATCH(AA$1, US_national_yearly!$D$1:$AM$1, 0), FALSE) / VLOOKUP(Substitution!$M$19 &amp; $A15, US_national_yearly!$D:$AM, MATCH(Keys!$C$7, US_national_yearly!$D$1:$AM$1, 0), FALSE), 1)</f>
        <v>2.12677609111399E-2</v>
      </c>
      <c r="AB15" s="12">
        <f>$B15 * IFERROR(VLOOKUP(Substitution!$M$19 &amp; $A15, US_national_yearly!$D:$AM, MATCH(AB$1, US_national_yearly!$D$1:$AM$1, 0), FALSE) / VLOOKUP(Substitution!$M$19 &amp; $A15, US_national_yearly!$D:$AM, MATCH(Keys!$C$7, US_national_yearly!$D$1:$AM$1, 0), FALSE), 1)</f>
        <v>2.1409891758197099E-2</v>
      </c>
    </row>
    <row r="16" spans="1:28" x14ac:dyDescent="0.25">
      <c r="A16" s="4" t="s">
        <v>319</v>
      </c>
      <c r="B16" s="12">
        <f>IFERROR(VLOOKUP(Substitution!$M$19 &amp; $A16, US_national_yearly!$D:$AM, MATCH(Keys!$C$7, US_national_yearly!$D$1:$AM$1, 0), FALSE), 0)</f>
        <v>1.6897250982670999E-4</v>
      </c>
      <c r="C16" s="12">
        <f>$B16 * IFERROR(VLOOKUP(Substitution!$M$19 &amp; $A16, US_national_yearly!$D:$AM, MATCH(C$1, US_national_yearly!$D$1:$AM$1, 0), FALSE) / VLOOKUP(Substitution!$M$19 &amp; $A16, US_national_yearly!$D:$AM, MATCH(Keys!$C$7, US_national_yearly!$D$1:$AM$1, 0), FALSE), 1)</f>
        <v>1.7232483174793801E-4</v>
      </c>
      <c r="D16" s="12">
        <f>$B16 * IFERROR(VLOOKUP(Substitution!$M$19 &amp; $A16, US_national_yearly!$D:$AM, MATCH(D$1, US_national_yearly!$D$1:$AM$1, 0), FALSE) / VLOOKUP(Substitution!$M$19 &amp; $A16, US_national_yearly!$D:$AM, MATCH(Keys!$C$7, US_national_yearly!$D$1:$AM$1, 0), FALSE), 1)</f>
        <v>1.7567715366916599E-4</v>
      </c>
      <c r="E16" s="12">
        <f>$B16 * IFERROR(VLOOKUP(Substitution!$M$19 &amp; $A16, US_national_yearly!$D:$AM, MATCH(E$1, US_national_yearly!$D$1:$AM$1, 0), FALSE) / VLOOKUP(Substitution!$M$19 &amp; $A16, US_national_yearly!$D:$AM, MATCH(Keys!$C$7, US_national_yearly!$D$1:$AM$1, 0), FALSE), 1)</f>
        <v>1.7902947559039401E-4</v>
      </c>
      <c r="F16" s="12">
        <f>$B16 * IFERROR(VLOOKUP(Substitution!$M$19 &amp; $A16, US_national_yearly!$D:$AM, MATCH(F$1, US_national_yearly!$D$1:$AM$1, 0), FALSE) / VLOOKUP(Substitution!$M$19 &amp; $A16, US_national_yearly!$D:$AM, MATCH(Keys!$C$7, US_national_yearly!$D$1:$AM$1, 0), FALSE), 1)</f>
        <v>1.82381797511622E-4</v>
      </c>
      <c r="G16" s="12">
        <f>$B16 * IFERROR(VLOOKUP(Substitution!$M$19 &amp; $A16, US_national_yearly!$D:$AM, MATCH(G$1, US_national_yearly!$D$1:$AM$1, 0), FALSE) / VLOOKUP(Substitution!$M$19 &amp; $A16, US_national_yearly!$D:$AM, MATCH(Keys!$C$7, US_national_yearly!$D$1:$AM$1, 0), FALSE), 1)</f>
        <v>1.8592917737929451E-4</v>
      </c>
      <c r="H16" s="12">
        <f>$B16 * IFERROR(VLOOKUP(Substitution!$M$19 &amp; $A16, US_national_yearly!$D:$AM, MATCH(H$1, US_national_yearly!$D$1:$AM$1, 0), FALSE) / VLOOKUP(Substitution!$M$19 &amp; $A16, US_national_yearly!$D:$AM, MATCH(Keys!$C$7, US_national_yearly!$D$1:$AM$1, 0), FALSE), 1)</f>
        <v>1.8947655724696699E-4</v>
      </c>
      <c r="I16" s="12">
        <f>$B16 * IFERROR(VLOOKUP(Substitution!$M$19 &amp; $A16, US_national_yearly!$D:$AM, MATCH(I$1, US_national_yearly!$D$1:$AM$1, 0), FALSE) / VLOOKUP(Substitution!$M$19 &amp; $A16, US_national_yearly!$D:$AM, MATCH(Keys!$C$7, US_national_yearly!$D$1:$AM$1, 0), FALSE), 1)</f>
        <v>1.9328083329093481E-4</v>
      </c>
      <c r="J16" s="12">
        <f>$B16 * IFERROR(VLOOKUP(Substitution!$M$19 &amp; $A16, US_national_yearly!$D:$AM, MATCH(J$1, US_national_yearly!$D$1:$AM$1, 0), FALSE) / VLOOKUP(Substitution!$M$19 &amp; $A16, US_national_yearly!$D:$AM, MATCH(Keys!$C$7, US_national_yearly!$D$1:$AM$1, 0), FALSE), 1)</f>
        <v>1.970851093349026E-4</v>
      </c>
      <c r="K16" s="12">
        <f>$B16 * IFERROR(VLOOKUP(Substitution!$M$19 &amp; $A16, US_national_yearly!$D:$AM, MATCH(K$1, US_national_yearly!$D$1:$AM$1, 0), FALSE) / VLOOKUP(Substitution!$M$19 &amp; $A16, US_national_yearly!$D:$AM, MATCH(Keys!$C$7, US_national_yearly!$D$1:$AM$1, 0), FALSE), 1)</f>
        <v>2.0088938537887041E-4</v>
      </c>
      <c r="L16" s="12">
        <f>$B16 * IFERROR(VLOOKUP(Substitution!$M$19 &amp; $A16, US_national_yearly!$D:$AM, MATCH(L$1, US_national_yearly!$D$1:$AM$1, 0), FALSE) / VLOOKUP(Substitution!$M$19 &amp; $A16, US_national_yearly!$D:$AM, MATCH(Keys!$C$7, US_national_yearly!$D$1:$AM$1, 0), FALSE), 1)</f>
        <v>2.046936614228382E-4</v>
      </c>
      <c r="M16" s="12">
        <f>$B16 * IFERROR(VLOOKUP(Substitution!$M$19 &amp; $A16, US_national_yearly!$D:$AM, MATCH(M$1, US_national_yearly!$D$1:$AM$1, 0), FALSE) / VLOOKUP(Substitution!$M$19 &amp; $A16, US_national_yearly!$D:$AM, MATCH(Keys!$C$7, US_national_yearly!$D$1:$AM$1, 0), FALSE), 1)</f>
        <v>2.0849793746680599E-4</v>
      </c>
      <c r="N16" s="12">
        <f>$B16 * IFERROR(VLOOKUP(Substitution!$M$19 &amp; $A16, US_national_yearly!$D:$AM, MATCH(N$1, US_national_yearly!$D$1:$AM$1, 0), FALSE) / VLOOKUP(Substitution!$M$19 &amp; $A16, US_national_yearly!$D:$AM, MATCH(Keys!$C$7, US_national_yearly!$D$1:$AM$1, 0), FALSE), 1)</f>
        <v>2.1172215544807603E-4</v>
      </c>
      <c r="O16" s="12">
        <f>$B16 * IFERROR(VLOOKUP(Substitution!$M$19 &amp; $A16, US_national_yearly!$D:$AM, MATCH(O$1, US_national_yearly!$D$1:$AM$1, 0), FALSE) / VLOOKUP(Substitution!$M$19 &amp; $A16, US_national_yearly!$D:$AM, MATCH(Keys!$C$7, US_national_yearly!$D$1:$AM$1, 0), FALSE), 1)</f>
        <v>2.14946373429346E-4</v>
      </c>
      <c r="P16" s="12">
        <f>$B16 * IFERROR(VLOOKUP(Substitution!$M$19 &amp; $A16, US_national_yearly!$D:$AM, MATCH(P$1, US_national_yearly!$D$1:$AM$1, 0), FALSE) / VLOOKUP(Substitution!$M$19 &amp; $A16, US_national_yearly!$D:$AM, MATCH(Keys!$C$7, US_national_yearly!$D$1:$AM$1, 0), FALSE), 1)</f>
        <v>2.1817059141061599E-4</v>
      </c>
      <c r="Q16" s="12">
        <f>$B16 * IFERROR(VLOOKUP(Substitution!$M$19 &amp; $A16, US_national_yearly!$D:$AM, MATCH(Q$1, US_national_yearly!$D$1:$AM$1, 0), FALSE) / VLOOKUP(Substitution!$M$19 &amp; $A16, US_national_yearly!$D:$AM, MATCH(Keys!$C$7, US_national_yearly!$D$1:$AM$1, 0), FALSE), 1)</f>
        <v>2.2139480939188601E-4</v>
      </c>
      <c r="R16" s="12">
        <f>$B16 * IFERROR(VLOOKUP(Substitution!$M$19 &amp; $A16, US_national_yearly!$D:$AM, MATCH(R$1, US_national_yearly!$D$1:$AM$1, 0), FALSE) / VLOOKUP(Substitution!$M$19 &amp; $A16, US_national_yearly!$D:$AM, MATCH(Keys!$C$7, US_national_yearly!$D$1:$AM$1, 0), FALSE), 1)</f>
        <v>2.24619027373156E-4</v>
      </c>
      <c r="S16" s="12">
        <f>$B16 * IFERROR(VLOOKUP(Substitution!$M$19 &amp; $A16, US_national_yearly!$D:$AM, MATCH(S$1, US_national_yearly!$D$1:$AM$1, 0), FALSE) / VLOOKUP(Substitution!$M$19 &amp; $A16, US_national_yearly!$D:$AM, MATCH(Keys!$C$7, US_national_yearly!$D$1:$AM$1, 0), FALSE), 1)</f>
        <v>2.26266573091165E-4</v>
      </c>
      <c r="T16" s="12">
        <f>$B16 * IFERROR(VLOOKUP(Substitution!$M$19 &amp; $A16, US_national_yearly!$D:$AM, MATCH(T$1, US_national_yearly!$D$1:$AM$1, 0), FALSE) / VLOOKUP(Substitution!$M$19 &amp; $A16, US_national_yearly!$D:$AM, MATCH(Keys!$C$7, US_national_yearly!$D$1:$AM$1, 0), FALSE), 1)</f>
        <v>2.2791411880917399E-4</v>
      </c>
      <c r="U16" s="12">
        <f>$B16 * IFERROR(VLOOKUP(Substitution!$M$19 &amp; $A16, US_national_yearly!$D:$AM, MATCH(U$1, US_national_yearly!$D$1:$AM$1, 0), FALSE) / VLOOKUP(Substitution!$M$19 &amp; $A16, US_national_yearly!$D:$AM, MATCH(Keys!$C$7, US_national_yearly!$D$1:$AM$1, 0), FALSE), 1)</f>
        <v>2.2956166452718296E-4</v>
      </c>
      <c r="V16" s="12">
        <f>$B16 * IFERROR(VLOOKUP(Substitution!$M$19 &amp; $A16, US_national_yearly!$D:$AM, MATCH(V$1, US_national_yearly!$D$1:$AM$1, 0), FALSE) / VLOOKUP(Substitution!$M$19 &amp; $A16, US_national_yearly!$D:$AM, MATCH(Keys!$C$7, US_national_yearly!$D$1:$AM$1, 0), FALSE), 1)</f>
        <v>2.3120921024519201E-4</v>
      </c>
      <c r="W16" s="12">
        <f>$B16 * IFERROR(VLOOKUP(Substitution!$M$19 &amp; $A16, US_national_yearly!$D:$AM, MATCH(W$1, US_national_yearly!$D$1:$AM$1, 0), FALSE) / VLOOKUP(Substitution!$M$19 &amp; $A16, US_national_yearly!$D:$AM, MATCH(Keys!$C$7, US_national_yearly!$D$1:$AM$1, 0), FALSE), 1)</f>
        <v>2.3285675596320098E-4</v>
      </c>
      <c r="X16" s="12">
        <f>$B16 * IFERROR(VLOOKUP(Substitution!$M$19 &amp; $A16, US_national_yearly!$D:$AM, MATCH(X$1, US_national_yearly!$D$1:$AM$1, 0), FALSE) / VLOOKUP(Substitution!$M$19 &amp; $A16, US_national_yearly!$D:$AM, MATCH(Keys!$C$7, US_national_yearly!$D$1:$AM$1, 0), FALSE), 1)</f>
        <v>2.3368868162727837E-4</v>
      </c>
      <c r="Y16" s="12">
        <f>$B16 * IFERROR(VLOOKUP(Substitution!$M$19 &amp; $A16, US_national_yearly!$D:$AM, MATCH(Y$1, US_national_yearly!$D$1:$AM$1, 0), FALSE) / VLOOKUP(Substitution!$M$19 &amp; $A16, US_national_yearly!$D:$AM, MATCH(Keys!$C$7, US_national_yearly!$D$1:$AM$1, 0), FALSE), 1)</f>
        <v>2.3452060729135576E-4</v>
      </c>
      <c r="Z16" s="12">
        <f>$B16 * IFERROR(VLOOKUP(Substitution!$M$19 &amp; $A16, US_national_yearly!$D:$AM, MATCH(Z$1, US_national_yearly!$D$1:$AM$1, 0), FALSE) / VLOOKUP(Substitution!$M$19 &amp; $A16, US_national_yearly!$D:$AM, MATCH(Keys!$C$7, US_national_yearly!$D$1:$AM$1, 0), FALSE), 1)</f>
        <v>2.3535253295543321E-4</v>
      </c>
      <c r="AA16" s="12">
        <f>$B16 * IFERROR(VLOOKUP(Substitution!$M$19 &amp; $A16, US_national_yearly!$D:$AM, MATCH(AA$1, US_national_yearly!$D$1:$AM$1, 0), FALSE) / VLOOKUP(Substitution!$M$19 &amp; $A16, US_national_yearly!$D:$AM, MATCH(Keys!$C$7, US_national_yearly!$D$1:$AM$1, 0), FALSE), 1)</f>
        <v>2.361844586195106E-4</v>
      </c>
      <c r="AB16" s="12">
        <f>$B16 * IFERROR(VLOOKUP(Substitution!$M$19 &amp; $A16, US_national_yearly!$D:$AM, MATCH(AB$1, US_national_yearly!$D$1:$AM$1, 0), FALSE) / VLOOKUP(Substitution!$M$19 &amp; $A16, US_national_yearly!$D:$AM, MATCH(Keys!$C$7, US_national_yearly!$D$1:$AM$1, 0), FALSE), 1)</f>
        <v>2.3701638428358799E-4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Substitution!$G$19)/IFERROR(SUMIFS(COBRA_aggregated!$W:$W, COBRA_aggregated!$A:$A, About!$B$1, COBRA_aggregated!$B:$B, Substitution!$G$19), 1)</f>
        <v>4.5004571974115699E-5</v>
      </c>
      <c r="C17" s="12">
        <f>$B17 * IFERROR(VLOOKUP(Substitution!$M$19 &amp; $A17, US_national_yearly!$D:$AM, MATCH(C$1, US_national_yearly!$D$1:$AM$1, 0), FALSE) / VLOOKUP(Substitution!$M$19 &amp; $A17, US_national_yearly!$D:$AM, MATCH(Keys!$C$7, US_national_yearly!$D$1:$AM$1, 0), FALSE), 1)</f>
        <v>4.6365682572100682E-5</v>
      </c>
      <c r="D17" s="12">
        <f>$B17 * IFERROR(VLOOKUP(Substitution!$M$19 &amp; $A17, US_national_yearly!$D:$AM, MATCH(D$1, US_national_yearly!$D$1:$AM$1, 0), FALSE) / VLOOKUP(Substitution!$M$19 &amp; $A17, US_national_yearly!$D:$AM, MATCH(Keys!$C$7, US_national_yearly!$D$1:$AM$1, 0), FALSE), 1)</f>
        <v>4.7726793170085665E-5</v>
      </c>
      <c r="E17" s="12">
        <f>$B17 * IFERROR(VLOOKUP(Substitution!$M$19 &amp; $A17, US_national_yearly!$D:$AM, MATCH(E$1, US_national_yearly!$D$1:$AM$1, 0), FALSE) / VLOOKUP(Substitution!$M$19 &amp; $A17, US_national_yearly!$D:$AM, MATCH(Keys!$C$7, US_national_yearly!$D$1:$AM$1, 0), FALSE), 1)</f>
        <v>4.9087903768070648E-5</v>
      </c>
      <c r="F17" s="12">
        <f>$B17 * IFERROR(VLOOKUP(Substitution!$M$19 &amp; $A17, US_national_yearly!$D:$AM, MATCH(F$1, US_national_yearly!$D$1:$AM$1, 0), FALSE) / VLOOKUP(Substitution!$M$19 &amp; $A17, US_national_yearly!$D:$AM, MATCH(Keys!$C$7, US_national_yearly!$D$1:$AM$1, 0), FALSE), 1)</f>
        <v>5.0449014366055645E-5</v>
      </c>
      <c r="G17" s="12">
        <f>$B17 * IFERROR(VLOOKUP(Substitution!$M$19 &amp; $A17, US_national_yearly!$D:$AM, MATCH(G$1, US_national_yearly!$D$1:$AM$1, 0), FALSE) / VLOOKUP(Substitution!$M$19 &amp; $A17, US_national_yearly!$D:$AM, MATCH(Keys!$C$7, US_national_yearly!$D$1:$AM$1, 0), FALSE), 1)</f>
        <v>5.1752828897536623E-5</v>
      </c>
      <c r="H17" s="12">
        <f>$B17 * IFERROR(VLOOKUP(Substitution!$M$19 &amp; $A17, US_national_yearly!$D:$AM, MATCH(H$1, US_national_yearly!$D$1:$AM$1, 0), FALSE) / VLOOKUP(Substitution!$M$19 &amp; $A17, US_national_yearly!$D:$AM, MATCH(Keys!$C$7, US_national_yearly!$D$1:$AM$1, 0), FALSE), 1)</f>
        <v>5.3056643429017614E-5</v>
      </c>
      <c r="I17" s="12">
        <f>$B17 * IFERROR(VLOOKUP(Substitution!$M$19 &amp; $A17, US_national_yearly!$D:$AM, MATCH(I$1, US_national_yearly!$D$1:$AM$1, 0), FALSE) / VLOOKUP(Substitution!$M$19 &amp; $A17, US_national_yearly!$D:$AM, MATCH(Keys!$C$7, US_national_yearly!$D$1:$AM$1, 0), FALSE), 1)</f>
        <v>5.4173758045312127E-5</v>
      </c>
      <c r="J17" s="12">
        <f>$B17 * IFERROR(VLOOKUP(Substitution!$M$19 &amp; $A17, US_national_yearly!$D:$AM, MATCH(J$1, US_national_yearly!$D$1:$AM$1, 0), FALSE) / VLOOKUP(Substitution!$M$19 &amp; $A17, US_national_yearly!$D:$AM, MATCH(Keys!$C$7, US_national_yearly!$D$1:$AM$1, 0), FALSE), 1)</f>
        <v>5.529087266160664E-5</v>
      </c>
      <c r="K17" s="12">
        <f>$B17 * IFERROR(VLOOKUP(Substitution!$M$19 &amp; $A17, US_national_yearly!$D:$AM, MATCH(K$1, US_national_yearly!$D$1:$AM$1, 0), FALSE) / VLOOKUP(Substitution!$M$19 &amp; $A17, US_national_yearly!$D:$AM, MATCH(Keys!$C$7, US_national_yearly!$D$1:$AM$1, 0), FALSE), 1)</f>
        <v>5.6407987277901153E-5</v>
      </c>
      <c r="L17" s="12">
        <f>$B17 * IFERROR(VLOOKUP(Substitution!$M$19 &amp; $A17, US_national_yearly!$D:$AM, MATCH(L$1, US_national_yearly!$D$1:$AM$1, 0), FALSE) / VLOOKUP(Substitution!$M$19 &amp; $A17, US_national_yearly!$D:$AM, MATCH(Keys!$C$7, US_national_yearly!$D$1:$AM$1, 0), FALSE), 1)</f>
        <v>5.7525101894195666E-5</v>
      </c>
      <c r="M17" s="12">
        <f>$B17 * IFERROR(VLOOKUP(Substitution!$M$19 &amp; $A17, US_national_yearly!$D:$AM, MATCH(M$1, US_national_yearly!$D$1:$AM$1, 0), FALSE) / VLOOKUP(Substitution!$M$19 &amp; $A17, US_national_yearly!$D:$AM, MATCH(Keys!$C$7, US_national_yearly!$D$1:$AM$1, 0), FALSE), 1)</f>
        <v>5.8642216510490165E-5</v>
      </c>
      <c r="N17" s="12">
        <f>$B17 * IFERROR(VLOOKUP(Substitution!$M$19 &amp; $A17, US_national_yearly!$D:$AM, MATCH(N$1, US_national_yearly!$D$1:$AM$1, 0), FALSE) / VLOOKUP(Substitution!$M$19 &amp; $A17, US_national_yearly!$D:$AM, MATCH(Keys!$C$7, US_national_yearly!$D$1:$AM$1, 0), FALSE), 1)</f>
        <v>5.9392663065356856E-5</v>
      </c>
      <c r="O17" s="12">
        <f>$B17 * IFERROR(VLOOKUP(Substitution!$M$19 &amp; $A17, US_national_yearly!$D:$AM, MATCH(O$1, US_national_yearly!$D$1:$AM$1, 0), FALSE) / VLOOKUP(Substitution!$M$19 &amp; $A17, US_national_yearly!$D:$AM, MATCH(Keys!$C$7, US_national_yearly!$D$1:$AM$1, 0), FALSE), 1)</f>
        <v>6.014310962022354E-5</v>
      </c>
      <c r="P17" s="12">
        <f>$B17 * IFERROR(VLOOKUP(Substitution!$M$19 &amp; $A17, US_national_yearly!$D:$AM, MATCH(P$1, US_national_yearly!$D$1:$AM$1, 0), FALSE) / VLOOKUP(Substitution!$M$19 &amp; $A17, US_national_yearly!$D:$AM, MATCH(Keys!$C$7, US_national_yearly!$D$1:$AM$1, 0), FALSE), 1)</f>
        <v>6.0893556175090217E-5</v>
      </c>
      <c r="Q17" s="12">
        <f>$B17 * IFERROR(VLOOKUP(Substitution!$M$19 &amp; $A17, US_national_yearly!$D:$AM, MATCH(Q$1, US_national_yearly!$D$1:$AM$1, 0), FALSE) / VLOOKUP(Substitution!$M$19 &amp; $A17, US_national_yearly!$D:$AM, MATCH(Keys!$C$7, US_national_yearly!$D$1:$AM$1, 0), FALSE), 1)</f>
        <v>6.1644002729956894E-5</v>
      </c>
      <c r="R17" s="12">
        <f>$B17 * IFERROR(VLOOKUP(Substitution!$M$19 &amp; $A17, US_national_yearly!$D:$AM, MATCH(R$1, US_national_yearly!$D$1:$AM$1, 0), FALSE) / VLOOKUP(Substitution!$M$19 &amp; $A17, US_national_yearly!$D:$AM, MATCH(Keys!$C$7, US_national_yearly!$D$1:$AM$1, 0), FALSE), 1)</f>
        <v>6.2394449284823591E-5</v>
      </c>
      <c r="S17" s="12">
        <f>$B17 * IFERROR(VLOOKUP(Substitution!$M$19 &amp; $A17, US_national_yearly!$D:$AM, MATCH(S$1, US_national_yearly!$D$1:$AM$1, 0), FALSE) / VLOOKUP(Substitution!$M$19 &amp; $A17, US_national_yearly!$D:$AM, MATCH(Keys!$C$7, US_national_yearly!$D$1:$AM$1, 0), FALSE), 1)</f>
        <v>6.2789130740838848E-5</v>
      </c>
      <c r="T17" s="12">
        <f>$B17 * IFERROR(VLOOKUP(Substitution!$M$19 &amp; $A17, US_national_yearly!$D:$AM, MATCH(T$1, US_national_yearly!$D$1:$AM$1, 0), FALSE) / VLOOKUP(Substitution!$M$19 &amp; $A17, US_national_yearly!$D:$AM, MATCH(Keys!$C$7, US_national_yearly!$D$1:$AM$1, 0), FALSE), 1)</f>
        <v>6.3183812196854119E-5</v>
      </c>
      <c r="U17" s="12">
        <f>$B17 * IFERROR(VLOOKUP(Substitution!$M$19 &amp; $A17, US_national_yearly!$D:$AM, MATCH(U$1, US_national_yearly!$D$1:$AM$1, 0), FALSE) / VLOOKUP(Substitution!$M$19 &amp; $A17, US_national_yearly!$D:$AM, MATCH(Keys!$C$7, US_national_yearly!$D$1:$AM$1, 0), FALSE), 1)</f>
        <v>6.3578493652869376E-5</v>
      </c>
      <c r="V17" s="12">
        <f>$B17 * IFERROR(VLOOKUP(Substitution!$M$19 &amp; $A17, US_national_yearly!$D:$AM, MATCH(V$1, US_national_yearly!$D$1:$AM$1, 0), FALSE) / VLOOKUP(Substitution!$M$19 &amp; $A17, US_national_yearly!$D:$AM, MATCH(Keys!$C$7, US_national_yearly!$D$1:$AM$1, 0), FALSE), 1)</f>
        <v>6.3973175108884633E-5</v>
      </c>
      <c r="W17" s="12">
        <f>$B17 * IFERROR(VLOOKUP(Substitution!$M$19 &amp; $A17, US_national_yearly!$D:$AM, MATCH(W$1, US_national_yearly!$D$1:$AM$1, 0), FALSE) / VLOOKUP(Substitution!$M$19 &amp; $A17, US_national_yearly!$D:$AM, MATCH(Keys!$C$7, US_national_yearly!$D$1:$AM$1, 0), FALSE), 1)</f>
        <v>6.4367856564899903E-5</v>
      </c>
      <c r="X17" s="12">
        <f>$B17 * IFERROR(VLOOKUP(Substitution!$M$19 &amp; $A17, US_national_yearly!$D:$AM, MATCH(X$1, US_national_yearly!$D$1:$AM$1, 0), FALSE) / VLOOKUP(Substitution!$M$19 &amp; $A17, US_national_yearly!$D:$AM, MATCH(Keys!$C$7, US_national_yearly!$D$1:$AM$1, 0), FALSE), 1)</f>
        <v>6.4632819273495061E-5</v>
      </c>
      <c r="Y17" s="12">
        <f>$B17 * IFERROR(VLOOKUP(Substitution!$M$19 &amp; $A17, US_national_yearly!$D:$AM, MATCH(Y$1, US_national_yearly!$D$1:$AM$1, 0), FALSE) / VLOOKUP(Substitution!$M$19 &amp; $A17, US_national_yearly!$D:$AM, MATCH(Keys!$C$7, US_national_yearly!$D$1:$AM$1, 0), FALSE), 1)</f>
        <v>6.4897781982090232E-5</v>
      </c>
      <c r="Z17" s="12">
        <f>$B17 * IFERROR(VLOOKUP(Substitution!$M$19 &amp; $A17, US_national_yearly!$D:$AM, MATCH(Z$1, US_national_yearly!$D$1:$AM$1, 0), FALSE) / VLOOKUP(Substitution!$M$19 &amp; $A17, US_national_yearly!$D:$AM, MATCH(Keys!$C$7, US_national_yearly!$D$1:$AM$1, 0), FALSE), 1)</f>
        <v>6.5162744690685389E-5</v>
      </c>
      <c r="AA17" s="12">
        <f>$B17 * IFERROR(VLOOKUP(Substitution!$M$19 &amp; $A17, US_national_yearly!$D:$AM, MATCH(AA$1, US_national_yearly!$D$1:$AM$1, 0), FALSE) / VLOOKUP(Substitution!$M$19 &amp; $A17, US_national_yearly!$D:$AM, MATCH(Keys!$C$7, US_national_yearly!$D$1:$AM$1, 0), FALSE), 1)</f>
        <v>6.5427707399280574E-5</v>
      </c>
      <c r="AB17" s="12">
        <f>$B17 * IFERROR(VLOOKUP(Substitution!$M$19 &amp; $A17, US_national_yearly!$D:$AM, MATCH(AB$1, US_national_yearly!$D$1:$AM$1, 0), FALSE) / VLOOKUP(Substitution!$M$19 &amp; $A17, US_national_yearly!$D:$AM, MATCH(Keys!$C$7, US_national_yearly!$D$1:$AM$1, 0), FALSE), 1)</f>
        <v>6.5692670107875717E-5</v>
      </c>
    </row>
    <row r="18" spans="1:28" x14ac:dyDescent="0.25">
      <c r="A18" s="4" t="s">
        <v>323</v>
      </c>
      <c r="B18" s="12">
        <f>IFERROR(VLOOKUP(Substitution!$M$19 &amp; $A18, US_national_yearly!$D:$AM, MATCH(Keys!$C$7, US_national_yearly!$D$1:$AM$1, 0), FALSE), 0)</f>
        <v>1.220170578267064E-3</v>
      </c>
      <c r="C18" s="12">
        <f>$B18 * IFERROR(VLOOKUP(Substitution!$M$19 &amp; $A18, US_national_yearly!$D:$AM, MATCH(C$1, US_national_yearly!$D$1:$AM$1, 0), FALSE) / VLOOKUP(Substitution!$M$19 &amp; $A18, US_national_yearly!$D:$AM, MATCH(Keys!$C$7, US_national_yearly!$D$1:$AM$1, 0), FALSE), 1)</f>
        <v>1.260304078353578E-3</v>
      </c>
      <c r="D18" s="12">
        <f>$B18 * IFERROR(VLOOKUP(Substitution!$M$19 &amp; $A18, US_national_yearly!$D:$AM, MATCH(D$1, US_national_yearly!$D$1:$AM$1, 0), FALSE) / VLOOKUP(Substitution!$M$19 &amp; $A18, US_national_yearly!$D:$AM, MATCH(Keys!$C$7, US_national_yearly!$D$1:$AM$1, 0), FALSE), 1)</f>
        <v>1.300437578440092E-3</v>
      </c>
      <c r="E18" s="12">
        <f>$B18 * IFERROR(VLOOKUP(Substitution!$M$19 &amp; $A18, US_national_yearly!$D:$AM, MATCH(E$1, US_national_yearly!$D$1:$AM$1, 0), FALSE) / VLOOKUP(Substitution!$M$19 &amp; $A18, US_national_yearly!$D:$AM, MATCH(Keys!$C$7, US_national_yearly!$D$1:$AM$1, 0), FALSE), 1)</f>
        <v>1.340571078526606E-3</v>
      </c>
      <c r="F18" s="12">
        <f>$B18 * IFERROR(VLOOKUP(Substitution!$M$19 &amp; $A18, US_national_yearly!$D:$AM, MATCH(F$1, US_national_yearly!$D$1:$AM$1, 0), FALSE) / VLOOKUP(Substitution!$M$19 &amp; $A18, US_national_yearly!$D:$AM, MATCH(Keys!$C$7, US_national_yearly!$D$1:$AM$1, 0), FALSE), 1)</f>
        <v>1.38070457861312E-3</v>
      </c>
      <c r="G18" s="12">
        <f>$B18 * IFERROR(VLOOKUP(Substitution!$M$19 &amp; $A18, US_national_yearly!$D:$AM, MATCH(G$1, US_national_yearly!$D$1:$AM$1, 0), FALSE) / VLOOKUP(Substitution!$M$19 &amp; $A18, US_national_yearly!$D:$AM, MATCH(Keys!$C$7, US_national_yearly!$D$1:$AM$1, 0), FALSE), 1)</f>
        <v>1.423291953252635E-3</v>
      </c>
      <c r="H18" s="12">
        <f>$B18 * IFERROR(VLOOKUP(Substitution!$M$19 &amp; $A18, US_national_yearly!$D:$AM, MATCH(H$1, US_national_yearly!$D$1:$AM$1, 0), FALSE) / VLOOKUP(Substitution!$M$19 &amp; $A18, US_national_yearly!$D:$AM, MATCH(Keys!$C$7, US_national_yearly!$D$1:$AM$1, 0), FALSE), 1)</f>
        <v>1.4658793278921499E-3</v>
      </c>
      <c r="I18" s="12">
        <f>$B18 * IFERROR(VLOOKUP(Substitution!$M$19 &amp; $A18, US_national_yearly!$D:$AM, MATCH(I$1, US_national_yearly!$D$1:$AM$1, 0), FALSE) / VLOOKUP(Substitution!$M$19 &amp; $A18, US_national_yearly!$D:$AM, MATCH(Keys!$C$7, US_national_yearly!$D$1:$AM$1, 0), FALSE), 1)</f>
        <v>1.5084462934230861E-3</v>
      </c>
      <c r="J18" s="12">
        <f>$B18 * IFERROR(VLOOKUP(Substitution!$M$19 &amp; $A18, US_national_yearly!$D:$AM, MATCH(J$1, US_national_yearly!$D$1:$AM$1, 0), FALSE) / VLOOKUP(Substitution!$M$19 &amp; $A18, US_national_yearly!$D:$AM, MATCH(Keys!$C$7, US_national_yearly!$D$1:$AM$1, 0), FALSE), 1)</f>
        <v>1.5510132589540222E-3</v>
      </c>
      <c r="K18" s="12">
        <f>$B18 * IFERROR(VLOOKUP(Substitution!$M$19 &amp; $A18, US_national_yearly!$D:$AM, MATCH(K$1, US_national_yearly!$D$1:$AM$1, 0), FALSE) / VLOOKUP(Substitution!$M$19 &amp; $A18, US_national_yearly!$D:$AM, MATCH(Keys!$C$7, US_national_yearly!$D$1:$AM$1, 0), FALSE), 1)</f>
        <v>1.593580224484958E-3</v>
      </c>
      <c r="L18" s="12">
        <f>$B18 * IFERROR(VLOOKUP(Substitution!$M$19 &amp; $A18, US_national_yearly!$D:$AM, MATCH(L$1, US_national_yearly!$D$1:$AM$1, 0), FALSE) / VLOOKUP(Substitution!$M$19 &amp; $A18, US_national_yearly!$D:$AM, MATCH(Keys!$C$7, US_national_yearly!$D$1:$AM$1, 0), FALSE), 1)</f>
        <v>1.6361471900158942E-3</v>
      </c>
      <c r="M18" s="12">
        <f>$B18 * IFERROR(VLOOKUP(Substitution!$M$19 &amp; $A18, US_national_yearly!$D:$AM, MATCH(M$1, US_national_yearly!$D$1:$AM$1, 0), FALSE) / VLOOKUP(Substitution!$M$19 &amp; $A18, US_national_yearly!$D:$AM, MATCH(Keys!$C$7, US_national_yearly!$D$1:$AM$1, 0), FALSE), 1)</f>
        <v>1.67871415554683E-3</v>
      </c>
      <c r="N18" s="12">
        <f>$B18 * IFERROR(VLOOKUP(Substitution!$M$19 &amp; $A18, US_national_yearly!$D:$AM, MATCH(N$1, US_national_yearly!$D$1:$AM$1, 0), FALSE) / VLOOKUP(Substitution!$M$19 &amp; $A18, US_national_yearly!$D:$AM, MATCH(Keys!$C$7, US_national_yearly!$D$1:$AM$1, 0), FALSE), 1)</f>
        <v>1.7095054746462781E-3</v>
      </c>
      <c r="O18" s="12">
        <f>$B18 * IFERROR(VLOOKUP(Substitution!$M$19 &amp; $A18, US_national_yearly!$D:$AM, MATCH(O$1, US_national_yearly!$D$1:$AM$1, 0), FALSE) / VLOOKUP(Substitution!$M$19 &amp; $A18, US_national_yearly!$D:$AM, MATCH(Keys!$C$7, US_national_yearly!$D$1:$AM$1, 0), FALSE), 1)</f>
        <v>1.7402967937457259E-3</v>
      </c>
      <c r="P18" s="12">
        <f>$B18 * IFERROR(VLOOKUP(Substitution!$M$19 &amp; $A18, US_national_yearly!$D:$AM, MATCH(P$1, US_national_yearly!$D$1:$AM$1, 0), FALSE) / VLOOKUP(Substitution!$M$19 &amp; $A18, US_national_yearly!$D:$AM, MATCH(Keys!$C$7, US_national_yearly!$D$1:$AM$1, 0), FALSE), 1)</f>
        <v>1.771088112845174E-3</v>
      </c>
      <c r="Q18" s="12">
        <f>$B18 * IFERROR(VLOOKUP(Substitution!$M$19 &amp; $A18, US_national_yearly!$D:$AM, MATCH(Q$1, US_national_yearly!$D$1:$AM$1, 0), FALSE) / VLOOKUP(Substitution!$M$19 &amp; $A18, US_national_yearly!$D:$AM, MATCH(Keys!$C$7, US_national_yearly!$D$1:$AM$1, 0), FALSE), 1)</f>
        <v>1.8018794319446219E-3</v>
      </c>
      <c r="R18" s="12">
        <f>$B18 * IFERROR(VLOOKUP(Substitution!$M$19 &amp; $A18, US_national_yearly!$D:$AM, MATCH(R$1, US_national_yearly!$D$1:$AM$1, 0), FALSE) / VLOOKUP(Substitution!$M$19 &amp; $A18, US_national_yearly!$D:$AM, MATCH(Keys!$C$7, US_national_yearly!$D$1:$AM$1, 0), FALSE), 1)</f>
        <v>1.83267075104407E-3</v>
      </c>
      <c r="S18" s="12">
        <f>$B18 * IFERROR(VLOOKUP(Substitution!$M$19 &amp; $A18, US_national_yearly!$D:$AM, MATCH(S$1, US_national_yearly!$D$1:$AM$1, 0), FALSE) / VLOOKUP(Substitution!$M$19 &amp; $A18, US_national_yearly!$D:$AM, MATCH(Keys!$C$7, US_national_yearly!$D$1:$AM$1, 0), FALSE), 1)</f>
        <v>1.8475030956021303E-3</v>
      </c>
      <c r="T18" s="12">
        <f>$B18 * IFERROR(VLOOKUP(Substitution!$M$19 &amp; $A18, US_national_yearly!$D:$AM, MATCH(T$1, US_national_yearly!$D$1:$AM$1, 0), FALSE) / VLOOKUP(Substitution!$M$19 &amp; $A18, US_national_yearly!$D:$AM, MATCH(Keys!$C$7, US_national_yearly!$D$1:$AM$1, 0), FALSE), 1)</f>
        <v>1.8623354401601901E-3</v>
      </c>
      <c r="U18" s="12">
        <f>$B18 * IFERROR(VLOOKUP(Substitution!$M$19 &amp; $A18, US_national_yearly!$D:$AM, MATCH(U$1, US_national_yearly!$D$1:$AM$1, 0), FALSE) / VLOOKUP(Substitution!$M$19 &amp; $A18, US_national_yearly!$D:$AM, MATCH(Keys!$C$7, US_national_yearly!$D$1:$AM$1, 0), FALSE), 1)</f>
        <v>1.8771677847182499E-3</v>
      </c>
      <c r="V18" s="12">
        <f>$B18 * IFERROR(VLOOKUP(Substitution!$M$19 &amp; $A18, US_national_yearly!$D:$AM, MATCH(V$1, US_national_yearly!$D$1:$AM$1, 0), FALSE) / VLOOKUP(Substitution!$M$19 &amp; $A18, US_national_yearly!$D:$AM, MATCH(Keys!$C$7, US_national_yearly!$D$1:$AM$1, 0), FALSE), 1)</f>
        <v>1.8920001292763099E-3</v>
      </c>
      <c r="W18" s="12">
        <f>$B18 * IFERROR(VLOOKUP(Substitution!$M$19 &amp; $A18, US_national_yearly!$D:$AM, MATCH(W$1, US_national_yearly!$D$1:$AM$1, 0), FALSE) / VLOOKUP(Substitution!$M$19 &amp; $A18, US_national_yearly!$D:$AM, MATCH(Keys!$C$7, US_national_yearly!$D$1:$AM$1, 0), FALSE), 1)</f>
        <v>1.90683247383437E-3</v>
      </c>
      <c r="X18" s="12">
        <f>$B18 * IFERROR(VLOOKUP(Substitution!$M$19 &amp; $A18, US_national_yearly!$D:$AM, MATCH(X$1, US_national_yearly!$D$1:$AM$1, 0), FALSE) / VLOOKUP(Substitution!$M$19 &amp; $A18, US_national_yearly!$D:$AM, MATCH(Keys!$C$7, US_national_yearly!$D$1:$AM$1, 0), FALSE), 1)</f>
        <v>1.9114427952746601E-3</v>
      </c>
      <c r="Y18" s="12">
        <f>$B18 * IFERROR(VLOOKUP(Substitution!$M$19 &amp; $A18, US_national_yearly!$D:$AM, MATCH(Y$1, US_national_yearly!$D$1:$AM$1, 0), FALSE) / VLOOKUP(Substitution!$M$19 &amp; $A18, US_national_yearly!$D:$AM, MATCH(Keys!$C$7, US_national_yearly!$D$1:$AM$1, 0), FALSE), 1)</f>
        <v>1.91605311671495E-3</v>
      </c>
      <c r="Z18" s="12">
        <f>$B18 * IFERROR(VLOOKUP(Substitution!$M$19 &amp; $A18, US_national_yearly!$D:$AM, MATCH(Z$1, US_national_yearly!$D$1:$AM$1, 0), FALSE) / VLOOKUP(Substitution!$M$19 &amp; $A18, US_national_yearly!$D:$AM, MATCH(Keys!$C$7, US_national_yearly!$D$1:$AM$1, 0), FALSE), 1)</f>
        <v>1.9206634381552399E-3</v>
      </c>
      <c r="AA18" s="12">
        <f>$B18 * IFERROR(VLOOKUP(Substitution!$M$19 &amp; $A18, US_national_yearly!$D:$AM, MATCH(AA$1, US_national_yearly!$D$1:$AM$1, 0), FALSE) / VLOOKUP(Substitution!$M$19 &amp; $A18, US_national_yearly!$D:$AM, MATCH(Keys!$C$7, US_national_yearly!$D$1:$AM$1, 0), FALSE), 1)</f>
        <v>1.9252737595955301E-3</v>
      </c>
      <c r="AB18" s="12">
        <f>$B18 * IFERROR(VLOOKUP(Substitution!$M$19 &amp; $A18, US_national_yearly!$D:$AM, MATCH(AB$1, US_national_yearly!$D$1:$AM$1, 0), FALSE) / VLOOKUP(Substitution!$M$19 &amp; $A18, US_national_yearly!$D:$AM, MATCH(Keys!$C$7, US_national_yearly!$D$1:$AM$1, 0), FALSE), 1)</f>
        <v>1.92988408103582E-3</v>
      </c>
    </row>
    <row r="19" spans="1:28" x14ac:dyDescent="0.25">
      <c r="A19" s="4" t="s">
        <v>325</v>
      </c>
      <c r="B19" s="12">
        <f>IFERROR(VLOOKUP(Substitution!$M$19 &amp; $A19, US_national_yearly!$D:$AM, MATCH(Keys!$C$7, US_national_yearly!$D$1:$AM$1, 0), FALSE), 0)</f>
        <v>1.5711764483594939E-4</v>
      </c>
      <c r="C19" s="12">
        <f>$B19 * IFERROR(VLOOKUP(Substitution!$M$19 &amp; $A19, US_national_yearly!$D:$AM, MATCH(C$1, US_national_yearly!$D$1:$AM$1, 0), FALSE) / VLOOKUP(Substitution!$M$19 &amp; $A19, US_national_yearly!$D:$AM, MATCH(Keys!$C$7, US_national_yearly!$D$1:$AM$1, 0), FALSE), 1)</f>
        <v>1.612698313266438E-4</v>
      </c>
      <c r="D19" s="12">
        <f>$B19 * IFERROR(VLOOKUP(Substitution!$M$19 &amp; $A19, US_national_yearly!$D:$AM, MATCH(D$1, US_national_yearly!$D$1:$AM$1, 0), FALSE) / VLOOKUP(Substitution!$M$19 &amp; $A19, US_national_yearly!$D:$AM, MATCH(Keys!$C$7, US_national_yearly!$D$1:$AM$1, 0), FALSE), 1)</f>
        <v>1.6542201781733821E-4</v>
      </c>
      <c r="E19" s="12">
        <f>$B19 * IFERROR(VLOOKUP(Substitution!$M$19 &amp; $A19, US_national_yearly!$D:$AM, MATCH(E$1, US_national_yearly!$D$1:$AM$1, 0), FALSE) / VLOOKUP(Substitution!$M$19 &amp; $A19, US_national_yearly!$D:$AM, MATCH(Keys!$C$7, US_national_yearly!$D$1:$AM$1, 0), FALSE), 1)</f>
        <v>1.695742043080326E-4</v>
      </c>
      <c r="F19" s="12">
        <f>$B19 * IFERROR(VLOOKUP(Substitution!$M$19 &amp; $A19, US_national_yearly!$D:$AM, MATCH(F$1, US_national_yearly!$D$1:$AM$1, 0), FALSE) / VLOOKUP(Substitution!$M$19 &amp; $A19, US_national_yearly!$D:$AM, MATCH(Keys!$C$7, US_national_yearly!$D$1:$AM$1, 0), FALSE), 1)</f>
        <v>1.7372639079872701E-4</v>
      </c>
      <c r="G19" s="12">
        <f>$B19 * IFERROR(VLOOKUP(Substitution!$M$19 &amp; $A19, US_national_yearly!$D:$AM, MATCH(G$1, US_national_yearly!$D$1:$AM$1, 0), FALSE) / VLOOKUP(Substitution!$M$19 &amp; $A19, US_national_yearly!$D:$AM, MATCH(Keys!$C$7, US_national_yearly!$D$1:$AM$1, 0), FALSE), 1)</f>
        <v>1.77201871352805E-4</v>
      </c>
      <c r="H19" s="12">
        <f>$B19 * IFERROR(VLOOKUP(Substitution!$M$19 &amp; $A19, US_national_yearly!$D:$AM, MATCH(H$1, US_national_yearly!$D$1:$AM$1, 0), FALSE) / VLOOKUP(Substitution!$M$19 &amp; $A19, US_national_yearly!$D:$AM, MATCH(Keys!$C$7, US_national_yearly!$D$1:$AM$1, 0), FALSE), 1)</f>
        <v>1.8067735190688297E-4</v>
      </c>
      <c r="I19" s="12">
        <f>$B19 * IFERROR(VLOOKUP(Substitution!$M$19 &amp; $A19, US_national_yearly!$D:$AM, MATCH(I$1, US_national_yearly!$D$1:$AM$1, 0), FALSE) / VLOOKUP(Substitution!$M$19 &amp; $A19, US_national_yearly!$D:$AM, MATCH(Keys!$C$7, US_national_yearly!$D$1:$AM$1, 0), FALSE), 1)</f>
        <v>1.8296058179380817E-4</v>
      </c>
      <c r="J19" s="12">
        <f>$B19 * IFERROR(VLOOKUP(Substitution!$M$19 &amp; $A19, US_national_yearly!$D:$AM, MATCH(J$1, US_national_yearly!$D$1:$AM$1, 0), FALSE) / VLOOKUP(Substitution!$M$19 &amp; $A19, US_national_yearly!$D:$AM, MATCH(Keys!$C$7, US_national_yearly!$D$1:$AM$1, 0), FALSE), 1)</f>
        <v>1.8524381168073337E-4</v>
      </c>
      <c r="K19" s="12">
        <f>$B19 * IFERROR(VLOOKUP(Substitution!$M$19 &amp; $A19, US_national_yearly!$D:$AM, MATCH(K$1, US_national_yearly!$D$1:$AM$1, 0), FALSE) / VLOOKUP(Substitution!$M$19 &amp; $A19, US_national_yearly!$D:$AM, MATCH(Keys!$C$7, US_national_yearly!$D$1:$AM$1, 0), FALSE), 1)</f>
        <v>1.8752704156765857E-4</v>
      </c>
      <c r="L19" s="12">
        <f>$B19 * IFERROR(VLOOKUP(Substitution!$M$19 &amp; $A19, US_national_yearly!$D:$AM, MATCH(L$1, US_national_yearly!$D$1:$AM$1, 0), FALSE) / VLOOKUP(Substitution!$M$19 &amp; $A19, US_national_yearly!$D:$AM, MATCH(Keys!$C$7, US_national_yearly!$D$1:$AM$1, 0), FALSE), 1)</f>
        <v>1.8981027145458383E-4</v>
      </c>
      <c r="M19" s="12">
        <f>$B19 * IFERROR(VLOOKUP(Substitution!$M$19 &amp; $A19, US_national_yearly!$D:$AM, MATCH(M$1, US_national_yearly!$D$1:$AM$1, 0), FALSE) / VLOOKUP(Substitution!$M$19 &amp; $A19, US_national_yearly!$D:$AM, MATCH(Keys!$C$7, US_national_yearly!$D$1:$AM$1, 0), FALSE), 1)</f>
        <v>1.9209350134150903E-4</v>
      </c>
      <c r="N19" s="12">
        <f>$B19 * IFERROR(VLOOKUP(Substitution!$M$19 &amp; $A19, US_national_yearly!$D:$AM, MATCH(N$1, US_national_yearly!$D$1:$AM$1, 0), FALSE) / VLOOKUP(Substitution!$M$19 &amp; $A19, US_national_yearly!$D:$AM, MATCH(Keys!$C$7, US_national_yearly!$D$1:$AM$1, 0), FALSE), 1)</f>
        <v>1.9323369845586477E-4</v>
      </c>
      <c r="O19" s="12">
        <f>$B19 * IFERROR(VLOOKUP(Substitution!$M$19 &amp; $A19, US_national_yearly!$D:$AM, MATCH(O$1, US_national_yearly!$D$1:$AM$1, 0), FALSE) / VLOOKUP(Substitution!$M$19 &amp; $A19, US_national_yearly!$D:$AM, MATCH(Keys!$C$7, US_national_yearly!$D$1:$AM$1, 0), FALSE), 1)</f>
        <v>1.9437389557022059E-4</v>
      </c>
      <c r="P19" s="12">
        <f>$B19 * IFERROR(VLOOKUP(Substitution!$M$19 &amp; $A19, US_national_yearly!$D:$AM, MATCH(P$1, US_national_yearly!$D$1:$AM$1, 0), FALSE) / VLOOKUP(Substitution!$M$19 &amp; $A19, US_national_yearly!$D:$AM, MATCH(Keys!$C$7, US_national_yearly!$D$1:$AM$1, 0), FALSE), 1)</f>
        <v>1.9551409268457639E-4</v>
      </c>
      <c r="Q19" s="12">
        <f>$B19 * IFERROR(VLOOKUP(Substitution!$M$19 &amp; $A19, US_national_yearly!$D:$AM, MATCH(Q$1, US_national_yearly!$D$1:$AM$1, 0), FALSE) / VLOOKUP(Substitution!$M$19 &amp; $A19, US_national_yearly!$D:$AM, MATCH(Keys!$C$7, US_national_yearly!$D$1:$AM$1, 0), FALSE), 1)</f>
        <v>1.9665428979893221E-4</v>
      </c>
      <c r="R19" s="12">
        <f>$B19 * IFERROR(VLOOKUP(Substitution!$M$19 &amp; $A19, US_national_yearly!$D:$AM, MATCH(R$1, US_national_yearly!$D$1:$AM$1, 0), FALSE) / VLOOKUP(Substitution!$M$19 &amp; $A19, US_national_yearly!$D:$AM, MATCH(Keys!$C$7, US_national_yearly!$D$1:$AM$1, 0), FALSE), 1)</f>
        <v>1.9779448691328801E-4</v>
      </c>
      <c r="S19" s="12">
        <f>$B19 * IFERROR(VLOOKUP(Substitution!$M$19 &amp; $A19, US_national_yearly!$D:$AM, MATCH(S$1, US_national_yearly!$D$1:$AM$1, 0), FALSE) / VLOOKUP(Substitution!$M$19 &amp; $A19, US_national_yearly!$D:$AM, MATCH(Keys!$C$7, US_national_yearly!$D$1:$AM$1, 0), FALSE), 1)</f>
        <v>1.9844306617380599E-4</v>
      </c>
      <c r="T19" s="12">
        <f>$B19 * IFERROR(VLOOKUP(Substitution!$M$19 &amp; $A19, US_national_yearly!$D:$AM, MATCH(T$1, US_national_yearly!$D$1:$AM$1, 0), FALSE) / VLOOKUP(Substitution!$M$19 &amp; $A19, US_national_yearly!$D:$AM, MATCH(Keys!$C$7, US_national_yearly!$D$1:$AM$1, 0), FALSE), 1)</f>
        <v>1.99091645434324E-4</v>
      </c>
      <c r="U19" s="12">
        <f>$B19 * IFERROR(VLOOKUP(Substitution!$M$19 &amp; $A19, US_national_yearly!$D:$AM, MATCH(U$1, US_national_yearly!$D$1:$AM$1, 0), FALSE) / VLOOKUP(Substitution!$M$19 &amp; $A19, US_national_yearly!$D:$AM, MATCH(Keys!$C$7, US_national_yearly!$D$1:$AM$1, 0), FALSE), 1)</f>
        <v>1.9974022469484201E-4</v>
      </c>
      <c r="V19" s="12">
        <f>$B19 * IFERROR(VLOOKUP(Substitution!$M$19 &amp; $A19, US_national_yearly!$D:$AM, MATCH(V$1, US_national_yearly!$D$1:$AM$1, 0), FALSE) / VLOOKUP(Substitution!$M$19 &amp; $A19, US_national_yearly!$D:$AM, MATCH(Keys!$C$7, US_national_yearly!$D$1:$AM$1, 0), FALSE), 1)</f>
        <v>2.0038880395535999E-4</v>
      </c>
      <c r="W19" s="12">
        <f>$B19 * IFERROR(VLOOKUP(Substitution!$M$19 &amp; $A19, US_national_yearly!$D:$AM, MATCH(W$1, US_national_yearly!$D$1:$AM$1, 0), FALSE) / VLOOKUP(Substitution!$M$19 &amp; $A19, US_national_yearly!$D:$AM, MATCH(Keys!$C$7, US_national_yearly!$D$1:$AM$1, 0), FALSE), 1)</f>
        <v>2.01037383215878E-4</v>
      </c>
      <c r="X19" s="12">
        <f>$B19 * IFERROR(VLOOKUP(Substitution!$M$19 &amp; $A19, US_national_yearly!$D:$AM, MATCH(X$1, US_national_yearly!$D$1:$AM$1, 0), FALSE) / VLOOKUP(Substitution!$M$19 &amp; $A19, US_national_yearly!$D:$AM, MATCH(Keys!$C$7, US_national_yearly!$D$1:$AM$1, 0), FALSE), 1)</f>
        <v>2.019684349855084E-4</v>
      </c>
      <c r="Y19" s="12">
        <f>$B19 * IFERROR(VLOOKUP(Substitution!$M$19 &amp; $A19, US_national_yearly!$D:$AM, MATCH(Y$1, US_national_yearly!$D$1:$AM$1, 0), FALSE) / VLOOKUP(Substitution!$M$19 &amp; $A19, US_national_yearly!$D:$AM, MATCH(Keys!$C$7, US_national_yearly!$D$1:$AM$1, 0), FALSE), 1)</f>
        <v>2.0289948675513881E-4</v>
      </c>
      <c r="Z19" s="12">
        <f>$B19 * IFERROR(VLOOKUP(Substitution!$M$19 &amp; $A19, US_national_yearly!$D:$AM, MATCH(Z$1, US_national_yearly!$D$1:$AM$1, 0), FALSE) / VLOOKUP(Substitution!$M$19 &amp; $A19, US_national_yearly!$D:$AM, MATCH(Keys!$C$7, US_national_yearly!$D$1:$AM$1, 0), FALSE), 1)</f>
        <v>2.0383053852476919E-4</v>
      </c>
      <c r="AA19" s="12">
        <f>$B19 * IFERROR(VLOOKUP(Substitution!$M$19 &amp; $A19, US_national_yearly!$D:$AM, MATCH(AA$1, US_national_yearly!$D$1:$AM$1, 0), FALSE) / VLOOKUP(Substitution!$M$19 &amp; $A19, US_national_yearly!$D:$AM, MATCH(Keys!$C$7, US_national_yearly!$D$1:$AM$1, 0), FALSE), 1)</f>
        <v>2.047615902943996E-4</v>
      </c>
      <c r="AB19" s="12">
        <f>$B19 * IFERROR(VLOOKUP(Substitution!$M$19 &amp; $A19, US_national_yearly!$D:$AM, MATCH(AB$1, US_national_yearly!$D$1:$AM$1, 0), FALSE) / VLOOKUP(Substitution!$M$19 &amp; $A19, US_national_yearly!$D:$AM, MATCH(Keys!$C$7, US_national_yearly!$D$1:$AM$1, 0), FALSE), 1)</f>
        <v>2.0569264206402998E-4</v>
      </c>
    </row>
    <row r="20" spans="1:28" x14ac:dyDescent="0.25">
      <c r="A20" s="4" t="s">
        <v>327</v>
      </c>
      <c r="B20" s="12">
        <f>IFERROR(VLOOKUP(Substitution!$M$19 &amp; $A20, US_national_yearly!$D:$AM, MATCH(Keys!$C$7, US_national_yearly!$D$1:$AM$1, 0), FALSE), 0)</f>
        <v>1.4579796394150241E-4</v>
      </c>
      <c r="C20" s="12">
        <f>$B20 * IFERROR(VLOOKUP(Substitution!$M$19 &amp; $A20, US_national_yearly!$D:$AM, MATCH(C$1, US_national_yearly!$D$1:$AM$1, 0), FALSE) / VLOOKUP(Substitution!$M$19 &amp; $A20, US_national_yearly!$D:$AM, MATCH(Keys!$C$7, US_national_yearly!$D$1:$AM$1, 0), FALSE), 1)</f>
        <v>1.4969093812789084E-4</v>
      </c>
      <c r="D20" s="12">
        <f>$B20 * IFERROR(VLOOKUP(Substitution!$M$19 &amp; $A20, US_national_yearly!$D:$AM, MATCH(D$1, US_national_yearly!$D$1:$AM$1, 0), FALSE) / VLOOKUP(Substitution!$M$19 &amp; $A20, US_national_yearly!$D:$AM, MATCH(Keys!$C$7, US_national_yearly!$D$1:$AM$1, 0), FALSE), 1)</f>
        <v>1.5358391231427921E-4</v>
      </c>
      <c r="E20" s="12">
        <f>$B20 * IFERROR(VLOOKUP(Substitution!$M$19 &amp; $A20, US_national_yearly!$D:$AM, MATCH(E$1, US_national_yearly!$D$1:$AM$1, 0), FALSE) / VLOOKUP(Substitution!$M$19 &amp; $A20, US_national_yearly!$D:$AM, MATCH(Keys!$C$7, US_national_yearly!$D$1:$AM$1, 0), FALSE), 1)</f>
        <v>1.5747688650066759E-4</v>
      </c>
      <c r="F20" s="12">
        <f>$B20 * IFERROR(VLOOKUP(Substitution!$M$19 &amp; $A20, US_national_yearly!$D:$AM, MATCH(F$1, US_national_yearly!$D$1:$AM$1, 0), FALSE) / VLOOKUP(Substitution!$M$19 &amp; $A20, US_national_yearly!$D:$AM, MATCH(Keys!$C$7, US_national_yearly!$D$1:$AM$1, 0), FALSE), 1)</f>
        <v>1.6136986068705599E-4</v>
      </c>
      <c r="G20" s="12">
        <f>$B20 * IFERROR(VLOOKUP(Substitution!$M$19 &amp; $A20, US_national_yearly!$D:$AM, MATCH(G$1, US_national_yearly!$D$1:$AM$1, 0), FALSE) / VLOOKUP(Substitution!$M$19 &amp; $A20, US_national_yearly!$D:$AM, MATCH(Keys!$C$7, US_national_yearly!$D$1:$AM$1, 0), FALSE), 1)</f>
        <v>1.6458988720323054E-4</v>
      </c>
      <c r="H20" s="12">
        <f>$B20 * IFERROR(VLOOKUP(Substitution!$M$19 &amp; $A20, US_national_yearly!$D:$AM, MATCH(H$1, US_national_yearly!$D$1:$AM$1, 0), FALSE) / VLOOKUP(Substitution!$M$19 &amp; $A20, US_national_yearly!$D:$AM, MATCH(Keys!$C$7, US_national_yearly!$D$1:$AM$1, 0), FALSE), 1)</f>
        <v>1.6780991371940501E-4</v>
      </c>
      <c r="I20" s="12">
        <f>$B20 * IFERROR(VLOOKUP(Substitution!$M$19 &amp; $A20, US_national_yearly!$D:$AM, MATCH(I$1, US_national_yearly!$D$1:$AM$1, 0), FALSE) / VLOOKUP(Substitution!$M$19 &amp; $A20, US_national_yearly!$D:$AM, MATCH(Keys!$C$7, US_national_yearly!$D$1:$AM$1, 0), FALSE), 1)</f>
        <v>1.69798932070436E-4</v>
      </c>
      <c r="J20" s="12">
        <f>$B20 * IFERROR(VLOOKUP(Substitution!$M$19 &amp; $A20, US_national_yearly!$D:$AM, MATCH(J$1, US_national_yearly!$D$1:$AM$1, 0), FALSE) / VLOOKUP(Substitution!$M$19 &amp; $A20, US_national_yearly!$D:$AM, MATCH(Keys!$C$7, US_national_yearly!$D$1:$AM$1, 0), FALSE), 1)</f>
        <v>1.7178795042146699E-4</v>
      </c>
      <c r="K20" s="12">
        <f>$B20 * IFERROR(VLOOKUP(Substitution!$M$19 &amp; $A20, US_national_yearly!$D:$AM, MATCH(K$1, US_national_yearly!$D$1:$AM$1, 0), FALSE) / VLOOKUP(Substitution!$M$19 &amp; $A20, US_national_yearly!$D:$AM, MATCH(Keys!$C$7, US_national_yearly!$D$1:$AM$1, 0), FALSE), 1)</f>
        <v>1.7377696877249801E-4</v>
      </c>
      <c r="L20" s="12">
        <f>$B20 * IFERROR(VLOOKUP(Substitution!$M$19 &amp; $A20, US_national_yearly!$D:$AM, MATCH(L$1, US_national_yearly!$D$1:$AM$1, 0), FALSE) / VLOOKUP(Substitution!$M$19 &amp; $A20, US_national_yearly!$D:$AM, MATCH(Keys!$C$7, US_national_yearly!$D$1:$AM$1, 0), FALSE), 1)</f>
        <v>1.75765987123529E-4</v>
      </c>
      <c r="M20" s="12">
        <f>$B20 * IFERROR(VLOOKUP(Substitution!$M$19 &amp; $A20, US_national_yearly!$D:$AM, MATCH(M$1, US_national_yearly!$D$1:$AM$1, 0), FALSE) / VLOOKUP(Substitution!$M$19 &amp; $A20, US_national_yearly!$D:$AM, MATCH(Keys!$C$7, US_national_yearly!$D$1:$AM$1, 0), FALSE), 1)</f>
        <v>1.7775500547456E-4</v>
      </c>
      <c r="N20" s="12">
        <f>$B20 * IFERROR(VLOOKUP(Substitution!$M$19 &amp; $A20, US_national_yearly!$D:$AM, MATCH(N$1, US_national_yearly!$D$1:$AM$1, 0), FALSE) / VLOOKUP(Substitution!$M$19 &amp; $A20, US_national_yearly!$D:$AM, MATCH(Keys!$C$7, US_national_yearly!$D$1:$AM$1, 0), FALSE), 1)</f>
        <v>1.787108647919134E-4</v>
      </c>
      <c r="O20" s="12">
        <f>$B20 * IFERROR(VLOOKUP(Substitution!$M$19 &amp; $A20, US_national_yearly!$D:$AM, MATCH(O$1, US_national_yearly!$D$1:$AM$1, 0), FALSE) / VLOOKUP(Substitution!$M$19 &amp; $A20, US_national_yearly!$D:$AM, MATCH(Keys!$C$7, US_national_yearly!$D$1:$AM$1, 0), FALSE), 1)</f>
        <v>1.7966672410926681E-4</v>
      </c>
      <c r="P20" s="12">
        <f>$B20 * IFERROR(VLOOKUP(Substitution!$M$19 &amp; $A20, US_national_yearly!$D:$AM, MATCH(P$1, US_national_yearly!$D$1:$AM$1, 0), FALSE) / VLOOKUP(Substitution!$M$19 &amp; $A20, US_national_yearly!$D:$AM, MATCH(Keys!$C$7, US_national_yearly!$D$1:$AM$1, 0), FALSE), 1)</f>
        <v>1.8062258342662021E-4</v>
      </c>
      <c r="Q20" s="12">
        <f>$B20 * IFERROR(VLOOKUP(Substitution!$M$19 &amp; $A20, US_national_yearly!$D:$AM, MATCH(Q$1, US_national_yearly!$D$1:$AM$1, 0), FALSE) / VLOOKUP(Substitution!$M$19 &amp; $A20, US_national_yearly!$D:$AM, MATCH(Keys!$C$7, US_national_yearly!$D$1:$AM$1, 0), FALSE), 1)</f>
        <v>1.8157844274397359E-4</v>
      </c>
      <c r="R20" s="12">
        <f>$B20 * IFERROR(VLOOKUP(Substitution!$M$19 &amp; $A20, US_national_yearly!$D:$AM, MATCH(R$1, US_national_yearly!$D$1:$AM$1, 0), FALSE) / VLOOKUP(Substitution!$M$19 &amp; $A20, US_national_yearly!$D:$AM, MATCH(Keys!$C$7, US_national_yearly!$D$1:$AM$1, 0), FALSE), 1)</f>
        <v>1.82534302061327E-4</v>
      </c>
      <c r="S20" s="12">
        <f>$B20 * IFERROR(VLOOKUP(Substitution!$M$19 &amp; $A20, US_national_yearly!$D:$AM, MATCH(S$1, US_national_yearly!$D$1:$AM$1, 0), FALSE) / VLOOKUP(Substitution!$M$19 &amp; $A20, US_national_yearly!$D:$AM, MATCH(Keys!$C$7, US_national_yearly!$D$1:$AM$1, 0), FALSE), 1)</f>
        <v>1.8304195558638481E-4</v>
      </c>
      <c r="T20" s="12">
        <f>$B20 * IFERROR(VLOOKUP(Substitution!$M$19 &amp; $A20, US_national_yearly!$D:$AM, MATCH(T$1, US_national_yearly!$D$1:$AM$1, 0), FALSE) / VLOOKUP(Substitution!$M$19 &amp; $A20, US_national_yearly!$D:$AM, MATCH(Keys!$C$7, US_national_yearly!$D$1:$AM$1, 0), FALSE), 1)</f>
        <v>1.835496091114426E-4</v>
      </c>
      <c r="U20" s="12">
        <f>$B20 * IFERROR(VLOOKUP(Substitution!$M$19 &amp; $A20, US_national_yearly!$D:$AM, MATCH(U$1, US_national_yearly!$D$1:$AM$1, 0), FALSE) / VLOOKUP(Substitution!$M$19 &amp; $A20, US_national_yearly!$D:$AM, MATCH(Keys!$C$7, US_national_yearly!$D$1:$AM$1, 0), FALSE), 1)</f>
        <v>1.8405726263650039E-4</v>
      </c>
      <c r="V20" s="12">
        <f>$B20 * IFERROR(VLOOKUP(Substitution!$M$19 &amp; $A20, US_national_yearly!$D:$AM, MATCH(V$1, US_national_yearly!$D$1:$AM$1, 0), FALSE) / VLOOKUP(Substitution!$M$19 &amp; $A20, US_national_yearly!$D:$AM, MATCH(Keys!$C$7, US_national_yearly!$D$1:$AM$1, 0), FALSE), 1)</f>
        <v>1.8456491616155817E-4</v>
      </c>
      <c r="W20" s="12">
        <f>$B20 * IFERROR(VLOOKUP(Substitution!$M$19 &amp; $A20, US_national_yearly!$D:$AM, MATCH(W$1, US_national_yearly!$D$1:$AM$1, 0), FALSE) / VLOOKUP(Substitution!$M$19 &amp; $A20, US_national_yearly!$D:$AM, MATCH(Keys!$C$7, US_national_yearly!$D$1:$AM$1, 0), FALSE), 1)</f>
        <v>1.8507256968661599E-4</v>
      </c>
      <c r="X20" s="12">
        <f>$B20 * IFERROR(VLOOKUP(Substitution!$M$19 &amp; $A20, US_national_yearly!$D:$AM, MATCH(X$1, US_national_yearly!$D$1:$AM$1, 0), FALSE) / VLOOKUP(Substitution!$M$19 &amp; $A20, US_national_yearly!$D:$AM, MATCH(Keys!$C$7, US_national_yearly!$D$1:$AM$1, 0), FALSE), 1)</f>
        <v>1.8595377338068137E-4</v>
      </c>
      <c r="Y20" s="12">
        <f>$B20 * IFERROR(VLOOKUP(Substitution!$M$19 &amp; $A20, US_national_yearly!$D:$AM, MATCH(Y$1, US_national_yearly!$D$1:$AM$1, 0), FALSE) / VLOOKUP(Substitution!$M$19 &amp; $A20, US_national_yearly!$D:$AM, MATCH(Keys!$C$7, US_national_yearly!$D$1:$AM$1, 0), FALSE), 1)</f>
        <v>1.8683497707474677E-4</v>
      </c>
      <c r="Z20" s="12">
        <f>$B20 * IFERROR(VLOOKUP(Substitution!$M$19 &amp; $A20, US_national_yearly!$D:$AM, MATCH(Z$1, US_national_yearly!$D$1:$AM$1, 0), FALSE) / VLOOKUP(Substitution!$M$19 &amp; $A20, US_national_yearly!$D:$AM, MATCH(Keys!$C$7, US_national_yearly!$D$1:$AM$1, 0), FALSE), 1)</f>
        <v>1.8771618076881224E-4</v>
      </c>
      <c r="AA20" s="12">
        <f>$B20 * IFERROR(VLOOKUP(Substitution!$M$19 &amp; $A20, US_national_yearly!$D:$AM, MATCH(AA$1, US_national_yearly!$D$1:$AM$1, 0), FALSE) / VLOOKUP(Substitution!$M$19 &amp; $A20, US_national_yearly!$D:$AM, MATCH(Keys!$C$7, US_national_yearly!$D$1:$AM$1, 0), FALSE), 1)</f>
        <v>1.8859738446287759E-4</v>
      </c>
      <c r="AB20" s="12">
        <f>$B20 * IFERROR(VLOOKUP(Substitution!$M$19 &amp; $A20, US_national_yearly!$D:$AM, MATCH(AB$1, US_national_yearly!$D$1:$AM$1, 0), FALSE) / VLOOKUP(Substitution!$M$19 &amp; $A20, US_national_yearly!$D:$AM, MATCH(Keys!$C$7, US_national_yearly!$D$1:$AM$1, 0), FALSE), 1)</f>
        <v>1.8947858815694299E-4</v>
      </c>
    </row>
    <row r="21" spans="1:28" x14ac:dyDescent="0.25">
      <c r="A21" s="4" t="s">
        <v>329</v>
      </c>
      <c r="B21" s="12">
        <f>IFERROR(VLOOKUP(Substitution!$M$19 &amp; $A21, US_national_yearly!$D:$AM, MATCH(Keys!$C$7, US_national_yearly!$D$1:$AM$1, 0), FALSE), 0)</f>
        <v>3.4296004601689802E-5</v>
      </c>
      <c r="C21" s="12">
        <f>$B21 * IFERROR(VLOOKUP(Substitution!$M$19 &amp; $A21, US_national_yearly!$D:$AM, MATCH(C$1, US_national_yearly!$D$1:$AM$1, 0), FALSE) / VLOOKUP(Substitution!$M$19 &amp; $A21, US_national_yearly!$D:$AM, MATCH(Keys!$C$7, US_national_yearly!$D$1:$AM$1, 0), FALSE), 1)</f>
        <v>3.48117247679576E-5</v>
      </c>
      <c r="D21" s="12">
        <f>$B21 * IFERROR(VLOOKUP(Substitution!$M$19 &amp; $A21, US_national_yearly!$D:$AM, MATCH(D$1, US_national_yearly!$D$1:$AM$1, 0), FALSE) / VLOOKUP(Substitution!$M$19 &amp; $A21, US_national_yearly!$D:$AM, MATCH(Keys!$C$7, US_national_yearly!$D$1:$AM$1, 0), FALSE), 1)</f>
        <v>3.5327444934225398E-5</v>
      </c>
      <c r="E21" s="12">
        <f>$B21 * IFERROR(VLOOKUP(Substitution!$M$19 &amp; $A21, US_national_yearly!$D:$AM, MATCH(E$1, US_national_yearly!$D$1:$AM$1, 0), FALSE) / VLOOKUP(Substitution!$M$19 &amp; $A21, US_national_yearly!$D:$AM, MATCH(Keys!$C$7, US_national_yearly!$D$1:$AM$1, 0), FALSE), 1)</f>
        <v>3.5843165100493202E-5</v>
      </c>
      <c r="F21" s="12">
        <f>$B21 * IFERROR(VLOOKUP(Substitution!$M$19 &amp; $A21, US_national_yearly!$D:$AM, MATCH(F$1, US_national_yearly!$D$1:$AM$1, 0), FALSE) / VLOOKUP(Substitution!$M$19 &amp; $A21, US_national_yearly!$D:$AM, MATCH(Keys!$C$7, US_national_yearly!$D$1:$AM$1, 0), FALSE), 1)</f>
        <v>3.6358885266761E-5</v>
      </c>
      <c r="G21" s="12">
        <f>$B21 * IFERROR(VLOOKUP(Substitution!$M$19 &amp; $A21, US_national_yearly!$D:$AM, MATCH(G$1, US_national_yearly!$D$1:$AM$1, 0), FALSE) / VLOOKUP(Substitution!$M$19 &amp; $A21, US_national_yearly!$D:$AM, MATCH(Keys!$C$7, US_national_yearly!$D$1:$AM$1, 0), FALSE), 1)</f>
        <v>3.6845259967857351E-5</v>
      </c>
      <c r="H21" s="12">
        <f>$B21 * IFERROR(VLOOKUP(Substitution!$M$19 &amp; $A21, US_national_yearly!$D:$AM, MATCH(H$1, US_national_yearly!$D$1:$AM$1, 0), FALSE) / VLOOKUP(Substitution!$M$19 &amp; $A21, US_national_yearly!$D:$AM, MATCH(Keys!$C$7, US_national_yearly!$D$1:$AM$1, 0), FALSE), 1)</f>
        <v>3.7331634668953702E-5</v>
      </c>
      <c r="I21" s="12">
        <f>$B21 * IFERROR(VLOOKUP(Substitution!$M$19 &amp; $A21, US_national_yearly!$D:$AM, MATCH(I$1, US_national_yearly!$D$1:$AM$1, 0), FALSE) / VLOOKUP(Substitution!$M$19 &amp; $A21, US_national_yearly!$D:$AM, MATCH(Keys!$C$7, US_national_yearly!$D$1:$AM$1, 0), FALSE), 1)</f>
        <v>3.7715867981778812E-5</v>
      </c>
      <c r="J21" s="12">
        <f>$B21 * IFERROR(VLOOKUP(Substitution!$M$19 &amp; $A21, US_national_yearly!$D:$AM, MATCH(J$1, US_national_yearly!$D$1:$AM$1, 0), FALSE) / VLOOKUP(Substitution!$M$19 &amp; $A21, US_national_yearly!$D:$AM, MATCH(Keys!$C$7, US_national_yearly!$D$1:$AM$1, 0), FALSE), 1)</f>
        <v>3.8100101294603901E-5</v>
      </c>
      <c r="K21" s="12">
        <f>$B21 * IFERROR(VLOOKUP(Substitution!$M$19 &amp; $A21, US_national_yearly!$D:$AM, MATCH(K$1, US_national_yearly!$D$1:$AM$1, 0), FALSE) / VLOOKUP(Substitution!$M$19 &amp; $A21, US_national_yearly!$D:$AM, MATCH(Keys!$C$7, US_national_yearly!$D$1:$AM$1, 0), FALSE), 1)</f>
        <v>3.848433460742899E-5</v>
      </c>
      <c r="L21" s="12">
        <f>$B21 * IFERROR(VLOOKUP(Substitution!$M$19 &amp; $A21, US_national_yearly!$D:$AM, MATCH(L$1, US_national_yearly!$D$1:$AM$1, 0), FALSE) / VLOOKUP(Substitution!$M$19 &amp; $A21, US_national_yearly!$D:$AM, MATCH(Keys!$C$7, US_national_yearly!$D$1:$AM$1, 0), FALSE), 1)</f>
        <v>3.8868567920254099E-5</v>
      </c>
      <c r="M21" s="12">
        <f>$B21 * IFERROR(VLOOKUP(Substitution!$M$19 &amp; $A21, US_national_yearly!$D:$AM, MATCH(M$1, US_national_yearly!$D$1:$AM$1, 0), FALSE) / VLOOKUP(Substitution!$M$19 &amp; $A21, US_national_yearly!$D:$AM, MATCH(Keys!$C$7, US_national_yearly!$D$1:$AM$1, 0), FALSE), 1)</f>
        <v>3.9252801233079202E-5</v>
      </c>
      <c r="N21" s="12">
        <f>$B21 * IFERROR(VLOOKUP(Substitution!$M$19 &amp; $A21, US_national_yearly!$D:$AM, MATCH(N$1, US_national_yearly!$D$1:$AM$1, 0), FALSE) / VLOOKUP(Substitution!$M$19 &amp; $A21, US_national_yearly!$D:$AM, MATCH(Keys!$C$7, US_national_yearly!$D$1:$AM$1, 0), FALSE), 1)</f>
        <v>3.9520245154883957E-5</v>
      </c>
      <c r="O21" s="12">
        <f>$B21 * IFERROR(VLOOKUP(Substitution!$M$19 &amp; $A21, US_national_yearly!$D:$AM, MATCH(O$1, US_national_yearly!$D$1:$AM$1, 0), FALSE) / VLOOKUP(Substitution!$M$19 &amp; $A21, US_national_yearly!$D:$AM, MATCH(Keys!$C$7, US_national_yearly!$D$1:$AM$1, 0), FALSE), 1)</f>
        <v>3.9787689076688732E-5</v>
      </c>
      <c r="P21" s="12">
        <f>$B21 * IFERROR(VLOOKUP(Substitution!$M$19 &amp; $A21, US_national_yearly!$D:$AM, MATCH(P$1, US_national_yearly!$D$1:$AM$1, 0), FALSE) / VLOOKUP(Substitution!$M$19 &amp; $A21, US_national_yearly!$D:$AM, MATCH(Keys!$C$7, US_national_yearly!$D$1:$AM$1, 0), FALSE), 1)</f>
        <v>4.005513299849348E-5</v>
      </c>
      <c r="Q21" s="12">
        <f>$B21 * IFERROR(VLOOKUP(Substitution!$M$19 &amp; $A21, US_national_yearly!$D:$AM, MATCH(Q$1, US_national_yearly!$D$1:$AM$1, 0), FALSE) / VLOOKUP(Substitution!$M$19 &amp; $A21, US_national_yearly!$D:$AM, MATCH(Keys!$C$7, US_national_yearly!$D$1:$AM$1, 0), FALSE), 1)</f>
        <v>4.0322576920298241E-5</v>
      </c>
      <c r="R21" s="12">
        <f>$B21 * IFERROR(VLOOKUP(Substitution!$M$19 &amp; $A21, US_national_yearly!$D:$AM, MATCH(R$1, US_national_yearly!$D$1:$AM$1, 0), FALSE) / VLOOKUP(Substitution!$M$19 &amp; $A21, US_national_yearly!$D:$AM, MATCH(Keys!$C$7, US_national_yearly!$D$1:$AM$1, 0), FALSE), 1)</f>
        <v>4.0590020842103003E-5</v>
      </c>
      <c r="S21" s="12">
        <f>$B21 * IFERROR(VLOOKUP(Substitution!$M$19 &amp; $A21, US_national_yearly!$D:$AM, MATCH(S$1, US_national_yearly!$D$1:$AM$1, 0), FALSE) / VLOOKUP(Substitution!$M$19 &amp; $A21, US_national_yearly!$D:$AM, MATCH(Keys!$C$7, US_national_yearly!$D$1:$AM$1, 0), FALSE), 1)</f>
        <v>4.0803352243198099E-5</v>
      </c>
      <c r="T21" s="12">
        <f>$B21 * IFERROR(VLOOKUP(Substitution!$M$19 &amp; $A21, US_national_yearly!$D:$AM, MATCH(T$1, US_national_yearly!$D$1:$AM$1, 0), FALSE) / VLOOKUP(Substitution!$M$19 &amp; $A21, US_national_yearly!$D:$AM, MATCH(Keys!$C$7, US_national_yearly!$D$1:$AM$1, 0), FALSE), 1)</f>
        <v>4.1016683644293202E-5</v>
      </c>
      <c r="U21" s="12">
        <f>$B21 * IFERROR(VLOOKUP(Substitution!$M$19 &amp; $A21, US_national_yearly!$D:$AM, MATCH(U$1, US_national_yearly!$D$1:$AM$1, 0), FALSE) / VLOOKUP(Substitution!$M$19 &amp; $A21, US_national_yearly!$D:$AM, MATCH(Keys!$C$7, US_national_yearly!$D$1:$AM$1, 0), FALSE), 1)</f>
        <v>4.1230015045388299E-5</v>
      </c>
      <c r="V21" s="12">
        <f>$B21 * IFERROR(VLOOKUP(Substitution!$M$19 &amp; $A21, US_national_yearly!$D:$AM, MATCH(V$1, US_national_yearly!$D$1:$AM$1, 0), FALSE) / VLOOKUP(Substitution!$M$19 &amp; $A21, US_national_yearly!$D:$AM, MATCH(Keys!$C$7, US_national_yearly!$D$1:$AM$1, 0), FALSE), 1)</f>
        <v>4.1443346446483402E-5</v>
      </c>
      <c r="W21" s="12">
        <f>$B21 * IFERROR(VLOOKUP(Substitution!$M$19 &amp; $A21, US_national_yearly!$D:$AM, MATCH(W$1, US_national_yearly!$D$1:$AM$1, 0), FALSE) / VLOOKUP(Substitution!$M$19 &amp; $A21, US_national_yearly!$D:$AM, MATCH(Keys!$C$7, US_national_yearly!$D$1:$AM$1, 0), FALSE), 1)</f>
        <v>4.1656677847578498E-5</v>
      </c>
      <c r="X21" s="12">
        <f>$B21 * IFERROR(VLOOKUP(Substitution!$M$19 &amp; $A21, US_national_yearly!$D:$AM, MATCH(X$1, US_national_yearly!$D$1:$AM$1, 0), FALSE) / VLOOKUP(Substitution!$M$19 &amp; $A21, US_national_yearly!$D:$AM, MATCH(Keys!$C$7, US_national_yearly!$D$1:$AM$1, 0), FALSE), 1)</f>
        <v>4.1890318021728398E-5</v>
      </c>
      <c r="Y21" s="12">
        <f>$B21 * IFERROR(VLOOKUP(Substitution!$M$19 &amp; $A21, US_national_yearly!$D:$AM, MATCH(Y$1, US_national_yearly!$D$1:$AM$1, 0), FALSE) / VLOOKUP(Substitution!$M$19 &amp; $A21, US_national_yearly!$D:$AM, MATCH(Keys!$C$7, US_national_yearly!$D$1:$AM$1, 0), FALSE), 1)</f>
        <v>4.2123958195878297E-5</v>
      </c>
      <c r="Z21" s="12">
        <f>$B21 * IFERROR(VLOOKUP(Substitution!$M$19 &amp; $A21, US_national_yearly!$D:$AM, MATCH(Z$1, US_national_yearly!$D$1:$AM$1, 0), FALSE) / VLOOKUP(Substitution!$M$19 &amp; $A21, US_national_yearly!$D:$AM, MATCH(Keys!$C$7, US_national_yearly!$D$1:$AM$1, 0), FALSE), 1)</f>
        <v>4.2357598370028197E-5</v>
      </c>
      <c r="AA21" s="12">
        <f>$B21 * IFERROR(VLOOKUP(Substitution!$M$19 &amp; $A21, US_national_yearly!$D:$AM, MATCH(AA$1, US_national_yearly!$D$1:$AM$1, 0), FALSE) / VLOOKUP(Substitution!$M$19 &amp; $A21, US_national_yearly!$D:$AM, MATCH(Keys!$C$7, US_national_yearly!$D$1:$AM$1, 0), FALSE), 1)</f>
        <v>4.2591238544178103E-5</v>
      </c>
      <c r="AB21" s="12">
        <f>$B21 * IFERROR(VLOOKUP(Substitution!$M$19 &amp; $A21, US_national_yearly!$D:$AM, MATCH(AB$1, US_national_yearly!$D$1:$AM$1, 0), FALSE) / VLOOKUP(Substitution!$M$19 &amp; $A21, US_national_yearly!$D:$AM, MATCH(Keys!$C$7, US_national_yearly!$D$1:$AM$1, 0), FALSE), 1)</f>
        <v>4.2824878718328002E-5</v>
      </c>
    </row>
    <row r="22" spans="1:28" x14ac:dyDescent="0.25">
      <c r="A22" s="4" t="s">
        <v>331</v>
      </c>
      <c r="B22" s="12">
        <f>IFERROR(VLOOKUP(Substitution!$M$19 &amp; $A22, US_national_yearly!$D:$AM, MATCH(Keys!$C$7, US_national_yearly!$D$1:$AM$1, 0), FALSE), 0)</f>
        <v>7.4153794408693342E-4</v>
      </c>
      <c r="C22" s="12">
        <f>$B22 * IFERROR(VLOOKUP(Substitution!$M$19 &amp; $A22, US_national_yearly!$D:$AM, MATCH(C$1, US_national_yearly!$D$1:$AM$1, 0), FALSE) / VLOOKUP(Substitution!$M$19 &amp; $A22, US_national_yearly!$D:$AM, MATCH(Keys!$C$7, US_national_yearly!$D$1:$AM$1, 0), FALSE), 1)</f>
        <v>7.5526880531834567E-4</v>
      </c>
      <c r="D22" s="12">
        <f>$B22 * IFERROR(VLOOKUP(Substitution!$M$19 &amp; $A22, US_national_yearly!$D:$AM, MATCH(D$1, US_national_yearly!$D$1:$AM$1, 0), FALSE) / VLOOKUP(Substitution!$M$19 &amp; $A22, US_national_yearly!$D:$AM, MATCH(Keys!$C$7, US_national_yearly!$D$1:$AM$1, 0), FALSE), 1)</f>
        <v>7.6899966654975812E-4</v>
      </c>
      <c r="E22" s="12">
        <f>$B22 * IFERROR(VLOOKUP(Substitution!$M$19 &amp; $A22, US_national_yearly!$D:$AM, MATCH(E$1, US_national_yearly!$D$1:$AM$1, 0), FALSE) / VLOOKUP(Substitution!$M$19 &amp; $A22, US_national_yearly!$D:$AM, MATCH(Keys!$C$7, US_national_yearly!$D$1:$AM$1, 0), FALSE), 1)</f>
        <v>7.8273052778117058E-4</v>
      </c>
      <c r="F22" s="12">
        <f>$B22 * IFERROR(VLOOKUP(Substitution!$M$19 &amp; $A22, US_national_yearly!$D:$AM, MATCH(F$1, US_national_yearly!$D$1:$AM$1, 0), FALSE) / VLOOKUP(Substitution!$M$19 &amp; $A22, US_national_yearly!$D:$AM, MATCH(Keys!$C$7, US_national_yearly!$D$1:$AM$1, 0), FALSE), 1)</f>
        <v>7.9646138901258304E-4</v>
      </c>
      <c r="G22" s="12">
        <f>$B22 * IFERROR(VLOOKUP(Substitution!$M$19 &amp; $A22, US_national_yearly!$D:$AM, MATCH(G$1, US_national_yearly!$D$1:$AM$1, 0), FALSE) / VLOOKUP(Substitution!$M$19 &amp; $A22, US_national_yearly!$D:$AM, MATCH(Keys!$C$7, US_national_yearly!$D$1:$AM$1, 0), FALSE), 1)</f>
        <v>8.0990135343731308E-4</v>
      </c>
      <c r="H22" s="12">
        <f>$B22 * IFERROR(VLOOKUP(Substitution!$M$19 &amp; $A22, US_national_yearly!$D:$AM, MATCH(H$1, US_national_yearly!$D$1:$AM$1, 0), FALSE) / VLOOKUP(Substitution!$M$19 &amp; $A22, US_national_yearly!$D:$AM, MATCH(Keys!$C$7, US_national_yearly!$D$1:$AM$1, 0), FALSE), 1)</f>
        <v>8.2334131786204301E-4</v>
      </c>
      <c r="I22" s="12">
        <f>$B22 * IFERROR(VLOOKUP(Substitution!$M$19 &amp; $A22, US_national_yearly!$D:$AM, MATCH(I$1, US_national_yearly!$D$1:$AM$1, 0), FALSE) / VLOOKUP(Substitution!$M$19 &amp; $A22, US_national_yearly!$D:$AM, MATCH(Keys!$C$7, US_national_yearly!$D$1:$AM$1, 0), FALSE), 1)</f>
        <v>8.3638752551711264E-4</v>
      </c>
      <c r="J22" s="12">
        <f>$B22 * IFERROR(VLOOKUP(Substitution!$M$19 &amp; $A22, US_national_yearly!$D:$AM, MATCH(J$1, US_national_yearly!$D$1:$AM$1, 0), FALSE) / VLOOKUP(Substitution!$M$19 &amp; $A22, US_national_yearly!$D:$AM, MATCH(Keys!$C$7, US_national_yearly!$D$1:$AM$1, 0), FALSE), 1)</f>
        <v>8.4943373317218217E-4</v>
      </c>
      <c r="K22" s="12">
        <f>$B22 * IFERROR(VLOOKUP(Substitution!$M$19 &amp; $A22, US_national_yearly!$D:$AM, MATCH(K$1, US_national_yearly!$D$1:$AM$1, 0), FALSE) / VLOOKUP(Substitution!$M$19 &amp; $A22, US_national_yearly!$D:$AM, MATCH(Keys!$C$7, US_national_yearly!$D$1:$AM$1, 0), FALSE), 1)</f>
        <v>8.6247994082725181E-4</v>
      </c>
      <c r="L22" s="12">
        <f>$B22 * IFERROR(VLOOKUP(Substitution!$M$19 &amp; $A22, US_national_yearly!$D:$AM, MATCH(L$1, US_national_yearly!$D$1:$AM$1, 0), FALSE) / VLOOKUP(Substitution!$M$19 &amp; $A22, US_national_yearly!$D:$AM, MATCH(Keys!$C$7, US_national_yearly!$D$1:$AM$1, 0), FALSE), 1)</f>
        <v>8.7552614848232144E-4</v>
      </c>
      <c r="M22" s="12">
        <f>$B22 * IFERROR(VLOOKUP(Substitution!$M$19 &amp; $A22, US_national_yearly!$D:$AM, MATCH(M$1, US_national_yearly!$D$1:$AM$1, 0), FALSE) / VLOOKUP(Substitution!$M$19 &amp; $A22, US_national_yearly!$D:$AM, MATCH(Keys!$C$7, US_national_yearly!$D$1:$AM$1, 0), FALSE), 1)</f>
        <v>8.8857235613739086E-4</v>
      </c>
      <c r="N22" s="12">
        <f>$B22 * IFERROR(VLOOKUP(Substitution!$M$19 &amp; $A22, US_national_yearly!$D:$AM, MATCH(N$1, US_national_yearly!$D$1:$AM$1, 0), FALSE) / VLOOKUP(Substitution!$M$19 &amp; $A22, US_national_yearly!$D:$AM, MATCH(Keys!$C$7, US_national_yearly!$D$1:$AM$1, 0), FALSE), 1)</f>
        <v>8.9911555761807685E-4</v>
      </c>
      <c r="O22" s="12">
        <f>$B22 * IFERROR(VLOOKUP(Substitution!$M$19 &amp; $A22, US_national_yearly!$D:$AM, MATCH(O$1, US_national_yearly!$D$1:$AM$1, 0), FALSE) / VLOOKUP(Substitution!$M$19 &amp; $A22, US_national_yearly!$D:$AM, MATCH(Keys!$C$7, US_national_yearly!$D$1:$AM$1, 0), FALSE), 1)</f>
        <v>9.0965875909876262E-4</v>
      </c>
      <c r="P22" s="12">
        <f>$B22 * IFERROR(VLOOKUP(Substitution!$M$19 &amp; $A22, US_national_yearly!$D:$AM, MATCH(P$1, US_national_yearly!$D$1:$AM$1, 0), FALSE) / VLOOKUP(Substitution!$M$19 &amp; $A22, US_national_yearly!$D:$AM, MATCH(Keys!$C$7, US_national_yearly!$D$1:$AM$1, 0), FALSE), 1)</f>
        <v>9.2020196057944828E-4</v>
      </c>
      <c r="Q22" s="12">
        <f>$B22 * IFERROR(VLOOKUP(Substitution!$M$19 &amp; $A22, US_national_yearly!$D:$AM, MATCH(Q$1, US_national_yearly!$D$1:$AM$1, 0), FALSE) / VLOOKUP(Substitution!$M$19 &amp; $A22, US_national_yearly!$D:$AM, MATCH(Keys!$C$7, US_national_yearly!$D$1:$AM$1, 0), FALSE), 1)</f>
        <v>9.3074516206013427E-4</v>
      </c>
      <c r="R22" s="12">
        <f>$B22 * IFERROR(VLOOKUP(Substitution!$M$19 &amp; $A22, US_national_yearly!$D:$AM, MATCH(R$1, US_national_yearly!$D$1:$AM$1, 0), FALSE) / VLOOKUP(Substitution!$M$19 &amp; $A22, US_national_yearly!$D:$AM, MATCH(Keys!$C$7, US_national_yearly!$D$1:$AM$1, 0), FALSE), 1)</f>
        <v>9.4128836354082004E-4</v>
      </c>
      <c r="S22" s="12">
        <f>$B22 * IFERROR(VLOOKUP(Substitution!$M$19 &amp; $A22, US_national_yearly!$D:$AM, MATCH(S$1, US_national_yearly!$D$1:$AM$1, 0), FALSE) / VLOOKUP(Substitution!$M$19 &amp; $A22, US_national_yearly!$D:$AM, MATCH(Keys!$C$7, US_national_yearly!$D$1:$AM$1, 0), FALSE), 1)</f>
        <v>9.4864200951294E-4</v>
      </c>
      <c r="T22" s="12">
        <f>$B22 * IFERROR(VLOOKUP(Substitution!$M$19 &amp; $A22, US_national_yearly!$D:$AM, MATCH(T$1, US_national_yearly!$D$1:$AM$1, 0), FALSE) / VLOOKUP(Substitution!$M$19 &amp; $A22, US_national_yearly!$D:$AM, MATCH(Keys!$C$7, US_national_yearly!$D$1:$AM$1, 0), FALSE), 1)</f>
        <v>9.5599565548505996E-4</v>
      </c>
      <c r="U22" s="12">
        <f>$B22 * IFERROR(VLOOKUP(Substitution!$M$19 &amp; $A22, US_national_yearly!$D:$AM, MATCH(U$1, US_national_yearly!$D$1:$AM$1, 0), FALSE) / VLOOKUP(Substitution!$M$19 &amp; $A22, US_national_yearly!$D:$AM, MATCH(Keys!$C$7, US_national_yearly!$D$1:$AM$1, 0), FALSE), 1)</f>
        <v>9.6334930145718003E-4</v>
      </c>
      <c r="V22" s="12">
        <f>$B22 * IFERROR(VLOOKUP(Substitution!$M$19 &amp; $A22, US_national_yearly!$D:$AM, MATCH(V$1, US_national_yearly!$D$1:$AM$1, 0), FALSE) / VLOOKUP(Substitution!$M$19 &amp; $A22, US_national_yearly!$D:$AM, MATCH(Keys!$C$7, US_national_yearly!$D$1:$AM$1, 0), FALSE), 1)</f>
        <v>9.7070294742929999E-4</v>
      </c>
      <c r="W22" s="12">
        <f>$B22 * IFERROR(VLOOKUP(Substitution!$M$19 &amp; $A22, US_national_yearly!$D:$AM, MATCH(W$1, US_national_yearly!$D$1:$AM$1, 0), FALSE) / VLOOKUP(Substitution!$M$19 &amp; $A22, US_national_yearly!$D:$AM, MATCH(Keys!$C$7, US_national_yearly!$D$1:$AM$1, 0), FALSE), 1)</f>
        <v>9.7805659340141995E-4</v>
      </c>
      <c r="X22" s="12">
        <f>$B22 * IFERROR(VLOOKUP(Substitution!$M$19 &amp; $A22, US_national_yearly!$D:$AM, MATCH(X$1, US_national_yearly!$D$1:$AM$1, 0), FALSE) / VLOOKUP(Substitution!$M$19 &amp; $A22, US_national_yearly!$D:$AM, MATCH(Keys!$C$7, US_national_yearly!$D$1:$AM$1, 0), FALSE), 1)</f>
        <v>9.8360896390043795E-4</v>
      </c>
      <c r="Y22" s="12">
        <f>$B22 * IFERROR(VLOOKUP(Substitution!$M$19 &amp; $A22, US_national_yearly!$D:$AM, MATCH(Y$1, US_national_yearly!$D$1:$AM$1, 0), FALSE) / VLOOKUP(Substitution!$M$19 &amp; $A22, US_national_yearly!$D:$AM, MATCH(Keys!$C$7, US_national_yearly!$D$1:$AM$1, 0), FALSE), 1)</f>
        <v>9.8916133439945595E-4</v>
      </c>
      <c r="Z22" s="12">
        <f>$B22 * IFERROR(VLOOKUP(Substitution!$M$19 &amp; $A22, US_national_yearly!$D:$AM, MATCH(Z$1, US_national_yearly!$D$1:$AM$1, 0), FALSE) / VLOOKUP(Substitution!$M$19 &amp; $A22, US_national_yearly!$D:$AM, MATCH(Keys!$C$7, US_national_yearly!$D$1:$AM$1, 0), FALSE), 1)</f>
        <v>9.9471370489847394E-4</v>
      </c>
      <c r="AA22" s="12">
        <f>$B22 * IFERROR(VLOOKUP(Substitution!$M$19 &amp; $A22, US_national_yearly!$D:$AM, MATCH(AA$1, US_national_yearly!$D$1:$AM$1, 0), FALSE) / VLOOKUP(Substitution!$M$19 &amp; $A22, US_national_yearly!$D:$AM, MATCH(Keys!$C$7, US_national_yearly!$D$1:$AM$1, 0), FALSE), 1)</f>
        <v>1.0002660753974919E-3</v>
      </c>
      <c r="AB22" s="12">
        <f>$B22 * IFERROR(VLOOKUP(Substitution!$M$19 &amp; $A22, US_national_yearly!$D:$AM, MATCH(AB$1, US_national_yearly!$D$1:$AM$1, 0), FALSE) / VLOOKUP(Substitution!$M$19 &amp; $A22, US_national_yearly!$D:$AM, MATCH(Keys!$C$7, US_national_yearly!$D$1:$AM$1, 0), FALSE), 1)</f>
        <v>1.0058184458965099E-3</v>
      </c>
    </row>
    <row r="23" spans="1:28" x14ac:dyDescent="0.25">
      <c r="A23" s="4" t="s">
        <v>333</v>
      </c>
      <c r="B23" s="12">
        <f>IFERROR(VLOOKUP(Substitution!$M$19 &amp; $A23, US_national_yearly!$D:$AM, MATCH(Keys!$C$7, US_national_yearly!$D$1:$AM$1, 0), FALSE), 0)</f>
        <v>0</v>
      </c>
      <c r="C23" s="12">
        <f>$B23 * IFERROR(VLOOKUP(Substitution!$M$19 &amp; $A23, US_national_yearly!$D:$AM, MATCH(C$1, US_national_yearly!$D$1:$AM$1, 0), FALSE) / VLOOKUP(Substitution!$M$19 &amp; $A23, US_national_yearly!$D:$AM, MATCH(Keys!$C$7, US_national_yearly!$D$1:$AM$1, 0), FALSE), 1)</f>
        <v>0</v>
      </c>
      <c r="D23" s="12">
        <f>$B23 * IFERROR(VLOOKUP(Substitution!$M$19 &amp; $A23, US_national_yearly!$D:$AM, MATCH(D$1, US_national_yearly!$D$1:$AM$1, 0), FALSE) / VLOOKUP(Substitution!$M$19 &amp; $A23, US_national_yearly!$D:$AM, MATCH(Keys!$C$7, US_national_yearly!$D$1:$AM$1, 0), FALSE), 1)</f>
        <v>0</v>
      </c>
      <c r="E23" s="12">
        <f>$B23 * IFERROR(VLOOKUP(Substitution!$M$19 &amp; $A23, US_national_yearly!$D:$AM, MATCH(E$1, US_national_yearly!$D$1:$AM$1, 0), FALSE) / VLOOKUP(Substitution!$M$19 &amp; $A23, US_national_yearly!$D:$AM, MATCH(Keys!$C$7, US_national_yearly!$D$1:$AM$1, 0), FALSE), 1)</f>
        <v>0</v>
      </c>
      <c r="F23" s="12">
        <f>$B23 * IFERROR(VLOOKUP(Substitution!$M$19 &amp; $A23, US_national_yearly!$D:$AM, MATCH(F$1, US_national_yearly!$D$1:$AM$1, 0), FALSE) / VLOOKUP(Substitution!$M$19 &amp; $A23, US_national_yearly!$D:$AM, MATCH(Keys!$C$7, US_national_yearly!$D$1:$AM$1, 0), FALSE), 1)</f>
        <v>0</v>
      </c>
      <c r="G23" s="12">
        <f>$B23 * IFERROR(VLOOKUP(Substitution!$M$19 &amp; $A23, US_national_yearly!$D:$AM, MATCH(G$1, US_national_yearly!$D$1:$AM$1, 0), FALSE) / VLOOKUP(Substitution!$M$19 &amp; $A23, US_national_yearly!$D:$AM, MATCH(Keys!$C$7, US_national_yearly!$D$1:$AM$1, 0), FALSE), 1)</f>
        <v>0</v>
      </c>
      <c r="H23" s="12">
        <f>$B23 * IFERROR(VLOOKUP(Substitution!$M$19 &amp; $A23, US_national_yearly!$D:$AM, MATCH(H$1, US_national_yearly!$D$1:$AM$1, 0), FALSE) / VLOOKUP(Substitution!$M$19 &amp; $A23, US_national_yearly!$D:$AM, MATCH(Keys!$C$7, US_national_yearly!$D$1:$AM$1, 0), FALSE), 1)</f>
        <v>0</v>
      </c>
      <c r="I23" s="12">
        <f>$B23 * IFERROR(VLOOKUP(Substitution!$M$19 &amp; $A23, US_national_yearly!$D:$AM, MATCH(I$1, US_national_yearly!$D$1:$AM$1, 0), FALSE) / VLOOKUP(Substitution!$M$19 &amp; $A23, US_national_yearly!$D:$AM, MATCH(Keys!$C$7, US_national_yearly!$D$1:$AM$1, 0), FALSE), 1)</f>
        <v>0</v>
      </c>
      <c r="J23" s="12">
        <f>$B23 * IFERROR(VLOOKUP(Substitution!$M$19 &amp; $A23, US_national_yearly!$D:$AM, MATCH(J$1, US_national_yearly!$D$1:$AM$1, 0), FALSE) / VLOOKUP(Substitution!$M$19 &amp; $A23, US_national_yearly!$D:$AM, MATCH(Keys!$C$7, US_national_yearly!$D$1:$AM$1, 0), FALSE), 1)</f>
        <v>0</v>
      </c>
      <c r="K23" s="12">
        <f>$B23 * IFERROR(VLOOKUP(Substitution!$M$19 &amp; $A23, US_national_yearly!$D:$AM, MATCH(K$1, US_national_yearly!$D$1:$AM$1, 0), FALSE) / VLOOKUP(Substitution!$M$19 &amp; $A23, US_national_yearly!$D:$AM, MATCH(Keys!$C$7, US_national_yearly!$D$1:$AM$1, 0), FALSE), 1)</f>
        <v>0</v>
      </c>
      <c r="L23" s="12">
        <f>$B23 * IFERROR(VLOOKUP(Substitution!$M$19 &amp; $A23, US_national_yearly!$D:$AM, MATCH(L$1, US_national_yearly!$D$1:$AM$1, 0), FALSE) / VLOOKUP(Substitution!$M$19 &amp; $A23, US_national_yearly!$D:$AM, MATCH(Keys!$C$7, US_national_yearly!$D$1:$AM$1, 0), FALSE), 1)</f>
        <v>0</v>
      </c>
      <c r="M23" s="12">
        <f>$B23 * IFERROR(VLOOKUP(Substitution!$M$19 &amp; $A23, US_national_yearly!$D:$AM, MATCH(M$1, US_national_yearly!$D$1:$AM$1, 0), FALSE) / VLOOKUP(Substitution!$M$19 &amp; $A23, US_national_yearly!$D:$AM, MATCH(Keys!$C$7, US_national_yearly!$D$1:$AM$1, 0), FALSE), 1)</f>
        <v>0</v>
      </c>
      <c r="N23" s="12">
        <f>$B23 * IFERROR(VLOOKUP(Substitution!$M$19 &amp; $A23, US_national_yearly!$D:$AM, MATCH(N$1, US_national_yearly!$D$1:$AM$1, 0), FALSE) / VLOOKUP(Substitution!$M$19 &amp; $A23, US_national_yearly!$D:$AM, MATCH(Keys!$C$7, US_national_yearly!$D$1:$AM$1, 0), FALSE), 1)</f>
        <v>0</v>
      </c>
      <c r="O23" s="12">
        <f>$B23 * IFERROR(VLOOKUP(Substitution!$M$19 &amp; $A23, US_national_yearly!$D:$AM, MATCH(O$1, US_national_yearly!$D$1:$AM$1, 0), FALSE) / VLOOKUP(Substitution!$M$19 &amp; $A23, US_national_yearly!$D:$AM, MATCH(Keys!$C$7, US_national_yearly!$D$1:$AM$1, 0), FALSE), 1)</f>
        <v>0</v>
      </c>
      <c r="P23" s="12">
        <f>$B23 * IFERROR(VLOOKUP(Substitution!$M$19 &amp; $A23, US_national_yearly!$D:$AM, MATCH(P$1, US_national_yearly!$D$1:$AM$1, 0), FALSE) / VLOOKUP(Substitution!$M$19 &amp; $A23, US_national_yearly!$D:$AM, MATCH(Keys!$C$7, US_national_yearly!$D$1:$AM$1, 0), FALSE), 1)</f>
        <v>0</v>
      </c>
      <c r="Q23" s="12">
        <f>$B23 * IFERROR(VLOOKUP(Substitution!$M$19 &amp; $A23, US_national_yearly!$D:$AM, MATCH(Q$1, US_national_yearly!$D$1:$AM$1, 0), FALSE) / VLOOKUP(Substitution!$M$19 &amp; $A23, US_national_yearly!$D:$AM, MATCH(Keys!$C$7, US_national_yearly!$D$1:$AM$1, 0), FALSE), 1)</f>
        <v>0</v>
      </c>
      <c r="R23" s="12">
        <f>$B23 * IFERROR(VLOOKUP(Substitution!$M$19 &amp; $A23, US_national_yearly!$D:$AM, MATCH(R$1, US_national_yearly!$D$1:$AM$1, 0), FALSE) / VLOOKUP(Substitution!$M$19 &amp; $A23, US_national_yearly!$D:$AM, MATCH(Keys!$C$7, US_national_yearly!$D$1:$AM$1, 0), FALSE), 1)</f>
        <v>0</v>
      </c>
      <c r="S23" s="12">
        <f>$B23 * IFERROR(VLOOKUP(Substitution!$M$19 &amp; $A23, US_national_yearly!$D:$AM, MATCH(S$1, US_national_yearly!$D$1:$AM$1, 0), FALSE) / VLOOKUP(Substitution!$M$19 &amp; $A23, US_national_yearly!$D:$AM, MATCH(Keys!$C$7, US_national_yearly!$D$1:$AM$1, 0), FALSE), 1)</f>
        <v>0</v>
      </c>
      <c r="T23" s="12">
        <f>$B23 * IFERROR(VLOOKUP(Substitution!$M$19 &amp; $A23, US_national_yearly!$D:$AM, MATCH(T$1, US_national_yearly!$D$1:$AM$1, 0), FALSE) / VLOOKUP(Substitution!$M$19 &amp; $A23, US_national_yearly!$D:$AM, MATCH(Keys!$C$7, US_national_yearly!$D$1:$AM$1, 0), FALSE), 1)</f>
        <v>0</v>
      </c>
      <c r="U23" s="12">
        <f>$B23 * IFERROR(VLOOKUP(Substitution!$M$19 &amp; $A23, US_national_yearly!$D:$AM, MATCH(U$1, US_national_yearly!$D$1:$AM$1, 0), FALSE) / VLOOKUP(Substitution!$M$19 &amp; $A23, US_national_yearly!$D:$AM, MATCH(Keys!$C$7, US_national_yearly!$D$1:$AM$1, 0), FALSE), 1)</f>
        <v>0</v>
      </c>
      <c r="V23" s="12">
        <f>$B23 * IFERROR(VLOOKUP(Substitution!$M$19 &amp; $A23, US_national_yearly!$D:$AM, MATCH(V$1, US_national_yearly!$D$1:$AM$1, 0), FALSE) / VLOOKUP(Substitution!$M$19 &amp; $A23, US_national_yearly!$D:$AM, MATCH(Keys!$C$7, US_national_yearly!$D$1:$AM$1, 0), FALSE), 1)</f>
        <v>0</v>
      </c>
      <c r="W23" s="12">
        <f>$B23 * IFERROR(VLOOKUP(Substitution!$M$19 &amp; $A23, US_national_yearly!$D:$AM, MATCH(W$1, US_national_yearly!$D$1:$AM$1, 0), FALSE) / VLOOKUP(Substitution!$M$19 &amp; $A23, US_national_yearly!$D:$AM, MATCH(Keys!$C$7, US_national_yearly!$D$1:$AM$1, 0), FALSE), 1)</f>
        <v>0</v>
      </c>
      <c r="X23" s="12">
        <f>$B23 * IFERROR(VLOOKUP(Substitution!$M$19 &amp; $A23, US_national_yearly!$D:$AM, MATCH(X$1, US_national_yearly!$D$1:$AM$1, 0), FALSE) / VLOOKUP(Substitution!$M$19 &amp; $A23, US_national_yearly!$D:$AM, MATCH(Keys!$C$7, US_national_yearly!$D$1:$AM$1, 0), FALSE), 1)</f>
        <v>0</v>
      </c>
      <c r="Y23" s="12">
        <f>$B23 * IFERROR(VLOOKUP(Substitution!$M$19 &amp; $A23, US_national_yearly!$D:$AM, MATCH(Y$1, US_national_yearly!$D$1:$AM$1, 0), FALSE) / VLOOKUP(Substitution!$M$19 &amp; $A23, US_national_yearly!$D:$AM, MATCH(Keys!$C$7, US_national_yearly!$D$1:$AM$1, 0), FALSE), 1)</f>
        <v>0</v>
      </c>
      <c r="Z23" s="12">
        <f>$B23 * IFERROR(VLOOKUP(Substitution!$M$19 &amp; $A23, US_national_yearly!$D:$AM, MATCH(Z$1, US_national_yearly!$D$1:$AM$1, 0), FALSE) / VLOOKUP(Substitution!$M$19 &amp; $A23, US_national_yearly!$D:$AM, MATCH(Keys!$C$7, US_national_yearly!$D$1:$AM$1, 0), FALSE), 1)</f>
        <v>0</v>
      </c>
      <c r="AA23" s="12">
        <f>$B23 * IFERROR(VLOOKUP(Substitution!$M$19 &amp; $A23, US_national_yearly!$D:$AM, MATCH(AA$1, US_national_yearly!$D$1:$AM$1, 0), FALSE) / VLOOKUP(Substitution!$M$19 &amp; $A23, US_national_yearly!$D:$AM, MATCH(Keys!$C$7, US_national_yearly!$D$1:$AM$1, 0), FALSE), 1)</f>
        <v>0</v>
      </c>
      <c r="AB23" s="12">
        <f>$B23 * IFERROR(VLOOKUP(Substitution!$M$19 &amp; $A23, US_national_yearly!$D:$AM, MATCH(AB$1, US_national_yearly!$D$1:$AM$1, 0), FALSE) / VLOOKUP(Substitution!$M$19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About</vt:lpstr>
      <vt:lpstr>Keys</vt:lpstr>
      <vt:lpstr>Geography</vt:lpstr>
      <vt:lpstr>Runs</vt:lpstr>
      <vt:lpstr>COBRA_aggregated</vt:lpstr>
      <vt:lpstr>US_national_yearly</vt:lpstr>
      <vt:lpstr>Substitution</vt:lpstr>
      <vt:lpstr>HOIpTP-transport-PM25</vt:lpstr>
      <vt:lpstr>HOIpTP-transport-NOx</vt:lpstr>
      <vt:lpstr>HOIpTP-transport-SO2</vt:lpstr>
      <vt:lpstr>HOIpTP-electricity-PM25</vt:lpstr>
      <vt:lpstr>HOIpTP-electricity-NOx</vt:lpstr>
      <vt:lpstr>HOIpTP-electricity-SO2</vt:lpstr>
      <vt:lpstr>HOIpTP-buildings-PM25</vt:lpstr>
      <vt:lpstr>HOIpTP-buildings-NOx</vt:lpstr>
      <vt:lpstr>HOIpTP-buildings-SO2</vt:lpstr>
      <vt:lpstr>HOIpTP-industry-PM25</vt:lpstr>
      <vt:lpstr>HOIpTP-industry-NOx</vt:lpstr>
      <vt:lpstr>HOIpTP-industry-SO2</vt:lpstr>
      <vt:lpstr>HOIpTP-LULUCF-PM25</vt:lpstr>
      <vt:lpstr>HOIpTP-LULUCF-NOx</vt:lpstr>
      <vt:lpstr>HOIpTP-LULUCF-SO2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2026-09-14T16:38:03Z</dcterms:created>
  <dcterms:modified xsi:type="dcterms:W3CDTF">2026-09-14T16:45:06Z</dcterms:modified>
</cp:coreProperties>
</file>