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198D9CD9-B580-4424-BAB4-3486DEA19F07}"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<sst xmlns="http://schemas.openxmlformats.org/spreadsheetml/2006/main" count="5677" uniqueCount="335">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</sst>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153</v>
      </c>
    </row>
    <row r="2" spans="1:2" x14ac:dyDescent="0.25">
      <c r="A2" s="3" t="s">
        <v>2</v>
      </c>
      <c r="B2" s="4" t="str">
        <f>IFERROR(INDEX(Geography!B:B, MATCH($B$1, Geography!C:C, 0)), "")</f>
        <v>PA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6449205</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0.99464978724435904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6629546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1.0052601937112684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10460297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1.0643019165117646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1619718</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0.90653792626044782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584828</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0.69251121889369749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413908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0.66843126576157208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1234581</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0.48373523937786866</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11844170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13078751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1.1251692231095887</v>
      </c>
    </row>
    <row r="12" spans="1:28" x14ac:dyDescent="0.25">
      <c r="A12" s="4" t="s">
        <v>319</v>
      </c>
    </row>
    <row r="13" spans="1:28" x14ac:dyDescent="0.25">
      <c r="A13" s="4" t="s">
        <v>320</v>
      </c>
      <c r="B13" s="37">
        <f>INDEX(Census_pop_2020_2025!G:G, MATCH("."&amp;About!$B$1, Census_pop_2020_2025!A:A, 0))</f>
        <v>13045848</v>
      </c>
      <c r="C13" s="37">
        <f>INDEX(Census_pop_2020_2025!H:H, MATCH("."&amp;About!$B$1, Census_pop_2020_2025!A:A, 0))</f>
        <v>13059432</v>
      </c>
      <c r="D13" s="37">
        <f>INDEX(Census_pop_2020_2025!H:H, MATCH("."&amp;About!$B$1, Census_pop_2020_2025!A:A, 0))+0.2*(INDEX(Cooper_pop_2030_2050!D:D, MATCH(About!$B$1, Cooper_pop_2030_2050!B:B, 0))-INDEX(Census_pop_2020_2025!H:H, MATCH("."&amp;About!$B$1, Census_pop_2020_2025!A:A, 0)))</f>
        <v>13093843.795756318</v>
      </c>
      <c r="E13" s="37">
        <f>INDEX(Census_pop_2020_2025!H:H, MATCH("."&amp;About!$B$1, Census_pop_2020_2025!A:A, 0))+0.4*(INDEX(Cooper_pop_2030_2050!D:D, MATCH(About!$B$1, Cooper_pop_2030_2050!B:B, 0))-INDEX(Census_pop_2020_2025!H:H, MATCH("."&amp;About!$B$1, Census_pop_2020_2025!A:A, 0)))</f>
        <v>13128255.591512635</v>
      </c>
      <c r="F13" s="37">
        <f>INDEX(Census_pop_2020_2025!H:H, MATCH("."&amp;About!$B$1, Census_pop_2020_2025!A:A, 0))+0.6*(INDEX(Cooper_pop_2030_2050!D:D, MATCH(About!$B$1, Cooper_pop_2030_2050!B:B, 0))-INDEX(Census_pop_2020_2025!H:H, MATCH("."&amp;About!$B$1, Census_pop_2020_2025!A:A, 0)))</f>
        <v>13162667.387268955</v>
      </c>
      <c r="G13" s="37">
        <f>INDEX(Census_pop_2020_2025!H:H, MATCH("."&amp;About!$B$1, Census_pop_2020_2025!A:A, 0))+0.8*(INDEX(Cooper_pop_2030_2050!D:D, MATCH(About!$B$1, Cooper_pop_2030_2050!B:B, 0))-INDEX(Census_pop_2020_2025!H:H, MATCH("."&amp;About!$B$1, Census_pop_2020_2025!A:A, 0)))</f>
        <v>13197079.183025273</v>
      </c>
      <c r="H13" s="37">
        <f>INDEX(Cooper_pop_2030_2050!D:D, MATCH(About!$B$1, Cooper_pop_2030_2050!B:B, 0))</f>
        <v>13231490.97878159</v>
      </c>
      <c r="I13" s="37">
        <f>INDEX(Cooper_pop_2030_2050!D:D, MATCH(About!$B$1, Cooper_pop_2030_2050!B:B, 0))+0.1*(INDEX(Cooper_pop_2030_2050!E:E, MATCH(About!$B$1, Cooper_pop_2030_2050!B:B, 0))-INDEX(Cooper_pop_2030_2050!D:D, MATCH(About!$B$1, Cooper_pop_2030_2050!B:B, 0)))</f>
        <v>13210558.957400743</v>
      </c>
      <c r="J13" s="37">
        <f>INDEX(Cooper_pop_2030_2050!D:D, MATCH(About!$B$1, Cooper_pop_2030_2050!B:B, 0))+0.2*(INDEX(Cooper_pop_2030_2050!E:E, MATCH(About!$B$1, Cooper_pop_2030_2050!B:B, 0))-INDEX(Cooper_pop_2030_2050!D:D, MATCH(About!$B$1, Cooper_pop_2030_2050!B:B, 0)))</f>
        <v>13189626.936019894</v>
      </c>
      <c r="K13" s="37">
        <f>INDEX(Cooper_pop_2030_2050!D:D, MATCH(About!$B$1, Cooper_pop_2030_2050!B:B, 0))+0.3*(INDEX(Cooper_pop_2030_2050!E:E, MATCH(About!$B$1, Cooper_pop_2030_2050!B:B, 0))-INDEX(Cooper_pop_2030_2050!D:D, MATCH(About!$B$1, Cooper_pop_2030_2050!B:B, 0)))</f>
        <v>13168694.914639046</v>
      </c>
      <c r="L13" s="37">
        <f>INDEX(Cooper_pop_2030_2050!D:D, MATCH(About!$B$1, Cooper_pop_2030_2050!B:B, 0))+0.4*(INDEX(Cooper_pop_2030_2050!E:E, MATCH(About!$B$1, Cooper_pop_2030_2050!B:B, 0))-INDEX(Cooper_pop_2030_2050!D:D, MATCH(About!$B$1, Cooper_pop_2030_2050!B:B, 0)))</f>
        <v>13147762.893258197</v>
      </c>
      <c r="M13" s="37">
        <f>INDEX(Cooper_pop_2030_2050!D:D, MATCH(About!$B$1, Cooper_pop_2030_2050!B:B, 0))+0.5*(INDEX(Cooper_pop_2030_2050!E:E, MATCH(About!$B$1, Cooper_pop_2030_2050!B:B, 0))-INDEX(Cooper_pop_2030_2050!D:D, MATCH(About!$B$1, Cooper_pop_2030_2050!B:B, 0)))</f>
        <v>13126830.87187735</v>
      </c>
      <c r="N13" s="37">
        <f>INDEX(Cooper_pop_2030_2050!D:D, MATCH(About!$B$1, Cooper_pop_2030_2050!B:B, 0))+0.6*(INDEX(Cooper_pop_2030_2050!E:E, MATCH(About!$B$1, Cooper_pop_2030_2050!B:B, 0))-INDEX(Cooper_pop_2030_2050!D:D, MATCH(About!$B$1, Cooper_pop_2030_2050!B:B, 0)))</f>
        <v>13105898.850496503</v>
      </c>
      <c r="O13" s="37">
        <f>INDEX(Cooper_pop_2030_2050!D:D, MATCH(About!$B$1, Cooper_pop_2030_2050!B:B, 0))+0.7*(INDEX(Cooper_pop_2030_2050!E:E, MATCH(About!$B$1, Cooper_pop_2030_2050!B:B, 0))-INDEX(Cooper_pop_2030_2050!D:D, MATCH(About!$B$1, Cooper_pop_2030_2050!B:B, 0)))</f>
        <v>13084966.829115653</v>
      </c>
      <c r="P13" s="37">
        <f>INDEX(Cooper_pop_2030_2050!D:D, MATCH(About!$B$1, Cooper_pop_2030_2050!B:B, 0))+0.8*(INDEX(Cooper_pop_2030_2050!E:E, MATCH(About!$B$1, Cooper_pop_2030_2050!B:B, 0))-INDEX(Cooper_pop_2030_2050!D:D, MATCH(About!$B$1, Cooper_pop_2030_2050!B:B, 0)))</f>
        <v>13064034.807734806</v>
      </c>
      <c r="Q13" s="37">
        <f>INDEX(Cooper_pop_2030_2050!D:D, MATCH(About!$B$1, Cooper_pop_2030_2050!B:B, 0))+0.9*(INDEX(Cooper_pop_2030_2050!E:E, MATCH(About!$B$1, Cooper_pop_2030_2050!B:B, 0))-INDEX(Cooper_pop_2030_2050!D:D, MATCH(About!$B$1, Cooper_pop_2030_2050!B:B, 0)))</f>
        <v>13043102.786353957</v>
      </c>
      <c r="R13" s="37">
        <f>INDEX(Cooper_pop_2030_2050!E:E, MATCH(About!$B$1, Cooper_pop_2030_2050!B:B, 0))</f>
        <v>13022170.76497311</v>
      </c>
      <c r="S13" s="37">
        <f>INDEX(Cooper_pop_2030_2050!E:E, MATCH(About!$B$1, Cooper_pop_2030_2050!B:B, 0))+0.1*(INDEX(Cooper_pop_2030_2050!F:F, MATCH(About!$B$1, Cooper_pop_2030_2050!B:B, 0))-INDEX(Cooper_pop_2030_2050!E:E, MATCH(About!$B$1, Cooper_pop_2030_2050!B:B, 0)))</f>
        <v>12986552.038261678</v>
      </c>
      <c r="T13" s="37">
        <f>INDEX(Cooper_pop_2030_2050!E:E, MATCH(About!$B$1, Cooper_pop_2030_2050!B:B, 0))+0.2*(INDEX(Cooper_pop_2030_2050!F:F, MATCH(About!$B$1, Cooper_pop_2030_2050!B:B, 0))-INDEX(Cooper_pop_2030_2050!E:E, MATCH(About!$B$1, Cooper_pop_2030_2050!B:B, 0)))</f>
        <v>12950933.311550247</v>
      </c>
      <c r="U13" s="37">
        <f>INDEX(Cooper_pop_2030_2050!E:E, MATCH(About!$B$1, Cooper_pop_2030_2050!B:B, 0))+0.3*(INDEX(Cooper_pop_2030_2050!F:F, MATCH(About!$B$1, Cooper_pop_2030_2050!B:B, 0))-INDEX(Cooper_pop_2030_2050!E:E, MATCH(About!$B$1, Cooper_pop_2030_2050!B:B, 0)))</f>
        <v>12915314.584838813</v>
      </c>
      <c r="V13" s="37">
        <f>INDEX(Cooper_pop_2030_2050!E:E, MATCH(About!$B$1, Cooper_pop_2030_2050!B:B, 0))+0.4*(INDEX(Cooper_pop_2030_2050!F:F, MATCH(About!$B$1, Cooper_pop_2030_2050!B:B, 0))-INDEX(Cooper_pop_2030_2050!E:E, MATCH(About!$B$1, Cooper_pop_2030_2050!B:B, 0)))</f>
        <v>12879695.858127382</v>
      </c>
      <c r="W13" s="37">
        <f>INDEX(Cooper_pop_2030_2050!E:E, MATCH(About!$B$1, Cooper_pop_2030_2050!B:B, 0))+0.5*(INDEX(Cooper_pop_2030_2050!F:F, MATCH(About!$B$1, Cooper_pop_2030_2050!B:B, 0))-INDEX(Cooper_pop_2030_2050!E:E, MATCH(About!$B$1, Cooper_pop_2030_2050!B:B, 0)))</f>
        <v>12844077.13141595</v>
      </c>
      <c r="X13" s="37">
        <f>INDEX(Cooper_pop_2030_2050!E:E, MATCH(About!$B$1, Cooper_pop_2030_2050!B:B, 0))+0.6*(INDEX(Cooper_pop_2030_2050!F:F, MATCH(About!$B$1, Cooper_pop_2030_2050!B:B, 0))-INDEX(Cooper_pop_2030_2050!E:E, MATCH(About!$B$1, Cooper_pop_2030_2050!B:B, 0)))</f>
        <v>12808458.404704519</v>
      </c>
      <c r="Y13" s="37">
        <f>INDEX(Cooper_pop_2030_2050!E:E, MATCH(About!$B$1, Cooper_pop_2030_2050!B:B, 0))+0.7*(INDEX(Cooper_pop_2030_2050!F:F, MATCH(About!$B$1, Cooper_pop_2030_2050!B:B, 0))-INDEX(Cooper_pop_2030_2050!E:E, MATCH(About!$B$1, Cooper_pop_2030_2050!B:B, 0)))</f>
        <v>12772839.677993087</v>
      </c>
      <c r="Z13" s="37">
        <f>INDEX(Cooper_pop_2030_2050!E:E, MATCH(About!$B$1, Cooper_pop_2030_2050!B:B, 0))+0.8*(INDEX(Cooper_pop_2030_2050!F:F, MATCH(About!$B$1, Cooper_pop_2030_2050!B:B, 0))-INDEX(Cooper_pop_2030_2050!E:E, MATCH(About!$B$1, Cooper_pop_2030_2050!B:B, 0)))</f>
        <v>12737220.951281654</v>
      </c>
      <c r="AA13" s="37">
        <f>INDEX(Cooper_pop_2030_2050!E:E, MATCH(About!$B$1, Cooper_pop_2030_2050!B:B, 0))+0.9*(INDEX(Cooper_pop_2030_2050!F:F, MATCH(About!$B$1, Cooper_pop_2030_2050!B:B, 0))-INDEX(Cooper_pop_2030_2050!E:E, MATCH(About!$B$1, Cooper_pop_2030_2050!B:B, 0)))</f>
        <v>12701602.224570222</v>
      </c>
      <c r="AB13" s="37">
        <f>INDEX(Cooper_pop_2030_2050!F:F, MATCH(About!$B$1, Cooper_pop_2030_2050!B:B, 0))</f>
        <v>12665983.497858791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3.877129084593868E-2</v>
      </c>
      <c r="C15" s="39">
        <f t="shared" si="1"/>
        <v>3.863551427566092E-2</v>
      </c>
      <c r="D15" s="39">
        <f t="shared" si="1"/>
        <v>3.8566541075781988E-2</v>
      </c>
      <c r="E15" s="39">
        <f t="shared" si="1"/>
        <v>3.8502614582560934E-2</v>
      </c>
      <c r="F15" s="39">
        <f t="shared" si="1"/>
        <v>3.8444078917880611E-2</v>
      </c>
      <c r="G15" s="39">
        <f t="shared" si="1"/>
        <v>3.8391079687104521E-2</v>
      </c>
      <c r="H15" s="39">
        <f t="shared" si="1"/>
        <v>3.8343971607276234E-2</v>
      </c>
      <c r="I15" s="39">
        <f t="shared" si="1"/>
        <v>3.8143405413602609E-2</v>
      </c>
      <c r="J15" s="39">
        <f t="shared" si="1"/>
        <v>3.7950835767563883E-2</v>
      </c>
      <c r="K15" s="39">
        <f t="shared" si="1"/>
        <v>3.7764916789818824E-2</v>
      </c>
      <c r="L15" s="39">
        <f t="shared" si="1"/>
        <v>3.7585693183140152E-2</v>
      </c>
      <c r="M15" s="39">
        <f t="shared" si="1"/>
        <v>3.7413185646651394E-2</v>
      </c>
      <c r="N15" s="39">
        <f t="shared" si="1"/>
        <v>3.724738159770441E-2</v>
      </c>
      <c r="O15" s="39">
        <f t="shared" si="1"/>
        <v>3.7088272551960122E-2</v>
      </c>
      <c r="P15" s="39">
        <f t="shared" si="1"/>
        <v>3.6935806027796669E-2</v>
      </c>
      <c r="Q15" s="39">
        <f t="shared" si="1"/>
        <v>3.6789857542275733E-2</v>
      </c>
      <c r="R15" s="39">
        <f t="shared" si="1"/>
        <v>3.665026355272951E-2</v>
      </c>
      <c r="S15" s="39">
        <f t="shared" si="1"/>
        <v>3.6475641954504492E-2</v>
      </c>
      <c r="T15" s="39">
        <f t="shared" si="1"/>
        <v>3.6307081532273952E-2</v>
      </c>
      <c r="U15" s="39">
        <f t="shared" si="1"/>
        <v>3.6144203493885391E-2</v>
      </c>
      <c r="V15" s="39">
        <f t="shared" si="1"/>
        <v>3.5986515003899017E-2</v>
      </c>
      <c r="W15" s="39">
        <f t="shared" si="1"/>
        <v>3.5833472173485231E-2</v>
      </c>
      <c r="X15" s="39">
        <f t="shared" si="1"/>
        <v>3.568452486556116E-2</v>
      </c>
      <c r="Y15" s="39">
        <f t="shared" si="1"/>
        <v>3.5539310316408557E-2</v>
      </c>
      <c r="Z15" s="39">
        <f t="shared" si="1"/>
        <v>3.5397318057242839E-2</v>
      </c>
      <c r="AA15" s="39">
        <f t="shared" si="1"/>
        <v>3.525803766606328E-2</v>
      </c>
      <c r="AB15" s="39">
        <f t="shared" si="1"/>
        <v>3.512097371620318E-2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362.92445061446159</v>
      </c>
      <c r="C48" s="37">
        <f t="shared" si="10"/>
        <v>358.92504854774609</v>
      </c>
      <c r="D48" s="37">
        <f t="shared" si="10"/>
        <v>355.52235098470487</v>
      </c>
      <c r="E48" s="37">
        <f t="shared" si="10"/>
        <v>352.17569363702967</v>
      </c>
      <c r="F48" s="37">
        <f t="shared" si="10"/>
        <v>348.81063842808766</v>
      </c>
      <c r="G48" s="37">
        <f t="shared" si="10"/>
        <v>345.42765443090923</v>
      </c>
      <c r="H48" s="37">
        <f t="shared" si="10"/>
        <v>342.0289664690884</v>
      </c>
      <c r="I48" s="37">
        <f t="shared" si="10"/>
        <v>337.39446239623908</v>
      </c>
      <c r="J48" s="37">
        <f t="shared" si="10"/>
        <v>332.59578405112813</v>
      </c>
      <c r="K48" s="37">
        <f t="shared" si="10"/>
        <v>327.92382411106854</v>
      </c>
      <c r="L48" s="37">
        <f t="shared" si="10"/>
        <v>323.11511273546796</v>
      </c>
      <c r="M48" s="37">
        <f t="shared" si="10"/>
        <v>318.43178769757566</v>
      </c>
      <c r="N48" s="37">
        <f t="shared" si="10"/>
        <v>313.90855283840995</v>
      </c>
      <c r="O48" s="37">
        <f t="shared" si="10"/>
        <v>309.02620981050012</v>
      </c>
      <c r="P48" s="37">
        <f t="shared" si="10"/>
        <v>304.33917927443304</v>
      </c>
      <c r="Q48" s="37">
        <f t="shared" si="10"/>
        <v>299.51390125317602</v>
      </c>
      <c r="R48" s="37">
        <f t="shared" si="10"/>
        <v>294.73201979321641</v>
      </c>
      <c r="S48" s="37">
        <f t="shared" si="10"/>
        <v>289.59086726602078</v>
      </c>
      <c r="T48" s="37">
        <f t="shared" si="10"/>
        <v>284.53299483081275</v>
      </c>
      <c r="U48" s="37">
        <f t="shared" si="10"/>
        <v>279.55360987584993</v>
      </c>
      <c r="V48" s="37">
        <f t="shared" si="10"/>
        <v>274.64720464437255</v>
      </c>
      <c r="W48" s="37">
        <f t="shared" si="10"/>
        <v>269.84373069050253</v>
      </c>
      <c r="X48" s="37">
        <f t="shared" si="10"/>
        <v>265.38568507434309</v>
      </c>
      <c r="Y48" s="37">
        <f t="shared" si="10"/>
        <v>260.98290324663452</v>
      </c>
      <c r="Z48" s="37">
        <f t="shared" si="10"/>
        <v>256.80667697575177</v>
      </c>
      <c r="AA48" s="37">
        <f t="shared" si="10"/>
        <v>252.71009397304397</v>
      </c>
      <c r="AB48" s="37">
        <f t="shared" si="10"/>
        <v>248.65358538854062</v>
      </c>
    </row>
    <row r="49" spans="1:28" x14ac:dyDescent="0.25">
      <c r="A49" s="4" t="s">
        <v>216</v>
      </c>
      <c r="B49" s="37">
        <f t="shared" ref="B49:AB49" si="11">B29*B15*$F$5</f>
        <v>292.47016603806674</v>
      </c>
      <c r="C49" s="37">
        <f t="shared" si="11"/>
        <v>289.85355068773958</v>
      </c>
      <c r="D49" s="37">
        <f t="shared" si="11"/>
        <v>287.74655027750248</v>
      </c>
      <c r="E49" s="37">
        <f t="shared" si="11"/>
        <v>285.6439759571777</v>
      </c>
      <c r="F49" s="37">
        <f t="shared" si="11"/>
        <v>283.50927308621311</v>
      </c>
      <c r="G49" s="37">
        <f t="shared" si="11"/>
        <v>281.42033248859275</v>
      </c>
      <c r="H49" s="37">
        <f t="shared" si="11"/>
        <v>279.34045835554986</v>
      </c>
      <c r="I49" s="37">
        <f t="shared" si="11"/>
        <v>275.96210708583169</v>
      </c>
      <c r="J49" s="37">
        <f t="shared" si="11"/>
        <v>272.77582128372148</v>
      </c>
      <c r="K49" s="37">
        <f t="shared" si="11"/>
        <v>269.42743902742183</v>
      </c>
      <c r="L49" s="37">
        <f t="shared" si="11"/>
        <v>266.22184492605294</v>
      </c>
      <c r="M49" s="37">
        <f t="shared" si="11"/>
        <v>262.85619390480343</v>
      </c>
      <c r="N49" s="37">
        <f t="shared" si="11"/>
        <v>259.36980864809044</v>
      </c>
      <c r="O49" s="37">
        <f t="shared" si="11"/>
        <v>256.13671102349826</v>
      </c>
      <c r="P49" s="37">
        <f t="shared" si="11"/>
        <v>252.59603983878324</v>
      </c>
      <c r="Q49" s="37">
        <f t="shared" si="11"/>
        <v>249.19400985518229</v>
      </c>
      <c r="R49" s="37">
        <f t="shared" si="11"/>
        <v>245.66946432529085</v>
      </c>
      <c r="S49" s="37">
        <f t="shared" si="11"/>
        <v>241.93223689793132</v>
      </c>
      <c r="T49" s="37">
        <f t="shared" si="11"/>
        <v>238.18636445162926</v>
      </c>
      <c r="U49" s="37">
        <f t="shared" si="11"/>
        <v>234.50175940345085</v>
      </c>
      <c r="V49" s="37">
        <f t="shared" si="11"/>
        <v>230.94637770370213</v>
      </c>
      <c r="W49" s="37">
        <f t="shared" si="11"/>
        <v>227.47869747200718</v>
      </c>
      <c r="X49" s="37">
        <f t="shared" si="11"/>
        <v>224.02209120590942</v>
      </c>
      <c r="Y49" s="37">
        <f t="shared" si="11"/>
        <v>220.75252329940022</v>
      </c>
      <c r="Z49" s="37">
        <f t="shared" si="11"/>
        <v>217.48644250089322</v>
      </c>
      <c r="AA49" s="37">
        <f t="shared" si="11"/>
        <v>214.36229872955099</v>
      </c>
      <c r="AB49" s="37">
        <f t="shared" si="11"/>
        <v>211.48124387925986</v>
      </c>
    </row>
    <row r="50" spans="1:28" x14ac:dyDescent="0.25">
      <c r="A50" s="4" t="s">
        <v>217</v>
      </c>
      <c r="B50" s="37">
        <f t="shared" ref="B50:AB50" si="12">B30*B15*$F$6</f>
        <v>406.78405252995429</v>
      </c>
      <c r="C50" s="37">
        <f t="shared" si="12"/>
        <v>402.68670954901188</v>
      </c>
      <c r="D50" s="37">
        <f t="shared" si="12"/>
        <v>399.34084959161464</v>
      </c>
      <c r="E50" s="37">
        <f t="shared" si="12"/>
        <v>395.97434192188962</v>
      </c>
      <c r="F50" s="37">
        <f t="shared" si="12"/>
        <v>392.63096153248335</v>
      </c>
      <c r="G50" s="37">
        <f t="shared" si="12"/>
        <v>389.3520783263919</v>
      </c>
      <c r="H50" s="37">
        <f t="shared" si="12"/>
        <v>385.97684182515104</v>
      </c>
      <c r="I50" s="37">
        <f t="shared" si="12"/>
        <v>381.1161819556275</v>
      </c>
      <c r="J50" s="37">
        <f t="shared" si="12"/>
        <v>376.16275425209398</v>
      </c>
      <c r="K50" s="37">
        <f t="shared" si="12"/>
        <v>371.14468580282033</v>
      </c>
      <c r="L50" s="37">
        <f t="shared" si="12"/>
        <v>366.02310638738896</v>
      </c>
      <c r="M50" s="37">
        <f t="shared" si="12"/>
        <v>360.79928111525277</v>
      </c>
      <c r="N50" s="37">
        <f t="shared" si="12"/>
        <v>355.47393540789363</v>
      </c>
      <c r="O50" s="37">
        <f t="shared" si="12"/>
        <v>349.92920487423964</v>
      </c>
      <c r="P50" s="37">
        <f t="shared" si="12"/>
        <v>344.32372764608397</v>
      </c>
      <c r="Q50" s="37">
        <f t="shared" si="12"/>
        <v>338.61690142051532</v>
      </c>
      <c r="R50" s="37">
        <f t="shared" si="12"/>
        <v>332.80726105224062</v>
      </c>
      <c r="S50" s="37">
        <f t="shared" si="12"/>
        <v>326.6018776039752</v>
      </c>
      <c r="T50" s="37">
        <f t="shared" si="12"/>
        <v>320.49423042056242</v>
      </c>
      <c r="U50" s="37">
        <f t="shared" si="12"/>
        <v>314.4787207783009</v>
      </c>
      <c r="V50" s="37">
        <f t="shared" si="12"/>
        <v>308.58726456040483</v>
      </c>
      <c r="W50" s="37">
        <f t="shared" si="12"/>
        <v>302.88908215573889</v>
      </c>
      <c r="X50" s="37">
        <f t="shared" si="12"/>
        <v>297.41439634731313</v>
      </c>
      <c r="Y50" s="37">
        <f t="shared" si="12"/>
        <v>292.08122205948939</v>
      </c>
      <c r="Z50" s="37">
        <f t="shared" si="12"/>
        <v>286.92086913768355</v>
      </c>
      <c r="AA50" s="37">
        <f t="shared" si="12"/>
        <v>282.00185590917005</v>
      </c>
      <c r="AB50" s="37">
        <f t="shared" si="12"/>
        <v>277.24241373957682</v>
      </c>
    </row>
    <row r="51" spans="1:28" x14ac:dyDescent="0.25">
      <c r="A51" s="4" t="s">
        <v>218</v>
      </c>
      <c r="B51" s="37">
        <f t="shared" ref="B51:AB51" si="13">B31*B15*$F$7</f>
        <v>164.42068612577211</v>
      </c>
      <c r="C51" s="37">
        <f t="shared" si="13"/>
        <v>161.63833974560441</v>
      </c>
      <c r="D51" s="37">
        <f t="shared" si="13"/>
        <v>159.18213246945353</v>
      </c>
      <c r="E51" s="37">
        <f t="shared" si="13"/>
        <v>156.68441682258822</v>
      </c>
      <c r="F51" s="37">
        <f t="shared" si="13"/>
        <v>154.14604190683917</v>
      </c>
      <c r="G51" s="37">
        <f t="shared" si="13"/>
        <v>151.63653927241103</v>
      </c>
      <c r="H51" s="37">
        <f t="shared" si="13"/>
        <v>149.05201419936824</v>
      </c>
      <c r="I51" s="37">
        <f t="shared" si="13"/>
        <v>145.92103217835034</v>
      </c>
      <c r="J51" s="37">
        <f t="shared" si="13"/>
        <v>142.84487636371267</v>
      </c>
      <c r="K51" s="37">
        <f t="shared" si="13"/>
        <v>139.81708507373432</v>
      </c>
      <c r="L51" s="37">
        <f t="shared" si="13"/>
        <v>136.90473683561677</v>
      </c>
      <c r="M51" s="37">
        <f t="shared" si="13"/>
        <v>134.13964569575896</v>
      </c>
      <c r="N51" s="37">
        <f t="shared" si="13"/>
        <v>131.4179105690589</v>
      </c>
      <c r="O51" s="37">
        <f t="shared" si="13"/>
        <v>128.83921923578839</v>
      </c>
      <c r="P51" s="37">
        <f t="shared" si="13"/>
        <v>126.30055035251486</v>
      </c>
      <c r="Q51" s="37">
        <f t="shared" si="13"/>
        <v>123.86710392232325</v>
      </c>
      <c r="R51" s="37">
        <f t="shared" si="13"/>
        <v>121.50329077809046</v>
      </c>
      <c r="S51" s="37">
        <f t="shared" si="13"/>
        <v>119.03959013923834</v>
      </c>
      <c r="T51" s="37">
        <f t="shared" si="13"/>
        <v>116.64631724456503</v>
      </c>
      <c r="U51" s="37">
        <f t="shared" si="13"/>
        <v>114.28812639050855</v>
      </c>
      <c r="V51" s="37">
        <f t="shared" si="13"/>
        <v>112.02786511220451</v>
      </c>
      <c r="W51" s="37">
        <f t="shared" si="13"/>
        <v>109.76479285388127</v>
      </c>
      <c r="X51" s="37">
        <f t="shared" si="13"/>
        <v>107.59402181946174</v>
      </c>
      <c r="Y51" s="37">
        <f t="shared" si="13"/>
        <v>105.5452922431806</v>
      </c>
      <c r="Z51" s="37">
        <f t="shared" si="13"/>
        <v>103.51915047571883</v>
      </c>
      <c r="AA51" s="37">
        <f t="shared" si="13"/>
        <v>101.57761425568273</v>
      </c>
      <c r="AB51" s="37">
        <f t="shared" si="13"/>
        <v>99.654488351325057</v>
      </c>
    </row>
    <row r="52" spans="1:28" x14ac:dyDescent="0.25">
      <c r="A52" s="4" t="s">
        <v>219</v>
      </c>
      <c r="B52" s="37">
        <f t="shared" ref="B52:AB52" si="14">B32*B15*$F$8</f>
        <v>23.117465892232428</v>
      </c>
      <c r="C52" s="37">
        <f t="shared" si="14"/>
        <v>23.116775400250095</v>
      </c>
      <c r="D52" s="37">
        <f t="shared" si="14"/>
        <v>23.155629973839453</v>
      </c>
      <c r="E52" s="37">
        <f t="shared" si="14"/>
        <v>23.223902015547431</v>
      </c>
      <c r="F52" s="37">
        <f t="shared" si="14"/>
        <v>23.295086456833626</v>
      </c>
      <c r="G52" s="37">
        <f t="shared" si="14"/>
        <v>23.369316728721639</v>
      </c>
      <c r="H52" s="37">
        <f t="shared" si="14"/>
        <v>23.446855744727511</v>
      </c>
      <c r="I52" s="37">
        <f t="shared" si="14"/>
        <v>23.429870987872867</v>
      </c>
      <c r="J52" s="37">
        <f t="shared" si="14"/>
        <v>23.416709166068305</v>
      </c>
      <c r="K52" s="37">
        <f t="shared" si="14"/>
        <v>23.458907816110237</v>
      </c>
      <c r="L52" s="37">
        <f t="shared" si="14"/>
        <v>23.451691293498051</v>
      </c>
      <c r="M52" s="37">
        <f t="shared" si="14"/>
        <v>23.44769096934716</v>
      </c>
      <c r="N52" s="37">
        <f t="shared" si="14"/>
        <v>23.446954734419887</v>
      </c>
      <c r="O52" s="37">
        <f t="shared" si="14"/>
        <v>23.449532931268664</v>
      </c>
      <c r="P52" s="37">
        <f t="shared" si="14"/>
        <v>23.429869408667678</v>
      </c>
      <c r="Q52" s="37">
        <f t="shared" si="14"/>
        <v>23.439197962364705</v>
      </c>
      <c r="R52" s="37">
        <f t="shared" si="14"/>
        <v>23.401022628193243</v>
      </c>
      <c r="S52" s="37">
        <f t="shared" si="14"/>
        <v>23.365306924605694</v>
      </c>
      <c r="T52" s="37">
        <f t="shared" si="14"/>
        <v>23.357903935054349</v>
      </c>
      <c r="U52" s="37">
        <f t="shared" si="14"/>
        <v>23.303178034685434</v>
      </c>
      <c r="V52" s="37">
        <f t="shared" si="14"/>
        <v>23.276275054726735</v>
      </c>
      <c r="W52" s="37">
        <f t="shared" si="14"/>
        <v>23.251731358054268</v>
      </c>
      <c r="X52" s="37">
        <f t="shared" si="14"/>
        <v>23.20450584786439</v>
      </c>
      <c r="Y52" s="37">
        <f t="shared" si="14"/>
        <v>23.208522952823571</v>
      </c>
      <c r="Z52" s="37">
        <f t="shared" si="14"/>
        <v>23.164822680352728</v>
      </c>
      <c r="AA52" s="37">
        <f t="shared" si="14"/>
        <v>23.122507548009334</v>
      </c>
      <c r="AB52" s="37">
        <f t="shared" si="14"/>
        <v>23.081263232777367</v>
      </c>
    </row>
    <row r="53" spans="1:28" x14ac:dyDescent="0.25">
      <c r="A53" s="4" t="s">
        <v>220</v>
      </c>
      <c r="B53" s="37">
        <f t="shared" ref="B53:AB53" si="15">B33*B15*$F$9</f>
        <v>39.340401497317764</v>
      </c>
      <c r="C53" s="37">
        <f t="shared" si="15"/>
        <v>39.538359322973484</v>
      </c>
      <c r="D53" s="37">
        <f t="shared" si="15"/>
        <v>39.725565157556481</v>
      </c>
      <c r="E53" s="37">
        <f t="shared" si="15"/>
        <v>39.968553725055962</v>
      </c>
      <c r="F53" s="37">
        <f t="shared" si="15"/>
        <v>40.190458855430528</v>
      </c>
      <c r="G53" s="37">
        <f t="shared" si="15"/>
        <v>40.366008237018924</v>
      </c>
      <c r="H53" s="37">
        <f t="shared" si="15"/>
        <v>40.649670828583012</v>
      </c>
      <c r="I53" s="37">
        <f t="shared" si="15"/>
        <v>40.666510393908553</v>
      </c>
      <c r="J53" s="37">
        <f t="shared" si="15"/>
        <v>40.714877928059742</v>
      </c>
      <c r="K53" s="37">
        <f t="shared" si="15"/>
        <v>40.692120823492857</v>
      </c>
      <c r="L53" s="37">
        <f t="shared" si="15"/>
        <v>40.699992999670592</v>
      </c>
      <c r="M53" s="37">
        <f t="shared" si="15"/>
        <v>40.63823243669129</v>
      </c>
      <c r="N53" s="37">
        <f t="shared" si="15"/>
        <v>40.632417145937602</v>
      </c>
      <c r="O53" s="37">
        <f t="shared" si="15"/>
        <v>40.582803102679229</v>
      </c>
      <c r="P53" s="37">
        <f t="shared" si="15"/>
        <v>40.490038023137814</v>
      </c>
      <c r="Q53" s="37">
        <f t="shared" si="15"/>
        <v>40.354636803485086</v>
      </c>
      <c r="R53" s="37">
        <f t="shared" si="15"/>
        <v>40.226014937669852</v>
      </c>
      <c r="S53" s="37">
        <f t="shared" si="15"/>
        <v>40.034356533671392</v>
      </c>
      <c r="T53" s="37">
        <f t="shared" si="15"/>
        <v>39.752275505221967</v>
      </c>
      <c r="U53" s="37">
        <f t="shared" si="15"/>
        <v>39.525622071067659</v>
      </c>
      <c r="V53" s="37">
        <f t="shared" si="15"/>
        <v>39.256963215827369</v>
      </c>
      <c r="W53" s="37">
        <f t="shared" si="15"/>
        <v>38.994203027011224</v>
      </c>
      <c r="X53" s="37">
        <f t="shared" si="15"/>
        <v>38.784412353603408</v>
      </c>
      <c r="Y53" s="37">
        <f t="shared" si="15"/>
        <v>38.507805196305327</v>
      </c>
      <c r="Z53" s="37">
        <f t="shared" si="15"/>
        <v>38.30663138986624</v>
      </c>
      <c r="AA53" s="37">
        <f t="shared" si="15"/>
        <v>38.038065639068925</v>
      </c>
      <c r="AB53" s="37">
        <f t="shared" si="15"/>
        <v>37.84324254843176</v>
      </c>
    </row>
    <row r="54" spans="1:28" x14ac:dyDescent="0.25">
      <c r="A54" s="4" t="s">
        <v>221</v>
      </c>
      <c r="B54" s="37">
        <f t="shared" ref="B54:AB54" si="16">B34*B15*$F$10</f>
        <v>72.038107327718961</v>
      </c>
      <c r="C54" s="37">
        <f t="shared" si="16"/>
        <v>72.084860542728379</v>
      </c>
      <c r="D54" s="37">
        <f t="shared" si="16"/>
        <v>72.29198054467048</v>
      </c>
      <c r="E54" s="37">
        <f t="shared" si="16"/>
        <v>72.526028350008218</v>
      </c>
      <c r="F54" s="37">
        <f t="shared" si="16"/>
        <v>72.824895391698391</v>
      </c>
      <c r="G54" s="37">
        <f t="shared" si="16"/>
        <v>73.058778693585865</v>
      </c>
      <c r="H54" s="37">
        <f t="shared" si="16"/>
        <v>73.284452952652828</v>
      </c>
      <c r="I54" s="37">
        <f t="shared" si="16"/>
        <v>73.196344185246204</v>
      </c>
      <c r="J54" s="37">
        <f t="shared" si="16"/>
        <v>73.083821522583136</v>
      </c>
      <c r="K54" s="37">
        <f t="shared" si="16"/>
        <v>72.945006706189346</v>
      </c>
      <c r="L54" s="37">
        <f t="shared" si="16"/>
        <v>72.762460205095977</v>
      </c>
      <c r="M54" s="37">
        <f t="shared" si="16"/>
        <v>72.537089869203584</v>
      </c>
      <c r="N54" s="37">
        <f t="shared" si="16"/>
        <v>72.269680795044465</v>
      </c>
      <c r="O54" s="37">
        <f t="shared" si="16"/>
        <v>71.960967552547643</v>
      </c>
      <c r="P54" s="37">
        <f t="shared" si="16"/>
        <v>71.557939636735341</v>
      </c>
      <c r="Q54" s="37">
        <f t="shared" si="16"/>
        <v>71.1150159773822</v>
      </c>
      <c r="R54" s="37">
        <f t="shared" si="16"/>
        <v>70.57924459552045</v>
      </c>
      <c r="S54" s="37">
        <f t="shared" si="16"/>
        <v>69.978298753955627</v>
      </c>
      <c r="T54" s="37">
        <f t="shared" si="16"/>
        <v>69.321219321370648</v>
      </c>
      <c r="U54" s="37">
        <f t="shared" si="16"/>
        <v>68.608098622326168</v>
      </c>
      <c r="V54" s="37">
        <f t="shared" si="16"/>
        <v>67.908395199616564</v>
      </c>
      <c r="W54" s="37">
        <f t="shared" si="16"/>
        <v>67.134245976897503</v>
      </c>
      <c r="X54" s="37">
        <f t="shared" si="16"/>
        <v>66.458169385021776</v>
      </c>
      <c r="Y54" s="37">
        <f t="shared" si="16"/>
        <v>65.775125812646593</v>
      </c>
      <c r="Z54" s="37">
        <f t="shared" si="16"/>
        <v>65.101380330516193</v>
      </c>
      <c r="AA54" s="37">
        <f t="shared" si="16"/>
        <v>64.452943442372586</v>
      </c>
      <c r="AB54" s="37">
        <f t="shared" si="16"/>
        <v>63.845611375239997</v>
      </c>
    </row>
    <row r="55" spans="1:28" x14ac:dyDescent="0.25">
      <c r="A55" s="4" t="s">
        <v>222</v>
      </c>
      <c r="B55" s="37">
        <f t="shared" ref="B55:AB55" si="17">B35*B15*$F$11</f>
        <v>570.34361707785547</v>
      </c>
      <c r="C55" s="37">
        <f t="shared" si="17"/>
        <v>562.78193002037551</v>
      </c>
      <c r="D55" s="37">
        <f t="shared" si="17"/>
        <v>556.09263704725322</v>
      </c>
      <c r="E55" s="37">
        <f t="shared" si="17"/>
        <v>549.40905788198381</v>
      </c>
      <c r="F55" s="37">
        <f t="shared" si="17"/>
        <v>542.51793608012929</v>
      </c>
      <c r="G55" s="37">
        <f t="shared" si="17"/>
        <v>535.80890603810701</v>
      </c>
      <c r="H55" s="37">
        <f t="shared" si="17"/>
        <v>529.11135351203541</v>
      </c>
      <c r="I55" s="37">
        <f t="shared" si="17"/>
        <v>520.2923176895531</v>
      </c>
      <c r="J55" s="37">
        <f t="shared" si="17"/>
        <v>511.55932651545436</v>
      </c>
      <c r="K55" s="37">
        <f t="shared" si="17"/>
        <v>502.84940595624153</v>
      </c>
      <c r="L55" s="37">
        <f t="shared" si="17"/>
        <v>494.2463293796514</v>
      </c>
      <c r="M55" s="37">
        <f t="shared" si="17"/>
        <v>485.70555209418967</v>
      </c>
      <c r="N55" s="37">
        <f t="shared" si="17"/>
        <v>477.30851885120558</v>
      </c>
      <c r="O55" s="37">
        <f t="shared" si="17"/>
        <v>468.88482849547086</v>
      </c>
      <c r="P55" s="37">
        <f t="shared" si="17"/>
        <v>460.55719454365106</v>
      </c>
      <c r="Q55" s="37">
        <f t="shared" si="17"/>
        <v>452.32114819437481</v>
      </c>
      <c r="R55" s="37">
        <f t="shared" si="17"/>
        <v>444.2130275786576</v>
      </c>
      <c r="S55" s="37">
        <f t="shared" si="17"/>
        <v>435.61203681204262</v>
      </c>
      <c r="T55" s="37">
        <f t="shared" si="17"/>
        <v>427.22614492069044</v>
      </c>
      <c r="U55" s="37">
        <f t="shared" si="17"/>
        <v>419.12796733302883</v>
      </c>
      <c r="V55" s="37">
        <f t="shared" si="17"/>
        <v>411.22577467776608</v>
      </c>
      <c r="W55" s="37">
        <f t="shared" si="17"/>
        <v>403.71134382820225</v>
      </c>
      <c r="X55" s="37">
        <f t="shared" si="17"/>
        <v>396.37194667282012</v>
      </c>
      <c r="Y55" s="37">
        <f t="shared" si="17"/>
        <v>389.32061890649913</v>
      </c>
      <c r="Z55" s="37">
        <f t="shared" si="17"/>
        <v>382.5078513342915</v>
      </c>
      <c r="AA55" s="37">
        <f t="shared" si="17"/>
        <v>375.88517759515651</v>
      </c>
      <c r="AB55" s="37">
        <f t="shared" si="17"/>
        <v>369.48431194890293</v>
      </c>
    </row>
    <row r="57" spans="1:28" x14ac:dyDescent="0.25">
      <c r="A57" s="4" t="s">
        <v>327</v>
      </c>
    </row>
    <row r="58" spans="1:28" x14ac:dyDescent="0.25">
      <c r="A58" s="4" t="s">
        <v>215</v>
      </c>
      <c r="B58" s="37">
        <f t="shared" ref="B58:AB58" si="18">B38*B15*$F$4</f>
        <v>57550.308020516888</v>
      </c>
      <c r="C58" s="37">
        <f t="shared" si="18"/>
        <v>58393.37780453101</v>
      </c>
      <c r="D58" s="37">
        <f t="shared" si="18"/>
        <v>59323.246636650336</v>
      </c>
      <c r="E58" s="37">
        <f t="shared" si="18"/>
        <v>60253.102168645819</v>
      </c>
      <c r="F58" s="37">
        <f t="shared" si="18"/>
        <v>61188.161823865783</v>
      </c>
      <c r="G58" s="37">
        <f t="shared" si="18"/>
        <v>62130.276711849656</v>
      </c>
      <c r="H58" s="37">
        <f t="shared" si="18"/>
        <v>63075.244391444241</v>
      </c>
      <c r="I58" s="37">
        <f t="shared" si="18"/>
        <v>63752.415600187502</v>
      </c>
      <c r="J58" s="37">
        <f t="shared" si="18"/>
        <v>64413.660539336524</v>
      </c>
      <c r="K58" s="37">
        <f t="shared" si="18"/>
        <v>65058.095871714126</v>
      </c>
      <c r="L58" s="37">
        <f t="shared" si="18"/>
        <v>65680.483391572983</v>
      </c>
      <c r="M58" s="37">
        <f t="shared" si="18"/>
        <v>66280.030408388062</v>
      </c>
      <c r="N58" s="37">
        <f t="shared" si="18"/>
        <v>66850.295881521408</v>
      </c>
      <c r="O58" s="37">
        <f t="shared" si="18"/>
        <v>67389.146737125207</v>
      </c>
      <c r="P58" s="37">
        <f t="shared" si="18"/>
        <v>67888.357318265073</v>
      </c>
      <c r="Q58" s="37">
        <f t="shared" si="18"/>
        <v>68347.023056632039</v>
      </c>
      <c r="R58" s="37">
        <f t="shared" si="18"/>
        <v>68755.275139081103</v>
      </c>
      <c r="S58" s="37">
        <f t="shared" si="18"/>
        <v>69036.329463436196</v>
      </c>
      <c r="T58" s="37">
        <f t="shared" si="18"/>
        <v>69264.084692035205</v>
      </c>
      <c r="U58" s="37">
        <f t="shared" si="18"/>
        <v>69442.792001574227</v>
      </c>
      <c r="V58" s="37">
        <f t="shared" si="18"/>
        <v>69556.292708605572</v>
      </c>
      <c r="W58" s="37">
        <f t="shared" si="18"/>
        <v>69609.275125551358</v>
      </c>
      <c r="X58" s="37">
        <f t="shared" si="18"/>
        <v>69598.451845497169</v>
      </c>
      <c r="Y58" s="37">
        <f t="shared" si="18"/>
        <v>69552.986515667726</v>
      </c>
      <c r="Z58" s="37">
        <f t="shared" si="18"/>
        <v>69447.792372001408</v>
      </c>
      <c r="AA58" s="37">
        <f t="shared" si="18"/>
        <v>69287.594857781602</v>
      </c>
      <c r="AB58" s="37">
        <f t="shared" si="18"/>
        <v>69079.061090853051</v>
      </c>
    </row>
    <row r="59" spans="1:28" x14ac:dyDescent="0.25">
      <c r="A59" s="4" t="s">
        <v>216</v>
      </c>
      <c r="B59" s="37">
        <f t="shared" ref="B59:AB59" si="19">B39*B15*$F$5</f>
        <v>54655.674080246492</v>
      </c>
      <c r="C59" s="37">
        <f t="shared" si="19"/>
        <v>55312.702975760847</v>
      </c>
      <c r="D59" s="37">
        <f t="shared" si="19"/>
        <v>56056.687826224857</v>
      </c>
      <c r="E59" s="37">
        <f t="shared" si="19"/>
        <v>56829.875350471135</v>
      </c>
      <c r="F59" s="37">
        <f t="shared" si="19"/>
        <v>57648.302558611394</v>
      </c>
      <c r="G59" s="37">
        <f t="shared" si="19"/>
        <v>58514.974854799671</v>
      </c>
      <c r="H59" s="37">
        <f t="shared" si="19"/>
        <v>59435.262000633367</v>
      </c>
      <c r="I59" s="37">
        <f t="shared" si="19"/>
        <v>60151.610406722953</v>
      </c>
      <c r="J59" s="37">
        <f t="shared" si="19"/>
        <v>60906.148385519635</v>
      </c>
      <c r="K59" s="37">
        <f t="shared" si="19"/>
        <v>61682.938838901209</v>
      </c>
      <c r="L59" s="37">
        <f t="shared" si="19"/>
        <v>62480.483627607515</v>
      </c>
      <c r="M59" s="37">
        <f t="shared" si="19"/>
        <v>63294.786110636895</v>
      </c>
      <c r="N59" s="37">
        <f t="shared" si="19"/>
        <v>64112.232729619682</v>
      </c>
      <c r="O59" s="37">
        <f t="shared" si="19"/>
        <v>64920.067769066613</v>
      </c>
      <c r="P59" s="37">
        <f t="shared" si="19"/>
        <v>65715.627812680643</v>
      </c>
      <c r="Q59" s="37">
        <f t="shared" si="19"/>
        <v>66481.063781182354</v>
      </c>
      <c r="R59" s="37">
        <f t="shared" si="19"/>
        <v>67211.709561212148</v>
      </c>
      <c r="S59" s="37">
        <f t="shared" si="19"/>
        <v>67819.238132163911</v>
      </c>
      <c r="T59" s="37">
        <f t="shared" si="19"/>
        <v>68374.231815398554</v>
      </c>
      <c r="U59" s="37">
        <f t="shared" si="19"/>
        <v>68870.993943918962</v>
      </c>
      <c r="V59" s="37">
        <f t="shared" si="19"/>
        <v>69294.621351179609</v>
      </c>
      <c r="W59" s="37">
        <f t="shared" si="19"/>
        <v>69631.967746426555</v>
      </c>
      <c r="X59" s="37">
        <f t="shared" si="19"/>
        <v>69887.574520838461</v>
      </c>
      <c r="Y59" s="37">
        <f t="shared" si="19"/>
        <v>70094.660211322247</v>
      </c>
      <c r="Z59" s="37">
        <f t="shared" si="19"/>
        <v>70223.568302571628</v>
      </c>
      <c r="AA59" s="37">
        <f t="shared" si="19"/>
        <v>70264.190334958053</v>
      </c>
      <c r="AB59" s="37">
        <f t="shared" si="19"/>
        <v>70218.48105411412</v>
      </c>
    </row>
    <row r="60" spans="1:28" x14ac:dyDescent="0.25">
      <c r="A60" s="4" t="s">
        <v>217</v>
      </c>
      <c r="B60" s="37">
        <f t="shared" ref="B60:AB60" si="20">B40*B15*$F$6</f>
        <v>96732.158312541505</v>
      </c>
      <c r="C60" s="37">
        <f t="shared" si="20"/>
        <v>98006.247467955865</v>
      </c>
      <c r="D60" s="37">
        <f t="shared" si="20"/>
        <v>99422.120989712683</v>
      </c>
      <c r="E60" s="37">
        <f t="shared" si="20"/>
        <v>100853.67730790885</v>
      </c>
      <c r="F60" s="37">
        <f t="shared" si="20"/>
        <v>102321.64983104459</v>
      </c>
      <c r="G60" s="37">
        <f t="shared" si="20"/>
        <v>103826.53989204305</v>
      </c>
      <c r="H60" s="37">
        <f t="shared" si="20"/>
        <v>105372.24915214076</v>
      </c>
      <c r="I60" s="37">
        <f t="shared" si="20"/>
        <v>106502.60851714402</v>
      </c>
      <c r="J60" s="37">
        <f t="shared" si="20"/>
        <v>107644.26538908257</v>
      </c>
      <c r="K60" s="37">
        <f t="shared" si="20"/>
        <v>108778.23084452579</v>
      </c>
      <c r="L60" s="37">
        <f t="shared" si="20"/>
        <v>109898.97772690492</v>
      </c>
      <c r="M60" s="37">
        <f t="shared" si="20"/>
        <v>111002.54082079364</v>
      </c>
      <c r="N60" s="37">
        <f t="shared" si="20"/>
        <v>112069.19370181553</v>
      </c>
      <c r="O60" s="37">
        <f t="shared" si="20"/>
        <v>113088.39545593213</v>
      </c>
      <c r="P60" s="37">
        <f t="shared" si="20"/>
        <v>114046.27688356662</v>
      </c>
      <c r="Q60" s="37">
        <f t="shared" si="20"/>
        <v>114928.33050923479</v>
      </c>
      <c r="R60" s="37">
        <f t="shared" si="20"/>
        <v>115720.8137318768</v>
      </c>
      <c r="S60" s="37">
        <f t="shared" si="20"/>
        <v>116283.50642062779</v>
      </c>
      <c r="T60" s="37">
        <f t="shared" si="20"/>
        <v>116740.3132434133</v>
      </c>
      <c r="U60" s="37">
        <f t="shared" si="20"/>
        <v>117092.1028884839</v>
      </c>
      <c r="V60" s="37">
        <f t="shared" si="20"/>
        <v>117308.77644856654</v>
      </c>
      <c r="W60" s="37">
        <f t="shared" si="20"/>
        <v>117382.79123167094</v>
      </c>
      <c r="X60" s="37">
        <f t="shared" si="20"/>
        <v>117317.92099216017</v>
      </c>
      <c r="Y60" s="37">
        <f t="shared" si="20"/>
        <v>117175.06582822371</v>
      </c>
      <c r="Z60" s="37">
        <f t="shared" si="20"/>
        <v>116902.50998645219</v>
      </c>
      <c r="AA60" s="37">
        <f t="shared" si="20"/>
        <v>116494.12235914427</v>
      </c>
      <c r="AB60" s="37">
        <f t="shared" si="20"/>
        <v>115960.92882350621</v>
      </c>
    </row>
    <row r="61" spans="1:28" x14ac:dyDescent="0.25">
      <c r="A61" s="4" t="s">
        <v>218</v>
      </c>
      <c r="B61" s="37">
        <f t="shared" ref="B61:AB61" si="21">B41*B15*$F$7</f>
        <v>12711.638098972049</v>
      </c>
      <c r="C61" s="37">
        <f t="shared" si="21"/>
        <v>12858.216096946109</v>
      </c>
      <c r="D61" s="37">
        <f t="shared" si="21"/>
        <v>13025.594553338347</v>
      </c>
      <c r="E61" s="37">
        <f t="shared" si="21"/>
        <v>13194.545177216589</v>
      </c>
      <c r="F61" s="37">
        <f t="shared" si="21"/>
        <v>13369.407192433644</v>
      </c>
      <c r="G61" s="37">
        <f t="shared" si="21"/>
        <v>13550.571081536036</v>
      </c>
      <c r="H61" s="37">
        <f t="shared" si="21"/>
        <v>13737.743176256794</v>
      </c>
      <c r="I61" s="37">
        <f t="shared" si="21"/>
        <v>13873.459423578479</v>
      </c>
      <c r="J61" s="37">
        <f t="shared" si="21"/>
        <v>14013.694760201039</v>
      </c>
      <c r="K61" s="37">
        <f t="shared" si="21"/>
        <v>14157.541158925513</v>
      </c>
      <c r="L61" s="37">
        <f t="shared" si="21"/>
        <v>14305.011720785966</v>
      </c>
      <c r="M61" s="37">
        <f t="shared" si="21"/>
        <v>14455.369834073565</v>
      </c>
      <c r="N61" s="37">
        <f t="shared" si="21"/>
        <v>14609.302313648406</v>
      </c>
      <c r="O61" s="37">
        <f t="shared" si="21"/>
        <v>14763.11859412338</v>
      </c>
      <c r="P61" s="37">
        <f t="shared" si="21"/>
        <v>14918.46564322929</v>
      </c>
      <c r="Q61" s="37">
        <f t="shared" si="21"/>
        <v>15072.331970946672</v>
      </c>
      <c r="R61" s="37">
        <f t="shared" si="21"/>
        <v>15224.392236863261</v>
      </c>
      <c r="S61" s="37">
        <f t="shared" si="21"/>
        <v>15357.396723521586</v>
      </c>
      <c r="T61" s="37">
        <f t="shared" si="21"/>
        <v>15485.358147904823</v>
      </c>
      <c r="U61" s="37">
        <f t="shared" si="21"/>
        <v>15608.553541216119</v>
      </c>
      <c r="V61" s="37">
        <f t="shared" si="21"/>
        <v>15725.202011815809</v>
      </c>
      <c r="W61" s="37">
        <f t="shared" si="21"/>
        <v>15832.442536218343</v>
      </c>
      <c r="X61" s="37">
        <f t="shared" si="21"/>
        <v>15929.28522555876</v>
      </c>
      <c r="Y61" s="37">
        <f t="shared" si="21"/>
        <v>16019.816524368178</v>
      </c>
      <c r="Z61" s="37">
        <f t="shared" si="21"/>
        <v>16099.666663833592</v>
      </c>
      <c r="AA61" s="37">
        <f t="shared" si="21"/>
        <v>16168.771768477796</v>
      </c>
      <c r="AB61" s="37">
        <f t="shared" si="21"/>
        <v>16225.533659297851</v>
      </c>
    </row>
    <row r="62" spans="1:28" x14ac:dyDescent="0.25">
      <c r="A62" s="4" t="s">
        <v>219</v>
      </c>
      <c r="B62" s="37">
        <f t="shared" ref="B62:AB62" si="22">B42*B15*$F$8</f>
        <v>3271.6986891593469</v>
      </c>
      <c r="C62" s="37">
        <f t="shared" si="22"/>
        <v>3337.002848923602</v>
      </c>
      <c r="D62" s="37">
        <f t="shared" si="22"/>
        <v>3409.9936837368782</v>
      </c>
      <c r="E62" s="37">
        <f t="shared" si="22"/>
        <v>3488.1447595590475</v>
      </c>
      <c r="F62" s="37">
        <f t="shared" si="22"/>
        <v>3572.4812131081035</v>
      </c>
      <c r="G62" s="37">
        <f t="shared" si="22"/>
        <v>3662.9476468900484</v>
      </c>
      <c r="H62" s="37">
        <f t="shared" si="22"/>
        <v>3759.8082055075902</v>
      </c>
      <c r="I62" s="37">
        <f t="shared" si="22"/>
        <v>3847.0157618972003</v>
      </c>
      <c r="J62" s="37">
        <f t="shared" si="22"/>
        <v>3937.8967840707187</v>
      </c>
      <c r="K62" s="37">
        <f t="shared" si="22"/>
        <v>4031.636913172711</v>
      </c>
      <c r="L62" s="37">
        <f t="shared" si="22"/>
        <v>4129.2415781070049</v>
      </c>
      <c r="M62" s="37">
        <f t="shared" si="22"/>
        <v>4229.8857237178436</v>
      </c>
      <c r="N62" s="37">
        <f t="shared" si="22"/>
        <v>4333.0178703045003</v>
      </c>
      <c r="O62" s="37">
        <f t="shared" si="22"/>
        <v>4437.8690543210505</v>
      </c>
      <c r="P62" s="37">
        <f t="shared" si="22"/>
        <v>4544.0390068987126</v>
      </c>
      <c r="Q62" s="37">
        <f t="shared" si="22"/>
        <v>4650.668081791322</v>
      </c>
      <c r="R62" s="37">
        <f t="shared" si="22"/>
        <v>4757.3365297244181</v>
      </c>
      <c r="S62" s="37">
        <f t="shared" si="22"/>
        <v>4857.7609786862386</v>
      </c>
      <c r="T62" s="37">
        <f t="shared" si="22"/>
        <v>4957.2562493468085</v>
      </c>
      <c r="U62" s="37">
        <f t="shared" si="22"/>
        <v>5054.7621819469223</v>
      </c>
      <c r="V62" s="37">
        <f t="shared" si="22"/>
        <v>5150.4615008944638</v>
      </c>
      <c r="W62" s="37">
        <f t="shared" si="22"/>
        <v>5244.0222812267448</v>
      </c>
      <c r="X62" s="37">
        <f t="shared" si="22"/>
        <v>5335.8995960535358</v>
      </c>
      <c r="Y62" s="37">
        <f t="shared" si="22"/>
        <v>5425.7490398840155</v>
      </c>
      <c r="Z62" s="37">
        <f t="shared" si="22"/>
        <v>5513.7425717612896</v>
      </c>
      <c r="AA62" s="37">
        <f t="shared" si="22"/>
        <v>5599.8220629336865</v>
      </c>
      <c r="AB62" s="37">
        <f t="shared" si="22"/>
        <v>5683.5847389761284</v>
      </c>
    </row>
    <row r="63" spans="1:28" x14ac:dyDescent="0.25">
      <c r="A63" s="4" t="s">
        <v>220</v>
      </c>
      <c r="B63" s="37">
        <f t="shared" ref="B63:AB63" si="23">B43*B15*$F$9</f>
        <v>1734.6318138471472</v>
      </c>
      <c r="C63" s="37">
        <f t="shared" si="23"/>
        <v>1766.7784300212834</v>
      </c>
      <c r="D63" s="37">
        <f t="shared" si="23"/>
        <v>1803.2725557016438</v>
      </c>
      <c r="E63" s="37">
        <f t="shared" si="23"/>
        <v>1843.1860146046736</v>
      </c>
      <c r="F63" s="37">
        <f t="shared" si="23"/>
        <v>1883.478057422494</v>
      </c>
      <c r="G63" s="37">
        <f t="shared" si="23"/>
        <v>1926.8417638174208</v>
      </c>
      <c r="H63" s="37">
        <f t="shared" si="23"/>
        <v>1971.5346654957518</v>
      </c>
      <c r="I63" s="37">
        <f t="shared" si="23"/>
        <v>2008.7726359905162</v>
      </c>
      <c r="J63" s="37">
        <f t="shared" si="23"/>
        <v>2046.7280348097472</v>
      </c>
      <c r="K63" s="37">
        <f t="shared" si="23"/>
        <v>2087.5916252990296</v>
      </c>
      <c r="L63" s="37">
        <f t="shared" si="23"/>
        <v>2129.3382140043709</v>
      </c>
      <c r="M63" s="37">
        <f t="shared" si="23"/>
        <v>2172.6074345661495</v>
      </c>
      <c r="N63" s="37">
        <f t="shared" si="23"/>
        <v>2216.4336222933844</v>
      </c>
      <c r="O63" s="37">
        <f t="shared" si="23"/>
        <v>2260.9852220956327</v>
      </c>
      <c r="P63" s="37">
        <f t="shared" si="23"/>
        <v>2306.8458492255518</v>
      </c>
      <c r="Q63" s="37">
        <f t="shared" si="23"/>
        <v>2353.7007908197224</v>
      </c>
      <c r="R63" s="37">
        <f t="shared" si="23"/>
        <v>2401.091321593155</v>
      </c>
      <c r="S63" s="37">
        <f t="shared" si="23"/>
        <v>2445.5335343464321</v>
      </c>
      <c r="T63" s="37">
        <f t="shared" si="23"/>
        <v>2490.341728307907</v>
      </c>
      <c r="U63" s="37">
        <f t="shared" si="23"/>
        <v>2534.858354337664</v>
      </c>
      <c r="V63" s="37">
        <f t="shared" si="23"/>
        <v>2578.3550080748187</v>
      </c>
      <c r="W63" s="37">
        <f t="shared" si="23"/>
        <v>2622.4080579928277</v>
      </c>
      <c r="X63" s="37">
        <f t="shared" si="23"/>
        <v>2665.7485487247009</v>
      </c>
      <c r="Y63" s="37">
        <f t="shared" si="23"/>
        <v>2709.1345590358123</v>
      </c>
      <c r="Z63" s="37">
        <f t="shared" si="23"/>
        <v>2751.5234533409111</v>
      </c>
      <c r="AA63" s="37">
        <f t="shared" si="23"/>
        <v>2793.3232291232989</v>
      </c>
      <c r="AB63" s="37">
        <f t="shared" si="23"/>
        <v>2834.956557164156</v>
      </c>
    </row>
    <row r="64" spans="1:28" x14ac:dyDescent="0.25">
      <c r="A64" s="4" t="s">
        <v>221</v>
      </c>
      <c r="B64" s="37">
        <f t="shared" ref="B64:AB64" si="24">B44*B15*$F$10</f>
        <v>4690.4478681565306</v>
      </c>
      <c r="C64" s="37">
        <f t="shared" si="24"/>
        <v>4838.8434426386466</v>
      </c>
      <c r="D64" s="37">
        <f t="shared" si="24"/>
        <v>4997.8850869614434</v>
      </c>
      <c r="E64" s="37">
        <f t="shared" si="24"/>
        <v>5160.8955571692804</v>
      </c>
      <c r="F64" s="37">
        <f t="shared" si="24"/>
        <v>5327.9519164520416</v>
      </c>
      <c r="G64" s="37">
        <f t="shared" si="24"/>
        <v>5499.725205244863</v>
      </c>
      <c r="H64" s="37">
        <f t="shared" si="24"/>
        <v>5678.0334149124355</v>
      </c>
      <c r="I64" s="37">
        <f t="shared" si="24"/>
        <v>5838.5109145069537</v>
      </c>
      <c r="J64" s="37">
        <f t="shared" si="24"/>
        <v>6002.6766204893602</v>
      </c>
      <c r="K64" s="37">
        <f t="shared" si="24"/>
        <v>6171.8819498303674</v>
      </c>
      <c r="L64" s="37">
        <f t="shared" si="24"/>
        <v>6347.1337662865053</v>
      </c>
      <c r="M64" s="37">
        <f t="shared" si="24"/>
        <v>6526.8359478942048</v>
      </c>
      <c r="N64" s="37">
        <f t="shared" si="24"/>
        <v>6712.6479502861603</v>
      </c>
      <c r="O64" s="37">
        <f t="shared" si="24"/>
        <v>6903.4088408562939</v>
      </c>
      <c r="P64" s="37">
        <f t="shared" si="24"/>
        <v>7098.779884926762</v>
      </c>
      <c r="Q64" s="37">
        <f t="shared" si="24"/>
        <v>7299.0416473802743</v>
      </c>
      <c r="R64" s="37">
        <f t="shared" si="24"/>
        <v>7502.6924849647103</v>
      </c>
      <c r="S64" s="37">
        <f t="shared" si="24"/>
        <v>7701.0006171864461</v>
      </c>
      <c r="T64" s="37">
        <f t="shared" si="24"/>
        <v>7901.9867341043127</v>
      </c>
      <c r="U64" s="37">
        <f t="shared" si="24"/>
        <v>8105.0922135467008</v>
      </c>
      <c r="V64" s="37">
        <f t="shared" si="24"/>
        <v>8309.2127459283711</v>
      </c>
      <c r="W64" s="37">
        <f t="shared" si="24"/>
        <v>8513.1874754422133</v>
      </c>
      <c r="X64" s="37">
        <f t="shared" si="24"/>
        <v>8718.034445513691</v>
      </c>
      <c r="Y64" s="37">
        <f t="shared" si="24"/>
        <v>8921.9849368443902</v>
      </c>
      <c r="Z64" s="37">
        <f t="shared" si="24"/>
        <v>9124.9122005297377</v>
      </c>
      <c r="AA64" s="37">
        <f t="shared" si="24"/>
        <v>9324.7666883580114</v>
      </c>
      <c r="AB64" s="37">
        <f t="shared" si="24"/>
        <v>9521.3038394457508</v>
      </c>
    </row>
    <row r="65" spans="1:28" x14ac:dyDescent="0.25">
      <c r="A65" s="4" t="s">
        <v>222</v>
      </c>
      <c r="B65" s="37">
        <f t="shared" ref="B65:AB65" si="25">B45*B15*$F$11</f>
        <v>115367.2432339847</v>
      </c>
      <c r="C65" s="37">
        <f t="shared" si="25"/>
        <v>116711.17381202329</v>
      </c>
      <c r="D65" s="37">
        <f t="shared" si="25"/>
        <v>118225.8587567518</v>
      </c>
      <c r="E65" s="37">
        <f t="shared" si="25"/>
        <v>119763.98317342084</v>
      </c>
      <c r="F65" s="37">
        <f t="shared" si="25"/>
        <v>121349.2198044414</v>
      </c>
      <c r="G65" s="37">
        <f t="shared" si="25"/>
        <v>122985.46571672923</v>
      </c>
      <c r="H65" s="37">
        <f t="shared" si="25"/>
        <v>124669.74864189287</v>
      </c>
      <c r="I65" s="37">
        <f t="shared" si="25"/>
        <v>125864.30383659733</v>
      </c>
      <c r="J65" s="37">
        <f t="shared" si="25"/>
        <v>127075.009002105</v>
      </c>
      <c r="K65" s="37">
        <f t="shared" si="25"/>
        <v>128279.88338913642</v>
      </c>
      <c r="L65" s="37">
        <f t="shared" si="25"/>
        <v>129468.98261975289</v>
      </c>
      <c r="M65" s="37">
        <f t="shared" si="25"/>
        <v>130640.64920188757</v>
      </c>
      <c r="N65" s="37">
        <f t="shared" si="25"/>
        <v>131768.49958927926</v>
      </c>
      <c r="O65" s="37">
        <f t="shared" si="25"/>
        <v>132838.54389725698</v>
      </c>
      <c r="P65" s="37">
        <f t="shared" si="25"/>
        <v>133839.2838706403</v>
      </c>
      <c r="Q65" s="37">
        <f t="shared" si="25"/>
        <v>134749.06550203165</v>
      </c>
      <c r="R65" s="37">
        <f t="shared" si="25"/>
        <v>135554.9951085597</v>
      </c>
      <c r="S65" s="37">
        <f t="shared" si="25"/>
        <v>136091.6601959361</v>
      </c>
      <c r="T65" s="37">
        <f t="shared" si="25"/>
        <v>136503.00186967559</v>
      </c>
      <c r="U65" s="37">
        <f t="shared" si="25"/>
        <v>136788.75233417639</v>
      </c>
      <c r="V65" s="37">
        <f t="shared" si="25"/>
        <v>136916.5203259619</v>
      </c>
      <c r="W65" s="37">
        <f t="shared" si="25"/>
        <v>136879.59511682545</v>
      </c>
      <c r="X65" s="37">
        <f t="shared" si="25"/>
        <v>136676.97304567668</v>
      </c>
      <c r="Y65" s="37">
        <f t="shared" si="25"/>
        <v>136382.9395988358</v>
      </c>
      <c r="Z65" s="37">
        <f t="shared" si="25"/>
        <v>135936.21691622751</v>
      </c>
      <c r="AA65" s="37">
        <f t="shared" si="25"/>
        <v>135335.6035617849</v>
      </c>
      <c r="AB65" s="37">
        <f t="shared" si="25"/>
        <v>134591.39828248814</v>
      </c>
    </row>
    <row r="67" spans="1:28" x14ac:dyDescent="0.25">
      <c r="A67" s="4" t="s">
        <v>328</v>
      </c>
    </row>
    <row r="68" spans="1:28" x14ac:dyDescent="0.25">
      <c r="A68" s="4" t="s">
        <v>329</v>
      </c>
      <c r="B68" s="40">
        <f t="shared" ref="B68:AB68" si="26">B48+B49</f>
        <v>655.39461665252838</v>
      </c>
      <c r="C68" s="40">
        <f t="shared" si="26"/>
        <v>648.77859923548567</v>
      </c>
      <c r="D68" s="40">
        <f t="shared" si="26"/>
        <v>643.26890126220735</v>
      </c>
      <c r="E68" s="40">
        <f t="shared" si="26"/>
        <v>637.81966959420743</v>
      </c>
      <c r="F68" s="40">
        <f t="shared" si="26"/>
        <v>632.31991151430077</v>
      </c>
      <c r="G68" s="40">
        <f t="shared" si="26"/>
        <v>626.84798691950198</v>
      </c>
      <c r="H68" s="40">
        <f t="shared" si="26"/>
        <v>621.36942482463826</v>
      </c>
      <c r="I68" s="40">
        <f t="shared" si="26"/>
        <v>613.35656948207077</v>
      </c>
      <c r="J68" s="40">
        <f t="shared" si="26"/>
        <v>605.37160533484962</v>
      </c>
      <c r="K68" s="40">
        <f t="shared" si="26"/>
        <v>597.35126313849037</v>
      </c>
      <c r="L68" s="40">
        <f t="shared" si="26"/>
        <v>589.33695766152096</v>
      </c>
      <c r="M68" s="40">
        <f t="shared" si="26"/>
        <v>581.28798160237909</v>
      </c>
      <c r="N68" s="40">
        <f t="shared" si="26"/>
        <v>573.27836148650044</v>
      </c>
      <c r="O68" s="40">
        <f t="shared" si="26"/>
        <v>565.16292083399844</v>
      </c>
      <c r="P68" s="40">
        <f t="shared" si="26"/>
        <v>556.93521911321625</v>
      </c>
      <c r="Q68" s="40">
        <f t="shared" si="26"/>
        <v>548.7079111083583</v>
      </c>
      <c r="R68" s="40">
        <f t="shared" si="26"/>
        <v>540.40148411850726</v>
      </c>
      <c r="S68" s="40">
        <f t="shared" si="26"/>
        <v>531.5231041639521</v>
      </c>
      <c r="T68" s="40">
        <f t="shared" si="26"/>
        <v>522.71935928244204</v>
      </c>
      <c r="U68" s="40">
        <f t="shared" si="26"/>
        <v>514.05536927930075</v>
      </c>
      <c r="V68" s="40">
        <f t="shared" si="26"/>
        <v>505.59358234807468</v>
      </c>
      <c r="W68" s="40">
        <f t="shared" si="26"/>
        <v>497.32242816250971</v>
      </c>
      <c r="X68" s="40">
        <f t="shared" si="26"/>
        <v>489.40777628025251</v>
      </c>
      <c r="Y68" s="40">
        <f t="shared" si="26"/>
        <v>481.73542654603477</v>
      </c>
      <c r="Z68" s="40">
        <f t="shared" si="26"/>
        <v>474.29311947664496</v>
      </c>
      <c r="AA68" s="40">
        <f t="shared" si="26"/>
        <v>467.07239270259493</v>
      </c>
      <c r="AB68" s="40">
        <f t="shared" si="26"/>
        <v>460.13482926780046</v>
      </c>
    </row>
    <row r="69" spans="1:28" x14ac:dyDescent="0.25">
      <c r="A69" s="4" t="s">
        <v>330</v>
      </c>
      <c r="B69" s="40">
        <f t="shared" ref="B69:AB69" si="27">B50+B51+B52+B53</f>
        <v>633.66260604527656</v>
      </c>
      <c r="C69" s="40">
        <f t="shared" si="27"/>
        <v>626.98018401783986</v>
      </c>
      <c r="D69" s="40">
        <f t="shared" si="27"/>
        <v>621.4041771924642</v>
      </c>
      <c r="E69" s="40">
        <f t="shared" si="27"/>
        <v>615.85121448508119</v>
      </c>
      <c r="F69" s="40">
        <f t="shared" si="27"/>
        <v>610.26254875158656</v>
      </c>
      <c r="G69" s="40">
        <f t="shared" si="27"/>
        <v>604.72394256454345</v>
      </c>
      <c r="H69" s="40">
        <f t="shared" si="27"/>
        <v>599.1253825978298</v>
      </c>
      <c r="I69" s="40">
        <f t="shared" si="27"/>
        <v>591.13359551575923</v>
      </c>
      <c r="J69" s="40">
        <f t="shared" si="27"/>
        <v>583.13921770993477</v>
      </c>
      <c r="K69" s="40">
        <f t="shared" si="27"/>
        <v>575.11279951615768</v>
      </c>
      <c r="L69" s="40">
        <f t="shared" si="27"/>
        <v>567.07952751617438</v>
      </c>
      <c r="M69" s="40">
        <f t="shared" si="27"/>
        <v>559.02485021705013</v>
      </c>
      <c r="N69" s="40">
        <f t="shared" si="27"/>
        <v>550.97121785730997</v>
      </c>
      <c r="O69" s="40">
        <f t="shared" si="27"/>
        <v>542.80076014397594</v>
      </c>
      <c r="P69" s="40">
        <f t="shared" si="27"/>
        <v>534.54418543040435</v>
      </c>
      <c r="Q69" s="40">
        <f t="shared" si="27"/>
        <v>526.27784010868834</v>
      </c>
      <c r="R69" s="40">
        <f t="shared" si="27"/>
        <v>517.9375893961942</v>
      </c>
      <c r="S69" s="40">
        <f t="shared" si="27"/>
        <v>509.0411312014906</v>
      </c>
      <c r="T69" s="40">
        <f t="shared" si="27"/>
        <v>500.25072710540377</v>
      </c>
      <c r="U69" s="40">
        <f t="shared" si="27"/>
        <v>491.59564727456257</v>
      </c>
      <c r="V69" s="40">
        <f t="shared" si="27"/>
        <v>483.14836794316341</v>
      </c>
      <c r="W69" s="40">
        <f t="shared" si="27"/>
        <v>474.89980939468563</v>
      </c>
      <c r="X69" s="40">
        <f t="shared" si="27"/>
        <v>466.9973363682426</v>
      </c>
      <c r="Y69" s="40">
        <f t="shared" si="27"/>
        <v>459.3428424517989</v>
      </c>
      <c r="Z69" s="40">
        <f t="shared" si="27"/>
        <v>451.91147368362141</v>
      </c>
      <c r="AA69" s="40">
        <f t="shared" si="27"/>
        <v>444.74004335193098</v>
      </c>
      <c r="AB69" s="40">
        <f t="shared" si="27"/>
        <v>437.82140787211102</v>
      </c>
    </row>
    <row r="70" spans="1:28" x14ac:dyDescent="0.25">
      <c r="A70" s="4" t="s">
        <v>331</v>
      </c>
      <c r="B70" s="40">
        <f t="shared" ref="B70:AB70" si="28">B54+B55</f>
        <v>642.38172440557446</v>
      </c>
      <c r="C70" s="40">
        <f t="shared" si="28"/>
        <v>634.8667905631039</v>
      </c>
      <c r="D70" s="40">
        <f t="shared" si="28"/>
        <v>628.38461759192364</v>
      </c>
      <c r="E70" s="40">
        <f t="shared" si="28"/>
        <v>621.93508623199205</v>
      </c>
      <c r="F70" s="40">
        <f t="shared" si="28"/>
        <v>615.34283147182771</v>
      </c>
      <c r="G70" s="40">
        <f t="shared" si="28"/>
        <v>608.86768473169286</v>
      </c>
      <c r="H70" s="40">
        <f t="shared" si="28"/>
        <v>602.39580646468823</v>
      </c>
      <c r="I70" s="40">
        <f t="shared" si="28"/>
        <v>593.48866187479928</v>
      </c>
      <c r="J70" s="40">
        <f t="shared" si="28"/>
        <v>584.64314803803745</v>
      </c>
      <c r="K70" s="40">
        <f t="shared" si="28"/>
        <v>575.79441266243089</v>
      </c>
      <c r="L70" s="40">
        <f t="shared" si="28"/>
        <v>567.00878958474732</v>
      </c>
      <c r="M70" s="40">
        <f t="shared" si="28"/>
        <v>558.24264196339323</v>
      </c>
      <c r="N70" s="40">
        <f t="shared" si="28"/>
        <v>549.57819964625003</v>
      </c>
      <c r="O70" s="40">
        <f t="shared" si="28"/>
        <v>540.84579604801854</v>
      </c>
      <c r="P70" s="40">
        <f t="shared" si="28"/>
        <v>532.11513418038635</v>
      </c>
      <c r="Q70" s="40">
        <f t="shared" si="28"/>
        <v>523.43616417175701</v>
      </c>
      <c r="R70" s="40">
        <f t="shared" si="28"/>
        <v>514.79227217417804</v>
      </c>
      <c r="S70" s="40">
        <f t="shared" si="28"/>
        <v>505.59033556599826</v>
      </c>
      <c r="T70" s="40">
        <f t="shared" si="28"/>
        <v>496.54736424206112</v>
      </c>
      <c r="U70" s="40">
        <f t="shared" si="28"/>
        <v>487.736065955355</v>
      </c>
      <c r="V70" s="40">
        <f t="shared" si="28"/>
        <v>479.13416987738265</v>
      </c>
      <c r="W70" s="40">
        <f t="shared" si="28"/>
        <v>470.84558980509973</v>
      </c>
      <c r="X70" s="40">
        <f t="shared" si="28"/>
        <v>462.83011605784191</v>
      </c>
      <c r="Y70" s="40">
        <f t="shared" si="28"/>
        <v>455.09574471914573</v>
      </c>
      <c r="Z70" s="40">
        <f t="shared" si="28"/>
        <v>447.60923166480768</v>
      </c>
      <c r="AA70" s="40">
        <f t="shared" si="28"/>
        <v>440.33812103752911</v>
      </c>
      <c r="AB70" s="40">
        <f t="shared" si="28"/>
        <v>433.3299233241429</v>
      </c>
    </row>
    <row r="71" spans="1:28" x14ac:dyDescent="0.25">
      <c r="A71" s="4" t="s">
        <v>332</v>
      </c>
      <c r="B71" s="40">
        <f t="shared" ref="B71:AB71" si="29">B58+B59</f>
        <v>112205.98210076339</v>
      </c>
      <c r="C71" s="40">
        <f t="shared" si="29"/>
        <v>113706.08078029186</v>
      </c>
      <c r="D71" s="40">
        <f t="shared" si="29"/>
        <v>115379.93446287519</v>
      </c>
      <c r="E71" s="40">
        <f t="shared" si="29"/>
        <v>117082.97751911695</v>
      </c>
      <c r="F71" s="40">
        <f t="shared" si="29"/>
        <v>118836.46438247718</v>
      </c>
      <c r="G71" s="40">
        <f t="shared" si="29"/>
        <v>120645.25156664933</v>
      </c>
      <c r="H71" s="40">
        <f t="shared" si="29"/>
        <v>122510.5063920776</v>
      </c>
      <c r="I71" s="40">
        <f t="shared" si="29"/>
        <v>123904.02600691046</v>
      </c>
      <c r="J71" s="40">
        <f t="shared" si="29"/>
        <v>125319.80892485616</v>
      </c>
      <c r="K71" s="40">
        <f t="shared" si="29"/>
        <v>126741.03471061533</v>
      </c>
      <c r="L71" s="40">
        <f t="shared" si="29"/>
        <v>128160.96701918051</v>
      </c>
      <c r="M71" s="40">
        <f t="shared" si="29"/>
        <v>129574.81651902496</v>
      </c>
      <c r="N71" s="40">
        <f t="shared" si="29"/>
        <v>130962.52861114108</v>
      </c>
      <c r="O71" s="40">
        <f t="shared" si="29"/>
        <v>132309.21450619181</v>
      </c>
      <c r="P71" s="40">
        <f t="shared" si="29"/>
        <v>133603.98513094572</v>
      </c>
      <c r="Q71" s="40">
        <f t="shared" si="29"/>
        <v>134828.08683781439</v>
      </c>
      <c r="R71" s="40">
        <f t="shared" si="29"/>
        <v>135966.98470029325</v>
      </c>
      <c r="S71" s="40">
        <f t="shared" si="29"/>
        <v>136855.56759560009</v>
      </c>
      <c r="T71" s="40">
        <f t="shared" si="29"/>
        <v>137638.31650743377</v>
      </c>
      <c r="U71" s="40">
        <f t="shared" si="29"/>
        <v>138313.7859454932</v>
      </c>
      <c r="V71" s="40">
        <f t="shared" si="29"/>
        <v>138850.91405978519</v>
      </c>
      <c r="W71" s="40">
        <f t="shared" si="29"/>
        <v>139241.24287197791</v>
      </c>
      <c r="X71" s="40">
        <f t="shared" si="29"/>
        <v>139486.02636633563</v>
      </c>
      <c r="Y71" s="40">
        <f t="shared" si="29"/>
        <v>139647.64672698997</v>
      </c>
      <c r="Z71" s="40">
        <f t="shared" si="29"/>
        <v>139671.36067457305</v>
      </c>
      <c r="AA71" s="40">
        <f t="shared" si="29"/>
        <v>139551.78519273966</v>
      </c>
      <c r="AB71" s="40">
        <f t="shared" si="29"/>
        <v>139297.54214496718</v>
      </c>
    </row>
    <row r="72" spans="1:28" x14ac:dyDescent="0.25">
      <c r="A72" s="4" t="s">
        <v>333</v>
      </c>
      <c r="B72" s="40">
        <f t="shared" ref="B72:AB72" si="30">B60+B61+B62+B63</f>
        <v>114450.12691452005</v>
      </c>
      <c r="C72" s="40">
        <f t="shared" si="30"/>
        <v>115968.24484384686</v>
      </c>
      <c r="D72" s="40">
        <f t="shared" si="30"/>
        <v>117660.98178248954</v>
      </c>
      <c r="E72" s="40">
        <f t="shared" si="30"/>
        <v>119379.55325928914</v>
      </c>
      <c r="F72" s="40">
        <f t="shared" si="30"/>
        <v>121147.01629400883</v>
      </c>
      <c r="G72" s="40">
        <f t="shared" si="30"/>
        <v>122966.90038428655</v>
      </c>
      <c r="H72" s="40">
        <f t="shared" si="30"/>
        <v>124841.3351994009</v>
      </c>
      <c r="I72" s="40">
        <f t="shared" si="30"/>
        <v>126231.85633861022</v>
      </c>
      <c r="J72" s="40">
        <f t="shared" si="30"/>
        <v>127642.58496816407</v>
      </c>
      <c r="K72" s="40">
        <f t="shared" si="30"/>
        <v>129055.00054192304</v>
      </c>
      <c r="L72" s="40">
        <f t="shared" si="30"/>
        <v>130462.56923980227</v>
      </c>
      <c r="M72" s="40">
        <f t="shared" si="30"/>
        <v>131860.40381315121</v>
      </c>
      <c r="N72" s="40">
        <f t="shared" si="30"/>
        <v>133227.94750806183</v>
      </c>
      <c r="O72" s="40">
        <f t="shared" si="30"/>
        <v>134550.36832647218</v>
      </c>
      <c r="P72" s="40">
        <f t="shared" si="30"/>
        <v>135815.62738292018</v>
      </c>
      <c r="Q72" s="40">
        <f t="shared" si="30"/>
        <v>137005.03135279249</v>
      </c>
      <c r="R72" s="40">
        <f t="shared" si="30"/>
        <v>138103.63382005764</v>
      </c>
      <c r="S72" s="40">
        <f t="shared" si="30"/>
        <v>138944.19765718206</v>
      </c>
      <c r="T72" s="40">
        <f t="shared" si="30"/>
        <v>139673.26936897283</v>
      </c>
      <c r="U72" s="40">
        <f t="shared" si="30"/>
        <v>140290.27696598461</v>
      </c>
      <c r="V72" s="40">
        <f t="shared" si="30"/>
        <v>140762.79496935161</v>
      </c>
      <c r="W72" s="40">
        <f t="shared" si="30"/>
        <v>141081.66410710887</v>
      </c>
      <c r="X72" s="40">
        <f t="shared" si="30"/>
        <v>141248.85436249714</v>
      </c>
      <c r="Y72" s="40">
        <f t="shared" si="30"/>
        <v>141329.76595151174</v>
      </c>
      <c r="Z72" s="40">
        <f t="shared" si="30"/>
        <v>141267.44267538798</v>
      </c>
      <c r="AA72" s="40">
        <f t="shared" si="30"/>
        <v>141056.03941967906</v>
      </c>
      <c r="AB72" s="40">
        <f t="shared" si="30"/>
        <v>140705.00377894432</v>
      </c>
    </row>
    <row r="73" spans="1:28" x14ac:dyDescent="0.25">
      <c r="A73" s="4" t="s">
        <v>334</v>
      </c>
      <c r="B73" s="40">
        <f t="shared" ref="B73:AB73" si="31">B64+B65</f>
        <v>120057.69110214122</v>
      </c>
      <c r="C73" s="40">
        <f t="shared" si="31"/>
        <v>121550.01725466194</v>
      </c>
      <c r="D73" s="40">
        <f t="shared" si="31"/>
        <v>123223.74384371324</v>
      </c>
      <c r="E73" s="40">
        <f t="shared" si="31"/>
        <v>124924.87873059012</v>
      </c>
      <c r="F73" s="40">
        <f t="shared" si="31"/>
        <v>126677.17172089344</v>
      </c>
      <c r="G73" s="40">
        <f t="shared" si="31"/>
        <v>128485.19092197409</v>
      </c>
      <c r="H73" s="40">
        <f t="shared" si="31"/>
        <v>130347.78205680531</v>
      </c>
      <c r="I73" s="40">
        <f t="shared" si="31"/>
        <v>131702.81475110428</v>
      </c>
      <c r="J73" s="40">
        <f t="shared" si="31"/>
        <v>133077.68562259435</v>
      </c>
      <c r="K73" s="40">
        <f t="shared" si="31"/>
        <v>134451.7653389668</v>
      </c>
      <c r="L73" s="40">
        <f t="shared" si="31"/>
        <v>135816.11638603939</v>
      </c>
      <c r="M73" s="40">
        <f t="shared" si="31"/>
        <v>137167.48514978177</v>
      </c>
      <c r="N73" s="40">
        <f t="shared" si="31"/>
        <v>138481.14753956543</v>
      </c>
      <c r="O73" s="40">
        <f t="shared" si="31"/>
        <v>139741.95273811326</v>
      </c>
      <c r="P73" s="40">
        <f t="shared" si="31"/>
        <v>140938.06375556707</v>
      </c>
      <c r="Q73" s="40">
        <f t="shared" si="31"/>
        <v>142048.10714941192</v>
      </c>
      <c r="R73" s="40">
        <f t="shared" si="31"/>
        <v>143057.6875935244</v>
      </c>
      <c r="S73" s="40">
        <f t="shared" si="31"/>
        <v>143792.66081312255</v>
      </c>
      <c r="T73" s="40">
        <f t="shared" si="31"/>
        <v>144404.9886037799</v>
      </c>
      <c r="U73" s="40">
        <f t="shared" si="31"/>
        <v>144893.8445477231</v>
      </c>
      <c r="V73" s="40">
        <f t="shared" si="31"/>
        <v>145225.73307189028</v>
      </c>
      <c r="W73" s="40">
        <f t="shared" si="31"/>
        <v>145392.78259226767</v>
      </c>
      <c r="X73" s="40">
        <f t="shared" si="31"/>
        <v>145395.00749119036</v>
      </c>
      <c r="Y73" s="40">
        <f t="shared" si="31"/>
        <v>145304.92453568018</v>
      </c>
      <c r="Z73" s="40">
        <f t="shared" si="31"/>
        <v>145061.12911675725</v>
      </c>
      <c r="AA73" s="40">
        <f t="shared" si="31"/>
        <v>144660.37025014291</v>
      </c>
      <c r="AB73" s="40">
        <f t="shared" si="31"/>
        <v>144112.70212193389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362.92445061446159</v>
      </c>
      <c r="C2" s="37">
        <f>BDbDT_calcs!C48</f>
        <v>358.92504854774609</v>
      </c>
      <c r="D2" s="37">
        <f>BDbDT_calcs!D48</f>
        <v>355.52235098470487</v>
      </c>
      <c r="E2" s="37">
        <f>BDbDT_calcs!E48</f>
        <v>352.17569363702967</v>
      </c>
      <c r="F2" s="37">
        <f>BDbDT_calcs!F48</f>
        <v>348.81063842808766</v>
      </c>
      <c r="G2" s="37">
        <f>BDbDT_calcs!G48</f>
        <v>345.42765443090923</v>
      </c>
      <c r="H2" s="37">
        <f>BDbDT_calcs!H48</f>
        <v>342.0289664690884</v>
      </c>
      <c r="I2" s="37">
        <f>BDbDT_calcs!I48</f>
        <v>337.39446239623908</v>
      </c>
      <c r="J2" s="37">
        <f>BDbDT_calcs!J48</f>
        <v>332.59578405112813</v>
      </c>
      <c r="K2" s="37">
        <f>BDbDT_calcs!K48</f>
        <v>327.92382411106854</v>
      </c>
      <c r="L2" s="37">
        <f>BDbDT_calcs!L48</f>
        <v>323.11511273546796</v>
      </c>
      <c r="M2" s="37">
        <f>BDbDT_calcs!M48</f>
        <v>318.43178769757566</v>
      </c>
      <c r="N2" s="37">
        <f>BDbDT_calcs!N48</f>
        <v>313.90855283840995</v>
      </c>
      <c r="O2" s="37">
        <f>BDbDT_calcs!O48</f>
        <v>309.02620981050012</v>
      </c>
      <c r="P2" s="37">
        <f>BDbDT_calcs!P48</f>
        <v>304.33917927443304</v>
      </c>
      <c r="Q2" s="37">
        <f>BDbDT_calcs!Q48</f>
        <v>299.51390125317602</v>
      </c>
      <c r="R2" s="37">
        <f>BDbDT_calcs!R48</f>
        <v>294.73201979321641</v>
      </c>
      <c r="S2" s="37">
        <f>BDbDT_calcs!S48</f>
        <v>289.59086726602078</v>
      </c>
      <c r="T2" s="37">
        <f>BDbDT_calcs!T48</f>
        <v>284.53299483081275</v>
      </c>
      <c r="U2" s="37">
        <f>BDbDT_calcs!U48</f>
        <v>279.55360987584993</v>
      </c>
      <c r="V2" s="37">
        <f>BDbDT_calcs!V48</f>
        <v>274.64720464437255</v>
      </c>
      <c r="W2" s="37">
        <f>BDbDT_calcs!W48</f>
        <v>269.84373069050253</v>
      </c>
      <c r="X2" s="37">
        <f>BDbDT_calcs!X48</f>
        <v>265.38568507434309</v>
      </c>
      <c r="Y2" s="37">
        <f>BDbDT_calcs!Y48</f>
        <v>260.98290324663452</v>
      </c>
      <c r="Z2" s="37">
        <f>BDbDT_calcs!Z48</f>
        <v>256.80667697575177</v>
      </c>
      <c r="AA2" s="37">
        <f>BDbDT_calcs!AA48</f>
        <v>252.71009397304397</v>
      </c>
      <c r="AB2" s="37">
        <f>BDbDT_calcs!AB48</f>
        <v>248.65358538854062</v>
      </c>
    </row>
    <row r="3" spans="1:28" x14ac:dyDescent="0.25">
      <c r="A3" s="4" t="s">
        <v>216</v>
      </c>
      <c r="B3" s="37">
        <f>BDbDT_calcs!B49</f>
        <v>292.47016603806674</v>
      </c>
      <c r="C3" s="37">
        <f>BDbDT_calcs!C49</f>
        <v>289.85355068773958</v>
      </c>
      <c r="D3" s="37">
        <f>BDbDT_calcs!D49</f>
        <v>287.74655027750248</v>
      </c>
      <c r="E3" s="37">
        <f>BDbDT_calcs!E49</f>
        <v>285.6439759571777</v>
      </c>
      <c r="F3" s="37">
        <f>BDbDT_calcs!F49</f>
        <v>283.50927308621311</v>
      </c>
      <c r="G3" s="37">
        <f>BDbDT_calcs!G49</f>
        <v>281.42033248859275</v>
      </c>
      <c r="H3" s="37">
        <f>BDbDT_calcs!H49</f>
        <v>279.34045835554986</v>
      </c>
      <c r="I3" s="37">
        <f>BDbDT_calcs!I49</f>
        <v>275.96210708583169</v>
      </c>
      <c r="J3" s="37">
        <f>BDbDT_calcs!J49</f>
        <v>272.77582128372148</v>
      </c>
      <c r="K3" s="37">
        <f>BDbDT_calcs!K49</f>
        <v>269.42743902742183</v>
      </c>
      <c r="L3" s="37">
        <f>BDbDT_calcs!L49</f>
        <v>266.22184492605294</v>
      </c>
      <c r="M3" s="37">
        <f>BDbDT_calcs!M49</f>
        <v>262.85619390480343</v>
      </c>
      <c r="N3" s="37">
        <f>BDbDT_calcs!N49</f>
        <v>259.36980864809044</v>
      </c>
      <c r="O3" s="37">
        <f>BDbDT_calcs!O49</f>
        <v>256.13671102349826</v>
      </c>
      <c r="P3" s="37">
        <f>BDbDT_calcs!P49</f>
        <v>252.59603983878324</v>
      </c>
      <c r="Q3" s="37">
        <f>BDbDT_calcs!Q49</f>
        <v>249.19400985518229</v>
      </c>
      <c r="R3" s="37">
        <f>BDbDT_calcs!R49</f>
        <v>245.66946432529085</v>
      </c>
      <c r="S3" s="37">
        <f>BDbDT_calcs!S49</f>
        <v>241.93223689793132</v>
      </c>
      <c r="T3" s="37">
        <f>BDbDT_calcs!T49</f>
        <v>238.18636445162926</v>
      </c>
      <c r="U3" s="37">
        <f>BDbDT_calcs!U49</f>
        <v>234.50175940345085</v>
      </c>
      <c r="V3" s="37">
        <f>BDbDT_calcs!V49</f>
        <v>230.94637770370213</v>
      </c>
      <c r="W3" s="37">
        <f>BDbDT_calcs!W49</f>
        <v>227.47869747200718</v>
      </c>
      <c r="X3" s="37">
        <f>BDbDT_calcs!X49</f>
        <v>224.02209120590942</v>
      </c>
      <c r="Y3" s="37">
        <f>BDbDT_calcs!Y49</f>
        <v>220.75252329940022</v>
      </c>
      <c r="Z3" s="37">
        <f>BDbDT_calcs!Z49</f>
        <v>217.48644250089322</v>
      </c>
      <c r="AA3" s="37">
        <f>BDbDT_calcs!AA49</f>
        <v>214.36229872955099</v>
      </c>
      <c r="AB3" s="37">
        <f>BDbDT_calcs!AB49</f>
        <v>211.48124387925986</v>
      </c>
    </row>
    <row r="4" spans="1:28" x14ac:dyDescent="0.25">
      <c r="A4" s="4" t="s">
        <v>217</v>
      </c>
      <c r="B4" s="37">
        <f>BDbDT_calcs!B50</f>
        <v>406.78405252995429</v>
      </c>
      <c r="C4" s="37">
        <f>BDbDT_calcs!C50</f>
        <v>402.68670954901188</v>
      </c>
      <c r="D4" s="37">
        <f>BDbDT_calcs!D50</f>
        <v>399.34084959161464</v>
      </c>
      <c r="E4" s="37">
        <f>BDbDT_calcs!E50</f>
        <v>395.97434192188962</v>
      </c>
      <c r="F4" s="37">
        <f>BDbDT_calcs!F50</f>
        <v>392.63096153248335</v>
      </c>
      <c r="G4" s="37">
        <f>BDbDT_calcs!G50</f>
        <v>389.3520783263919</v>
      </c>
      <c r="H4" s="37">
        <f>BDbDT_calcs!H50</f>
        <v>385.97684182515104</v>
      </c>
      <c r="I4" s="37">
        <f>BDbDT_calcs!I50</f>
        <v>381.1161819556275</v>
      </c>
      <c r="J4" s="37">
        <f>BDbDT_calcs!J50</f>
        <v>376.16275425209398</v>
      </c>
      <c r="K4" s="37">
        <f>BDbDT_calcs!K50</f>
        <v>371.14468580282033</v>
      </c>
      <c r="L4" s="37">
        <f>BDbDT_calcs!L50</f>
        <v>366.02310638738896</v>
      </c>
      <c r="M4" s="37">
        <f>BDbDT_calcs!M50</f>
        <v>360.79928111525277</v>
      </c>
      <c r="N4" s="37">
        <f>BDbDT_calcs!N50</f>
        <v>355.47393540789363</v>
      </c>
      <c r="O4" s="37">
        <f>BDbDT_calcs!O50</f>
        <v>349.92920487423964</v>
      </c>
      <c r="P4" s="37">
        <f>BDbDT_calcs!P50</f>
        <v>344.32372764608397</v>
      </c>
      <c r="Q4" s="37">
        <f>BDbDT_calcs!Q50</f>
        <v>338.61690142051532</v>
      </c>
      <c r="R4" s="37">
        <f>BDbDT_calcs!R50</f>
        <v>332.80726105224062</v>
      </c>
      <c r="S4" s="37">
        <f>BDbDT_calcs!S50</f>
        <v>326.6018776039752</v>
      </c>
      <c r="T4" s="37">
        <f>BDbDT_calcs!T50</f>
        <v>320.49423042056242</v>
      </c>
      <c r="U4" s="37">
        <f>BDbDT_calcs!U50</f>
        <v>314.4787207783009</v>
      </c>
      <c r="V4" s="37">
        <f>BDbDT_calcs!V50</f>
        <v>308.58726456040483</v>
      </c>
      <c r="W4" s="37">
        <f>BDbDT_calcs!W50</f>
        <v>302.88908215573889</v>
      </c>
      <c r="X4" s="37">
        <f>BDbDT_calcs!X50</f>
        <v>297.41439634731313</v>
      </c>
      <c r="Y4" s="37">
        <f>BDbDT_calcs!Y50</f>
        <v>292.08122205948939</v>
      </c>
      <c r="Z4" s="37">
        <f>BDbDT_calcs!Z50</f>
        <v>286.92086913768355</v>
      </c>
      <c r="AA4" s="37">
        <f>BDbDT_calcs!AA50</f>
        <v>282.00185590917005</v>
      </c>
      <c r="AB4" s="37">
        <f>BDbDT_calcs!AB50</f>
        <v>277.24241373957682</v>
      </c>
    </row>
    <row r="5" spans="1:28" x14ac:dyDescent="0.25">
      <c r="A5" s="4" t="s">
        <v>218</v>
      </c>
      <c r="B5" s="37">
        <f>BDbDT_calcs!B51</f>
        <v>164.42068612577211</v>
      </c>
      <c r="C5" s="37">
        <f>BDbDT_calcs!C51</f>
        <v>161.63833974560441</v>
      </c>
      <c r="D5" s="37">
        <f>BDbDT_calcs!D51</f>
        <v>159.18213246945353</v>
      </c>
      <c r="E5" s="37">
        <f>BDbDT_calcs!E51</f>
        <v>156.68441682258822</v>
      </c>
      <c r="F5" s="37">
        <f>BDbDT_calcs!F51</f>
        <v>154.14604190683917</v>
      </c>
      <c r="G5" s="37">
        <f>BDbDT_calcs!G51</f>
        <v>151.63653927241103</v>
      </c>
      <c r="H5" s="37">
        <f>BDbDT_calcs!H51</f>
        <v>149.05201419936824</v>
      </c>
      <c r="I5" s="37">
        <f>BDbDT_calcs!I51</f>
        <v>145.92103217835034</v>
      </c>
      <c r="J5" s="37">
        <f>BDbDT_calcs!J51</f>
        <v>142.84487636371267</v>
      </c>
      <c r="K5" s="37">
        <f>BDbDT_calcs!K51</f>
        <v>139.81708507373432</v>
      </c>
      <c r="L5" s="37">
        <f>BDbDT_calcs!L51</f>
        <v>136.90473683561677</v>
      </c>
      <c r="M5" s="37">
        <f>BDbDT_calcs!M51</f>
        <v>134.13964569575896</v>
      </c>
      <c r="N5" s="37">
        <f>BDbDT_calcs!N51</f>
        <v>131.4179105690589</v>
      </c>
      <c r="O5" s="37">
        <f>BDbDT_calcs!O51</f>
        <v>128.83921923578839</v>
      </c>
      <c r="P5" s="37">
        <f>BDbDT_calcs!P51</f>
        <v>126.30055035251486</v>
      </c>
      <c r="Q5" s="37">
        <f>BDbDT_calcs!Q51</f>
        <v>123.86710392232325</v>
      </c>
      <c r="R5" s="37">
        <f>BDbDT_calcs!R51</f>
        <v>121.50329077809046</v>
      </c>
      <c r="S5" s="37">
        <f>BDbDT_calcs!S51</f>
        <v>119.03959013923834</v>
      </c>
      <c r="T5" s="37">
        <f>BDbDT_calcs!T51</f>
        <v>116.64631724456503</v>
      </c>
      <c r="U5" s="37">
        <f>BDbDT_calcs!U51</f>
        <v>114.28812639050855</v>
      </c>
      <c r="V5" s="37">
        <f>BDbDT_calcs!V51</f>
        <v>112.02786511220451</v>
      </c>
      <c r="W5" s="37">
        <f>BDbDT_calcs!W51</f>
        <v>109.76479285388127</v>
      </c>
      <c r="X5" s="37">
        <f>BDbDT_calcs!X51</f>
        <v>107.59402181946174</v>
      </c>
      <c r="Y5" s="37">
        <f>BDbDT_calcs!Y51</f>
        <v>105.5452922431806</v>
      </c>
      <c r="Z5" s="37">
        <f>BDbDT_calcs!Z51</f>
        <v>103.51915047571883</v>
      </c>
      <c r="AA5" s="37">
        <f>BDbDT_calcs!AA51</f>
        <v>101.57761425568273</v>
      </c>
      <c r="AB5" s="37">
        <f>BDbDT_calcs!AB51</f>
        <v>99.654488351325057</v>
      </c>
    </row>
    <row r="6" spans="1:28" x14ac:dyDescent="0.25">
      <c r="A6" s="4" t="s">
        <v>219</v>
      </c>
      <c r="B6" s="37">
        <f>BDbDT_calcs!B52</f>
        <v>23.117465892232428</v>
      </c>
      <c r="C6" s="37">
        <f>BDbDT_calcs!C52</f>
        <v>23.116775400250095</v>
      </c>
      <c r="D6" s="37">
        <f>BDbDT_calcs!D52</f>
        <v>23.155629973839453</v>
      </c>
      <c r="E6" s="37">
        <f>BDbDT_calcs!E52</f>
        <v>23.223902015547431</v>
      </c>
      <c r="F6" s="37">
        <f>BDbDT_calcs!F52</f>
        <v>23.295086456833626</v>
      </c>
      <c r="G6" s="37">
        <f>BDbDT_calcs!G52</f>
        <v>23.369316728721639</v>
      </c>
      <c r="H6" s="37">
        <f>BDbDT_calcs!H52</f>
        <v>23.446855744727511</v>
      </c>
      <c r="I6" s="37">
        <f>BDbDT_calcs!I52</f>
        <v>23.429870987872867</v>
      </c>
      <c r="J6" s="37">
        <f>BDbDT_calcs!J52</f>
        <v>23.416709166068305</v>
      </c>
      <c r="K6" s="37">
        <f>BDbDT_calcs!K52</f>
        <v>23.458907816110237</v>
      </c>
      <c r="L6" s="37">
        <f>BDbDT_calcs!L52</f>
        <v>23.451691293498051</v>
      </c>
      <c r="M6" s="37">
        <f>BDbDT_calcs!M52</f>
        <v>23.44769096934716</v>
      </c>
      <c r="N6" s="37">
        <f>BDbDT_calcs!N52</f>
        <v>23.446954734419887</v>
      </c>
      <c r="O6" s="37">
        <f>BDbDT_calcs!O52</f>
        <v>23.449532931268664</v>
      </c>
      <c r="P6" s="37">
        <f>BDbDT_calcs!P52</f>
        <v>23.429869408667678</v>
      </c>
      <c r="Q6" s="37">
        <f>BDbDT_calcs!Q52</f>
        <v>23.439197962364705</v>
      </c>
      <c r="R6" s="37">
        <f>BDbDT_calcs!R52</f>
        <v>23.401022628193243</v>
      </c>
      <c r="S6" s="37">
        <f>BDbDT_calcs!S52</f>
        <v>23.365306924605694</v>
      </c>
      <c r="T6" s="37">
        <f>BDbDT_calcs!T52</f>
        <v>23.357903935054349</v>
      </c>
      <c r="U6" s="37">
        <f>BDbDT_calcs!U52</f>
        <v>23.303178034685434</v>
      </c>
      <c r="V6" s="37">
        <f>BDbDT_calcs!V52</f>
        <v>23.276275054726735</v>
      </c>
      <c r="W6" s="37">
        <f>BDbDT_calcs!W52</f>
        <v>23.251731358054268</v>
      </c>
      <c r="X6" s="37">
        <f>BDbDT_calcs!X52</f>
        <v>23.20450584786439</v>
      </c>
      <c r="Y6" s="37">
        <f>BDbDT_calcs!Y52</f>
        <v>23.208522952823571</v>
      </c>
      <c r="Z6" s="37">
        <f>BDbDT_calcs!Z52</f>
        <v>23.164822680352728</v>
      </c>
      <c r="AA6" s="37">
        <f>BDbDT_calcs!AA52</f>
        <v>23.122507548009334</v>
      </c>
      <c r="AB6" s="37">
        <f>BDbDT_calcs!AB52</f>
        <v>23.081263232777367</v>
      </c>
    </row>
    <row r="7" spans="1:28" x14ac:dyDescent="0.25">
      <c r="A7" s="4" t="s">
        <v>220</v>
      </c>
      <c r="B7" s="37">
        <f>BDbDT_calcs!B53</f>
        <v>39.340401497317764</v>
      </c>
      <c r="C7" s="37">
        <f>BDbDT_calcs!C53</f>
        <v>39.538359322973484</v>
      </c>
      <c r="D7" s="37">
        <f>BDbDT_calcs!D53</f>
        <v>39.725565157556481</v>
      </c>
      <c r="E7" s="37">
        <f>BDbDT_calcs!E53</f>
        <v>39.968553725055962</v>
      </c>
      <c r="F7" s="37">
        <f>BDbDT_calcs!F53</f>
        <v>40.190458855430528</v>
      </c>
      <c r="G7" s="37">
        <f>BDbDT_calcs!G53</f>
        <v>40.366008237018924</v>
      </c>
      <c r="H7" s="37">
        <f>BDbDT_calcs!H53</f>
        <v>40.649670828583012</v>
      </c>
      <c r="I7" s="37">
        <f>BDbDT_calcs!I53</f>
        <v>40.666510393908553</v>
      </c>
      <c r="J7" s="37">
        <f>BDbDT_calcs!J53</f>
        <v>40.714877928059742</v>
      </c>
      <c r="K7" s="37">
        <f>BDbDT_calcs!K53</f>
        <v>40.692120823492857</v>
      </c>
      <c r="L7" s="37">
        <f>BDbDT_calcs!L53</f>
        <v>40.699992999670592</v>
      </c>
      <c r="M7" s="37">
        <f>BDbDT_calcs!M53</f>
        <v>40.63823243669129</v>
      </c>
      <c r="N7" s="37">
        <f>BDbDT_calcs!N53</f>
        <v>40.632417145937602</v>
      </c>
      <c r="O7" s="37">
        <f>BDbDT_calcs!O53</f>
        <v>40.582803102679229</v>
      </c>
      <c r="P7" s="37">
        <f>BDbDT_calcs!P53</f>
        <v>40.490038023137814</v>
      </c>
      <c r="Q7" s="37">
        <f>BDbDT_calcs!Q53</f>
        <v>40.354636803485086</v>
      </c>
      <c r="R7" s="37">
        <f>BDbDT_calcs!R53</f>
        <v>40.226014937669852</v>
      </c>
      <c r="S7" s="37">
        <f>BDbDT_calcs!S53</f>
        <v>40.034356533671392</v>
      </c>
      <c r="T7" s="37">
        <f>BDbDT_calcs!T53</f>
        <v>39.752275505221967</v>
      </c>
      <c r="U7" s="37">
        <f>BDbDT_calcs!U53</f>
        <v>39.525622071067659</v>
      </c>
      <c r="V7" s="37">
        <f>BDbDT_calcs!V53</f>
        <v>39.256963215827369</v>
      </c>
      <c r="W7" s="37">
        <f>BDbDT_calcs!W53</f>
        <v>38.994203027011224</v>
      </c>
      <c r="X7" s="37">
        <f>BDbDT_calcs!X53</f>
        <v>38.784412353603408</v>
      </c>
      <c r="Y7" s="37">
        <f>BDbDT_calcs!Y53</f>
        <v>38.507805196305327</v>
      </c>
      <c r="Z7" s="37">
        <f>BDbDT_calcs!Z53</f>
        <v>38.30663138986624</v>
      </c>
      <c r="AA7" s="37">
        <f>BDbDT_calcs!AA53</f>
        <v>38.038065639068925</v>
      </c>
      <c r="AB7" s="37">
        <f>BDbDT_calcs!AB53</f>
        <v>37.84324254843176</v>
      </c>
    </row>
    <row r="8" spans="1:28" x14ac:dyDescent="0.25">
      <c r="A8" s="4" t="s">
        <v>221</v>
      </c>
      <c r="B8" s="37">
        <f>BDbDT_calcs!B54</f>
        <v>72.038107327718961</v>
      </c>
      <c r="C8" s="37">
        <f>BDbDT_calcs!C54</f>
        <v>72.084860542728379</v>
      </c>
      <c r="D8" s="37">
        <f>BDbDT_calcs!D54</f>
        <v>72.29198054467048</v>
      </c>
      <c r="E8" s="37">
        <f>BDbDT_calcs!E54</f>
        <v>72.526028350008218</v>
      </c>
      <c r="F8" s="37">
        <f>BDbDT_calcs!F54</f>
        <v>72.824895391698391</v>
      </c>
      <c r="G8" s="37">
        <f>BDbDT_calcs!G54</f>
        <v>73.058778693585865</v>
      </c>
      <c r="H8" s="37">
        <f>BDbDT_calcs!H54</f>
        <v>73.284452952652828</v>
      </c>
      <c r="I8" s="37">
        <f>BDbDT_calcs!I54</f>
        <v>73.196344185246204</v>
      </c>
      <c r="J8" s="37">
        <f>BDbDT_calcs!J54</f>
        <v>73.083821522583136</v>
      </c>
      <c r="K8" s="37">
        <f>BDbDT_calcs!K54</f>
        <v>72.945006706189346</v>
      </c>
      <c r="L8" s="37">
        <f>BDbDT_calcs!L54</f>
        <v>72.762460205095977</v>
      </c>
      <c r="M8" s="37">
        <f>BDbDT_calcs!M54</f>
        <v>72.537089869203584</v>
      </c>
      <c r="N8" s="37">
        <f>BDbDT_calcs!N54</f>
        <v>72.269680795044465</v>
      </c>
      <c r="O8" s="37">
        <f>BDbDT_calcs!O54</f>
        <v>71.960967552547643</v>
      </c>
      <c r="P8" s="37">
        <f>BDbDT_calcs!P54</f>
        <v>71.557939636735341</v>
      </c>
      <c r="Q8" s="37">
        <f>BDbDT_calcs!Q54</f>
        <v>71.1150159773822</v>
      </c>
      <c r="R8" s="37">
        <f>BDbDT_calcs!R54</f>
        <v>70.57924459552045</v>
      </c>
      <c r="S8" s="37">
        <f>BDbDT_calcs!S54</f>
        <v>69.978298753955627</v>
      </c>
      <c r="T8" s="37">
        <f>BDbDT_calcs!T54</f>
        <v>69.321219321370648</v>
      </c>
      <c r="U8" s="37">
        <f>BDbDT_calcs!U54</f>
        <v>68.608098622326168</v>
      </c>
      <c r="V8" s="37">
        <f>BDbDT_calcs!V54</f>
        <v>67.908395199616564</v>
      </c>
      <c r="W8" s="37">
        <f>BDbDT_calcs!W54</f>
        <v>67.134245976897503</v>
      </c>
      <c r="X8" s="37">
        <f>BDbDT_calcs!X54</f>
        <v>66.458169385021776</v>
      </c>
      <c r="Y8" s="37">
        <f>BDbDT_calcs!Y54</f>
        <v>65.775125812646593</v>
      </c>
      <c r="Z8" s="37">
        <f>BDbDT_calcs!Z54</f>
        <v>65.101380330516193</v>
      </c>
      <c r="AA8" s="37">
        <f>BDbDT_calcs!AA54</f>
        <v>64.452943442372586</v>
      </c>
      <c r="AB8" s="37">
        <f>BDbDT_calcs!AB54</f>
        <v>63.845611375239997</v>
      </c>
    </row>
    <row r="9" spans="1:28" x14ac:dyDescent="0.25">
      <c r="A9" s="4" t="s">
        <v>222</v>
      </c>
      <c r="B9" s="37">
        <f>BDbDT_calcs!B55</f>
        <v>570.34361707785547</v>
      </c>
      <c r="C9" s="37">
        <f>BDbDT_calcs!C55</f>
        <v>562.78193002037551</v>
      </c>
      <c r="D9" s="37">
        <f>BDbDT_calcs!D55</f>
        <v>556.09263704725322</v>
      </c>
      <c r="E9" s="37">
        <f>BDbDT_calcs!E55</f>
        <v>549.40905788198381</v>
      </c>
      <c r="F9" s="37">
        <f>BDbDT_calcs!F55</f>
        <v>542.51793608012929</v>
      </c>
      <c r="G9" s="37">
        <f>BDbDT_calcs!G55</f>
        <v>535.80890603810701</v>
      </c>
      <c r="H9" s="37">
        <f>BDbDT_calcs!H55</f>
        <v>529.11135351203541</v>
      </c>
      <c r="I9" s="37">
        <f>BDbDT_calcs!I55</f>
        <v>520.2923176895531</v>
      </c>
      <c r="J9" s="37">
        <f>BDbDT_calcs!J55</f>
        <v>511.55932651545436</v>
      </c>
      <c r="K9" s="37">
        <f>BDbDT_calcs!K55</f>
        <v>502.84940595624153</v>
      </c>
      <c r="L9" s="37">
        <f>BDbDT_calcs!L55</f>
        <v>494.2463293796514</v>
      </c>
      <c r="M9" s="37">
        <f>BDbDT_calcs!M55</f>
        <v>485.70555209418967</v>
      </c>
      <c r="N9" s="37">
        <f>BDbDT_calcs!N55</f>
        <v>477.30851885120558</v>
      </c>
      <c r="O9" s="37">
        <f>BDbDT_calcs!O55</f>
        <v>468.88482849547086</v>
      </c>
      <c r="P9" s="37">
        <f>BDbDT_calcs!P55</f>
        <v>460.55719454365106</v>
      </c>
      <c r="Q9" s="37">
        <f>BDbDT_calcs!Q55</f>
        <v>452.32114819437481</v>
      </c>
      <c r="R9" s="37">
        <f>BDbDT_calcs!R55</f>
        <v>444.2130275786576</v>
      </c>
      <c r="S9" s="37">
        <f>BDbDT_calcs!S55</f>
        <v>435.61203681204262</v>
      </c>
      <c r="T9" s="37">
        <f>BDbDT_calcs!T55</f>
        <v>427.22614492069044</v>
      </c>
      <c r="U9" s="37">
        <f>BDbDT_calcs!U55</f>
        <v>419.12796733302883</v>
      </c>
      <c r="V9" s="37">
        <f>BDbDT_calcs!V55</f>
        <v>411.22577467776608</v>
      </c>
      <c r="W9" s="37">
        <f>BDbDT_calcs!W55</f>
        <v>403.71134382820225</v>
      </c>
      <c r="X9" s="37">
        <f>BDbDT_calcs!X55</f>
        <v>396.37194667282012</v>
      </c>
      <c r="Y9" s="37">
        <f>BDbDT_calcs!Y55</f>
        <v>389.32061890649913</v>
      </c>
      <c r="Z9" s="37">
        <f>BDbDT_calcs!Z55</f>
        <v>382.5078513342915</v>
      </c>
      <c r="AA9" s="37">
        <f>BDbDT_calcs!AA55</f>
        <v>375.88517759515651</v>
      </c>
      <c r="AB9" s="37">
        <f>BDbDT_calcs!AB55</f>
        <v>369.48431194890293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57550.308020516888</v>
      </c>
      <c r="C2" s="37">
        <f>BDbDT_calcs!C58</f>
        <v>58393.37780453101</v>
      </c>
      <c r="D2" s="37">
        <f>BDbDT_calcs!D58</f>
        <v>59323.246636650336</v>
      </c>
      <c r="E2" s="37">
        <f>BDbDT_calcs!E58</f>
        <v>60253.102168645819</v>
      </c>
      <c r="F2" s="37">
        <f>BDbDT_calcs!F58</f>
        <v>61188.161823865783</v>
      </c>
      <c r="G2" s="37">
        <f>BDbDT_calcs!G58</f>
        <v>62130.276711849656</v>
      </c>
      <c r="H2" s="37">
        <f>BDbDT_calcs!H58</f>
        <v>63075.244391444241</v>
      </c>
      <c r="I2" s="37">
        <f>BDbDT_calcs!I58</f>
        <v>63752.415600187502</v>
      </c>
      <c r="J2" s="37">
        <f>BDbDT_calcs!J58</f>
        <v>64413.660539336524</v>
      </c>
      <c r="K2" s="37">
        <f>BDbDT_calcs!K58</f>
        <v>65058.095871714126</v>
      </c>
      <c r="L2" s="37">
        <f>BDbDT_calcs!L58</f>
        <v>65680.483391572983</v>
      </c>
      <c r="M2" s="37">
        <f>BDbDT_calcs!M58</f>
        <v>66280.030408388062</v>
      </c>
      <c r="N2" s="37">
        <f>BDbDT_calcs!N58</f>
        <v>66850.295881521408</v>
      </c>
      <c r="O2" s="37">
        <f>BDbDT_calcs!O58</f>
        <v>67389.146737125207</v>
      </c>
      <c r="P2" s="37">
        <f>BDbDT_calcs!P58</f>
        <v>67888.357318265073</v>
      </c>
      <c r="Q2" s="37">
        <f>BDbDT_calcs!Q58</f>
        <v>68347.023056632039</v>
      </c>
      <c r="R2" s="37">
        <f>BDbDT_calcs!R58</f>
        <v>68755.275139081103</v>
      </c>
      <c r="S2" s="37">
        <f>BDbDT_calcs!S58</f>
        <v>69036.329463436196</v>
      </c>
      <c r="T2" s="37">
        <f>BDbDT_calcs!T58</f>
        <v>69264.084692035205</v>
      </c>
      <c r="U2" s="37">
        <f>BDbDT_calcs!U58</f>
        <v>69442.792001574227</v>
      </c>
      <c r="V2" s="37">
        <f>BDbDT_calcs!V58</f>
        <v>69556.292708605572</v>
      </c>
      <c r="W2" s="37">
        <f>BDbDT_calcs!W58</f>
        <v>69609.275125551358</v>
      </c>
      <c r="X2" s="37">
        <f>BDbDT_calcs!X58</f>
        <v>69598.451845497169</v>
      </c>
      <c r="Y2" s="37">
        <f>BDbDT_calcs!Y58</f>
        <v>69552.986515667726</v>
      </c>
      <c r="Z2" s="37">
        <f>BDbDT_calcs!Z58</f>
        <v>69447.792372001408</v>
      </c>
      <c r="AA2" s="37">
        <f>BDbDT_calcs!AA58</f>
        <v>69287.594857781602</v>
      </c>
      <c r="AB2" s="37">
        <f>BDbDT_calcs!AB58</f>
        <v>69079.061090853051</v>
      </c>
    </row>
    <row r="3" spans="1:28" x14ac:dyDescent="0.25">
      <c r="A3" s="4" t="s">
        <v>216</v>
      </c>
      <c r="B3" s="37">
        <f>BDbDT_calcs!B59</f>
        <v>54655.674080246492</v>
      </c>
      <c r="C3" s="37">
        <f>BDbDT_calcs!C59</f>
        <v>55312.702975760847</v>
      </c>
      <c r="D3" s="37">
        <f>BDbDT_calcs!D59</f>
        <v>56056.687826224857</v>
      </c>
      <c r="E3" s="37">
        <f>BDbDT_calcs!E59</f>
        <v>56829.875350471135</v>
      </c>
      <c r="F3" s="37">
        <f>BDbDT_calcs!F59</f>
        <v>57648.302558611394</v>
      </c>
      <c r="G3" s="37">
        <f>BDbDT_calcs!G59</f>
        <v>58514.974854799671</v>
      </c>
      <c r="H3" s="37">
        <f>BDbDT_calcs!H59</f>
        <v>59435.262000633367</v>
      </c>
      <c r="I3" s="37">
        <f>BDbDT_calcs!I59</f>
        <v>60151.610406722953</v>
      </c>
      <c r="J3" s="37">
        <f>BDbDT_calcs!J59</f>
        <v>60906.148385519635</v>
      </c>
      <c r="K3" s="37">
        <f>BDbDT_calcs!K59</f>
        <v>61682.938838901209</v>
      </c>
      <c r="L3" s="37">
        <f>BDbDT_calcs!L59</f>
        <v>62480.483627607515</v>
      </c>
      <c r="M3" s="37">
        <f>BDbDT_calcs!M59</f>
        <v>63294.786110636895</v>
      </c>
      <c r="N3" s="37">
        <f>BDbDT_calcs!N59</f>
        <v>64112.232729619682</v>
      </c>
      <c r="O3" s="37">
        <f>BDbDT_calcs!O59</f>
        <v>64920.067769066613</v>
      </c>
      <c r="P3" s="37">
        <f>BDbDT_calcs!P59</f>
        <v>65715.627812680643</v>
      </c>
      <c r="Q3" s="37">
        <f>BDbDT_calcs!Q59</f>
        <v>66481.063781182354</v>
      </c>
      <c r="R3" s="37">
        <f>BDbDT_calcs!R59</f>
        <v>67211.709561212148</v>
      </c>
      <c r="S3" s="37">
        <f>BDbDT_calcs!S59</f>
        <v>67819.238132163911</v>
      </c>
      <c r="T3" s="37">
        <f>BDbDT_calcs!T59</f>
        <v>68374.231815398554</v>
      </c>
      <c r="U3" s="37">
        <f>BDbDT_calcs!U59</f>
        <v>68870.993943918962</v>
      </c>
      <c r="V3" s="37">
        <f>BDbDT_calcs!V59</f>
        <v>69294.621351179609</v>
      </c>
      <c r="W3" s="37">
        <f>BDbDT_calcs!W59</f>
        <v>69631.967746426555</v>
      </c>
      <c r="X3" s="37">
        <f>BDbDT_calcs!X59</f>
        <v>69887.574520838461</v>
      </c>
      <c r="Y3" s="37">
        <f>BDbDT_calcs!Y59</f>
        <v>70094.660211322247</v>
      </c>
      <c r="Z3" s="37">
        <f>BDbDT_calcs!Z59</f>
        <v>70223.568302571628</v>
      </c>
      <c r="AA3" s="37">
        <f>BDbDT_calcs!AA59</f>
        <v>70264.190334958053</v>
      </c>
      <c r="AB3" s="37">
        <f>BDbDT_calcs!AB59</f>
        <v>70218.48105411412</v>
      </c>
    </row>
    <row r="4" spans="1:28" x14ac:dyDescent="0.25">
      <c r="A4" s="4" t="s">
        <v>217</v>
      </c>
      <c r="B4" s="37">
        <f>BDbDT_calcs!B60</f>
        <v>96732.158312541505</v>
      </c>
      <c r="C4" s="37">
        <f>BDbDT_calcs!C60</f>
        <v>98006.247467955865</v>
      </c>
      <c r="D4" s="37">
        <f>BDbDT_calcs!D60</f>
        <v>99422.120989712683</v>
      </c>
      <c r="E4" s="37">
        <f>BDbDT_calcs!E60</f>
        <v>100853.67730790885</v>
      </c>
      <c r="F4" s="37">
        <f>BDbDT_calcs!F60</f>
        <v>102321.64983104459</v>
      </c>
      <c r="G4" s="37">
        <f>BDbDT_calcs!G60</f>
        <v>103826.53989204305</v>
      </c>
      <c r="H4" s="37">
        <f>BDbDT_calcs!H60</f>
        <v>105372.24915214076</v>
      </c>
      <c r="I4" s="37">
        <f>BDbDT_calcs!I60</f>
        <v>106502.60851714402</v>
      </c>
      <c r="J4" s="37">
        <f>BDbDT_calcs!J60</f>
        <v>107644.26538908257</v>
      </c>
      <c r="K4" s="37">
        <f>BDbDT_calcs!K60</f>
        <v>108778.23084452579</v>
      </c>
      <c r="L4" s="37">
        <f>BDbDT_calcs!L60</f>
        <v>109898.97772690492</v>
      </c>
      <c r="M4" s="37">
        <f>BDbDT_calcs!M60</f>
        <v>111002.54082079364</v>
      </c>
      <c r="N4" s="37">
        <f>BDbDT_calcs!N60</f>
        <v>112069.19370181553</v>
      </c>
      <c r="O4" s="37">
        <f>BDbDT_calcs!O60</f>
        <v>113088.39545593213</v>
      </c>
      <c r="P4" s="37">
        <f>BDbDT_calcs!P60</f>
        <v>114046.27688356662</v>
      </c>
      <c r="Q4" s="37">
        <f>BDbDT_calcs!Q60</f>
        <v>114928.33050923479</v>
      </c>
      <c r="R4" s="37">
        <f>BDbDT_calcs!R60</f>
        <v>115720.8137318768</v>
      </c>
      <c r="S4" s="37">
        <f>BDbDT_calcs!S60</f>
        <v>116283.50642062779</v>
      </c>
      <c r="T4" s="37">
        <f>BDbDT_calcs!T60</f>
        <v>116740.3132434133</v>
      </c>
      <c r="U4" s="37">
        <f>BDbDT_calcs!U60</f>
        <v>117092.1028884839</v>
      </c>
      <c r="V4" s="37">
        <f>BDbDT_calcs!V60</f>
        <v>117308.77644856654</v>
      </c>
      <c r="W4" s="37">
        <f>BDbDT_calcs!W60</f>
        <v>117382.79123167094</v>
      </c>
      <c r="X4" s="37">
        <f>BDbDT_calcs!X60</f>
        <v>117317.92099216017</v>
      </c>
      <c r="Y4" s="37">
        <f>BDbDT_calcs!Y60</f>
        <v>117175.06582822371</v>
      </c>
      <c r="Z4" s="37">
        <f>BDbDT_calcs!Z60</f>
        <v>116902.50998645219</v>
      </c>
      <c r="AA4" s="37">
        <f>BDbDT_calcs!AA60</f>
        <v>116494.12235914427</v>
      </c>
      <c r="AB4" s="37">
        <f>BDbDT_calcs!AB60</f>
        <v>115960.92882350621</v>
      </c>
    </row>
    <row r="5" spans="1:28" x14ac:dyDescent="0.25">
      <c r="A5" s="4" t="s">
        <v>218</v>
      </c>
      <c r="B5" s="37">
        <f>BDbDT_calcs!B61</f>
        <v>12711.638098972049</v>
      </c>
      <c r="C5" s="37">
        <f>BDbDT_calcs!C61</f>
        <v>12858.216096946109</v>
      </c>
      <c r="D5" s="37">
        <f>BDbDT_calcs!D61</f>
        <v>13025.594553338347</v>
      </c>
      <c r="E5" s="37">
        <f>BDbDT_calcs!E61</f>
        <v>13194.545177216589</v>
      </c>
      <c r="F5" s="37">
        <f>BDbDT_calcs!F61</f>
        <v>13369.407192433644</v>
      </c>
      <c r="G5" s="37">
        <f>BDbDT_calcs!G61</f>
        <v>13550.571081536036</v>
      </c>
      <c r="H5" s="37">
        <f>BDbDT_calcs!H61</f>
        <v>13737.743176256794</v>
      </c>
      <c r="I5" s="37">
        <f>BDbDT_calcs!I61</f>
        <v>13873.459423578479</v>
      </c>
      <c r="J5" s="37">
        <f>BDbDT_calcs!J61</f>
        <v>14013.694760201039</v>
      </c>
      <c r="K5" s="37">
        <f>BDbDT_calcs!K61</f>
        <v>14157.541158925513</v>
      </c>
      <c r="L5" s="37">
        <f>BDbDT_calcs!L61</f>
        <v>14305.011720785966</v>
      </c>
      <c r="M5" s="37">
        <f>BDbDT_calcs!M61</f>
        <v>14455.369834073565</v>
      </c>
      <c r="N5" s="37">
        <f>BDbDT_calcs!N61</f>
        <v>14609.302313648406</v>
      </c>
      <c r="O5" s="37">
        <f>BDbDT_calcs!O61</f>
        <v>14763.11859412338</v>
      </c>
      <c r="P5" s="37">
        <f>BDbDT_calcs!P61</f>
        <v>14918.46564322929</v>
      </c>
      <c r="Q5" s="37">
        <f>BDbDT_calcs!Q61</f>
        <v>15072.331970946672</v>
      </c>
      <c r="R5" s="37">
        <f>BDbDT_calcs!R61</f>
        <v>15224.392236863261</v>
      </c>
      <c r="S5" s="37">
        <f>BDbDT_calcs!S61</f>
        <v>15357.396723521586</v>
      </c>
      <c r="T5" s="37">
        <f>BDbDT_calcs!T61</f>
        <v>15485.358147904823</v>
      </c>
      <c r="U5" s="37">
        <f>BDbDT_calcs!U61</f>
        <v>15608.553541216119</v>
      </c>
      <c r="V5" s="37">
        <f>BDbDT_calcs!V61</f>
        <v>15725.202011815809</v>
      </c>
      <c r="W5" s="37">
        <f>BDbDT_calcs!W61</f>
        <v>15832.442536218343</v>
      </c>
      <c r="X5" s="37">
        <f>BDbDT_calcs!X61</f>
        <v>15929.28522555876</v>
      </c>
      <c r="Y5" s="37">
        <f>BDbDT_calcs!Y61</f>
        <v>16019.816524368178</v>
      </c>
      <c r="Z5" s="37">
        <f>BDbDT_calcs!Z61</f>
        <v>16099.666663833592</v>
      </c>
      <c r="AA5" s="37">
        <f>BDbDT_calcs!AA61</f>
        <v>16168.771768477796</v>
      </c>
      <c r="AB5" s="37">
        <f>BDbDT_calcs!AB61</f>
        <v>16225.533659297851</v>
      </c>
    </row>
    <row r="6" spans="1:28" x14ac:dyDescent="0.25">
      <c r="A6" s="4" t="s">
        <v>219</v>
      </c>
      <c r="B6" s="37">
        <f>BDbDT_calcs!B62</f>
        <v>3271.6986891593469</v>
      </c>
      <c r="C6" s="37">
        <f>BDbDT_calcs!C62</f>
        <v>3337.002848923602</v>
      </c>
      <c r="D6" s="37">
        <f>BDbDT_calcs!D62</f>
        <v>3409.9936837368782</v>
      </c>
      <c r="E6" s="37">
        <f>BDbDT_calcs!E62</f>
        <v>3488.1447595590475</v>
      </c>
      <c r="F6" s="37">
        <f>BDbDT_calcs!F62</f>
        <v>3572.4812131081035</v>
      </c>
      <c r="G6" s="37">
        <f>BDbDT_calcs!G62</f>
        <v>3662.9476468900484</v>
      </c>
      <c r="H6" s="37">
        <f>BDbDT_calcs!H62</f>
        <v>3759.8082055075902</v>
      </c>
      <c r="I6" s="37">
        <f>BDbDT_calcs!I62</f>
        <v>3847.0157618972003</v>
      </c>
      <c r="J6" s="37">
        <f>BDbDT_calcs!J62</f>
        <v>3937.8967840707187</v>
      </c>
      <c r="K6" s="37">
        <f>BDbDT_calcs!K62</f>
        <v>4031.636913172711</v>
      </c>
      <c r="L6" s="37">
        <f>BDbDT_calcs!L62</f>
        <v>4129.2415781070049</v>
      </c>
      <c r="M6" s="37">
        <f>BDbDT_calcs!M62</f>
        <v>4229.8857237178436</v>
      </c>
      <c r="N6" s="37">
        <f>BDbDT_calcs!N62</f>
        <v>4333.0178703045003</v>
      </c>
      <c r="O6" s="37">
        <f>BDbDT_calcs!O62</f>
        <v>4437.8690543210505</v>
      </c>
      <c r="P6" s="37">
        <f>BDbDT_calcs!P62</f>
        <v>4544.0390068987126</v>
      </c>
      <c r="Q6" s="37">
        <f>BDbDT_calcs!Q62</f>
        <v>4650.668081791322</v>
      </c>
      <c r="R6" s="37">
        <f>BDbDT_calcs!R62</f>
        <v>4757.3365297244181</v>
      </c>
      <c r="S6" s="37">
        <f>BDbDT_calcs!S62</f>
        <v>4857.7609786862386</v>
      </c>
      <c r="T6" s="37">
        <f>BDbDT_calcs!T62</f>
        <v>4957.2562493468085</v>
      </c>
      <c r="U6" s="37">
        <f>BDbDT_calcs!U62</f>
        <v>5054.7621819469223</v>
      </c>
      <c r="V6" s="37">
        <f>BDbDT_calcs!V62</f>
        <v>5150.4615008944638</v>
      </c>
      <c r="W6" s="37">
        <f>BDbDT_calcs!W62</f>
        <v>5244.0222812267448</v>
      </c>
      <c r="X6" s="37">
        <f>BDbDT_calcs!X62</f>
        <v>5335.8995960535358</v>
      </c>
      <c r="Y6" s="37">
        <f>BDbDT_calcs!Y62</f>
        <v>5425.7490398840155</v>
      </c>
      <c r="Z6" s="37">
        <f>BDbDT_calcs!Z62</f>
        <v>5513.7425717612896</v>
      </c>
      <c r="AA6" s="37">
        <f>BDbDT_calcs!AA62</f>
        <v>5599.8220629336865</v>
      </c>
      <c r="AB6" s="37">
        <f>BDbDT_calcs!AB62</f>
        <v>5683.5847389761284</v>
      </c>
    </row>
    <row r="7" spans="1:28" x14ac:dyDescent="0.25">
      <c r="A7" s="4" t="s">
        <v>220</v>
      </c>
      <c r="B7" s="37">
        <f>BDbDT_calcs!B63</f>
        <v>1734.6318138471472</v>
      </c>
      <c r="C7" s="37">
        <f>BDbDT_calcs!C63</f>
        <v>1766.7784300212834</v>
      </c>
      <c r="D7" s="37">
        <f>BDbDT_calcs!D63</f>
        <v>1803.2725557016438</v>
      </c>
      <c r="E7" s="37">
        <f>BDbDT_calcs!E63</f>
        <v>1843.1860146046736</v>
      </c>
      <c r="F7" s="37">
        <f>BDbDT_calcs!F63</f>
        <v>1883.478057422494</v>
      </c>
      <c r="G7" s="37">
        <f>BDbDT_calcs!G63</f>
        <v>1926.8417638174208</v>
      </c>
      <c r="H7" s="37">
        <f>BDbDT_calcs!H63</f>
        <v>1971.5346654957518</v>
      </c>
      <c r="I7" s="37">
        <f>BDbDT_calcs!I63</f>
        <v>2008.7726359905162</v>
      </c>
      <c r="J7" s="37">
        <f>BDbDT_calcs!J63</f>
        <v>2046.7280348097472</v>
      </c>
      <c r="K7" s="37">
        <f>BDbDT_calcs!K63</f>
        <v>2087.5916252990296</v>
      </c>
      <c r="L7" s="37">
        <f>BDbDT_calcs!L63</f>
        <v>2129.3382140043709</v>
      </c>
      <c r="M7" s="37">
        <f>BDbDT_calcs!M63</f>
        <v>2172.6074345661495</v>
      </c>
      <c r="N7" s="37">
        <f>BDbDT_calcs!N63</f>
        <v>2216.4336222933844</v>
      </c>
      <c r="O7" s="37">
        <f>BDbDT_calcs!O63</f>
        <v>2260.9852220956327</v>
      </c>
      <c r="P7" s="37">
        <f>BDbDT_calcs!P63</f>
        <v>2306.8458492255518</v>
      </c>
      <c r="Q7" s="37">
        <f>BDbDT_calcs!Q63</f>
        <v>2353.7007908197224</v>
      </c>
      <c r="R7" s="37">
        <f>BDbDT_calcs!R63</f>
        <v>2401.091321593155</v>
      </c>
      <c r="S7" s="37">
        <f>BDbDT_calcs!S63</f>
        <v>2445.5335343464321</v>
      </c>
      <c r="T7" s="37">
        <f>BDbDT_calcs!T63</f>
        <v>2490.341728307907</v>
      </c>
      <c r="U7" s="37">
        <f>BDbDT_calcs!U63</f>
        <v>2534.858354337664</v>
      </c>
      <c r="V7" s="37">
        <f>BDbDT_calcs!V63</f>
        <v>2578.3550080748187</v>
      </c>
      <c r="W7" s="37">
        <f>BDbDT_calcs!W63</f>
        <v>2622.4080579928277</v>
      </c>
      <c r="X7" s="37">
        <f>BDbDT_calcs!X63</f>
        <v>2665.7485487247009</v>
      </c>
      <c r="Y7" s="37">
        <f>BDbDT_calcs!Y63</f>
        <v>2709.1345590358123</v>
      </c>
      <c r="Z7" s="37">
        <f>BDbDT_calcs!Z63</f>
        <v>2751.5234533409111</v>
      </c>
      <c r="AA7" s="37">
        <f>BDbDT_calcs!AA63</f>
        <v>2793.3232291232989</v>
      </c>
      <c r="AB7" s="37">
        <f>BDbDT_calcs!AB63</f>
        <v>2834.956557164156</v>
      </c>
    </row>
    <row r="8" spans="1:28" x14ac:dyDescent="0.25">
      <c r="A8" s="4" t="s">
        <v>221</v>
      </c>
      <c r="B8" s="37">
        <f>BDbDT_calcs!B64</f>
        <v>4690.4478681565306</v>
      </c>
      <c r="C8" s="37">
        <f>BDbDT_calcs!C64</f>
        <v>4838.8434426386466</v>
      </c>
      <c r="D8" s="37">
        <f>BDbDT_calcs!D64</f>
        <v>4997.8850869614434</v>
      </c>
      <c r="E8" s="37">
        <f>BDbDT_calcs!E64</f>
        <v>5160.8955571692804</v>
      </c>
      <c r="F8" s="37">
        <f>BDbDT_calcs!F64</f>
        <v>5327.9519164520416</v>
      </c>
      <c r="G8" s="37">
        <f>BDbDT_calcs!G64</f>
        <v>5499.725205244863</v>
      </c>
      <c r="H8" s="37">
        <f>BDbDT_calcs!H64</f>
        <v>5678.0334149124355</v>
      </c>
      <c r="I8" s="37">
        <f>BDbDT_calcs!I64</f>
        <v>5838.5109145069537</v>
      </c>
      <c r="J8" s="37">
        <f>BDbDT_calcs!J64</f>
        <v>6002.6766204893602</v>
      </c>
      <c r="K8" s="37">
        <f>BDbDT_calcs!K64</f>
        <v>6171.8819498303674</v>
      </c>
      <c r="L8" s="37">
        <f>BDbDT_calcs!L64</f>
        <v>6347.1337662865053</v>
      </c>
      <c r="M8" s="37">
        <f>BDbDT_calcs!M64</f>
        <v>6526.8359478942048</v>
      </c>
      <c r="N8" s="37">
        <f>BDbDT_calcs!N64</f>
        <v>6712.6479502861603</v>
      </c>
      <c r="O8" s="37">
        <f>BDbDT_calcs!O64</f>
        <v>6903.4088408562939</v>
      </c>
      <c r="P8" s="37">
        <f>BDbDT_calcs!P64</f>
        <v>7098.779884926762</v>
      </c>
      <c r="Q8" s="37">
        <f>BDbDT_calcs!Q64</f>
        <v>7299.0416473802743</v>
      </c>
      <c r="R8" s="37">
        <f>BDbDT_calcs!R64</f>
        <v>7502.6924849647103</v>
      </c>
      <c r="S8" s="37">
        <f>BDbDT_calcs!S64</f>
        <v>7701.0006171864461</v>
      </c>
      <c r="T8" s="37">
        <f>BDbDT_calcs!T64</f>
        <v>7901.9867341043127</v>
      </c>
      <c r="U8" s="37">
        <f>BDbDT_calcs!U64</f>
        <v>8105.0922135467008</v>
      </c>
      <c r="V8" s="37">
        <f>BDbDT_calcs!V64</f>
        <v>8309.2127459283711</v>
      </c>
      <c r="W8" s="37">
        <f>BDbDT_calcs!W64</f>
        <v>8513.1874754422133</v>
      </c>
      <c r="X8" s="37">
        <f>BDbDT_calcs!X64</f>
        <v>8718.034445513691</v>
      </c>
      <c r="Y8" s="37">
        <f>BDbDT_calcs!Y64</f>
        <v>8921.9849368443902</v>
      </c>
      <c r="Z8" s="37">
        <f>BDbDT_calcs!Z64</f>
        <v>9124.9122005297377</v>
      </c>
      <c r="AA8" s="37">
        <f>BDbDT_calcs!AA64</f>
        <v>9324.7666883580114</v>
      </c>
      <c r="AB8" s="37">
        <f>BDbDT_calcs!AB64</f>
        <v>9521.3038394457508</v>
      </c>
    </row>
    <row r="9" spans="1:28" x14ac:dyDescent="0.25">
      <c r="A9" s="4" t="s">
        <v>222</v>
      </c>
      <c r="B9" s="37">
        <f>BDbDT_calcs!B65</f>
        <v>115367.2432339847</v>
      </c>
      <c r="C9" s="37">
        <f>BDbDT_calcs!C65</f>
        <v>116711.17381202329</v>
      </c>
      <c r="D9" s="37">
        <f>BDbDT_calcs!D65</f>
        <v>118225.8587567518</v>
      </c>
      <c r="E9" s="37">
        <f>BDbDT_calcs!E65</f>
        <v>119763.98317342084</v>
      </c>
      <c r="F9" s="37">
        <f>BDbDT_calcs!F65</f>
        <v>121349.2198044414</v>
      </c>
      <c r="G9" s="37">
        <f>BDbDT_calcs!G65</f>
        <v>122985.46571672923</v>
      </c>
      <c r="H9" s="37">
        <f>BDbDT_calcs!H65</f>
        <v>124669.74864189287</v>
      </c>
      <c r="I9" s="37">
        <f>BDbDT_calcs!I65</f>
        <v>125864.30383659733</v>
      </c>
      <c r="J9" s="37">
        <f>BDbDT_calcs!J65</f>
        <v>127075.009002105</v>
      </c>
      <c r="K9" s="37">
        <f>BDbDT_calcs!K65</f>
        <v>128279.88338913642</v>
      </c>
      <c r="L9" s="37">
        <f>BDbDT_calcs!L65</f>
        <v>129468.98261975289</v>
      </c>
      <c r="M9" s="37">
        <f>BDbDT_calcs!M65</f>
        <v>130640.64920188757</v>
      </c>
      <c r="N9" s="37">
        <f>BDbDT_calcs!N65</f>
        <v>131768.49958927926</v>
      </c>
      <c r="O9" s="37">
        <f>BDbDT_calcs!O65</f>
        <v>132838.54389725698</v>
      </c>
      <c r="P9" s="37">
        <f>BDbDT_calcs!P65</f>
        <v>133839.2838706403</v>
      </c>
      <c r="Q9" s="37">
        <f>BDbDT_calcs!Q65</f>
        <v>134749.06550203165</v>
      </c>
      <c r="R9" s="37">
        <f>BDbDT_calcs!R65</f>
        <v>135554.9951085597</v>
      </c>
      <c r="S9" s="37">
        <f>BDbDT_calcs!S65</f>
        <v>136091.6601959361</v>
      </c>
      <c r="T9" s="37">
        <f>BDbDT_calcs!T65</f>
        <v>136503.00186967559</v>
      </c>
      <c r="U9" s="37">
        <f>BDbDT_calcs!U65</f>
        <v>136788.75233417639</v>
      </c>
      <c r="V9" s="37">
        <f>BDbDT_calcs!V65</f>
        <v>136916.5203259619</v>
      </c>
      <c r="W9" s="37">
        <f>BDbDT_calcs!W65</f>
        <v>136879.59511682545</v>
      </c>
      <c r="X9" s="37">
        <f>BDbDT_calcs!X65</f>
        <v>136676.97304567668</v>
      </c>
      <c r="Y9" s="37">
        <f>BDbDT_calcs!Y65</f>
        <v>136382.9395988358</v>
      </c>
      <c r="Z9" s="37">
        <f>BDbDT_calcs!Z65</f>
        <v>135936.21691622751</v>
      </c>
      <c r="AA9" s="37">
        <f>BDbDT_calcs!AA65</f>
        <v>135335.6035617849</v>
      </c>
      <c r="AB9" s="37">
        <f>BDbDT_calcs!AB65</f>
        <v>134591.39828248814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2026-08-17T20:29:30Z</dcterms:modified>
</cp:coreProperties>
</file>