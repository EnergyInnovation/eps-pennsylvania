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PA\add-outputs\NoH\"/>
    </mc:Choice>
  </mc:AlternateContent>
  <xr:revisionPtr revIDLastSave="0" documentId="8_{6EB4FAEB-DF87-4B67-A062-5EE95859C70D}"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AB2" i="3"/>
  <c r="I2" i="3"/>
  <c r="J2" i="3"/>
  <c r="L2" i="3"/>
  <c r="V2" i="3"/>
  <c r="X2" i="3"/>
  <c r="D2" i="3"/>
  <c r="Z2" i="3"/>
  <c r="AE2" i="3"/>
  <c r="B2" i="3"/>
  <c r="K2" i="3"/>
  <c r="M2" i="3"/>
  <c r="S2" i="3"/>
  <c r="E2" i="3"/>
  <c r="AA2" i="3"/>
  <c r="F2" i="3"/>
  <c r="W2" i="3"/>
  <c r="G2" i="3"/>
  <c r="AC2" i="3"/>
  <c r="H2" i="3"/>
  <c r="AD2" i="3"/>
  <c r="U2" i="3"/>
  <c r="N2" i="3"/>
  <c r="O2" i="3"/>
  <c r="P2" i="3"/>
  <c r="Q2" i="3"/>
  <c r="R2" i="3"/>
  <c r="T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<sst xmlns="http://schemas.openxmlformats.org/spreadsheetml/2006/main" count="1069" uniqueCount="448">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</sst>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400</v>
      </c>
      <c r="C1" s="68">
        <v>46185</v>
      </c>
      <c r="H1" t="s">
        <v>324</v>
      </c>
      <c r="I1" t="s">
        <v>325</v>
      </c>
    </row>
    <row r="2" spans="1:9" x14ac:dyDescent="0.25">
      <c r="B2" t="str">
        <f>VLOOKUP(B1,H2:I52,2)</f>
        <v>PA</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5061925.9895228585</v>
      </c>
      <c r="C2">
        <f>SUMIFS('state calcs'!C62:C112,'state calcs'!$A$62:$A$112,About!$B$2)</f>
        <v>5122233.130681254</v>
      </c>
      <c r="D2">
        <f>SUMIFS('state calcs'!D62:D112,'state calcs'!$A$62:$A$112,About!$B$2)</f>
        <v>5151995.1537961131</v>
      </c>
      <c r="E2">
        <f>SUMIFS('state calcs'!E62:E112,'state calcs'!$A$62:$A$112,About!$B$2)</f>
        <v>5181692.8210921586</v>
      </c>
      <c r="F2">
        <f>SUMIFS('state calcs'!F62:F112,'state calcs'!$A$62:$A$112,About!$B$2)</f>
        <v>5212320.7786950972</v>
      </c>
      <c r="G2">
        <f>SUMIFS('state calcs'!G62:G112,'state calcs'!$A$62:$A$112,About!$B$2)</f>
        <v>5242660.2440340277</v>
      </c>
      <c r="H2">
        <f>SUMIFS('state calcs'!H62:H112,'state calcs'!$A$62:$A$112,About!$B$2)</f>
        <v>5273088.4666989651</v>
      </c>
      <c r="I2">
        <f>SUMIFS('state calcs'!I62:I112,'state calcs'!$A$62:$A$112,About!$B$2)</f>
        <v>5303702.1420255443</v>
      </c>
      <c r="J2">
        <f>SUMIFS('state calcs'!J62:J112,'state calcs'!$A$62:$A$112,About!$B$2)</f>
        <v>5333795.7400293024</v>
      </c>
      <c r="K2">
        <f>SUMIFS('state calcs'!K62:K112,'state calcs'!$A$62:$A$112,About!$B$2)</f>
        <v>5362522.599537503</v>
      </c>
      <c r="L2">
        <f>SUMIFS('state calcs'!L62:L112,'state calcs'!$A$62:$A$112,About!$B$2)</f>
        <v>5381145.8855411066</v>
      </c>
      <c r="M2">
        <f>SUMIFS('state calcs'!M62:M112,'state calcs'!$A$62:$A$112,About!$B$2)</f>
        <v>5399159.7122402042</v>
      </c>
      <c r="N2">
        <f>SUMIFS('state calcs'!N62:N112,'state calcs'!$A$62:$A$112,About!$B$2)</f>
        <v>5415930.5390992966</v>
      </c>
      <c r="O2">
        <f>SUMIFS('state calcs'!O62:O112,'state calcs'!$A$62:$A$112,About!$B$2)</f>
        <v>5431081.4762167847</v>
      </c>
      <c r="P2">
        <f>SUMIFS('state calcs'!P62:P112,'state calcs'!$A$62:$A$112,About!$B$2)</f>
        <v>5445415.6738742338</v>
      </c>
      <c r="Q2">
        <f>SUMIFS('state calcs'!Q62:Q112,'state calcs'!$A$62:$A$112,About!$B$2)</f>
        <v>5459573.9510644926</v>
      </c>
      <c r="R2">
        <f>SUMIFS('state calcs'!R62:R112,'state calcs'!$A$62:$A$112,About!$B$2)</f>
        <v>5473235.3725923691</v>
      </c>
      <c r="S2">
        <f>SUMIFS('state calcs'!S62:S112,'state calcs'!$A$62:$A$112,About!$B$2)</f>
        <v>5486496.9532308606</v>
      </c>
      <c r="T2">
        <f>SUMIFS('state calcs'!T62:T112,'state calcs'!$A$62:$A$112,About!$B$2)</f>
        <v>5499239.0315479161</v>
      </c>
      <c r="U2">
        <f>SUMIFS('state calcs'!U62:U112,'state calcs'!$A$62:$A$112,About!$B$2)</f>
        <v>5512213.8777389573</v>
      </c>
      <c r="V2">
        <f>SUMIFS('state calcs'!V62:V112,'state calcs'!$A$62:$A$112,About!$B$2)</f>
        <v>5523518.5211768132</v>
      </c>
      <c r="W2">
        <f>SUMIFS('state calcs'!W62:W112,'state calcs'!$A$62:$A$112,About!$B$2)</f>
        <v>5533943.1926853582</v>
      </c>
      <c r="X2">
        <f>SUMIFS('state calcs'!X62:X112,'state calcs'!$A$62:$A$112,About!$B$2)</f>
        <v>5543796.4131766893</v>
      </c>
      <c r="Y2">
        <f>SUMIFS('state calcs'!Y62:Y112,'state calcs'!$A$62:$A$112,About!$B$2)</f>
        <v>5553113.4509332664</v>
      </c>
      <c r="Z2">
        <f>SUMIFS('state calcs'!Z62:Z112,'state calcs'!$A$62:$A$112,About!$B$2)</f>
        <v>5561940.2062404156</v>
      </c>
      <c r="AA2">
        <f>SUMIFS('state calcs'!AA62:AA112,'state calcs'!$A$62:$A$112,About!$B$2)</f>
        <v>5570143.361325385</v>
      </c>
      <c r="AB2">
        <f>SUMIFS('state calcs'!AB62:AB112,'state calcs'!$A$62:$A$112,About!$B$2)</f>
        <v>5577964.5810421174</v>
      </c>
      <c r="AC2">
        <f>SUMIFS('state calcs'!AC62:AC112,'state calcs'!$A$62:$A$112,About!$B$2)</f>
        <v>5585147.8307859441</v>
      </c>
      <c r="AD2">
        <f>SUMIFS('state calcs'!AD62:AD112,'state calcs'!$A$62:$A$112,About!$B$2)</f>
        <v>5591662.9787946362</v>
      </c>
      <c r="AE2">
        <f>SUMIFS('state calcs'!AE62:AE112,'state calcs'!$A$62:$A$112,About!$B$2)</f>
        <v>5597628.1065631425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2026-06-12T19:29:48Z</dcterms:modified>
</cp:coreProperties>
</file>