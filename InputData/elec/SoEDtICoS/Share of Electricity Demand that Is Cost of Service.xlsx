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PA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113</v>
      </c>
      <c r="C4" t="inlineStr">
        <is>
          <t>Agway Energy Services, LLC</t>
        </is>
      </c>
      <c r="D4" t="inlineStr">
        <is>
          <t>B</t>
        </is>
      </c>
      <c r="E4" t="inlineStr">
        <is>
          <t>Energy</t>
        </is>
      </c>
      <c r="F4" t="inlineStr">
        <is>
          <t>O</t>
        </is>
      </c>
      <c r="G4" t="inlineStr">
        <is>
          <t>PA</t>
        </is>
      </c>
      <c r="H4" t="inlineStr">
        <is>
          <t>Retail Power Marketer</t>
        </is>
      </c>
      <c r="I4" t="inlineStr">
        <is>
          <t>PJM</t>
        </is>
      </c>
      <c r="J4" t="n">
        <v>972.7</v>
      </c>
      <c r="K4" t="n">
        <v>8449</v>
      </c>
      <c r="L4" t="n">
        <v>945</v>
      </c>
      <c r="M4" t="n">
        <v>95.2</v>
      </c>
      <c r="N4" t="n">
        <v>918</v>
      </c>
      <c r="O4" t="n">
        <v>46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1067.9</v>
      </c>
      <c r="W4" t="n">
        <v>9367</v>
      </c>
      <c r="X4" t="n">
        <v>991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1611</v>
      </c>
      <c r="C5" t="inlineStr">
        <is>
          <t>Messer Energy Services, Inc.</t>
        </is>
      </c>
      <c r="D5" t="inlineStr">
        <is>
          <t>B</t>
        </is>
      </c>
      <c r="E5" t="inlineStr">
        <is>
          <t>Energy</t>
        </is>
      </c>
      <c r="F5" t="inlineStr">
        <is>
          <t>O</t>
        </is>
      </c>
      <c r="G5" t="inlineStr">
        <is>
          <t>PA</t>
        </is>
      </c>
      <c r="H5" t="inlineStr">
        <is>
          <t>Retail Power Marketer</t>
        </is>
      </c>
      <c r="I5" t="inlineStr">
        <is>
          <t>PJM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29609</v>
      </c>
      <c r="Q5" t="n">
        <v>561049</v>
      </c>
      <c r="R5" t="n">
        <v>3</v>
      </c>
      <c r="S5" t="n">
        <v>0</v>
      </c>
      <c r="T5" t="n">
        <v>0</v>
      </c>
      <c r="U5" t="n">
        <v>0</v>
      </c>
      <c r="V5" t="n">
        <v>29609</v>
      </c>
      <c r="W5" t="n">
        <v>561049</v>
      </c>
      <c r="X5" t="n">
        <v>3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3329</v>
      </c>
      <c r="C6" t="inlineStr">
        <is>
          <t>Borough of Chambersburg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PA</t>
        </is>
      </c>
      <c r="H6" t="inlineStr">
        <is>
          <t>Municipal</t>
        </is>
      </c>
      <c r="I6" t="inlineStr">
        <is>
          <t>PJM</t>
        </is>
      </c>
      <c r="J6" t="n">
        <v>11653.3</v>
      </c>
      <c r="K6" t="n">
        <v>97501</v>
      </c>
      <c r="L6" t="n">
        <v>9914</v>
      </c>
      <c r="M6" t="n">
        <v>12992.2</v>
      </c>
      <c r="N6" t="n">
        <v>119572</v>
      </c>
      <c r="O6" t="n">
        <v>1783</v>
      </c>
      <c r="P6" t="n">
        <v>9324.799999999999</v>
      </c>
      <c r="Q6" t="n">
        <v>107070</v>
      </c>
      <c r="R6" t="n">
        <v>21</v>
      </c>
      <c r="S6" t="n">
        <v>0</v>
      </c>
      <c r="T6" t="n">
        <v>0</v>
      </c>
      <c r="U6" t="n">
        <v>0</v>
      </c>
      <c r="V6" t="n">
        <v>33970.3</v>
      </c>
      <c r="W6" t="n">
        <v>324143</v>
      </c>
      <c r="X6" t="n">
        <v>11718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3597</v>
      </c>
      <c r="C7" t="inlineStr">
        <is>
          <t>Citizens Electric Co - (PA)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PA</t>
        </is>
      </c>
      <c r="H7" t="inlineStr">
        <is>
          <t>Investor Owned</t>
        </is>
      </c>
      <c r="I7" t="inlineStr">
        <is>
          <t>PJM</t>
        </is>
      </c>
      <c r="J7" t="n">
        <v>11121</v>
      </c>
      <c r="K7" t="n">
        <v>81599</v>
      </c>
      <c r="L7" t="n">
        <v>5958</v>
      </c>
      <c r="M7" t="n">
        <v>3124</v>
      </c>
      <c r="N7" t="n">
        <v>22397</v>
      </c>
      <c r="O7" t="n">
        <v>1128</v>
      </c>
      <c r="P7" t="n">
        <v>1182</v>
      </c>
      <c r="Q7" t="n">
        <v>9598</v>
      </c>
      <c r="R7" t="n">
        <v>22</v>
      </c>
      <c r="S7" t="n">
        <v>0</v>
      </c>
      <c r="T7" t="n">
        <v>0</v>
      </c>
      <c r="U7" t="n">
        <v>0</v>
      </c>
      <c r="V7" t="n">
        <v>15427</v>
      </c>
      <c r="W7" t="n">
        <v>113594</v>
      </c>
      <c r="X7" t="n">
        <v>7108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3597</v>
      </c>
      <c r="C8" t="inlineStr">
        <is>
          <t>Citizens Electric Co - (PA)</t>
        </is>
      </c>
      <c r="D8" t="inlineStr">
        <is>
          <t>C</t>
        </is>
      </c>
      <c r="E8" t="inlineStr">
        <is>
          <t>Delivery</t>
        </is>
      </c>
      <c r="F8" t="inlineStr">
        <is>
          <t>O</t>
        </is>
      </c>
      <c r="G8" t="inlineStr">
        <is>
          <t>PA</t>
        </is>
      </c>
      <c r="H8" t="inlineStr">
        <is>
          <t>Investor Owned</t>
        </is>
      </c>
      <c r="I8" t="inlineStr">
        <is>
          <t>PJM</t>
        </is>
      </c>
      <c r="J8" t="n">
        <v>5</v>
      </c>
      <c r="K8" t="n">
        <v>124</v>
      </c>
      <c r="L8" t="n">
        <v>5</v>
      </c>
      <c r="M8" t="n">
        <v>107</v>
      </c>
      <c r="N8" t="n">
        <v>3492</v>
      </c>
      <c r="O8" t="n">
        <v>43</v>
      </c>
      <c r="P8" t="n">
        <v>532</v>
      </c>
      <c r="Q8" t="n">
        <v>33691</v>
      </c>
      <c r="R8" t="n">
        <v>18</v>
      </c>
      <c r="S8" t="n">
        <v>0</v>
      </c>
      <c r="T8" t="n">
        <v>0</v>
      </c>
      <c r="U8" t="n">
        <v>0</v>
      </c>
      <c r="V8" t="n">
        <v>644</v>
      </c>
      <c r="W8" t="n">
        <v>37307</v>
      </c>
      <c r="X8" t="n">
        <v>66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4100</v>
      </c>
      <c r="C9" t="inlineStr">
        <is>
          <t>Just Energy Solutions Inc.</t>
        </is>
      </c>
      <c r="D9" t="inlineStr">
        <is>
          <t>B</t>
        </is>
      </c>
      <c r="E9" t="inlineStr">
        <is>
          <t>Energy</t>
        </is>
      </c>
      <c r="F9" t="inlineStr">
        <is>
          <t>O</t>
        </is>
      </c>
      <c r="G9" t="inlineStr">
        <is>
          <t>PA</t>
        </is>
      </c>
      <c r="H9" t="inlineStr">
        <is>
          <t>Retail Power Marketer</t>
        </is>
      </c>
      <c r="I9" t="inlineStr">
        <is>
          <t>PJM</t>
        </is>
      </c>
      <c r="J9" t="n">
        <v>5590.5</v>
      </c>
      <c r="K9" t="n">
        <v>47987</v>
      </c>
      <c r="L9" t="n">
        <v>5454</v>
      </c>
      <c r="M9" t="n">
        <v>1919.2</v>
      </c>
      <c r="N9" t="n">
        <v>11602</v>
      </c>
      <c r="O9" t="n">
        <v>1625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7509.7</v>
      </c>
      <c r="W9" t="n">
        <v>59589</v>
      </c>
      <c r="X9" t="n">
        <v>7079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5487</v>
      </c>
      <c r="C10" t="inlineStr">
        <is>
          <t>Duquesne Light Co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PA</t>
        </is>
      </c>
      <c r="H10" t="inlineStr">
        <is>
          <t>Investor Owned</t>
        </is>
      </c>
      <c r="I10" t="inlineStr">
        <is>
          <t>PJM</t>
        </is>
      </c>
      <c r="J10" t="n">
        <v>685304</v>
      </c>
      <c r="K10" t="n">
        <v>3151995</v>
      </c>
      <c r="L10" t="n">
        <v>434171</v>
      </c>
      <c r="M10" t="n">
        <v>159148</v>
      </c>
      <c r="N10" t="n">
        <v>999403</v>
      </c>
      <c r="O10" t="n">
        <v>38515</v>
      </c>
      <c r="P10" t="n">
        <v>8532</v>
      </c>
      <c r="Q10" t="n">
        <v>63936</v>
      </c>
      <c r="R10" t="n">
        <v>332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852984</v>
      </c>
      <c r="W10" t="n">
        <v>4215334</v>
      </c>
      <c r="X10" t="n">
        <v>473018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5487</v>
      </c>
      <c r="C11" t="inlineStr">
        <is>
          <t>Duquesne Light Co</t>
        </is>
      </c>
      <c r="D11" t="inlineStr">
        <is>
          <t>C</t>
        </is>
      </c>
      <c r="E11" t="inlineStr">
        <is>
          <t>Delivery</t>
        </is>
      </c>
      <c r="F11" t="inlineStr">
        <is>
          <t>O</t>
        </is>
      </c>
      <c r="G11" t="inlineStr">
        <is>
          <t>PA</t>
        </is>
      </c>
      <c r="H11" t="inlineStr">
        <is>
          <t>Investor Owned</t>
        </is>
      </c>
      <c r="I11" t="inlineStr">
        <is>
          <t>PJM</t>
        </is>
      </c>
      <c r="J11" t="n">
        <v>99094</v>
      </c>
      <c r="K11" t="n">
        <v>877741</v>
      </c>
      <c r="L11" t="n">
        <v>116234</v>
      </c>
      <c r="M11" t="n">
        <v>165180</v>
      </c>
      <c r="N11" t="n">
        <v>4708846</v>
      </c>
      <c r="O11" t="n">
        <v>23855</v>
      </c>
      <c r="P11" t="n">
        <v>38301</v>
      </c>
      <c r="Q11" t="n">
        <v>2945306</v>
      </c>
      <c r="R11" t="n">
        <v>680</v>
      </c>
      <c r="S11" t="n">
        <v>1328</v>
      </c>
      <c r="T11" t="n">
        <v>14216</v>
      </c>
      <c r="U11" t="n">
        <v>1</v>
      </c>
      <c r="V11" t="n">
        <v>303903</v>
      </c>
      <c r="W11" t="n">
        <v>8546109</v>
      </c>
      <c r="X11" t="n">
        <v>140770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5880</v>
      </c>
      <c r="C12" t="inlineStr">
        <is>
          <t>Energy Coop of New York, Inc</t>
        </is>
      </c>
      <c r="D12" t="inlineStr">
        <is>
          <t>B</t>
        </is>
      </c>
      <c r="E12" t="inlineStr">
        <is>
          <t>Energy</t>
        </is>
      </c>
      <c r="F12" t="inlineStr">
        <is>
          <t>O</t>
        </is>
      </c>
      <c r="G12" t="inlineStr">
        <is>
          <t>PA</t>
        </is>
      </c>
      <c r="H12" t="inlineStr">
        <is>
          <t>Retail Power Marketer</t>
        </is>
      </c>
      <c r="I12" t="inlineStr">
        <is>
          <t>PJM</t>
        </is>
      </c>
      <c r="J12" t="n">
        <v>179</v>
      </c>
      <c r="K12" t="n">
        <v>1802</v>
      </c>
      <c r="L12" t="n">
        <v>156</v>
      </c>
      <c r="M12" t="n">
        <v>678</v>
      </c>
      <c r="N12" t="n">
        <v>9633</v>
      </c>
      <c r="O12" t="n">
        <v>158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857</v>
      </c>
      <c r="W12" t="n">
        <v>11435</v>
      </c>
      <c r="X12" t="n">
        <v>314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6458</v>
      </c>
      <c r="C13" t="inlineStr">
        <is>
          <t>Energy Harbor Corp.</t>
        </is>
      </c>
      <c r="D13" t="inlineStr">
        <is>
          <t>B</t>
        </is>
      </c>
      <c r="E13" t="inlineStr">
        <is>
          <t>Energy</t>
        </is>
      </c>
      <c r="F13" t="inlineStr">
        <is>
          <t>O</t>
        </is>
      </c>
      <c r="G13" t="inlineStr">
        <is>
          <t>PA</t>
        </is>
      </c>
      <c r="H13" t="inlineStr">
        <is>
          <t>Retail Power Marketer</t>
        </is>
      </c>
      <c r="I13" t="inlineStr">
        <is>
          <t>PJM</t>
        </is>
      </c>
      <c r="J13" t="n">
        <v>134640.8</v>
      </c>
      <c r="K13" t="n">
        <v>1245709</v>
      </c>
      <c r="L13" t="n">
        <v>105658</v>
      </c>
      <c r="M13" t="n">
        <v>58831.6</v>
      </c>
      <c r="N13" t="n">
        <v>893102</v>
      </c>
      <c r="O13" t="n">
        <v>3436</v>
      </c>
      <c r="P13" t="n">
        <v>134045.8</v>
      </c>
      <c r="Q13" t="n">
        <v>2707802</v>
      </c>
      <c r="R13" t="n">
        <v>127</v>
      </c>
      <c r="S13" t="n">
        <v>0</v>
      </c>
      <c r="T13" t="n">
        <v>0</v>
      </c>
      <c r="U13" t="n">
        <v>0</v>
      </c>
      <c r="V13" t="n">
        <v>327518.2</v>
      </c>
      <c r="W13" t="n">
        <v>4846613</v>
      </c>
      <c r="X13" t="n">
        <v>109221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7279</v>
      </c>
      <c r="C14" t="inlineStr">
        <is>
          <t>NextEra Energy Services, LLC</t>
        </is>
      </c>
      <c r="D14" t="inlineStr">
        <is>
          <t>B</t>
        </is>
      </c>
      <c r="E14" t="inlineStr">
        <is>
          <t>Energy</t>
        </is>
      </c>
      <c r="F14" t="inlineStr">
        <is>
          <t>O</t>
        </is>
      </c>
      <c r="G14" t="inlineStr">
        <is>
          <t>PA</t>
        </is>
      </c>
      <c r="H14" t="inlineStr">
        <is>
          <t>Retail Power Marketer</t>
        </is>
      </c>
      <c r="I14" t="inlineStr">
        <is>
          <t>PJM</t>
        </is>
      </c>
      <c r="J14" t="n">
        <v>17509.8</v>
      </c>
      <c r="K14" t="n">
        <v>124848</v>
      </c>
      <c r="L14" t="n">
        <v>11544</v>
      </c>
      <c r="M14" t="n">
        <v>88245.10000000001</v>
      </c>
      <c r="N14" t="n">
        <v>1291326</v>
      </c>
      <c r="O14" t="n">
        <v>520</v>
      </c>
      <c r="P14" t="inlineStr">
        <is>
          <t>.</t>
        </is>
      </c>
      <c r="Q14" t="inlineStr">
        <is>
          <t>.</t>
        </is>
      </c>
      <c r="R14" t="inlineStr">
        <is>
          <t>.</t>
        </is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105754.9</v>
      </c>
      <c r="W14" t="n">
        <v>1416174</v>
      </c>
      <c r="X14" t="n">
        <v>12064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7554</v>
      </c>
      <c r="C15" t="inlineStr">
        <is>
          <t>Green Mountain Energy Company</t>
        </is>
      </c>
      <c r="D15" t="inlineStr">
        <is>
          <t>B</t>
        </is>
      </c>
      <c r="E15" t="inlineStr">
        <is>
          <t>Energy</t>
        </is>
      </c>
      <c r="F15" t="inlineStr">
        <is>
          <t>O</t>
        </is>
      </c>
      <c r="G15" t="inlineStr">
        <is>
          <t>PA</t>
        </is>
      </c>
      <c r="H15" t="inlineStr">
        <is>
          <t>Retail Power Marketer</t>
        </is>
      </c>
      <c r="I15" t="inlineStr">
        <is>
          <t>PJM</t>
        </is>
      </c>
      <c r="J15" t="n">
        <v>37241</v>
      </c>
      <c r="K15" t="n">
        <v>285360</v>
      </c>
      <c r="L15" t="n">
        <v>30875</v>
      </c>
      <c r="M15" t="n">
        <v>919</v>
      </c>
      <c r="N15" t="n">
        <v>11080</v>
      </c>
      <c r="O15" t="n">
        <v>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38160</v>
      </c>
      <c r="W15" t="n">
        <v>296440</v>
      </c>
      <c r="X15" t="n">
        <v>30888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9949</v>
      </c>
      <c r="C16" t="inlineStr">
        <is>
          <t>Just Energy</t>
        </is>
      </c>
      <c r="D16" t="inlineStr">
        <is>
          <t>B</t>
        </is>
      </c>
      <c r="E16" t="inlineStr">
        <is>
          <t>Energy</t>
        </is>
      </c>
      <c r="F16" t="inlineStr">
        <is>
          <t>O</t>
        </is>
      </c>
      <c r="G16" t="inlineStr">
        <is>
          <t>PA</t>
        </is>
      </c>
      <c r="H16" t="inlineStr">
        <is>
          <t>Retail Power Marketer</t>
        </is>
      </c>
      <c r="I16" t="inlineStr">
        <is>
          <t>PJM</t>
        </is>
      </c>
      <c r="J16" t="n">
        <v>29825.8</v>
      </c>
      <c r="K16" t="n">
        <v>236938</v>
      </c>
      <c r="L16" t="n">
        <v>20938</v>
      </c>
      <c r="M16" t="n">
        <v>5.1</v>
      </c>
      <c r="N16" t="n">
        <v>45</v>
      </c>
      <c r="O16" t="n">
        <v>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29830.9</v>
      </c>
      <c r="W16" t="n">
        <v>236983</v>
      </c>
      <c r="X16" t="n">
        <v>20941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13374</v>
      </c>
      <c r="C17" t="inlineStr">
        <is>
          <t>Constellation NewEnergy, Inc</t>
        </is>
      </c>
      <c r="D17" t="inlineStr">
        <is>
          <t>B</t>
        </is>
      </c>
      <c r="E17" t="inlineStr">
        <is>
          <t>Energy</t>
        </is>
      </c>
      <c r="F17" t="inlineStr">
        <is>
          <t>O</t>
        </is>
      </c>
      <c r="G17" t="inlineStr">
        <is>
          <t>PA</t>
        </is>
      </c>
      <c r="H17" t="inlineStr">
        <is>
          <t>Retail Power Marketer</t>
        </is>
      </c>
      <c r="I17" t="inlineStr">
        <is>
          <t>PJM</t>
        </is>
      </c>
      <c r="J17" t="n">
        <v>61610.7</v>
      </c>
      <c r="K17" t="n">
        <v>593218</v>
      </c>
      <c r="L17" t="n">
        <v>53821</v>
      </c>
      <c r="M17" t="n">
        <v>1380249.1</v>
      </c>
      <c r="N17" t="n">
        <v>19290687</v>
      </c>
      <c r="O17" t="n">
        <v>81982</v>
      </c>
      <c r="P17" t="n">
        <v>180491.1</v>
      </c>
      <c r="Q17" t="n">
        <v>2854913</v>
      </c>
      <c r="R17" t="n">
        <v>1102</v>
      </c>
      <c r="S17" t="n">
        <v>12008.3</v>
      </c>
      <c r="T17" t="n">
        <v>148548</v>
      </c>
      <c r="U17" t="n">
        <v>1</v>
      </c>
      <c r="V17" t="n">
        <v>1634359.2</v>
      </c>
      <c r="W17" t="n">
        <v>22887366</v>
      </c>
      <c r="X17" t="n">
        <v>136906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14715</v>
      </c>
      <c r="C18" t="inlineStr">
        <is>
          <t>PPL Electric Utilities Corp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PA</t>
        </is>
      </c>
      <c r="H18" t="inlineStr">
        <is>
          <t>Investor Owned</t>
        </is>
      </c>
      <c r="I18" t="inlineStr">
        <is>
          <t>PJM</t>
        </is>
      </c>
      <c r="J18" t="n">
        <v>1380991.7</v>
      </c>
      <c r="K18" t="n">
        <v>8128207</v>
      </c>
      <c r="L18" t="n">
        <v>797773</v>
      </c>
      <c r="M18" t="n">
        <v>262203.9</v>
      </c>
      <c r="N18" t="n">
        <v>1886520</v>
      </c>
      <c r="O18" t="n">
        <v>93479</v>
      </c>
      <c r="P18" t="n">
        <v>16938.7</v>
      </c>
      <c r="Q18" t="n">
        <v>154926</v>
      </c>
      <c r="R18" t="n">
        <v>856</v>
      </c>
      <c r="S18" t="n">
        <v>0</v>
      </c>
      <c r="T18" t="n">
        <v>0</v>
      </c>
      <c r="U18" t="n">
        <v>0</v>
      </c>
      <c r="V18" t="n">
        <v>1660134.3</v>
      </c>
      <c r="W18" t="n">
        <v>10169653</v>
      </c>
      <c r="X18" t="n">
        <v>892108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14715</v>
      </c>
      <c r="C19" t="inlineStr">
        <is>
          <t>PPL Electric Utilities Corp</t>
        </is>
      </c>
      <c r="D19" t="inlineStr">
        <is>
          <t>C</t>
        </is>
      </c>
      <c r="E19" t="inlineStr">
        <is>
          <t>Delivery</t>
        </is>
      </c>
      <c r="F19" t="inlineStr">
        <is>
          <t>O</t>
        </is>
      </c>
      <c r="G19" t="inlineStr">
        <is>
          <t>PA</t>
        </is>
      </c>
      <c r="H19" t="inlineStr">
        <is>
          <t>Investor Owned</t>
        </is>
      </c>
      <c r="I19" t="inlineStr">
        <is>
          <t>PJM</t>
        </is>
      </c>
      <c r="J19" t="n">
        <v>374734.4</v>
      </c>
      <c r="K19" t="n">
        <v>6098417</v>
      </c>
      <c r="L19" t="n">
        <v>498110</v>
      </c>
      <c r="M19" t="n">
        <v>193575.7</v>
      </c>
      <c r="N19" t="n">
        <v>12010707</v>
      </c>
      <c r="O19" t="n">
        <v>95036</v>
      </c>
      <c r="P19" t="n">
        <v>36574</v>
      </c>
      <c r="Q19" t="n">
        <v>8345169</v>
      </c>
      <c r="R19" t="n">
        <v>2093</v>
      </c>
      <c r="S19" t="n">
        <v>0</v>
      </c>
      <c r="T19" t="n">
        <v>0</v>
      </c>
      <c r="U19" t="n">
        <v>0</v>
      </c>
      <c r="V19" t="n">
        <v>604884.1</v>
      </c>
      <c r="W19" t="n">
        <v>26454293</v>
      </c>
      <c r="X19" t="n">
        <v>595239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14940</v>
      </c>
      <c r="C20" t="inlineStr">
        <is>
          <t>PECO Energy Co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PA</t>
        </is>
      </c>
      <c r="H20" t="inlineStr">
        <is>
          <t>Investor Owned</t>
        </is>
      </c>
      <c r="I20" t="inlineStr">
        <is>
          <t>PJM</t>
        </is>
      </c>
      <c r="J20" t="n">
        <v>1752341</v>
      </c>
      <c r="K20" t="n">
        <v>10840952</v>
      </c>
      <c r="L20" t="n">
        <v>1205013</v>
      </c>
      <c r="M20" t="n">
        <v>311773.5</v>
      </c>
      <c r="N20" t="n">
        <v>2648121</v>
      </c>
      <c r="O20" t="n">
        <v>99909</v>
      </c>
      <c r="P20" t="n">
        <v>42395</v>
      </c>
      <c r="Q20" t="n">
        <v>561116</v>
      </c>
      <c r="R20" t="n">
        <v>394</v>
      </c>
      <c r="S20" t="n">
        <v>0</v>
      </c>
      <c r="T20" t="n">
        <v>0</v>
      </c>
      <c r="U20" t="n">
        <v>0</v>
      </c>
      <c r="V20" t="n">
        <v>2106509.5</v>
      </c>
      <c r="W20" t="n">
        <v>14050189</v>
      </c>
      <c r="X20" t="n">
        <v>1305316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14940</v>
      </c>
      <c r="C21" t="inlineStr">
        <is>
          <t>PECO Energy Co</t>
        </is>
      </c>
      <c r="D21" t="inlineStr">
        <is>
          <t>C</t>
        </is>
      </c>
      <c r="E21" t="inlineStr">
        <is>
          <t>Delivery</t>
        </is>
      </c>
      <c r="F21" t="inlineStr">
        <is>
          <t>O</t>
        </is>
      </c>
      <c r="G21" t="inlineStr">
        <is>
          <t>PA</t>
        </is>
      </c>
      <c r="H21" t="inlineStr">
        <is>
          <t>Investor Owned</t>
        </is>
      </c>
      <c r="I21" t="inlineStr">
        <is>
          <t>PJM</t>
        </is>
      </c>
      <c r="J21" t="n">
        <v>285785.8</v>
      </c>
      <c r="K21" t="n">
        <v>2981893</v>
      </c>
      <c r="L21" t="n">
        <v>330805</v>
      </c>
      <c r="M21" t="n">
        <v>198915.2</v>
      </c>
      <c r="N21" t="n">
        <v>4945199</v>
      </c>
      <c r="O21" t="n">
        <v>67420</v>
      </c>
      <c r="P21" t="n">
        <v>187861.4</v>
      </c>
      <c r="Q21" t="n">
        <v>12964540</v>
      </c>
      <c r="R21" t="n">
        <v>2755</v>
      </c>
      <c r="S21" t="n">
        <v>7078.3</v>
      </c>
      <c r="T21" t="n">
        <v>469922</v>
      </c>
      <c r="U21" t="n">
        <v>3</v>
      </c>
      <c r="V21" t="n">
        <v>679640.7</v>
      </c>
      <c r="W21" t="n">
        <v>21361554</v>
      </c>
      <c r="X21" t="n">
        <v>400983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15045</v>
      </c>
      <c r="C22" t="inlineStr">
        <is>
          <t>Pike County Light &amp; Power Co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PA</t>
        </is>
      </c>
      <c r="H22" t="inlineStr">
        <is>
          <t>Investor Owned</t>
        </is>
      </c>
      <c r="I22" t="inlineStr">
        <is>
          <t>NYIS</t>
        </is>
      </c>
      <c r="J22" t="n">
        <v>5749.3</v>
      </c>
      <c r="K22" t="n">
        <v>28824</v>
      </c>
      <c r="L22" t="n">
        <v>3646</v>
      </c>
      <c r="M22" t="n">
        <v>7035</v>
      </c>
      <c r="N22" t="n">
        <v>40496</v>
      </c>
      <c r="O22" t="n">
        <v>799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12784.3</v>
      </c>
      <c r="W22" t="n">
        <v>69320</v>
      </c>
      <c r="X22" t="n">
        <v>4445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15045</v>
      </c>
      <c r="C23" t="inlineStr">
        <is>
          <t>Pike County Light &amp; Power Co</t>
        </is>
      </c>
      <c r="D23" t="inlineStr">
        <is>
          <t>C</t>
        </is>
      </c>
      <c r="E23" t="inlineStr">
        <is>
          <t>Delivery</t>
        </is>
      </c>
      <c r="F23" t="inlineStr">
        <is>
          <t>O</t>
        </is>
      </c>
      <c r="G23" t="inlineStr">
        <is>
          <t>PA</t>
        </is>
      </c>
      <c r="H23" t="inlineStr">
        <is>
          <t>Investor Owned</t>
        </is>
      </c>
      <c r="I23" t="inlineStr">
        <is>
          <t>NYIS</t>
        </is>
      </c>
      <c r="J23" t="n">
        <v>629.8</v>
      </c>
      <c r="K23" t="n">
        <v>5368</v>
      </c>
      <c r="L23" t="n">
        <v>701</v>
      </c>
      <c r="M23" t="n">
        <v>714.6</v>
      </c>
      <c r="N23" t="n">
        <v>6934</v>
      </c>
      <c r="O23" t="n">
        <v>216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1344.4</v>
      </c>
      <c r="W23" t="n">
        <v>12302</v>
      </c>
      <c r="X23" t="n">
        <v>917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16840</v>
      </c>
      <c r="C24" t="inlineStr">
        <is>
          <t>Calpine Energy Solutions, LLC</t>
        </is>
      </c>
      <c r="D24" t="inlineStr">
        <is>
          <t>B</t>
        </is>
      </c>
      <c r="E24" t="inlineStr">
        <is>
          <t>Energy</t>
        </is>
      </c>
      <c r="F24" t="inlineStr">
        <is>
          <t>O</t>
        </is>
      </c>
      <c r="G24" t="inlineStr">
        <is>
          <t>PA</t>
        </is>
      </c>
      <c r="H24" t="inlineStr">
        <is>
          <t>Retail Power Marketer</t>
        </is>
      </c>
      <c r="I24" t="inlineStr">
        <is>
          <t>PJM</t>
        </is>
      </c>
      <c r="J24" t="n">
        <v>0</v>
      </c>
      <c r="K24" t="n">
        <v>0</v>
      </c>
      <c r="L24" t="n">
        <v>0</v>
      </c>
      <c r="M24" t="n">
        <v>241453.8</v>
      </c>
      <c r="N24" t="n">
        <v>4459656</v>
      </c>
      <c r="O24" t="n">
        <v>67</v>
      </c>
      <c r="P24" t="n">
        <v>19502.9</v>
      </c>
      <c r="Q24" t="n">
        <v>347804</v>
      </c>
      <c r="R24" t="n">
        <v>9</v>
      </c>
      <c r="S24" t="n">
        <v>0</v>
      </c>
      <c r="T24" t="n">
        <v>0</v>
      </c>
      <c r="U24" t="n">
        <v>0</v>
      </c>
      <c r="V24" t="n">
        <v>260956.7</v>
      </c>
      <c r="W24" t="n">
        <v>4807460</v>
      </c>
      <c r="X24" t="n">
        <v>76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18193</v>
      </c>
      <c r="C25" t="inlineStr">
        <is>
          <t>Direct Energy Business</t>
        </is>
      </c>
      <c r="D25" t="inlineStr">
        <is>
          <t>B</t>
        </is>
      </c>
      <c r="E25" t="inlineStr">
        <is>
          <t>Energy</t>
        </is>
      </c>
      <c r="F25" t="inlineStr">
        <is>
          <t>O</t>
        </is>
      </c>
      <c r="G25" t="inlineStr">
        <is>
          <t>PA</t>
        </is>
      </c>
      <c r="H25" t="inlineStr">
        <is>
          <t>Retail Power Marketer</t>
        </is>
      </c>
      <c r="I25" t="inlineStr">
        <is>
          <t>PJM</t>
        </is>
      </c>
      <c r="J25" t="n">
        <v>0</v>
      </c>
      <c r="K25" t="n">
        <v>0</v>
      </c>
      <c r="L25" t="n">
        <v>0</v>
      </c>
      <c r="M25" t="n">
        <v>135657.5</v>
      </c>
      <c r="N25" t="n">
        <v>1599928</v>
      </c>
      <c r="O25" t="n">
        <v>6331</v>
      </c>
      <c r="P25" t="n">
        <v>459153.2</v>
      </c>
      <c r="Q25" t="n">
        <v>6409008</v>
      </c>
      <c r="R25" t="n">
        <v>717</v>
      </c>
      <c r="S25" t="n">
        <v>0</v>
      </c>
      <c r="T25" t="n">
        <v>0</v>
      </c>
      <c r="U25" t="n">
        <v>0</v>
      </c>
      <c r="V25" t="n">
        <v>594810.7</v>
      </c>
      <c r="W25" t="n">
        <v>8008936</v>
      </c>
      <c r="X25" t="n">
        <v>7048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19107</v>
      </c>
      <c r="C26" t="inlineStr">
        <is>
          <t>ENGIE Resources LLC</t>
        </is>
      </c>
      <c r="D26" t="inlineStr">
        <is>
          <t>B</t>
        </is>
      </c>
      <c r="E26" t="inlineStr">
        <is>
          <t>Energy</t>
        </is>
      </c>
      <c r="F26" t="inlineStr">
        <is>
          <t>O</t>
        </is>
      </c>
      <c r="G26" t="inlineStr">
        <is>
          <t>PA</t>
        </is>
      </c>
      <c r="H26" t="inlineStr">
        <is>
          <t>Retail Power Marketer</t>
        </is>
      </c>
      <c r="I26" t="inlineStr">
        <is>
          <t>PJM</t>
        </is>
      </c>
      <c r="J26" t="n">
        <v>0</v>
      </c>
      <c r="K26" t="n">
        <v>0</v>
      </c>
      <c r="L26" t="n">
        <v>0</v>
      </c>
      <c r="M26" t="n">
        <v>280552.2</v>
      </c>
      <c r="N26" t="n">
        <v>4137884</v>
      </c>
      <c r="O26" t="n">
        <v>3424</v>
      </c>
      <c r="P26" t="n">
        <v>28086.1</v>
      </c>
      <c r="Q26" t="n">
        <v>414244</v>
      </c>
      <c r="R26" t="n">
        <v>343</v>
      </c>
      <c r="S26" t="n">
        <v>0</v>
      </c>
      <c r="T26" t="n">
        <v>0</v>
      </c>
      <c r="U26" t="n">
        <v>0</v>
      </c>
      <c r="V26" t="n">
        <v>308638.3</v>
      </c>
      <c r="W26" t="n">
        <v>4552128</v>
      </c>
      <c r="X26" t="n">
        <v>3767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19126</v>
      </c>
      <c r="C27" t="inlineStr">
        <is>
          <t>TriEagle Energy, L.P.</t>
        </is>
      </c>
      <c r="D27" t="inlineStr">
        <is>
          <t>B</t>
        </is>
      </c>
      <c r="E27" t="inlineStr">
        <is>
          <t>Energy</t>
        </is>
      </c>
      <c r="F27" t="inlineStr">
        <is>
          <t>O</t>
        </is>
      </c>
      <c r="G27" t="inlineStr">
        <is>
          <t>PA</t>
        </is>
      </c>
      <c r="H27" t="inlineStr">
        <is>
          <t>Retail Power Marketer</t>
        </is>
      </c>
      <c r="I27" t="inlineStr">
        <is>
          <t>PJM</t>
        </is>
      </c>
      <c r="J27" t="n">
        <v>3533.6</v>
      </c>
      <c r="K27" t="n">
        <v>26905</v>
      </c>
      <c r="L27" t="n">
        <v>2801</v>
      </c>
      <c r="M27" t="n">
        <v>803</v>
      </c>
      <c r="N27" t="n">
        <v>7042</v>
      </c>
      <c r="O27" t="n">
        <v>237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4336.6</v>
      </c>
      <c r="W27" t="n">
        <v>33947</v>
      </c>
      <c r="X27" t="n">
        <v>3038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19390</v>
      </c>
      <c r="C28" t="inlineStr">
        <is>
          <t>UGI Utilities, Inc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PA</t>
        </is>
      </c>
      <c r="H28" t="inlineStr">
        <is>
          <t>Investor Owned</t>
        </is>
      </c>
      <c r="I28" t="inlineStr">
        <is>
          <t>PJM</t>
        </is>
      </c>
      <c r="J28" t="n">
        <v>103232.3</v>
      </c>
      <c r="K28" t="n">
        <v>545375</v>
      </c>
      <c r="L28" t="n">
        <v>54485</v>
      </c>
      <c r="M28" t="n">
        <v>24574.9</v>
      </c>
      <c r="N28" t="n">
        <v>185609</v>
      </c>
      <c r="O28" t="n">
        <v>6933</v>
      </c>
      <c r="P28" t="n">
        <v>2022</v>
      </c>
      <c r="Q28" t="n">
        <v>23104</v>
      </c>
      <c r="R28" t="n">
        <v>76</v>
      </c>
      <c r="S28" t="n">
        <v>0</v>
      </c>
      <c r="T28" t="n">
        <v>0</v>
      </c>
      <c r="U28" t="n">
        <v>0</v>
      </c>
      <c r="V28" t="n">
        <v>129829.2</v>
      </c>
      <c r="W28" t="n">
        <v>754088</v>
      </c>
      <c r="X28" t="n">
        <v>61494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19390</v>
      </c>
      <c r="C29" t="inlineStr">
        <is>
          <t>UGI Utilities, Inc</t>
        </is>
      </c>
      <c r="D29" t="inlineStr">
        <is>
          <t>C</t>
        </is>
      </c>
      <c r="E29" t="inlineStr">
        <is>
          <t>Delivery</t>
        </is>
      </c>
      <c r="F29" t="inlineStr">
        <is>
          <t>O</t>
        </is>
      </c>
      <c r="G29" t="inlineStr">
        <is>
          <t>PA</t>
        </is>
      </c>
      <c r="H29" t="inlineStr">
        <is>
          <t>Investor Owned</t>
        </is>
      </c>
      <c r="I29" t="inlineStr">
        <is>
          <t>PJM</t>
        </is>
      </c>
      <c r="J29" t="n">
        <v>488.9</v>
      </c>
      <c r="K29" t="n">
        <v>5709</v>
      </c>
      <c r="L29" t="n">
        <v>526</v>
      </c>
      <c r="M29" t="n">
        <v>4572.8</v>
      </c>
      <c r="N29" t="n">
        <v>142412</v>
      </c>
      <c r="O29" t="n">
        <v>823</v>
      </c>
      <c r="P29" t="n">
        <v>1900.6</v>
      </c>
      <c r="Q29" t="n">
        <v>77753</v>
      </c>
      <c r="R29" t="n">
        <v>77</v>
      </c>
      <c r="S29" t="n">
        <v>0</v>
      </c>
      <c r="T29" t="n">
        <v>0</v>
      </c>
      <c r="U29" t="n">
        <v>0</v>
      </c>
      <c r="V29" t="n">
        <v>6962.3</v>
      </c>
      <c r="W29" t="n">
        <v>225874</v>
      </c>
      <c r="X29" t="n">
        <v>1426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20334</v>
      </c>
      <c r="C30" t="inlineStr">
        <is>
          <t>Wellsborough Electric Co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PA</t>
        </is>
      </c>
      <c r="H30" t="inlineStr">
        <is>
          <t>Investor Owned</t>
        </is>
      </c>
      <c r="I30" t="inlineStr">
        <is>
          <t>PJM</t>
        </is>
      </c>
      <c r="J30" t="n">
        <v>6903.4</v>
      </c>
      <c r="K30" t="n">
        <v>41970</v>
      </c>
      <c r="L30" t="n">
        <v>5158</v>
      </c>
      <c r="M30" t="n">
        <v>3594</v>
      </c>
      <c r="N30" t="n">
        <v>23459</v>
      </c>
      <c r="O30" t="n">
        <v>1253</v>
      </c>
      <c r="P30" t="n">
        <v>1346</v>
      </c>
      <c r="Q30" t="n">
        <v>13270</v>
      </c>
      <c r="R30" t="n">
        <v>7</v>
      </c>
      <c r="S30" t="n">
        <v>0</v>
      </c>
      <c r="T30" t="n">
        <v>0</v>
      </c>
      <c r="U30" t="n">
        <v>0</v>
      </c>
      <c r="V30" t="n">
        <v>11843.4</v>
      </c>
      <c r="W30" t="n">
        <v>78699</v>
      </c>
      <c r="X30" t="n">
        <v>6418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20334</v>
      </c>
      <c r="C31" t="inlineStr">
        <is>
          <t>Wellsborough Electric Co</t>
        </is>
      </c>
      <c r="D31" t="inlineStr">
        <is>
          <t>C</t>
        </is>
      </c>
      <c r="E31" t="inlineStr">
        <is>
          <t>Delivery</t>
        </is>
      </c>
      <c r="F31" t="inlineStr">
        <is>
          <t>O</t>
        </is>
      </c>
      <c r="G31" t="inlineStr">
        <is>
          <t>PA</t>
        </is>
      </c>
      <c r="H31" t="inlineStr">
        <is>
          <t>Investor Owned</t>
        </is>
      </c>
      <c r="I31" t="inlineStr">
        <is>
          <t>PJM</t>
        </is>
      </c>
      <c r="J31" t="n">
        <v>0</v>
      </c>
      <c r="K31" t="n">
        <v>0</v>
      </c>
      <c r="L31" t="n">
        <v>0</v>
      </c>
      <c r="M31" t="n">
        <v>318.9</v>
      </c>
      <c r="N31" t="n">
        <v>6877</v>
      </c>
      <c r="O31" t="n">
        <v>45</v>
      </c>
      <c r="P31" t="n">
        <v>425.7</v>
      </c>
      <c r="Q31" t="n">
        <v>11340</v>
      </c>
      <c r="R31" t="n">
        <v>6</v>
      </c>
      <c r="S31" t="n">
        <v>0</v>
      </c>
      <c r="T31" t="n">
        <v>0</v>
      </c>
      <c r="U31" t="n">
        <v>0</v>
      </c>
      <c r="V31" t="n">
        <v>744.6</v>
      </c>
      <c r="W31" t="n">
        <v>18217</v>
      </c>
      <c r="X31" t="n">
        <v>51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20659</v>
      </c>
      <c r="C32" t="inlineStr">
        <is>
          <t>WGL Energy Services, Inc.</t>
        </is>
      </c>
      <c r="D32" t="inlineStr">
        <is>
          <t>B</t>
        </is>
      </c>
      <c r="E32" t="inlineStr">
        <is>
          <t>Energy</t>
        </is>
      </c>
      <c r="F32" t="inlineStr">
        <is>
          <t>O</t>
        </is>
      </c>
      <c r="G32" t="inlineStr">
        <is>
          <t>PA</t>
        </is>
      </c>
      <c r="H32" t="inlineStr">
        <is>
          <t>Retail Power Marketer</t>
        </is>
      </c>
      <c r="I32" t="inlineStr">
        <is>
          <t>PJM</t>
        </is>
      </c>
      <c r="J32" t="n">
        <v>6386</v>
      </c>
      <c r="K32" t="n">
        <v>98555</v>
      </c>
      <c r="L32" t="n">
        <v>11403</v>
      </c>
      <c r="M32" t="n">
        <v>313159</v>
      </c>
      <c r="N32" t="n">
        <v>4489731</v>
      </c>
      <c r="O32" t="n">
        <v>21575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319545</v>
      </c>
      <c r="W32" t="n">
        <v>4588286</v>
      </c>
      <c r="X32" t="n">
        <v>32978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28802</v>
      </c>
      <c r="C33" t="inlineStr">
        <is>
          <t>Talen Energy Marketing, LLC</t>
        </is>
      </c>
      <c r="D33" t="inlineStr">
        <is>
          <t>B</t>
        </is>
      </c>
      <c r="E33" t="inlineStr">
        <is>
          <t>Energy</t>
        </is>
      </c>
      <c r="F33" t="inlineStr">
        <is>
          <t>O</t>
        </is>
      </c>
      <c r="G33" t="inlineStr">
        <is>
          <t>PA</t>
        </is>
      </c>
      <c r="H33" t="inlineStr">
        <is>
          <t>Retail Power Marketer</t>
        </is>
      </c>
      <c r="I33" t="inlineStr">
        <is>
          <t>PJM</t>
        </is>
      </c>
      <c r="J33" t="inlineStr">
        <is>
          <t>.</t>
        </is>
      </c>
      <c r="K33" t="inlineStr">
        <is>
          <t>.</t>
        </is>
      </c>
      <c r="L33" t="inlineStr">
        <is>
          <t>.</t>
        </is>
      </c>
      <c r="M33" t="inlineStr">
        <is>
          <t>.</t>
        </is>
      </c>
      <c r="N33" t="inlineStr">
        <is>
          <t>.</t>
        </is>
      </c>
      <c r="O33" t="inlineStr">
        <is>
          <t>.</t>
        </is>
      </c>
      <c r="P33" t="n">
        <v>1429</v>
      </c>
      <c r="Q33" t="n">
        <v>34777</v>
      </c>
      <c r="R33" t="n">
        <v>4</v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1429</v>
      </c>
      <c r="W33" t="n">
        <v>34777</v>
      </c>
      <c r="X33" t="n">
        <v>4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40167</v>
      </c>
      <c r="C34" t="inlineStr">
        <is>
          <t>Somerset Rural Elec Coop, Inc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PA</t>
        </is>
      </c>
      <c r="H34" t="inlineStr">
        <is>
          <t>Cooperative</t>
        </is>
      </c>
      <c r="I34" t="inlineStr">
        <is>
          <t>PJM</t>
        </is>
      </c>
      <c r="J34" t="n">
        <v>17484</v>
      </c>
      <c r="K34" t="n">
        <v>125202</v>
      </c>
      <c r="L34" t="n">
        <v>12322</v>
      </c>
      <c r="M34" t="n">
        <v>6517</v>
      </c>
      <c r="N34" t="n">
        <v>52872</v>
      </c>
      <c r="O34" t="n">
        <v>1578</v>
      </c>
      <c r="P34" t="n">
        <v>1695</v>
      </c>
      <c r="Q34" t="n">
        <v>17226</v>
      </c>
      <c r="R34" t="n">
        <v>3</v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25696</v>
      </c>
      <c r="W34" t="n">
        <v>195300</v>
      </c>
      <c r="X34" t="n">
        <v>13903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40220</v>
      </c>
      <c r="C35" t="inlineStr">
        <is>
          <t>Adams Electric Cooperative Inc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PA</t>
        </is>
      </c>
      <c r="H35" t="inlineStr">
        <is>
          <t>Cooperative</t>
        </is>
      </c>
      <c r="I35" t="inlineStr">
        <is>
          <t>PJM</t>
        </is>
      </c>
      <c r="J35" t="n">
        <v>64263</v>
      </c>
      <c r="K35" t="n">
        <v>445525</v>
      </c>
      <c r="L35" t="n">
        <v>32231</v>
      </c>
      <c r="M35" t="n">
        <v>11393</v>
      </c>
      <c r="N35" t="n">
        <v>86441</v>
      </c>
      <c r="O35" t="n">
        <v>2289</v>
      </c>
      <c r="P35" t="n">
        <v>4368</v>
      </c>
      <c r="Q35" t="n">
        <v>42873</v>
      </c>
      <c r="R35" t="n">
        <v>14</v>
      </c>
      <c r="S35" t="inlineStr">
        <is>
          <t>.</t>
        </is>
      </c>
      <c r="T35" t="inlineStr">
        <is>
          <t>.</t>
        </is>
      </c>
      <c r="U35" t="inlineStr">
        <is>
          <t>.</t>
        </is>
      </c>
      <c r="V35" t="n">
        <v>80024</v>
      </c>
      <c r="W35" t="n">
        <v>574839</v>
      </c>
      <c r="X35" t="n">
        <v>34534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40221</v>
      </c>
      <c r="C36" t="inlineStr">
        <is>
          <t>Bedford Rural Elec Coop, Inc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PA</t>
        </is>
      </c>
      <c r="H36" t="inlineStr">
        <is>
          <t>Cooperative</t>
        </is>
      </c>
      <c r="I36" t="inlineStr">
        <is>
          <t>PJM</t>
        </is>
      </c>
      <c r="J36" t="n">
        <v>14457</v>
      </c>
      <c r="K36" t="n">
        <v>99379</v>
      </c>
      <c r="L36" t="n">
        <v>8837</v>
      </c>
      <c r="M36" t="n">
        <v>3947</v>
      </c>
      <c r="N36" t="n">
        <v>31218</v>
      </c>
      <c r="O36" t="n">
        <v>743</v>
      </c>
      <c r="P36" t="n">
        <v>10568</v>
      </c>
      <c r="Q36" t="n">
        <v>100908</v>
      </c>
      <c r="R36" t="n">
        <v>2</v>
      </c>
      <c r="S36" t="inlineStr">
        <is>
          <t>.</t>
        </is>
      </c>
      <c r="T36" t="inlineStr">
        <is>
          <t>.</t>
        </is>
      </c>
      <c r="U36" t="inlineStr">
        <is>
          <t>.</t>
        </is>
      </c>
      <c r="V36" t="n">
        <v>28972</v>
      </c>
      <c r="W36" t="n">
        <v>231505</v>
      </c>
      <c r="X36" t="n">
        <v>9582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40222</v>
      </c>
      <c r="C37" t="inlineStr">
        <is>
          <t>Valley Rural Electric Coop Inc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PA</t>
        </is>
      </c>
      <c r="H37" t="inlineStr">
        <is>
          <t>Cooperative</t>
        </is>
      </c>
      <c r="I37" t="inlineStr">
        <is>
          <t>PJM</t>
        </is>
      </c>
      <c r="J37" t="n">
        <v>30509</v>
      </c>
      <c r="K37" t="n">
        <v>205157</v>
      </c>
      <c r="L37" t="n">
        <v>18180</v>
      </c>
      <c r="M37" t="n">
        <v>10919</v>
      </c>
      <c r="N37" t="n">
        <v>76843</v>
      </c>
      <c r="O37" t="n">
        <v>4403</v>
      </c>
      <c r="P37" t="n">
        <v>489</v>
      </c>
      <c r="Q37" t="n">
        <v>3955</v>
      </c>
      <c r="R37" t="n">
        <v>2</v>
      </c>
      <c r="S37" t="inlineStr">
        <is>
          <t>.</t>
        </is>
      </c>
      <c r="T37" t="inlineStr">
        <is>
          <t>.</t>
        </is>
      </c>
      <c r="U37" t="inlineStr">
        <is>
          <t>.</t>
        </is>
      </c>
      <c r="V37" t="n">
        <v>41917</v>
      </c>
      <c r="W37" t="n">
        <v>285955</v>
      </c>
      <c r="X37" t="n">
        <v>22585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40224</v>
      </c>
      <c r="C38" t="inlineStr">
        <is>
          <t>Central Electric Coop, Inc - (PA)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PA</t>
        </is>
      </c>
      <c r="H38" t="inlineStr">
        <is>
          <t>Cooperative</t>
        </is>
      </c>
      <c r="I38" t="inlineStr">
        <is>
          <t>PJM</t>
        </is>
      </c>
      <c r="J38" t="n">
        <v>36790</v>
      </c>
      <c r="K38" t="n">
        <v>216051</v>
      </c>
      <c r="L38" t="n">
        <v>23629</v>
      </c>
      <c r="M38" t="n">
        <v>9073</v>
      </c>
      <c r="N38" t="n">
        <v>65626</v>
      </c>
      <c r="O38" t="n">
        <v>1966</v>
      </c>
      <c r="P38" t="n">
        <v>2451</v>
      </c>
      <c r="Q38" t="n">
        <v>21309</v>
      </c>
      <c r="R38" t="n">
        <v>9</v>
      </c>
      <c r="S38" t="inlineStr">
        <is>
          <t>.</t>
        </is>
      </c>
      <c r="T38" t="inlineStr">
        <is>
          <t>.</t>
        </is>
      </c>
      <c r="U38" t="inlineStr">
        <is>
          <t>.</t>
        </is>
      </c>
      <c r="V38" t="n">
        <v>48314</v>
      </c>
      <c r="W38" t="n">
        <v>302986</v>
      </c>
      <c r="X38" t="n">
        <v>25604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40289</v>
      </c>
      <c r="C39" t="inlineStr">
        <is>
          <t>Claverack Rural Elec Coop Inc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PA</t>
        </is>
      </c>
      <c r="H39" t="inlineStr">
        <is>
          <t>Cooperative</t>
        </is>
      </c>
      <c r="I39" t="inlineStr">
        <is>
          <t>PJM</t>
        </is>
      </c>
      <c r="J39" t="n">
        <v>30449</v>
      </c>
      <c r="K39" t="n">
        <v>166838</v>
      </c>
      <c r="L39" t="n">
        <v>16742</v>
      </c>
      <c r="M39" t="n">
        <v>9650</v>
      </c>
      <c r="N39" t="n">
        <v>70184</v>
      </c>
      <c r="O39" t="n">
        <v>2365</v>
      </c>
      <c r="P39" t="n">
        <v>7024</v>
      </c>
      <c r="Q39" t="n">
        <v>77359</v>
      </c>
      <c r="R39" t="n">
        <v>4</v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n">
        <v>47123</v>
      </c>
      <c r="W39" t="n">
        <v>314381</v>
      </c>
      <c r="X39" t="n">
        <v>19111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40290</v>
      </c>
      <c r="C40" t="inlineStr">
        <is>
          <t>Tri-County Rural Elec Coop Inc (PA)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PA</t>
        </is>
      </c>
      <c r="H40" t="inlineStr">
        <is>
          <t>Cooperative</t>
        </is>
      </c>
      <c r="I40" t="inlineStr">
        <is>
          <t>PJM</t>
        </is>
      </c>
      <c r="J40" t="n">
        <v>24934</v>
      </c>
      <c r="K40" t="n">
        <v>124161</v>
      </c>
      <c r="L40" t="n">
        <v>18206</v>
      </c>
      <c r="M40" t="n">
        <v>7686</v>
      </c>
      <c r="N40" t="n">
        <v>59371</v>
      </c>
      <c r="O40" t="n">
        <v>1352</v>
      </c>
      <c r="P40" t="n">
        <v>3121</v>
      </c>
      <c r="Q40" t="n">
        <v>33664</v>
      </c>
      <c r="R40" t="n">
        <v>4</v>
      </c>
      <c r="S40" t="inlineStr">
        <is>
          <t>.</t>
        </is>
      </c>
      <c r="T40" t="inlineStr">
        <is>
          <t>.</t>
        </is>
      </c>
      <c r="U40" t="inlineStr">
        <is>
          <t>.</t>
        </is>
      </c>
      <c r="V40" t="n">
        <v>35741</v>
      </c>
      <c r="W40" t="n">
        <v>217196</v>
      </c>
      <c r="X40" t="n">
        <v>19562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40292</v>
      </c>
      <c r="C41" t="inlineStr">
        <is>
          <t>REA Energy Coop Inc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PA</t>
        </is>
      </c>
      <c r="H41" t="inlineStr">
        <is>
          <t>Cooperative</t>
        </is>
      </c>
      <c r="I41" t="inlineStr">
        <is>
          <t>PJM</t>
        </is>
      </c>
      <c r="J41" t="n">
        <v>33963</v>
      </c>
      <c r="K41" t="n">
        <v>233726</v>
      </c>
      <c r="L41" t="n">
        <v>20932</v>
      </c>
      <c r="M41" t="n">
        <v>8050</v>
      </c>
      <c r="N41" t="n">
        <v>64486</v>
      </c>
      <c r="O41" t="n">
        <v>1891</v>
      </c>
      <c r="P41" t="n">
        <v>9275</v>
      </c>
      <c r="Q41" t="n">
        <v>81845</v>
      </c>
      <c r="R41" t="n">
        <v>13</v>
      </c>
      <c r="S41" t="inlineStr">
        <is>
          <t>.</t>
        </is>
      </c>
      <c r="T41" t="inlineStr">
        <is>
          <t>.</t>
        </is>
      </c>
      <c r="U41" t="inlineStr">
        <is>
          <t>.</t>
        </is>
      </c>
      <c r="V41" t="n">
        <v>51288</v>
      </c>
      <c r="W41" t="n">
        <v>380057</v>
      </c>
      <c r="X41" t="n">
        <v>22836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40293</v>
      </c>
      <c r="C42" t="inlineStr">
        <is>
          <t>Northwestern Rural E C A, Inc - (PA)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PA</t>
        </is>
      </c>
      <c r="H42" t="inlineStr">
        <is>
          <t>Cooperative</t>
        </is>
      </c>
      <c r="I42" t="inlineStr">
        <is>
          <t>PJM</t>
        </is>
      </c>
      <c r="J42" t="n">
        <v>30333</v>
      </c>
      <c r="K42" t="n">
        <v>194697</v>
      </c>
      <c r="L42" t="n">
        <v>18190</v>
      </c>
      <c r="M42" t="n">
        <v>6260</v>
      </c>
      <c r="N42" t="n">
        <v>43111</v>
      </c>
      <c r="O42" t="n">
        <v>1428</v>
      </c>
      <c r="P42" t="n">
        <v>1099</v>
      </c>
      <c r="Q42" t="n">
        <v>10760</v>
      </c>
      <c r="R42" t="n">
        <v>3</v>
      </c>
      <c r="S42" t="inlineStr">
        <is>
          <t>.</t>
        </is>
      </c>
      <c r="T42" t="inlineStr">
        <is>
          <t>.</t>
        </is>
      </c>
      <c r="U42" t="inlineStr">
        <is>
          <t>.</t>
        </is>
      </c>
      <c r="V42" t="n">
        <v>37692</v>
      </c>
      <c r="W42" t="n">
        <v>248568</v>
      </c>
      <c r="X42" t="n">
        <v>19621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49730</v>
      </c>
      <c r="C43" t="inlineStr">
        <is>
          <t>American PowerNet</t>
        </is>
      </c>
      <c r="D43" t="inlineStr">
        <is>
          <t>B</t>
        </is>
      </c>
      <c r="E43" t="inlineStr">
        <is>
          <t>Energy</t>
        </is>
      </c>
      <c r="F43" t="inlineStr">
        <is>
          <t>O</t>
        </is>
      </c>
      <c r="G43" t="inlineStr">
        <is>
          <t>PA</t>
        </is>
      </c>
      <c r="H43" t="inlineStr">
        <is>
          <t>Retail Power Marketer</t>
        </is>
      </c>
      <c r="I43" t="inlineStr">
        <is>
          <t>PJM</t>
        </is>
      </c>
      <c r="J43" t="n">
        <v>0</v>
      </c>
      <c r="K43" t="n">
        <v>0</v>
      </c>
      <c r="L43" t="n">
        <v>0</v>
      </c>
      <c r="M43" t="n">
        <v>26552.7</v>
      </c>
      <c r="N43" t="n">
        <v>442499</v>
      </c>
      <c r="O43" t="n">
        <v>14</v>
      </c>
      <c r="P43" t="n">
        <v>14050.6</v>
      </c>
      <c r="Q43" t="n">
        <v>224081</v>
      </c>
      <c r="R43" t="n">
        <v>6</v>
      </c>
      <c r="S43" t="n">
        <v>0</v>
      </c>
      <c r="T43" t="n">
        <v>0</v>
      </c>
      <c r="U43" t="n">
        <v>0</v>
      </c>
      <c r="V43" t="n">
        <v>40603.3</v>
      </c>
      <c r="W43" t="n">
        <v>666580</v>
      </c>
      <c r="X43" t="n">
        <v>20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49746</v>
      </c>
      <c r="C44" t="inlineStr">
        <is>
          <t>The Energy Coop</t>
        </is>
      </c>
      <c r="D44" t="inlineStr">
        <is>
          <t>B</t>
        </is>
      </c>
      <c r="E44" t="inlineStr">
        <is>
          <t>Energy</t>
        </is>
      </c>
      <c r="F44" t="inlineStr">
        <is>
          <t>O</t>
        </is>
      </c>
      <c r="G44" t="inlineStr">
        <is>
          <t>PA</t>
        </is>
      </c>
      <c r="H44" t="inlineStr">
        <is>
          <t>Cooperative</t>
        </is>
      </c>
      <c r="I44" t="inlineStr">
        <is>
          <t>PJM</t>
        </is>
      </c>
      <c r="J44" t="n">
        <v>2594.4</v>
      </c>
      <c r="K44" t="n">
        <v>18866</v>
      </c>
      <c r="L44" t="n">
        <v>2515</v>
      </c>
      <c r="M44" t="n">
        <v>240.7</v>
      </c>
      <c r="N44" t="n">
        <v>1794</v>
      </c>
      <c r="O44" t="n">
        <v>144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2835.1</v>
      </c>
      <c r="W44" t="n">
        <v>20660</v>
      </c>
      <c r="X44" t="n">
        <v>2659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50046</v>
      </c>
      <c r="C45" t="inlineStr">
        <is>
          <t>Texas Retail Energy, LLC</t>
        </is>
      </c>
      <c r="D45" t="inlineStr">
        <is>
          <t>B</t>
        </is>
      </c>
      <c r="E45" t="inlineStr">
        <is>
          <t>Energy</t>
        </is>
      </c>
      <c r="F45" t="inlineStr">
        <is>
          <t>O</t>
        </is>
      </c>
      <c r="G45" t="inlineStr">
        <is>
          <t>PA</t>
        </is>
      </c>
      <c r="H45" t="inlineStr">
        <is>
          <t>Retail Power Marketer</t>
        </is>
      </c>
      <c r="I45" t="inlineStr">
        <is>
          <t>PJM</t>
        </is>
      </c>
      <c r="J45" t="n">
        <v>0</v>
      </c>
      <c r="K45" t="n">
        <v>0</v>
      </c>
      <c r="L45" t="n">
        <v>0</v>
      </c>
      <c r="M45" t="n">
        <v>39085.2</v>
      </c>
      <c r="N45" t="n">
        <v>552152</v>
      </c>
      <c r="O45" t="n">
        <v>217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39085.2</v>
      </c>
      <c r="W45" t="n">
        <v>552152</v>
      </c>
      <c r="X45" t="n">
        <v>217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50153</v>
      </c>
      <c r="C46" t="inlineStr">
        <is>
          <t>APN Starfirst, L.P.</t>
        </is>
      </c>
      <c r="D46" t="inlineStr">
        <is>
          <t>B</t>
        </is>
      </c>
      <c r="E46" t="inlineStr">
        <is>
          <t>Energy</t>
        </is>
      </c>
      <c r="F46" t="inlineStr">
        <is>
          <t>O</t>
        </is>
      </c>
      <c r="G46" t="inlineStr">
        <is>
          <t>PA</t>
        </is>
      </c>
      <c r="H46" t="inlineStr">
        <is>
          <t>Retail Power Marketer</t>
        </is>
      </c>
      <c r="I46" t="inlineStr">
        <is>
          <t>PJM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2036.7</v>
      </c>
      <c r="Q46" t="n">
        <v>41301</v>
      </c>
      <c r="R46" t="n">
        <v>3</v>
      </c>
      <c r="S46" t="n">
        <v>0</v>
      </c>
      <c r="T46" t="n">
        <v>0</v>
      </c>
      <c r="U46" t="n">
        <v>0</v>
      </c>
      <c r="V46" t="n">
        <v>2036.7</v>
      </c>
      <c r="W46" t="n">
        <v>41301</v>
      </c>
      <c r="X46" t="n">
        <v>3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54820</v>
      </c>
      <c r="C47" t="inlineStr">
        <is>
          <t>Direct Energy Services</t>
        </is>
      </c>
      <c r="D47" t="inlineStr">
        <is>
          <t>B</t>
        </is>
      </c>
      <c r="E47" t="inlineStr">
        <is>
          <t>Energy</t>
        </is>
      </c>
      <c r="F47" t="inlineStr">
        <is>
          <t>O</t>
        </is>
      </c>
      <c r="G47" t="inlineStr">
        <is>
          <t>PA</t>
        </is>
      </c>
      <c r="H47" t="inlineStr">
        <is>
          <t>Retail Power Marketer</t>
        </is>
      </c>
      <c r="I47" t="inlineStr">
        <is>
          <t>NYIS</t>
        </is>
      </c>
      <c r="J47" t="n">
        <v>667.8</v>
      </c>
      <c r="K47" t="n">
        <v>5283</v>
      </c>
      <c r="L47" t="n">
        <v>717</v>
      </c>
      <c r="M47" t="n">
        <v>691.8</v>
      </c>
      <c r="N47" t="n">
        <v>7049</v>
      </c>
      <c r="O47" t="n">
        <v>113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1359.6</v>
      </c>
      <c r="W47" t="n">
        <v>12332</v>
      </c>
      <c r="X47" t="n">
        <v>830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54820</v>
      </c>
      <c r="C48" t="inlineStr">
        <is>
          <t>Direct Energy Services</t>
        </is>
      </c>
      <c r="D48" t="inlineStr">
        <is>
          <t>B</t>
        </is>
      </c>
      <c r="E48" t="inlineStr">
        <is>
          <t>Energy</t>
        </is>
      </c>
      <c r="F48" t="inlineStr">
        <is>
          <t>O</t>
        </is>
      </c>
      <c r="G48" t="inlineStr">
        <is>
          <t>PA</t>
        </is>
      </c>
      <c r="H48" t="inlineStr">
        <is>
          <t>Retail Power Marketer</t>
        </is>
      </c>
      <c r="I48" t="inlineStr">
        <is>
          <t>PJM</t>
        </is>
      </c>
      <c r="J48" t="n">
        <v>89536.5</v>
      </c>
      <c r="K48" t="n">
        <v>888673</v>
      </c>
      <c r="L48" t="n">
        <v>77715</v>
      </c>
      <c r="M48" t="n">
        <v>7912.1</v>
      </c>
      <c r="N48" t="n">
        <v>81644</v>
      </c>
      <c r="O48" t="n">
        <v>5677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97448.60000000001</v>
      </c>
      <c r="W48" t="n">
        <v>970317</v>
      </c>
      <c r="X48" t="n">
        <v>83392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54862</v>
      </c>
      <c r="C49" t="inlineStr">
        <is>
          <t>Champion Energy Services</t>
        </is>
      </c>
      <c r="D49" t="inlineStr">
        <is>
          <t>B</t>
        </is>
      </c>
      <c r="E49" t="inlineStr">
        <is>
          <t>Energy</t>
        </is>
      </c>
      <c r="F49" t="inlineStr">
        <is>
          <t>O</t>
        </is>
      </c>
      <c r="G49" t="inlineStr">
        <is>
          <t>PA</t>
        </is>
      </c>
      <c r="H49" t="inlineStr">
        <is>
          <t>Retail Power Marketer</t>
        </is>
      </c>
      <c r="I49" t="inlineStr">
        <is>
          <t>PJM</t>
        </is>
      </c>
      <c r="J49" t="n">
        <v>0</v>
      </c>
      <c r="K49" t="n">
        <v>0</v>
      </c>
      <c r="L49" t="n">
        <v>0</v>
      </c>
      <c r="M49" t="n">
        <v>55114.9</v>
      </c>
      <c r="N49" t="n">
        <v>1142452</v>
      </c>
      <c r="O49" t="n">
        <v>2705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55114.9</v>
      </c>
      <c r="W49" t="n">
        <v>1142452</v>
      </c>
      <c r="X49" t="n">
        <v>2705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55722</v>
      </c>
      <c r="C50" t="inlineStr">
        <is>
          <t>AEP Energy</t>
        </is>
      </c>
      <c r="D50" t="inlineStr">
        <is>
          <t>B</t>
        </is>
      </c>
      <c r="E50" t="inlineStr">
        <is>
          <t>Energy</t>
        </is>
      </c>
      <c r="F50" t="inlineStr">
        <is>
          <t>O</t>
        </is>
      </c>
      <c r="G50" t="inlineStr">
        <is>
          <t>PA</t>
        </is>
      </c>
      <c r="H50" t="inlineStr">
        <is>
          <t>Retail Power Marketer</t>
        </is>
      </c>
      <c r="I50" t="inlineStr">
        <is>
          <t>PJM</t>
        </is>
      </c>
      <c r="J50" t="n">
        <v>104263.6</v>
      </c>
      <c r="K50" t="n">
        <v>1122832</v>
      </c>
      <c r="L50" t="n">
        <v>89725</v>
      </c>
      <c r="M50" t="n">
        <v>167973.3</v>
      </c>
      <c r="N50" t="n">
        <v>2661455</v>
      </c>
      <c r="O50" t="n">
        <v>8263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272236.9</v>
      </c>
      <c r="W50" t="n">
        <v>3784287</v>
      </c>
      <c r="X50" t="n">
        <v>97988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55815</v>
      </c>
      <c r="C51" t="inlineStr">
        <is>
          <t>IDT Energy, Inc.</t>
        </is>
      </c>
      <c r="D51" t="inlineStr">
        <is>
          <t>B</t>
        </is>
      </c>
      <c r="E51" t="inlineStr">
        <is>
          <t>Energy</t>
        </is>
      </c>
      <c r="F51" t="inlineStr">
        <is>
          <t>O</t>
        </is>
      </c>
      <c r="G51" t="inlineStr">
        <is>
          <t>PA</t>
        </is>
      </c>
      <c r="H51" t="inlineStr">
        <is>
          <t>Retail Power Marketer</t>
        </is>
      </c>
      <c r="I51" t="inlineStr">
        <is>
          <t>PJM</t>
        </is>
      </c>
      <c r="J51" t="n">
        <v>9697.799999999999</v>
      </c>
      <c r="K51" t="n">
        <v>62215</v>
      </c>
      <c r="L51" t="n">
        <v>8055</v>
      </c>
      <c r="M51" t="n">
        <v>1217.7</v>
      </c>
      <c r="N51" t="n">
        <v>9006</v>
      </c>
      <c r="O51" t="n">
        <v>583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10915.5</v>
      </c>
      <c r="W51" t="n">
        <v>71221</v>
      </c>
      <c r="X51" t="n">
        <v>8638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55874</v>
      </c>
      <c r="C52" t="inlineStr">
        <is>
          <t>Energy Services Providers, Inc</t>
        </is>
      </c>
      <c r="D52" t="inlineStr">
        <is>
          <t>B</t>
        </is>
      </c>
      <c r="E52" t="inlineStr">
        <is>
          <t>Energy</t>
        </is>
      </c>
      <c r="F52" t="inlineStr">
        <is>
          <t>O</t>
        </is>
      </c>
      <c r="G52" t="inlineStr">
        <is>
          <t>PA</t>
        </is>
      </c>
      <c r="H52" t="inlineStr">
        <is>
          <t>Retail Power Marketer</t>
        </is>
      </c>
      <c r="I52" t="inlineStr">
        <is>
          <t>PJM</t>
        </is>
      </c>
      <c r="J52" t="n">
        <v>22360.9</v>
      </c>
      <c r="K52" t="n">
        <v>180759</v>
      </c>
      <c r="L52" t="n">
        <v>18092</v>
      </c>
      <c r="M52" t="n">
        <v>3126.3</v>
      </c>
      <c r="N52" t="n">
        <v>24798</v>
      </c>
      <c r="O52" t="n">
        <v>1166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25487.2</v>
      </c>
      <c r="W52" t="n">
        <v>205557</v>
      </c>
      <c r="X52" t="n">
        <v>19258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55878</v>
      </c>
      <c r="C53" t="inlineStr">
        <is>
          <t>Hudson Energy Services</t>
        </is>
      </c>
      <c r="D53" t="inlineStr">
        <is>
          <t>B</t>
        </is>
      </c>
      <c r="E53" t="inlineStr">
        <is>
          <t>Energy</t>
        </is>
      </c>
      <c r="F53" t="inlineStr">
        <is>
          <t>O</t>
        </is>
      </c>
      <c r="G53" t="inlineStr">
        <is>
          <t>PA</t>
        </is>
      </c>
      <c r="H53" t="inlineStr">
        <is>
          <t>Retail Power Marketer</t>
        </is>
      </c>
      <c r="I53" t="inlineStr">
        <is>
          <t>PJM</t>
        </is>
      </c>
      <c r="J53" t="n">
        <v>0</v>
      </c>
      <c r="K53" t="n">
        <v>0</v>
      </c>
      <c r="L53" t="n">
        <v>0</v>
      </c>
      <c r="M53" t="n">
        <v>30912.5</v>
      </c>
      <c r="N53" t="n">
        <v>375183</v>
      </c>
      <c r="O53" t="n">
        <v>4710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30912.5</v>
      </c>
      <c r="W53" t="n">
        <v>375183</v>
      </c>
      <c r="X53" t="n">
        <v>4710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56212</v>
      </c>
      <c r="C54" t="inlineStr">
        <is>
          <t>Ambit Energy Holdings, LLC</t>
        </is>
      </c>
      <c r="D54" t="inlineStr">
        <is>
          <t>B</t>
        </is>
      </c>
      <c r="E54" t="inlineStr">
        <is>
          <t>Energy</t>
        </is>
      </c>
      <c r="F54" t="inlineStr">
        <is>
          <t>O</t>
        </is>
      </c>
      <c r="G54" t="inlineStr">
        <is>
          <t>PA</t>
        </is>
      </c>
      <c r="H54" t="inlineStr">
        <is>
          <t>Retail Power Marketer</t>
        </is>
      </c>
      <c r="I54" t="inlineStr">
        <is>
          <t>PJM</t>
        </is>
      </c>
      <c r="J54" t="n">
        <v>24300.5</v>
      </c>
      <c r="K54" t="n">
        <v>182135</v>
      </c>
      <c r="L54" t="n">
        <v>17027</v>
      </c>
      <c r="M54" t="n">
        <v>6435.2</v>
      </c>
      <c r="N54" t="n">
        <v>66402</v>
      </c>
      <c r="O54" t="n">
        <v>3323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30735.7</v>
      </c>
      <c r="W54" t="n">
        <v>248537</v>
      </c>
      <c r="X54" t="n">
        <v>20350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56220</v>
      </c>
      <c r="C55" t="inlineStr">
        <is>
          <t>Anthracite Power &amp; Light</t>
        </is>
      </c>
      <c r="D55" t="inlineStr">
        <is>
          <t>B</t>
        </is>
      </c>
      <c r="E55" t="inlineStr">
        <is>
          <t>Energy</t>
        </is>
      </c>
      <c r="F55" t="inlineStr">
        <is>
          <t>O</t>
        </is>
      </c>
      <c r="G55" t="inlineStr">
        <is>
          <t>PA</t>
        </is>
      </c>
      <c r="H55" t="inlineStr">
        <is>
          <t>Retail Power Marketer</t>
        </is>
      </c>
      <c r="I55" t="inlineStr">
        <is>
          <t>PJM</t>
        </is>
      </c>
      <c r="J55" t="n">
        <v>737</v>
      </c>
      <c r="K55" t="n">
        <v>8230</v>
      </c>
      <c r="L55" t="n">
        <v>697</v>
      </c>
      <c r="M55" t="n">
        <v>16822.8</v>
      </c>
      <c r="N55" t="n">
        <v>227822</v>
      </c>
      <c r="O55" t="n">
        <v>245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17559.8</v>
      </c>
      <c r="W55" t="n">
        <v>236052</v>
      </c>
      <c r="X55" t="n">
        <v>942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56265</v>
      </c>
      <c r="C56" t="inlineStr">
        <is>
          <t>Energy Plus Holdings LLC</t>
        </is>
      </c>
      <c r="D56" t="inlineStr">
        <is>
          <t>B</t>
        </is>
      </c>
      <c r="E56" t="inlineStr">
        <is>
          <t>Energy</t>
        </is>
      </c>
      <c r="F56" t="inlineStr">
        <is>
          <t>O</t>
        </is>
      </c>
      <c r="G56" t="inlineStr">
        <is>
          <t>PA</t>
        </is>
      </c>
      <c r="H56" t="inlineStr">
        <is>
          <t>Retail Power Marketer</t>
        </is>
      </c>
      <c r="I56" t="inlineStr">
        <is>
          <t>PJM</t>
        </is>
      </c>
      <c r="J56" t="n">
        <v>21440.7</v>
      </c>
      <c r="K56" t="n">
        <v>157470</v>
      </c>
      <c r="L56" t="n">
        <v>16977</v>
      </c>
      <c r="M56" t="n">
        <v>1090.6</v>
      </c>
      <c r="N56" t="n">
        <v>8011</v>
      </c>
      <c r="O56" t="n">
        <v>559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22531.3</v>
      </c>
      <c r="W56" t="n">
        <v>165481</v>
      </c>
      <c r="X56" t="n">
        <v>17536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56286</v>
      </c>
      <c r="C57" t="inlineStr">
        <is>
          <t>Frontier Utilities, LLC</t>
        </is>
      </c>
      <c r="D57" t="inlineStr">
        <is>
          <t>B</t>
        </is>
      </c>
      <c r="E57" t="inlineStr">
        <is>
          <t>Energy</t>
        </is>
      </c>
      <c r="F57" t="inlineStr">
        <is>
          <t>O</t>
        </is>
      </c>
      <c r="G57" t="inlineStr">
        <is>
          <t>PA</t>
        </is>
      </c>
      <c r="H57" t="inlineStr">
        <is>
          <t>Retail Power Marketer</t>
        </is>
      </c>
      <c r="I57" t="inlineStr">
        <is>
          <t>PJM</t>
        </is>
      </c>
      <c r="J57" t="n">
        <v>18072.4</v>
      </c>
      <c r="K57" t="n">
        <v>142607</v>
      </c>
      <c r="L57" t="n">
        <v>10754</v>
      </c>
      <c r="M57" t="n">
        <v>13.8</v>
      </c>
      <c r="N57" t="n">
        <v>78</v>
      </c>
      <c r="O57" t="n">
        <v>2</v>
      </c>
      <c r="P57" t="inlineStr">
        <is>
          <t>.</t>
        </is>
      </c>
      <c r="Q57" t="inlineStr">
        <is>
          <t>.</t>
        </is>
      </c>
      <c r="R57" t="inlineStr">
        <is>
          <t>.</t>
        </is>
      </c>
      <c r="S57" t="inlineStr">
        <is>
          <t>.</t>
        </is>
      </c>
      <c r="T57" t="inlineStr">
        <is>
          <t>.</t>
        </is>
      </c>
      <c r="U57" t="inlineStr">
        <is>
          <t>.</t>
        </is>
      </c>
      <c r="V57" t="n">
        <v>18086.2</v>
      </c>
      <c r="W57" t="n">
        <v>142685</v>
      </c>
      <c r="X57" t="n">
        <v>10756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56408</v>
      </c>
      <c r="C58" t="inlineStr">
        <is>
          <t>UGI Energy Services, LLC</t>
        </is>
      </c>
      <c r="D58" t="inlineStr">
        <is>
          <t>B</t>
        </is>
      </c>
      <c r="E58" t="inlineStr">
        <is>
          <t>Energy</t>
        </is>
      </c>
      <c r="F58" t="inlineStr">
        <is>
          <t>O</t>
        </is>
      </c>
      <c r="G58" t="inlineStr">
        <is>
          <t>PA</t>
        </is>
      </c>
      <c r="H58" t="inlineStr">
        <is>
          <t>Retail Power Marketer</t>
        </is>
      </c>
      <c r="I58" t="inlineStr">
        <is>
          <t>PJM</t>
        </is>
      </c>
      <c r="J58" t="n">
        <v>354.3</v>
      </c>
      <c r="K58" t="n">
        <v>4028</v>
      </c>
      <c r="L58" t="n">
        <v>537</v>
      </c>
      <c r="M58" t="n">
        <v>56154.3</v>
      </c>
      <c r="N58" t="n">
        <v>698430</v>
      </c>
      <c r="O58" t="n">
        <v>2482</v>
      </c>
      <c r="P58" t="n">
        <v>35877.4</v>
      </c>
      <c r="Q58" t="n">
        <v>466952</v>
      </c>
      <c r="R58" t="n">
        <v>475</v>
      </c>
      <c r="S58" t="n">
        <v>0</v>
      </c>
      <c r="T58" t="n">
        <v>0</v>
      </c>
      <c r="U58" t="n">
        <v>0</v>
      </c>
      <c r="V58" t="n">
        <v>92386</v>
      </c>
      <c r="W58" t="n">
        <v>1169410</v>
      </c>
      <c r="X58" t="n">
        <v>3494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  <row r="59">
      <c r="A59" t="n">
        <v>2024</v>
      </c>
      <c r="B59" t="n">
        <v>56571</v>
      </c>
      <c r="C59" t="inlineStr">
        <is>
          <t>AP Holdings LLC</t>
        </is>
      </c>
      <c r="D59" t="inlineStr">
        <is>
          <t>B</t>
        </is>
      </c>
      <c r="E59" t="inlineStr">
        <is>
          <t>Energy</t>
        </is>
      </c>
      <c r="F59" t="inlineStr">
        <is>
          <t>O</t>
        </is>
      </c>
      <c r="G59" t="inlineStr">
        <is>
          <t>PA</t>
        </is>
      </c>
      <c r="H59" t="inlineStr">
        <is>
          <t>Retail Power Marketer</t>
        </is>
      </c>
      <c r="I59" t="inlineStr">
        <is>
          <t>PJM</t>
        </is>
      </c>
      <c r="J59" t="n">
        <v>18411.1</v>
      </c>
      <c r="K59" t="n">
        <v>169032</v>
      </c>
      <c r="L59" t="n">
        <v>16050</v>
      </c>
      <c r="M59" t="n">
        <v>23651.4</v>
      </c>
      <c r="N59" t="n">
        <v>251617</v>
      </c>
      <c r="O59" t="n">
        <v>4060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42062.5</v>
      </c>
      <c r="W59" t="n">
        <v>420649</v>
      </c>
      <c r="X59" t="n">
        <v>20110</v>
      </c>
      <c r="Y59">
        <f>IF(ISNUMBER($W59),$W59,0)</f>
        <v/>
      </c>
      <c r="Z59">
        <f>IF(ISNUMBER(SEARCH("Adjustment",$C59)),"excluded",IF($H59="Behind the Meter","excluded",IF(NOT(OR($E59="Bundled",$E59="Energy")),"excluded",IF(OR($H59="Retail Power Marketer",$H59="Community Choice Aggregator",$E59="Energy"),"procurement",IF(OR($H59="Municipal",$H59="Cooperative",$H59="Federal",$H59="State",$H59="Political Subdivision"),"cost_service",IF($H59="Investor Owned",IF(AND(COUNTIF(Parameters!$A$4:$A$33,$G59)&gt;0,COUNTIF(Parameters!$B$4:$B$33,$B59)=0),"procurement","cost_service"),"unclassified"))))))</f>
        <v/>
      </c>
    </row>
    <row r="60">
      <c r="A60" t="n">
        <v>2024</v>
      </c>
      <c r="B60" t="n">
        <v>56573</v>
      </c>
      <c r="C60" t="inlineStr">
        <is>
          <t>Palmco Power PA, LLC</t>
        </is>
      </c>
      <c r="D60" t="inlineStr">
        <is>
          <t>B</t>
        </is>
      </c>
      <c r="E60" t="inlineStr">
        <is>
          <t>Energy</t>
        </is>
      </c>
      <c r="F60" t="inlineStr">
        <is>
          <t>O</t>
        </is>
      </c>
      <c r="G60" t="inlineStr">
        <is>
          <t>PA</t>
        </is>
      </c>
      <c r="H60" t="inlineStr">
        <is>
          <t>Retail Power Marketer</t>
        </is>
      </c>
      <c r="I60" t="inlineStr">
        <is>
          <t>PJM</t>
        </is>
      </c>
      <c r="J60" t="n">
        <v>8420.700000000001</v>
      </c>
      <c r="K60" t="n">
        <v>46634</v>
      </c>
      <c r="L60" t="n">
        <v>7072</v>
      </c>
      <c r="M60" t="n">
        <v>923.9</v>
      </c>
      <c r="N60" t="n">
        <v>8226</v>
      </c>
      <c r="O60" t="n">
        <v>175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9344.6</v>
      </c>
      <c r="W60" t="n">
        <v>54860</v>
      </c>
      <c r="X60" t="n">
        <v>7247</v>
      </c>
      <c r="Y60">
        <f>IF(ISNUMBER($W60),$W60,0)</f>
        <v/>
      </c>
      <c r="Z60">
        <f>IF(ISNUMBER(SEARCH("Adjustment",$C60)),"excluded",IF($H60="Behind the Meter","excluded",IF(NOT(OR($E60="Bundled",$E60="Energy")),"excluded",IF(OR($H60="Retail Power Marketer",$H60="Community Choice Aggregator",$E60="Energy"),"procurement",IF(OR($H60="Municipal",$H60="Cooperative",$H60="Federal",$H60="State",$H60="Political Subdivision"),"cost_service",IF($H60="Investor Owned",IF(AND(COUNTIF(Parameters!$A$4:$A$33,$G60)&gt;0,COUNTIF(Parameters!$B$4:$B$33,$B60)=0),"procurement","cost_service"),"unclassified"))))))</f>
        <v/>
      </c>
    </row>
    <row r="61">
      <c r="A61" t="n">
        <v>2024</v>
      </c>
      <c r="B61" t="n">
        <v>56737</v>
      </c>
      <c r="C61" t="inlineStr">
        <is>
          <t>Stream Energy Pennsylvania, LLC</t>
        </is>
      </c>
      <c r="D61" t="inlineStr">
        <is>
          <t>B</t>
        </is>
      </c>
      <c r="E61" t="inlineStr">
        <is>
          <t>Energy</t>
        </is>
      </c>
      <c r="F61" t="inlineStr">
        <is>
          <t>O</t>
        </is>
      </c>
      <c r="G61" t="inlineStr">
        <is>
          <t>PA</t>
        </is>
      </c>
      <c r="H61" t="inlineStr">
        <is>
          <t>Retail Power Marketer</t>
        </is>
      </c>
      <c r="I61" t="inlineStr">
        <is>
          <t>PJM</t>
        </is>
      </c>
      <c r="J61" t="n">
        <v>26890.2</v>
      </c>
      <c r="K61" t="n">
        <v>201547</v>
      </c>
      <c r="L61" t="n">
        <v>20591</v>
      </c>
      <c r="M61" t="n">
        <v>4045.6</v>
      </c>
      <c r="N61" t="n">
        <v>38456</v>
      </c>
      <c r="O61" t="n">
        <v>1067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30935.8</v>
      </c>
      <c r="W61" t="n">
        <v>240003</v>
      </c>
      <c r="X61" t="n">
        <v>21658</v>
      </c>
      <c r="Y61">
        <f>IF(ISNUMBER($W61),$W61,0)</f>
        <v/>
      </c>
      <c r="Z61">
        <f>IF(ISNUMBER(SEARCH("Adjustment",$C61)),"excluded",IF($H61="Behind the Meter","excluded",IF(NOT(OR($E61="Bundled",$E61="Energy")),"excluded",IF(OR($H61="Retail Power Marketer",$H61="Community Choice Aggregator",$E61="Energy"),"procurement",IF(OR($H61="Municipal",$H61="Cooperative",$H61="Federal",$H61="State",$H61="Political Subdivision"),"cost_service",IF($H61="Investor Owned",IF(AND(COUNTIF(Parameters!$A$4:$A$33,$G61)&gt;0,COUNTIF(Parameters!$B$4:$B$33,$B61)=0),"procurement","cost_service"),"unclassified"))))))</f>
        <v/>
      </c>
    </row>
    <row r="62">
      <c r="A62" t="n">
        <v>2024</v>
      </c>
      <c r="B62" t="n">
        <v>57037</v>
      </c>
      <c r="C62" t="inlineStr">
        <is>
          <t>Reliant Energy Northeast LLC</t>
        </is>
      </c>
      <c r="D62" t="inlineStr">
        <is>
          <t>B</t>
        </is>
      </c>
      <c r="E62" t="inlineStr">
        <is>
          <t>Energy</t>
        </is>
      </c>
      <c r="F62" t="inlineStr">
        <is>
          <t>O</t>
        </is>
      </c>
      <c r="G62" t="inlineStr">
        <is>
          <t>PA</t>
        </is>
      </c>
      <c r="H62" t="inlineStr">
        <is>
          <t>Retail Power Marketer</t>
        </is>
      </c>
      <c r="I62" t="inlineStr">
        <is>
          <t>PJM</t>
        </is>
      </c>
      <c r="J62" t="n">
        <v>183256</v>
      </c>
      <c r="K62" t="n">
        <v>1385072</v>
      </c>
      <c r="L62" t="n">
        <v>142526</v>
      </c>
      <c r="M62" t="n">
        <v>3904</v>
      </c>
      <c r="N62" t="n">
        <v>25290</v>
      </c>
      <c r="O62" t="n">
        <v>2019</v>
      </c>
      <c r="P62" t="n">
        <v>7059.3</v>
      </c>
      <c r="Q62" t="n">
        <v>115381</v>
      </c>
      <c r="R62" t="n">
        <v>17</v>
      </c>
      <c r="S62" t="n">
        <v>0</v>
      </c>
      <c r="T62" t="n">
        <v>0</v>
      </c>
      <c r="U62" t="n">
        <v>0</v>
      </c>
      <c r="V62" t="n">
        <v>194219.3</v>
      </c>
      <c r="W62" t="n">
        <v>1525743</v>
      </c>
      <c r="X62" t="n">
        <v>144562</v>
      </c>
      <c r="Y62">
        <f>IF(ISNUMBER($W62),$W62,0)</f>
        <v/>
      </c>
      <c r="Z62">
        <f>IF(ISNUMBER(SEARCH("Adjustment",$C62)),"excluded",IF($H62="Behind the Meter","excluded",IF(NOT(OR($E62="Bundled",$E62="Energy")),"excluded",IF(OR($H62="Retail Power Marketer",$H62="Community Choice Aggregator",$E62="Energy"),"procurement",IF(OR($H62="Municipal",$H62="Cooperative",$H62="Federal",$H62="State",$H62="Political Subdivision"),"cost_service",IF($H62="Investor Owned",IF(AND(COUNTIF(Parameters!$A$4:$A$33,$G62)&gt;0,COUNTIF(Parameters!$B$4:$B$33,$B62)=0),"procurement","cost_service"),"unclassified"))))))</f>
        <v/>
      </c>
    </row>
    <row r="63">
      <c r="A63" t="n">
        <v>2024</v>
      </c>
      <c r="B63" t="n">
        <v>57307</v>
      </c>
      <c r="C63" t="inlineStr">
        <is>
          <t>ENGIE Power &amp; Gas LLC</t>
        </is>
      </c>
      <c r="D63" t="inlineStr">
        <is>
          <t>B</t>
        </is>
      </c>
      <c r="E63" t="inlineStr">
        <is>
          <t>Energy</t>
        </is>
      </c>
      <c r="F63" t="inlineStr">
        <is>
          <t>O</t>
        </is>
      </c>
      <c r="G63" t="inlineStr">
        <is>
          <t>PA</t>
        </is>
      </c>
      <c r="H63" t="inlineStr">
        <is>
          <t>Retail Power Marketer</t>
        </is>
      </c>
      <c r="I63" t="inlineStr">
        <is>
          <t>PJM</t>
        </is>
      </c>
      <c r="J63" t="n">
        <v>229.3</v>
      </c>
      <c r="K63" t="n">
        <v>1362</v>
      </c>
      <c r="L63" t="n">
        <v>178</v>
      </c>
      <c r="M63" t="n">
        <v>256.7</v>
      </c>
      <c r="N63" t="n">
        <v>2720</v>
      </c>
      <c r="O63" t="n">
        <v>38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486</v>
      </c>
      <c r="W63" t="n">
        <v>4082</v>
      </c>
      <c r="X63" t="n">
        <v>216</v>
      </c>
      <c r="Y63">
        <f>IF(ISNUMBER($W63),$W63,0)</f>
        <v/>
      </c>
      <c r="Z63">
        <f>IF(ISNUMBER(SEARCH("Adjustment",$C63)),"excluded",IF($H63="Behind the Meter","excluded",IF(NOT(OR($E63="Bundled",$E63="Energy")),"excluded",IF(OR($H63="Retail Power Marketer",$H63="Community Choice Aggregator",$E63="Energy"),"procurement",IF(OR($H63="Municipal",$H63="Cooperative",$H63="Federal",$H63="State",$H63="Political Subdivision"),"cost_service",IF($H63="Investor Owned",IF(AND(COUNTIF(Parameters!$A$4:$A$33,$G63)&gt;0,COUNTIF(Parameters!$B$4:$B$33,$B63)=0),"procurement","cost_service"),"unclassified"))))))</f>
        <v/>
      </c>
    </row>
    <row r="64">
      <c r="A64" t="n">
        <v>2024</v>
      </c>
      <c r="B64" t="n">
        <v>57313</v>
      </c>
      <c r="C64" t="inlineStr">
        <is>
          <t>Tesla Inc.</t>
        </is>
      </c>
      <c r="D64" t="inlineStr">
        <is>
          <t>A</t>
        </is>
      </c>
      <c r="E64" t="inlineStr">
        <is>
          <t>Bundled</t>
        </is>
      </c>
      <c r="F64" t="inlineStr">
        <is>
          <t>O</t>
        </is>
      </c>
      <c r="G64" t="inlineStr">
        <is>
          <t>PA</t>
        </is>
      </c>
      <c r="H64" t="inlineStr">
        <is>
          <t>Behind the Meter</t>
        </is>
      </c>
      <c r="I64" t="inlineStr">
        <is>
          <t>PJM</t>
        </is>
      </c>
      <c r="J64" t="n">
        <v>7546</v>
      </c>
      <c r="K64" t="n">
        <v>50653</v>
      </c>
      <c r="L64" t="n">
        <v>6956</v>
      </c>
      <c r="M64" t="n">
        <v>119</v>
      </c>
      <c r="N64" t="n">
        <v>1539</v>
      </c>
      <c r="O64" t="n">
        <v>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7665</v>
      </c>
      <c r="W64" t="n">
        <v>52192</v>
      </c>
      <c r="X64" t="n">
        <v>6964</v>
      </c>
      <c r="Y64">
        <f>IF(ISNUMBER($W64),$W64,0)</f>
        <v/>
      </c>
      <c r="Z64">
        <f>IF(ISNUMBER(SEARCH("Adjustment",$C64)),"excluded",IF($H64="Behind the Meter","excluded",IF(NOT(OR($E64="Bundled",$E64="Energy")),"excluded",IF(OR($H64="Retail Power Marketer",$H64="Community Choice Aggregator",$E64="Energy"),"procurement",IF(OR($H64="Municipal",$H64="Cooperative",$H64="Federal",$H64="State",$H64="Political Subdivision"),"cost_service",IF($H64="Investor Owned",IF(AND(COUNTIF(Parameters!$A$4:$A$33,$G64)&gt;0,COUNTIF(Parameters!$B$4:$B$33,$B64)=0),"procurement","cost_service"),"unclassified"))))))</f>
        <v/>
      </c>
    </row>
    <row r="65">
      <c r="A65" t="n">
        <v>2024</v>
      </c>
      <c r="B65" t="n">
        <v>57453</v>
      </c>
      <c r="C65" t="inlineStr">
        <is>
          <t>Independence Energy Group LLC</t>
        </is>
      </c>
      <c r="D65" t="inlineStr">
        <is>
          <t>B</t>
        </is>
      </c>
      <c r="E65" t="inlineStr">
        <is>
          <t>Energy</t>
        </is>
      </c>
      <c r="F65" t="inlineStr">
        <is>
          <t>O</t>
        </is>
      </c>
      <c r="G65" t="inlineStr">
        <is>
          <t>PA</t>
        </is>
      </c>
      <c r="H65" t="inlineStr">
        <is>
          <t>Retail Power Marketer</t>
        </is>
      </c>
      <c r="I65" t="inlineStr">
        <is>
          <t>PJM</t>
        </is>
      </c>
      <c r="J65" t="n">
        <v>2566.2</v>
      </c>
      <c r="K65" t="n">
        <v>19402</v>
      </c>
      <c r="L65" t="n">
        <v>1857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2566.2</v>
      </c>
      <c r="W65" t="n">
        <v>19402</v>
      </c>
      <c r="X65" t="n">
        <v>1857</v>
      </c>
      <c r="Y65">
        <f>IF(ISNUMBER($W65),$W65,0)</f>
        <v/>
      </c>
      <c r="Z65">
        <f>IF(ISNUMBER(SEARCH("Adjustment",$C65)),"excluded",IF($H65="Behind the Meter","excluded",IF(NOT(OR($E65="Bundled",$E65="Energy")),"excluded",IF(OR($H65="Retail Power Marketer",$H65="Community Choice Aggregator",$E65="Energy"),"procurement",IF(OR($H65="Municipal",$H65="Cooperative",$H65="Federal",$H65="State",$H65="Political Subdivision"),"cost_service",IF($H65="Investor Owned",IF(AND(COUNTIF(Parameters!$A$4:$A$33,$G65)&gt;0,COUNTIF(Parameters!$B$4:$B$33,$B65)=0),"procurement","cost_service"),"unclassified"))))))</f>
        <v/>
      </c>
    </row>
    <row r="66">
      <c r="A66" t="n">
        <v>2024</v>
      </c>
      <c r="B66" t="n">
        <v>58118</v>
      </c>
      <c r="C66" t="inlineStr">
        <is>
          <t>Public Power LLC (PA)</t>
        </is>
      </c>
      <c r="D66" t="inlineStr">
        <is>
          <t>B</t>
        </is>
      </c>
      <c r="E66" t="inlineStr">
        <is>
          <t>Energy</t>
        </is>
      </c>
      <c r="F66" t="inlineStr">
        <is>
          <t>O</t>
        </is>
      </c>
      <c r="G66" t="inlineStr">
        <is>
          <t>PA</t>
        </is>
      </c>
      <c r="H66" t="inlineStr">
        <is>
          <t>Retail Power Marketer</t>
        </is>
      </c>
      <c r="I66" t="inlineStr">
        <is>
          <t>PJM</t>
        </is>
      </c>
      <c r="J66" t="n">
        <v>5879.5</v>
      </c>
      <c r="K66" t="n">
        <v>60904</v>
      </c>
      <c r="L66" t="n">
        <v>6862</v>
      </c>
      <c r="M66" t="n">
        <v>7187.5</v>
      </c>
      <c r="N66" t="n">
        <v>63746</v>
      </c>
      <c r="O66" t="n">
        <v>1164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13067</v>
      </c>
      <c r="W66" t="n">
        <v>124650</v>
      </c>
      <c r="X66" t="n">
        <v>8026</v>
      </c>
      <c r="Y66">
        <f>IF(ISNUMBER($W66),$W66,0)</f>
        <v/>
      </c>
      <c r="Z66">
        <f>IF(ISNUMBER(SEARCH("Adjustment",$C66)),"excluded",IF($H66="Behind the Meter","excluded",IF(NOT(OR($E66="Bundled",$E66="Energy")),"excluded",IF(OR($H66="Retail Power Marketer",$H66="Community Choice Aggregator",$E66="Energy"),"procurement",IF(OR($H66="Municipal",$H66="Cooperative",$H66="Federal",$H66="State",$H66="Political Subdivision"),"cost_service",IF($H66="Investor Owned",IF(AND(COUNTIF(Parameters!$A$4:$A$33,$G66)&gt;0,COUNTIF(Parameters!$B$4:$B$33,$B66)=0),"procurement","cost_service"),"unclassified"))))))</f>
        <v/>
      </c>
    </row>
    <row r="67">
      <c r="A67" t="n">
        <v>2024</v>
      </c>
      <c r="B67" t="n">
        <v>58162</v>
      </c>
      <c r="C67" t="inlineStr">
        <is>
          <t>Viridian Energy PA LLC</t>
        </is>
      </c>
      <c r="D67" t="inlineStr">
        <is>
          <t>B</t>
        </is>
      </c>
      <c r="E67" t="inlineStr">
        <is>
          <t>Energy</t>
        </is>
      </c>
      <c r="F67" t="inlineStr">
        <is>
          <t>O</t>
        </is>
      </c>
      <c r="G67" t="inlineStr">
        <is>
          <t>PA</t>
        </is>
      </c>
      <c r="H67" t="inlineStr">
        <is>
          <t>Retail Power Marketer</t>
        </is>
      </c>
      <c r="I67" t="inlineStr">
        <is>
          <t>PJM</t>
        </is>
      </c>
      <c r="J67" t="n">
        <v>1284.7</v>
      </c>
      <c r="K67" t="n">
        <v>8481</v>
      </c>
      <c r="L67" t="n">
        <v>1373</v>
      </c>
      <c r="M67" t="n">
        <v>802.8</v>
      </c>
      <c r="N67" t="n">
        <v>5353</v>
      </c>
      <c r="O67" t="n">
        <v>191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2087.5</v>
      </c>
      <c r="W67" t="n">
        <v>13834</v>
      </c>
      <c r="X67" t="n">
        <v>1564</v>
      </c>
      <c r="Y67">
        <f>IF(ISNUMBER($W67),$W67,0)</f>
        <v/>
      </c>
      <c r="Z67">
        <f>IF(ISNUMBER(SEARCH("Adjustment",$C67)),"excluded",IF($H67="Behind the Meter","excluded",IF(NOT(OR($E67="Bundled",$E67="Energy")),"excluded",IF(OR($H67="Retail Power Marketer",$H67="Community Choice Aggregator",$E67="Energy"),"procurement",IF(OR($H67="Municipal",$H67="Cooperative",$H67="Federal",$H67="State",$H67="Political Subdivision"),"cost_service",IF($H67="Investor Owned",IF(AND(COUNTIF(Parameters!$A$4:$A$33,$G67)&gt;0,COUNTIF(Parameters!$B$4:$B$33,$B67)=0),"procurement","cost_service"),"unclassified"))))))</f>
        <v/>
      </c>
    </row>
    <row r="68">
      <c r="A68" t="n">
        <v>2024</v>
      </c>
      <c r="B68" t="n">
        <v>58339</v>
      </c>
      <c r="C68" t="inlineStr">
        <is>
          <t>XOOM Energy Pennsylvania, LLC</t>
        </is>
      </c>
      <c r="D68" t="inlineStr">
        <is>
          <t>B</t>
        </is>
      </c>
      <c r="E68" t="inlineStr">
        <is>
          <t>Energy</t>
        </is>
      </c>
      <c r="F68" t="inlineStr">
        <is>
          <t>O</t>
        </is>
      </c>
      <c r="G68" t="inlineStr">
        <is>
          <t>PA</t>
        </is>
      </c>
      <c r="H68" t="inlineStr">
        <is>
          <t>Retail Power Marketer</t>
        </is>
      </c>
      <c r="I68" t="inlineStr">
        <is>
          <t>PJM</t>
        </is>
      </c>
      <c r="J68" t="n">
        <v>15022</v>
      </c>
      <c r="K68" t="n">
        <v>136044</v>
      </c>
      <c r="L68" t="n">
        <v>12172</v>
      </c>
      <c r="M68" t="n">
        <v>7115</v>
      </c>
      <c r="N68" t="n">
        <v>64071</v>
      </c>
      <c r="O68" t="n">
        <v>2621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22137</v>
      </c>
      <c r="W68" t="n">
        <v>200115</v>
      </c>
      <c r="X68" t="n">
        <v>14793</v>
      </c>
      <c r="Y68">
        <f>IF(ISNUMBER($W68),$W68,0)</f>
        <v/>
      </c>
      <c r="Z68">
        <f>IF(ISNUMBER(SEARCH("Adjustment",$C68)),"excluded",IF($H68="Behind the Meter","excluded",IF(NOT(OR($E68="Bundled",$E68="Energy")),"excluded",IF(OR($H68="Retail Power Marketer",$H68="Community Choice Aggregator",$E68="Energy"),"procurement",IF(OR($H68="Municipal",$H68="Cooperative",$H68="Federal",$H68="State",$H68="Political Subdivision"),"cost_service",IF($H68="Investor Owned",IF(AND(COUNTIF(Parameters!$A$4:$A$33,$G68)&gt;0,COUNTIF(Parameters!$B$4:$B$33,$B68)=0),"procurement","cost_service"),"unclassified"))))))</f>
        <v/>
      </c>
    </row>
    <row r="69">
      <c r="A69" t="n">
        <v>2024</v>
      </c>
      <c r="B69" t="n">
        <v>58663</v>
      </c>
      <c r="C69" t="inlineStr">
        <is>
          <t>Respond Power LLC</t>
        </is>
      </c>
      <c r="D69" t="inlineStr">
        <is>
          <t>B</t>
        </is>
      </c>
      <c r="E69" t="inlineStr">
        <is>
          <t>Energy</t>
        </is>
      </c>
      <c r="F69" t="inlineStr">
        <is>
          <t>O</t>
        </is>
      </c>
      <c r="G69" t="inlineStr">
        <is>
          <t>PA</t>
        </is>
      </c>
      <c r="H69" t="inlineStr">
        <is>
          <t>Retail Power Marketer</t>
        </is>
      </c>
      <c r="I69" t="inlineStr">
        <is>
          <t>PJM</t>
        </is>
      </c>
      <c r="J69" t="n">
        <v>30799</v>
      </c>
      <c r="K69" t="n">
        <v>282689</v>
      </c>
      <c r="L69" t="n">
        <v>24648</v>
      </c>
      <c r="M69" t="n">
        <v>3339</v>
      </c>
      <c r="N69" t="n">
        <v>30078</v>
      </c>
      <c r="O69" t="n">
        <v>865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34138</v>
      </c>
      <c r="W69" t="n">
        <v>312767</v>
      </c>
      <c r="X69" t="n">
        <v>25513</v>
      </c>
      <c r="Y69">
        <f>IF(ISNUMBER($W69),$W69,0)</f>
        <v/>
      </c>
      <c r="Z69">
        <f>IF(ISNUMBER(SEARCH("Adjustment",$C69)),"excluded",IF($H69="Behind the Meter","excluded",IF(NOT(OR($E69="Bundled",$E69="Energy")),"excluded",IF(OR($H69="Retail Power Marketer",$H69="Community Choice Aggregator",$E69="Energy"),"procurement",IF(OR($H69="Municipal",$H69="Cooperative",$H69="Federal",$H69="State",$H69="Political Subdivision"),"cost_service",IF($H69="Investor Owned",IF(AND(COUNTIF(Parameters!$A$4:$A$33,$G69)&gt;0,COUNTIF(Parameters!$B$4:$B$33,$B69)=0),"procurement","cost_service"),"unclassified"))))))</f>
        <v/>
      </c>
    </row>
    <row r="70">
      <c r="A70" t="n">
        <v>2024</v>
      </c>
      <c r="B70" t="n">
        <v>58667</v>
      </c>
      <c r="C70" t="inlineStr">
        <is>
          <t>North American Power and Gas, LLC</t>
        </is>
      </c>
      <c r="D70" t="inlineStr">
        <is>
          <t>B</t>
        </is>
      </c>
      <c r="E70" t="inlineStr">
        <is>
          <t>Energy</t>
        </is>
      </c>
      <c r="F70" t="inlineStr">
        <is>
          <t>O</t>
        </is>
      </c>
      <c r="G70" t="inlineStr">
        <is>
          <t>PA</t>
        </is>
      </c>
      <c r="H70" t="inlineStr">
        <is>
          <t>Retail Power Marketer</t>
        </is>
      </c>
      <c r="I70" t="inlineStr">
        <is>
          <t>PJM</t>
        </is>
      </c>
      <c r="J70" t="n">
        <v>10693.4</v>
      </c>
      <c r="K70" t="n">
        <v>75214</v>
      </c>
      <c r="L70" t="n">
        <v>7677</v>
      </c>
      <c r="M70" t="n">
        <v>270.9</v>
      </c>
      <c r="N70" t="n">
        <v>1850</v>
      </c>
      <c r="O70" t="n">
        <v>145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10964.3</v>
      </c>
      <c r="W70" t="n">
        <v>77064</v>
      </c>
      <c r="X70" t="n">
        <v>7822</v>
      </c>
      <c r="Y70">
        <f>IF(ISNUMBER($W70),$W70,0)</f>
        <v/>
      </c>
      <c r="Z70">
        <f>IF(ISNUMBER(SEARCH("Adjustment",$C70)),"excluded",IF($H70="Behind the Meter","excluded",IF(NOT(OR($E70="Bundled",$E70="Energy")),"excluded",IF(OR($H70="Retail Power Marketer",$H70="Community Choice Aggregator",$E70="Energy"),"procurement",IF(OR($H70="Municipal",$H70="Cooperative",$H70="Federal",$H70="State",$H70="Political Subdivision"),"cost_service",IF($H70="Investor Owned",IF(AND(COUNTIF(Parameters!$A$4:$A$33,$G70)&gt;0,COUNTIF(Parameters!$B$4:$B$33,$B70)=0),"procurement","cost_service"),"unclassified"))))))</f>
        <v/>
      </c>
    </row>
    <row r="71">
      <c r="A71" t="n">
        <v>2024</v>
      </c>
      <c r="B71" t="n">
        <v>58951</v>
      </c>
      <c r="C71" t="inlineStr">
        <is>
          <t>CleanChoice Energy, Inc.</t>
        </is>
      </c>
      <c r="D71" t="inlineStr">
        <is>
          <t>B</t>
        </is>
      </c>
      <c r="E71" t="inlineStr">
        <is>
          <t>Energy</t>
        </is>
      </c>
      <c r="F71" t="inlineStr">
        <is>
          <t>O</t>
        </is>
      </c>
      <c r="G71" t="inlineStr">
        <is>
          <t>PA</t>
        </is>
      </c>
      <c r="H71" t="inlineStr">
        <is>
          <t>Retail Power Marketer</t>
        </is>
      </c>
      <c r="I71" t="inlineStr">
        <is>
          <t>PJM</t>
        </is>
      </c>
      <c r="J71" t="n">
        <v>71969.8</v>
      </c>
      <c r="K71" t="n">
        <v>633724</v>
      </c>
      <c r="L71" t="n">
        <v>70723</v>
      </c>
      <c r="M71" t="n">
        <v>560.2</v>
      </c>
      <c r="N71" t="n">
        <v>5202</v>
      </c>
      <c r="O71" t="n">
        <v>582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72530</v>
      </c>
      <c r="W71" t="n">
        <v>638926</v>
      </c>
      <c r="X71" t="n">
        <v>71305</v>
      </c>
      <c r="Y71">
        <f>IF(ISNUMBER($W71),$W71,0)</f>
        <v/>
      </c>
      <c r="Z71">
        <f>IF(ISNUMBER(SEARCH("Adjustment",$C71)),"excluded",IF($H71="Behind the Meter","excluded",IF(NOT(OR($E71="Bundled",$E71="Energy")),"excluded",IF(OR($H71="Retail Power Marketer",$H71="Community Choice Aggregator",$E71="Energy"),"procurement",IF(OR($H71="Municipal",$H71="Cooperative",$H71="Federal",$H71="State",$H71="Political Subdivision"),"cost_service",IF($H71="Investor Owned",IF(AND(COUNTIF(Parameters!$A$4:$A$33,$G71)&gt;0,COUNTIF(Parameters!$B$4:$B$33,$B71)=0),"procurement","cost_service"),"unclassified"))))))</f>
        <v/>
      </c>
    </row>
    <row r="72">
      <c r="A72" t="n">
        <v>2024</v>
      </c>
      <c r="B72" t="n">
        <v>58952</v>
      </c>
      <c r="C72" t="inlineStr">
        <is>
          <t>Tomorrow Energy Corp.</t>
        </is>
      </c>
      <c r="D72" t="inlineStr">
        <is>
          <t>B</t>
        </is>
      </c>
      <c r="E72" t="inlineStr">
        <is>
          <t>Energy</t>
        </is>
      </c>
      <c r="F72" t="inlineStr">
        <is>
          <t>O</t>
        </is>
      </c>
      <c r="G72" t="inlineStr">
        <is>
          <t>PA</t>
        </is>
      </c>
      <c r="H72" t="inlineStr">
        <is>
          <t>Retail Power Marketer</t>
        </is>
      </c>
      <c r="I72" t="inlineStr">
        <is>
          <t>PJM</t>
        </is>
      </c>
      <c r="J72" t="n">
        <v>21294.4</v>
      </c>
      <c r="K72" t="n">
        <v>138215</v>
      </c>
      <c r="L72" t="n">
        <v>15646</v>
      </c>
      <c r="M72" t="n">
        <v>274.5</v>
      </c>
      <c r="N72" t="n">
        <v>1010</v>
      </c>
      <c r="O72" t="n">
        <v>99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21568.9</v>
      </c>
      <c r="W72" t="n">
        <v>139225</v>
      </c>
      <c r="X72" t="n">
        <v>15745</v>
      </c>
      <c r="Y72">
        <f>IF(ISNUMBER($W72),$W72,0)</f>
        <v/>
      </c>
      <c r="Z72">
        <f>IF(ISNUMBER(SEARCH("Adjustment",$C72)),"excluded",IF($H72="Behind the Meter","excluded",IF(NOT(OR($E72="Bundled",$E72="Energy")),"excluded",IF(OR($H72="Retail Power Marketer",$H72="Community Choice Aggregator",$E72="Energy"),"procurement",IF(OR($H72="Municipal",$H72="Cooperative",$H72="Federal",$H72="State",$H72="Political Subdivision"),"cost_service",IF($H72="Investor Owned",IF(AND(COUNTIF(Parameters!$A$4:$A$33,$G72)&gt;0,COUNTIF(Parameters!$B$4:$B$33,$B72)=0),"procurement","cost_service"),"unclassified"))))))</f>
        <v/>
      </c>
    </row>
    <row r="73">
      <c r="A73" t="n">
        <v>2024</v>
      </c>
      <c r="B73" t="n">
        <v>58956</v>
      </c>
      <c r="C73" t="inlineStr">
        <is>
          <t>SmartEnergy Holdings, LLC</t>
        </is>
      </c>
      <c r="D73" t="inlineStr">
        <is>
          <t>B</t>
        </is>
      </c>
      <c r="E73" t="inlineStr">
        <is>
          <t>Energy</t>
        </is>
      </c>
      <c r="F73" t="inlineStr">
        <is>
          <t>O</t>
        </is>
      </c>
      <c r="G73" t="inlineStr">
        <is>
          <t>PA</t>
        </is>
      </c>
      <c r="H73" t="inlineStr">
        <is>
          <t>Retail Power Marketer</t>
        </is>
      </c>
      <c r="I73" t="inlineStr">
        <is>
          <t>PJM</t>
        </is>
      </c>
      <c r="J73" t="n">
        <v>49055</v>
      </c>
      <c r="K73" t="n">
        <v>355206</v>
      </c>
      <c r="L73" t="n">
        <v>47969</v>
      </c>
      <c r="M73" t="inlineStr">
        <is>
          <t>.</t>
        </is>
      </c>
      <c r="N73" t="inlineStr">
        <is>
          <t>.</t>
        </is>
      </c>
      <c r="O73" t="inlineStr">
        <is>
          <t>.</t>
        </is>
      </c>
      <c r="P73" t="inlineStr">
        <is>
          <t>.</t>
        </is>
      </c>
      <c r="Q73" t="inlineStr">
        <is>
          <t>.</t>
        </is>
      </c>
      <c r="R73" t="inlineStr">
        <is>
          <t>.</t>
        </is>
      </c>
      <c r="S73" t="inlineStr">
        <is>
          <t>.</t>
        </is>
      </c>
      <c r="T73" t="inlineStr">
        <is>
          <t>.</t>
        </is>
      </c>
      <c r="U73" t="inlineStr">
        <is>
          <t>.</t>
        </is>
      </c>
      <c r="V73" t="n">
        <v>49055</v>
      </c>
      <c r="W73" t="n">
        <v>355206</v>
      </c>
      <c r="X73" t="n">
        <v>47969</v>
      </c>
      <c r="Y73">
        <f>IF(ISNUMBER($W73),$W73,0)</f>
        <v/>
      </c>
      <c r="Z73">
        <f>IF(ISNUMBER(SEARCH("Adjustment",$C73)),"excluded",IF($H73="Behind the Meter","excluded",IF(NOT(OR($E73="Bundled",$E73="Energy")),"excluded",IF(OR($H73="Retail Power Marketer",$H73="Community Choice Aggregator",$E73="Energy"),"procurement",IF(OR($H73="Municipal",$H73="Cooperative",$H73="Federal",$H73="State",$H73="Political Subdivision"),"cost_service",IF($H73="Investor Owned",IF(AND(COUNTIF(Parameters!$A$4:$A$33,$G73)&gt;0,COUNTIF(Parameters!$B$4:$B$33,$B73)=0),"procurement","cost_service"),"unclassified"))))))</f>
        <v/>
      </c>
    </row>
    <row r="74">
      <c r="A74" t="n">
        <v>2024</v>
      </c>
      <c r="B74" t="n">
        <v>58957</v>
      </c>
      <c r="C74" t="inlineStr">
        <is>
          <t>Interstate Gas Supply, Inc.</t>
        </is>
      </c>
      <c r="D74" t="inlineStr">
        <is>
          <t>B</t>
        </is>
      </c>
      <c r="E74" t="inlineStr">
        <is>
          <t>Energy</t>
        </is>
      </c>
      <c r="F74" t="inlineStr">
        <is>
          <t>O</t>
        </is>
      </c>
      <c r="G74" t="inlineStr">
        <is>
          <t>PA</t>
        </is>
      </c>
      <c r="H74" t="inlineStr">
        <is>
          <t>Retail Power Marketer</t>
        </is>
      </c>
      <c r="I74" t="inlineStr">
        <is>
          <t>PJM</t>
        </is>
      </c>
      <c r="J74" t="n">
        <v>63871</v>
      </c>
      <c r="K74" t="n">
        <v>495627</v>
      </c>
      <c r="L74" t="n">
        <v>53472</v>
      </c>
      <c r="M74" t="n">
        <v>118964</v>
      </c>
      <c r="N74" t="n">
        <v>1620623</v>
      </c>
      <c r="O74" t="n">
        <v>10092</v>
      </c>
      <c r="P74" t="inlineStr">
        <is>
          <t>.</t>
        </is>
      </c>
      <c r="Q74" t="inlineStr">
        <is>
          <t>.</t>
        </is>
      </c>
      <c r="R74" t="inlineStr">
        <is>
          <t>.</t>
        </is>
      </c>
      <c r="S74" t="inlineStr">
        <is>
          <t>.</t>
        </is>
      </c>
      <c r="T74" t="inlineStr">
        <is>
          <t>.</t>
        </is>
      </c>
      <c r="U74" t="inlineStr">
        <is>
          <t>.</t>
        </is>
      </c>
      <c r="V74" t="n">
        <v>182835</v>
      </c>
      <c r="W74" t="n">
        <v>2116250</v>
      </c>
      <c r="X74" t="n">
        <v>63564</v>
      </c>
      <c r="Y74">
        <f>IF(ISNUMBER($W74),$W74,0)</f>
        <v/>
      </c>
      <c r="Z74">
        <f>IF(ISNUMBER(SEARCH("Adjustment",$C74)),"excluded",IF($H74="Behind the Meter","excluded",IF(NOT(OR($E74="Bundled",$E74="Energy")),"excluded",IF(OR($H74="Retail Power Marketer",$H74="Community Choice Aggregator",$E74="Energy"),"procurement",IF(OR($H74="Municipal",$H74="Cooperative",$H74="Federal",$H74="State",$H74="Political Subdivision"),"cost_service",IF($H74="Investor Owned",IF(AND(COUNTIF(Parameters!$A$4:$A$33,$G74)&gt;0,COUNTIF(Parameters!$B$4:$B$33,$B74)=0),"procurement","cost_service"),"unclassified"))))))</f>
        <v/>
      </c>
    </row>
    <row r="75">
      <c r="A75" t="n">
        <v>2024</v>
      </c>
      <c r="B75" t="n">
        <v>58964</v>
      </c>
      <c r="C75" t="inlineStr">
        <is>
          <t>Alpha Gas and Electric, LLC</t>
        </is>
      </c>
      <c r="D75" t="inlineStr">
        <is>
          <t>B</t>
        </is>
      </c>
      <c r="E75" t="inlineStr">
        <is>
          <t>Energy</t>
        </is>
      </c>
      <c r="F75" t="inlineStr">
        <is>
          <t>O</t>
        </is>
      </c>
      <c r="G75" t="inlineStr">
        <is>
          <t>PA</t>
        </is>
      </c>
      <c r="H75" t="inlineStr">
        <is>
          <t>Retail Power Marketer</t>
        </is>
      </c>
      <c r="I75" t="inlineStr">
        <is>
          <t>PJM</t>
        </is>
      </c>
      <c r="J75" t="n">
        <v>896.4</v>
      </c>
      <c r="K75" t="n">
        <v>5767</v>
      </c>
      <c r="L75" t="n">
        <v>766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896.4</v>
      </c>
      <c r="W75" t="n">
        <v>5767</v>
      </c>
      <c r="X75" t="n">
        <v>766</v>
      </c>
      <c r="Y75">
        <f>IF(ISNUMBER($W75),$W75,0)</f>
        <v/>
      </c>
      <c r="Z75">
        <f>IF(ISNUMBER(SEARCH("Adjustment",$C75)),"excluded",IF($H75="Behind the Meter","excluded",IF(NOT(OR($E75="Bundled",$E75="Energy")),"excluded",IF(OR($H75="Retail Power Marketer",$H75="Community Choice Aggregator",$E75="Energy"),"procurement",IF(OR($H75="Municipal",$H75="Cooperative",$H75="Federal",$H75="State",$H75="Political Subdivision"),"cost_service",IF($H75="Investor Owned",IF(AND(COUNTIF(Parameters!$A$4:$A$33,$G75)&gt;0,COUNTIF(Parameters!$B$4:$B$33,$B75)=0),"procurement","cost_service"),"unclassified"))))))</f>
        <v/>
      </c>
    </row>
    <row r="76">
      <c r="A76" t="n">
        <v>2024</v>
      </c>
      <c r="B76" t="n">
        <v>58966</v>
      </c>
      <c r="C76" t="inlineStr">
        <is>
          <t>Marathon Power LLC</t>
        </is>
      </c>
      <c r="D76" t="inlineStr">
        <is>
          <t>B</t>
        </is>
      </c>
      <c r="E76" t="inlineStr">
        <is>
          <t>Energy</t>
        </is>
      </c>
      <c r="F76" t="inlineStr">
        <is>
          <t>O</t>
        </is>
      </c>
      <c r="G76" t="inlineStr">
        <is>
          <t>PA</t>
        </is>
      </c>
      <c r="H76" t="inlineStr">
        <is>
          <t>Retail Power Marketer</t>
        </is>
      </c>
      <c r="I76" t="inlineStr">
        <is>
          <t>PJM</t>
        </is>
      </c>
      <c r="J76" t="n">
        <v>30.7</v>
      </c>
      <c r="K76" t="n">
        <v>321</v>
      </c>
      <c r="L76" t="n">
        <v>120</v>
      </c>
      <c r="M76" t="n">
        <v>1465.4</v>
      </c>
      <c r="N76" t="n">
        <v>17334</v>
      </c>
      <c r="O76" t="n">
        <v>594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1496.1</v>
      </c>
      <c r="W76" t="n">
        <v>17655</v>
      </c>
      <c r="X76" t="n">
        <v>714</v>
      </c>
      <c r="Y76">
        <f>IF(ISNUMBER($W76),$W76,0)</f>
        <v/>
      </c>
      <c r="Z76">
        <f>IF(ISNUMBER(SEARCH("Adjustment",$C76)),"excluded",IF($H76="Behind the Meter","excluded",IF(NOT(OR($E76="Bundled",$E76="Energy")),"excluded",IF(OR($H76="Retail Power Marketer",$H76="Community Choice Aggregator",$E76="Energy"),"procurement",IF(OR($H76="Municipal",$H76="Cooperative",$H76="Federal",$H76="State",$H76="Political Subdivision"),"cost_service",IF($H76="Investor Owned",IF(AND(COUNTIF(Parameters!$A$4:$A$33,$G76)&gt;0,COUNTIF(Parameters!$B$4:$B$33,$B76)=0),"procurement","cost_service"),"unclassified"))))))</f>
        <v/>
      </c>
    </row>
    <row r="77">
      <c r="A77" t="n">
        <v>2024</v>
      </c>
      <c r="B77" t="n">
        <v>58973</v>
      </c>
      <c r="C77" t="inlineStr">
        <is>
          <t>Town Square Energy East, LLC</t>
        </is>
      </c>
      <c r="D77" t="inlineStr">
        <is>
          <t>B</t>
        </is>
      </c>
      <c r="E77" t="inlineStr">
        <is>
          <t>Energy</t>
        </is>
      </c>
      <c r="F77" t="inlineStr">
        <is>
          <t>O</t>
        </is>
      </c>
      <c r="G77" t="inlineStr">
        <is>
          <t>PA</t>
        </is>
      </c>
      <c r="H77" t="inlineStr">
        <is>
          <t>Retail Power Marketer</t>
        </is>
      </c>
      <c r="I77" t="inlineStr">
        <is>
          <t>PJM</t>
        </is>
      </c>
      <c r="J77" t="n">
        <v>2004.1</v>
      </c>
      <c r="K77" t="n">
        <v>16984</v>
      </c>
      <c r="L77" t="n">
        <v>1533</v>
      </c>
      <c r="M77" t="n">
        <v>47.7</v>
      </c>
      <c r="N77" t="n">
        <v>391</v>
      </c>
      <c r="O77" t="n">
        <v>48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2051.8</v>
      </c>
      <c r="W77" t="n">
        <v>17375</v>
      </c>
      <c r="X77" t="n">
        <v>1581</v>
      </c>
      <c r="Y77">
        <f>IF(ISNUMBER($W77),$W77,0)</f>
        <v/>
      </c>
      <c r="Z77">
        <f>IF(ISNUMBER(SEARCH("Adjustment",$C77)),"excluded",IF($H77="Behind the Meter","excluded",IF(NOT(OR($E77="Bundled",$E77="Energy")),"excluded",IF(OR($H77="Retail Power Marketer",$H77="Community Choice Aggregator",$E77="Energy"),"procurement",IF(OR($H77="Municipal",$H77="Cooperative",$H77="Federal",$H77="State",$H77="Political Subdivision"),"cost_service",IF($H77="Investor Owned",IF(AND(COUNTIF(Parameters!$A$4:$A$33,$G77)&gt;0,COUNTIF(Parameters!$B$4:$B$33,$B77)=0),"procurement","cost_service"),"unclassified"))))))</f>
        <v/>
      </c>
    </row>
    <row r="78">
      <c r="A78" t="n">
        <v>2024</v>
      </c>
      <c r="B78" t="n">
        <v>58974</v>
      </c>
      <c r="C78" t="inlineStr">
        <is>
          <t>Clearview Electric Inc.</t>
        </is>
      </c>
      <c r="D78" t="inlineStr">
        <is>
          <t>B</t>
        </is>
      </c>
      <c r="E78" t="inlineStr">
        <is>
          <t>Energy</t>
        </is>
      </c>
      <c r="F78" t="inlineStr">
        <is>
          <t>O</t>
        </is>
      </c>
      <c r="G78" t="inlineStr">
        <is>
          <t>PA</t>
        </is>
      </c>
      <c r="H78" t="inlineStr">
        <is>
          <t>Retail Power Marketer</t>
        </is>
      </c>
      <c r="I78" t="inlineStr">
        <is>
          <t>PJM</t>
        </is>
      </c>
      <c r="J78" t="n">
        <v>18077.4</v>
      </c>
      <c r="K78" t="n">
        <v>146086</v>
      </c>
      <c r="L78" t="n">
        <v>12862</v>
      </c>
      <c r="M78" t="n">
        <v>1039.1</v>
      </c>
      <c r="N78" t="n">
        <v>10061</v>
      </c>
      <c r="O78" t="n">
        <v>291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19116.5</v>
      </c>
      <c r="W78" t="n">
        <v>156147</v>
      </c>
      <c r="X78" t="n">
        <v>13153</v>
      </c>
      <c r="Y78">
        <f>IF(ISNUMBER($W78),$W78,0)</f>
        <v/>
      </c>
      <c r="Z78">
        <f>IF(ISNUMBER(SEARCH("Adjustment",$C78)),"excluded",IF($H78="Behind the Meter","excluded",IF(NOT(OR($E78="Bundled",$E78="Energy")),"excluded",IF(OR($H78="Retail Power Marketer",$H78="Community Choice Aggregator",$E78="Energy"),"procurement",IF(OR($H78="Municipal",$H78="Cooperative",$H78="Federal",$H78="State",$H78="Political Subdivision"),"cost_service",IF($H78="Investor Owned",IF(AND(COUNTIF(Parameters!$A$4:$A$33,$G78)&gt;0,COUNTIF(Parameters!$B$4:$B$33,$B78)=0),"procurement","cost_service"),"unclassified"))))))</f>
        <v/>
      </c>
    </row>
    <row r="79">
      <c r="A79" t="n">
        <v>2024</v>
      </c>
      <c r="B79" t="n">
        <v>59054</v>
      </c>
      <c r="C79" t="inlineStr">
        <is>
          <t>Eligo Energy, LLC</t>
        </is>
      </c>
      <c r="D79" t="inlineStr">
        <is>
          <t>B</t>
        </is>
      </c>
      <c r="E79" t="inlineStr">
        <is>
          <t>Energy</t>
        </is>
      </c>
      <c r="F79" t="inlineStr">
        <is>
          <t>O</t>
        </is>
      </c>
      <c r="G79" t="inlineStr">
        <is>
          <t>PA</t>
        </is>
      </c>
      <c r="H79" t="inlineStr">
        <is>
          <t>Retail Power Marketer</t>
        </is>
      </c>
      <c r="I79" t="inlineStr">
        <is>
          <t>PJM</t>
        </is>
      </c>
      <c r="J79" t="n">
        <v>10504</v>
      </c>
      <c r="K79" t="n">
        <v>79842</v>
      </c>
      <c r="L79" t="n">
        <v>9053</v>
      </c>
      <c r="M79" t="n">
        <v>3950.7</v>
      </c>
      <c r="N79" t="n">
        <v>31087</v>
      </c>
      <c r="O79" t="n">
        <v>1537</v>
      </c>
      <c r="P79" t="inlineStr">
        <is>
          <t>.</t>
        </is>
      </c>
      <c r="Q79" t="inlineStr">
        <is>
          <t>.</t>
        </is>
      </c>
      <c r="R79" t="inlineStr">
        <is>
          <t>.</t>
        </is>
      </c>
      <c r="S79" t="inlineStr">
        <is>
          <t>.</t>
        </is>
      </c>
      <c r="T79" t="inlineStr">
        <is>
          <t>.</t>
        </is>
      </c>
      <c r="U79" t="inlineStr">
        <is>
          <t>.</t>
        </is>
      </c>
      <c r="V79" t="n">
        <v>14454.7</v>
      </c>
      <c r="W79" t="n">
        <v>110929</v>
      </c>
      <c r="X79" t="n">
        <v>10590</v>
      </c>
      <c r="Y79">
        <f>IF(ISNUMBER($W79),$W79,0)</f>
        <v/>
      </c>
      <c r="Z79">
        <f>IF(ISNUMBER(SEARCH("Adjustment",$C79)),"excluded",IF($H79="Behind the Meter","excluded",IF(NOT(OR($E79="Bundled",$E79="Energy")),"excluded",IF(OR($H79="Retail Power Marketer",$H79="Community Choice Aggregator",$E79="Energy"),"procurement",IF(OR($H79="Municipal",$H79="Cooperative",$H79="Federal",$H79="State",$H79="Political Subdivision"),"cost_service",IF($H79="Investor Owned",IF(AND(COUNTIF(Parameters!$A$4:$A$33,$G79)&gt;0,COUNTIF(Parameters!$B$4:$B$33,$B79)=0),"procurement","cost_service"),"unclassified"))))))</f>
        <v/>
      </c>
    </row>
    <row r="80">
      <c r="A80" t="n">
        <v>2024</v>
      </c>
      <c r="B80" t="n">
        <v>59055</v>
      </c>
      <c r="C80" t="inlineStr">
        <is>
          <t>Choice Energy, LLC</t>
        </is>
      </c>
      <c r="D80" t="inlineStr">
        <is>
          <t>B</t>
        </is>
      </c>
      <c r="E80" t="inlineStr">
        <is>
          <t>Energy</t>
        </is>
      </c>
      <c r="F80" t="inlineStr">
        <is>
          <t>O</t>
        </is>
      </c>
      <c r="G80" t="inlineStr">
        <is>
          <t>PA</t>
        </is>
      </c>
      <c r="H80" t="inlineStr">
        <is>
          <t>Retail Power Marketer</t>
        </is>
      </c>
      <c r="I80" t="inlineStr">
        <is>
          <t>PJM</t>
        </is>
      </c>
      <c r="J80" t="n">
        <v>9462.799999999999</v>
      </c>
      <c r="K80" t="n">
        <v>79770</v>
      </c>
      <c r="L80" t="n">
        <v>8475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9462.799999999999</v>
      </c>
      <c r="W80" t="n">
        <v>79770</v>
      </c>
      <c r="X80" t="n">
        <v>8475</v>
      </c>
      <c r="Y80">
        <f>IF(ISNUMBER($W80),$W80,0)</f>
        <v/>
      </c>
      <c r="Z80">
        <f>IF(ISNUMBER(SEARCH("Adjustment",$C80)),"excluded",IF($H80="Behind the Meter","excluded",IF(NOT(OR($E80="Bundled",$E80="Energy")),"excluded",IF(OR($H80="Retail Power Marketer",$H80="Community Choice Aggregator",$E80="Energy"),"procurement",IF(OR($H80="Municipal",$H80="Cooperative",$H80="Federal",$H80="State",$H80="Political Subdivision"),"cost_service",IF($H80="Investor Owned",IF(AND(COUNTIF(Parameters!$A$4:$A$33,$G80)&gt;0,COUNTIF(Parameters!$B$4:$B$33,$B80)=0),"procurement","cost_service"),"unclassified"))))))</f>
        <v/>
      </c>
    </row>
    <row r="81">
      <c r="A81" t="n">
        <v>2024</v>
      </c>
      <c r="B81" t="n">
        <v>59064</v>
      </c>
      <c r="C81" t="inlineStr">
        <is>
          <t>Great American Power, LLC</t>
        </is>
      </c>
      <c r="D81" t="inlineStr">
        <is>
          <t>B</t>
        </is>
      </c>
      <c r="E81" t="inlineStr">
        <is>
          <t>Energy</t>
        </is>
      </c>
      <c r="F81" t="inlineStr">
        <is>
          <t>O</t>
        </is>
      </c>
      <c r="G81" t="inlineStr">
        <is>
          <t>PA</t>
        </is>
      </c>
      <c r="H81" t="inlineStr">
        <is>
          <t>Retail Power Marketer</t>
        </is>
      </c>
      <c r="I81" t="inlineStr">
        <is>
          <t>PJM</t>
        </is>
      </c>
      <c r="J81" t="n">
        <v>2091.5</v>
      </c>
      <c r="K81" t="n">
        <v>19030</v>
      </c>
      <c r="L81" t="n">
        <v>2695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2091.5</v>
      </c>
      <c r="W81" t="n">
        <v>19030</v>
      </c>
      <c r="X81" t="n">
        <v>2695</v>
      </c>
      <c r="Y81">
        <f>IF(ISNUMBER($W81),$W81,0)</f>
        <v/>
      </c>
      <c r="Z81">
        <f>IF(ISNUMBER(SEARCH("Adjustment",$C81)),"excluded",IF($H81="Behind the Meter","excluded",IF(NOT(OR($E81="Bundled",$E81="Energy")),"excluded",IF(OR($H81="Retail Power Marketer",$H81="Community Choice Aggregator",$E81="Energy"),"procurement",IF(OR($H81="Municipal",$H81="Cooperative",$H81="Federal",$H81="State",$H81="Political Subdivision"),"cost_service",IF($H81="Investor Owned",IF(AND(COUNTIF(Parameters!$A$4:$A$33,$G81)&gt;0,COUNTIF(Parameters!$B$4:$B$33,$B81)=0),"procurement","cost_service"),"unclassified"))))))</f>
        <v/>
      </c>
    </row>
    <row r="82">
      <c r="A82" t="n">
        <v>2024</v>
      </c>
      <c r="B82" t="n">
        <v>59065</v>
      </c>
      <c r="C82" t="inlineStr">
        <is>
          <t>Titan Gas LLC</t>
        </is>
      </c>
      <c r="D82" t="inlineStr">
        <is>
          <t>B</t>
        </is>
      </c>
      <c r="E82" t="inlineStr">
        <is>
          <t>Energy</t>
        </is>
      </c>
      <c r="F82" t="inlineStr">
        <is>
          <t>O</t>
        </is>
      </c>
      <c r="G82" t="inlineStr">
        <is>
          <t>PA</t>
        </is>
      </c>
      <c r="H82" t="inlineStr">
        <is>
          <t>Retail Power Marketer</t>
        </is>
      </c>
      <c r="I82" t="inlineStr">
        <is>
          <t>PJM</t>
        </is>
      </c>
      <c r="J82" t="n">
        <v>32094.1</v>
      </c>
      <c r="K82" t="n">
        <v>237593</v>
      </c>
      <c r="L82" t="n">
        <v>23384</v>
      </c>
      <c r="M82" t="n">
        <v>7335.3</v>
      </c>
      <c r="N82" t="n">
        <v>72511</v>
      </c>
      <c r="O82" t="n">
        <v>2314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39429.4</v>
      </c>
      <c r="W82" t="n">
        <v>310104</v>
      </c>
      <c r="X82" t="n">
        <v>25698</v>
      </c>
      <c r="Y82">
        <f>IF(ISNUMBER($W82),$W82,0)</f>
        <v/>
      </c>
      <c r="Z82">
        <f>IF(ISNUMBER(SEARCH("Adjustment",$C82)),"excluded",IF($H82="Behind the Meter","excluded",IF(NOT(OR($E82="Bundled",$E82="Energy")),"excluded",IF(OR($H82="Retail Power Marketer",$H82="Community Choice Aggregator",$E82="Energy"),"procurement",IF(OR($H82="Municipal",$H82="Cooperative",$H82="Federal",$H82="State",$H82="Political Subdivision"),"cost_service",IF($H82="Investor Owned",IF(AND(COUNTIF(Parameters!$A$4:$A$33,$G82)&gt;0,COUNTIF(Parameters!$B$4:$B$33,$B82)=0),"procurement","cost_service"),"unclassified"))))))</f>
        <v/>
      </c>
    </row>
    <row r="83">
      <c r="A83" t="n">
        <v>2024</v>
      </c>
      <c r="B83" t="n">
        <v>59083</v>
      </c>
      <c r="C83" t="inlineStr">
        <is>
          <t>SFE Energy Pennsylvania, Inc.</t>
        </is>
      </c>
      <c r="D83" t="inlineStr">
        <is>
          <t>B</t>
        </is>
      </c>
      <c r="E83" t="inlineStr">
        <is>
          <t>Energy</t>
        </is>
      </c>
      <c r="F83" t="inlineStr">
        <is>
          <t>O</t>
        </is>
      </c>
      <c r="G83" t="inlineStr">
        <is>
          <t>PA</t>
        </is>
      </c>
      <c r="H83" t="inlineStr">
        <is>
          <t>Retail Power Marketer</t>
        </is>
      </c>
      <c r="I83" t="inlineStr">
        <is>
          <t>PJM</t>
        </is>
      </c>
      <c r="J83" t="n">
        <v>16555</v>
      </c>
      <c r="K83" t="n">
        <v>150374</v>
      </c>
      <c r="L83" t="n">
        <v>19133</v>
      </c>
      <c r="M83" t="n">
        <v>48252.8</v>
      </c>
      <c r="N83" t="n">
        <v>437818</v>
      </c>
      <c r="O83" t="n">
        <v>6796</v>
      </c>
      <c r="P83" t="inlineStr">
        <is>
          <t>.</t>
        </is>
      </c>
      <c r="Q83" t="inlineStr">
        <is>
          <t>.</t>
        </is>
      </c>
      <c r="R83" t="inlineStr">
        <is>
          <t>.</t>
        </is>
      </c>
      <c r="S83" t="inlineStr">
        <is>
          <t>.</t>
        </is>
      </c>
      <c r="T83" t="inlineStr">
        <is>
          <t>.</t>
        </is>
      </c>
      <c r="U83" t="inlineStr">
        <is>
          <t>.</t>
        </is>
      </c>
      <c r="V83" t="n">
        <v>64807.8</v>
      </c>
      <c r="W83" t="n">
        <v>588192</v>
      </c>
      <c r="X83" t="n">
        <v>25929</v>
      </c>
      <c r="Y83">
        <f>IF(ISNUMBER($W83),$W83,0)</f>
        <v/>
      </c>
      <c r="Z83">
        <f>IF(ISNUMBER(SEARCH("Adjustment",$C83)),"excluded",IF($H83="Behind the Meter","excluded",IF(NOT(OR($E83="Bundled",$E83="Energy")),"excluded",IF(OR($H83="Retail Power Marketer",$H83="Community Choice Aggregator",$E83="Energy"),"procurement",IF(OR($H83="Municipal",$H83="Cooperative",$H83="Federal",$H83="State",$H83="Political Subdivision"),"cost_service",IF($H83="Investor Owned",IF(AND(COUNTIF(Parameters!$A$4:$A$33,$G83)&gt;0,COUNTIF(Parameters!$B$4:$B$33,$B83)=0),"procurement","cost_service"),"unclassified"))))))</f>
        <v/>
      </c>
    </row>
    <row r="84">
      <c r="A84" t="n">
        <v>2024</v>
      </c>
      <c r="B84" t="n">
        <v>59088</v>
      </c>
      <c r="C84" t="inlineStr">
        <is>
          <t>Nordic Energy Services, LLC</t>
        </is>
      </c>
      <c r="D84" t="inlineStr">
        <is>
          <t>B</t>
        </is>
      </c>
      <c r="E84" t="inlineStr">
        <is>
          <t>Energy</t>
        </is>
      </c>
      <c r="F84" t="inlineStr">
        <is>
          <t>O</t>
        </is>
      </c>
      <c r="G84" t="inlineStr">
        <is>
          <t>PA</t>
        </is>
      </c>
      <c r="H84" t="inlineStr">
        <is>
          <t>Retail Power Marketer</t>
        </is>
      </c>
      <c r="I84" t="inlineStr">
        <is>
          <t>PJM</t>
        </is>
      </c>
      <c r="J84" t="n">
        <v>2301.9</v>
      </c>
      <c r="K84" t="n">
        <v>15827</v>
      </c>
      <c r="L84" t="n">
        <v>2756</v>
      </c>
      <c r="M84" t="n">
        <v>327.8</v>
      </c>
      <c r="N84" t="n">
        <v>2579</v>
      </c>
      <c r="O84" t="n">
        <v>91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2629.7</v>
      </c>
      <c r="W84" t="n">
        <v>18406</v>
      </c>
      <c r="X84" t="n">
        <v>2847</v>
      </c>
      <c r="Y84">
        <f>IF(ISNUMBER($W84),$W84,0)</f>
        <v/>
      </c>
      <c r="Z84">
        <f>IF(ISNUMBER(SEARCH("Adjustment",$C84)),"excluded",IF($H84="Behind the Meter","excluded",IF(NOT(OR($E84="Bundled",$E84="Energy")),"excluded",IF(OR($H84="Retail Power Marketer",$H84="Community Choice Aggregator",$E84="Energy"),"procurement",IF(OR($H84="Municipal",$H84="Cooperative",$H84="Federal",$H84="State",$H84="Political Subdivision"),"cost_service",IF($H84="Investor Owned",IF(AND(COUNTIF(Parameters!$A$4:$A$33,$G84)&gt;0,COUNTIF(Parameters!$B$4:$B$33,$B84)=0),"procurement","cost_service"),"unclassified"))))))</f>
        <v/>
      </c>
    </row>
    <row r="85">
      <c r="A85" t="n">
        <v>2024</v>
      </c>
      <c r="B85" t="n">
        <v>59310</v>
      </c>
      <c r="C85" t="inlineStr">
        <is>
          <t>Inspire Energy Holdings, LLC</t>
        </is>
      </c>
      <c r="D85" t="inlineStr">
        <is>
          <t>B</t>
        </is>
      </c>
      <c r="E85" t="inlineStr">
        <is>
          <t>Energy</t>
        </is>
      </c>
      <c r="F85" t="inlineStr">
        <is>
          <t>O</t>
        </is>
      </c>
      <c r="G85" t="inlineStr">
        <is>
          <t>PA</t>
        </is>
      </c>
      <c r="H85" t="inlineStr">
        <is>
          <t>Retail Power Marketer</t>
        </is>
      </c>
      <c r="I85" t="inlineStr">
        <is>
          <t>PJM</t>
        </is>
      </c>
      <c r="J85" t="n">
        <v>120071.1</v>
      </c>
      <c r="K85" t="n">
        <v>944862</v>
      </c>
      <c r="L85" t="n">
        <v>89889</v>
      </c>
      <c r="M85" t="n">
        <v>2042.4</v>
      </c>
      <c r="N85" t="n">
        <v>15920</v>
      </c>
      <c r="O85" t="n">
        <v>1088</v>
      </c>
      <c r="P85" t="inlineStr">
        <is>
          <t>.</t>
        </is>
      </c>
      <c r="Q85" t="inlineStr">
        <is>
          <t>.</t>
        </is>
      </c>
      <c r="R85" t="inlineStr">
        <is>
          <t>.</t>
        </is>
      </c>
      <c r="S85" t="inlineStr">
        <is>
          <t>.</t>
        </is>
      </c>
      <c r="T85" t="inlineStr">
        <is>
          <t>.</t>
        </is>
      </c>
      <c r="U85" t="inlineStr">
        <is>
          <t>.</t>
        </is>
      </c>
      <c r="V85" t="n">
        <v>122113.5</v>
      </c>
      <c r="W85" t="n">
        <v>960782</v>
      </c>
      <c r="X85" t="n">
        <v>90977</v>
      </c>
      <c r="Y85">
        <f>IF(ISNUMBER($W85),$W85,0)</f>
        <v/>
      </c>
      <c r="Z85">
        <f>IF(ISNUMBER(SEARCH("Adjustment",$C85)),"excluded",IF($H85="Behind the Meter","excluded",IF(NOT(OR($E85="Bundled",$E85="Energy")),"excluded",IF(OR($H85="Retail Power Marketer",$H85="Community Choice Aggregator",$E85="Energy"),"procurement",IF(OR($H85="Municipal",$H85="Cooperative",$H85="Federal",$H85="State",$H85="Political Subdivision"),"cost_service",IF($H85="Investor Owned",IF(AND(COUNTIF(Parameters!$A$4:$A$33,$G85)&gt;0,COUNTIF(Parameters!$B$4:$B$33,$B85)=0),"procurement","cost_service"),"unclassified"))))))</f>
        <v/>
      </c>
    </row>
    <row r="86">
      <c r="A86" t="n">
        <v>2024</v>
      </c>
      <c r="B86" t="n">
        <v>59385</v>
      </c>
      <c r="C86" t="inlineStr">
        <is>
          <t>Dynegy Energy Services, LLC</t>
        </is>
      </c>
      <c r="D86" t="inlineStr">
        <is>
          <t>B</t>
        </is>
      </c>
      <c r="E86" t="inlineStr">
        <is>
          <t>Energy</t>
        </is>
      </c>
      <c r="F86" t="inlineStr">
        <is>
          <t>O</t>
        </is>
      </c>
      <c r="G86" t="inlineStr">
        <is>
          <t>PA</t>
        </is>
      </c>
      <c r="H86" t="inlineStr">
        <is>
          <t>Retail Power Marketer</t>
        </is>
      </c>
      <c r="I86" t="inlineStr">
        <is>
          <t>PJM</t>
        </is>
      </c>
      <c r="J86" t="n">
        <v>47198.7</v>
      </c>
      <c r="K86" t="n">
        <v>509146</v>
      </c>
      <c r="L86" t="n">
        <v>37672</v>
      </c>
      <c r="M86" t="n">
        <v>203617.9</v>
      </c>
      <c r="N86" t="n">
        <v>2655840</v>
      </c>
      <c r="O86" t="n">
        <v>1921</v>
      </c>
      <c r="P86" t="n">
        <v>960.5</v>
      </c>
      <c r="Q86" t="n">
        <v>12528</v>
      </c>
      <c r="R86" t="n">
        <v>9</v>
      </c>
      <c r="S86" t="n">
        <v>0</v>
      </c>
      <c r="T86" t="n">
        <v>0</v>
      </c>
      <c r="U86" t="n">
        <v>0</v>
      </c>
      <c r="V86" t="n">
        <v>251777.1</v>
      </c>
      <c r="W86" t="n">
        <v>3177514</v>
      </c>
      <c r="X86" t="n">
        <v>39602</v>
      </c>
      <c r="Y86">
        <f>IF(ISNUMBER($W86),$W86,0)</f>
        <v/>
      </c>
      <c r="Z86">
        <f>IF(ISNUMBER(SEARCH("Adjustment",$C86)),"excluded",IF($H86="Behind the Meter","excluded",IF(NOT(OR($E86="Bundled",$E86="Energy")),"excluded",IF(OR($H86="Retail Power Marketer",$H86="Community Choice Aggregator",$E86="Energy"),"procurement",IF(OR($H86="Municipal",$H86="Cooperative",$H86="Federal",$H86="State",$H86="Political Subdivision"),"cost_service",IF($H86="Investor Owned",IF(AND(COUNTIF(Parameters!$A$4:$A$33,$G86)&gt;0,COUNTIF(Parameters!$B$4:$B$33,$B86)=0),"procurement","cost_service"),"unclassified"))))))</f>
        <v/>
      </c>
    </row>
    <row r="87">
      <c r="A87" t="n">
        <v>2024</v>
      </c>
      <c r="B87" t="n">
        <v>59410</v>
      </c>
      <c r="C87" t="inlineStr">
        <is>
          <t>Shipley Choice, LLC</t>
        </is>
      </c>
      <c r="D87" t="inlineStr">
        <is>
          <t>B</t>
        </is>
      </c>
      <c r="E87" t="inlineStr">
        <is>
          <t>Energy</t>
        </is>
      </c>
      <c r="F87" t="inlineStr">
        <is>
          <t>O</t>
        </is>
      </c>
      <c r="G87" t="inlineStr">
        <is>
          <t>PA</t>
        </is>
      </c>
      <c r="H87" t="inlineStr">
        <is>
          <t>Retail Power Marketer</t>
        </is>
      </c>
      <c r="I87" t="inlineStr">
        <is>
          <t>PJM</t>
        </is>
      </c>
      <c r="J87" t="n">
        <v>11531.1</v>
      </c>
      <c r="K87" t="n">
        <v>101932</v>
      </c>
      <c r="L87" t="n">
        <v>9886</v>
      </c>
      <c r="M87" t="n">
        <v>2839.3</v>
      </c>
      <c r="N87" t="n">
        <v>34098</v>
      </c>
      <c r="O87" t="n">
        <v>587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14370.4</v>
      </c>
      <c r="W87" t="n">
        <v>136030</v>
      </c>
      <c r="X87" t="n">
        <v>10473</v>
      </c>
      <c r="Y87">
        <f>IF(ISNUMBER($W87),$W87,0)</f>
        <v/>
      </c>
      <c r="Z87">
        <f>IF(ISNUMBER(SEARCH("Adjustment",$C87)),"excluded",IF($H87="Behind the Meter","excluded",IF(NOT(OR($E87="Bundled",$E87="Energy")),"excluded",IF(OR($H87="Retail Power Marketer",$H87="Community Choice Aggregator",$E87="Energy"),"procurement",IF(OR($H87="Municipal",$H87="Cooperative",$H87="Federal",$H87="State",$H87="Political Subdivision"),"cost_service",IF($H87="Investor Owned",IF(AND(COUNTIF(Parameters!$A$4:$A$33,$G87)&gt;0,COUNTIF(Parameters!$B$4:$B$33,$B87)=0),"procurement","cost_service"),"unclassified"))))))</f>
        <v/>
      </c>
    </row>
    <row r="88">
      <c r="A88" t="n">
        <v>2024</v>
      </c>
      <c r="B88" t="n">
        <v>59579</v>
      </c>
      <c r="C88" t="inlineStr">
        <is>
          <t>Sunnova</t>
        </is>
      </c>
      <c r="D88" t="inlineStr">
        <is>
          <t>A</t>
        </is>
      </c>
      <c r="E88" t="inlineStr">
        <is>
          <t>Bundled</t>
        </is>
      </c>
      <c r="F88" t="inlineStr">
        <is>
          <t>O</t>
        </is>
      </c>
      <c r="G88" t="inlineStr">
        <is>
          <t>PA</t>
        </is>
      </c>
      <c r="H88" t="inlineStr">
        <is>
          <t>Behind the Meter</t>
        </is>
      </c>
      <c r="I88" t="inlineStr">
        <is>
          <t>PJM</t>
        </is>
      </c>
      <c r="J88" t="n">
        <v>19594.1</v>
      </c>
      <c r="K88" t="n">
        <v>112774</v>
      </c>
      <c r="L88" t="n">
        <v>10759</v>
      </c>
      <c r="M88" t="inlineStr">
        <is>
          <t>.</t>
        </is>
      </c>
      <c r="N88" t="inlineStr">
        <is>
          <t>.</t>
        </is>
      </c>
      <c r="O88" t="inlineStr">
        <is>
          <t>.</t>
        </is>
      </c>
      <c r="P88" t="inlineStr">
        <is>
          <t>.</t>
        </is>
      </c>
      <c r="Q88" t="inlineStr">
        <is>
          <t>.</t>
        </is>
      </c>
      <c r="R88" t="inlineStr">
        <is>
          <t>.</t>
        </is>
      </c>
      <c r="S88" t="inlineStr">
        <is>
          <t>.</t>
        </is>
      </c>
      <c r="T88" t="inlineStr">
        <is>
          <t>.</t>
        </is>
      </c>
      <c r="U88" t="inlineStr">
        <is>
          <t>.</t>
        </is>
      </c>
      <c r="V88" t="n">
        <v>19594.1</v>
      </c>
      <c r="W88" t="n">
        <v>112774</v>
      </c>
      <c r="X88" t="n">
        <v>10759</v>
      </c>
      <c r="Y88">
        <f>IF(ISNUMBER($W88),$W88,0)</f>
        <v/>
      </c>
      <c r="Z88">
        <f>IF(ISNUMBER(SEARCH("Adjustment",$C88)),"excluded",IF($H88="Behind the Meter","excluded",IF(NOT(OR($E88="Bundled",$E88="Energy")),"excluded",IF(OR($H88="Retail Power Marketer",$H88="Community Choice Aggregator",$E88="Energy"),"procurement",IF(OR($H88="Municipal",$H88="Cooperative",$H88="Federal",$H88="State",$H88="Political Subdivision"),"cost_service",IF($H88="Investor Owned",IF(AND(COUNTIF(Parameters!$A$4:$A$33,$G88)&gt;0,COUNTIF(Parameters!$B$4:$B$33,$B88)=0),"procurement","cost_service"),"unclassified"))))))</f>
        <v/>
      </c>
    </row>
    <row r="89">
      <c r="A89" t="n">
        <v>2024</v>
      </c>
      <c r="B89" t="n">
        <v>59580</v>
      </c>
      <c r="C89" t="inlineStr">
        <is>
          <t>SunPower Capital, LLC</t>
        </is>
      </c>
      <c r="D89" t="inlineStr">
        <is>
          <t>A</t>
        </is>
      </c>
      <c r="E89" t="inlineStr">
        <is>
          <t>Bundled</t>
        </is>
      </c>
      <c r="F89" t="inlineStr">
        <is>
          <t>O</t>
        </is>
      </c>
      <c r="G89" t="inlineStr">
        <is>
          <t>PA</t>
        </is>
      </c>
      <c r="H89" t="inlineStr">
        <is>
          <t>Behind the Meter</t>
        </is>
      </c>
      <c r="I89" t="inlineStr">
        <is>
          <t>PJM</t>
        </is>
      </c>
      <c r="J89" t="n">
        <v>44.7</v>
      </c>
      <c r="K89" t="n">
        <v>270</v>
      </c>
      <c r="L89" t="n">
        <v>61</v>
      </c>
      <c r="M89" t="inlineStr">
        <is>
          <t>.</t>
        </is>
      </c>
      <c r="N89" t="inlineStr">
        <is>
          <t>.</t>
        </is>
      </c>
      <c r="O89" t="inlineStr">
        <is>
          <t>.</t>
        </is>
      </c>
      <c r="P89" t="inlineStr">
        <is>
          <t>.</t>
        </is>
      </c>
      <c r="Q89" t="inlineStr">
        <is>
          <t>.</t>
        </is>
      </c>
      <c r="R89" t="inlineStr">
        <is>
          <t>.</t>
        </is>
      </c>
      <c r="S89" t="inlineStr">
        <is>
          <t>.</t>
        </is>
      </c>
      <c r="T89" t="inlineStr">
        <is>
          <t>.</t>
        </is>
      </c>
      <c r="U89" t="inlineStr">
        <is>
          <t>.</t>
        </is>
      </c>
      <c r="V89" t="n">
        <v>44.7</v>
      </c>
      <c r="W89" t="n">
        <v>270</v>
      </c>
      <c r="X89" t="n">
        <v>61</v>
      </c>
      <c r="Y89">
        <f>IF(ISNUMBER($W89),$W89,0)</f>
        <v/>
      </c>
      <c r="Z89">
        <f>IF(ISNUMBER(SEARCH("Adjustment",$C89)),"excluded",IF($H89="Behind the Meter","excluded",IF(NOT(OR($E89="Bundled",$E89="Energy")),"excluded",IF(OR($H89="Retail Power Marketer",$H89="Community Choice Aggregator",$E89="Energy"),"procurement",IF(OR($H89="Municipal",$H89="Cooperative",$H89="Federal",$H89="State",$H89="Political Subdivision"),"cost_service",IF($H89="Investor Owned",IF(AND(COUNTIF(Parameters!$A$4:$A$33,$G89)&gt;0,COUNTIF(Parameters!$B$4:$B$33,$B89)=0),"procurement","cost_service"),"unclassified"))))))</f>
        <v/>
      </c>
    </row>
    <row r="90">
      <c r="A90" t="n">
        <v>2024</v>
      </c>
      <c r="B90" t="n">
        <v>59620</v>
      </c>
      <c r="C90" t="inlineStr">
        <is>
          <t>Verde Energy USA</t>
        </is>
      </c>
      <c r="D90" t="inlineStr">
        <is>
          <t>B</t>
        </is>
      </c>
      <c r="E90" t="inlineStr">
        <is>
          <t>Energy</t>
        </is>
      </c>
      <c r="F90" t="inlineStr">
        <is>
          <t>O</t>
        </is>
      </c>
      <c r="G90" t="inlineStr">
        <is>
          <t>PA</t>
        </is>
      </c>
      <c r="H90" t="inlineStr">
        <is>
          <t>Retail Power Marketer</t>
        </is>
      </c>
      <c r="I90" t="inlineStr">
        <is>
          <t>PJM</t>
        </is>
      </c>
      <c r="J90" t="n">
        <v>34278</v>
      </c>
      <c r="K90" t="n">
        <v>264675</v>
      </c>
      <c r="L90" t="n">
        <v>24769</v>
      </c>
      <c r="M90" t="n">
        <v>947</v>
      </c>
      <c r="N90" t="n">
        <v>7574</v>
      </c>
      <c r="O90" t="n">
        <v>513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35225</v>
      </c>
      <c r="W90" t="n">
        <v>272249</v>
      </c>
      <c r="X90" t="n">
        <v>25282</v>
      </c>
      <c r="Y90">
        <f>IF(ISNUMBER($W90),$W90,0)</f>
        <v/>
      </c>
      <c r="Z90">
        <f>IF(ISNUMBER(SEARCH("Adjustment",$C90)),"excluded",IF($H90="Behind the Meter","excluded",IF(NOT(OR($E90="Bundled",$E90="Energy")),"excluded",IF(OR($H90="Retail Power Marketer",$H90="Community Choice Aggregator",$E90="Energy"),"procurement",IF(OR($H90="Municipal",$H90="Cooperative",$H90="Federal",$H90="State",$H90="Political Subdivision"),"cost_service",IF($H90="Investor Owned",IF(AND(COUNTIF(Parameters!$A$4:$A$33,$G90)&gt;0,COUNTIF(Parameters!$B$4:$B$33,$B90)=0),"procurement","cost_service"),"unclassified"))))))</f>
        <v/>
      </c>
    </row>
    <row r="91">
      <c r="A91" t="n">
        <v>2024</v>
      </c>
      <c r="B91" t="n">
        <v>59622</v>
      </c>
      <c r="C91" t="inlineStr">
        <is>
          <t>Ahana Renewables, LLC</t>
        </is>
      </c>
      <c r="D91" t="inlineStr">
        <is>
          <t>A</t>
        </is>
      </c>
      <c r="E91" t="inlineStr">
        <is>
          <t>Bundled</t>
        </is>
      </c>
      <c r="F91" t="inlineStr">
        <is>
          <t>O</t>
        </is>
      </c>
      <c r="G91" t="inlineStr">
        <is>
          <t>PA</t>
        </is>
      </c>
      <c r="H91" t="inlineStr">
        <is>
          <t>Behind the Meter</t>
        </is>
      </c>
      <c r="I91" t="inlineStr">
        <is>
          <t>PJM</t>
        </is>
      </c>
      <c r="J91" t="n">
        <v>0</v>
      </c>
      <c r="K91" t="n">
        <v>0</v>
      </c>
      <c r="L91" t="n">
        <v>0</v>
      </c>
      <c r="M91" t="n">
        <v>63.9</v>
      </c>
      <c r="N91" t="n">
        <v>514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63.9</v>
      </c>
      <c r="W91" t="n">
        <v>514</v>
      </c>
      <c r="X91" t="n">
        <v>1</v>
      </c>
      <c r="Y91">
        <f>IF(ISNUMBER($W91),$W91,0)</f>
        <v/>
      </c>
      <c r="Z91">
        <f>IF(ISNUMBER(SEARCH("Adjustment",$C91)),"excluded",IF($H91="Behind the Meter","excluded",IF(NOT(OR($E91="Bundled",$E91="Energy")),"excluded",IF(OR($H91="Retail Power Marketer",$H91="Community Choice Aggregator",$E91="Energy"),"procurement",IF(OR($H91="Municipal",$H91="Cooperative",$H91="Federal",$H91="State",$H91="Political Subdivision"),"cost_service",IF($H91="Investor Owned",IF(AND(COUNTIF(Parameters!$A$4:$A$33,$G91)&gt;0,COUNTIF(Parameters!$B$4:$B$33,$B91)=0),"procurement","cost_service"),"unclassified"))))))</f>
        <v/>
      </c>
    </row>
    <row r="92">
      <c r="A92" t="n">
        <v>2024</v>
      </c>
      <c r="B92" t="n">
        <v>59647</v>
      </c>
      <c r="C92" t="inlineStr">
        <is>
          <t>Sunrun Inc.</t>
        </is>
      </c>
      <c r="D92" t="inlineStr">
        <is>
          <t>A</t>
        </is>
      </c>
      <c r="E92" t="inlineStr">
        <is>
          <t>Bundled</t>
        </is>
      </c>
      <c r="F92" t="inlineStr">
        <is>
          <t>O</t>
        </is>
      </c>
      <c r="G92" t="inlineStr">
        <is>
          <t>PA</t>
        </is>
      </c>
      <c r="H92" t="inlineStr">
        <is>
          <t>Behind the Meter</t>
        </is>
      </c>
      <c r="I92" t="inlineStr">
        <is>
          <t>PJM</t>
        </is>
      </c>
      <c r="J92" t="n">
        <v>7086.2</v>
      </c>
      <c r="K92" t="n">
        <v>43966</v>
      </c>
      <c r="L92" t="n">
        <v>5072</v>
      </c>
      <c r="M92" t="inlineStr">
        <is>
          <t>.</t>
        </is>
      </c>
      <c r="N92" t="inlineStr">
        <is>
          <t>.</t>
        </is>
      </c>
      <c r="O92" t="inlineStr">
        <is>
          <t>.</t>
        </is>
      </c>
      <c r="P92" t="inlineStr">
        <is>
          <t>.</t>
        </is>
      </c>
      <c r="Q92" t="inlineStr">
        <is>
          <t>.</t>
        </is>
      </c>
      <c r="R92" t="inlineStr">
        <is>
          <t>.</t>
        </is>
      </c>
      <c r="S92" t="inlineStr">
        <is>
          <t>.</t>
        </is>
      </c>
      <c r="T92" t="inlineStr">
        <is>
          <t>.</t>
        </is>
      </c>
      <c r="U92" t="inlineStr">
        <is>
          <t>.</t>
        </is>
      </c>
      <c r="V92" t="n">
        <v>7086.2</v>
      </c>
      <c r="W92" t="n">
        <v>43966</v>
      </c>
      <c r="X92" t="n">
        <v>5072</v>
      </c>
      <c r="Y92">
        <f>IF(ISNUMBER($W92),$W92,0)</f>
        <v/>
      </c>
      <c r="Z92">
        <f>IF(ISNUMBER(SEARCH("Adjustment",$C92)),"excluded",IF($H92="Behind the Meter","excluded",IF(NOT(OR($E92="Bundled",$E92="Energy")),"excluded",IF(OR($H92="Retail Power Marketer",$H92="Community Choice Aggregator",$E92="Energy"),"procurement",IF(OR($H92="Municipal",$H92="Cooperative",$H92="Federal",$H92="State",$H92="Political Subdivision"),"cost_service",IF($H92="Investor Owned",IF(AND(COUNTIF(Parameters!$A$4:$A$33,$G92)&gt;0,COUNTIF(Parameters!$B$4:$B$33,$B92)=0),"procurement","cost_service"),"unclassified"))))))</f>
        <v/>
      </c>
    </row>
    <row r="93">
      <c r="A93" t="n">
        <v>2024</v>
      </c>
      <c r="B93" t="n">
        <v>59793</v>
      </c>
      <c r="C93" t="inlineStr">
        <is>
          <t>First Point Power, LLC</t>
        </is>
      </c>
      <c r="D93" t="inlineStr">
        <is>
          <t>B</t>
        </is>
      </c>
      <c r="E93" t="inlineStr">
        <is>
          <t>Energy</t>
        </is>
      </c>
      <c r="F93" t="inlineStr">
        <is>
          <t>O</t>
        </is>
      </c>
      <c r="G93" t="inlineStr">
        <is>
          <t>PA</t>
        </is>
      </c>
      <c r="H93" t="inlineStr">
        <is>
          <t>Retail Power Marketer</t>
        </is>
      </c>
      <c r="I93" t="inlineStr">
        <is>
          <t>PJM</t>
        </is>
      </c>
      <c r="J93" t="n">
        <v>18.9</v>
      </c>
      <c r="K93" t="n">
        <v>109</v>
      </c>
      <c r="L93" t="n">
        <v>16</v>
      </c>
      <c r="M93" t="n">
        <v>195</v>
      </c>
      <c r="N93" t="n">
        <v>1117</v>
      </c>
      <c r="O93" t="n">
        <v>45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213.9</v>
      </c>
      <c r="W93" t="n">
        <v>1226</v>
      </c>
      <c r="X93" t="n">
        <v>61</v>
      </c>
      <c r="Y93">
        <f>IF(ISNUMBER($W93),$W93,0)</f>
        <v/>
      </c>
      <c r="Z93">
        <f>IF(ISNUMBER(SEARCH("Adjustment",$C93)),"excluded",IF($H93="Behind the Meter","excluded",IF(NOT(OR($E93="Bundled",$E93="Energy")),"excluded",IF(OR($H93="Retail Power Marketer",$H93="Community Choice Aggregator",$E93="Energy"),"procurement",IF(OR($H93="Municipal",$H93="Cooperative",$H93="Federal",$H93="State",$H93="Political Subdivision"),"cost_service",IF($H93="Investor Owned",IF(AND(COUNTIF(Parameters!$A$4:$A$33,$G93)&gt;0,COUNTIF(Parameters!$B$4:$B$33,$B93)=0),"procurement","cost_service"),"unclassified"))))))</f>
        <v/>
      </c>
    </row>
    <row r="94">
      <c r="A94" t="n">
        <v>2024</v>
      </c>
      <c r="B94" t="n">
        <v>59797</v>
      </c>
      <c r="C94" t="inlineStr">
        <is>
          <t>Park Power LLC</t>
        </is>
      </c>
      <c r="D94" t="inlineStr">
        <is>
          <t>B</t>
        </is>
      </c>
      <c r="E94" t="inlineStr">
        <is>
          <t>Energy</t>
        </is>
      </c>
      <c r="F94" t="inlineStr">
        <is>
          <t>O</t>
        </is>
      </c>
      <c r="G94" t="inlineStr">
        <is>
          <t>PA</t>
        </is>
      </c>
      <c r="H94" t="inlineStr">
        <is>
          <t>Retail Power Marketer</t>
        </is>
      </c>
      <c r="I94" t="inlineStr">
        <is>
          <t>PJM</t>
        </is>
      </c>
      <c r="J94" t="n">
        <v>7425.1</v>
      </c>
      <c r="K94" t="n">
        <v>39933</v>
      </c>
      <c r="L94" t="n">
        <v>5198</v>
      </c>
      <c r="M94" t="n">
        <v>72.8</v>
      </c>
      <c r="N94" t="n">
        <v>664</v>
      </c>
      <c r="O94" t="n">
        <v>20</v>
      </c>
      <c r="P94" t="inlineStr">
        <is>
          <t>.</t>
        </is>
      </c>
      <c r="Q94" t="inlineStr">
        <is>
          <t>.</t>
        </is>
      </c>
      <c r="R94" t="inlineStr">
        <is>
          <t>.</t>
        </is>
      </c>
      <c r="S94" t="inlineStr">
        <is>
          <t>.</t>
        </is>
      </c>
      <c r="T94" t="inlineStr">
        <is>
          <t>.</t>
        </is>
      </c>
      <c r="U94" t="inlineStr">
        <is>
          <t>.</t>
        </is>
      </c>
      <c r="V94" t="n">
        <v>7497.9</v>
      </c>
      <c r="W94" t="n">
        <v>40597</v>
      </c>
      <c r="X94" t="n">
        <v>5218</v>
      </c>
      <c r="Y94">
        <f>IF(ISNUMBER($W94),$W94,0)</f>
        <v/>
      </c>
      <c r="Z94">
        <f>IF(ISNUMBER(SEARCH("Adjustment",$C94)),"excluded",IF($H94="Behind the Meter","excluded",IF(NOT(OR($E94="Bundled",$E94="Energy")),"excluded",IF(OR($H94="Retail Power Marketer",$H94="Community Choice Aggregator",$E94="Energy"),"procurement",IF(OR($H94="Municipal",$H94="Cooperative",$H94="Federal",$H94="State",$H94="Political Subdivision"),"cost_service",IF($H94="Investor Owned",IF(AND(COUNTIF(Parameters!$A$4:$A$33,$G94)&gt;0,COUNTIF(Parameters!$B$4:$B$33,$B94)=0),"procurement","cost_service"),"unclassified"))))))</f>
        <v/>
      </c>
    </row>
    <row r="95">
      <c r="A95" t="n">
        <v>2024</v>
      </c>
      <c r="B95" t="n">
        <v>59799</v>
      </c>
      <c r="C95" t="inlineStr">
        <is>
          <t>American Power &amp; Gas</t>
        </is>
      </c>
      <c r="D95" t="inlineStr">
        <is>
          <t>B</t>
        </is>
      </c>
      <c r="E95" t="inlineStr">
        <is>
          <t>Energy</t>
        </is>
      </c>
      <c r="F95" t="inlineStr">
        <is>
          <t>O</t>
        </is>
      </c>
      <c r="G95" t="inlineStr">
        <is>
          <t>PA</t>
        </is>
      </c>
      <c r="H95" t="inlineStr">
        <is>
          <t>Retail Power Marketer</t>
        </is>
      </c>
      <c r="I95" t="inlineStr">
        <is>
          <t>PJM</t>
        </is>
      </c>
      <c r="J95" t="n">
        <v>39432.6</v>
      </c>
      <c r="K95" t="n">
        <v>315204</v>
      </c>
      <c r="L95" t="n">
        <v>25167</v>
      </c>
      <c r="M95" t="n">
        <v>46208.8</v>
      </c>
      <c r="N95" t="n">
        <v>302839</v>
      </c>
      <c r="O95" t="n">
        <v>16186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85641.39999999999</v>
      </c>
      <c r="W95" t="n">
        <v>618043</v>
      </c>
      <c r="X95" t="n">
        <v>41353</v>
      </c>
      <c r="Y95">
        <f>IF(ISNUMBER($W95),$W95,0)</f>
        <v/>
      </c>
      <c r="Z95">
        <f>IF(ISNUMBER(SEARCH("Adjustment",$C95)),"excluded",IF($H95="Behind the Meter","excluded",IF(NOT(OR($E95="Bundled",$E95="Energy")),"excluded",IF(OR($H95="Retail Power Marketer",$H95="Community Choice Aggregator",$E95="Energy"),"procurement",IF(OR($H95="Municipal",$H95="Cooperative",$H95="Federal",$H95="State",$H95="Political Subdivision"),"cost_service",IF($H95="Investor Owned",IF(AND(COUNTIF(Parameters!$A$4:$A$33,$G95)&gt;0,COUNTIF(Parameters!$B$4:$B$33,$B95)=0),"procurement","cost_service"),"unclassified"))))))</f>
        <v/>
      </c>
    </row>
    <row r="96">
      <c r="A96" t="n">
        <v>2024</v>
      </c>
      <c r="B96" t="n">
        <v>59807</v>
      </c>
      <c r="C96" t="inlineStr">
        <is>
          <t>Rushmore Energy, LLC</t>
        </is>
      </c>
      <c r="D96" t="inlineStr">
        <is>
          <t>B</t>
        </is>
      </c>
      <c r="E96" t="inlineStr">
        <is>
          <t>Energy</t>
        </is>
      </c>
      <c r="F96" t="inlineStr">
        <is>
          <t>O</t>
        </is>
      </c>
      <c r="G96" t="inlineStr">
        <is>
          <t>PA</t>
        </is>
      </c>
      <c r="H96" t="inlineStr">
        <is>
          <t>Retail Power Marketer</t>
        </is>
      </c>
      <c r="I96" t="inlineStr">
        <is>
          <t>PJM</t>
        </is>
      </c>
      <c r="J96" t="n">
        <v>3058.1</v>
      </c>
      <c r="K96" t="n">
        <v>25780</v>
      </c>
      <c r="L96" t="n">
        <v>3346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3058.1</v>
      </c>
      <c r="W96" t="n">
        <v>25780</v>
      </c>
      <c r="X96" t="n">
        <v>3346</v>
      </c>
      <c r="Y96">
        <f>IF(ISNUMBER($W96),$W96,0)</f>
        <v/>
      </c>
      <c r="Z96">
        <f>IF(ISNUMBER(SEARCH("Adjustment",$C96)),"excluded",IF($H96="Behind the Meter","excluded",IF(NOT(OR($E96="Bundled",$E96="Energy")),"excluded",IF(OR($H96="Retail Power Marketer",$H96="Community Choice Aggregator",$E96="Energy"),"procurement",IF(OR($H96="Municipal",$H96="Cooperative",$H96="Federal",$H96="State",$H96="Political Subdivision"),"cost_service",IF($H96="Investor Owned",IF(AND(COUNTIF(Parameters!$A$4:$A$33,$G96)&gt;0,COUNTIF(Parameters!$B$4:$B$33,$B96)=0),"procurement","cost_service"),"unclassified"))))))</f>
        <v/>
      </c>
    </row>
    <row r="97">
      <c r="A97" t="n">
        <v>2024</v>
      </c>
      <c r="B97" t="n">
        <v>59808</v>
      </c>
      <c r="C97" t="inlineStr">
        <is>
          <t>MP2 Energy LLC</t>
        </is>
      </c>
      <c r="D97" t="inlineStr">
        <is>
          <t>B</t>
        </is>
      </c>
      <c r="E97" t="inlineStr">
        <is>
          <t>Energy</t>
        </is>
      </c>
      <c r="F97" t="inlineStr">
        <is>
          <t>O</t>
        </is>
      </c>
      <c r="G97" t="inlineStr">
        <is>
          <t>PA</t>
        </is>
      </c>
      <c r="H97" t="inlineStr">
        <is>
          <t>Retail Power Marketer</t>
        </is>
      </c>
      <c r="I97" t="inlineStr">
        <is>
          <t>PJM</t>
        </is>
      </c>
      <c r="J97" t="n">
        <v>0</v>
      </c>
      <c r="K97" t="n">
        <v>0</v>
      </c>
      <c r="L97" t="n">
        <v>0</v>
      </c>
      <c r="M97" t="n">
        <v>100751.4</v>
      </c>
      <c r="N97" t="n">
        <v>1378626</v>
      </c>
      <c r="O97" t="n">
        <v>3430</v>
      </c>
      <c r="P97" t="n">
        <v>36274.3</v>
      </c>
      <c r="Q97" t="n">
        <v>479819</v>
      </c>
      <c r="R97" t="n">
        <v>275</v>
      </c>
      <c r="S97" t="n">
        <v>0</v>
      </c>
      <c r="T97" t="n">
        <v>0</v>
      </c>
      <c r="U97" t="n">
        <v>0</v>
      </c>
      <c r="V97" t="n">
        <v>137025.7</v>
      </c>
      <c r="W97" t="n">
        <v>1858445</v>
      </c>
      <c r="X97" t="n">
        <v>3705</v>
      </c>
      <c r="Y97">
        <f>IF(ISNUMBER($W97),$W97,0)</f>
        <v/>
      </c>
      <c r="Z97">
        <f>IF(ISNUMBER(SEARCH("Adjustment",$C97)),"excluded",IF($H97="Behind the Meter","excluded",IF(NOT(OR($E97="Bundled",$E97="Energy")),"excluded",IF(OR($H97="Retail Power Marketer",$H97="Community Choice Aggregator",$E97="Energy"),"procurement",IF(OR($H97="Municipal",$H97="Cooperative",$H97="Federal",$H97="State",$H97="Political Subdivision"),"cost_service",IF($H97="Investor Owned",IF(AND(COUNTIF(Parameters!$A$4:$A$33,$G97)&gt;0,COUNTIF(Parameters!$B$4:$B$33,$B97)=0),"procurement","cost_service"),"unclassified"))))))</f>
        <v/>
      </c>
    </row>
    <row r="98">
      <c r="A98" t="n">
        <v>2024</v>
      </c>
      <c r="B98" t="n">
        <v>59809</v>
      </c>
      <c r="C98" t="inlineStr">
        <is>
          <t>Residents Energy, LLC</t>
        </is>
      </c>
      <c r="D98" t="inlineStr">
        <is>
          <t>B</t>
        </is>
      </c>
      <c r="E98" t="inlineStr">
        <is>
          <t>Energy</t>
        </is>
      </c>
      <c r="F98" t="inlineStr">
        <is>
          <t>O</t>
        </is>
      </c>
      <c r="G98" t="inlineStr">
        <is>
          <t>PA</t>
        </is>
      </c>
      <c r="H98" t="inlineStr">
        <is>
          <t>Retail Power Marketer</t>
        </is>
      </c>
      <c r="I98" t="inlineStr">
        <is>
          <t>PJM</t>
        </is>
      </c>
      <c r="J98" t="n">
        <v>10683.7</v>
      </c>
      <c r="K98" t="n">
        <v>71442</v>
      </c>
      <c r="L98" t="n">
        <v>10067</v>
      </c>
      <c r="M98" t="n">
        <v>129.4</v>
      </c>
      <c r="N98" t="n">
        <v>913</v>
      </c>
      <c r="O98" t="n">
        <v>103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10813.1</v>
      </c>
      <c r="W98" t="n">
        <v>72355</v>
      </c>
      <c r="X98" t="n">
        <v>10170</v>
      </c>
      <c r="Y98">
        <f>IF(ISNUMBER($W98),$W98,0)</f>
        <v/>
      </c>
      <c r="Z98">
        <f>IF(ISNUMBER(SEARCH("Adjustment",$C98)),"excluded",IF($H98="Behind the Meter","excluded",IF(NOT(OR($E98="Bundled",$E98="Energy")),"excluded",IF(OR($H98="Retail Power Marketer",$H98="Community Choice Aggregator",$E98="Energy"),"procurement",IF(OR($H98="Municipal",$H98="Cooperative",$H98="Federal",$H98="State",$H98="Political Subdivision"),"cost_service",IF($H98="Investor Owned",IF(AND(COUNTIF(Parameters!$A$4:$A$33,$G98)&gt;0,COUNTIF(Parameters!$B$4:$B$33,$B98)=0),"procurement","cost_service"),"unclassified"))))))</f>
        <v/>
      </c>
    </row>
    <row r="99">
      <c r="A99" t="n">
        <v>2024</v>
      </c>
      <c r="B99" t="n">
        <v>59810</v>
      </c>
      <c r="C99" t="inlineStr">
        <is>
          <t>Greenlight Energy Inc.</t>
        </is>
      </c>
      <c r="D99" t="inlineStr">
        <is>
          <t>B</t>
        </is>
      </c>
      <c r="E99" t="inlineStr">
        <is>
          <t>Energy</t>
        </is>
      </c>
      <c r="F99" t="inlineStr">
        <is>
          <t>O</t>
        </is>
      </c>
      <c r="G99" t="inlineStr">
        <is>
          <t>PA</t>
        </is>
      </c>
      <c r="H99" t="inlineStr">
        <is>
          <t>Retail Power Marketer</t>
        </is>
      </c>
      <c r="I99" t="inlineStr">
        <is>
          <t>PJM</t>
        </is>
      </c>
      <c r="J99" t="n">
        <v>882</v>
      </c>
      <c r="K99" t="n">
        <v>6172</v>
      </c>
      <c r="L99" t="n">
        <v>858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882</v>
      </c>
      <c r="W99" t="n">
        <v>6172</v>
      </c>
      <c r="X99" t="n">
        <v>858</v>
      </c>
      <c r="Y99">
        <f>IF(ISNUMBER($W99),$W99,0)</f>
        <v/>
      </c>
      <c r="Z99">
        <f>IF(ISNUMBER(SEARCH("Adjustment",$C99)),"excluded",IF($H99="Behind the Meter","excluded",IF(NOT(OR($E99="Bundled",$E99="Energy")),"excluded",IF(OR($H99="Retail Power Marketer",$H99="Community Choice Aggregator",$E99="Energy"),"procurement",IF(OR($H99="Municipal",$H99="Cooperative",$H99="Federal",$H99="State",$H99="Political Subdivision"),"cost_service",IF($H99="Investor Owned",IF(AND(COUNTIF(Parameters!$A$4:$A$33,$G99)&gt;0,COUNTIF(Parameters!$B$4:$B$33,$B99)=0),"procurement","cost_service"),"unclassified"))))))</f>
        <v/>
      </c>
    </row>
    <row r="100">
      <c r="A100" t="n">
        <v>2024</v>
      </c>
      <c r="B100" t="n">
        <v>59811</v>
      </c>
      <c r="C100" t="inlineStr">
        <is>
          <t>Santanna Energy Services</t>
        </is>
      </c>
      <c r="D100" t="inlineStr">
        <is>
          <t>B</t>
        </is>
      </c>
      <c r="E100" t="inlineStr">
        <is>
          <t>Energy</t>
        </is>
      </c>
      <c r="F100" t="inlineStr">
        <is>
          <t>O</t>
        </is>
      </c>
      <c r="G100" t="inlineStr">
        <is>
          <t>PA</t>
        </is>
      </c>
      <c r="H100" t="inlineStr">
        <is>
          <t>Retail Power Marketer</t>
        </is>
      </c>
      <c r="I100" t="inlineStr">
        <is>
          <t>PJM</t>
        </is>
      </c>
      <c r="J100" t="n">
        <v>6467.7</v>
      </c>
      <c r="K100" t="n">
        <v>71670</v>
      </c>
      <c r="L100" t="n">
        <v>4700</v>
      </c>
      <c r="M100" t="n">
        <v>965.7</v>
      </c>
      <c r="N100" t="n">
        <v>10331</v>
      </c>
      <c r="O100" t="n">
        <v>180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7433.4</v>
      </c>
      <c r="W100" t="n">
        <v>82001</v>
      </c>
      <c r="X100" t="n">
        <v>4880</v>
      </c>
      <c r="Y100">
        <f>IF(ISNUMBER($W100),$W100,0)</f>
        <v/>
      </c>
      <c r="Z100">
        <f>IF(ISNUMBER(SEARCH("Adjustment",$C100)),"excluded",IF($H100="Behind the Meter","excluded",IF(NOT(OR($E100="Bundled",$E100="Energy")),"excluded",IF(OR($H100="Retail Power Marketer",$H100="Community Choice Aggregator",$E100="Energy"),"procurement",IF(OR($H100="Municipal",$H100="Cooperative",$H100="Federal",$H100="State",$H100="Political Subdivision"),"cost_service",IF($H100="Investor Owned",IF(AND(COUNTIF(Parameters!$A$4:$A$33,$G100)&gt;0,COUNTIF(Parameters!$B$4:$B$33,$B100)=0),"procurement","cost_service"),"unclassified"))))))</f>
        <v/>
      </c>
    </row>
    <row r="101">
      <c r="A101" t="n">
        <v>2024</v>
      </c>
      <c r="B101" t="n">
        <v>59812</v>
      </c>
      <c r="C101" t="inlineStr">
        <is>
          <t>New Wave Energy Corporation</t>
        </is>
      </c>
      <c r="D101" t="inlineStr">
        <is>
          <t>B</t>
        </is>
      </c>
      <c r="E101" t="inlineStr">
        <is>
          <t>Energy</t>
        </is>
      </c>
      <c r="F101" t="inlineStr">
        <is>
          <t>O</t>
        </is>
      </c>
      <c r="G101" t="inlineStr">
        <is>
          <t>PA</t>
        </is>
      </c>
      <c r="H101" t="inlineStr">
        <is>
          <t>Retail Power Marketer</t>
        </is>
      </c>
      <c r="I101" t="inlineStr">
        <is>
          <t>PJM</t>
        </is>
      </c>
      <c r="J101" t="n">
        <v>7270</v>
      </c>
      <c r="K101" t="n">
        <v>75128</v>
      </c>
      <c r="L101" t="n">
        <v>6276</v>
      </c>
      <c r="M101" t="n">
        <v>9970</v>
      </c>
      <c r="N101" t="n">
        <v>90549</v>
      </c>
      <c r="O101" t="n">
        <v>2164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17240</v>
      </c>
      <c r="W101" t="n">
        <v>165677</v>
      </c>
      <c r="X101" t="n">
        <v>8440</v>
      </c>
      <c r="Y101">
        <f>IF(ISNUMBER($W101),$W101,0)</f>
        <v/>
      </c>
      <c r="Z101">
        <f>IF(ISNUMBER(SEARCH("Adjustment",$C101)),"excluded",IF($H101="Behind the Meter","excluded",IF(NOT(OR($E101="Bundled",$E101="Energy")),"excluded",IF(OR($H101="Retail Power Marketer",$H101="Community Choice Aggregator",$E101="Energy"),"procurement",IF(OR($H101="Municipal",$H101="Cooperative",$H101="Federal",$H101="State",$H101="Political Subdivision"),"cost_service",IF($H101="Investor Owned",IF(AND(COUNTIF(Parameters!$A$4:$A$33,$G101)&gt;0,COUNTIF(Parameters!$B$4:$B$33,$B101)=0),"procurement","cost_service"),"unclassified"))))))</f>
        <v/>
      </c>
    </row>
    <row r="102">
      <c r="A102" t="n">
        <v>2024</v>
      </c>
      <c r="B102" t="n">
        <v>59931</v>
      </c>
      <c r="C102" t="inlineStr">
        <is>
          <t>MidAmerican Energy Services, LLC</t>
        </is>
      </c>
      <c r="D102" t="inlineStr">
        <is>
          <t>B</t>
        </is>
      </c>
      <c r="E102" t="inlineStr">
        <is>
          <t>Energy</t>
        </is>
      </c>
      <c r="F102" t="inlineStr">
        <is>
          <t>O</t>
        </is>
      </c>
      <c r="G102" t="inlineStr">
        <is>
          <t>PA</t>
        </is>
      </c>
      <c r="H102" t="inlineStr">
        <is>
          <t>Retail Power Marketer</t>
        </is>
      </c>
      <c r="I102" t="inlineStr">
        <is>
          <t>PJM</t>
        </is>
      </c>
      <c r="J102" t="n">
        <v>160.4</v>
      </c>
      <c r="K102" t="n">
        <v>2220</v>
      </c>
      <c r="L102" t="n">
        <v>253</v>
      </c>
      <c r="M102" t="n">
        <v>21700.8</v>
      </c>
      <c r="N102" t="n">
        <v>331859</v>
      </c>
      <c r="O102" t="n">
        <v>2807</v>
      </c>
      <c r="P102" t="n">
        <v>15788.3</v>
      </c>
      <c r="Q102" t="n">
        <v>276982</v>
      </c>
      <c r="R102" t="n">
        <v>27</v>
      </c>
      <c r="S102" t="n">
        <v>0</v>
      </c>
      <c r="T102" t="n">
        <v>0</v>
      </c>
      <c r="U102" t="n">
        <v>0</v>
      </c>
      <c r="V102" t="n">
        <v>37649.5</v>
      </c>
      <c r="W102" t="n">
        <v>611061</v>
      </c>
      <c r="X102" t="n">
        <v>3087</v>
      </c>
      <c r="Y102">
        <f>IF(ISNUMBER($W102),$W102,0)</f>
        <v/>
      </c>
      <c r="Z102">
        <f>IF(ISNUMBER(SEARCH("Adjustment",$C102)),"excluded",IF($H102="Behind the Meter","excluded",IF(NOT(OR($E102="Bundled",$E102="Energy")),"excluded",IF(OR($H102="Retail Power Marketer",$H102="Community Choice Aggregator",$E102="Energy"),"procurement",IF(OR($H102="Municipal",$H102="Cooperative",$H102="Federal",$H102="State",$H102="Political Subdivision"),"cost_service",IF($H102="Investor Owned",IF(AND(COUNTIF(Parameters!$A$4:$A$33,$G102)&gt;0,COUNTIF(Parameters!$B$4:$B$33,$B102)=0),"procurement","cost_service"),"unclassified"))))))</f>
        <v/>
      </c>
    </row>
    <row r="103">
      <c r="A103" t="n">
        <v>2024</v>
      </c>
      <c r="B103" t="n">
        <v>59993</v>
      </c>
      <c r="C103" t="inlineStr">
        <is>
          <t>Discount Power Inc - (CT)</t>
        </is>
      </c>
      <c r="D103" t="inlineStr">
        <is>
          <t>B</t>
        </is>
      </c>
      <c r="E103" t="inlineStr">
        <is>
          <t>Energy</t>
        </is>
      </c>
      <c r="F103" t="inlineStr">
        <is>
          <t>O</t>
        </is>
      </c>
      <c r="G103" t="inlineStr">
        <is>
          <t>PA</t>
        </is>
      </c>
      <c r="H103" t="inlineStr">
        <is>
          <t>Retail Power Marketer</t>
        </is>
      </c>
      <c r="I103" t="inlineStr">
        <is>
          <t>PJM</t>
        </is>
      </c>
      <c r="J103" t="n">
        <v>4578.2</v>
      </c>
      <c r="K103" t="n">
        <v>21339</v>
      </c>
      <c r="L103" t="n">
        <v>3095</v>
      </c>
      <c r="M103" t="n">
        <v>71</v>
      </c>
      <c r="N103" t="n">
        <v>436</v>
      </c>
      <c r="O103" t="n">
        <v>19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4649.2</v>
      </c>
      <c r="W103" t="n">
        <v>21775</v>
      </c>
      <c r="X103" t="n">
        <v>3114</v>
      </c>
      <c r="Y103">
        <f>IF(ISNUMBER($W103),$W103,0)</f>
        <v/>
      </c>
      <c r="Z103">
        <f>IF(ISNUMBER(SEARCH("Adjustment",$C103)),"excluded",IF($H103="Behind the Meter","excluded",IF(NOT(OR($E103="Bundled",$E103="Energy")),"excluded",IF(OR($H103="Retail Power Marketer",$H103="Community Choice Aggregator",$E103="Energy"),"procurement",IF(OR($H103="Municipal",$H103="Cooperative",$H103="Federal",$H103="State",$H103="Political Subdivision"),"cost_service",IF($H103="Investor Owned",IF(AND(COUNTIF(Parameters!$A$4:$A$33,$G103)&gt;0,COUNTIF(Parameters!$B$4:$B$33,$B103)=0),"procurement","cost_service"),"unclassified"))))))</f>
        <v/>
      </c>
    </row>
    <row r="104">
      <c r="A104" t="n">
        <v>2024</v>
      </c>
      <c r="B104" t="n">
        <v>60124</v>
      </c>
      <c r="C104" t="inlineStr">
        <is>
          <t>Spring Energy RRH LLC</t>
        </is>
      </c>
      <c r="D104" t="inlineStr">
        <is>
          <t>B</t>
        </is>
      </c>
      <c r="E104" t="inlineStr">
        <is>
          <t>Energy</t>
        </is>
      </c>
      <c r="F104" t="inlineStr">
        <is>
          <t>O</t>
        </is>
      </c>
      <c r="G104" t="inlineStr">
        <is>
          <t>PA</t>
        </is>
      </c>
      <c r="H104" t="inlineStr">
        <is>
          <t>Retail Power Marketer</t>
        </is>
      </c>
      <c r="I104" t="inlineStr">
        <is>
          <t>PJM</t>
        </is>
      </c>
      <c r="J104" t="n">
        <v>5678</v>
      </c>
      <c r="K104" t="n">
        <v>40153</v>
      </c>
      <c r="L104" t="n">
        <v>5374</v>
      </c>
      <c r="M104" t="n">
        <v>133</v>
      </c>
      <c r="N104" t="n">
        <v>956</v>
      </c>
      <c r="O104" t="n">
        <v>31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5811</v>
      </c>
      <c r="W104" t="n">
        <v>41109</v>
      </c>
      <c r="X104" t="n">
        <v>5405</v>
      </c>
      <c r="Y104">
        <f>IF(ISNUMBER($W104),$W104,0)</f>
        <v/>
      </c>
      <c r="Z104">
        <f>IF(ISNUMBER(SEARCH("Adjustment",$C104)),"excluded",IF($H104="Behind the Meter","excluded",IF(NOT(OR($E104="Bundled",$E104="Energy")),"excluded",IF(OR($H104="Retail Power Marketer",$H104="Community Choice Aggregator",$E104="Energy"),"procurement",IF(OR($H104="Municipal",$H104="Cooperative",$H104="Federal",$H104="State",$H104="Political Subdivision"),"cost_service",IF($H104="Investor Owned",IF(AND(COUNTIF(Parameters!$A$4:$A$33,$G104)&gt;0,COUNTIF(Parameters!$B$4:$B$33,$B104)=0),"procurement","cost_service"),"unclassified"))))))</f>
        <v/>
      </c>
    </row>
    <row r="105">
      <c r="A105" t="n">
        <v>2024</v>
      </c>
      <c r="B105" t="n">
        <v>60218</v>
      </c>
      <c r="C105" t="inlineStr">
        <is>
          <t>MPower Energy NJ LLC</t>
        </is>
      </c>
      <c r="D105" t="inlineStr">
        <is>
          <t>B</t>
        </is>
      </c>
      <c r="E105" t="inlineStr">
        <is>
          <t>Energy</t>
        </is>
      </c>
      <c r="F105" t="inlineStr">
        <is>
          <t>O</t>
        </is>
      </c>
      <c r="G105" t="inlineStr">
        <is>
          <t>PA</t>
        </is>
      </c>
      <c r="H105" t="inlineStr">
        <is>
          <t>Retail Power Marketer</t>
        </is>
      </c>
      <c r="I105" t="inlineStr">
        <is>
          <t>PJM</t>
        </is>
      </c>
      <c r="J105" t="n">
        <v>8232.299999999999</v>
      </c>
      <c r="K105" t="n">
        <v>46323</v>
      </c>
      <c r="L105" t="n">
        <v>6969</v>
      </c>
      <c r="M105" t="n">
        <v>260.5</v>
      </c>
      <c r="N105" t="n">
        <v>1364</v>
      </c>
      <c r="O105" t="n">
        <v>90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8492.799999999999</v>
      </c>
      <c r="W105" t="n">
        <v>47687</v>
      </c>
      <c r="X105" t="n">
        <v>7059</v>
      </c>
      <c r="Y105">
        <f>IF(ISNUMBER($W105),$W105,0)</f>
        <v/>
      </c>
      <c r="Z105">
        <f>IF(ISNUMBER(SEARCH("Adjustment",$C105)),"excluded",IF($H105="Behind the Meter","excluded",IF(NOT(OR($E105="Bundled",$E105="Energy")),"excluded",IF(OR($H105="Retail Power Marketer",$H105="Community Choice Aggregator",$E105="Energy"),"procurement",IF(OR($H105="Municipal",$H105="Cooperative",$H105="Federal",$H105="State",$H105="Political Subdivision"),"cost_service",IF($H105="Investor Owned",IF(AND(COUNTIF(Parameters!$A$4:$A$33,$G105)&gt;0,COUNTIF(Parameters!$B$4:$B$33,$B105)=0),"procurement","cost_service"),"unclassified"))))))</f>
        <v/>
      </c>
    </row>
    <row r="106">
      <c r="A106" t="n">
        <v>2024</v>
      </c>
      <c r="B106" t="n">
        <v>60583</v>
      </c>
      <c r="C106" t="inlineStr">
        <is>
          <t>Atlantic Energy LLC</t>
        </is>
      </c>
      <c r="D106" t="inlineStr">
        <is>
          <t>B</t>
        </is>
      </c>
      <c r="E106" t="inlineStr">
        <is>
          <t>Energy</t>
        </is>
      </c>
      <c r="F106" t="inlineStr">
        <is>
          <t>O</t>
        </is>
      </c>
      <c r="G106" t="inlineStr">
        <is>
          <t>PA</t>
        </is>
      </c>
      <c r="H106" t="inlineStr">
        <is>
          <t>Retail Power Marketer</t>
        </is>
      </c>
      <c r="I106" t="inlineStr">
        <is>
          <t>PJM</t>
        </is>
      </c>
      <c r="J106" t="n">
        <v>1227.3</v>
      </c>
      <c r="K106" t="n">
        <v>6118</v>
      </c>
      <c r="L106" t="n">
        <v>922</v>
      </c>
      <c r="M106" t="n">
        <v>746.5</v>
      </c>
      <c r="N106" t="n">
        <v>3404</v>
      </c>
      <c r="O106" t="n">
        <v>112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1973.8</v>
      </c>
      <c r="W106" t="n">
        <v>9522</v>
      </c>
      <c r="X106" t="n">
        <v>1034</v>
      </c>
      <c r="Y106">
        <f>IF(ISNUMBER($W106),$W106,0)</f>
        <v/>
      </c>
      <c r="Z106">
        <f>IF(ISNUMBER(SEARCH("Adjustment",$C106)),"excluded",IF($H106="Behind the Meter","excluded",IF(NOT(OR($E106="Bundled",$E106="Energy")),"excluded",IF(OR($H106="Retail Power Marketer",$H106="Community Choice Aggregator",$E106="Energy"),"procurement",IF(OR($H106="Municipal",$H106="Cooperative",$H106="Federal",$H106="State",$H106="Political Subdivision"),"cost_service",IF($H106="Investor Owned",IF(AND(COUNTIF(Parameters!$A$4:$A$33,$G106)&gt;0,COUNTIF(Parameters!$B$4:$B$33,$B106)=0),"procurement","cost_service"),"unclassified"))))))</f>
        <v/>
      </c>
    </row>
    <row r="107">
      <c r="A107" t="n">
        <v>2024</v>
      </c>
      <c r="B107" t="n">
        <v>60696</v>
      </c>
      <c r="C107" t="inlineStr">
        <is>
          <t>Vista Energy Marketing, L.P.</t>
        </is>
      </c>
      <c r="D107" t="inlineStr">
        <is>
          <t>B</t>
        </is>
      </c>
      <c r="E107" t="inlineStr">
        <is>
          <t>Energy</t>
        </is>
      </c>
      <c r="F107" t="inlineStr">
        <is>
          <t>O</t>
        </is>
      </c>
      <c r="G107" t="inlineStr">
        <is>
          <t>PA</t>
        </is>
      </c>
      <c r="H107" t="inlineStr">
        <is>
          <t>Retail Power Marketer</t>
        </is>
      </c>
      <c r="I107" t="inlineStr">
        <is>
          <t>PJM</t>
        </is>
      </c>
      <c r="J107" t="n">
        <v>3239</v>
      </c>
      <c r="K107" t="n">
        <v>20799</v>
      </c>
      <c r="L107" t="n">
        <v>3059</v>
      </c>
      <c r="M107" t="n">
        <v>93.59999999999999</v>
      </c>
      <c r="N107" t="n">
        <v>916</v>
      </c>
      <c r="O107" t="n">
        <v>25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3332.6</v>
      </c>
      <c r="W107" t="n">
        <v>21715</v>
      </c>
      <c r="X107" t="n">
        <v>3084</v>
      </c>
      <c r="Y107">
        <f>IF(ISNUMBER($W107),$W107,0)</f>
        <v/>
      </c>
      <c r="Z107">
        <f>IF(ISNUMBER(SEARCH("Adjustment",$C107)),"excluded",IF($H107="Behind the Meter","excluded",IF(NOT(OR($E107="Bundled",$E107="Energy")),"excluded",IF(OR($H107="Retail Power Marketer",$H107="Community Choice Aggregator",$E107="Energy"),"procurement",IF(OR($H107="Municipal",$H107="Cooperative",$H107="Federal",$H107="State",$H107="Political Subdivision"),"cost_service",IF($H107="Investor Owned",IF(AND(COUNTIF(Parameters!$A$4:$A$33,$G107)&gt;0,COUNTIF(Parameters!$B$4:$B$33,$B107)=0),"procurement","cost_service"),"unclassified"))))))</f>
        <v/>
      </c>
    </row>
    <row r="108">
      <c r="A108" t="n">
        <v>2024</v>
      </c>
      <c r="B108" t="n">
        <v>60981</v>
      </c>
      <c r="C108" t="inlineStr">
        <is>
          <t>TerraForm US Energy Services, LLC</t>
        </is>
      </c>
      <c r="D108" t="inlineStr">
        <is>
          <t>A</t>
        </is>
      </c>
      <c r="E108" t="inlineStr">
        <is>
          <t>Bundled</t>
        </is>
      </c>
      <c r="F108" t="inlineStr">
        <is>
          <t>O</t>
        </is>
      </c>
      <c r="G108" t="inlineStr">
        <is>
          <t>PA</t>
        </is>
      </c>
      <c r="H108" t="inlineStr">
        <is>
          <t>Behind the Meter</t>
        </is>
      </c>
      <c r="I108" t="inlineStr">
        <is>
          <t>PJM</t>
        </is>
      </c>
      <c r="J108" t="n">
        <v>0</v>
      </c>
      <c r="K108" t="n">
        <v>0</v>
      </c>
      <c r="L108" t="n">
        <v>0</v>
      </c>
      <c r="M108" t="n">
        <v>306</v>
      </c>
      <c r="N108" t="n">
        <v>3940</v>
      </c>
      <c r="O108" t="n">
        <v>18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306</v>
      </c>
      <c r="W108" t="n">
        <v>3940</v>
      </c>
      <c r="X108" t="n">
        <v>18</v>
      </c>
      <c r="Y108">
        <f>IF(ISNUMBER($W108),$W108,0)</f>
        <v/>
      </c>
      <c r="Z108">
        <f>IF(ISNUMBER(SEARCH("Adjustment",$C108)),"excluded",IF($H108="Behind the Meter","excluded",IF(NOT(OR($E108="Bundled",$E108="Energy")),"excluded",IF(OR($H108="Retail Power Marketer",$H108="Community Choice Aggregator",$E108="Energy"),"procurement",IF(OR($H108="Municipal",$H108="Cooperative",$H108="Federal",$H108="State",$H108="Political Subdivision"),"cost_service",IF($H108="Investor Owned",IF(AND(COUNTIF(Parameters!$A$4:$A$33,$G108)&gt;0,COUNTIF(Parameters!$B$4:$B$33,$B108)=0),"procurement","cost_service"),"unclassified"))))))</f>
        <v/>
      </c>
    </row>
    <row r="109">
      <c r="A109" t="n">
        <v>2024</v>
      </c>
      <c r="B109" t="n">
        <v>61059</v>
      </c>
      <c r="C109" t="inlineStr">
        <is>
          <t>Renaissance Power &amp; Gas, Inc.</t>
        </is>
      </c>
      <c r="D109" t="inlineStr">
        <is>
          <t>B</t>
        </is>
      </c>
      <c r="E109" t="inlineStr">
        <is>
          <t>Energy</t>
        </is>
      </c>
      <c r="F109" t="inlineStr">
        <is>
          <t>O</t>
        </is>
      </c>
      <c r="G109" t="inlineStr">
        <is>
          <t>PA</t>
        </is>
      </c>
      <c r="H109" t="inlineStr">
        <is>
          <t>Retail Power Marketer</t>
        </is>
      </c>
      <c r="I109" t="inlineStr">
        <is>
          <t>PJM</t>
        </is>
      </c>
      <c r="J109" t="n">
        <v>1760.4</v>
      </c>
      <c r="K109" t="n">
        <v>21697</v>
      </c>
      <c r="L109" t="n">
        <v>5282</v>
      </c>
      <c r="M109" t="n">
        <v>49.6</v>
      </c>
      <c r="N109" t="n">
        <v>662</v>
      </c>
      <c r="O109" t="n">
        <v>121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1810</v>
      </c>
      <c r="W109" t="n">
        <v>22359</v>
      </c>
      <c r="X109" t="n">
        <v>5403</v>
      </c>
      <c r="Y109">
        <f>IF(ISNUMBER($W109),$W109,0)</f>
        <v/>
      </c>
      <c r="Z109">
        <f>IF(ISNUMBER(SEARCH("Adjustment",$C109)),"excluded",IF($H109="Behind the Meter","excluded",IF(NOT(OR($E109="Bundled",$E109="Energy")),"excluded",IF(OR($H109="Retail Power Marketer",$H109="Community Choice Aggregator",$E109="Energy"),"procurement",IF(OR($H109="Municipal",$H109="Cooperative",$H109="Federal",$H109="State",$H109="Political Subdivision"),"cost_service",IF($H109="Investor Owned",IF(AND(COUNTIF(Parameters!$A$4:$A$33,$G109)&gt;0,COUNTIF(Parameters!$B$4:$B$33,$B109)=0),"procurement","cost_service"),"unclassified"))))))</f>
        <v/>
      </c>
    </row>
    <row r="110">
      <c r="A110" t="n">
        <v>2024</v>
      </c>
      <c r="B110" t="n">
        <v>61131</v>
      </c>
      <c r="C110" t="inlineStr">
        <is>
          <t>Freepoint Energy Solutions LLC</t>
        </is>
      </c>
      <c r="D110" t="inlineStr">
        <is>
          <t>B</t>
        </is>
      </c>
      <c r="E110" t="inlineStr">
        <is>
          <t>Energy</t>
        </is>
      </c>
      <c r="F110" t="inlineStr">
        <is>
          <t>O</t>
        </is>
      </c>
      <c r="G110" t="inlineStr">
        <is>
          <t>PA</t>
        </is>
      </c>
      <c r="H110" t="inlineStr">
        <is>
          <t>Retail Power Marketer</t>
        </is>
      </c>
      <c r="I110" t="inlineStr">
        <is>
          <t>PJM</t>
        </is>
      </c>
      <c r="J110" t="n">
        <v>0</v>
      </c>
      <c r="K110" t="n">
        <v>0</v>
      </c>
      <c r="L110" t="n">
        <v>0</v>
      </c>
      <c r="M110" t="n">
        <v>254101</v>
      </c>
      <c r="N110" t="n">
        <v>3036421</v>
      </c>
      <c r="O110" t="n">
        <v>2745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254101</v>
      </c>
      <c r="W110" t="n">
        <v>3036421</v>
      </c>
      <c r="X110" t="n">
        <v>2745</v>
      </c>
      <c r="Y110">
        <f>IF(ISNUMBER($W110),$W110,0)</f>
        <v/>
      </c>
      <c r="Z110">
        <f>IF(ISNUMBER(SEARCH("Adjustment",$C110)),"excluded",IF($H110="Behind the Meter","excluded",IF(NOT(OR($E110="Bundled",$E110="Energy")),"excluded",IF(OR($H110="Retail Power Marketer",$H110="Community Choice Aggregator",$E110="Energy"),"procurement",IF(OR($H110="Municipal",$H110="Cooperative",$H110="Federal",$H110="State",$H110="Political Subdivision"),"cost_service",IF($H110="Investor Owned",IF(AND(COUNTIF(Parameters!$A$4:$A$33,$G110)&gt;0,COUNTIF(Parameters!$B$4:$B$33,$B110)=0),"procurement","cost_service"),"unclassified"))))))</f>
        <v/>
      </c>
    </row>
    <row r="111">
      <c r="A111" t="n">
        <v>2024</v>
      </c>
      <c r="B111" t="n">
        <v>61353</v>
      </c>
      <c r="C111" t="inlineStr">
        <is>
          <t>Philadelphia Authority for Industrial Development</t>
        </is>
      </c>
      <c r="D111" t="inlineStr">
        <is>
          <t>A</t>
        </is>
      </c>
      <c r="E111" t="inlineStr">
        <is>
          <t>Bundled</t>
        </is>
      </c>
      <c r="F111" t="inlineStr">
        <is>
          <t>O</t>
        </is>
      </c>
      <c r="G111" t="inlineStr">
        <is>
          <t>PA</t>
        </is>
      </c>
      <c r="H111" t="inlineStr">
        <is>
          <t>Municipal</t>
        </is>
      </c>
      <c r="I111" t="inlineStr">
        <is>
          <t>PJM</t>
        </is>
      </c>
      <c r="J111" t="inlineStr">
        <is>
          <t>.</t>
        </is>
      </c>
      <c r="K111" t="inlineStr">
        <is>
          <t>.</t>
        </is>
      </c>
      <c r="L111" t="inlineStr">
        <is>
          <t>.</t>
        </is>
      </c>
      <c r="M111" t="n">
        <v>11857.8</v>
      </c>
      <c r="N111" t="n">
        <v>92551</v>
      </c>
      <c r="O111" t="n">
        <v>194</v>
      </c>
      <c r="P111" t="n">
        <v>15834.3</v>
      </c>
      <c r="Q111" t="n">
        <v>103276</v>
      </c>
      <c r="R111" t="n">
        <v>8</v>
      </c>
      <c r="S111" t="inlineStr">
        <is>
          <t>.</t>
        </is>
      </c>
      <c r="T111" t="inlineStr">
        <is>
          <t>.</t>
        </is>
      </c>
      <c r="U111" t="inlineStr">
        <is>
          <t>.</t>
        </is>
      </c>
      <c r="V111" t="n">
        <v>27692.1</v>
      </c>
      <c r="W111" t="n">
        <v>195827</v>
      </c>
      <c r="X111" t="n">
        <v>202</v>
      </c>
      <c r="Y111">
        <f>IF(ISNUMBER($W111),$W111,0)</f>
        <v/>
      </c>
      <c r="Z111">
        <f>IF(ISNUMBER(SEARCH("Adjustment",$C111)),"excluded",IF($H111="Behind the Meter","excluded",IF(NOT(OR($E111="Bundled",$E111="Energy")),"excluded",IF(OR($H111="Retail Power Marketer",$H111="Community Choice Aggregator",$E111="Energy"),"procurement",IF(OR($H111="Municipal",$H111="Cooperative",$H111="Federal",$H111="State",$H111="Political Subdivision"),"cost_service",IF($H111="Investor Owned",IF(AND(COUNTIF(Parameters!$A$4:$A$33,$G111)&gt;0,COUNTIF(Parameters!$B$4:$B$33,$B111)=0),"procurement","cost_service"),"unclassified"))))))</f>
        <v/>
      </c>
    </row>
    <row r="112">
      <c r="A112" t="n">
        <v>2024</v>
      </c>
      <c r="B112" t="n">
        <v>61367</v>
      </c>
      <c r="C112" t="inlineStr">
        <is>
          <t>South Bay Energy Corp.</t>
        </is>
      </c>
      <c r="D112" t="inlineStr">
        <is>
          <t>B</t>
        </is>
      </c>
      <c r="E112" t="inlineStr">
        <is>
          <t>Energy</t>
        </is>
      </c>
      <c r="F112" t="inlineStr">
        <is>
          <t>O</t>
        </is>
      </c>
      <c r="G112" t="inlineStr">
        <is>
          <t>PA</t>
        </is>
      </c>
      <c r="H112" t="inlineStr">
        <is>
          <t>Retail Power Marketer</t>
        </is>
      </c>
      <c r="I112" t="inlineStr">
        <is>
          <t>PJM</t>
        </is>
      </c>
      <c r="J112" t="n">
        <v>2034</v>
      </c>
      <c r="K112" t="n">
        <v>13080</v>
      </c>
      <c r="L112" t="n">
        <v>1704</v>
      </c>
      <c r="M112" t="n">
        <v>986</v>
      </c>
      <c r="N112" t="n">
        <v>6312</v>
      </c>
      <c r="O112" t="n">
        <v>489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3020</v>
      </c>
      <c r="W112" t="n">
        <v>19392</v>
      </c>
      <c r="X112" t="n">
        <v>2193</v>
      </c>
      <c r="Y112">
        <f>IF(ISNUMBER($W112),$W112,0)</f>
        <v/>
      </c>
      <c r="Z112">
        <f>IF(ISNUMBER(SEARCH("Adjustment",$C112)),"excluded",IF($H112="Behind the Meter","excluded",IF(NOT(OR($E112="Bundled",$E112="Energy")),"excluded",IF(OR($H112="Retail Power Marketer",$H112="Community Choice Aggregator",$E112="Energy"),"procurement",IF(OR($H112="Municipal",$H112="Cooperative",$H112="Federal",$H112="State",$H112="Political Subdivision"),"cost_service",IF($H112="Investor Owned",IF(AND(COUNTIF(Parameters!$A$4:$A$33,$G112)&gt;0,COUNTIF(Parameters!$B$4:$B$33,$B112)=0),"procurement","cost_service"),"unclassified"))))))</f>
        <v/>
      </c>
    </row>
    <row r="113">
      <c r="A113" t="n">
        <v>2024</v>
      </c>
      <c r="B113" t="n">
        <v>61823</v>
      </c>
      <c r="C113" t="inlineStr">
        <is>
          <t>Greenskies Renewable Energy, LLC</t>
        </is>
      </c>
      <c r="D113" t="inlineStr">
        <is>
          <t>A</t>
        </is>
      </c>
      <c r="E113" t="inlineStr">
        <is>
          <t>Bundled</t>
        </is>
      </c>
      <c r="F113" t="inlineStr">
        <is>
          <t>O</t>
        </is>
      </c>
      <c r="G113" t="inlineStr">
        <is>
          <t>PA</t>
        </is>
      </c>
      <c r="H113" t="inlineStr">
        <is>
          <t>Behind the Meter</t>
        </is>
      </c>
      <c r="I113" t="inlineStr">
        <is>
          <t>PJM</t>
        </is>
      </c>
      <c r="J113" t="inlineStr">
        <is>
          <t>.</t>
        </is>
      </c>
      <c r="K113" t="inlineStr">
        <is>
          <t>.</t>
        </is>
      </c>
      <c r="L113" t="inlineStr">
        <is>
          <t>.</t>
        </is>
      </c>
      <c r="M113" t="n">
        <v>29.4</v>
      </c>
      <c r="N113" t="n">
        <v>423</v>
      </c>
      <c r="O113" t="n">
        <v>1</v>
      </c>
      <c r="P113" t="inlineStr">
        <is>
          <t>.</t>
        </is>
      </c>
      <c r="Q113" t="inlineStr">
        <is>
          <t>.</t>
        </is>
      </c>
      <c r="R113" t="inlineStr">
        <is>
          <t>.</t>
        </is>
      </c>
      <c r="S113" t="inlineStr">
        <is>
          <t>.</t>
        </is>
      </c>
      <c r="T113" t="inlineStr">
        <is>
          <t>.</t>
        </is>
      </c>
      <c r="U113" t="inlineStr">
        <is>
          <t>.</t>
        </is>
      </c>
      <c r="V113" t="n">
        <v>29.4</v>
      </c>
      <c r="W113" t="n">
        <v>423</v>
      </c>
      <c r="X113" t="n">
        <v>1</v>
      </c>
      <c r="Y113">
        <f>IF(ISNUMBER($W113),$W113,0)</f>
        <v/>
      </c>
      <c r="Z113">
        <f>IF(ISNUMBER(SEARCH("Adjustment",$C113)),"excluded",IF($H113="Behind the Meter","excluded",IF(NOT(OR($E113="Bundled",$E113="Energy")),"excluded",IF(OR($H113="Retail Power Marketer",$H113="Community Choice Aggregator",$E113="Energy"),"procurement",IF(OR($H113="Municipal",$H113="Cooperative",$H113="Federal",$H113="State",$H113="Political Subdivision"),"cost_service",IF($H113="Investor Owned",IF(AND(COUNTIF(Parameters!$A$4:$A$33,$G113)&gt;0,COUNTIF(Parameters!$B$4:$B$33,$B113)=0),"procurement","cost_service"),"unclassified"))))))</f>
        <v/>
      </c>
    </row>
    <row r="114">
      <c r="A114" t="n">
        <v>2024</v>
      </c>
      <c r="B114" t="n">
        <v>61920</v>
      </c>
      <c r="C114" t="inlineStr">
        <is>
          <t>All American Power and Gas, LLC</t>
        </is>
      </c>
      <c r="D114" t="inlineStr">
        <is>
          <t>B</t>
        </is>
      </c>
      <c r="E114" t="inlineStr">
        <is>
          <t>Energy</t>
        </is>
      </c>
      <c r="F114" t="inlineStr">
        <is>
          <t>O</t>
        </is>
      </c>
      <c r="G114" t="inlineStr">
        <is>
          <t>PA</t>
        </is>
      </c>
      <c r="H114" t="inlineStr">
        <is>
          <t>Retail Power Marketer</t>
        </is>
      </c>
      <c r="I114" t="inlineStr">
        <is>
          <t>PJM</t>
        </is>
      </c>
      <c r="J114" t="n">
        <v>1570.7</v>
      </c>
      <c r="K114" t="n">
        <v>5961</v>
      </c>
      <c r="L114" t="n">
        <v>837</v>
      </c>
      <c r="M114" t="n">
        <v>7998.3</v>
      </c>
      <c r="N114" t="n">
        <v>31235</v>
      </c>
      <c r="O114" t="n">
        <v>1056</v>
      </c>
      <c r="P114" t="inlineStr">
        <is>
          <t>.</t>
        </is>
      </c>
      <c r="Q114" t="inlineStr">
        <is>
          <t>.</t>
        </is>
      </c>
      <c r="R114" t="inlineStr">
        <is>
          <t>.</t>
        </is>
      </c>
      <c r="S114" t="inlineStr">
        <is>
          <t>.</t>
        </is>
      </c>
      <c r="T114" t="inlineStr">
        <is>
          <t>.</t>
        </is>
      </c>
      <c r="U114" t="inlineStr">
        <is>
          <t>.</t>
        </is>
      </c>
      <c r="V114" t="n">
        <v>9569</v>
      </c>
      <c r="W114" t="n">
        <v>37196</v>
      </c>
      <c r="X114" t="n">
        <v>1893</v>
      </c>
      <c r="Y114">
        <f>IF(ISNUMBER($W114),$W114,0)</f>
        <v/>
      </c>
      <c r="Z114">
        <f>IF(ISNUMBER(SEARCH("Adjustment",$C114)),"excluded",IF($H114="Behind the Meter","excluded",IF(NOT(OR($E114="Bundled",$E114="Energy")),"excluded",IF(OR($H114="Retail Power Marketer",$H114="Community Choice Aggregator",$E114="Energy"),"procurement",IF(OR($H114="Municipal",$H114="Cooperative",$H114="Federal",$H114="State",$H114="Political Subdivision"),"cost_service",IF($H114="Investor Owned",IF(AND(COUNTIF(Parameters!$A$4:$A$33,$G114)&gt;0,COUNTIF(Parameters!$B$4:$B$33,$B114)=0),"procurement","cost_service"),"unclassified"))))))</f>
        <v/>
      </c>
    </row>
    <row r="115">
      <c r="A115" t="n">
        <v>2024</v>
      </c>
      <c r="B115" t="n">
        <v>61922</v>
      </c>
      <c r="C115" t="inlineStr">
        <is>
          <t>Pure Energy USA, LLC</t>
        </is>
      </c>
      <c r="D115" t="inlineStr">
        <is>
          <t>B</t>
        </is>
      </c>
      <c r="E115" t="inlineStr">
        <is>
          <t>Energy</t>
        </is>
      </c>
      <c r="F115" t="inlineStr">
        <is>
          <t>O</t>
        </is>
      </c>
      <c r="G115" t="inlineStr">
        <is>
          <t>PA</t>
        </is>
      </c>
      <c r="H115" t="inlineStr">
        <is>
          <t>Retail Power Marketer</t>
        </is>
      </c>
      <c r="I115" t="inlineStr">
        <is>
          <t>PJM</t>
        </is>
      </c>
      <c r="J115" t="n">
        <v>6822.4</v>
      </c>
      <c r="K115" t="n">
        <v>21621</v>
      </c>
      <c r="L115" t="n">
        <v>3140</v>
      </c>
      <c r="M115" t="n">
        <v>8279.6</v>
      </c>
      <c r="N115" t="n">
        <v>27811</v>
      </c>
      <c r="O115" t="n">
        <v>1405</v>
      </c>
      <c r="P115" t="inlineStr">
        <is>
          <t>.</t>
        </is>
      </c>
      <c r="Q115" t="inlineStr">
        <is>
          <t>.</t>
        </is>
      </c>
      <c r="R115" t="inlineStr">
        <is>
          <t>.</t>
        </is>
      </c>
      <c r="S115" t="inlineStr">
        <is>
          <t>.</t>
        </is>
      </c>
      <c r="T115" t="inlineStr">
        <is>
          <t>.</t>
        </is>
      </c>
      <c r="U115" t="inlineStr">
        <is>
          <t>.</t>
        </is>
      </c>
      <c r="V115" t="n">
        <v>15102</v>
      </c>
      <c r="W115" t="n">
        <v>49432</v>
      </c>
      <c r="X115" t="n">
        <v>4545</v>
      </c>
      <c r="Y115">
        <f>IF(ISNUMBER($W115),$W115,0)</f>
        <v/>
      </c>
      <c r="Z115">
        <f>IF(ISNUMBER(SEARCH("Adjustment",$C115)),"excluded",IF($H115="Behind the Meter","excluded",IF(NOT(OR($E115="Bundled",$E115="Energy")),"excluded",IF(OR($H115="Retail Power Marketer",$H115="Community Choice Aggregator",$E115="Energy"),"procurement",IF(OR($H115="Municipal",$H115="Cooperative",$H115="Federal",$H115="State",$H115="Political Subdivision"),"cost_service",IF($H115="Investor Owned",IF(AND(COUNTIF(Parameters!$A$4:$A$33,$G115)&gt;0,COUNTIF(Parameters!$B$4:$B$33,$B115)=0),"procurement","cost_service"),"unclassified"))))))</f>
        <v/>
      </c>
    </row>
    <row r="116">
      <c r="A116" t="n">
        <v>2024</v>
      </c>
      <c r="B116" t="n">
        <v>62148</v>
      </c>
      <c r="C116" t="inlineStr">
        <is>
          <t>Powervine Energy</t>
        </is>
      </c>
      <c r="D116" t="inlineStr">
        <is>
          <t>B</t>
        </is>
      </c>
      <c r="E116" t="inlineStr">
        <is>
          <t>Energy</t>
        </is>
      </c>
      <c r="F116" t="inlineStr">
        <is>
          <t>O</t>
        </is>
      </c>
      <c r="G116" t="inlineStr">
        <is>
          <t>PA</t>
        </is>
      </c>
      <c r="H116" t="inlineStr">
        <is>
          <t>Retail Power Marketer</t>
        </is>
      </c>
      <c r="I116" t="inlineStr">
        <is>
          <t>PJM</t>
        </is>
      </c>
      <c r="J116" t="n">
        <v>2331</v>
      </c>
      <c r="K116" t="n">
        <v>21532</v>
      </c>
      <c r="L116" t="n">
        <v>2225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2331</v>
      </c>
      <c r="W116" t="n">
        <v>21532</v>
      </c>
      <c r="X116" t="n">
        <v>2225</v>
      </c>
      <c r="Y116">
        <f>IF(ISNUMBER($W116),$W116,0)</f>
        <v/>
      </c>
      <c r="Z116">
        <f>IF(ISNUMBER(SEARCH("Adjustment",$C116)),"excluded",IF($H116="Behind the Meter","excluded",IF(NOT(OR($E116="Bundled",$E116="Energy")),"excluded",IF(OR($H116="Retail Power Marketer",$H116="Community Choice Aggregator",$E116="Energy"),"procurement",IF(OR($H116="Municipal",$H116="Cooperative",$H116="Federal",$H116="State",$H116="Political Subdivision"),"cost_service",IF($H116="Investor Owned",IF(AND(COUNTIF(Parameters!$A$4:$A$33,$G116)&gt;0,COUNTIF(Parameters!$B$4:$B$33,$B116)=0),"procurement","cost_service"),"unclassified"))))))</f>
        <v/>
      </c>
    </row>
    <row r="117">
      <c r="A117" t="n">
        <v>2024</v>
      </c>
      <c r="B117" t="n">
        <v>62156</v>
      </c>
      <c r="C117" t="inlineStr">
        <is>
          <t>Power UP Energy, LLC</t>
        </is>
      </c>
      <c r="D117" t="inlineStr">
        <is>
          <t>B</t>
        </is>
      </c>
      <c r="E117" t="inlineStr">
        <is>
          <t>Energy</t>
        </is>
      </c>
      <c r="F117" t="inlineStr">
        <is>
          <t>O</t>
        </is>
      </c>
      <c r="G117" t="inlineStr">
        <is>
          <t>PA</t>
        </is>
      </c>
      <c r="H117" t="inlineStr">
        <is>
          <t>Retail Power Marketer</t>
        </is>
      </c>
      <c r="I117" t="inlineStr">
        <is>
          <t>PJM</t>
        </is>
      </c>
      <c r="J117" t="n">
        <v>17.6</v>
      </c>
      <c r="K117" t="n">
        <v>55</v>
      </c>
      <c r="L117" t="n">
        <v>10</v>
      </c>
      <c r="M117" t="n">
        <v>3009.5</v>
      </c>
      <c r="N117" t="n">
        <v>9867</v>
      </c>
      <c r="O117" t="n">
        <v>331</v>
      </c>
      <c r="P117" t="inlineStr">
        <is>
          <t>.</t>
        </is>
      </c>
      <c r="Q117" t="inlineStr">
        <is>
          <t>.</t>
        </is>
      </c>
      <c r="R117" t="inlineStr">
        <is>
          <t>.</t>
        </is>
      </c>
      <c r="S117" t="inlineStr">
        <is>
          <t>.</t>
        </is>
      </c>
      <c r="T117" t="inlineStr">
        <is>
          <t>.</t>
        </is>
      </c>
      <c r="U117" t="inlineStr">
        <is>
          <t>.</t>
        </is>
      </c>
      <c r="V117" t="n">
        <v>3027.1</v>
      </c>
      <c r="W117" t="n">
        <v>9922</v>
      </c>
      <c r="X117" t="n">
        <v>341</v>
      </c>
      <c r="Y117">
        <f>IF(ISNUMBER($W117),$W117,0)</f>
        <v/>
      </c>
      <c r="Z117">
        <f>IF(ISNUMBER(SEARCH("Adjustment",$C117)),"excluded",IF($H117="Behind the Meter","excluded",IF(NOT(OR($E117="Bundled",$E117="Energy")),"excluded",IF(OR($H117="Retail Power Marketer",$H117="Community Choice Aggregator",$E117="Energy"),"procurement",IF(OR($H117="Municipal",$H117="Cooperative",$H117="Federal",$H117="State",$H117="Political Subdivision"),"cost_service",IF($H117="Investor Owned",IF(AND(COUNTIF(Parameters!$A$4:$A$33,$G117)&gt;0,COUNTIF(Parameters!$B$4:$B$33,$B117)=0),"procurement","cost_service"),"unclassified"))))))</f>
        <v/>
      </c>
    </row>
    <row r="118">
      <c r="A118" t="n">
        <v>2024</v>
      </c>
      <c r="B118" t="n">
        <v>62790</v>
      </c>
      <c r="C118" t="inlineStr">
        <is>
          <t>Summer Energy Midwest, LLC</t>
        </is>
      </c>
      <c r="D118" t="inlineStr">
        <is>
          <t>B</t>
        </is>
      </c>
      <c r="E118" t="inlineStr">
        <is>
          <t>Energy</t>
        </is>
      </c>
      <c r="F118" t="inlineStr">
        <is>
          <t>O</t>
        </is>
      </c>
      <c r="G118" t="inlineStr">
        <is>
          <t>PA</t>
        </is>
      </c>
      <c r="H118" t="inlineStr">
        <is>
          <t>Retail Power Marketer</t>
        </is>
      </c>
      <c r="I118" t="inlineStr">
        <is>
          <t>PJM</t>
        </is>
      </c>
      <c r="J118" t="n">
        <v>123.7</v>
      </c>
      <c r="K118" t="n">
        <v>1309</v>
      </c>
      <c r="L118" t="n">
        <v>39</v>
      </c>
      <c r="M118" t="n">
        <v>3397.5</v>
      </c>
      <c r="N118" t="n">
        <v>40454</v>
      </c>
      <c r="O118" t="n">
        <v>335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3521.2</v>
      </c>
      <c r="W118" t="n">
        <v>41763</v>
      </c>
      <c r="X118" t="n">
        <v>374</v>
      </c>
      <c r="Y118">
        <f>IF(ISNUMBER($W118),$W118,0)</f>
        <v/>
      </c>
      <c r="Z118">
        <f>IF(ISNUMBER(SEARCH("Adjustment",$C118)),"excluded",IF($H118="Behind the Meter","excluded",IF(NOT(OR($E118="Bundled",$E118="Energy")),"excluded",IF(OR($H118="Retail Power Marketer",$H118="Community Choice Aggregator",$E118="Energy"),"procurement",IF(OR($H118="Municipal",$H118="Cooperative",$H118="Federal",$H118="State",$H118="Political Subdivision"),"cost_service",IF($H118="Investor Owned",IF(AND(COUNTIF(Parameters!$A$4:$A$33,$G118)&gt;0,COUNTIF(Parameters!$B$4:$B$33,$B118)=0),"procurement","cost_service"),"unclassified"))))))</f>
        <v/>
      </c>
    </row>
    <row r="119">
      <c r="A119" t="n">
        <v>2024</v>
      </c>
      <c r="B119" t="n">
        <v>62914</v>
      </c>
      <c r="C119" t="inlineStr">
        <is>
          <t>StateWise Energy Pennsylvania LLC</t>
        </is>
      </c>
      <c r="D119" t="inlineStr">
        <is>
          <t>B</t>
        </is>
      </c>
      <c r="E119" t="inlineStr">
        <is>
          <t>Energy</t>
        </is>
      </c>
      <c r="F119" t="inlineStr">
        <is>
          <t>O</t>
        </is>
      </c>
      <c r="G119" t="inlineStr">
        <is>
          <t>PA</t>
        </is>
      </c>
      <c r="H119" t="inlineStr">
        <is>
          <t>Retail Power Marketer</t>
        </is>
      </c>
      <c r="I119" t="inlineStr">
        <is>
          <t>PJM</t>
        </is>
      </c>
      <c r="J119" t="n">
        <v>793.9</v>
      </c>
      <c r="K119" t="n">
        <v>10464</v>
      </c>
      <c r="L119" t="n">
        <v>1168</v>
      </c>
      <c r="M119" t="n">
        <v>15.8</v>
      </c>
      <c r="N119" t="n">
        <v>200</v>
      </c>
      <c r="O119" t="n">
        <v>2</v>
      </c>
      <c r="P119" t="inlineStr">
        <is>
          <t>.</t>
        </is>
      </c>
      <c r="Q119" t="inlineStr">
        <is>
          <t>.</t>
        </is>
      </c>
      <c r="R119" t="inlineStr">
        <is>
          <t>.</t>
        </is>
      </c>
      <c r="S119" t="inlineStr">
        <is>
          <t>.</t>
        </is>
      </c>
      <c r="T119" t="inlineStr">
        <is>
          <t>.</t>
        </is>
      </c>
      <c r="U119" t="inlineStr">
        <is>
          <t>.</t>
        </is>
      </c>
      <c r="V119" t="n">
        <v>809.7</v>
      </c>
      <c r="W119" t="n">
        <v>10664</v>
      </c>
      <c r="X119" t="n">
        <v>1170</v>
      </c>
      <c r="Y119">
        <f>IF(ISNUMBER($W119),$W119,0)</f>
        <v/>
      </c>
      <c r="Z119">
        <f>IF(ISNUMBER(SEARCH("Adjustment",$C119)),"excluded",IF($H119="Behind the Meter","excluded",IF(NOT(OR($E119="Bundled",$E119="Energy")),"excluded",IF(OR($H119="Retail Power Marketer",$H119="Community Choice Aggregator",$E119="Energy"),"procurement",IF(OR($H119="Municipal",$H119="Cooperative",$H119="Federal",$H119="State",$H119="Political Subdivision"),"cost_service",IF($H119="Investor Owned",IF(AND(COUNTIF(Parameters!$A$4:$A$33,$G119)&gt;0,COUNTIF(Parameters!$B$4:$B$33,$B119)=0),"procurement","cost_service"),"unclassified"))))))</f>
        <v/>
      </c>
    </row>
    <row r="120">
      <c r="A120" t="n">
        <v>2024</v>
      </c>
      <c r="B120" t="n">
        <v>63008</v>
      </c>
      <c r="C120" t="inlineStr">
        <is>
          <t>Agressive Energy LLC</t>
        </is>
      </c>
      <c r="D120" t="inlineStr">
        <is>
          <t>B</t>
        </is>
      </c>
      <c r="E120" t="inlineStr">
        <is>
          <t>Energy</t>
        </is>
      </c>
      <c r="F120" t="inlineStr">
        <is>
          <t>O</t>
        </is>
      </c>
      <c r="G120" t="inlineStr">
        <is>
          <t>PA</t>
        </is>
      </c>
      <c r="H120" t="inlineStr">
        <is>
          <t>Retail Power Marketer</t>
        </is>
      </c>
      <c r="I120" t="inlineStr">
        <is>
          <t>PJM</t>
        </is>
      </c>
      <c r="J120" t="n">
        <v>0</v>
      </c>
      <c r="K120" t="n">
        <v>0</v>
      </c>
      <c r="L120" t="n">
        <v>0</v>
      </c>
      <c r="M120" t="n">
        <v>12600.9</v>
      </c>
      <c r="N120" t="n">
        <v>166517</v>
      </c>
      <c r="O120" t="n">
        <v>399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12600.9</v>
      </c>
      <c r="W120" t="n">
        <v>166517</v>
      </c>
      <c r="X120" t="n">
        <v>399</v>
      </c>
      <c r="Y120">
        <f>IF(ISNUMBER($W120),$W120,0)</f>
        <v/>
      </c>
      <c r="Z120">
        <f>IF(ISNUMBER(SEARCH("Adjustment",$C120)),"excluded",IF($H120="Behind the Meter","excluded",IF(NOT(OR($E120="Bundled",$E120="Energy")),"excluded",IF(OR($H120="Retail Power Marketer",$H120="Community Choice Aggregator",$E120="Energy"),"procurement",IF(OR($H120="Municipal",$H120="Cooperative",$H120="Federal",$H120="State",$H120="Political Subdivision"),"cost_service",IF($H120="Investor Owned",IF(AND(COUNTIF(Parameters!$A$4:$A$33,$G120)&gt;0,COUNTIF(Parameters!$B$4:$B$33,$B120)=0),"procurement","cost_service"),"unclassified"))))))</f>
        <v/>
      </c>
    </row>
    <row r="121">
      <c r="A121" t="n">
        <v>2024</v>
      </c>
      <c r="B121" t="n">
        <v>63122</v>
      </c>
      <c r="C121" t="inlineStr">
        <is>
          <t>Approved Energy II, LLC</t>
        </is>
      </c>
      <c r="D121" t="inlineStr">
        <is>
          <t>B</t>
        </is>
      </c>
      <c r="E121" t="inlineStr">
        <is>
          <t>Energy</t>
        </is>
      </c>
      <c r="F121" t="inlineStr">
        <is>
          <t>O</t>
        </is>
      </c>
      <c r="G121" t="inlineStr">
        <is>
          <t>PA</t>
        </is>
      </c>
      <c r="H121" t="inlineStr">
        <is>
          <t>Retail Power Marketer</t>
        </is>
      </c>
      <c r="I121" t="inlineStr">
        <is>
          <t>PJM</t>
        </is>
      </c>
      <c r="J121" t="n">
        <v>0</v>
      </c>
      <c r="K121" t="n">
        <v>0</v>
      </c>
      <c r="L121" t="n">
        <v>0</v>
      </c>
      <c r="M121" t="n">
        <v>2626.3</v>
      </c>
      <c r="N121" t="n">
        <v>33455</v>
      </c>
      <c r="O121" t="n">
        <v>190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2626.3</v>
      </c>
      <c r="W121" t="n">
        <v>33455</v>
      </c>
      <c r="X121" t="n">
        <v>190</v>
      </c>
      <c r="Y121">
        <f>IF(ISNUMBER($W121),$W121,0)</f>
        <v/>
      </c>
      <c r="Z121">
        <f>IF(ISNUMBER(SEARCH("Adjustment",$C121)),"excluded",IF($H121="Behind the Meter","excluded",IF(NOT(OR($E121="Bundled",$E121="Energy")),"excluded",IF(OR($H121="Retail Power Marketer",$H121="Community Choice Aggregator",$E121="Energy"),"procurement",IF(OR($H121="Municipal",$H121="Cooperative",$H121="Federal",$H121="State",$H121="Political Subdivision"),"cost_service",IF($H121="Investor Owned",IF(AND(COUNTIF(Parameters!$A$4:$A$33,$G121)&gt;0,COUNTIF(Parameters!$B$4:$B$33,$B121)=0),"procurement","cost_service"),"unclassified"))))))</f>
        <v/>
      </c>
    </row>
    <row r="122">
      <c r="A122" t="n">
        <v>2024</v>
      </c>
      <c r="B122" t="n">
        <v>63169</v>
      </c>
      <c r="C122" t="inlineStr">
        <is>
          <t>Median Energy PA LLC</t>
        </is>
      </c>
      <c r="D122" t="inlineStr">
        <is>
          <t>B</t>
        </is>
      </c>
      <c r="E122" t="inlineStr">
        <is>
          <t>Energy</t>
        </is>
      </c>
      <c r="F122" t="inlineStr">
        <is>
          <t>O</t>
        </is>
      </c>
      <c r="G122" t="inlineStr">
        <is>
          <t>PA</t>
        </is>
      </c>
      <c r="H122" t="inlineStr">
        <is>
          <t>Retail Power Marketer</t>
        </is>
      </c>
      <c r="I122" t="inlineStr">
        <is>
          <t>PJM</t>
        </is>
      </c>
      <c r="J122" t="n">
        <v>1520</v>
      </c>
      <c r="K122" t="n">
        <v>8599</v>
      </c>
      <c r="L122" t="n">
        <v>1255</v>
      </c>
      <c r="M122" t="n">
        <v>37.3</v>
      </c>
      <c r="N122" t="n">
        <v>230</v>
      </c>
      <c r="O122" t="n">
        <v>30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1557.3</v>
      </c>
      <c r="W122" t="n">
        <v>8829</v>
      </c>
      <c r="X122" t="n">
        <v>1285</v>
      </c>
      <c r="Y122">
        <f>IF(ISNUMBER($W122),$W122,0)</f>
        <v/>
      </c>
      <c r="Z122">
        <f>IF(ISNUMBER(SEARCH("Adjustment",$C122)),"excluded",IF($H122="Behind the Meter","excluded",IF(NOT(OR($E122="Bundled",$E122="Energy")),"excluded",IF(OR($H122="Retail Power Marketer",$H122="Community Choice Aggregator",$E122="Energy"),"procurement",IF(OR($H122="Municipal",$H122="Cooperative",$H122="Federal",$H122="State",$H122="Political Subdivision"),"cost_service",IF($H122="Investor Owned",IF(AND(COUNTIF(Parameters!$A$4:$A$33,$G122)&gt;0,COUNTIF(Parameters!$B$4:$B$33,$B122)=0),"procurement","cost_service"),"unclassified"))))))</f>
        <v/>
      </c>
    </row>
    <row r="123">
      <c r="A123" t="n">
        <v>2024</v>
      </c>
      <c r="B123" t="n">
        <v>63232</v>
      </c>
      <c r="C123" t="inlineStr">
        <is>
          <t>National Gas &amp; Electric, LLC</t>
        </is>
      </c>
      <c r="D123" t="inlineStr">
        <is>
          <t>B</t>
        </is>
      </c>
      <c r="E123" t="inlineStr">
        <is>
          <t>Energy</t>
        </is>
      </c>
      <c r="F123" t="inlineStr">
        <is>
          <t>O</t>
        </is>
      </c>
      <c r="G123" t="inlineStr">
        <is>
          <t>PA</t>
        </is>
      </c>
      <c r="H123" t="inlineStr">
        <is>
          <t>Retail Power Marketer</t>
        </is>
      </c>
      <c r="I123" t="inlineStr">
        <is>
          <t>PJM</t>
        </is>
      </c>
      <c r="J123" t="n">
        <v>8994.700000000001</v>
      </c>
      <c r="K123" t="n">
        <v>76926</v>
      </c>
      <c r="L123" t="n">
        <v>8378</v>
      </c>
      <c r="M123" t="n">
        <v>42.6</v>
      </c>
      <c r="N123" t="n">
        <v>375</v>
      </c>
      <c r="O123" t="n">
        <v>17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9037.299999999999</v>
      </c>
      <c r="W123" t="n">
        <v>77301</v>
      </c>
      <c r="X123" t="n">
        <v>8395</v>
      </c>
      <c r="Y123">
        <f>IF(ISNUMBER($W123),$W123,0)</f>
        <v/>
      </c>
      <c r="Z123">
        <f>IF(ISNUMBER(SEARCH("Adjustment",$C123)),"excluded",IF($H123="Behind the Meter","excluded",IF(NOT(OR($E123="Bundled",$E123="Energy")),"excluded",IF(OR($H123="Retail Power Marketer",$H123="Community Choice Aggregator",$E123="Energy"),"procurement",IF(OR($H123="Municipal",$H123="Cooperative",$H123="Federal",$H123="State",$H123="Political Subdivision"),"cost_service",IF($H123="Investor Owned",IF(AND(COUNTIF(Parameters!$A$4:$A$33,$G123)&gt;0,COUNTIF(Parameters!$B$4:$B$33,$B123)=0),"procurement","cost_service"),"unclassified"))))))</f>
        <v/>
      </c>
    </row>
    <row r="124">
      <c r="A124" t="n">
        <v>2024</v>
      </c>
      <c r="B124" t="n">
        <v>63356</v>
      </c>
      <c r="C124" t="inlineStr">
        <is>
          <t>SmartestEnergy US LLC</t>
        </is>
      </c>
      <c r="D124" t="inlineStr">
        <is>
          <t>B</t>
        </is>
      </c>
      <c r="E124" t="inlineStr">
        <is>
          <t>Energy</t>
        </is>
      </c>
      <c r="F124" t="inlineStr">
        <is>
          <t>O</t>
        </is>
      </c>
      <c r="G124" t="inlineStr">
        <is>
          <t>PA</t>
        </is>
      </c>
      <c r="H124" t="inlineStr">
        <is>
          <t>Retail Power Marketer</t>
        </is>
      </c>
      <c r="I124" t="inlineStr">
        <is>
          <t>PJM</t>
        </is>
      </c>
      <c r="J124" t="n">
        <v>0</v>
      </c>
      <c r="K124" t="n">
        <v>0</v>
      </c>
      <c r="L124" t="n">
        <v>0</v>
      </c>
      <c r="M124" t="n">
        <v>129068</v>
      </c>
      <c r="N124" t="n">
        <v>1801466</v>
      </c>
      <c r="O124" t="n">
        <v>949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129068</v>
      </c>
      <c r="W124" t="n">
        <v>1801466</v>
      </c>
      <c r="X124" t="n">
        <v>949</v>
      </c>
      <c r="Y124">
        <f>IF(ISNUMBER($W124),$W124,0)</f>
        <v/>
      </c>
      <c r="Z124">
        <f>IF(ISNUMBER(SEARCH("Adjustment",$C124)),"excluded",IF($H124="Behind the Meter","excluded",IF(NOT(OR($E124="Bundled",$E124="Energy")),"excluded",IF(OR($H124="Retail Power Marketer",$H124="Community Choice Aggregator",$E124="Energy"),"procurement",IF(OR($H124="Municipal",$H124="Cooperative",$H124="Federal",$H124="State",$H124="Political Subdivision"),"cost_service",IF($H124="Investor Owned",IF(AND(COUNTIF(Parameters!$A$4:$A$33,$G124)&gt;0,COUNTIF(Parameters!$B$4:$B$33,$B124)=0),"procurement","cost_service"),"unclassified"))))))</f>
        <v/>
      </c>
    </row>
    <row r="125">
      <c r="A125" t="n">
        <v>2024</v>
      </c>
      <c r="B125" t="n">
        <v>63695</v>
      </c>
      <c r="C125" t="inlineStr">
        <is>
          <t>RPA Energy, Inc.</t>
        </is>
      </c>
      <c r="D125" t="inlineStr">
        <is>
          <t>B</t>
        </is>
      </c>
      <c r="E125" t="inlineStr">
        <is>
          <t>Energy</t>
        </is>
      </c>
      <c r="F125" t="inlineStr">
        <is>
          <t>O</t>
        </is>
      </c>
      <c r="G125" t="inlineStr">
        <is>
          <t>PA</t>
        </is>
      </c>
      <c r="H125" t="inlineStr">
        <is>
          <t>Retail Power Marketer</t>
        </is>
      </c>
      <c r="I125" t="inlineStr">
        <is>
          <t>PJM</t>
        </is>
      </c>
      <c r="J125" t="n">
        <v>2502.5</v>
      </c>
      <c r="K125" t="n">
        <v>10932</v>
      </c>
      <c r="L125" t="n">
        <v>1818</v>
      </c>
      <c r="M125" t="n">
        <v>4.6</v>
      </c>
      <c r="N125" t="n">
        <v>36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2507.1</v>
      </c>
      <c r="W125" t="n">
        <v>10968</v>
      </c>
      <c r="X125" t="n">
        <v>1820</v>
      </c>
      <c r="Y125">
        <f>IF(ISNUMBER($W125),$W125,0)</f>
        <v/>
      </c>
      <c r="Z125">
        <f>IF(ISNUMBER(SEARCH("Adjustment",$C125)),"excluded",IF($H125="Behind the Meter","excluded",IF(NOT(OR($E125="Bundled",$E125="Energy")),"excluded",IF(OR($H125="Retail Power Marketer",$H125="Community Choice Aggregator",$E125="Energy"),"procurement",IF(OR($H125="Municipal",$H125="Cooperative",$H125="Federal",$H125="State",$H125="Political Subdivision"),"cost_service",IF($H125="Investor Owned",IF(AND(COUNTIF(Parameters!$A$4:$A$33,$G125)&gt;0,COUNTIF(Parameters!$B$4:$B$33,$B125)=0),"procurement","cost_service"),"unclassified"))))))</f>
        <v/>
      </c>
    </row>
    <row r="126">
      <c r="A126" t="n">
        <v>2024</v>
      </c>
      <c r="B126" t="n">
        <v>63870</v>
      </c>
      <c r="C126" t="inlineStr">
        <is>
          <t>Click Energy LLC</t>
        </is>
      </c>
      <c r="D126" t="inlineStr">
        <is>
          <t>B</t>
        </is>
      </c>
      <c r="E126" t="inlineStr">
        <is>
          <t>Energy</t>
        </is>
      </c>
      <c r="F126" t="inlineStr">
        <is>
          <t>O</t>
        </is>
      </c>
      <c r="G126" t="inlineStr">
        <is>
          <t>PA</t>
        </is>
      </c>
      <c r="H126" t="inlineStr">
        <is>
          <t>Retail Power Marketer</t>
        </is>
      </c>
      <c r="I126" t="inlineStr">
        <is>
          <t>PJM</t>
        </is>
      </c>
      <c r="J126" t="n">
        <v>403.6</v>
      </c>
      <c r="K126" t="n">
        <v>2448</v>
      </c>
      <c r="L126" t="n">
        <v>249</v>
      </c>
      <c r="M126" t="inlineStr">
        <is>
          <t>.</t>
        </is>
      </c>
      <c r="N126" t="inlineStr">
        <is>
          <t>.</t>
        </is>
      </c>
      <c r="O126" t="inlineStr">
        <is>
          <t>.</t>
        </is>
      </c>
      <c r="P126" t="inlineStr">
        <is>
          <t>.</t>
        </is>
      </c>
      <c r="Q126" t="inlineStr">
        <is>
          <t>.</t>
        </is>
      </c>
      <c r="R126" t="inlineStr">
        <is>
          <t>.</t>
        </is>
      </c>
      <c r="S126" t="inlineStr">
        <is>
          <t>.</t>
        </is>
      </c>
      <c r="T126" t="inlineStr">
        <is>
          <t>.</t>
        </is>
      </c>
      <c r="U126" t="inlineStr">
        <is>
          <t>.</t>
        </is>
      </c>
      <c r="V126" t="n">
        <v>403.6</v>
      </c>
      <c r="W126" t="n">
        <v>2448</v>
      </c>
      <c r="X126" t="n">
        <v>249</v>
      </c>
      <c r="Y126">
        <f>IF(ISNUMBER($W126),$W126,0)</f>
        <v/>
      </c>
      <c r="Z126">
        <f>IF(ISNUMBER(SEARCH("Adjustment",$C126)),"excluded",IF($H126="Behind the Meter","excluded",IF(NOT(OR($E126="Bundled",$E126="Energy")),"excluded",IF(OR($H126="Retail Power Marketer",$H126="Community Choice Aggregator",$E126="Energy"),"procurement",IF(OR($H126="Municipal",$H126="Cooperative",$H126="Federal",$H126="State",$H126="Political Subdivision"),"cost_service",IF($H126="Investor Owned",IF(AND(COUNTIF(Parameters!$A$4:$A$33,$G126)&gt;0,COUNTIF(Parameters!$B$4:$B$33,$B126)=0),"procurement","cost_service"),"unclassified"))))))</f>
        <v/>
      </c>
    </row>
    <row r="127">
      <c r="A127" t="n">
        <v>2024</v>
      </c>
      <c r="B127" t="n">
        <v>64222</v>
      </c>
      <c r="C127" t="inlineStr">
        <is>
          <t>Grid Power Direct, LLC</t>
        </is>
      </c>
      <c r="D127" t="inlineStr">
        <is>
          <t>B</t>
        </is>
      </c>
      <c r="E127" t="inlineStr">
        <is>
          <t>Energy</t>
        </is>
      </c>
      <c r="F127" t="inlineStr">
        <is>
          <t>O</t>
        </is>
      </c>
      <c r="G127" t="inlineStr">
        <is>
          <t>PA</t>
        </is>
      </c>
      <c r="H127" t="inlineStr">
        <is>
          <t>Retail Power Marketer</t>
        </is>
      </c>
      <c r="I127" t="inlineStr">
        <is>
          <t>PJM</t>
        </is>
      </c>
      <c r="J127" t="n">
        <v>0</v>
      </c>
      <c r="K127" t="n">
        <v>0</v>
      </c>
      <c r="L127" t="n">
        <v>0</v>
      </c>
      <c r="M127" t="n">
        <v>2992</v>
      </c>
      <c r="N127" t="n">
        <v>39772</v>
      </c>
      <c r="O127" t="n">
        <v>16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2992</v>
      </c>
      <c r="W127" t="n">
        <v>39772</v>
      </c>
      <c r="X127" t="n">
        <v>16</v>
      </c>
      <c r="Y127">
        <f>IF(ISNUMBER($W127),$W127,0)</f>
        <v/>
      </c>
      <c r="Z127">
        <f>IF(ISNUMBER(SEARCH("Adjustment",$C127)),"excluded",IF($H127="Behind the Meter","excluded",IF(NOT(OR($E127="Bundled",$E127="Energy")),"excluded",IF(OR($H127="Retail Power Marketer",$H127="Community Choice Aggregator",$E127="Energy"),"procurement",IF(OR($H127="Municipal",$H127="Cooperative",$H127="Federal",$H127="State",$H127="Political Subdivision"),"cost_service",IF($H127="Investor Owned",IF(AND(COUNTIF(Parameters!$A$4:$A$33,$G127)&gt;0,COUNTIF(Parameters!$B$4:$B$33,$B127)=0),"procurement","cost_service"),"unclassified"))))))</f>
        <v/>
      </c>
    </row>
    <row r="128">
      <c r="A128" t="n">
        <v>2024</v>
      </c>
      <c r="B128" t="n">
        <v>64314</v>
      </c>
      <c r="C128" t="inlineStr">
        <is>
          <t>BP Energy Retail LLC</t>
        </is>
      </c>
      <c r="D128" t="inlineStr">
        <is>
          <t>B</t>
        </is>
      </c>
      <c r="E128" t="inlineStr">
        <is>
          <t>Energy</t>
        </is>
      </c>
      <c r="F128" t="inlineStr">
        <is>
          <t>O</t>
        </is>
      </c>
      <c r="G128" t="inlineStr">
        <is>
          <t>PA</t>
        </is>
      </c>
      <c r="H128" t="inlineStr">
        <is>
          <t>Retail Power Marketer</t>
        </is>
      </c>
      <c r="I128" t="inlineStr">
        <is>
          <t>PJM</t>
        </is>
      </c>
      <c r="J128" t="n">
        <v>0</v>
      </c>
      <c r="K128" t="n">
        <v>0</v>
      </c>
      <c r="L128" t="n">
        <v>0</v>
      </c>
      <c r="M128" t="n">
        <v>63061</v>
      </c>
      <c r="N128" t="n">
        <v>863440</v>
      </c>
      <c r="O128" t="n">
        <v>138</v>
      </c>
      <c r="P128" t="n">
        <v>91502</v>
      </c>
      <c r="Q128" t="n">
        <v>1875558</v>
      </c>
      <c r="R128" t="n">
        <v>37</v>
      </c>
      <c r="S128" t="n">
        <v>0</v>
      </c>
      <c r="T128" t="n">
        <v>0</v>
      </c>
      <c r="U128" t="n">
        <v>0</v>
      </c>
      <c r="V128" t="n">
        <v>154563</v>
      </c>
      <c r="W128" t="n">
        <v>2738998</v>
      </c>
      <c r="X128" t="n">
        <v>175</v>
      </c>
      <c r="Y128">
        <f>IF(ISNUMBER($W128),$W128,0)</f>
        <v/>
      </c>
      <c r="Z128">
        <f>IF(ISNUMBER(SEARCH("Adjustment",$C128)),"excluded",IF($H128="Behind the Meter","excluded",IF(NOT(OR($E128="Bundled",$E128="Energy")),"excluded",IF(OR($H128="Retail Power Marketer",$H128="Community Choice Aggregator",$E128="Energy"),"procurement",IF(OR($H128="Municipal",$H128="Cooperative",$H128="Federal",$H128="State",$H128="Political Subdivision"),"cost_service",IF($H128="Investor Owned",IF(AND(COUNTIF(Parameters!$A$4:$A$33,$G128)&gt;0,COUNTIF(Parameters!$B$4:$B$33,$B128)=0),"procurement","cost_service"),"unclassified"))))))</f>
        <v/>
      </c>
    </row>
    <row r="129">
      <c r="A129" t="n">
        <v>2024</v>
      </c>
      <c r="B129" t="n">
        <v>64705</v>
      </c>
      <c r="C129" t="inlineStr">
        <is>
          <t>NTHERM, LLC</t>
        </is>
      </c>
      <c r="D129" t="inlineStr">
        <is>
          <t>B</t>
        </is>
      </c>
      <c r="E129" t="inlineStr">
        <is>
          <t>Energy</t>
        </is>
      </c>
      <c r="F129" t="inlineStr">
        <is>
          <t>O</t>
        </is>
      </c>
      <c r="G129" t="inlineStr">
        <is>
          <t>PA</t>
        </is>
      </c>
      <c r="H129" t="inlineStr">
        <is>
          <t>Retail Power Marketer</t>
        </is>
      </c>
      <c r="I129" t="inlineStr">
        <is>
          <t>PJM</t>
        </is>
      </c>
      <c r="J129" t="n">
        <v>12404.5</v>
      </c>
      <c r="K129" t="n">
        <v>67742</v>
      </c>
      <c r="L129" t="n">
        <v>7379</v>
      </c>
      <c r="M129" t="n">
        <v>33231</v>
      </c>
      <c r="N129" t="n">
        <v>184113</v>
      </c>
      <c r="O129" t="n">
        <v>9929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45635.5</v>
      </c>
      <c r="W129" t="n">
        <v>251855</v>
      </c>
      <c r="X129" t="n">
        <v>17308</v>
      </c>
      <c r="Y129">
        <f>IF(ISNUMBER($W129),$W129,0)</f>
        <v/>
      </c>
      <c r="Z129">
        <f>IF(ISNUMBER(SEARCH("Adjustment",$C129)),"excluded",IF($H129="Behind the Meter","excluded",IF(NOT(OR($E129="Bundled",$E129="Energy")),"excluded",IF(OR($H129="Retail Power Marketer",$H129="Community Choice Aggregator",$E129="Energy"),"procurement",IF(OR($H129="Municipal",$H129="Cooperative",$H129="Federal",$H129="State",$H129="Political Subdivision"),"cost_service",IF($H129="Investor Owned",IF(AND(COUNTIF(Parameters!$A$4:$A$33,$G129)&gt;0,COUNTIF(Parameters!$B$4:$B$33,$B129)=0),"procurement","cost_service"),"unclassified"))))))</f>
        <v/>
      </c>
    </row>
    <row r="130">
      <c r="A130" t="n">
        <v>2024</v>
      </c>
      <c r="B130" t="n">
        <v>65242</v>
      </c>
      <c r="C130" t="inlineStr">
        <is>
          <t>Scale Sustainable I, LLC</t>
        </is>
      </c>
      <c r="D130" t="inlineStr">
        <is>
          <t>A</t>
        </is>
      </c>
      <c r="E130" t="inlineStr">
        <is>
          <t>Bundled</t>
        </is>
      </c>
      <c r="F130" t="inlineStr">
        <is>
          <t>O</t>
        </is>
      </c>
      <c r="G130" t="inlineStr">
        <is>
          <t>PA</t>
        </is>
      </c>
      <c r="H130" t="inlineStr">
        <is>
          <t>Behind the Meter</t>
        </is>
      </c>
      <c r="I130" t="inlineStr">
        <is>
          <t>PJM</t>
        </is>
      </c>
      <c r="J130" t="inlineStr">
        <is>
          <t>.</t>
        </is>
      </c>
      <c r="K130" t="inlineStr">
        <is>
          <t>.</t>
        </is>
      </c>
      <c r="L130" t="inlineStr">
        <is>
          <t>.</t>
        </is>
      </c>
      <c r="M130" t="n">
        <v>4.9</v>
      </c>
      <c r="N130" t="n">
        <v>37</v>
      </c>
      <c r="O130" t="n">
        <v>1</v>
      </c>
      <c r="P130" t="inlineStr">
        <is>
          <t>.</t>
        </is>
      </c>
      <c r="Q130" t="inlineStr">
        <is>
          <t>.</t>
        </is>
      </c>
      <c r="R130" t="inlineStr">
        <is>
          <t>.</t>
        </is>
      </c>
      <c r="S130" t="inlineStr">
        <is>
          <t>.</t>
        </is>
      </c>
      <c r="T130" t="inlineStr">
        <is>
          <t>.</t>
        </is>
      </c>
      <c r="U130" t="inlineStr">
        <is>
          <t>.</t>
        </is>
      </c>
      <c r="V130" t="n">
        <v>4.9</v>
      </c>
      <c r="W130" t="n">
        <v>37</v>
      </c>
      <c r="X130" t="n">
        <v>1</v>
      </c>
      <c r="Y130">
        <f>IF(ISNUMBER($W130),$W130,0)</f>
        <v/>
      </c>
      <c r="Z130">
        <f>IF(ISNUMBER(SEARCH("Adjustment",$C130)),"excluded",IF($H130="Behind the Meter","excluded",IF(NOT(OR($E130="Bundled",$E130="Energy")),"excluded",IF(OR($H130="Retail Power Marketer",$H130="Community Choice Aggregator",$E130="Energy"),"procurement",IF(OR($H130="Municipal",$H130="Cooperative",$H130="Federal",$H130="State",$H130="Political Subdivision"),"cost_service",IF($H130="Investor Owned",IF(AND(COUNTIF(Parameters!$A$4:$A$33,$G130)&gt;0,COUNTIF(Parameters!$B$4:$B$33,$B130)=0),"procurement","cost_service"),"unclassified"))))))</f>
        <v/>
      </c>
    </row>
    <row r="131">
      <c r="A131" t="n">
        <v>2024</v>
      </c>
      <c r="B131" t="n">
        <v>65310</v>
      </c>
      <c r="C131" t="inlineStr">
        <is>
          <t>Energywell LLC</t>
        </is>
      </c>
      <c r="D131" t="inlineStr">
        <is>
          <t>B</t>
        </is>
      </c>
      <c r="E131" t="inlineStr">
        <is>
          <t>Energy</t>
        </is>
      </c>
      <c r="F131" t="inlineStr">
        <is>
          <t>O</t>
        </is>
      </c>
      <c r="G131" t="inlineStr">
        <is>
          <t>PA</t>
        </is>
      </c>
      <c r="H131" t="inlineStr">
        <is>
          <t>Retail Power Marketer</t>
        </is>
      </c>
      <c r="I131" t="inlineStr">
        <is>
          <t>PJM</t>
        </is>
      </c>
      <c r="J131" t="n">
        <v>8619.5</v>
      </c>
      <c r="K131" t="n">
        <v>82288</v>
      </c>
      <c r="L131" t="n">
        <v>7700</v>
      </c>
      <c r="M131" t="n">
        <v>1686.8</v>
      </c>
      <c r="N131" t="n">
        <v>14918</v>
      </c>
      <c r="O131" t="n">
        <v>644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10306.3</v>
      </c>
      <c r="W131" t="n">
        <v>97206</v>
      </c>
      <c r="X131" t="n">
        <v>8344</v>
      </c>
      <c r="Y131">
        <f>IF(ISNUMBER($W131),$W131,0)</f>
        <v/>
      </c>
      <c r="Z131">
        <f>IF(ISNUMBER(SEARCH("Adjustment",$C131)),"excluded",IF($H131="Behind the Meter","excluded",IF(NOT(OR($E131="Bundled",$E131="Energy")),"excluded",IF(OR($H131="Retail Power Marketer",$H131="Community Choice Aggregator",$E131="Energy"),"procurement",IF(OR($H131="Municipal",$H131="Cooperative",$H131="Federal",$H131="State",$H131="Political Subdivision"),"cost_service",IF($H131="Investor Owned",IF(AND(COUNTIF(Parameters!$A$4:$A$33,$G131)&gt;0,COUNTIF(Parameters!$B$4:$B$33,$B131)=0),"procurement","cost_service"),"unclassified"))))))</f>
        <v/>
      </c>
    </row>
    <row r="132">
      <c r="A132" t="n">
        <v>2024</v>
      </c>
      <c r="B132" t="n">
        <v>65439</v>
      </c>
      <c r="C132" t="inlineStr">
        <is>
          <t>CPV Retail Energy LP</t>
        </is>
      </c>
      <c r="D132" t="inlineStr">
        <is>
          <t>B</t>
        </is>
      </c>
      <c r="E132" t="inlineStr">
        <is>
          <t>Energy</t>
        </is>
      </c>
      <c r="F132" t="inlineStr">
        <is>
          <t>O</t>
        </is>
      </c>
      <c r="G132" t="inlineStr">
        <is>
          <t>PA</t>
        </is>
      </c>
      <c r="H132" t="inlineStr">
        <is>
          <t>Retail Power Marketer</t>
        </is>
      </c>
      <c r="I132" t="inlineStr">
        <is>
          <t>PJM</t>
        </is>
      </c>
      <c r="J132" t="n">
        <v>0</v>
      </c>
      <c r="K132" t="n">
        <v>0</v>
      </c>
      <c r="L132" t="n">
        <v>0</v>
      </c>
      <c r="M132" t="n">
        <v>14575</v>
      </c>
      <c r="N132" t="n">
        <v>208988</v>
      </c>
      <c r="O132" t="n">
        <v>562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14575</v>
      </c>
      <c r="W132" t="n">
        <v>208988</v>
      </c>
      <c r="X132" t="n">
        <v>562</v>
      </c>
      <c r="Y132">
        <f>IF(ISNUMBER($W132),$W132,0)</f>
        <v/>
      </c>
      <c r="Z132">
        <f>IF(ISNUMBER(SEARCH("Adjustment",$C132)),"excluded",IF($H132="Behind the Meter","excluded",IF(NOT(OR($E132="Bundled",$E132="Energy")),"excluded",IF(OR($H132="Retail Power Marketer",$H132="Community Choice Aggregator",$E132="Energy"),"procurement",IF(OR($H132="Municipal",$H132="Cooperative",$H132="Federal",$H132="State",$H132="Political Subdivision"),"cost_service",IF($H132="Investor Owned",IF(AND(COUNTIF(Parameters!$A$4:$A$33,$G132)&gt;0,COUNTIF(Parameters!$B$4:$B$33,$B132)=0),"procurement","cost_service"),"unclassified"))))))</f>
        <v/>
      </c>
    </row>
    <row r="133">
      <c r="A133" t="n">
        <v>2024</v>
      </c>
      <c r="B133" t="n">
        <v>66017</v>
      </c>
      <c r="C133" t="inlineStr">
        <is>
          <t>All Choice Energy, LLC</t>
        </is>
      </c>
      <c r="D133" t="inlineStr">
        <is>
          <t>B</t>
        </is>
      </c>
      <c r="E133" t="inlineStr">
        <is>
          <t>Energy</t>
        </is>
      </c>
      <c r="F133" t="inlineStr">
        <is>
          <t>O</t>
        </is>
      </c>
      <c r="G133" t="inlineStr">
        <is>
          <t>PA</t>
        </is>
      </c>
      <c r="H133" t="inlineStr">
        <is>
          <t>Retail Power Marketer</t>
        </is>
      </c>
      <c r="I133" t="inlineStr">
        <is>
          <t>PJM</t>
        </is>
      </c>
      <c r="J133" t="n">
        <v>147.4</v>
      </c>
      <c r="K133" t="n">
        <v>1007</v>
      </c>
      <c r="L133" t="n">
        <v>124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147.4</v>
      </c>
      <c r="W133" t="n">
        <v>1007</v>
      </c>
      <c r="X133" t="n">
        <v>124</v>
      </c>
      <c r="Y133">
        <f>IF(ISNUMBER($W133),$W133,0)</f>
        <v/>
      </c>
      <c r="Z133">
        <f>IF(ISNUMBER(SEARCH("Adjustment",$C133)),"excluded",IF($H133="Behind the Meter","excluded",IF(NOT(OR($E133="Bundled",$E133="Energy")),"excluded",IF(OR($H133="Retail Power Marketer",$H133="Community Choice Aggregator",$E133="Energy"),"procurement",IF(OR($H133="Municipal",$H133="Cooperative",$H133="Federal",$H133="State",$H133="Political Subdivision"),"cost_service",IF($H133="Investor Owned",IF(AND(COUNTIF(Parameters!$A$4:$A$33,$G133)&gt;0,COUNTIF(Parameters!$B$4:$B$33,$B133)=0),"procurement","cost_service"),"unclassified"))))))</f>
        <v/>
      </c>
    </row>
    <row r="134">
      <c r="A134" t="n">
        <v>2024</v>
      </c>
      <c r="B134" t="n">
        <v>66026</v>
      </c>
      <c r="C134" t="inlineStr">
        <is>
          <t>Palmetto Solar, LLC</t>
        </is>
      </c>
      <c r="D134" t="inlineStr">
        <is>
          <t>A</t>
        </is>
      </c>
      <c r="E134" t="inlineStr">
        <is>
          <t>Bundled</t>
        </is>
      </c>
      <c r="F134" t="inlineStr">
        <is>
          <t>O</t>
        </is>
      </c>
      <c r="G134" t="inlineStr">
        <is>
          <t>PA</t>
        </is>
      </c>
      <c r="H134" t="inlineStr">
        <is>
          <t>Behind the Meter</t>
        </is>
      </c>
      <c r="I134" t="inlineStr">
        <is>
          <t>PJM</t>
        </is>
      </c>
      <c r="J134" t="n">
        <v>430.9</v>
      </c>
      <c r="K134" t="n">
        <v>2730</v>
      </c>
      <c r="L134" t="n">
        <v>43</v>
      </c>
      <c r="M134" t="inlineStr">
        <is>
          <t>.</t>
        </is>
      </c>
      <c r="N134" t="inlineStr">
        <is>
          <t>.</t>
        </is>
      </c>
      <c r="O134" t="inlineStr">
        <is>
          <t>.</t>
        </is>
      </c>
      <c r="P134" t="inlineStr">
        <is>
          <t>.</t>
        </is>
      </c>
      <c r="Q134" t="inlineStr">
        <is>
          <t>.</t>
        </is>
      </c>
      <c r="R134" t="inlineStr">
        <is>
          <t>.</t>
        </is>
      </c>
      <c r="S134" t="inlineStr">
        <is>
          <t>.</t>
        </is>
      </c>
      <c r="T134" t="inlineStr">
        <is>
          <t>.</t>
        </is>
      </c>
      <c r="U134" t="inlineStr">
        <is>
          <t>.</t>
        </is>
      </c>
      <c r="V134" t="n">
        <v>430.9</v>
      </c>
      <c r="W134" t="n">
        <v>2730</v>
      </c>
      <c r="X134" t="n">
        <v>43</v>
      </c>
      <c r="Y134">
        <f>IF(ISNUMBER($W134),$W134,0)</f>
        <v/>
      </c>
      <c r="Z134">
        <f>IF(ISNUMBER(SEARCH("Adjustment",$C134)),"excluded",IF($H134="Behind the Meter","excluded",IF(NOT(OR($E134="Bundled",$E134="Energy")),"excluded",IF(OR($H134="Retail Power Marketer",$H134="Community Choice Aggregator",$E134="Energy"),"procurement",IF(OR($H134="Municipal",$H134="Cooperative",$H134="Federal",$H134="State",$H134="Political Subdivision"),"cost_service",IF($H134="Investor Owned",IF(AND(COUNTIF(Parameters!$A$4:$A$33,$G134)&gt;0,COUNTIF(Parameters!$B$4:$B$33,$B134)=0),"procurement","cost_service"),"unclassified"))))))</f>
        <v/>
      </c>
    </row>
    <row r="135">
      <c r="A135" t="n">
        <v>2024</v>
      </c>
      <c r="B135" t="n">
        <v>66101</v>
      </c>
      <c r="C135" t="inlineStr">
        <is>
          <t>FirstEnergy Pennsylvania Electric Co</t>
        </is>
      </c>
      <c r="D135" t="inlineStr">
        <is>
          <t>A</t>
        </is>
      </c>
      <c r="E135" t="inlineStr">
        <is>
          <t>Bundled</t>
        </is>
      </c>
      <c r="F135" t="inlineStr">
        <is>
          <t>O</t>
        </is>
      </c>
      <c r="G135" t="inlineStr">
        <is>
          <t>PA</t>
        </is>
      </c>
      <c r="H135" t="inlineStr">
        <is>
          <t>Investor Owned</t>
        </is>
      </c>
      <c r="I135" t="inlineStr">
        <is>
          <t>PJM</t>
        </is>
      </c>
      <c r="J135" t="n">
        <v>2615650.8</v>
      </c>
      <c r="K135" t="n">
        <v>15056029</v>
      </c>
      <c r="L135" t="n">
        <v>1464054</v>
      </c>
      <c r="M135" t="n">
        <v>444909.3</v>
      </c>
      <c r="N135" t="n">
        <v>2932558</v>
      </c>
      <c r="O135" t="n">
        <v>170218</v>
      </c>
      <c r="P135" t="n">
        <v>63189.2</v>
      </c>
      <c r="Q135" t="n">
        <v>707946</v>
      </c>
      <c r="R135" t="n">
        <v>629</v>
      </c>
      <c r="S135" t="n">
        <v>992</v>
      </c>
      <c r="T135" t="n">
        <v>10662</v>
      </c>
      <c r="U135" t="n">
        <v>1</v>
      </c>
      <c r="V135" t="n">
        <v>3124741.3</v>
      </c>
      <c r="W135" t="n">
        <v>18707195</v>
      </c>
      <c r="X135" t="n">
        <v>1634902</v>
      </c>
      <c r="Y135">
        <f>IF(ISNUMBER($W135),$W135,0)</f>
        <v/>
      </c>
      <c r="Z135">
        <f>IF(ISNUMBER(SEARCH("Adjustment",$C135)),"excluded",IF($H135="Behind the Meter","excluded",IF(NOT(OR($E135="Bundled",$E135="Energy")),"excluded",IF(OR($H135="Retail Power Marketer",$H135="Community Choice Aggregator",$E135="Energy"),"procurement",IF(OR($H135="Municipal",$H135="Cooperative",$H135="Federal",$H135="State",$H135="Political Subdivision"),"cost_service",IF($H135="Investor Owned",IF(AND(COUNTIF(Parameters!$A$4:$A$33,$G135)&gt;0,COUNTIF(Parameters!$B$4:$B$33,$B135)=0),"procurement","cost_service"),"unclassified"))))))</f>
        <v/>
      </c>
    </row>
    <row r="136">
      <c r="A136" t="n">
        <v>2024</v>
      </c>
      <c r="B136" t="n">
        <v>66101</v>
      </c>
      <c r="C136" t="inlineStr">
        <is>
          <t>FirstEnergy Pennsylvania Electric Co</t>
        </is>
      </c>
      <c r="D136" t="inlineStr">
        <is>
          <t>C</t>
        </is>
      </c>
      <c r="E136" t="inlineStr">
        <is>
          <t>Delivery</t>
        </is>
      </c>
      <c r="F136" t="inlineStr">
        <is>
          <t>O</t>
        </is>
      </c>
      <c r="G136" t="inlineStr">
        <is>
          <t>PA</t>
        </is>
      </c>
      <c r="H136" t="inlineStr">
        <is>
          <t>Investor Owned</t>
        </is>
      </c>
      <c r="I136" t="inlineStr">
        <is>
          <t>PJM</t>
        </is>
      </c>
      <c r="J136" t="n">
        <v>250282.9</v>
      </c>
      <c r="K136" t="n">
        <v>3493217</v>
      </c>
      <c r="L136" t="n">
        <v>338558</v>
      </c>
      <c r="M136" t="n">
        <v>188484.6</v>
      </c>
      <c r="N136" t="n">
        <v>6563200</v>
      </c>
      <c r="O136" t="n">
        <v>108948</v>
      </c>
      <c r="P136" t="n">
        <v>213686.8</v>
      </c>
      <c r="Q136" t="n">
        <v>22048432</v>
      </c>
      <c r="R136" t="n">
        <v>4157</v>
      </c>
      <c r="S136" t="n">
        <v>0</v>
      </c>
      <c r="T136" t="n">
        <v>0</v>
      </c>
      <c r="U136" t="n">
        <v>0</v>
      </c>
      <c r="V136" t="n">
        <v>652454.3</v>
      </c>
      <c r="W136" t="n">
        <v>32104849</v>
      </c>
      <c r="X136" t="n">
        <v>451663</v>
      </c>
      <c r="Y136">
        <f>IF(ISNUMBER($W136),$W136,0)</f>
        <v/>
      </c>
      <c r="Z136">
        <f>IF(ISNUMBER(SEARCH("Adjustment",$C136)),"excluded",IF($H136="Behind the Meter","excluded",IF(NOT(OR($E136="Bundled",$E136="Energy")),"excluded",IF(OR($H136="Retail Power Marketer",$H136="Community Choice Aggregator",$E136="Energy"),"procurement",IF(OR($H136="Municipal",$H136="Cooperative",$H136="Federal",$H136="State",$H136="Political Subdivision"),"cost_service",IF($H136="Investor Owned",IF(AND(COUNTIF(Parameters!$A$4:$A$33,$G136)&gt;0,COUNTIF(Parameters!$B$4:$B$33,$B136)=0),"procurement","cost_service"),"unclassified"))))))</f>
        <v/>
      </c>
    </row>
    <row r="137">
      <c r="A137" t="n">
        <v>2024</v>
      </c>
      <c r="B137" t="n">
        <v>66113</v>
      </c>
      <c r="C137" t="inlineStr">
        <is>
          <t>EcoPlus Power, LLC</t>
        </is>
      </c>
      <c r="D137" t="inlineStr">
        <is>
          <t>B</t>
        </is>
      </c>
      <c r="E137" t="inlineStr">
        <is>
          <t>Energy</t>
        </is>
      </c>
      <c r="F137" t="inlineStr">
        <is>
          <t>O</t>
        </is>
      </c>
      <c r="G137" t="inlineStr">
        <is>
          <t>PA</t>
        </is>
      </c>
      <c r="H137" t="inlineStr">
        <is>
          <t>Retail Power Marketer</t>
        </is>
      </c>
      <c r="I137" t="inlineStr">
        <is>
          <t>PJM</t>
        </is>
      </c>
      <c r="J137" t="n">
        <v>3991.1</v>
      </c>
      <c r="K137" t="n">
        <v>44482</v>
      </c>
      <c r="L137" t="n">
        <v>4679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3991.1</v>
      </c>
      <c r="W137" t="n">
        <v>44482</v>
      </c>
      <c r="X137" t="n">
        <v>4679</v>
      </c>
      <c r="Y137">
        <f>IF(ISNUMBER($W137),$W137,0)</f>
        <v/>
      </c>
      <c r="Z137">
        <f>IF(ISNUMBER(SEARCH("Adjustment",$C137)),"excluded",IF($H137="Behind the Meter","excluded",IF(NOT(OR($E137="Bundled",$E137="Energy")),"excluded",IF(OR($H137="Retail Power Marketer",$H137="Community Choice Aggregator",$E137="Energy"),"procurement",IF(OR($H137="Municipal",$H137="Cooperative",$H137="Federal",$H137="State",$H137="Political Subdivision"),"cost_service",IF($H137="Investor Owned",IF(AND(COUNTIF(Parameters!$A$4:$A$33,$G137)&gt;0,COUNTIF(Parameters!$B$4:$B$33,$B137)=0),"procurement","cost_service"),"unclassified"))))))</f>
        <v/>
      </c>
    </row>
    <row r="138">
      <c r="A138" t="n">
        <v>2024</v>
      </c>
      <c r="B138" t="n">
        <v>66116</v>
      </c>
      <c r="C138" t="inlineStr">
        <is>
          <t>Robindale Retail Power Services, LLC</t>
        </is>
      </c>
      <c r="D138" t="inlineStr">
        <is>
          <t>B</t>
        </is>
      </c>
      <c r="E138" t="inlineStr">
        <is>
          <t>Energy</t>
        </is>
      </c>
      <c r="F138" t="inlineStr">
        <is>
          <t>O</t>
        </is>
      </c>
      <c r="G138" t="inlineStr">
        <is>
          <t>PA</t>
        </is>
      </c>
      <c r="H138" t="inlineStr">
        <is>
          <t>Retail Power Marketer</t>
        </is>
      </c>
      <c r="I138" t="inlineStr">
        <is>
          <t>PJM</t>
        </is>
      </c>
      <c r="J138" t="n">
        <v>0</v>
      </c>
      <c r="K138" t="n">
        <v>0</v>
      </c>
      <c r="L138" t="n">
        <v>0</v>
      </c>
      <c r="M138" t="n">
        <v>3125</v>
      </c>
      <c r="N138" t="n">
        <v>40047</v>
      </c>
      <c r="O138" t="n">
        <v>49</v>
      </c>
      <c r="P138" t="n">
        <v>1105</v>
      </c>
      <c r="Q138" t="n">
        <v>14167</v>
      </c>
      <c r="R138" t="n">
        <v>8</v>
      </c>
      <c r="S138" t="n">
        <v>0</v>
      </c>
      <c r="T138" t="n">
        <v>0</v>
      </c>
      <c r="U138" t="n">
        <v>0</v>
      </c>
      <c r="V138" t="n">
        <v>4230</v>
      </c>
      <c r="W138" t="n">
        <v>54214</v>
      </c>
      <c r="X138" t="n">
        <v>57</v>
      </c>
      <c r="Y138">
        <f>IF(ISNUMBER($W138),$W138,0)</f>
        <v/>
      </c>
      <c r="Z138">
        <f>IF(ISNUMBER(SEARCH("Adjustment",$C138)),"excluded",IF($H138="Behind the Meter","excluded",IF(NOT(OR($E138="Bundled",$E138="Energy")),"excluded",IF(OR($H138="Retail Power Marketer",$H138="Community Choice Aggregator",$E138="Energy"),"procurement",IF(OR($H138="Municipal",$H138="Cooperative",$H138="Federal",$H138="State",$H138="Political Subdivision"),"cost_service",IF($H138="Investor Owned",IF(AND(COUNTIF(Parameters!$A$4:$A$33,$G138)&gt;0,COUNTIF(Parameters!$B$4:$B$33,$B138)=0),"procurement","cost_service"),"unclassified"))))))</f>
        <v/>
      </c>
    </row>
    <row r="139">
      <c r="A139" t="n">
        <v>2024</v>
      </c>
      <c r="B139" t="n">
        <v>66118</v>
      </c>
      <c r="C139" t="inlineStr">
        <is>
          <t>Spartacus Energy Services LLC</t>
        </is>
      </c>
      <c r="D139" t="inlineStr">
        <is>
          <t>B</t>
        </is>
      </c>
      <c r="E139" t="inlineStr">
        <is>
          <t>Energy</t>
        </is>
      </c>
      <c r="F139" t="inlineStr">
        <is>
          <t>O</t>
        </is>
      </c>
      <c r="G139" t="inlineStr">
        <is>
          <t>PA</t>
        </is>
      </c>
      <c r="H139" t="inlineStr">
        <is>
          <t>Retail Power Marketer</t>
        </is>
      </c>
      <c r="I139" t="inlineStr">
        <is>
          <t>PJM</t>
        </is>
      </c>
      <c r="J139" t="n">
        <v>113</v>
      </c>
      <c r="K139" t="n">
        <v>607</v>
      </c>
      <c r="L139" t="n">
        <v>192</v>
      </c>
      <c r="M139" t="n">
        <v>3331.4</v>
      </c>
      <c r="N139" t="n">
        <v>19415</v>
      </c>
      <c r="O139" t="n">
        <v>791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3444.4</v>
      </c>
      <c r="W139" t="n">
        <v>20022</v>
      </c>
      <c r="X139" t="n">
        <v>983</v>
      </c>
      <c r="Y139">
        <f>IF(ISNUMBER($W139),$W139,0)</f>
        <v/>
      </c>
      <c r="Z139">
        <f>IF(ISNUMBER(SEARCH("Adjustment",$C139)),"excluded",IF($H139="Behind the Meter","excluded",IF(NOT(OR($E139="Bundled",$E139="Energy")),"excluded",IF(OR($H139="Retail Power Marketer",$H139="Community Choice Aggregator",$E139="Energy"),"procurement",IF(OR($H139="Municipal",$H139="Cooperative",$H139="Federal",$H139="State",$H139="Political Subdivision"),"cost_service",IF($H139="Investor Owned",IF(AND(COUNTIF(Parameters!$A$4:$A$33,$G139)&gt;0,COUNTIF(Parameters!$B$4:$B$33,$B139)=0),"procurement","cost_service"),"unclassified"))))))</f>
        <v/>
      </c>
    </row>
    <row r="140">
      <c r="A140" t="n">
        <v>2024</v>
      </c>
      <c r="B140" t="n">
        <v>66678</v>
      </c>
      <c r="C140" t="inlineStr">
        <is>
          <t>Polaris Power Services LLC</t>
        </is>
      </c>
      <c r="D140" t="inlineStr">
        <is>
          <t>B</t>
        </is>
      </c>
      <c r="E140" t="inlineStr">
        <is>
          <t>Energy</t>
        </is>
      </c>
      <c r="F140" t="inlineStr">
        <is>
          <t>O</t>
        </is>
      </c>
      <c r="G140" t="inlineStr">
        <is>
          <t>PA</t>
        </is>
      </c>
      <c r="H140" t="inlineStr">
        <is>
          <t>Retail Power Marketer</t>
        </is>
      </c>
      <c r="I140" t="inlineStr">
        <is>
          <t>PJM</t>
        </is>
      </c>
      <c r="J140" t="n">
        <v>510.8</v>
      </c>
      <c r="K140" t="n">
        <v>6543</v>
      </c>
      <c r="L140" t="n">
        <v>496</v>
      </c>
      <c r="M140" t="n">
        <v>1719.6</v>
      </c>
      <c r="N140" t="n">
        <v>18741</v>
      </c>
      <c r="O140" t="n">
        <v>113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2230.4</v>
      </c>
      <c r="W140" t="n">
        <v>25284</v>
      </c>
      <c r="X140" t="n">
        <v>609</v>
      </c>
      <c r="Y140">
        <f>IF(ISNUMBER($W140),$W140,0)</f>
        <v/>
      </c>
      <c r="Z140">
        <f>IF(ISNUMBER(SEARCH("Adjustment",$C140)),"excluded",IF($H140="Behind the Meter","excluded",IF(NOT(OR($E140="Bundled",$E140="Energy")),"excluded",IF(OR($H140="Retail Power Marketer",$H140="Community Choice Aggregator",$E140="Energy"),"procurement",IF(OR($H140="Municipal",$H140="Cooperative",$H140="Federal",$H140="State",$H140="Political Subdivision"),"cost_service",IF($H140="Investor Owned",IF(AND(COUNTIF(Parameters!$A$4:$A$33,$G140)&gt;0,COUNTIF(Parameters!$B$4:$B$33,$B140)=0),"procurement","cost_service"),"unclassified"))))))</f>
        <v/>
      </c>
    </row>
    <row r="141">
      <c r="A141" t="n">
        <v>2024</v>
      </c>
      <c r="B141" t="n">
        <v>99999</v>
      </c>
      <c r="C141" t="inlineStr">
        <is>
          <t>Adjustment 2024</t>
        </is>
      </c>
      <c r="D141" t="inlineStr">
        <is>
          <t>A</t>
        </is>
      </c>
      <c r="E141" t="inlineStr">
        <is>
          <t>Bundled</t>
        </is>
      </c>
      <c r="F141" t="inlineStr">
        <is>
          <t>I</t>
        </is>
      </c>
      <c r="G141" t="inlineStr">
        <is>
          <t>PA</t>
        </is>
      </c>
      <c r="H141" t="inlineStr"/>
      <c r="I141" t="inlineStr">
        <is>
          <t>PJM</t>
        </is>
      </c>
      <c r="J141" t="n">
        <v>143069.4</v>
      </c>
      <c r="K141" t="n">
        <v>816508</v>
      </c>
      <c r="L141" t="n">
        <v>77309</v>
      </c>
      <c r="M141" t="n">
        <v>71374.39999999999</v>
      </c>
      <c r="N141" t="n">
        <v>653378</v>
      </c>
      <c r="O141" t="n">
        <v>12056</v>
      </c>
      <c r="P141" t="n">
        <v>33567.2</v>
      </c>
      <c r="Q141" t="n">
        <v>270448</v>
      </c>
      <c r="R141" t="n">
        <v>776</v>
      </c>
      <c r="S141" t="n">
        <v>0</v>
      </c>
      <c r="T141" t="n">
        <v>0</v>
      </c>
      <c r="U141" t="n">
        <v>0</v>
      </c>
      <c r="V141" t="n">
        <v>248011</v>
      </c>
      <c r="W141" t="n">
        <v>1740334</v>
      </c>
      <c r="X141" t="n">
        <v>90141</v>
      </c>
      <c r="Y141">
        <f>IF(ISNUMBER($W141),$W141,0)</f>
        <v/>
      </c>
      <c r="Z141">
        <f>IF(ISNUMBER(SEARCH("Adjustment",$C141)),"excluded",IF($H141="Behind the Meter","excluded",IF(NOT(OR($E141="Bundled",$E141="Energy")),"excluded",IF(OR($H141="Retail Power Marketer",$H141="Community Choice Aggregator",$E141="Energy"),"procurement",IF(OR($H141="Municipal",$H141="Cooperative",$H141="Federal",$H141="State",$H141="Political Subdivision"),"cost_service",IF($H141="Investor Owned",IF(AND(COUNTIF(Parameters!$A$4:$A$33,$G141)&gt;0,COUNTIF(Parameters!$B$4:$B$33,$B141)=0),"procurement","cost_service"),"unclassified"))))))</f>
        <v/>
      </c>
    </row>
    <row r="142">
      <c r="A142" t="n">
        <v>2024</v>
      </c>
      <c r="B142" t="n">
        <v>99999</v>
      </c>
      <c r="C142" t="inlineStr">
        <is>
          <t>Adjustment 2024</t>
        </is>
      </c>
      <c r="D142" t="inlineStr">
        <is>
          <t>B</t>
        </is>
      </c>
      <c r="E142" t="inlineStr">
        <is>
          <t>Energy</t>
        </is>
      </c>
      <c r="F142" t="inlineStr">
        <is>
          <t>I</t>
        </is>
      </c>
      <c r="G142" t="inlineStr">
        <is>
          <t>PA</t>
        </is>
      </c>
      <c r="H142" t="inlineStr"/>
      <c r="I142" t="inlineStr">
        <is>
          <t>NYIS</t>
        </is>
      </c>
      <c r="J142" t="n">
        <v>10.7</v>
      </c>
      <c r="K142" t="n">
        <v>85</v>
      </c>
      <c r="L142" t="n">
        <v>-16</v>
      </c>
      <c r="M142" t="n">
        <v>-19.5</v>
      </c>
      <c r="N142" t="n">
        <v>-115</v>
      </c>
      <c r="O142" t="n">
        <v>103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-8.800000000000001</v>
      </c>
      <c r="W142" t="n">
        <v>-30</v>
      </c>
      <c r="X142" t="n">
        <v>87</v>
      </c>
      <c r="Y142">
        <f>IF(ISNUMBER($W142),$W142,0)</f>
        <v/>
      </c>
      <c r="Z142">
        <f>IF(ISNUMBER(SEARCH("Adjustment",$C142)),"excluded",IF($H142="Behind the Meter","excluded",IF(NOT(OR($E142="Bundled",$E142="Energy")),"excluded",IF(OR($H142="Retail Power Marketer",$H142="Community Choice Aggregator",$E142="Energy"),"procurement",IF(OR($H142="Municipal",$H142="Cooperative",$H142="Federal",$H142="State",$H142="Political Subdivision"),"cost_service",IF($H142="Investor Owned",IF(AND(COUNTIF(Parameters!$A$4:$A$33,$G142)&gt;0,COUNTIF(Parameters!$B$4:$B$33,$B142)=0),"procurement","cost_service"),"unclassified"))))))</f>
        <v/>
      </c>
    </row>
    <row r="143">
      <c r="A143" t="n">
        <v>2024</v>
      </c>
      <c r="B143" t="n">
        <v>99999</v>
      </c>
      <c r="C143" t="inlineStr">
        <is>
          <t>Adjustment 2024</t>
        </is>
      </c>
      <c r="D143" t="inlineStr">
        <is>
          <t>B</t>
        </is>
      </c>
      <c r="E143" t="inlineStr">
        <is>
          <t>Energy</t>
        </is>
      </c>
      <c r="F143" t="inlineStr">
        <is>
          <t>I</t>
        </is>
      </c>
      <c r="G143" t="inlineStr">
        <is>
          <t>PA</t>
        </is>
      </c>
      <c r="H143" t="inlineStr"/>
      <c r="I143" t="inlineStr">
        <is>
          <t>PJM</t>
        </is>
      </c>
      <c r="J143" t="n">
        <v>35401.9</v>
      </c>
      <c r="K143" t="n">
        <v>298470</v>
      </c>
      <c r="L143" t="n">
        <v>4765</v>
      </c>
      <c r="M143" t="n">
        <v>-1972761.1</v>
      </c>
      <c r="N143" t="n">
        <v>-28185531</v>
      </c>
      <c r="O143" t="n">
        <v>62240</v>
      </c>
      <c r="P143" t="n">
        <v>2069972.3</v>
      </c>
      <c r="Q143" t="n">
        <v>29589865</v>
      </c>
      <c r="R143" t="n">
        <v>6624</v>
      </c>
      <c r="S143" t="n">
        <v>27861.1</v>
      </c>
      <c r="T143" t="n">
        <v>335590</v>
      </c>
      <c r="U143" t="n">
        <v>3</v>
      </c>
      <c r="V143" t="n">
        <v>160474.3</v>
      </c>
      <c r="W143" t="n">
        <v>2038394</v>
      </c>
      <c r="X143" t="n">
        <v>73632</v>
      </c>
      <c r="Y143">
        <f>IF(ISNUMBER($W143),$W143,0)</f>
        <v/>
      </c>
      <c r="Z143">
        <f>IF(ISNUMBER(SEARCH("Adjustment",$C143)),"excluded",IF($H143="Behind the Meter","excluded",IF(NOT(OR($E143="Bundled",$E143="Energy")),"excluded",IF(OR($H143="Retail Power Marketer",$H143="Community Choice Aggregator",$E143="Energy"),"procurement",IF(OR($H143="Municipal",$H143="Cooperative",$H143="Federal",$H143="State",$H143="Political Subdivision"),"cost_service",IF($H143="Investor Owned",IF(AND(COUNTIF(Parameters!$A$4:$A$33,$G143)&gt;0,COUNTIF(Parameters!$B$4:$B$33,$B143)=0),"procurement","cost_service"),"unclassified"))))))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PA</t>
        </is>
      </c>
      <c r="B2">
        <f>SUMIFS('EIA-861 Sales 2024'!$Y$4:$Y$143,'EIA-861 Sales 2024'!$Z$4:$Z$143,"cost_service")</f>
        <v/>
      </c>
      <c r="C2">
        <f>SUMIFS('EIA-861 Sales 2024'!$Y$4:$Y$143,'EIA-861 Sales 2024'!$Z$4:$Z$143,"procurement")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2026-06-02T20:15:31Z</dcterms:created>
  <dcterms:modified xmlns:dcterms="http://purl.org/dc/terms/" xmlns:xsi="http://www.w3.org/2001/XMLSchema-instance" xsi:type="dcterms:W3CDTF">2026-06-02T20:15:32Z</dcterms:modified>
</cp:coreProperties>
</file>