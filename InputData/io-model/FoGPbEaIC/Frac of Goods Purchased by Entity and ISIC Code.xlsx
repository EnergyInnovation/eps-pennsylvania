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purchases_by_BEA" sheetId="3" state="visible" r:id="rId3"/>
    <sheet name="2_HH_purchases_by_BEA" sheetId="4" state="visible" r:id="rId4"/>
    <sheet name="3_Intl_purchases_by_BEA" sheetId="5" state="visible" r:id="rId5"/>
    <sheet name="4_DomInd_purchases_by_BEA" sheetId="6" state="visible" r:id="rId6"/>
    <sheet name="5_Total_purchases_by_BEA" sheetId="7" state="visible" r:id="rId7"/>
    <sheet name="1_Entity_totals" sheetId="8" state="visible" r:id="rId8"/>
    <sheet name="2_Row_tot_by_ISIC" sheetId="9" state="visible" r:id="rId9"/>
    <sheet name="Src_Stateior_SoI_TotUse" sheetId="10" state="visible" r:id="rId10"/>
    <sheet name="Src_Disagg_EIA_coal" sheetId="11" state="visible" r:id="rId11"/>
    <sheet name="Src_Disagg_heuristics" sheetId="12" state="visible" r:id="rId12"/>
    <sheet name="Crosswalk_BEA_to_ISIC" sheetId="13" state="visible" r:id="rId13"/>
    <sheet name="State_disagg_splits" sheetId="14" state="visible" r:id="rId14"/>
    <sheet name="NAICS_to_ISIC_Key" sheetId="15" state="visible" r:id="rId15"/>
    <sheet name="6_Calc_Gov_ISIC" sheetId="16" state="visible" r:id="rId16"/>
    <sheet name="7_Calc_HH_ISIC" sheetId="17" state="visible" r:id="rId17"/>
    <sheet name="8_Calc_Intl_ISIC" sheetId="18" state="visible" r:id="rId18"/>
    <sheet name="9_Calc_Total_ISIC" sheetId="19" state="visible" r:id="rId19"/>
    <sheet name="10_Calc_Entity_fractions" sheetId="20" state="visible" r:id="rId20"/>
    <sheet name="FoGPbEaIC-entity" sheetId="21" state="visible" r:id="rId21"/>
    <sheet name="FoGPbEaIC-isic" sheetId="22" state="visible" r:id="rId22"/>
  </sheets>
  <calcPr calcId="191029" fullCalcOnLoad="1"/>
</workbook>
</file>

<file path=xl/sharedStrings.xml><?xml version="1.0" encoding="utf-8"?>
<sst xmlns="http://schemas.openxmlformats.org/spreadsheetml/2006/main" count="664" uniqueCount="664">
  <si>
    <t xml:space="preserve">FoGPbEaIC - Fraction of Goods Purchased by Entity and ISIC Code</t>
  </si>
  <si>
    <t xml:space="preserve"/>
  </si>
  <si>
    <t xml:space="preserve">State: Pennsylvania (PA)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</si>
  <si>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</si>
  <si>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</si>
  <si>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</si>
  <si>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Two outputs, both at 25-Industry-Category resolution (the subset of</t>
  </si>
  <si>
    <t xml:space="preserve">42 ISIC codes that represent tradeable goods + utilities + construction):</t>
  </si>
  <si>
    <t xml:space="preserve">FoGPbEaIC-entity (25 rows x 4 entity cols):</t>
  </si>
  <si>
    <t xml:space="preserve">  For each source ISIC, fraction of its output purchased by each of</t>
  </si>
  <si>
    <t xml:space="preserve">  {government, domestic industries, labor and consumers, foreign</t>
  </si>
  <si>
    <t xml:space="preserve">  entities}. Rows sum to 1.0 by construction.</t>
  </si>
  <si>
    <t xml:space="preserve">FoGPbEaIC-isic (25 rows x 42 ISIC cols):</t>
  </si>
  <si>
    <t xml:space="preserve">  For each source ISIC, fraction of its output consumed by each of</t>
  </si>
  <si>
    <t xml:space="preserve">  the 42 consumer ISIC industries.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</si>
  <si>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</si>
  <si>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</si>
  <si>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</si>
  <si>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</si>
  <si>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</si>
  <si>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</si>
  <si>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</si>
  <si>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</si>
  <si>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</si>
  <si>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</si>
  <si>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</si>
  <si>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</si>
  <si>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</si>
  <si>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</si>
  <si>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</si>
  <si>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</si>
  <si>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</si>
  <si>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</si>
  <si>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</si>
  <si>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</si>
  <si>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</si>
  <si>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</si>
  <si>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</si>
  <si>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</si>
  <si>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</si>
  <si>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</si>
  <si>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</si>
  <si>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</si>
  <si>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</si>
  <si>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</si>
  <si>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</si>
  <si>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</si>
  <si>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</si>
  <si>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</si>
  <si>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</si>
  <si>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</si>
  <si>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</si>
  <si>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</si>
  <si>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</si>
  <si>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</si>
  <si>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</si>
  <si>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</si>
  <si>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</si>
  <si>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</si>
  <si>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</si>
  <si>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</si>
  <si>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</si>
  <si>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</si>
  <si>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</si>
  <si>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</si>
  <si>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</si>
  <si>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FoGPbEaIC-entity is FORMULA-DERIVED from the per-BEA purchase-component</t>
  </si>
  <si>
    <t xml:space="preserve">tabs: each component is crosswalk-aggregated to ISIC, fractions are</t>
  </si>
  <si>
    <t xml:space="preserve">component / MAX(total, Keys floor), and 'domestic industries' is the</t>
  </si>
  <si>
    <t xml:space="preserve">clamped residual so each row sums to 1.</t>
  </si>
  <si>
    <t xml:space="preserve">Note: the component tabs (1-4) are pipeline VALUES - they row-sum the</t>
  </si>
  <si>
    <t xml:space="preserve">TWO-REGION Use table (SoI + RoUS final-demand columns), which is not</t>
  </si>
  <si>
    <t xml:space="preserve">fully embedded (Src tab holds the SoI block only; context/provenance).</t>
  </si>
  <si>
    <t xml:space="preserve">FoGPbEaIC-isic stays a pipeline value: it needs a 2-D (row AND column)</t>
  </si>
  <si>
    <t xml:space="preserve">BEA-&gt;ISIC aggregation of the Use block, out of scope for in-sheet</t>
  </si>
  <si>
    <t xml:space="preserve">formulas.</t>
  </si>
  <si>
    <t xml:space="preserve">Tabs:</t>
  </si>
  <si>
    <t xml:space="preserve">  - About / Keys</t>
  </si>
  <si>
    <t xml:space="preserve">  - 1-4_*_purchases_by_BEA - gov / household / intl / domestic-industry</t>
  </si>
  <si>
    <t xml:space="preserve">    purchases per BEA commodity (pipeline values)</t>
  </si>
  <si>
    <t xml:space="preserve">  - 5_Total_purchases_by_BEA = 1+2+3+4 (formulas)</t>
  </si>
  <si>
    <t xml:space="preserve">  - 1_Entity_totals / 2_Row_tot_by_ISIC (context)</t>
  </si>
  <si>
    <t xml:space="preserve">  - Src_Stateior_SoI_TotUse / coal / heuristics (context)</t>
  </si>
  <si>
    <t xml:space="preserve">  - Crosswalk / splits / NAICS key</t>
  </si>
  <si>
    <t xml:space="preserve">  - 6-9_Calc_*_ISIC - crosswalk-aggregate each component to ISIC</t>
  </si>
  <si>
    <t xml:space="preserve">  - 10_Calc_Entity_fractions - floor, ratio, residual clamp (25 categories)</t>
  </si>
  <si>
    <t xml:space="preserve">  - FoGPbEaIC-entity (formulas; matches FoGPbEaIC-entity.csv)</t>
  </si>
  <si>
    <t xml:space="preserve">  - FoGPbEaIC-isic (values; matches FoGPbEaIC-isic.csv)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</si>
  <si>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</si>
  <si>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</si>
  <si>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</si>
  <si>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</si>
  <si>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</si>
  <si>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</si>
  <si>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</si>
  <si>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</si>
  <si>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</si>
  <si>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</si>
  <si>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</si>
  <si>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</si>
  <si>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</si>
  <si>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</si>
  <si>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</si>
  <si>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</si>
  <si>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gov_purchases_USD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</si>
  <si>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</si>
  <si>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</si>
  <si>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</si>
  <si>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</si>
  <si>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</si>
  <si>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</si>
  <si>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</si>
  <si>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</si>
  <si>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</si>
  <si>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</si>
  <si>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</si>
  <si>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</si>
  <si>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</si>
  <si>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</si>
  <si>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</si>
  <si>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</si>
  <si>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</si>
  <si>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</si>
  <si>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</si>
  <si>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</si>
  <si>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</si>
  <si>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</si>
  <si>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</si>
  <si>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</si>
  <si>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</si>
  <si>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</si>
  <si>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</si>
  <si>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</si>
  <si>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</si>
  <si>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</si>
  <si>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</si>
  <si>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</si>
  <si>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</si>
  <si>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</si>
  <si>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</si>
  <si>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</si>
  <si>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</si>
  <si>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</si>
  <si>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</si>
  <si>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</si>
  <si>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</si>
  <si>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</si>
  <si>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</si>
  <si>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</si>
  <si>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</si>
  <si>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</si>
  <si>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</si>
  <si>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</si>
  <si>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</si>
  <si>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</si>
  <si>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</si>
  <si>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</si>
  <si>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</si>
  <si>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</si>
  <si>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</si>
  <si>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</si>
  <si>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</si>
  <si>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</si>
  <si>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</si>
  <si>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</si>
  <si>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</si>
  <si>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</si>
  <si>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</si>
  <si>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</si>
  <si>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</si>
  <si>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</si>
  <si>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</si>
  <si>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</si>
  <si>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</si>
  <si>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</si>
  <si>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</si>
  <si>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</si>
  <si>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</si>
  <si>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hh_purchases_USD</t>
  </si>
  <si>
    <t xml:space="preserve">intl_purchases_USD (F040)</t>
  </si>
  <si>
    <t xml:space="preserve">domestic_industry_purchases_USD</t>
  </si>
  <si>
    <t xml:space="preserve">total_purchases_USD (= gov+hh+intl+domInd)</t>
  </si>
  <si>
    <t xml:space="preserve">Entity</t>
  </si>
  <si>
    <t xml:space="preserve">SoI_total_USD</t>
  </si>
  <si>
    <t xml:space="preserve">Government</t>
  </si>
  <si>
    <t xml:space="preserve">Households</t>
  </si>
  <si>
    <t xml:space="preserve">Intl Exports</t>
  </si>
  <si>
    <t xml:space="preserve">Domestic Industries</t>
  </si>
  <si>
    <t xml:space="preserve">ISIC_code</t>
  </si>
  <si>
    <t xml:space="preserve">total_consumption_USD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</si>
  <si>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</si>
  <si>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</si>
  <si>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</si>
  <si>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</si>
  <si>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</si>
  <si>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</si>
  <si>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</si>
  <si>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</si>
  <si>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</si>
  <si>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</si>
  <si>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</si>
  <si>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</si>
  <si>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</si>
  <si>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</si>
  <si>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</si>
  <si>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</si>
  <si>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</si>
  <si>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</si>
  <si>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</si>
  <si>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</si>
  <si>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</si>
  <si>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</si>
  <si>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</si>
  <si>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</si>
  <si>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</si>
  <si>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</si>
  <si>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</si>
  <si>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</si>
  <si>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</si>
  <si>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</si>
  <si>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</si>
  <si>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</si>
  <si>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</si>
  <si>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</si>
  <si>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</si>
  <si>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</si>
  <si>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</si>
  <si>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</si>
  <si>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</si>
  <si>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</si>
  <si>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</si>
  <si>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</si>
  <si>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</si>
  <si>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</si>
  <si>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</si>
  <si>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</si>
  <si>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</si>
  <si>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</si>
  <si>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</si>
  <si>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</si>
  <si>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</si>
  <si>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</si>
  <si>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</si>
  <si>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</si>
  <si>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</si>
  <si>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</si>
  <si>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</si>
  <si>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</si>
  <si>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</si>
  <si>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</si>
  <si>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</si>
  <si>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</si>
  <si>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</si>
  <si>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</si>
  <si>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</si>
  <si>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</si>
  <si>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</si>
  <si>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</si>
  <si>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</si>
  <si>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</si>
  <si>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PA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</si>
  <si>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</si>
  <si>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</si>
  <si>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</si>
  <si>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</si>
  <si>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</si>
  <si>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</si>
  <si>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</si>
  <si>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</si>
  <si>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</si>
  <si>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</si>
  <si>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</si>
  <si>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</si>
  <si>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</si>
  <si>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</si>
  <si>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</si>
  <si>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</si>
  <si>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</si>
  <si>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</si>
  <si>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</si>
  <si>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</si>
  <si>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</si>
  <si>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</si>
  <si>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</si>
  <si>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</si>
  <si>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</si>
  <si>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</si>
  <si>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</si>
  <si>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</si>
  <si>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</si>
  <si>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</si>
  <si>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</si>
  <si>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</si>
  <si>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</si>
  <si>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</si>
  <si>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</si>
  <si>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</si>
  <si>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</si>
  <si>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</si>
  <si>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</si>
  <si>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</si>
  <si>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</si>
  <si>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</si>
  <si>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</si>
  <si>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</si>
  <si>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</si>
  <si>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</si>
  <si>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</si>
  <si>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</si>
  <si>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</si>
  <si>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</si>
  <si>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</si>
  <si>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</si>
  <si>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</si>
  <si>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</si>
  <si>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</si>
  <si>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</si>
  <si>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</si>
  <si>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</si>
  <si>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</si>
  <si>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</si>
  <si>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</si>
  <si>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</si>
  <si>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</si>
  <si>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</si>
  <si>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</si>
  <si>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</si>
  <si>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</si>
  <si>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</si>
  <si>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</si>
  <si>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</si>
  <si>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</si>
  <si>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</si>
  <si>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</si>
  <si>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</si>
  <si>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</si>
  <si>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</si>
  <si>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</si>
  <si>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</si>
  <si>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</si>
  <si>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</si>
  <si>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</si>
  <si>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</si>
  <si>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</si>
  <si>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</si>
  <si>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</si>
  <si>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</si>
  <si>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</si>
  <si>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</si>
  <si>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</si>
  <si>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</si>
  <si>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</si>
  <si>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</si>
  <si>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</si>
  <si>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</si>
  <si>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</si>
  <si>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</si>
  <si>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</si>
  <si>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</si>
  <si>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PA.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</si>
  <si>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</si>
  <si>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</si>
  <si>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</si>
  <si>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</si>
  <si>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</si>
  <si>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</si>
  <si>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</si>
  <si>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</si>
  <si>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</si>
  <si>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</si>
  <si>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Agriculture, forestry, fishing</t>
  </si>
  <si>
    <t xml:space="preserve">Forestry, fishing, related</t>
  </si>
  <si>
    <t xml:space="preserve">Oil and gas extraction</t>
  </si>
  <si>
    <t xml:space="preserve">Extraction of crude petroleum and natural gas</t>
  </si>
  <si>
    <t xml:space="preserve">Support activities for mining</t>
  </si>
  <si>
    <t xml:space="preserve">Mining support service activities</t>
  </si>
  <si>
    <t xml:space="preserve">Utilities</t>
  </si>
  <si>
    <t xml:space="preserve">Electricity</t>
  </si>
  <si>
    <t xml:space="preserve">BEA 2012 Detail: electric ~72% of 22 output</t>
  </si>
  <si>
    <t xml:space="preserve">Gas, steam, AC</t>
  </si>
  <si>
    <t xml:space="preserve">BEA Detail: gas distribution ~20%</t>
  </si>
  <si>
    <t xml:space="preserve">Water, sewerage, waste</t>
  </si>
  <si>
    <t xml:space="preserve">BEA Detail: water/sewage ~8%</t>
  </si>
  <si>
    <t xml:space="preserve">Construction</t>
  </si>
  <si>
    <t xml:space="preserve">Food, beverage, tobacco</t>
  </si>
  <si>
    <t xml:space="preserve">Food, beverages, tobacco</t>
  </si>
  <si>
    <t xml:space="preserve">Textile mills and textile product mills</t>
  </si>
  <si>
    <t xml:space="preserve">Textiles, apparel, leather</t>
  </si>
  <si>
    <t xml:space="preserve">Apparel and leather</t>
  </si>
  <si>
    <t xml:space="preserve">Wood products</t>
  </si>
  <si>
    <t xml:space="preserve">Wood and products of wood and cork</t>
  </si>
  <si>
    <t xml:space="preserve">Paper products</t>
  </si>
  <si>
    <t xml:space="preserve">Paper products and printing</t>
  </si>
  <si>
    <t xml:space="preserve">Printing and related</t>
  </si>
  <si>
    <t xml:space="preserve">Petroleum and coal products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</si>
  <si>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</si>
  <si>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</si>
  <si>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</si>
  <si>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</si>
  <si>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</si>
  <si>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</si>
  <si>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</si>
  <si>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Machinery</t>
  </si>
  <si>
    <t xml:space="preserve">Machinery and equipment n.e.c.</t>
  </si>
  <si>
    <t xml:space="preserve">Computer and electronic products</t>
  </si>
  <si>
    <t xml:space="preserve">Computer, electronic and optical products</t>
  </si>
  <si>
    <t xml:space="preserve">Electrical equipment, appliances</t>
  </si>
  <si>
    <t xml:space="preserve">Electrical equipment</t>
  </si>
  <si>
    <t xml:space="preserve">Motor vehicles, bodies, trailers, parts</t>
  </si>
  <si>
    <t xml:space="preserve">Motor vehicles, trailers, semi-trailers</t>
  </si>
  <si>
    <t xml:space="preserve">Other transportation equipment</t>
  </si>
  <si>
    <t xml:space="preserve">Other transport equipment</t>
  </si>
  <si>
    <t xml:space="preserve">Furniture and related products</t>
  </si>
  <si>
    <t xml:space="preserve">Furniture; other manufacturing; repair</t>
  </si>
  <si>
    <t xml:space="preserve">Miscellaneous manufacturing</t>
  </si>
  <si>
    <t xml:space="preserve">Wholesale trade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</si>
  <si>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</si>
  <si>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</si>
  <si>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</si>
  <si>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</si>
  <si>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</si>
  <si>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</si>
  <si>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</si>
  <si>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</si>
  <si>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</si>
  <si>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</si>
  <si>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</si>
  <si>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</si>
  <si>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</si>
  <si>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</si>
  <si>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</si>
  <si>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</si>
  <si>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</si>
  <si>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</si>
  <si>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</si>
  <si>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</si>
  <si>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</si>
  <si>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</si>
  <si>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</si>
  <si>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IT and other information services</t>
  </si>
  <si>
    <t xml:space="preserve">Federal Reserve banks, credit intermediation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</si>
  <si>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</si>
  <si>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</si>
  <si>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</si>
  <si>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</si>
  <si>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</si>
  <si>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Real estate activities</t>
  </si>
  <si>
    <t xml:space="preserve">Other real estate</t>
  </si>
  <si>
    <t xml:space="preserve">Rental and leasing (excl real estate)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</si>
  <si>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</si>
  <si>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</si>
  <si>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</si>
  <si>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</si>
  <si>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</si>
  <si>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</si>
  <si>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</si>
  <si>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</si>
  <si>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</si>
  <si>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</si>
  <si>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</si>
  <si>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Education</t>
  </si>
  <si>
    <t xml:space="preserve">Ambulatory health care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</si>
  <si>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</si>
  <si>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</si>
  <si>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</si>
  <si>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</si>
  <si>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</si>
  <si>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Arts, entertainment and other services</t>
  </si>
  <si>
    <t xml:space="preserve">Amusements, gambling, recreation</t>
  </si>
  <si>
    <t xml:space="preserve">Accommodation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</si>
  <si>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</si>
  <si>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</si>
  <si>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</si>
  <si>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</si>
  <si>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</si>
  <si>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</si>
  <si>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</si>
  <si>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</si>
  <si>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</si>
  <si>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</si>
  <si>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Mining of coal and lignite</t>
  </si>
  <si>
    <t xml:space="preserve">coal/(coal+nonfuel) mine-value share, 2012 USD: EIA coal 2019 $2672M + USGS T3 nonfuel 2021 $1773M [nonfuel partial total] -&gt; coal share 0.601 (applied to stateior 212 $4914M)</t>
  </si>
  <si>
    <t xml:space="preserve">Other mining and quarrying</t>
  </si>
  <si>
    <t xml:space="preserve">Nonmetallic minerals</t>
  </si>
  <si>
    <t xml:space="preserve">Glass</t>
  </si>
  <si>
    <t xml:space="preserve">HEURISTIC (GHGRP Subpart H cement state list + glass industry profile; Census ASM suppressed or missing)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</si>
  <si>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</si>
  <si>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</si>
  <si>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</si>
  <si>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Aluminum, nonferrous, foundries</t>
  </si>
  <si>
    <t xml:space="preserve">Chemicals</t>
  </si>
  <si>
    <t xml:space="preserve">Chemicals and chemical products</t>
  </si>
  <si>
    <t xml:space="preserve">HEURISTIC (Census ASM suppressed or unpulled)</t>
  </si>
  <si>
    <t xml:space="preserve">Pharmaceuticals</t>
  </si>
  <si>
    <t xml:space="preserve">State-specific disaggregation ratios applied for PA.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</si>
  <si>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</si>
  <si>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</si>
  <si>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</si>
  <si>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</si>
  <si>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</si>
  <si>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</si>
  <si>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</si>
  <si>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</si>
  <si>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</si>
  <si>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</si>
  <si>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</si>
  <si>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</si>
  <si>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</si>
  <si>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</si>
  <si>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</si>
  <si>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</si>
  <si>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</si>
  <si>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</si>
  <si>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</si>
  <si>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</si>
  <si>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</si>
  <si>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</si>
  <si>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</si>
  <si>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</si>
  <si>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</si>
  <si>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</si>
  <si>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</si>
  <si>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</si>
  <si>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</si>
  <si>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</si>
  <si>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</si>
  <si>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</si>
  <si>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</si>
  <si>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</si>
  <si>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</si>
  <si>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</si>
  <si>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</si>
  <si>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</si>
  <si>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</si>
  <si>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</si>
  <si>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</si>
  <si>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</si>
  <si>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</si>
  <si>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</si>
  <si>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</si>
  <si>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</si>
  <si>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</si>
  <si>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</si>
  <si>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</si>
  <si>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</si>
  <si>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</si>
  <si>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</si>
  <si>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</si>
  <si>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</si>
  <si>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</si>
  <si>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</si>
  <si>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</si>
  <si>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</si>
  <si>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</si>
  <si>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</si>
  <si>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</si>
  <si>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</si>
  <si>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</si>
  <si>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</si>
  <si>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</si>
  <si>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</si>
  <si>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</si>
  <si>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</si>
  <si>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</si>
  <si>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</si>
  <si>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</si>
  <si>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</si>
  <si>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</si>
  <si>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</si>
  <si>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</si>
  <si>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</si>
  <si>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</si>
  <si>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</si>
  <si>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</si>
  <si>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</si>
  <si>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</si>
  <si>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</si>
  <si>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</si>
  <si>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</si>
  <si>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</si>
  <si>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</si>
  <si>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</si>
  <si>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Entity fractions per Industry Category: component / MAX(total, Keys fogp floor); domestic industries = MAX(0, 1 - gov - hh - intl) so rows sum to 1</t>
  </si>
  <si>
    <t xml:space="preserve">gov_ISIC</t>
  </si>
  <si>
    <t xml:space="preserve">hh_ISIC</t>
  </si>
  <si>
    <t xml:space="preserve">intl_ISIC</t>
  </si>
  <si>
    <t xml:space="preserve">total_ISIC</t>
  </si>
  <si>
    <t xml:space="preserve">denom (floored)</t>
  </si>
  <si>
    <t xml:space="preserve">gov_frac</t>
  </si>
  <si>
    <t xml:space="preserve">hh_frac (labor and consumers)</t>
  </si>
  <si>
    <t xml:space="preserve">intl_frac (foreign entities)</t>
  </si>
  <si>
    <t xml:space="preserve">domind_frac (residual)</t>
  </si>
  <si>
    <t xml:space="preserve">label</t>
  </si>
  <si>
    <t xml:space="preserve">government</t>
  </si>
  <si>
    <t xml:space="preserve">domestic industries</t>
  </si>
  <si>
    <t xml:space="preserve">labor and consumers</t>
  </si>
  <si>
    <t xml:space="preserve">foreign entities</t>
  </si>
  <si>
    <t xml:space="preserve">agriculture and forestry 01T03</t>
  </si>
  <si>
    <t xml:space="preserve">coal mining 05</t>
  </si>
  <si>
    <t xml:space="preserve">oil and gas extraction 06</t>
  </si>
  <si>
    <t xml:space="preserve">other mining and quarrying 07T08</t>
  </si>
  <si>
    <t xml:space="preserve">food beverage and tobacco 10T12</t>
  </si>
  <si>
    <t xml:space="preserve">textiles apparel and leather 13T15</t>
  </si>
  <si>
    <t xml:space="preserve">wood products 16</t>
  </si>
  <si>
    <t xml:space="preserve">pulp paper and printing 17T18</t>
  </si>
  <si>
    <t xml:space="preserve">refined petroleum and coke 19</t>
  </si>
  <si>
    <t xml:space="preserve">chemicals 20</t>
  </si>
  <si>
    <t xml:space="preserve">rubber and plastic products 22</t>
  </si>
  <si>
    <t xml:space="preserve">glass and glass products 231</t>
  </si>
  <si>
    <t xml:space="preserve">cement and other nonmetallic minerals 239</t>
  </si>
  <si>
    <t xml:space="preserve">iron and steel 241</t>
  </si>
  <si>
    <t xml:space="preserve">other metals 242</t>
  </si>
  <si>
    <t xml:space="preserve">metal products except machinery and vehicles 25</t>
  </si>
  <si>
    <t xml:space="preserve">computers and electronics 26</t>
  </si>
  <si>
    <t xml:space="preserve">appliances and electrical equipment 27</t>
  </si>
  <si>
    <t xml:space="preserve">other machinery 28</t>
  </si>
  <si>
    <t xml:space="preserve">road vehicles 29</t>
  </si>
  <si>
    <t xml:space="preserve">nonroad vehicles 30</t>
  </si>
  <si>
    <t xml:space="preserve">other manufacturing 31T33</t>
  </si>
  <si>
    <t xml:space="preserve">energy pipelines and gas processing 352T353</t>
  </si>
  <si>
    <t xml:space="preserve">water and waste 36T39</t>
  </si>
  <si>
    <t xml:space="preserve">construction 41T43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</si>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</sst>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</v>
      </c>
    </row>
    <row r="21">
      <c r="A21" t="s">
        <v>4</v>
      </c>
    </row>
    <row r="22">
      <c r="A22" t="s">
        <v>15</v>
      </c>
    </row>
    <row r="23">
      <c r="A23" t="s">
        <v>4</v>
      </c>
    </row>
    <row r="24">
      <c r="A24" t="s">
        <v>16</v>
      </c>
    </row>
    <row r="25">
      <c r="A25" t="s">
        <v>17</v>
      </c>
    </row>
    <row r="26">
      <c r="A26" t="s">
        <v>1</v>
      </c>
    </row>
    <row r="27">
      <c r="A27" t="s">
        <v>18</v>
      </c>
    </row>
    <row r="28">
      <c r="A28" t="s">
        <v>19</v>
      </c>
    </row>
    <row r="29">
      <c r="A29" t="s">
        <v>20</v>
      </c>
    </row>
    <row r="30">
      <c r="A30" t="s">
        <v>21</v>
      </c>
    </row>
    <row r="31">
      <c r="A31" t="s">
        <v>22</v>
      </c>
    </row>
    <row r="32">
      <c r="A32" t="s">
        <v>23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29</v>
      </c>
    </row>
    <row r="40">
      <c r="A40" t="s">
        <v>30</v>
      </c>
    </row>
    <row r="41">
      <c r="A41" t="s">
        <v>1</v>
      </c>
    </row>
    <row r="42">
      <c r="A42" t="s">
        <v>4</v>
      </c>
    </row>
    <row r="43">
      <c r="A43" t="s">
        <v>31</v>
      </c>
    </row>
    <row r="44">
      <c r="A44" t="s">
        <v>4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59</v>
      </c>
    </row>
    <row r="82">
      <c r="A82" t="s">
        <v>60</v>
      </c>
    </row>
    <row r="83">
      <c r="A83" t="s">
        <v>61</v>
      </c>
    </row>
    <row r="84">
      <c r="A84" t="s">
        <v>1</v>
      </c>
    </row>
    <row r="85">
      <c r="A85" t="s">
        <v>62</v>
      </c>
    </row>
    <row r="86">
      <c r="A86" t="s">
        <v>63</v>
      </c>
    </row>
    <row r="87">
      <c r="A87" t="s">
        <v>64</v>
      </c>
    </row>
    <row r="88">
      <c r="A88" t="s">
        <v>1</v>
      </c>
    </row>
    <row r="89">
      <c r="A89" t="s">
        <v>4</v>
      </c>
    </row>
    <row r="90">
      <c r="A90" t="s">
        <v>65</v>
      </c>
    </row>
    <row r="91">
      <c r="A91" t="s">
        <v>4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1</v>
      </c>
    </row>
    <row r="97">
      <c r="A97" t="s">
        <v>70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1</v>
      </c>
    </row>
    <row r="104">
      <c r="A104" t="s">
        <v>76</v>
      </c>
    </row>
    <row r="105">
      <c r="A105" t="s">
        <v>77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81</v>
      </c>
    </row>
    <row r="110">
      <c r="A110" t="s">
        <v>82</v>
      </c>
    </row>
    <row r="111">
      <c r="A111" t="s">
        <v>83</v>
      </c>
    </row>
    <row r="112">
      <c r="A112" t="s">
        <v>84</v>
      </c>
    </row>
    <row r="113">
      <c r="A113" t="s">
        <v>85</v>
      </c>
    </row>
    <row r="114">
      <c r="A114" t="s">
        <v>86</v>
      </c>
    </row>
    <row r="115">
      <c r="A115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88</v>
      </c>
      <c r="B1" t="s">
        <v>89</v>
      </c>
      <c r="C1" t="s">
        <v>90</v>
      </c>
      <c r="D1" t="s">
        <v>91</v>
      </c>
    </row>
    <row r="2">
      <c r="A2" t="s">
        <v>92</v>
      </c>
      <c r="B2" t="s">
        <v>93</v>
      </c>
      <c r="C2" t="n">
        <v>1.12266</v>
      </c>
      <c r="D2" t="s">
        <v>94</v>
      </c>
    </row>
    <row r="3">
      <c r="A3" t="s">
        <v>95</v>
      </c>
      <c r="B3" t="s">
        <v>96</v>
      </c>
      <c r="C3" t="n">
        <v>2019</v>
      </c>
      <c r="D3" t="s">
        <v>97</v>
      </c>
    </row>
    <row r="4">
      <c r="A4" t="s">
        <v>98</v>
      </c>
      <c r="B4" t="s">
        <v>99</v>
      </c>
      <c r="C4" t="n">
        <v>0.000000001</v>
      </c>
      <c r="D4" t="s">
        <v>100</v>
      </c>
    </row>
    <row r="5">
      <c r="A5" t="s">
        <v>98</v>
      </c>
      <c r="B5" t="s">
        <v>101</v>
      </c>
      <c r="C5" t="n">
        <v>1</v>
      </c>
      <c r="D5" t="s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104</v>
      </c>
    </row>
    <row r="2">
      <c r="A2" t="s">
        <v>105</v>
      </c>
      <c r="B2" t="n">
        <v>0</v>
      </c>
    </row>
    <row r="3">
      <c r="A3" t="s">
        <v>106</v>
      </c>
      <c r="B3" t="n">
        <v>0</v>
      </c>
    </row>
    <row r="4">
      <c r="A4" t="s">
        <v>107</v>
      </c>
      <c r="B4" t="n">
        <v>0</v>
      </c>
    </row>
    <row r="5">
      <c r="A5" t="s">
        <v>108</v>
      </c>
      <c r="B5" t="n">
        <v>0</v>
      </c>
    </row>
    <row r="6">
      <c r="A6" t="s">
        <v>109</v>
      </c>
      <c r="B6" t="n">
        <v>0</v>
      </c>
    </row>
    <row r="7">
      <c r="A7" t="s">
        <v>110</v>
      </c>
      <c r="B7" t="n">
        <v>0</v>
      </c>
    </row>
    <row r="8">
      <c r="A8" t="s">
        <v>111</v>
      </c>
      <c r="B8" t="n">
        <v>13537904470.0861</v>
      </c>
    </row>
    <row r="9">
      <c r="A9" t="s">
        <v>112</v>
      </c>
      <c r="B9" t="n">
        <v>1875579.84974999</v>
      </c>
    </row>
    <row r="10">
      <c r="A10" t="s">
        <v>113</v>
      </c>
      <c r="B10" t="n">
        <v>0</v>
      </c>
    </row>
    <row r="11">
      <c r="A11" t="s">
        <v>114</v>
      </c>
      <c r="B11" t="n">
        <v>0</v>
      </c>
    </row>
    <row r="12">
      <c r="A12" t="s">
        <v>115</v>
      </c>
      <c r="B12" t="n">
        <v>133779226.591573</v>
      </c>
    </row>
    <row r="13">
      <c r="A13" t="s">
        <v>116</v>
      </c>
      <c r="B13" t="n">
        <v>525513424.018455</v>
      </c>
    </row>
    <row r="14">
      <c r="A14" t="s">
        <v>117</v>
      </c>
      <c r="B14" t="n">
        <v>692456305.817609</v>
      </c>
    </row>
    <row r="15">
      <c r="A15" t="s">
        <v>118</v>
      </c>
      <c r="B15" t="n">
        <v>86344575.5411313</v>
      </c>
    </row>
    <row r="16">
      <c r="A16" t="s">
        <v>119</v>
      </c>
      <c r="B16" t="n">
        <v>1409835801.8752</v>
      </c>
    </row>
    <row r="17">
      <c r="A17" t="s">
        <v>120</v>
      </c>
      <c r="B17" t="n">
        <v>1182605015.74898</v>
      </c>
    </row>
    <row r="18">
      <c r="A18" t="s">
        <v>121</v>
      </c>
      <c r="B18" t="n">
        <v>75139400.53772</v>
      </c>
    </row>
    <row r="19">
      <c r="A19" t="s">
        <v>122</v>
      </c>
      <c r="B19" t="n">
        <v>50490412.1047753</v>
      </c>
    </row>
    <row r="20">
      <c r="A20" t="s">
        <v>123</v>
      </c>
      <c r="B20" t="n">
        <v>0</v>
      </c>
    </row>
    <row r="21">
      <c r="A21" t="s">
        <v>124</v>
      </c>
      <c r="B21" t="n">
        <v>1334682.29967039</v>
      </c>
    </row>
    <row r="22">
      <c r="A22" t="s">
        <v>125</v>
      </c>
      <c r="B22" t="n">
        <v>0</v>
      </c>
    </row>
    <row r="23">
      <c r="A23" t="s">
        <v>126</v>
      </c>
      <c r="B23" t="n">
        <v>0</v>
      </c>
    </row>
    <row r="24">
      <c r="A24" t="s">
        <v>127</v>
      </c>
      <c r="B24" t="n">
        <v>0</v>
      </c>
    </row>
    <row r="25">
      <c r="A25" t="s">
        <v>128</v>
      </c>
      <c r="B25" t="n">
        <v>0</v>
      </c>
    </row>
    <row r="26">
      <c r="A26" t="s">
        <v>129</v>
      </c>
      <c r="B26" t="n">
        <v>0</v>
      </c>
    </row>
    <row r="27">
      <c r="A27" t="s">
        <v>130</v>
      </c>
      <c r="B27" t="n">
        <v>1261436.85987667</v>
      </c>
    </row>
    <row r="28">
      <c r="A28" t="s">
        <v>131</v>
      </c>
      <c r="B28" t="n">
        <v>1148645577.69671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1900746.4654765</v>
      </c>
    </row>
    <row r="34">
      <c r="A34" t="s">
        <v>137</v>
      </c>
      <c r="B34" t="n">
        <v>27520208.7982445</v>
      </c>
    </row>
    <row r="35">
      <c r="A35" t="s">
        <v>138</v>
      </c>
      <c r="B35" t="n">
        <v>10137.9389361092</v>
      </c>
    </row>
    <row r="36">
      <c r="A36" t="s">
        <v>139</v>
      </c>
      <c r="B36" t="n">
        <v>89204700.163166</v>
      </c>
    </row>
    <row r="37">
      <c r="A37" t="s">
        <v>140</v>
      </c>
      <c r="B37" t="n">
        <v>0</v>
      </c>
    </row>
    <row r="38">
      <c r="A38" t="s">
        <v>141</v>
      </c>
      <c r="B38" t="n">
        <v>0</v>
      </c>
    </row>
    <row r="39">
      <c r="A39" t="s">
        <v>142</v>
      </c>
      <c r="B39" t="n">
        <v>0</v>
      </c>
    </row>
    <row r="40">
      <c r="A40" t="s">
        <v>143</v>
      </c>
      <c r="B40" t="n">
        <v>0</v>
      </c>
    </row>
    <row r="41">
      <c r="A41" t="s">
        <v>144</v>
      </c>
      <c r="B41" t="n">
        <v>568247057.952476</v>
      </c>
    </row>
    <row r="42">
      <c r="A42" t="s">
        <v>145</v>
      </c>
      <c r="B42" t="n">
        <v>0</v>
      </c>
    </row>
    <row r="43">
      <c r="A43" t="s">
        <v>146</v>
      </c>
      <c r="B43" t="n">
        <v>0</v>
      </c>
    </row>
    <row r="44">
      <c r="A44" t="s">
        <v>147</v>
      </c>
      <c r="B44" t="n">
        <v>143225660.51657</v>
      </c>
    </row>
    <row r="45">
      <c r="A45" t="s">
        <v>148</v>
      </c>
      <c r="B45" t="n">
        <v>0</v>
      </c>
    </row>
    <row r="46">
      <c r="A46" t="s">
        <v>149</v>
      </c>
      <c r="B46" t="n">
        <v>0</v>
      </c>
    </row>
    <row r="47">
      <c r="A47" t="s">
        <v>150</v>
      </c>
      <c r="B47" t="n">
        <v>0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0</v>
      </c>
    </row>
    <row r="51">
      <c r="A51" t="s">
        <v>154</v>
      </c>
      <c r="B51" t="n">
        <v>0</v>
      </c>
    </row>
    <row r="52">
      <c r="A52" t="s">
        <v>155</v>
      </c>
      <c r="B52" t="n">
        <v>0</v>
      </c>
    </row>
    <row r="53">
      <c r="A53" t="s">
        <v>156</v>
      </c>
      <c r="B53" t="n">
        <v>770815146.222882</v>
      </c>
    </row>
    <row r="54">
      <c r="A54" t="s">
        <v>157</v>
      </c>
      <c r="B54" t="n">
        <v>5610180371.96193</v>
      </c>
    </row>
    <row r="55">
      <c r="A55" t="s">
        <v>158</v>
      </c>
      <c r="B55" t="n">
        <v>0</v>
      </c>
    </row>
    <row r="56">
      <c r="A56" t="s">
        <v>159</v>
      </c>
      <c r="B56" t="n">
        <v>0</v>
      </c>
    </row>
    <row r="57">
      <c r="A57" t="s">
        <v>160</v>
      </c>
      <c r="B57" t="n">
        <v>0</v>
      </c>
    </row>
    <row r="58">
      <c r="A58" t="s">
        <v>161</v>
      </c>
      <c r="B58" t="n">
        <v>0</v>
      </c>
    </row>
    <row r="59">
      <c r="A59" t="s">
        <v>162</v>
      </c>
      <c r="B59" t="n">
        <v>0</v>
      </c>
    </row>
    <row r="60">
      <c r="A60" t="s">
        <v>163</v>
      </c>
      <c r="B60" t="n">
        <v>0</v>
      </c>
    </row>
    <row r="61">
      <c r="A61" t="s">
        <v>164</v>
      </c>
      <c r="B61" t="n">
        <v>0</v>
      </c>
    </row>
    <row r="62">
      <c r="A62" t="s">
        <v>165</v>
      </c>
      <c r="B62" t="n">
        <v>0</v>
      </c>
    </row>
    <row r="63">
      <c r="A63" t="s">
        <v>166</v>
      </c>
      <c r="B63" t="n">
        <v>0</v>
      </c>
    </row>
    <row r="64">
      <c r="A64" t="s">
        <v>167</v>
      </c>
      <c r="B64" t="n">
        <v>0</v>
      </c>
    </row>
    <row r="65">
      <c r="A65" t="s">
        <v>168</v>
      </c>
      <c r="B65" t="n">
        <v>0</v>
      </c>
    </row>
    <row r="66">
      <c r="A66" t="s">
        <v>169</v>
      </c>
      <c r="B66" t="n">
        <v>0</v>
      </c>
    </row>
    <row r="67">
      <c r="A67" t="s">
        <v>170</v>
      </c>
      <c r="B67" t="n">
        <v>0</v>
      </c>
    </row>
    <row r="68">
      <c r="A68" t="s">
        <v>171</v>
      </c>
      <c r="B68" t="n">
        <v>9574402875.23854</v>
      </c>
    </row>
    <row r="69">
      <c r="A69" t="s">
        <v>172</v>
      </c>
      <c r="B69" t="n">
        <v>7957745170.81836</v>
      </c>
    </row>
    <row r="70">
      <c r="A70" t="s">
        <v>173</v>
      </c>
      <c r="B70" t="n">
        <v>0</v>
      </c>
    </row>
    <row r="71">
      <c r="A71" t="s">
        <v>174</v>
      </c>
      <c r="B71" t="n">
        <v>79121780329.5429</v>
      </c>
    </row>
    <row r="72">
      <c r="A72" t="s">
        <v>175</v>
      </c>
      <c r="B72" t="n">
        <v>0</v>
      </c>
    </row>
    <row r="73">
      <c r="A73" t="s">
        <v>176</v>
      </c>
      <c r="B73" t="n">
        <v>-571932755.881804</v>
      </c>
    </row>
    <row r="74">
      <c r="A74" t="s">
        <v>177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178</v>
      </c>
    </row>
    <row r="2">
      <c r="A2" t="s">
        <v>105</v>
      </c>
      <c r="B2" t="n">
        <v>2232004002.9062</v>
      </c>
    </row>
    <row r="3">
      <c r="A3" t="s">
        <v>106</v>
      </c>
      <c r="B3" t="n">
        <v>195749518.7569</v>
      </c>
    </row>
    <row r="4">
      <c r="A4" t="s">
        <v>107</v>
      </c>
      <c r="B4" t="n">
        <v>0</v>
      </c>
    </row>
    <row r="5">
      <c r="A5" t="s">
        <v>108</v>
      </c>
      <c r="B5" t="n">
        <v>4012188.93990785</v>
      </c>
    </row>
    <row r="6">
      <c r="A6" t="s">
        <v>109</v>
      </c>
      <c r="B6" t="n">
        <v>0</v>
      </c>
    </row>
    <row r="7">
      <c r="A7" t="s">
        <v>110</v>
      </c>
      <c r="B7" t="n">
        <v>9586217817.92901</v>
      </c>
    </row>
    <row r="8">
      <c r="A8" t="s">
        <v>111</v>
      </c>
      <c r="B8" t="n">
        <v>0</v>
      </c>
    </row>
    <row r="9">
      <c r="A9" t="s">
        <v>112</v>
      </c>
      <c r="B9" t="n">
        <v>161624338.241698</v>
      </c>
    </row>
    <row r="10">
      <c r="A10" t="s">
        <v>113</v>
      </c>
      <c r="B10" t="n">
        <v>481539901.089905</v>
      </c>
    </row>
    <row r="11">
      <c r="A11" t="s">
        <v>114</v>
      </c>
      <c r="B11" t="n">
        <v>51707519.494532</v>
      </c>
    </row>
    <row r="12">
      <c r="A12" t="s">
        <v>115</v>
      </c>
      <c r="B12" t="n">
        <v>810386020.353103</v>
      </c>
    </row>
    <row r="13">
      <c r="A13" t="s">
        <v>116</v>
      </c>
      <c r="B13" t="n">
        <v>385321064.658147</v>
      </c>
    </row>
    <row r="14">
      <c r="A14" t="s">
        <v>117</v>
      </c>
      <c r="B14" t="n">
        <v>2955367812.94741</v>
      </c>
    </row>
    <row r="15">
      <c r="A15" t="s">
        <v>118</v>
      </c>
      <c r="B15" t="n">
        <v>2003040200.75535</v>
      </c>
    </row>
    <row r="16">
      <c r="A16" t="s">
        <v>119</v>
      </c>
      <c r="B16" t="n">
        <v>5187436802.63335</v>
      </c>
    </row>
    <row r="17">
      <c r="A17" t="s">
        <v>120</v>
      </c>
      <c r="B17" t="n">
        <v>635194000.990847</v>
      </c>
    </row>
    <row r="18">
      <c r="A18" t="s">
        <v>121</v>
      </c>
      <c r="B18" t="n">
        <v>2054719978.33306</v>
      </c>
    </row>
    <row r="19">
      <c r="A19" t="s">
        <v>122</v>
      </c>
      <c r="B19" t="n">
        <v>3734244306.60564</v>
      </c>
    </row>
    <row r="20">
      <c r="A20" t="s">
        <v>123</v>
      </c>
      <c r="B20" t="n">
        <v>23939601451.8694</v>
      </c>
    </row>
    <row r="21">
      <c r="A21" t="s">
        <v>124</v>
      </c>
      <c r="B21" t="n">
        <v>736348949.894221</v>
      </c>
    </row>
    <row r="22">
      <c r="A22" t="s">
        <v>125</v>
      </c>
      <c r="B22" t="n">
        <v>5443438031.96808</v>
      </c>
    </row>
    <row r="23">
      <c r="A23" t="s">
        <v>126</v>
      </c>
      <c r="B23" t="n">
        <v>1696294526.87543</v>
      </c>
    </row>
    <row r="24">
      <c r="A24" t="s">
        <v>127</v>
      </c>
      <c r="B24" t="n">
        <v>156745750.106976</v>
      </c>
    </row>
    <row r="25">
      <c r="A25" t="s">
        <v>128</v>
      </c>
      <c r="B25" t="n">
        <v>6791098681.25509</v>
      </c>
    </row>
    <row r="26">
      <c r="A26" t="s">
        <v>129</v>
      </c>
      <c r="B26" t="n">
        <v>14620530301.9542</v>
      </c>
    </row>
    <row r="27">
      <c r="A27" t="s">
        <v>130</v>
      </c>
      <c r="B27" t="n">
        <v>1883014911.06373</v>
      </c>
    </row>
    <row r="28">
      <c r="A28" t="s">
        <v>131</v>
      </c>
      <c r="B28" t="n">
        <v>21625102243.9044</v>
      </c>
    </row>
    <row r="29">
      <c r="A29" t="s">
        <v>132</v>
      </c>
      <c r="B29" t="n">
        <v>10295127188.5301</v>
      </c>
    </row>
    <row r="30">
      <c r="A30" t="s">
        <v>133</v>
      </c>
      <c r="B30" t="n">
        <v>9416084395.04896</v>
      </c>
    </row>
    <row r="31">
      <c r="A31" t="s">
        <v>134</v>
      </c>
      <c r="B31" t="n">
        <v>8704671448.4753</v>
      </c>
    </row>
    <row r="32">
      <c r="A32" t="s">
        <v>135</v>
      </c>
      <c r="B32" t="n">
        <v>28533105077.2141</v>
      </c>
    </row>
    <row r="33">
      <c r="A33" t="s">
        <v>136</v>
      </c>
      <c r="B33" t="n">
        <v>4166025857.41578</v>
      </c>
    </row>
    <row r="34">
      <c r="A34" t="s">
        <v>137</v>
      </c>
      <c r="B34" t="n">
        <v>253202098.671623</v>
      </c>
    </row>
    <row r="35">
      <c r="A35" t="s">
        <v>138</v>
      </c>
      <c r="B35" t="n">
        <v>160644530.3147</v>
      </c>
    </row>
    <row r="36">
      <c r="A36" t="s">
        <v>139</v>
      </c>
      <c r="B36" t="n">
        <v>4193524244.99455</v>
      </c>
    </row>
    <row r="37">
      <c r="A37" t="s">
        <v>140</v>
      </c>
      <c r="B37" t="n">
        <v>2047945895.44719</v>
      </c>
    </row>
    <row r="38">
      <c r="A38" t="s">
        <v>141</v>
      </c>
      <c r="B38" t="n">
        <v>493354878.155499</v>
      </c>
    </row>
    <row r="39">
      <c r="A39" t="s">
        <v>142</v>
      </c>
      <c r="B39" t="n">
        <v>660412183.487688</v>
      </c>
    </row>
    <row r="40">
      <c r="A40" t="s">
        <v>143</v>
      </c>
      <c r="B40" t="n">
        <v>21127066.7278531</v>
      </c>
    </row>
    <row r="41">
      <c r="A41" t="s">
        <v>144</v>
      </c>
      <c r="B41" t="n">
        <v>4054663192.95541</v>
      </c>
    </row>
    <row r="42">
      <c r="A42" t="s">
        <v>145</v>
      </c>
      <c r="B42" t="n">
        <v>436009661.570565</v>
      </c>
    </row>
    <row r="43">
      <c r="A43" t="s">
        <v>146</v>
      </c>
      <c r="B43" t="n">
        <v>24397309281.3373</v>
      </c>
    </row>
    <row r="44">
      <c r="A44" t="s">
        <v>147</v>
      </c>
      <c r="B44" t="n">
        <v>1979752305.71636</v>
      </c>
    </row>
    <row r="45">
      <c r="A45" t="s">
        <v>148</v>
      </c>
      <c r="B45" t="n">
        <v>7967625378.40148</v>
      </c>
    </row>
    <row r="46">
      <c r="A46" t="s">
        <v>149</v>
      </c>
      <c r="B46" t="n">
        <v>8628676187.51898</v>
      </c>
    </row>
    <row r="47">
      <c r="A47" t="s">
        <v>150</v>
      </c>
      <c r="B47" t="n">
        <v>20384397238.2322</v>
      </c>
    </row>
    <row r="48">
      <c r="A48" t="s">
        <v>151</v>
      </c>
      <c r="B48" t="n">
        <v>1619507051.40911</v>
      </c>
    </row>
    <row r="49">
      <c r="A49" t="s">
        <v>152</v>
      </c>
      <c r="B49" t="n">
        <v>81200543413.1112</v>
      </c>
    </row>
    <row r="50">
      <c r="A50" t="s">
        <v>153</v>
      </c>
      <c r="B50" t="n">
        <v>235864865.497817</v>
      </c>
    </row>
    <row r="51">
      <c r="A51" t="s">
        <v>154</v>
      </c>
      <c r="B51" t="n">
        <v>3157891777.16849</v>
      </c>
    </row>
    <row r="52">
      <c r="A52" t="s">
        <v>155</v>
      </c>
      <c r="B52" t="n">
        <v>5773035295.62991</v>
      </c>
    </row>
    <row r="53">
      <c r="A53" t="s">
        <v>156</v>
      </c>
      <c r="B53" t="n">
        <v>0</v>
      </c>
    </row>
    <row r="54">
      <c r="A54" t="s">
        <v>157</v>
      </c>
      <c r="B54" t="n">
        <v>3165942842.45653</v>
      </c>
    </row>
    <row r="55">
      <c r="A55" t="s">
        <v>158</v>
      </c>
      <c r="B55" t="n">
        <v>0</v>
      </c>
    </row>
    <row r="56">
      <c r="A56" t="s">
        <v>159</v>
      </c>
      <c r="B56" t="n">
        <v>3126529181.66899</v>
      </c>
    </row>
    <row r="57">
      <c r="A57" t="s">
        <v>160</v>
      </c>
      <c r="B57" t="n">
        <v>1281554630.06475</v>
      </c>
    </row>
    <row r="58">
      <c r="A58" t="s">
        <v>161</v>
      </c>
      <c r="B58" t="n">
        <v>24478175936.8907</v>
      </c>
    </row>
    <row r="59">
      <c r="A59" t="s">
        <v>162</v>
      </c>
      <c r="B59" t="n">
        <v>62639212013.3077</v>
      </c>
    </row>
    <row r="60">
      <c r="A60" t="s">
        <v>163</v>
      </c>
      <c r="B60" t="n">
        <v>62289052798.2444</v>
      </c>
    </row>
    <row r="61">
      <c r="A61" t="s">
        <v>164</v>
      </c>
      <c r="B61" t="n">
        <v>14046853211.0809</v>
      </c>
    </row>
    <row r="62">
      <c r="A62" t="s">
        <v>165</v>
      </c>
      <c r="B62" t="n">
        <v>13632158047.4449</v>
      </c>
    </row>
    <row r="63">
      <c r="A63" t="s">
        <v>166</v>
      </c>
      <c r="B63" t="n">
        <v>3404348123.58696</v>
      </c>
    </row>
    <row r="64">
      <c r="A64" t="s">
        <v>167</v>
      </c>
      <c r="B64" t="n">
        <v>7541983152.93041</v>
      </c>
    </row>
    <row r="65">
      <c r="A65" t="s">
        <v>168</v>
      </c>
      <c r="B65" t="n">
        <v>5490954204.71738</v>
      </c>
    </row>
    <row r="66">
      <c r="A66" t="s">
        <v>169</v>
      </c>
      <c r="B66" t="n">
        <v>26989058791.1891</v>
      </c>
    </row>
    <row r="67">
      <c r="A67" t="s">
        <v>170</v>
      </c>
      <c r="B67" t="n">
        <v>28164987948.5708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222731780.17792</v>
      </c>
    </row>
    <row r="71">
      <c r="A71" t="s">
        <v>174</v>
      </c>
      <c r="B71" t="n">
        <v>0</v>
      </c>
    </row>
    <row r="72">
      <c r="A72" t="s">
        <v>175</v>
      </c>
      <c r="B72" t="n">
        <v>4305483689.03063</v>
      </c>
    </row>
    <row r="73">
      <c r="A73" t="s">
        <v>176</v>
      </c>
      <c r="B73" t="n">
        <v>3263971391.56259</v>
      </c>
    </row>
    <row r="74">
      <c r="A74" t="s">
        <v>177</v>
      </c>
      <c r="B74" t="n">
        <v>-2949456974.01479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179</v>
      </c>
    </row>
    <row r="2">
      <c r="A2" t="s">
        <v>105</v>
      </c>
      <c r="B2" t="n">
        <v>203315356.878724</v>
      </c>
    </row>
    <row r="3">
      <c r="A3" t="s">
        <v>106</v>
      </c>
      <c r="B3" t="n">
        <v>112851328.93387</v>
      </c>
    </row>
    <row r="4">
      <c r="A4" t="s">
        <v>107</v>
      </c>
      <c r="B4" t="n">
        <v>218737643.09375</v>
      </c>
    </row>
    <row r="5">
      <c r="A5" t="s">
        <v>108</v>
      </c>
      <c r="B5" t="n">
        <v>2710385886.34577</v>
      </c>
    </row>
    <row r="6">
      <c r="A6" t="s">
        <v>109</v>
      </c>
      <c r="B6" t="n">
        <v>96875229.1913486</v>
      </c>
    </row>
    <row r="7">
      <c r="A7" t="s">
        <v>110</v>
      </c>
      <c r="B7" t="n">
        <v>147381814.709889</v>
      </c>
    </row>
    <row r="8">
      <c r="A8" t="s">
        <v>111</v>
      </c>
      <c r="B8" t="n">
        <v>3641953.49014187</v>
      </c>
    </row>
    <row r="9">
      <c r="A9" t="s">
        <v>112</v>
      </c>
      <c r="B9" t="n">
        <v>324042949.125161</v>
      </c>
    </row>
    <row r="10">
      <c r="A10" t="s">
        <v>113</v>
      </c>
      <c r="B10" t="n">
        <v>407639898.378857</v>
      </c>
    </row>
    <row r="11">
      <c r="A11" t="s">
        <v>114</v>
      </c>
      <c r="B11" t="n">
        <v>2194782736.61086</v>
      </c>
    </row>
    <row r="12">
      <c r="A12" t="s">
        <v>115</v>
      </c>
      <c r="B12" t="n">
        <v>1125597129.28405</v>
      </c>
    </row>
    <row r="13">
      <c r="A13" t="s">
        <v>116</v>
      </c>
      <c r="B13" t="n">
        <v>2944161046.15686</v>
      </c>
    </row>
    <row r="14">
      <c r="A14" t="s">
        <v>117</v>
      </c>
      <c r="B14" t="n">
        <v>1958728858.95612</v>
      </c>
    </row>
    <row r="15">
      <c r="A15" t="s">
        <v>118</v>
      </c>
      <c r="B15" t="n">
        <v>1173985892.95239</v>
      </c>
    </row>
    <row r="16">
      <c r="A16" t="s">
        <v>119</v>
      </c>
      <c r="B16" t="n">
        <v>755535988.952796</v>
      </c>
    </row>
    <row r="17">
      <c r="A17" t="s">
        <v>120</v>
      </c>
      <c r="B17" t="n">
        <v>2576135348.06773</v>
      </c>
    </row>
    <row r="18">
      <c r="A18" t="s">
        <v>121</v>
      </c>
      <c r="B18" t="n">
        <v>93124436.4617291</v>
      </c>
    </row>
    <row r="19">
      <c r="A19" t="s">
        <v>122</v>
      </c>
      <c r="B19" t="n">
        <v>880721021.785362</v>
      </c>
    </row>
    <row r="20">
      <c r="A20" t="s">
        <v>123</v>
      </c>
      <c r="B20" t="n">
        <v>1599791672.82391</v>
      </c>
    </row>
    <row r="21">
      <c r="A21" t="s">
        <v>124</v>
      </c>
      <c r="B21" t="n">
        <v>287888633.283246</v>
      </c>
    </row>
    <row r="22">
      <c r="A22" t="s">
        <v>125</v>
      </c>
      <c r="B22" t="n">
        <v>78244749.5205662</v>
      </c>
    </row>
    <row r="23">
      <c r="A23" t="s">
        <v>126</v>
      </c>
      <c r="B23" t="n">
        <v>390622277.44645</v>
      </c>
    </row>
    <row r="24">
      <c r="A24" t="s">
        <v>127</v>
      </c>
      <c r="B24" t="n">
        <v>90527447.6859808</v>
      </c>
    </row>
    <row r="25">
      <c r="A25" t="s">
        <v>128</v>
      </c>
      <c r="B25" t="n">
        <v>769990429.449774</v>
      </c>
    </row>
    <row r="26">
      <c r="A26" t="s">
        <v>129</v>
      </c>
      <c r="B26" t="n">
        <v>7413689214.73318</v>
      </c>
    </row>
    <row r="27">
      <c r="A27" t="s">
        <v>130</v>
      </c>
      <c r="B27" t="n">
        <v>1299419601.96376</v>
      </c>
    </row>
    <row r="28">
      <c r="A28" t="s">
        <v>131</v>
      </c>
      <c r="B28" t="n">
        <v>7390286215.11654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1100989368.14575</v>
      </c>
    </row>
    <row r="34">
      <c r="A34" t="s">
        <v>137</v>
      </c>
      <c r="B34" t="n">
        <v>419926193.843651</v>
      </c>
    </row>
    <row r="35">
      <c r="A35" t="s">
        <v>138</v>
      </c>
      <c r="B35" t="n">
        <v>36944631.1711715</v>
      </c>
    </row>
    <row r="36">
      <c r="A36" t="s">
        <v>139</v>
      </c>
      <c r="B36" t="n">
        <v>1489124011.06695</v>
      </c>
    </row>
    <row r="37">
      <c r="A37" t="s">
        <v>140</v>
      </c>
      <c r="B37" t="n">
        <v>0</v>
      </c>
    </row>
    <row r="38">
      <c r="A38" t="s">
        <v>141</v>
      </c>
      <c r="B38" t="n">
        <v>1210493207.18989</v>
      </c>
    </row>
    <row r="39">
      <c r="A39" t="s">
        <v>142</v>
      </c>
      <c r="B39" t="n">
        <v>318614415.773133</v>
      </c>
    </row>
    <row r="40">
      <c r="A40" t="s">
        <v>143</v>
      </c>
      <c r="B40" t="n">
        <v>12201278.4117889</v>
      </c>
    </row>
    <row r="41">
      <c r="A41" t="s">
        <v>144</v>
      </c>
      <c r="B41" t="n">
        <v>1194704296.3904</v>
      </c>
    </row>
    <row r="42">
      <c r="A42" t="s">
        <v>145</v>
      </c>
      <c r="B42" t="n">
        <v>272041977.247935</v>
      </c>
    </row>
    <row r="43">
      <c r="A43" t="s">
        <v>146</v>
      </c>
      <c r="B43" t="n">
        <v>696651737.532928</v>
      </c>
    </row>
    <row r="44">
      <c r="A44" t="s">
        <v>147</v>
      </c>
      <c r="B44" t="n">
        <v>130547915.514717</v>
      </c>
    </row>
    <row r="45">
      <c r="A45" t="s">
        <v>148</v>
      </c>
      <c r="B45" t="n">
        <v>1757513256.55085</v>
      </c>
    </row>
    <row r="46">
      <c r="A46" t="s">
        <v>149</v>
      </c>
      <c r="B46" t="n">
        <v>2131020308.77211</v>
      </c>
    </row>
    <row r="47">
      <c r="A47" t="s">
        <v>150</v>
      </c>
      <c r="B47" t="n">
        <v>899502873.799475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67149969.6190363</v>
      </c>
    </row>
    <row r="51">
      <c r="A51" t="s">
        <v>154</v>
      </c>
      <c r="B51" t="n">
        <v>2291757272.16121</v>
      </c>
    </row>
    <row r="52">
      <c r="A52" t="s">
        <v>155</v>
      </c>
      <c r="B52" t="n">
        <v>739092120.835993</v>
      </c>
    </row>
    <row r="53">
      <c r="A53" t="s">
        <v>156</v>
      </c>
      <c r="B53" t="n">
        <v>1120654499.6427</v>
      </c>
    </row>
    <row r="54">
      <c r="A54" t="s">
        <v>157</v>
      </c>
      <c r="B54" t="n">
        <v>6054307811.88748</v>
      </c>
    </row>
    <row r="55">
      <c r="A55" t="s">
        <v>158</v>
      </c>
      <c r="B55" t="n">
        <v>269364291.314703</v>
      </c>
    </row>
    <row r="56">
      <c r="A56" t="s">
        <v>159</v>
      </c>
      <c r="B56" t="n">
        <v>97750900.3223738</v>
      </c>
    </row>
    <row r="57">
      <c r="A57" t="s">
        <v>160</v>
      </c>
      <c r="B57" t="n">
        <v>9862607.63942091</v>
      </c>
    </row>
    <row r="58">
      <c r="A58" t="s">
        <v>161</v>
      </c>
      <c r="B58" t="n">
        <v>154833321.349594</v>
      </c>
    </row>
    <row r="59">
      <c r="A59" t="s">
        <v>162</v>
      </c>
      <c r="B59" t="n">
        <v>46058383.4257194</v>
      </c>
    </row>
    <row r="60">
      <c r="A60" t="s">
        <v>163</v>
      </c>
      <c r="B60" t="n">
        <v>208927055.826783</v>
      </c>
    </row>
    <row r="61">
      <c r="A61" t="s">
        <v>164</v>
      </c>
      <c r="B61" t="n">
        <v>16252133.8505379</v>
      </c>
    </row>
    <row r="62">
      <c r="A62" t="s">
        <v>165</v>
      </c>
      <c r="B62" t="n">
        <v>0</v>
      </c>
    </row>
    <row r="63">
      <c r="A63" t="s">
        <v>166</v>
      </c>
      <c r="B63" t="n">
        <v>58258897.7343698</v>
      </c>
    </row>
    <row r="64">
      <c r="A64" t="s">
        <v>167</v>
      </c>
      <c r="B64" t="n">
        <v>658441.162138273</v>
      </c>
    </row>
    <row r="65">
      <c r="A65" t="s">
        <v>168</v>
      </c>
      <c r="B65" t="n">
        <v>0</v>
      </c>
    </row>
    <row r="66">
      <c r="A66" t="s">
        <v>169</v>
      </c>
      <c r="B66" t="n">
        <v>91780084.2900937</v>
      </c>
    </row>
    <row r="67">
      <c r="A67" t="s">
        <v>170</v>
      </c>
      <c r="B67" t="n">
        <v>3040969.66943613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24939014.0647107</v>
      </c>
    </row>
    <row r="71">
      <c r="A71" t="s">
        <v>174</v>
      </c>
      <c r="B71" t="n">
        <v>0</v>
      </c>
    </row>
    <row r="72">
      <c r="A72" t="s">
        <v>175</v>
      </c>
      <c r="B72" t="n">
        <v>0</v>
      </c>
    </row>
    <row r="73">
      <c r="A73" t="s">
        <v>176</v>
      </c>
      <c r="B73" t="n">
        <v>1039734465.9109</v>
      </c>
    </row>
    <row r="74">
      <c r="A74" t="s">
        <v>177</v>
      </c>
      <c r="B74" t="n">
        <v>6647414134.43853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180</v>
      </c>
    </row>
    <row r="2">
      <c r="A2" t="s">
        <v>105</v>
      </c>
      <c r="B2" t="n">
        <v>7679797665.53478</v>
      </c>
    </row>
    <row r="3">
      <c r="A3" t="s">
        <v>106</v>
      </c>
      <c r="B3" t="n">
        <v>1561488026.98138</v>
      </c>
    </row>
    <row r="4">
      <c r="A4" t="s">
        <v>107</v>
      </c>
      <c r="B4" t="n">
        <v>3080297228.25168</v>
      </c>
    </row>
    <row r="5">
      <c r="A5" t="s">
        <v>108</v>
      </c>
      <c r="B5" t="n">
        <v>1847090364.63564</v>
      </c>
    </row>
    <row r="6">
      <c r="A6" t="s">
        <v>109</v>
      </c>
      <c r="B6" t="n">
        <v>1496662975.47221</v>
      </c>
    </row>
    <row r="7">
      <c r="A7" t="s">
        <v>110</v>
      </c>
      <c r="B7" t="n">
        <v>13093084177.517</v>
      </c>
    </row>
    <row r="8">
      <c r="A8" t="s">
        <v>111</v>
      </c>
      <c r="B8" t="n">
        <v>10031804176.5688</v>
      </c>
    </row>
    <row r="9">
      <c r="A9" t="s">
        <v>112</v>
      </c>
      <c r="B9" t="n">
        <v>5446772045.30138</v>
      </c>
    </row>
    <row r="10">
      <c r="A10" t="s">
        <v>113</v>
      </c>
      <c r="B10" t="n">
        <v>6195118978.01243</v>
      </c>
    </row>
    <row r="11">
      <c r="A11" t="s">
        <v>114</v>
      </c>
      <c r="B11" t="n">
        <v>28332411708.6443</v>
      </c>
    </row>
    <row r="12">
      <c r="A12" t="s">
        <v>115</v>
      </c>
      <c r="B12" t="n">
        <v>18213368842.8467</v>
      </c>
    </row>
    <row r="13">
      <c r="A13" t="s">
        <v>116</v>
      </c>
      <c r="B13" t="n">
        <v>7150388359.28294</v>
      </c>
    </row>
    <row r="14">
      <c r="A14" t="s">
        <v>117</v>
      </c>
      <c r="B14" t="n">
        <v>6226203546.20016</v>
      </c>
    </row>
    <row r="15">
      <c r="A15" t="s">
        <v>118</v>
      </c>
      <c r="B15" t="n">
        <v>5824847510.65774</v>
      </c>
    </row>
    <row r="16">
      <c r="A16" t="s">
        <v>119</v>
      </c>
      <c r="B16" t="n">
        <v>5339775019.5475</v>
      </c>
    </row>
    <row r="17">
      <c r="A17" t="s">
        <v>120</v>
      </c>
      <c r="B17" t="n">
        <v>2317711973.4371</v>
      </c>
    </row>
    <row r="18">
      <c r="A18" t="s">
        <v>121</v>
      </c>
      <c r="B18" t="n">
        <v>1242974972.01641</v>
      </c>
    </row>
    <row r="19">
      <c r="A19" t="s">
        <v>122</v>
      </c>
      <c r="B19" t="n">
        <v>3317702396.72041</v>
      </c>
    </row>
    <row r="20">
      <c r="A20" t="s">
        <v>123</v>
      </c>
      <c r="B20" t="n">
        <v>15124626419.3406</v>
      </c>
    </row>
    <row r="21">
      <c r="A21" t="s">
        <v>124</v>
      </c>
      <c r="B21" t="n">
        <v>1543293070.74268</v>
      </c>
    </row>
    <row r="22">
      <c r="A22" t="s">
        <v>125</v>
      </c>
      <c r="B22" t="n">
        <v>584162193.195268</v>
      </c>
    </row>
    <row r="23">
      <c r="A23" t="s">
        <v>126</v>
      </c>
      <c r="B23" t="n">
        <v>12670105888.6978</v>
      </c>
    </row>
    <row r="24">
      <c r="A24" t="s">
        <v>127</v>
      </c>
      <c r="B24" t="n">
        <v>3404740095.64523</v>
      </c>
    </row>
    <row r="25">
      <c r="A25" t="s">
        <v>128</v>
      </c>
      <c r="B25" t="n">
        <v>9900110763.06849</v>
      </c>
    </row>
    <row r="26">
      <c r="A26" t="s">
        <v>129</v>
      </c>
      <c r="B26" t="n">
        <v>30079756832.407</v>
      </c>
    </row>
    <row r="27">
      <c r="A27" t="s">
        <v>130</v>
      </c>
      <c r="B27" t="n">
        <v>12682124828.5499</v>
      </c>
    </row>
    <row r="28">
      <c r="A28" t="s">
        <v>131</v>
      </c>
      <c r="B28" t="n">
        <v>35449926917.948</v>
      </c>
    </row>
    <row r="29">
      <c r="A29" t="s">
        <v>132</v>
      </c>
      <c r="B29" t="n">
        <v>818694470.074811</v>
      </c>
    </row>
    <row r="30">
      <c r="A30" t="s">
        <v>133</v>
      </c>
      <c r="B30" t="n">
        <v>85180756.6362949</v>
      </c>
    </row>
    <row r="31">
      <c r="A31" t="s">
        <v>134</v>
      </c>
      <c r="B31" t="n">
        <v>206693225.601057</v>
      </c>
    </row>
    <row r="32">
      <c r="A32" t="s">
        <v>135</v>
      </c>
      <c r="B32" t="n">
        <v>3711662532.49584</v>
      </c>
    </row>
    <row r="33">
      <c r="A33" t="s">
        <v>136</v>
      </c>
      <c r="B33" t="n">
        <v>2749685138.46995</v>
      </c>
    </row>
    <row r="34">
      <c r="A34" t="s">
        <v>137</v>
      </c>
      <c r="B34" t="n">
        <v>1975938775.52178</v>
      </c>
    </row>
    <row r="35">
      <c r="A35" t="s">
        <v>138</v>
      </c>
      <c r="B35" t="n">
        <v>77808874.3878278</v>
      </c>
    </row>
    <row r="36">
      <c r="A36" t="s">
        <v>139</v>
      </c>
      <c r="B36" t="n">
        <v>9804629029.62544</v>
      </c>
    </row>
    <row r="37">
      <c r="A37" t="s">
        <v>140</v>
      </c>
      <c r="B37" t="n">
        <v>2305728912.38312</v>
      </c>
    </row>
    <row r="38">
      <c r="A38" t="s">
        <v>141</v>
      </c>
      <c r="B38" t="n">
        <v>6588587256.40397</v>
      </c>
    </row>
    <row r="39">
      <c r="A39" t="s">
        <v>142</v>
      </c>
      <c r="B39" t="n">
        <v>9460986595.28231</v>
      </c>
    </row>
    <row r="40">
      <c r="A40" t="s">
        <v>143</v>
      </c>
      <c r="B40" t="n">
        <v>10051858526.7112</v>
      </c>
    </row>
    <row r="41">
      <c r="A41" t="s">
        <v>144</v>
      </c>
      <c r="B41" t="n">
        <v>2443126861.87033</v>
      </c>
    </row>
    <row r="42">
      <c r="A42" t="s">
        <v>145</v>
      </c>
      <c r="B42" t="n">
        <v>1608285019.36902</v>
      </c>
    </row>
    <row r="43">
      <c r="A43" t="s">
        <v>146</v>
      </c>
      <c r="B43" t="n">
        <v>20923403579.7374</v>
      </c>
    </row>
    <row r="44">
      <c r="A44" t="s">
        <v>147</v>
      </c>
      <c r="B44" t="n">
        <v>4447565217.38251</v>
      </c>
    </row>
    <row r="45">
      <c r="A45" t="s">
        <v>148</v>
      </c>
      <c r="B45" t="n">
        <v>16833926785.7076</v>
      </c>
    </row>
    <row r="46">
      <c r="A46" t="s">
        <v>149</v>
      </c>
      <c r="B46" t="n">
        <v>7044875905.60765</v>
      </c>
    </row>
    <row r="47">
      <c r="A47" t="s">
        <v>150</v>
      </c>
      <c r="B47" t="n">
        <v>34125695569.5506</v>
      </c>
    </row>
    <row r="48">
      <c r="A48" t="s">
        <v>151</v>
      </c>
      <c r="B48" t="n">
        <v>61345952.8549364</v>
      </c>
    </row>
    <row r="49">
      <c r="A49" t="s">
        <v>152</v>
      </c>
      <c r="B49" t="n">
        <v>0</v>
      </c>
    </row>
    <row r="50">
      <c r="A50" t="s">
        <v>153</v>
      </c>
      <c r="B50" t="n">
        <v>48409577986.388</v>
      </c>
    </row>
    <row r="51">
      <c r="A51" t="s">
        <v>154</v>
      </c>
      <c r="B51" t="n">
        <v>7877718053.41016</v>
      </c>
    </row>
    <row r="52">
      <c r="A52" t="s">
        <v>155</v>
      </c>
      <c r="B52" t="n">
        <v>9549283952.93736</v>
      </c>
    </row>
    <row r="53">
      <c r="A53" t="s">
        <v>156</v>
      </c>
      <c r="B53" t="n">
        <v>7667623016.46034</v>
      </c>
    </row>
    <row r="54">
      <c r="A54" t="s">
        <v>157</v>
      </c>
      <c r="B54" t="n">
        <v>48771568328.2936</v>
      </c>
    </row>
    <row r="55">
      <c r="A55" t="s">
        <v>158</v>
      </c>
      <c r="B55" t="n">
        <v>36909338679.2314</v>
      </c>
    </row>
    <row r="56">
      <c r="A56" t="s">
        <v>159</v>
      </c>
      <c r="B56" t="n">
        <v>29165524903.1275</v>
      </c>
    </row>
    <row r="57">
      <c r="A57" t="s">
        <v>160</v>
      </c>
      <c r="B57" t="n">
        <v>4687570065.32415</v>
      </c>
    </row>
    <row r="58">
      <c r="A58" t="s">
        <v>161</v>
      </c>
      <c r="B58" t="n">
        <v>1319338318.80523</v>
      </c>
    </row>
    <row r="59">
      <c r="A59" t="s">
        <v>162</v>
      </c>
      <c r="B59" t="n">
        <v>1733132304.11322</v>
      </c>
    </row>
    <row r="60">
      <c r="A60" t="s">
        <v>163</v>
      </c>
      <c r="B60" t="n">
        <v>46852960.5388478</v>
      </c>
    </row>
    <row r="61">
      <c r="A61" t="s">
        <v>164</v>
      </c>
      <c r="B61" t="n">
        <v>103055107.906161</v>
      </c>
    </row>
    <row r="62">
      <c r="A62" t="s">
        <v>165</v>
      </c>
      <c r="B62" t="n">
        <v>0</v>
      </c>
    </row>
    <row r="63">
      <c r="A63" t="s">
        <v>166</v>
      </c>
      <c r="B63" t="n">
        <v>4307840252.65289</v>
      </c>
    </row>
    <row r="64">
      <c r="A64" t="s">
        <v>167</v>
      </c>
      <c r="B64" t="n">
        <v>239163090.753564</v>
      </c>
    </row>
    <row r="65">
      <c r="A65" t="s">
        <v>168</v>
      </c>
      <c r="B65" t="n">
        <v>2161519330.13804</v>
      </c>
    </row>
    <row r="66">
      <c r="A66" t="s">
        <v>169</v>
      </c>
      <c r="B66" t="n">
        <v>8247023798.83044</v>
      </c>
    </row>
    <row r="67">
      <c r="A67" t="s">
        <v>170</v>
      </c>
      <c r="B67" t="n">
        <v>7967793445.90493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1878519309.80002</v>
      </c>
    </row>
    <row r="71">
      <c r="A71" t="s">
        <v>174</v>
      </c>
      <c r="B71" t="n">
        <v>0</v>
      </c>
    </row>
    <row r="72">
      <c r="A72" t="s">
        <v>175</v>
      </c>
      <c r="B72" t="n">
        <v>1317387456.48164</v>
      </c>
    </row>
    <row r="73">
      <c r="A73" t="s">
        <v>176</v>
      </c>
      <c r="B73" t="n">
        <v>4551698723.68423</v>
      </c>
    </row>
    <row r="74">
      <c r="A74" t="s">
        <v>177</v>
      </c>
      <c r="B74" t="n">
        <v>4454048556.90519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103</v>
      </c>
      <c r="B1" t="s">
        <v>181</v>
      </c>
    </row>
    <row r="2">
      <c r="A2" t="str">
        <f>'1_Gov_purchases_by_BEA'!A2</f>
      </c>
      <c r="B2" t="str">
        <f>'1_Gov_purchases_by_BEA'!B2+'2_HH_purchases_by_BEA'!B2+'3_Intl_purchases_by_BEA'!B2+'4_DomInd_purchases_by_BEA'!B2</f>
      </c>
    </row>
    <row r="3">
      <c r="A3" t="str">
        <f>'1_Gov_purchases_by_BEA'!A3</f>
      </c>
      <c r="B3" t="str">
        <f>'1_Gov_purchases_by_BEA'!B3+'2_HH_purchases_by_BEA'!B3+'3_Intl_purchases_by_BEA'!B3+'4_DomInd_purchases_by_BEA'!B3</f>
      </c>
    </row>
    <row r="4">
      <c r="A4" t="str">
        <f>'1_Gov_purchases_by_BEA'!A4</f>
      </c>
      <c r="B4" t="str">
        <f>'1_Gov_purchases_by_BEA'!B4+'2_HH_purchases_by_BEA'!B4+'3_Intl_purchases_by_BEA'!B4+'4_DomInd_purchases_by_BEA'!B4</f>
      </c>
    </row>
    <row r="5">
      <c r="A5" t="str">
        <f>'1_Gov_purchases_by_BEA'!A5</f>
      </c>
      <c r="B5" t="str">
        <f>'1_Gov_purchases_by_BEA'!B5+'2_HH_purchases_by_BEA'!B5+'3_Intl_purchases_by_BEA'!B5+'4_DomInd_purchases_by_BEA'!B5</f>
      </c>
    </row>
    <row r="6">
      <c r="A6" t="str">
        <f>'1_Gov_purchases_by_BEA'!A6</f>
      </c>
      <c r="B6" t="str">
        <f>'1_Gov_purchases_by_BEA'!B6+'2_HH_purchases_by_BEA'!B6+'3_Intl_purchases_by_BEA'!B6+'4_DomInd_purchases_by_BEA'!B6</f>
      </c>
    </row>
    <row r="7">
      <c r="A7" t="str">
        <f>'1_Gov_purchases_by_BEA'!A7</f>
      </c>
      <c r="B7" t="str">
        <f>'1_Gov_purchases_by_BEA'!B7+'2_HH_purchases_by_BEA'!B7+'3_Intl_purchases_by_BEA'!B7+'4_DomInd_purchases_by_BEA'!B7</f>
      </c>
    </row>
    <row r="8">
      <c r="A8" t="str">
        <f>'1_Gov_purchases_by_BEA'!A8</f>
      </c>
      <c r="B8" t="str">
        <f>'1_Gov_purchases_by_BEA'!B8+'2_HH_purchases_by_BEA'!B8+'3_Intl_purchases_by_BEA'!B8+'4_DomInd_purchases_by_BEA'!B8</f>
      </c>
    </row>
    <row r="9">
      <c r="A9" t="str">
        <f>'1_Gov_purchases_by_BEA'!A9</f>
      </c>
      <c r="B9" t="str">
        <f>'1_Gov_purchases_by_BEA'!B9+'2_HH_purchases_by_BEA'!B9+'3_Intl_purchases_by_BEA'!B9+'4_DomInd_purchases_by_BEA'!B9</f>
      </c>
    </row>
    <row r="10">
      <c r="A10" t="str">
        <f>'1_Gov_purchases_by_BEA'!A10</f>
      </c>
      <c r="B10" t="str">
        <f>'1_Gov_purchases_by_BEA'!B10+'2_HH_purchases_by_BEA'!B10+'3_Intl_purchases_by_BEA'!B10+'4_DomInd_purchases_by_BEA'!B10</f>
      </c>
    </row>
    <row r="11">
      <c r="A11" t="str">
        <f>'1_Gov_purchases_by_BEA'!A11</f>
      </c>
      <c r="B11" t="str">
        <f>'1_Gov_purchases_by_BEA'!B11+'2_HH_purchases_by_BEA'!B11+'3_Intl_purchases_by_BEA'!B11+'4_DomInd_purchases_by_BEA'!B11</f>
      </c>
    </row>
    <row r="12">
      <c r="A12" t="str">
        <f>'1_Gov_purchases_by_BEA'!A12</f>
      </c>
      <c r="B12" t="str">
        <f>'1_Gov_purchases_by_BEA'!B12+'2_HH_purchases_by_BEA'!B12+'3_Intl_purchases_by_BEA'!B12+'4_DomInd_purchases_by_BEA'!B12</f>
      </c>
    </row>
    <row r="13">
      <c r="A13" t="str">
        <f>'1_Gov_purchases_by_BEA'!A13</f>
      </c>
      <c r="B13" t="str">
        <f>'1_Gov_purchases_by_BEA'!B13+'2_HH_purchases_by_BEA'!B13+'3_Intl_purchases_by_BEA'!B13+'4_DomInd_purchases_by_BEA'!B13</f>
      </c>
    </row>
    <row r="14">
      <c r="A14" t="str">
        <f>'1_Gov_purchases_by_BEA'!A14</f>
      </c>
      <c r="B14" t="str">
        <f>'1_Gov_purchases_by_BEA'!B14+'2_HH_purchases_by_BEA'!B14+'3_Intl_purchases_by_BEA'!B14+'4_DomInd_purchases_by_BEA'!B14</f>
      </c>
    </row>
    <row r="15">
      <c r="A15" t="str">
        <f>'1_Gov_purchases_by_BEA'!A15</f>
      </c>
      <c r="B15" t="str">
        <f>'1_Gov_purchases_by_BEA'!B15+'2_HH_purchases_by_BEA'!B15+'3_Intl_purchases_by_BEA'!B15+'4_DomInd_purchases_by_BEA'!B15</f>
      </c>
    </row>
    <row r="16">
      <c r="A16" t="str">
        <f>'1_Gov_purchases_by_BEA'!A16</f>
      </c>
      <c r="B16" t="str">
        <f>'1_Gov_purchases_by_BEA'!B16+'2_HH_purchases_by_BEA'!B16+'3_Intl_purchases_by_BEA'!B16+'4_DomInd_purchases_by_BEA'!B16</f>
      </c>
    </row>
    <row r="17">
      <c r="A17" t="str">
        <f>'1_Gov_purchases_by_BEA'!A17</f>
      </c>
      <c r="B17" t="str">
        <f>'1_Gov_purchases_by_BEA'!B17+'2_HH_purchases_by_BEA'!B17+'3_Intl_purchases_by_BEA'!B17+'4_DomInd_purchases_by_BEA'!B17</f>
      </c>
    </row>
    <row r="18">
      <c r="A18" t="str">
        <f>'1_Gov_purchases_by_BEA'!A18</f>
      </c>
      <c r="B18" t="str">
        <f>'1_Gov_purchases_by_BEA'!B18+'2_HH_purchases_by_BEA'!B18+'3_Intl_purchases_by_BEA'!B18+'4_DomInd_purchases_by_BEA'!B18</f>
      </c>
    </row>
    <row r="19">
      <c r="A19" t="str">
        <f>'1_Gov_purchases_by_BEA'!A19</f>
      </c>
      <c r="B19" t="str">
        <f>'1_Gov_purchases_by_BEA'!B19+'2_HH_purchases_by_BEA'!B19+'3_Intl_purchases_by_BEA'!B19+'4_DomInd_purchases_by_BEA'!B19</f>
      </c>
    </row>
    <row r="20">
      <c r="A20" t="str">
        <f>'1_Gov_purchases_by_BEA'!A20</f>
      </c>
      <c r="B20" t="str">
        <f>'1_Gov_purchases_by_BEA'!B20+'2_HH_purchases_by_BEA'!B20+'3_Intl_purchases_by_BEA'!B20+'4_DomInd_purchases_by_BEA'!B20</f>
      </c>
    </row>
    <row r="21">
      <c r="A21" t="str">
        <f>'1_Gov_purchases_by_BEA'!A21</f>
      </c>
      <c r="B21" t="str">
        <f>'1_Gov_purchases_by_BEA'!B21+'2_HH_purchases_by_BEA'!B21+'3_Intl_purchases_by_BEA'!B21+'4_DomInd_purchases_by_BEA'!B21</f>
      </c>
    </row>
    <row r="22">
      <c r="A22" t="str">
        <f>'1_Gov_purchases_by_BEA'!A22</f>
      </c>
      <c r="B22" t="str">
        <f>'1_Gov_purchases_by_BEA'!B22+'2_HH_purchases_by_BEA'!B22+'3_Intl_purchases_by_BEA'!B22+'4_DomInd_purchases_by_BEA'!B22</f>
      </c>
    </row>
    <row r="23">
      <c r="A23" t="str">
        <f>'1_Gov_purchases_by_BEA'!A23</f>
      </c>
      <c r="B23" t="str">
        <f>'1_Gov_purchases_by_BEA'!B23+'2_HH_purchases_by_BEA'!B23+'3_Intl_purchases_by_BEA'!B23+'4_DomInd_purchases_by_BEA'!B23</f>
      </c>
    </row>
    <row r="24">
      <c r="A24" t="str">
        <f>'1_Gov_purchases_by_BEA'!A24</f>
      </c>
      <c r="B24" t="str">
        <f>'1_Gov_purchases_by_BEA'!B24+'2_HH_purchases_by_BEA'!B24+'3_Intl_purchases_by_BEA'!B24+'4_DomInd_purchases_by_BEA'!B24</f>
      </c>
    </row>
    <row r="25">
      <c r="A25" t="str">
        <f>'1_Gov_purchases_by_BEA'!A25</f>
      </c>
      <c r="B25" t="str">
        <f>'1_Gov_purchases_by_BEA'!B25+'2_HH_purchases_by_BEA'!B25+'3_Intl_purchases_by_BEA'!B25+'4_DomInd_purchases_by_BEA'!B25</f>
      </c>
    </row>
    <row r="26">
      <c r="A26" t="str">
        <f>'1_Gov_purchases_by_BEA'!A26</f>
      </c>
      <c r="B26" t="str">
        <f>'1_Gov_purchases_by_BEA'!B26+'2_HH_purchases_by_BEA'!B26+'3_Intl_purchases_by_BEA'!B26+'4_DomInd_purchases_by_BEA'!B26</f>
      </c>
    </row>
    <row r="27">
      <c r="A27" t="str">
        <f>'1_Gov_purchases_by_BEA'!A27</f>
      </c>
      <c r="B27" t="str">
        <f>'1_Gov_purchases_by_BEA'!B27+'2_HH_purchases_by_BEA'!B27+'3_Intl_purchases_by_BEA'!B27+'4_DomInd_purchases_by_BEA'!B27</f>
      </c>
    </row>
    <row r="28">
      <c r="A28" t="str">
        <f>'1_Gov_purchases_by_BEA'!A28</f>
      </c>
      <c r="B28" t="str">
        <f>'1_Gov_purchases_by_BEA'!B28+'2_HH_purchases_by_BEA'!B28+'3_Intl_purchases_by_BEA'!B28+'4_DomInd_purchases_by_BEA'!B28</f>
      </c>
    </row>
    <row r="29">
      <c r="A29" t="str">
        <f>'1_Gov_purchases_by_BEA'!A29</f>
      </c>
      <c r="B29" t="str">
        <f>'1_Gov_purchases_by_BEA'!B29+'2_HH_purchases_by_BEA'!B29+'3_Intl_purchases_by_BEA'!B29+'4_DomInd_purchases_by_BEA'!B29</f>
      </c>
    </row>
    <row r="30">
      <c r="A30" t="str">
        <f>'1_Gov_purchases_by_BEA'!A30</f>
      </c>
      <c r="B30" t="str">
        <f>'1_Gov_purchases_by_BEA'!B30+'2_HH_purchases_by_BEA'!B30+'3_Intl_purchases_by_BEA'!B30+'4_DomInd_purchases_by_BEA'!B30</f>
      </c>
    </row>
    <row r="31">
      <c r="A31" t="str">
        <f>'1_Gov_purchases_by_BEA'!A31</f>
      </c>
      <c r="B31" t="str">
        <f>'1_Gov_purchases_by_BEA'!B31+'2_HH_purchases_by_BEA'!B31+'3_Intl_purchases_by_BEA'!B31+'4_DomInd_purchases_by_BEA'!B31</f>
      </c>
    </row>
    <row r="32">
      <c r="A32" t="str">
        <f>'1_Gov_purchases_by_BEA'!A32</f>
      </c>
      <c r="B32" t="str">
        <f>'1_Gov_purchases_by_BEA'!B32+'2_HH_purchases_by_BEA'!B32+'3_Intl_purchases_by_BEA'!B32+'4_DomInd_purchases_by_BEA'!B32</f>
      </c>
    </row>
    <row r="33">
      <c r="A33" t="str">
        <f>'1_Gov_purchases_by_BEA'!A33</f>
      </c>
      <c r="B33" t="str">
        <f>'1_Gov_purchases_by_BEA'!B33+'2_HH_purchases_by_BEA'!B33+'3_Intl_purchases_by_BEA'!B33+'4_DomInd_purchases_by_BEA'!B33</f>
      </c>
    </row>
    <row r="34">
      <c r="A34" t="str">
        <f>'1_Gov_purchases_by_BEA'!A34</f>
      </c>
      <c r="B34" t="str">
        <f>'1_Gov_purchases_by_BEA'!B34+'2_HH_purchases_by_BEA'!B34+'3_Intl_purchases_by_BEA'!B34+'4_DomInd_purchases_by_BEA'!B34</f>
      </c>
    </row>
    <row r="35">
      <c r="A35" t="str">
        <f>'1_Gov_purchases_by_BEA'!A35</f>
      </c>
      <c r="B35" t="str">
        <f>'1_Gov_purchases_by_BEA'!B35+'2_HH_purchases_by_BEA'!B35+'3_Intl_purchases_by_BEA'!B35+'4_DomInd_purchases_by_BEA'!B35</f>
      </c>
    </row>
    <row r="36">
      <c r="A36" t="str">
        <f>'1_Gov_purchases_by_BEA'!A36</f>
      </c>
      <c r="B36" t="str">
        <f>'1_Gov_purchases_by_BEA'!B36+'2_HH_purchases_by_BEA'!B36+'3_Intl_purchases_by_BEA'!B36+'4_DomInd_purchases_by_BEA'!B36</f>
      </c>
    </row>
    <row r="37">
      <c r="A37" t="str">
        <f>'1_Gov_purchases_by_BEA'!A37</f>
      </c>
      <c r="B37" t="str">
        <f>'1_Gov_purchases_by_BEA'!B37+'2_HH_purchases_by_BEA'!B37+'3_Intl_purchases_by_BEA'!B37+'4_DomInd_purchases_by_BEA'!B37</f>
      </c>
    </row>
    <row r="38">
      <c r="A38" t="str">
        <f>'1_Gov_purchases_by_BEA'!A38</f>
      </c>
      <c r="B38" t="str">
        <f>'1_Gov_purchases_by_BEA'!B38+'2_HH_purchases_by_BEA'!B38+'3_Intl_purchases_by_BEA'!B38+'4_DomInd_purchases_by_BEA'!B38</f>
      </c>
    </row>
    <row r="39">
      <c r="A39" t="str">
        <f>'1_Gov_purchases_by_BEA'!A39</f>
      </c>
      <c r="B39" t="str">
        <f>'1_Gov_purchases_by_BEA'!B39+'2_HH_purchases_by_BEA'!B39+'3_Intl_purchases_by_BEA'!B39+'4_DomInd_purchases_by_BEA'!B39</f>
      </c>
    </row>
    <row r="40">
      <c r="A40" t="str">
        <f>'1_Gov_purchases_by_BEA'!A40</f>
      </c>
      <c r="B40" t="str">
        <f>'1_Gov_purchases_by_BEA'!B40+'2_HH_purchases_by_BEA'!B40+'3_Intl_purchases_by_BEA'!B40+'4_DomInd_purchases_by_BEA'!B40</f>
      </c>
    </row>
    <row r="41">
      <c r="A41" t="str">
        <f>'1_Gov_purchases_by_BEA'!A41</f>
      </c>
      <c r="B41" t="str">
        <f>'1_Gov_purchases_by_BEA'!B41+'2_HH_purchases_by_BEA'!B41+'3_Intl_purchases_by_BEA'!B41+'4_DomInd_purchases_by_BEA'!B41</f>
      </c>
    </row>
    <row r="42">
      <c r="A42" t="str">
        <f>'1_Gov_purchases_by_BEA'!A42</f>
      </c>
      <c r="B42" t="str">
        <f>'1_Gov_purchases_by_BEA'!B42+'2_HH_purchases_by_BEA'!B42+'3_Intl_purchases_by_BEA'!B42+'4_DomInd_purchases_by_BEA'!B42</f>
      </c>
    </row>
    <row r="43">
      <c r="A43" t="str">
        <f>'1_Gov_purchases_by_BEA'!A43</f>
      </c>
      <c r="B43" t="str">
        <f>'1_Gov_purchases_by_BEA'!B43+'2_HH_purchases_by_BEA'!B43+'3_Intl_purchases_by_BEA'!B43+'4_DomInd_purchases_by_BEA'!B43</f>
      </c>
    </row>
    <row r="44">
      <c r="A44" t="str">
        <f>'1_Gov_purchases_by_BEA'!A44</f>
      </c>
      <c r="B44" t="str">
        <f>'1_Gov_purchases_by_BEA'!B44+'2_HH_purchases_by_BEA'!B44+'3_Intl_purchases_by_BEA'!B44+'4_DomInd_purchases_by_BEA'!B44</f>
      </c>
    </row>
    <row r="45">
      <c r="A45" t="str">
        <f>'1_Gov_purchases_by_BEA'!A45</f>
      </c>
      <c r="B45" t="str">
        <f>'1_Gov_purchases_by_BEA'!B45+'2_HH_purchases_by_BEA'!B45+'3_Intl_purchases_by_BEA'!B45+'4_DomInd_purchases_by_BEA'!B45</f>
      </c>
    </row>
    <row r="46">
      <c r="A46" t="str">
        <f>'1_Gov_purchases_by_BEA'!A46</f>
      </c>
      <c r="B46" t="str">
        <f>'1_Gov_purchases_by_BEA'!B46+'2_HH_purchases_by_BEA'!B46+'3_Intl_purchases_by_BEA'!B46+'4_DomInd_purchases_by_BEA'!B46</f>
      </c>
    </row>
    <row r="47">
      <c r="A47" t="str">
        <f>'1_Gov_purchases_by_BEA'!A47</f>
      </c>
      <c r="B47" t="str">
        <f>'1_Gov_purchases_by_BEA'!B47+'2_HH_purchases_by_BEA'!B47+'3_Intl_purchases_by_BEA'!B47+'4_DomInd_purchases_by_BEA'!B47</f>
      </c>
    </row>
    <row r="48">
      <c r="A48" t="str">
        <f>'1_Gov_purchases_by_BEA'!A48</f>
      </c>
      <c r="B48" t="str">
        <f>'1_Gov_purchases_by_BEA'!B48+'2_HH_purchases_by_BEA'!B48+'3_Intl_purchases_by_BEA'!B48+'4_DomInd_purchases_by_BEA'!B48</f>
      </c>
    </row>
    <row r="49">
      <c r="A49" t="str">
        <f>'1_Gov_purchases_by_BEA'!A49</f>
      </c>
      <c r="B49" t="str">
        <f>'1_Gov_purchases_by_BEA'!B49+'2_HH_purchases_by_BEA'!B49+'3_Intl_purchases_by_BEA'!B49+'4_DomInd_purchases_by_BEA'!B49</f>
      </c>
    </row>
    <row r="50">
      <c r="A50" t="str">
        <f>'1_Gov_purchases_by_BEA'!A50</f>
      </c>
      <c r="B50" t="str">
        <f>'1_Gov_purchases_by_BEA'!B50+'2_HH_purchases_by_BEA'!B50+'3_Intl_purchases_by_BEA'!B50+'4_DomInd_purchases_by_BEA'!B50</f>
      </c>
    </row>
    <row r="51">
      <c r="A51" t="str">
        <f>'1_Gov_purchases_by_BEA'!A51</f>
      </c>
      <c r="B51" t="str">
        <f>'1_Gov_purchases_by_BEA'!B51+'2_HH_purchases_by_BEA'!B51+'3_Intl_purchases_by_BEA'!B51+'4_DomInd_purchases_by_BEA'!B51</f>
      </c>
    </row>
    <row r="52">
      <c r="A52" t="str">
        <f>'1_Gov_purchases_by_BEA'!A52</f>
      </c>
      <c r="B52" t="str">
        <f>'1_Gov_purchases_by_BEA'!B52+'2_HH_purchases_by_BEA'!B52+'3_Intl_purchases_by_BEA'!B52+'4_DomInd_purchases_by_BEA'!B52</f>
      </c>
    </row>
    <row r="53">
      <c r="A53" t="str">
        <f>'1_Gov_purchases_by_BEA'!A53</f>
      </c>
      <c r="B53" t="str">
        <f>'1_Gov_purchases_by_BEA'!B53+'2_HH_purchases_by_BEA'!B53+'3_Intl_purchases_by_BEA'!B53+'4_DomInd_purchases_by_BEA'!B53</f>
      </c>
    </row>
    <row r="54">
      <c r="A54" t="str">
        <f>'1_Gov_purchases_by_BEA'!A54</f>
      </c>
      <c r="B54" t="str">
        <f>'1_Gov_purchases_by_BEA'!B54+'2_HH_purchases_by_BEA'!B54+'3_Intl_purchases_by_BEA'!B54+'4_DomInd_purchases_by_BEA'!B54</f>
      </c>
    </row>
    <row r="55">
      <c r="A55" t="str">
        <f>'1_Gov_purchases_by_BEA'!A55</f>
      </c>
      <c r="B55" t="str">
        <f>'1_Gov_purchases_by_BEA'!B55+'2_HH_purchases_by_BEA'!B55+'3_Intl_purchases_by_BEA'!B55+'4_DomInd_purchases_by_BEA'!B55</f>
      </c>
    </row>
    <row r="56">
      <c r="A56" t="str">
        <f>'1_Gov_purchases_by_BEA'!A56</f>
      </c>
      <c r="B56" t="str">
        <f>'1_Gov_purchases_by_BEA'!B56+'2_HH_purchases_by_BEA'!B56+'3_Intl_purchases_by_BEA'!B56+'4_DomInd_purchases_by_BEA'!B56</f>
      </c>
    </row>
    <row r="57">
      <c r="A57" t="str">
        <f>'1_Gov_purchases_by_BEA'!A57</f>
      </c>
      <c r="B57" t="str">
        <f>'1_Gov_purchases_by_BEA'!B57+'2_HH_purchases_by_BEA'!B57+'3_Intl_purchases_by_BEA'!B57+'4_DomInd_purchases_by_BEA'!B57</f>
      </c>
    </row>
    <row r="58">
      <c r="A58" t="str">
        <f>'1_Gov_purchases_by_BEA'!A58</f>
      </c>
      <c r="B58" t="str">
        <f>'1_Gov_purchases_by_BEA'!B58+'2_HH_purchases_by_BEA'!B58+'3_Intl_purchases_by_BEA'!B58+'4_DomInd_purchases_by_BEA'!B58</f>
      </c>
    </row>
    <row r="59">
      <c r="A59" t="str">
        <f>'1_Gov_purchases_by_BEA'!A59</f>
      </c>
      <c r="B59" t="str">
        <f>'1_Gov_purchases_by_BEA'!B59+'2_HH_purchases_by_BEA'!B59+'3_Intl_purchases_by_BEA'!B59+'4_DomInd_purchases_by_BEA'!B59</f>
      </c>
    </row>
    <row r="60">
      <c r="A60" t="str">
        <f>'1_Gov_purchases_by_BEA'!A60</f>
      </c>
      <c r="B60" t="str">
        <f>'1_Gov_purchases_by_BEA'!B60+'2_HH_purchases_by_BEA'!B60+'3_Intl_purchases_by_BEA'!B60+'4_DomInd_purchases_by_BEA'!B60</f>
      </c>
    </row>
    <row r="61">
      <c r="A61" t="str">
        <f>'1_Gov_purchases_by_BEA'!A61</f>
      </c>
      <c r="B61" t="str">
        <f>'1_Gov_purchases_by_BEA'!B61+'2_HH_purchases_by_BEA'!B61+'3_Intl_purchases_by_BEA'!B61+'4_DomInd_purchases_by_BEA'!B61</f>
      </c>
    </row>
    <row r="62">
      <c r="A62" t="str">
        <f>'1_Gov_purchases_by_BEA'!A62</f>
      </c>
      <c r="B62" t="str">
        <f>'1_Gov_purchases_by_BEA'!B62+'2_HH_purchases_by_BEA'!B62+'3_Intl_purchases_by_BEA'!B62+'4_DomInd_purchases_by_BEA'!B62</f>
      </c>
    </row>
    <row r="63">
      <c r="A63" t="str">
        <f>'1_Gov_purchases_by_BEA'!A63</f>
      </c>
      <c r="B63" t="str">
        <f>'1_Gov_purchases_by_BEA'!B63+'2_HH_purchases_by_BEA'!B63+'3_Intl_purchases_by_BEA'!B63+'4_DomInd_purchases_by_BEA'!B63</f>
      </c>
    </row>
    <row r="64">
      <c r="A64" t="str">
        <f>'1_Gov_purchases_by_BEA'!A64</f>
      </c>
      <c r="B64" t="str">
        <f>'1_Gov_purchases_by_BEA'!B64+'2_HH_purchases_by_BEA'!B64+'3_Intl_purchases_by_BEA'!B64+'4_DomInd_purchases_by_BEA'!B64</f>
      </c>
    </row>
    <row r="65">
      <c r="A65" t="str">
        <f>'1_Gov_purchases_by_BEA'!A65</f>
      </c>
      <c r="B65" t="str">
        <f>'1_Gov_purchases_by_BEA'!B65+'2_HH_purchases_by_BEA'!B65+'3_Intl_purchases_by_BEA'!B65+'4_DomInd_purchases_by_BEA'!B65</f>
      </c>
    </row>
    <row r="66">
      <c r="A66" t="str">
        <f>'1_Gov_purchases_by_BEA'!A66</f>
      </c>
      <c r="B66" t="str">
        <f>'1_Gov_purchases_by_BEA'!B66+'2_HH_purchases_by_BEA'!B66+'3_Intl_purchases_by_BEA'!B66+'4_DomInd_purchases_by_BEA'!B66</f>
      </c>
    </row>
    <row r="67">
      <c r="A67" t="str">
        <f>'1_Gov_purchases_by_BEA'!A67</f>
      </c>
      <c r="B67" t="str">
        <f>'1_Gov_purchases_by_BEA'!B67+'2_HH_purchases_by_BEA'!B67+'3_Intl_purchases_by_BEA'!B67+'4_DomInd_purchases_by_BEA'!B67</f>
      </c>
    </row>
    <row r="68">
      <c r="A68" t="str">
        <f>'1_Gov_purchases_by_BEA'!A68</f>
      </c>
      <c r="B68" t="str">
        <f>'1_Gov_purchases_by_BEA'!B68+'2_HH_purchases_by_BEA'!B68+'3_Intl_purchases_by_BEA'!B68+'4_DomInd_purchases_by_BEA'!B68</f>
      </c>
    </row>
    <row r="69">
      <c r="A69" t="str">
        <f>'1_Gov_purchases_by_BEA'!A69</f>
      </c>
      <c r="B69" t="str">
        <f>'1_Gov_purchases_by_BEA'!B69+'2_HH_purchases_by_BEA'!B69+'3_Intl_purchases_by_BEA'!B69+'4_DomInd_purchases_by_BEA'!B69</f>
      </c>
    </row>
    <row r="70">
      <c r="A70" t="str">
        <f>'1_Gov_purchases_by_BEA'!A70</f>
      </c>
      <c r="B70" t="str">
        <f>'1_Gov_purchases_by_BEA'!B70+'2_HH_purchases_by_BEA'!B70+'3_Intl_purchases_by_BEA'!B70+'4_DomInd_purchases_by_BEA'!B70</f>
      </c>
    </row>
    <row r="71">
      <c r="A71" t="str">
        <f>'1_Gov_purchases_by_BEA'!A71</f>
      </c>
      <c r="B71" t="str">
        <f>'1_Gov_purchases_by_BEA'!B71+'2_HH_purchases_by_BEA'!B71+'3_Intl_purchases_by_BEA'!B71+'4_DomInd_purchases_by_BEA'!B71</f>
      </c>
    </row>
    <row r="72">
      <c r="A72" t="str">
        <f>'1_Gov_purchases_by_BEA'!A72</f>
      </c>
      <c r="B72" t="str">
        <f>'1_Gov_purchases_by_BEA'!B72+'2_HH_purchases_by_BEA'!B72+'3_Intl_purchases_by_BEA'!B72+'4_DomInd_purchases_by_BEA'!B72</f>
      </c>
    </row>
    <row r="73">
      <c r="A73" t="str">
        <f>'1_Gov_purchases_by_BEA'!A73</f>
      </c>
      <c r="B73" t="str">
        <f>'1_Gov_purchases_by_BEA'!B73+'2_HH_purchases_by_BEA'!B73+'3_Intl_purchases_by_BEA'!B73+'4_DomInd_purchases_by_BEA'!B73</f>
      </c>
    </row>
    <row r="74">
      <c r="A74" t="str">
        <f>'1_Gov_purchases_by_BEA'!A74</f>
      </c>
      <c r="B74" t="str">
        <f>'1_Gov_purchases_by_BEA'!B74+'2_HH_purchases_by_BEA'!B74+'3_Intl_purchases_by_BEA'!B74+'4_DomInd_purchases_by_BEA'!B74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182</v>
      </c>
      <c r="B1" t="s">
        <v>183</v>
      </c>
    </row>
    <row r="2">
      <c r="A2" t="s">
        <v>184</v>
      </c>
      <c r="B2" t="n">
        <v>33919558985.8099</v>
      </c>
    </row>
    <row r="3">
      <c r="A3" t="s">
        <v>185</v>
      </c>
      <c r="B3" t="n">
        <v>50036745636.7346</v>
      </c>
    </row>
    <row r="4">
      <c r="A4" t="s">
        <v>186</v>
      </c>
      <c r="B4" t="n">
        <v>22324089267.9475</v>
      </c>
    </row>
    <row r="5">
      <c r="A5" t="s">
        <v>187</v>
      </c>
      <c r="B5" t="n">
        <v>174029367729.234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188</v>
      </c>
      <c r="B1" t="s">
        <v>189</v>
      </c>
    </row>
    <row r="2">
      <c r="A2" t="s">
        <v>190</v>
      </c>
      <c r="B2" t="n">
        <v>13090834082.8851</v>
      </c>
    </row>
    <row r="3">
      <c r="A3" t="s">
        <v>191</v>
      </c>
      <c r="B3" t="n">
        <v>1971387281.92516</v>
      </c>
    </row>
    <row r="4">
      <c r="A4" t="s">
        <v>192</v>
      </c>
      <c r="B4" t="n">
        <v>6440028925.07701</v>
      </c>
    </row>
    <row r="5">
      <c r="A5" t="s">
        <v>193</v>
      </c>
      <c r="B5" t="n">
        <v>1307793513.65693</v>
      </c>
    </row>
    <row r="6">
      <c r="A6" t="s">
        <v>194</v>
      </c>
      <c r="B6" t="n">
        <v>817736388.819863</v>
      </c>
    </row>
    <row r="7">
      <c r="A7" t="s">
        <v>195</v>
      </c>
      <c r="B7" t="n">
        <v>14497725931.9227</v>
      </c>
    </row>
    <row r="8">
      <c r="A8" t="s">
        <v>196</v>
      </c>
      <c r="B8" t="n">
        <v>2364127328.32535</v>
      </c>
    </row>
    <row r="9">
      <c r="A9" t="s">
        <v>197</v>
      </c>
      <c r="B9" t="n">
        <v>4485805237.59845</v>
      </c>
    </row>
    <row r="10">
      <c r="A10" t="s">
        <v>198</v>
      </c>
      <c r="B10" t="n">
        <v>10448546777.1029</v>
      </c>
    </row>
    <row r="11">
      <c r="A11" t="s">
        <v>199</v>
      </c>
      <c r="B11" t="n">
        <v>11535413862.6765</v>
      </c>
    </row>
    <row r="12">
      <c r="A12" t="s">
        <v>200</v>
      </c>
      <c r="B12" t="n">
        <v>11180973419.6238</v>
      </c>
    </row>
    <row r="13">
      <c r="A13" t="s">
        <v>201</v>
      </c>
      <c r="B13" t="n">
        <v>13665634179.5402</v>
      </c>
    </row>
    <row r="14">
      <c r="A14" t="s">
        <v>110</v>
      </c>
      <c r="B14" t="n">
        <v>9104901940.21541</v>
      </c>
    </row>
    <row r="15">
      <c r="A15" t="s">
        <v>202</v>
      </c>
      <c r="B15" t="n">
        <v>1308063963.28114</v>
      </c>
    </row>
    <row r="16">
      <c r="A16" t="s">
        <v>203</v>
      </c>
      <c r="B16" t="n">
        <v>3924191889.84343</v>
      </c>
    </row>
    <row r="17">
      <c r="A17" t="s">
        <v>204</v>
      </c>
      <c r="B17" t="n">
        <v>11926623162.3262</v>
      </c>
    </row>
    <row r="18">
      <c r="A18" t="s">
        <v>205</v>
      </c>
      <c r="B18" t="n">
        <v>3819494872.82384</v>
      </c>
    </row>
    <row r="19">
      <c r="A19" t="s">
        <v>206</v>
      </c>
      <c r="B19" t="n">
        <v>14127146550.1853</v>
      </c>
    </row>
    <row r="20">
      <c r="A20" t="s">
        <v>207</v>
      </c>
      <c r="B20" t="n">
        <v>7176632112.88006</v>
      </c>
    </row>
    <row r="21">
      <c r="A21" t="s">
        <v>208</v>
      </c>
      <c r="B21" t="n">
        <v>4477250997.84941</v>
      </c>
    </row>
    <row r="22">
      <c r="A22" t="s">
        <v>209</v>
      </c>
      <c r="B22" t="n">
        <v>6536310761.21912</v>
      </c>
    </row>
    <row r="23">
      <c r="A23" t="s">
        <v>210</v>
      </c>
      <c r="B23" t="n">
        <v>6959398917.84778</v>
      </c>
    </row>
    <row r="24">
      <c r="A24" t="s">
        <v>211</v>
      </c>
      <c r="B24" t="n">
        <v>2278394357.55968</v>
      </c>
    </row>
    <row r="25">
      <c r="A25" t="s">
        <v>212</v>
      </c>
      <c r="B25" t="n">
        <v>4305076334.0294</v>
      </c>
    </row>
    <row r="26">
      <c r="A26" t="s">
        <v>213</v>
      </c>
      <c r="B26" t="n">
        <v>10565414168.4325</v>
      </c>
    </row>
    <row r="27">
      <c r="A27" t="s">
        <v>214</v>
      </c>
      <c r="B27" t="n">
        <v>4142219227.02683</v>
      </c>
    </row>
    <row r="28">
      <c r="A28" t="s">
        <v>215</v>
      </c>
      <c r="B28" t="n">
        <v>4726254827.73208</v>
      </c>
    </row>
    <row r="29">
      <c r="A29" t="s">
        <v>216</v>
      </c>
      <c r="B29" t="n">
        <v>10031804176.5688</v>
      </c>
    </row>
    <row r="30">
      <c r="A30" t="s">
        <v>217</v>
      </c>
      <c r="B30" t="n">
        <v>43117293841.2899</v>
      </c>
    </row>
    <row r="31">
      <c r="A31" t="s">
        <v>218</v>
      </c>
      <c r="B31" t="n">
        <v>31757507851.9627</v>
      </c>
    </row>
    <row r="32">
      <c r="A32" t="s">
        <v>219</v>
      </c>
      <c r="B32" t="n">
        <v>10752679232.3021</v>
      </c>
    </row>
    <row r="33">
      <c r="A33" t="s">
        <v>220</v>
      </c>
      <c r="B33" t="n">
        <v>9832625199.09217</v>
      </c>
    </row>
    <row r="34">
      <c r="A34" t="s">
        <v>161</v>
      </c>
      <c r="B34" t="n">
        <v>11020732923.3043</v>
      </c>
    </row>
    <row r="35">
      <c r="A35" t="s">
        <v>221</v>
      </c>
      <c r="B35" t="n">
        <v>16546932475.6002</v>
      </c>
    </row>
    <row r="36">
      <c r="A36" t="s">
        <v>222</v>
      </c>
      <c r="B36" t="n">
        <v>61652469098.1412</v>
      </c>
    </row>
    <row r="37">
      <c r="A37" t="s">
        <v>223</v>
      </c>
      <c r="B37" t="n">
        <v>48409577986.388</v>
      </c>
    </row>
    <row r="38">
      <c r="A38" t="s">
        <v>224</v>
      </c>
      <c r="B38" t="n">
        <v>123561606289.542</v>
      </c>
    </row>
    <row r="39">
      <c r="A39" t="s">
        <v>225</v>
      </c>
      <c r="B39" t="n">
        <v>3565840431.31334</v>
      </c>
    </row>
    <row r="40">
      <c r="A40" t="s">
        <v>226</v>
      </c>
      <c r="B40" t="n">
        <v>856908002.188222</v>
      </c>
    </row>
    <row r="41">
      <c r="A41" t="s">
        <v>227</v>
      </c>
      <c r="B41" t="n">
        <v>1883040372.55823</v>
      </c>
    </row>
    <row r="42">
      <c r="A42" t="s">
        <v>228</v>
      </c>
      <c r="B42" t="n">
        <v>15042109947.8639</v>
      </c>
    </row>
    <row r="43">
      <c r="A43" t="s">
        <v>229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230</v>
      </c>
    </row>
    <row r="2">
      <c r="A2" t="s">
        <v>231</v>
      </c>
    </row>
    <row r="3">
      <c r="A3" t="s">
        <v>232</v>
      </c>
    </row>
    <row r="4">
      <c r="A4" t="s">
        <v>233</v>
      </c>
    </row>
    <row r="5">
      <c r="A5" t="s">
        <v>234</v>
      </c>
    </row>
    <row r="6">
      <c r="A6" t="s">
        <v>235</v>
      </c>
    </row>
    <row r="7">
      <c r="A7" t="s">
        <v>1</v>
      </c>
    </row>
    <row r="9">
      <c r="A9" t="s">
        <v>236</v>
      </c>
      <c r="B9" t="s">
        <v>105</v>
      </c>
      <c r="C9" t="s">
        <v>106</v>
      </c>
      <c r="D9" t="s">
        <v>107</v>
      </c>
      <c r="E9" t="s">
        <v>108</v>
      </c>
      <c r="F9" t="s">
        <v>109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115</v>
      </c>
      <c r="M9" t="s">
        <v>116</v>
      </c>
      <c r="N9" t="s">
        <v>117</v>
      </c>
      <c r="O9" t="s">
        <v>118</v>
      </c>
      <c r="P9" t="s">
        <v>119</v>
      </c>
      <c r="Q9" t="s">
        <v>120</v>
      </c>
      <c r="R9" t="s">
        <v>121</v>
      </c>
      <c r="S9" t="s">
        <v>122</v>
      </c>
      <c r="T9" t="s">
        <v>123</v>
      </c>
      <c r="U9" t="s">
        <v>124</v>
      </c>
      <c r="V9" t="s">
        <v>125</v>
      </c>
      <c r="W9" t="s">
        <v>126</v>
      </c>
      <c r="X9" t="s">
        <v>127</v>
      </c>
      <c r="Y9" t="s">
        <v>128</v>
      </c>
      <c r="Z9" t="s">
        <v>129</v>
      </c>
      <c r="AA9" t="s">
        <v>130</v>
      </c>
      <c r="AB9" t="s">
        <v>131</v>
      </c>
      <c r="AC9" t="s">
        <v>132</v>
      </c>
      <c r="AD9" t="s">
        <v>133</v>
      </c>
      <c r="AE9" t="s">
        <v>134</v>
      </c>
      <c r="AF9" t="s">
        <v>135</v>
      </c>
      <c r="AG9" t="s">
        <v>136</v>
      </c>
      <c r="AH9" t="s">
        <v>137</v>
      </c>
      <c r="AI9" t="s">
        <v>138</v>
      </c>
      <c r="AJ9" t="s">
        <v>139</v>
      </c>
      <c r="AK9" t="s">
        <v>140</v>
      </c>
      <c r="AL9" t="s">
        <v>141</v>
      </c>
      <c r="AM9" t="s">
        <v>142</v>
      </c>
      <c r="AN9" t="s">
        <v>143</v>
      </c>
      <c r="AO9" t="s">
        <v>144</v>
      </c>
      <c r="AP9" t="s">
        <v>145</v>
      </c>
      <c r="AQ9" t="s">
        <v>146</v>
      </c>
      <c r="AR9" t="s">
        <v>147</v>
      </c>
      <c r="AS9" t="s">
        <v>148</v>
      </c>
      <c r="AT9" t="s">
        <v>149</v>
      </c>
      <c r="AU9" t="s">
        <v>150</v>
      </c>
      <c r="AV9" t="s">
        <v>151</v>
      </c>
      <c r="AW9" t="s">
        <v>152</v>
      </c>
      <c r="AX9" t="s">
        <v>153</v>
      </c>
      <c r="AY9" t="s">
        <v>154</v>
      </c>
      <c r="AZ9" t="s">
        <v>155</v>
      </c>
      <c r="BA9" t="s">
        <v>156</v>
      </c>
      <c r="BB9" t="s">
        <v>157</v>
      </c>
      <c r="BC9" t="s">
        <v>158</v>
      </c>
      <c r="BD9" t="s">
        <v>159</v>
      </c>
      <c r="BE9" t="s">
        <v>160</v>
      </c>
      <c r="BF9" t="s">
        <v>161</v>
      </c>
      <c r="BG9" t="s">
        <v>162</v>
      </c>
      <c r="BH9" t="s">
        <v>163</v>
      </c>
      <c r="BI9" t="s">
        <v>164</v>
      </c>
      <c r="BJ9" t="s">
        <v>165</v>
      </c>
      <c r="BK9" t="s">
        <v>166</v>
      </c>
      <c r="BL9" t="s">
        <v>167</v>
      </c>
      <c r="BM9" t="s">
        <v>168</v>
      </c>
      <c r="BN9" t="s">
        <v>169</v>
      </c>
      <c r="BO9" t="s">
        <v>170</v>
      </c>
      <c r="BP9" t="s">
        <v>171</v>
      </c>
      <c r="BQ9" t="s">
        <v>172</v>
      </c>
      <c r="BR9" t="s">
        <v>173</v>
      </c>
      <c r="BS9" t="s">
        <v>174</v>
      </c>
      <c r="BT9" t="s">
        <v>175</v>
      </c>
      <c r="BU9" t="s">
        <v>237</v>
      </c>
      <c r="BV9" t="s">
        <v>238</v>
      </c>
      <c r="BW9" t="s">
        <v>239</v>
      </c>
      <c r="BX9" t="s">
        <v>240</v>
      </c>
      <c r="BY9" t="s">
        <v>241</v>
      </c>
      <c r="BZ9" t="s">
        <v>242</v>
      </c>
      <c r="CA9" t="s">
        <v>243</v>
      </c>
      <c r="CB9" t="s">
        <v>244</v>
      </c>
      <c r="CC9" t="s">
        <v>245</v>
      </c>
      <c r="CD9" t="s">
        <v>246</v>
      </c>
      <c r="CE9" t="s">
        <v>247</v>
      </c>
      <c r="CF9" t="s">
        <v>248</v>
      </c>
      <c r="CG9" t="s">
        <v>249</v>
      </c>
      <c r="CH9" t="s">
        <v>250</v>
      </c>
      <c r="CI9" t="s">
        <v>251</v>
      </c>
      <c r="CJ9" t="s">
        <v>252</v>
      </c>
      <c r="CK9" t="s">
        <v>253</v>
      </c>
      <c r="CL9" t="s">
        <v>254</v>
      </c>
      <c r="CM9" t="s">
        <v>255</v>
      </c>
      <c r="CN9" t="s">
        <v>256</v>
      </c>
    </row>
    <row r="10">
      <c r="A10" t="s">
        <v>105</v>
      </c>
      <c r="B10" t="n">
        <v>700955518.727556</v>
      </c>
      <c r="C10" t="n">
        <v>2321077.5500782</v>
      </c>
      <c r="D10" t="n">
        <v>0</v>
      </c>
      <c r="E10" t="n">
        <v>372256.465338834</v>
      </c>
      <c r="F10" t="n">
        <v>357267.597243868</v>
      </c>
      <c r="G10" t="n">
        <v>0</v>
      </c>
      <c r="H10" t="n">
        <v>20345494.9562257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4433491.92394046</v>
      </c>
      <c r="T10" t="n">
        <v>3323524967.5864</v>
      </c>
      <c r="U10" t="n">
        <v>14837353.3788168</v>
      </c>
      <c r="V10" t="n">
        <v>0</v>
      </c>
      <c r="W10" t="n">
        <v>0</v>
      </c>
      <c r="X10" t="n">
        <v>0</v>
      </c>
      <c r="Y10" t="n">
        <v>0</v>
      </c>
      <c r="Z10" t="n">
        <v>292466055.410289</v>
      </c>
      <c r="AA10" t="n">
        <v>0</v>
      </c>
      <c r="AB10" t="n">
        <v>10398928.2307173</v>
      </c>
      <c r="AC10" t="n">
        <v>10561468.6560953</v>
      </c>
      <c r="AD10" t="n">
        <v>15783719.4950814</v>
      </c>
      <c r="AE10" t="n">
        <v>2098249.6764563</v>
      </c>
      <c r="AF10" t="n">
        <v>5006485.49514579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450771.909819588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9562.84605997196</v>
      </c>
      <c r="AT10" t="n">
        <v>0</v>
      </c>
      <c r="AU10" t="n">
        <v>0</v>
      </c>
      <c r="AV10" t="n">
        <v>0</v>
      </c>
      <c r="AW10" t="n">
        <v>0</v>
      </c>
      <c r="AX10" t="n">
        <v>39605.0927508209</v>
      </c>
      <c r="AY10" t="n">
        <v>0</v>
      </c>
      <c r="AZ10" t="n">
        <v>17640.1216624921</v>
      </c>
      <c r="BA10" t="n">
        <v>0</v>
      </c>
      <c r="BB10" t="n">
        <v>16887712.203192</v>
      </c>
      <c r="BC10" t="n">
        <v>548283.318944998</v>
      </c>
      <c r="BD10" t="n">
        <v>23820775.3930968</v>
      </c>
      <c r="BE10" t="n">
        <v>0</v>
      </c>
      <c r="BF10" t="n">
        <v>6886616.20864641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10338146.099259</v>
      </c>
      <c r="BM10" t="n">
        <v>537534.74616695</v>
      </c>
      <c r="BN10" t="n">
        <v>108023446.520367</v>
      </c>
      <c r="BO10" t="n">
        <v>282056.100319094</v>
      </c>
      <c r="BP10" t="n">
        <v>83861.626420012</v>
      </c>
      <c r="BQ10" t="n">
        <v>-1988008.00436549</v>
      </c>
      <c r="BR10" t="n">
        <v>0</v>
      </c>
      <c r="BS10" t="n">
        <v>56184726.7568302</v>
      </c>
      <c r="BT10" t="n">
        <v>0</v>
      </c>
      <c r="BU10" t="n">
        <v>1672469706.41787</v>
      </c>
      <c r="BV10" t="n">
        <v>0</v>
      </c>
      <c r="BW10" t="n">
        <v>0</v>
      </c>
      <c r="BX10" t="n">
        <v>0</v>
      </c>
      <c r="BY10" t="n">
        <v>0</v>
      </c>
      <c r="BZ10" t="n">
        <v>-291016024.607879</v>
      </c>
      <c r="CA10" t="n">
        <v>203315356.878724</v>
      </c>
      <c r="CB10" t="n">
        <v>-1587135656.3107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106</v>
      </c>
      <c r="B11" t="n">
        <v>325352634.587979</v>
      </c>
      <c r="C11" t="n">
        <v>57223789.7128277</v>
      </c>
      <c r="D11" t="n">
        <v>0</v>
      </c>
      <c r="E11" t="n">
        <v>2467629.40188367</v>
      </c>
      <c r="F11" t="n">
        <v>0</v>
      </c>
      <c r="G11" t="n">
        <v>0</v>
      </c>
      <c r="H11" t="n">
        <v>0</v>
      </c>
      <c r="I11" t="n">
        <v>347118795.806639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2971612.93003583</v>
      </c>
      <c r="S11" t="n">
        <v>7470976.84475065</v>
      </c>
      <c r="T11" t="n">
        <v>278305442.843516</v>
      </c>
      <c r="U11" t="n">
        <v>0</v>
      </c>
      <c r="V11" t="n">
        <v>1330179.26467651</v>
      </c>
      <c r="W11" t="n">
        <v>119462856.275432</v>
      </c>
      <c r="X11" t="n">
        <v>1010136.24538901</v>
      </c>
      <c r="Y11" t="n">
        <v>0</v>
      </c>
      <c r="Z11" t="n">
        <v>14867913.916026</v>
      </c>
      <c r="AA11" t="n">
        <v>80529120.7526679</v>
      </c>
      <c r="AB11" t="n">
        <v>0</v>
      </c>
      <c r="AC11" t="n">
        <v>0</v>
      </c>
      <c r="AD11" t="n">
        <v>26546100.2219177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28524.5082041205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7966917.68734582</v>
      </c>
      <c r="BC11" t="n">
        <v>820900.195990912</v>
      </c>
      <c r="BD11" t="n">
        <v>62148.3844580777</v>
      </c>
      <c r="BE11" t="n">
        <v>0</v>
      </c>
      <c r="BF11" t="n">
        <v>3435205.77909635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7626784.88030916</v>
      </c>
      <c r="BM11" t="n">
        <v>8260209.22392802</v>
      </c>
      <c r="BN11" t="n">
        <v>150843747.219991</v>
      </c>
      <c r="BO11" t="n">
        <v>2945907.60037456</v>
      </c>
      <c r="BP11" t="n">
        <v>0</v>
      </c>
      <c r="BQ11" t="n">
        <v>888197.196121639</v>
      </c>
      <c r="BR11" t="n">
        <v>400237.483390829</v>
      </c>
      <c r="BS11" t="n">
        <v>103315975.624542</v>
      </c>
      <c r="BT11" t="n">
        <v>0</v>
      </c>
      <c r="BU11" t="n">
        <v>194976616.695156</v>
      </c>
      <c r="BV11" t="n">
        <v>0</v>
      </c>
      <c r="BW11" t="n">
        <v>0</v>
      </c>
      <c r="BX11" t="n">
        <v>0</v>
      </c>
      <c r="BY11" t="n">
        <v>0</v>
      </c>
      <c r="BZ11" t="n">
        <v>21908447.298472</v>
      </c>
      <c r="CA11" t="n">
        <v>112851328.93387</v>
      </c>
      <c r="CB11" t="n">
        <v>-676782915.760787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107</v>
      </c>
      <c r="B12" t="n">
        <v>0</v>
      </c>
      <c r="C12" t="n">
        <v>0</v>
      </c>
      <c r="D12" t="n">
        <v>69777684.3382836</v>
      </c>
      <c r="E12" t="n">
        <v>0</v>
      </c>
      <c r="F12" t="n">
        <v>148449.292310586</v>
      </c>
      <c r="G12" t="n">
        <v>66186507.0874916</v>
      </c>
      <c r="H12" t="n">
        <v>0</v>
      </c>
      <c r="I12" t="n">
        <v>54332.6621691845</v>
      </c>
      <c r="J12" t="n">
        <v>1366.74632146857</v>
      </c>
      <c r="K12" t="n">
        <v>10057.7076608457</v>
      </c>
      <c r="L12" t="n">
        <v>0</v>
      </c>
      <c r="M12" t="n">
        <v>0</v>
      </c>
      <c r="N12" t="n">
        <v>0</v>
      </c>
      <c r="O12" t="n">
        <v>0</v>
      </c>
      <c r="P12" t="n">
        <v>370.557428862055</v>
      </c>
      <c r="Q12" t="n">
        <v>0</v>
      </c>
      <c r="R12" t="n">
        <v>0</v>
      </c>
      <c r="S12" t="n">
        <v>0</v>
      </c>
      <c r="T12" t="n">
        <v>1125.95676177777</v>
      </c>
      <c r="U12" t="n">
        <v>0</v>
      </c>
      <c r="V12" t="n">
        <v>0</v>
      </c>
      <c r="W12" t="n">
        <v>71385.2924318196</v>
      </c>
      <c r="X12" t="n">
        <v>1682.60127427816</v>
      </c>
      <c r="Y12" t="n">
        <v>2462538841.6422</v>
      </c>
      <c r="Z12" t="n">
        <v>16876660.5311769</v>
      </c>
      <c r="AA12" t="n">
        <v>0</v>
      </c>
      <c r="AB12" t="n">
        <v>37642.2515101528</v>
      </c>
      <c r="AC12" t="n">
        <v>41368.0724809211</v>
      </c>
      <c r="AD12" t="n">
        <v>0</v>
      </c>
      <c r="AE12" t="n">
        <v>1150.63560949848</v>
      </c>
      <c r="AF12" t="n">
        <v>62895.5754449212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327980.794488414</v>
      </c>
      <c r="AM12" t="n">
        <v>0</v>
      </c>
      <c r="AN12" t="n">
        <v>1877891.61009313</v>
      </c>
      <c r="AO12" t="n">
        <v>532232.535585858</v>
      </c>
      <c r="AP12" t="n">
        <v>0</v>
      </c>
      <c r="AQ12" t="n">
        <v>66701.3728884332</v>
      </c>
      <c r="AR12" t="n">
        <v>69007.4031776551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218795.910485679</v>
      </c>
      <c r="AY12" t="n">
        <v>0</v>
      </c>
      <c r="AZ12" t="n">
        <v>0</v>
      </c>
      <c r="BA12" t="n">
        <v>849.608072600081</v>
      </c>
      <c r="BB12" t="n">
        <v>41308.3590001679</v>
      </c>
      <c r="BC12" t="n">
        <v>64320.826492769</v>
      </c>
      <c r="BD12" t="n">
        <v>0</v>
      </c>
      <c r="BE12" t="n">
        <v>41638.2846813897</v>
      </c>
      <c r="BF12" t="n">
        <v>5330545.46516332</v>
      </c>
      <c r="BG12" t="n">
        <v>1371.01211421796</v>
      </c>
      <c r="BH12" t="n">
        <v>0</v>
      </c>
      <c r="BI12" t="n">
        <v>1846.95155214907</v>
      </c>
      <c r="BJ12" t="n">
        <v>0</v>
      </c>
      <c r="BK12" t="n">
        <v>0</v>
      </c>
      <c r="BL12" t="n">
        <v>329673.347403124</v>
      </c>
      <c r="BM12" t="n">
        <v>715.156264705035</v>
      </c>
      <c r="BN12" t="n">
        <v>962.1052920709</v>
      </c>
      <c r="BO12" t="n">
        <v>81772.4565405216</v>
      </c>
      <c r="BP12" t="n">
        <v>0</v>
      </c>
      <c r="BQ12" t="n">
        <v>0</v>
      </c>
      <c r="BR12" t="n">
        <v>3528886.3485314</v>
      </c>
      <c r="BS12" t="n">
        <v>0</v>
      </c>
      <c r="BT12" t="n">
        <v>31746150.1524596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13965843.4255039</v>
      </c>
      <c r="CA12" t="n">
        <v>218737643.09375</v>
      </c>
      <c r="CB12" t="n">
        <v>-2544818755.79573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108</v>
      </c>
      <c r="B13" t="n">
        <v>13218713.9812694</v>
      </c>
      <c r="C13" t="n">
        <v>0</v>
      </c>
      <c r="D13" t="n">
        <v>1015113.71461959</v>
      </c>
      <c r="E13" t="n">
        <v>144434587.011708</v>
      </c>
      <c r="F13" t="n">
        <v>3572720.71684788</v>
      </c>
      <c r="G13" t="n">
        <v>97085586.9248292</v>
      </c>
      <c r="H13" t="n">
        <v>265932296.379372</v>
      </c>
      <c r="I13" t="n">
        <v>195308.193232028</v>
      </c>
      <c r="J13" t="n">
        <v>219046267.393982</v>
      </c>
      <c r="K13" t="n">
        <v>471182250.049307</v>
      </c>
      <c r="L13" t="n">
        <v>12175694.8187143</v>
      </c>
      <c r="M13" t="n">
        <v>2178097.26810449</v>
      </c>
      <c r="N13" t="n">
        <v>86115.7485767071</v>
      </c>
      <c r="O13" t="n">
        <v>3268580.13395081</v>
      </c>
      <c r="P13" t="n">
        <v>573738.437836399</v>
      </c>
      <c r="Q13" t="n">
        <v>902808.066905958</v>
      </c>
      <c r="R13" t="n">
        <v>274009.621545264</v>
      </c>
      <c r="S13" t="n">
        <v>2359099.05202068</v>
      </c>
      <c r="T13" t="n">
        <v>25621461.9567024</v>
      </c>
      <c r="U13" t="n">
        <v>448439.83712891</v>
      </c>
      <c r="V13" t="n">
        <v>0</v>
      </c>
      <c r="W13" t="n">
        <v>46844374.1979317</v>
      </c>
      <c r="X13" t="n">
        <v>0</v>
      </c>
      <c r="Y13" t="n">
        <v>28126913.1361437</v>
      </c>
      <c r="Z13" t="n">
        <v>167149317.355746</v>
      </c>
      <c r="AA13" t="n">
        <v>3365245.49649449</v>
      </c>
      <c r="AB13" t="n">
        <v>421757.167259599</v>
      </c>
      <c r="AC13" t="n">
        <v>0</v>
      </c>
      <c r="AD13" t="n">
        <v>0</v>
      </c>
      <c r="AE13" t="n">
        <v>0</v>
      </c>
      <c r="AF13" t="n">
        <v>44830.0624446187</v>
      </c>
      <c r="AG13" t="n">
        <v>0</v>
      </c>
      <c r="AH13" t="n">
        <v>1959260.09333484</v>
      </c>
      <c r="AI13" t="n">
        <v>0</v>
      </c>
      <c r="AJ13" t="n">
        <v>132999.902547978</v>
      </c>
      <c r="AK13" t="n">
        <v>18148.3993941148</v>
      </c>
      <c r="AL13" t="n">
        <v>0</v>
      </c>
      <c r="AM13" t="n">
        <v>13974.7334858604</v>
      </c>
      <c r="AN13" t="n">
        <v>72571.2279211841</v>
      </c>
      <c r="AO13" t="n">
        <v>209347.725903817</v>
      </c>
      <c r="AP13" t="n">
        <v>102285.405759082</v>
      </c>
      <c r="AQ13" t="n">
        <v>8603519.66441744</v>
      </c>
      <c r="AR13" t="n">
        <v>5703600.9838843</v>
      </c>
      <c r="AS13" t="n">
        <v>0</v>
      </c>
      <c r="AT13" t="n">
        <v>0</v>
      </c>
      <c r="AU13" t="n">
        <v>0</v>
      </c>
      <c r="AV13" t="n">
        <v>0</v>
      </c>
      <c r="AW13" t="n">
        <v>87346.1404258067</v>
      </c>
      <c r="AX13" t="n">
        <v>0</v>
      </c>
      <c r="AY13" t="n">
        <v>0</v>
      </c>
      <c r="AZ13" t="n">
        <v>0</v>
      </c>
      <c r="BA13" t="n">
        <v>0</v>
      </c>
      <c r="BB13" t="n">
        <v>26352850.4779594</v>
      </c>
      <c r="BC13" t="n">
        <v>952336.648638282</v>
      </c>
      <c r="BD13" t="n">
        <v>12736556.3412108</v>
      </c>
      <c r="BE13" t="n">
        <v>951368.380865535</v>
      </c>
      <c r="BF13" t="n">
        <v>14330473.5079603</v>
      </c>
      <c r="BG13" t="n">
        <v>0</v>
      </c>
      <c r="BH13" t="n">
        <v>442846.552727514</v>
      </c>
      <c r="BI13" t="n">
        <v>902842.095439713</v>
      </c>
      <c r="BJ13" t="n">
        <v>3955614.7457567</v>
      </c>
      <c r="BK13" t="n">
        <v>4679366.22055156</v>
      </c>
      <c r="BL13" t="n">
        <v>12020653.9356376</v>
      </c>
      <c r="BM13" t="n">
        <v>1583588.51021063</v>
      </c>
      <c r="BN13" t="n">
        <v>10685313.0307561</v>
      </c>
      <c r="BO13" t="n">
        <v>21826824.5684974</v>
      </c>
      <c r="BP13" t="n">
        <v>0</v>
      </c>
      <c r="BQ13" t="n">
        <v>34514232.3732496</v>
      </c>
      <c r="BR13" t="n">
        <v>0</v>
      </c>
      <c r="BS13" t="n">
        <v>48444899.7649759</v>
      </c>
      <c r="BT13" t="n">
        <v>47103761.3507074</v>
      </c>
      <c r="BU13" t="n">
        <v>3830537.19412759</v>
      </c>
      <c r="BV13" t="n">
        <v>0</v>
      </c>
      <c r="BW13" t="n">
        <v>1638675.54159758</v>
      </c>
      <c r="BX13" t="n">
        <v>0</v>
      </c>
      <c r="BY13" t="n">
        <v>0</v>
      </c>
      <c r="BZ13" t="n">
        <v>29979700.1841628</v>
      </c>
      <c r="CA13" t="n">
        <v>2710385886.34577</v>
      </c>
      <c r="CB13" t="n">
        <v>-320532008.356522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109</v>
      </c>
      <c r="B14" t="n">
        <v>0</v>
      </c>
      <c r="C14" t="n">
        <v>0</v>
      </c>
      <c r="D14" t="n">
        <v>483409274.74214</v>
      </c>
      <c r="E14" t="n">
        <v>44316813.0481787</v>
      </c>
      <c r="F14" t="n">
        <v>144509336.74323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903602.669100676</v>
      </c>
      <c r="BC14" t="n">
        <v>149684.127291295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6780285629.75517</v>
      </c>
      <c r="BW14" t="n">
        <v>144009949.871424</v>
      </c>
      <c r="BX14" t="n">
        <v>0</v>
      </c>
      <c r="BY14" t="n">
        <v>0</v>
      </c>
      <c r="BZ14" t="n">
        <v>-346407.188229898</v>
      </c>
      <c r="CA14" t="n">
        <v>96875229.1913486</v>
      </c>
      <c r="CB14" t="n">
        <v>-40191362.0558579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110</v>
      </c>
      <c r="B15" t="n">
        <v>51265167.3189505</v>
      </c>
      <c r="C15" t="n">
        <v>207368.961664608</v>
      </c>
      <c r="D15" t="n">
        <v>49977248.1492569</v>
      </c>
      <c r="E15" t="n">
        <v>50666488.7708514</v>
      </c>
      <c r="F15" t="n">
        <v>9381965.99267978</v>
      </c>
      <c r="G15" t="n">
        <v>293234377.652989</v>
      </c>
      <c r="H15" t="n">
        <v>81428732.2279482</v>
      </c>
      <c r="I15" t="n">
        <v>22107848.723297</v>
      </c>
      <c r="J15" t="n">
        <v>46141618.0956172</v>
      </c>
      <c r="K15" t="n">
        <v>144109356.625656</v>
      </c>
      <c r="L15" t="n">
        <v>62521694.4568307</v>
      </c>
      <c r="M15" t="n">
        <v>24849408.8833795</v>
      </c>
      <c r="N15" t="n">
        <v>7815738.37483658</v>
      </c>
      <c r="O15" t="n">
        <v>12143692.4970406</v>
      </c>
      <c r="P15" t="n">
        <v>10063466.8382768</v>
      </c>
      <c r="Q15" t="n">
        <v>15875523.6657504</v>
      </c>
      <c r="R15" t="n">
        <v>6812158.18413263</v>
      </c>
      <c r="S15" t="n">
        <v>9447052.49399068</v>
      </c>
      <c r="T15" t="n">
        <v>88040447.3439702</v>
      </c>
      <c r="U15" t="n">
        <v>5679939.87009688</v>
      </c>
      <c r="V15" t="n">
        <v>222298.557117044</v>
      </c>
      <c r="W15" t="n">
        <v>105628476.794965</v>
      </c>
      <c r="X15" t="n">
        <v>17656470.4484558</v>
      </c>
      <c r="Y15" t="n">
        <v>30695082.2127069</v>
      </c>
      <c r="Z15" t="n">
        <v>196321906.772555</v>
      </c>
      <c r="AA15" t="n">
        <v>73736437.9025532</v>
      </c>
      <c r="AB15" t="n">
        <v>140684582.698732</v>
      </c>
      <c r="AC15" t="n">
        <v>45029309.5393946</v>
      </c>
      <c r="AD15" t="n">
        <v>114798107.775269</v>
      </c>
      <c r="AE15" t="n">
        <v>79254246.5354034</v>
      </c>
      <c r="AF15" t="n">
        <v>132075612.310528</v>
      </c>
      <c r="AG15" t="n">
        <v>8601366.31366622</v>
      </c>
      <c r="AH15" t="n">
        <v>614129.602842328</v>
      </c>
      <c r="AI15" t="n">
        <v>353690.767847256</v>
      </c>
      <c r="AJ15" t="n">
        <v>52791116.0389231</v>
      </c>
      <c r="AK15" t="n">
        <v>4439560.97189185</v>
      </c>
      <c r="AL15" t="n">
        <v>64889921.9865331</v>
      </c>
      <c r="AM15" t="n">
        <v>11090905.5370775</v>
      </c>
      <c r="AN15" t="n">
        <v>49165421.9551108</v>
      </c>
      <c r="AO15" t="n">
        <v>5632207.44265026</v>
      </c>
      <c r="AP15" t="n">
        <v>1535331.88587544</v>
      </c>
      <c r="AQ15" t="n">
        <v>103584800.665632</v>
      </c>
      <c r="AR15" t="n">
        <v>16054722.7792032</v>
      </c>
      <c r="AS15" t="n">
        <v>21804690.3113594</v>
      </c>
      <c r="AT15" t="n">
        <v>9940719.01388047</v>
      </c>
      <c r="AU15" t="n">
        <v>7741160.10074124</v>
      </c>
      <c r="AV15" t="n">
        <v>1989404.82876534</v>
      </c>
      <c r="AW15" t="n">
        <v>1879478.46941064</v>
      </c>
      <c r="AX15" t="n">
        <v>193754093.141785</v>
      </c>
      <c r="AY15" t="n">
        <v>9547140.90323731</v>
      </c>
      <c r="AZ15" t="n">
        <v>8010165.17388408</v>
      </c>
      <c r="BA15" t="n">
        <v>6336190.65256178</v>
      </c>
      <c r="BB15" t="n">
        <v>58784085.1682475</v>
      </c>
      <c r="BC15" t="n">
        <v>85406124.010356</v>
      </c>
      <c r="BD15" t="n">
        <v>26988943.6023293</v>
      </c>
      <c r="BE15" t="n">
        <v>15496293.1023126</v>
      </c>
      <c r="BF15" t="n">
        <v>107798957.758163</v>
      </c>
      <c r="BG15" t="n">
        <v>50519179.413792</v>
      </c>
      <c r="BH15" t="n">
        <v>108624532.608142</v>
      </c>
      <c r="BI15" t="n">
        <v>60326552.6307062</v>
      </c>
      <c r="BJ15" t="n">
        <v>20202817.1767381</v>
      </c>
      <c r="BK15" t="n">
        <v>10845567.2224853</v>
      </c>
      <c r="BL15" t="n">
        <v>34690443.3665441</v>
      </c>
      <c r="BM15" t="n">
        <v>38252579.689831</v>
      </c>
      <c r="BN15" t="n">
        <v>166230362.400602</v>
      </c>
      <c r="BO15" t="n">
        <v>76777205.4941589</v>
      </c>
      <c r="BP15" t="n">
        <v>9530671.51559814</v>
      </c>
      <c r="BQ15" t="n">
        <v>11827796.1182365</v>
      </c>
      <c r="BR15" t="n">
        <v>22463070.3881514</v>
      </c>
      <c r="BS15" t="n">
        <v>201777108.174975</v>
      </c>
      <c r="BT15" t="n">
        <v>19475292.3378623</v>
      </c>
      <c r="BU15" t="n">
        <v>2586856270.36746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147381814.709889</v>
      </c>
      <c r="CB15" t="n">
        <v>-78501977.0237898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111</v>
      </c>
      <c r="B16" t="n">
        <v>33096558.7563776</v>
      </c>
      <c r="C16" t="n">
        <v>307726.344006826</v>
      </c>
      <c r="D16" t="n">
        <v>4141723.59915766</v>
      </c>
      <c r="E16" t="n">
        <v>162056172.093941</v>
      </c>
      <c r="F16" t="n">
        <v>129003160.822271</v>
      </c>
      <c r="G16" t="n">
        <v>219337973.620465</v>
      </c>
      <c r="H16" t="n">
        <v>9795290.45845624</v>
      </c>
      <c r="I16" t="n">
        <v>15696963.937022</v>
      </c>
      <c r="J16" t="n">
        <v>40355624.1298624</v>
      </c>
      <c r="K16" t="n">
        <v>117363420.433462</v>
      </c>
      <c r="L16" t="n">
        <v>70547112.6538113</v>
      </c>
      <c r="M16" t="n">
        <v>35188574.2722436</v>
      </c>
      <c r="N16" t="n">
        <v>10577198.5116798</v>
      </c>
      <c r="O16" t="n">
        <v>10167119.4565419</v>
      </c>
      <c r="P16" t="n">
        <v>10239841.7360015</v>
      </c>
      <c r="Q16" t="n">
        <v>9187511.09712138</v>
      </c>
      <c r="R16" t="n">
        <v>5808056.87232903</v>
      </c>
      <c r="S16" t="n">
        <v>12884766.2007575</v>
      </c>
      <c r="T16" t="n">
        <v>77037703.4113946</v>
      </c>
      <c r="U16" t="n">
        <v>2815211.69100839</v>
      </c>
      <c r="V16" t="n">
        <v>187691.028527159</v>
      </c>
      <c r="W16" t="n">
        <v>78452436.3825697</v>
      </c>
      <c r="X16" t="n">
        <v>17939099.5376498</v>
      </c>
      <c r="Y16" t="n">
        <v>165404244.010857</v>
      </c>
      <c r="Z16" t="n">
        <v>116216949.194939</v>
      </c>
      <c r="AA16" t="n">
        <v>47077374.0874049</v>
      </c>
      <c r="AB16" t="n">
        <v>137508177.178762</v>
      </c>
      <c r="AC16" t="n">
        <v>53572419.2437317</v>
      </c>
      <c r="AD16" t="n">
        <v>47140334.8652715</v>
      </c>
      <c r="AE16" t="n">
        <v>76738960.5928096</v>
      </c>
      <c r="AF16" t="n">
        <v>113705957.608836</v>
      </c>
      <c r="AG16" t="n">
        <v>7681228.15781408</v>
      </c>
      <c r="AH16" t="n">
        <v>82704204.7373663</v>
      </c>
      <c r="AI16" t="n">
        <v>370745.537727946</v>
      </c>
      <c r="AJ16" t="n">
        <v>24115813.2819955</v>
      </c>
      <c r="AK16" t="n">
        <v>21114840.9893993</v>
      </c>
      <c r="AL16" t="n">
        <v>159594325.220386</v>
      </c>
      <c r="AM16" t="n">
        <v>35997929.3536</v>
      </c>
      <c r="AN16" t="n">
        <v>67028219.9809186</v>
      </c>
      <c r="AO16" t="n">
        <v>3544157.96313864</v>
      </c>
      <c r="AP16" t="n">
        <v>952557.456660447</v>
      </c>
      <c r="AQ16" t="n">
        <v>154368312.236203</v>
      </c>
      <c r="AR16" t="n">
        <v>15995724.680354</v>
      </c>
      <c r="AS16" t="n">
        <v>151761157.914791</v>
      </c>
      <c r="AT16" t="n">
        <v>52158910.869799</v>
      </c>
      <c r="AU16" t="n">
        <v>37946865.4428196</v>
      </c>
      <c r="AV16" t="n">
        <v>362962.962962963</v>
      </c>
      <c r="AW16" t="n">
        <v>3128659863.61716</v>
      </c>
      <c r="AX16" t="n">
        <v>892749566.588856</v>
      </c>
      <c r="AY16" t="n">
        <v>24474762.225315</v>
      </c>
      <c r="AZ16" t="n">
        <v>8987416.46303004</v>
      </c>
      <c r="BA16" t="n">
        <v>2285693.76096066</v>
      </c>
      <c r="BB16" t="n">
        <v>91192296.9314309</v>
      </c>
      <c r="BC16" t="n">
        <v>51749491.1016761</v>
      </c>
      <c r="BD16" t="n">
        <v>30173040.6543967</v>
      </c>
      <c r="BE16" t="n">
        <v>5941926.79259127</v>
      </c>
      <c r="BF16" t="n">
        <v>149410470.661798</v>
      </c>
      <c r="BG16" t="n">
        <v>34470816.0965168</v>
      </c>
      <c r="BH16" t="n">
        <v>64378880.3974307</v>
      </c>
      <c r="BI16" t="n">
        <v>41100272.3696157</v>
      </c>
      <c r="BJ16" t="n">
        <v>36111182.8132658</v>
      </c>
      <c r="BK16" t="n">
        <v>9392635.34720196</v>
      </c>
      <c r="BL16" t="n">
        <v>23742193.6298612</v>
      </c>
      <c r="BM16" t="n">
        <v>71139722.6741113</v>
      </c>
      <c r="BN16" t="n">
        <v>77107091.0396547</v>
      </c>
      <c r="BO16" t="n">
        <v>151822773.425075</v>
      </c>
      <c r="BP16" t="n">
        <v>91081143.6654478</v>
      </c>
      <c r="BQ16" t="n">
        <v>17297168.7710166</v>
      </c>
      <c r="BR16" t="n">
        <v>20871653.58863</v>
      </c>
      <c r="BS16" t="n">
        <v>1186035465.66772</v>
      </c>
      <c r="BT16" t="n">
        <v>1176379337.67085</v>
      </c>
      <c r="BU16" t="n">
        <v>0</v>
      </c>
      <c r="BV16" t="n">
        <v>18450836756.7299</v>
      </c>
      <c r="BW16" t="n">
        <v>0</v>
      </c>
      <c r="BX16" t="n">
        <v>0</v>
      </c>
      <c r="BY16" t="n">
        <v>23265895670.8591</v>
      </c>
      <c r="BZ16" t="n">
        <v>0</v>
      </c>
      <c r="CA16" t="n">
        <v>3641953.49014187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382165406.177746</v>
      </c>
      <c r="CI16" t="n">
        <v>0</v>
      </c>
      <c r="CJ16" t="n">
        <v>0</v>
      </c>
      <c r="CK16" t="n">
        <v>0</v>
      </c>
      <c r="CL16" t="n">
        <v>13155739063.9084</v>
      </c>
      <c r="CM16" t="n">
        <v>0</v>
      </c>
      <c r="CN16" t="n">
        <v>0</v>
      </c>
    </row>
    <row r="17">
      <c r="A17" t="s">
        <v>112</v>
      </c>
      <c r="B17" t="n">
        <v>7359517.05130362</v>
      </c>
      <c r="C17" t="n">
        <v>534825.93264518</v>
      </c>
      <c r="D17" t="n">
        <v>0</v>
      </c>
      <c r="E17" t="n">
        <v>4378353.29187212</v>
      </c>
      <c r="F17" t="n">
        <v>8762161.89372063</v>
      </c>
      <c r="G17" t="n">
        <v>109788.505719281</v>
      </c>
      <c r="H17" t="n">
        <v>930018468.961254</v>
      </c>
      <c r="I17" t="n">
        <v>778176445.271825</v>
      </c>
      <c r="J17" t="n">
        <v>5020477.70703433</v>
      </c>
      <c r="K17" t="n">
        <v>28882256.0369631</v>
      </c>
      <c r="L17" t="n">
        <v>6134622.72260462</v>
      </c>
      <c r="M17" t="n">
        <v>19484411.3852308</v>
      </c>
      <c r="N17" t="n">
        <v>3286546.0946948</v>
      </c>
      <c r="O17" t="n">
        <v>22675275.7728571</v>
      </c>
      <c r="P17" t="n">
        <v>23155023.3137323</v>
      </c>
      <c r="Q17" t="n">
        <v>2636133.32572514</v>
      </c>
      <c r="R17" t="n">
        <v>171741805.119785</v>
      </c>
      <c r="S17" t="n">
        <v>28263527.2542655</v>
      </c>
      <c r="T17" t="n">
        <v>8676856.07512855</v>
      </c>
      <c r="U17" t="n">
        <v>1001973.01920956</v>
      </c>
      <c r="V17" t="n">
        <v>0</v>
      </c>
      <c r="W17" t="n">
        <v>183368615.318482</v>
      </c>
      <c r="X17" t="n">
        <v>55885.0452886287</v>
      </c>
      <c r="Y17" t="n">
        <v>0</v>
      </c>
      <c r="Z17" t="n">
        <v>8789163.78506774</v>
      </c>
      <c r="AA17" t="n">
        <v>69923788.2156406</v>
      </c>
      <c r="AB17" t="n">
        <v>134886288.84375</v>
      </c>
      <c r="AC17" t="n">
        <v>3285735.03685226</v>
      </c>
      <c r="AD17" t="n">
        <v>16401844.0318223</v>
      </c>
      <c r="AE17" t="n">
        <v>3477824.52261091</v>
      </c>
      <c r="AF17" t="n">
        <v>17433656.5221306</v>
      </c>
      <c r="AG17" t="n">
        <v>0</v>
      </c>
      <c r="AH17" t="n">
        <v>48230556.7170438</v>
      </c>
      <c r="AI17" t="n">
        <v>0</v>
      </c>
      <c r="AJ17" t="n">
        <v>4658568.79062918</v>
      </c>
      <c r="AK17" t="n">
        <v>0</v>
      </c>
      <c r="AL17" t="n">
        <v>1060440.45441728</v>
      </c>
      <c r="AM17" t="n">
        <v>949405.637839253</v>
      </c>
      <c r="AN17" t="n">
        <v>6103571.31765365</v>
      </c>
      <c r="AO17" t="n">
        <v>657886.886723784</v>
      </c>
      <c r="AP17" t="n">
        <v>646605.753115921</v>
      </c>
      <c r="AQ17" t="n">
        <v>30477566.0283687</v>
      </c>
      <c r="AR17" t="n">
        <v>11646946.1532952</v>
      </c>
      <c r="AS17" t="n">
        <v>4266208.10285931</v>
      </c>
      <c r="AT17" t="n">
        <v>127152.371600277</v>
      </c>
      <c r="AU17" t="n">
        <v>0</v>
      </c>
      <c r="AV17" t="n">
        <v>0</v>
      </c>
      <c r="AW17" t="n">
        <v>528112.181933805</v>
      </c>
      <c r="AX17" t="n">
        <v>95257494.5668593</v>
      </c>
      <c r="AY17" t="n">
        <v>7085717.88291148</v>
      </c>
      <c r="AZ17" t="n">
        <v>424665.847915015</v>
      </c>
      <c r="BA17" t="n">
        <v>702750.267258375</v>
      </c>
      <c r="BB17" t="n">
        <v>19670105.2178278</v>
      </c>
      <c r="BC17" t="n">
        <v>175733.104689968</v>
      </c>
      <c r="BD17" t="n">
        <v>19681279.1042875</v>
      </c>
      <c r="BE17" t="n">
        <v>827959.676093772</v>
      </c>
      <c r="BF17" t="n">
        <v>1765668.9645254</v>
      </c>
      <c r="BG17" t="n">
        <v>11334379.1969196</v>
      </c>
      <c r="BH17" t="n">
        <v>16257402.4780964</v>
      </c>
      <c r="BI17" t="n">
        <v>203496.815917054</v>
      </c>
      <c r="BJ17" t="n">
        <v>22984535.9503902</v>
      </c>
      <c r="BK17" t="n">
        <v>168840.506245765</v>
      </c>
      <c r="BL17" t="n">
        <v>3954411.92062048</v>
      </c>
      <c r="BM17" t="n">
        <v>14852540.5767718</v>
      </c>
      <c r="BN17" t="n">
        <v>17386056.7974116</v>
      </c>
      <c r="BO17" t="n">
        <v>9493855.26420099</v>
      </c>
      <c r="BP17" t="n">
        <v>157243.502723444</v>
      </c>
      <c r="BQ17" t="n">
        <v>839930.844823446</v>
      </c>
      <c r="BR17" t="n">
        <v>63457.5097916986</v>
      </c>
      <c r="BS17" t="n">
        <v>53849963.6675691</v>
      </c>
      <c r="BT17" t="n">
        <v>4055481.30683675</v>
      </c>
      <c r="BU17" t="n">
        <v>118533306.543188</v>
      </c>
      <c r="BV17" t="n">
        <v>7075803.72103159</v>
      </c>
      <c r="BW17" t="n">
        <v>0</v>
      </c>
      <c r="BX17" t="n">
        <v>0</v>
      </c>
      <c r="BY17" t="n">
        <v>168687815.758657</v>
      </c>
      <c r="BZ17" t="n">
        <v>22522980.8584949</v>
      </c>
      <c r="CA17" t="n">
        <v>324042949.125161</v>
      </c>
      <c r="CB17" t="n">
        <v>-794110786.001547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704915.745029286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113</v>
      </c>
      <c r="B18" t="n">
        <v>225325.191284677</v>
      </c>
      <c r="C18" t="n">
        <v>495572.604957578</v>
      </c>
      <c r="D18" t="n">
        <v>18835056.1357082</v>
      </c>
      <c r="E18" t="n">
        <v>12092403.7988302</v>
      </c>
      <c r="F18" t="n">
        <v>30254716.0117799</v>
      </c>
      <c r="G18" t="n">
        <v>1222306.04367184</v>
      </c>
      <c r="H18" t="n">
        <v>1447014680.88051</v>
      </c>
      <c r="I18" t="n">
        <v>29140963.9800277</v>
      </c>
      <c r="J18" t="n">
        <v>404532575.313809</v>
      </c>
      <c r="K18" t="n">
        <v>143271720.791206</v>
      </c>
      <c r="L18" t="n">
        <v>52707351.2972151</v>
      </c>
      <c r="M18" t="n">
        <v>43150745.9707144</v>
      </c>
      <c r="N18" t="n">
        <v>3915399.13266096</v>
      </c>
      <c r="O18" t="n">
        <v>66112243.5961531</v>
      </c>
      <c r="P18" t="n">
        <v>52801822.2158284</v>
      </c>
      <c r="Q18" t="n">
        <v>4124505.60304627</v>
      </c>
      <c r="R18" t="n">
        <v>9824525.90531516</v>
      </c>
      <c r="S18" t="n">
        <v>19770457.9425621</v>
      </c>
      <c r="T18" t="n">
        <v>92878051.291031</v>
      </c>
      <c r="U18" t="n">
        <v>467190.793961625</v>
      </c>
      <c r="V18" t="n">
        <v>0</v>
      </c>
      <c r="W18" t="n">
        <v>18889129.2970404</v>
      </c>
      <c r="X18" t="n">
        <v>30637.995322503</v>
      </c>
      <c r="Y18" t="n">
        <v>19338928.8098122</v>
      </c>
      <c r="Z18" t="n">
        <v>50138118.0946114</v>
      </c>
      <c r="AA18" t="n">
        <v>69030935.7670873</v>
      </c>
      <c r="AB18" t="n">
        <v>2033679.78285416</v>
      </c>
      <c r="AC18" t="n">
        <v>5438067.89733733</v>
      </c>
      <c r="AD18" t="n">
        <v>1578577.91191346</v>
      </c>
      <c r="AE18" t="n">
        <v>6326211.74863436</v>
      </c>
      <c r="AF18" t="n">
        <v>11026238.9090047</v>
      </c>
      <c r="AG18" t="n">
        <v>0</v>
      </c>
      <c r="AH18" t="n">
        <v>309108.552095209</v>
      </c>
      <c r="AI18" t="n">
        <v>0</v>
      </c>
      <c r="AJ18" t="n">
        <v>3600142.59355427</v>
      </c>
      <c r="AK18" t="n">
        <v>0</v>
      </c>
      <c r="AL18" t="n">
        <v>0</v>
      </c>
      <c r="AM18" t="n">
        <v>241954.134920709</v>
      </c>
      <c r="AN18" t="n">
        <v>4381466.52605591</v>
      </c>
      <c r="AO18" t="n">
        <v>27560.6014885008</v>
      </c>
      <c r="AP18" t="n">
        <v>7153.73847488145</v>
      </c>
      <c r="AQ18" t="n">
        <v>113406525.362593</v>
      </c>
      <c r="AR18" t="n">
        <v>7762317.93911699</v>
      </c>
      <c r="AS18" t="n">
        <v>548031.479740244</v>
      </c>
      <c r="AT18" t="n">
        <v>629849.319560282</v>
      </c>
      <c r="AU18" t="n">
        <v>1220839.80405719</v>
      </c>
      <c r="AV18" t="n">
        <v>0</v>
      </c>
      <c r="AW18" t="n">
        <v>2292647.28213265</v>
      </c>
      <c r="AX18" t="n">
        <v>816915.138803614</v>
      </c>
      <c r="AY18" t="n">
        <v>10420433.7491942</v>
      </c>
      <c r="AZ18" t="n">
        <v>0</v>
      </c>
      <c r="BA18" t="n">
        <v>2941210.23183126</v>
      </c>
      <c r="BB18" t="n">
        <v>111618382.906479</v>
      </c>
      <c r="BC18" t="n">
        <v>1866847.37315631</v>
      </c>
      <c r="BD18" t="n">
        <v>17741035.9380798</v>
      </c>
      <c r="BE18" t="n">
        <v>8197985.72978048</v>
      </c>
      <c r="BF18" t="n">
        <v>3905140.38230768</v>
      </c>
      <c r="BG18" t="n">
        <v>63078606.9931634</v>
      </c>
      <c r="BH18" t="n">
        <v>96972857.7703339</v>
      </c>
      <c r="BI18" t="n">
        <v>5563641.00894877</v>
      </c>
      <c r="BJ18" t="n">
        <v>15842121.3151576</v>
      </c>
      <c r="BK18" t="n">
        <v>282243.958316824</v>
      </c>
      <c r="BL18" t="n">
        <v>3337794.07194081</v>
      </c>
      <c r="BM18" t="n">
        <v>1489212.66458618</v>
      </c>
      <c r="BN18" t="n">
        <v>49405705.9701687</v>
      </c>
      <c r="BO18" t="n">
        <v>36689048.7972765</v>
      </c>
      <c r="BP18" t="n">
        <v>433457.669640595</v>
      </c>
      <c r="BQ18" t="n">
        <v>11966987.7388599</v>
      </c>
      <c r="BR18" t="n">
        <v>0</v>
      </c>
      <c r="BS18" t="n">
        <v>40136098.4784863</v>
      </c>
      <c r="BT18" t="n">
        <v>37585730.3106628</v>
      </c>
      <c r="BU18" t="n">
        <v>334806129.319414</v>
      </c>
      <c r="BV18" t="n">
        <v>0</v>
      </c>
      <c r="BW18" t="n">
        <v>0</v>
      </c>
      <c r="BX18" t="n">
        <v>0</v>
      </c>
      <c r="BY18" t="n">
        <v>0</v>
      </c>
      <c r="BZ18" t="n">
        <v>51903199.7745204</v>
      </c>
      <c r="CA18" t="n">
        <v>407639898.378857</v>
      </c>
      <c r="CB18" t="n">
        <v>-1109165835.68527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114</v>
      </c>
      <c r="B19" t="n">
        <v>1574541.89503481</v>
      </c>
      <c r="C19" t="n">
        <v>0</v>
      </c>
      <c r="D19" t="n">
        <v>81248072.8664303</v>
      </c>
      <c r="E19" t="n">
        <v>14339120.4615313</v>
      </c>
      <c r="F19" t="n">
        <v>19169216.3086093</v>
      </c>
      <c r="G19" t="n">
        <v>81385.0365557971</v>
      </c>
      <c r="H19" t="n">
        <v>114440731.372426</v>
      </c>
      <c r="I19" t="n">
        <v>9224861.46431474</v>
      </c>
      <c r="J19" t="n">
        <v>44352125.5472996</v>
      </c>
      <c r="K19" t="n">
        <v>5265609820.46336</v>
      </c>
      <c r="L19" t="n">
        <v>2332134547.69868</v>
      </c>
      <c r="M19" t="n">
        <v>894407964.401507</v>
      </c>
      <c r="N19" t="n">
        <v>67951757.7299574</v>
      </c>
      <c r="O19" t="n">
        <v>559407323.576439</v>
      </c>
      <c r="P19" t="n">
        <v>334580769.113605</v>
      </c>
      <c r="Q19" t="n">
        <v>97599830.5593203</v>
      </c>
      <c r="R19" t="n">
        <v>90383145.9848892</v>
      </c>
      <c r="S19" t="n">
        <v>144201211.608783</v>
      </c>
      <c r="T19" t="n">
        <v>55668416.9149671</v>
      </c>
      <c r="U19" t="n">
        <v>1161240.81076943</v>
      </c>
      <c r="V19" t="n">
        <v>0</v>
      </c>
      <c r="W19" t="n">
        <v>47886662.8742142</v>
      </c>
      <c r="X19" t="n">
        <v>463539.396186223</v>
      </c>
      <c r="Y19" t="n">
        <v>184440.11278289</v>
      </c>
      <c r="Z19" t="n">
        <v>2197751.46939386</v>
      </c>
      <c r="AA19" t="n">
        <v>61076478.3507233</v>
      </c>
      <c r="AB19" t="n">
        <v>12778896.9186011</v>
      </c>
      <c r="AC19" t="n">
        <v>161819.840753134</v>
      </c>
      <c r="AD19" t="n">
        <v>0</v>
      </c>
      <c r="AE19" t="n">
        <v>0</v>
      </c>
      <c r="AF19" t="n">
        <v>11941349.3032141</v>
      </c>
      <c r="AG19" t="n">
        <v>0</v>
      </c>
      <c r="AH19" t="n">
        <v>13423745.7519546</v>
      </c>
      <c r="AI19" t="n">
        <v>0</v>
      </c>
      <c r="AJ19" t="n">
        <v>0</v>
      </c>
      <c r="AK19" t="n">
        <v>0</v>
      </c>
      <c r="AL19" t="n">
        <v>0</v>
      </c>
      <c r="AM19" t="n">
        <v>2790172.94322527</v>
      </c>
      <c r="AN19" t="n">
        <v>0</v>
      </c>
      <c r="AO19" t="n">
        <v>206639.161943063</v>
      </c>
      <c r="AP19" t="n">
        <v>80213.9232020446</v>
      </c>
      <c r="AQ19" t="n">
        <v>17827911.1696156</v>
      </c>
      <c r="AR19" t="n">
        <v>7056156.87591013</v>
      </c>
      <c r="AS19" t="n">
        <v>0</v>
      </c>
      <c r="AT19" t="n">
        <v>0</v>
      </c>
      <c r="AU19" t="n">
        <v>0</v>
      </c>
      <c r="AV19" t="n">
        <v>0</v>
      </c>
      <c r="AW19" t="n">
        <v>23926.6880007243</v>
      </c>
      <c r="AX19" t="n">
        <v>33974316.8621993</v>
      </c>
      <c r="AY19" t="n">
        <v>1590294.68203058</v>
      </c>
      <c r="AZ19" t="n">
        <v>0</v>
      </c>
      <c r="BA19" t="n">
        <v>0</v>
      </c>
      <c r="BB19" t="n">
        <v>42953233.4464076</v>
      </c>
      <c r="BC19" t="n">
        <v>1999433.90325514</v>
      </c>
      <c r="BD19" t="n">
        <v>12584721.7228168</v>
      </c>
      <c r="BE19" t="n">
        <v>8272512.69735885</v>
      </c>
      <c r="BF19" t="n">
        <v>8998152.276365</v>
      </c>
      <c r="BG19" t="n">
        <v>5526510.64333029</v>
      </c>
      <c r="BH19" t="n">
        <v>867412.722455552</v>
      </c>
      <c r="BI19" t="n">
        <v>603090.083942282</v>
      </c>
      <c r="BJ19" t="n">
        <v>11439425.2160581</v>
      </c>
      <c r="BK19" t="n">
        <v>602735.154505021</v>
      </c>
      <c r="BL19" t="n">
        <v>8315950.44089029</v>
      </c>
      <c r="BM19" t="n">
        <v>551053.166861157</v>
      </c>
      <c r="BN19" t="n">
        <v>2469852.03480997</v>
      </c>
      <c r="BO19" t="n">
        <v>22769077.5945433</v>
      </c>
      <c r="BP19" t="n">
        <v>2441255.13906639</v>
      </c>
      <c r="BQ19" t="n">
        <v>11158644.2771191</v>
      </c>
      <c r="BR19" t="n">
        <v>0</v>
      </c>
      <c r="BS19" t="n">
        <v>2013009.19192413</v>
      </c>
      <c r="BT19" t="n">
        <v>10430918.2581666</v>
      </c>
      <c r="BU19" t="n">
        <v>16764367.3991936</v>
      </c>
      <c r="BV19" t="n">
        <v>0</v>
      </c>
      <c r="BW19" t="n">
        <v>0</v>
      </c>
      <c r="BX19" t="n">
        <v>0</v>
      </c>
      <c r="BY19" t="n">
        <v>0</v>
      </c>
      <c r="BZ19" t="n">
        <v>187815868.814333</v>
      </c>
      <c r="CA19" t="n">
        <v>2194782736.61086</v>
      </c>
      <c r="CB19" t="n">
        <v>-5012645406.82617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115</v>
      </c>
      <c r="B20" t="n">
        <v>25912635.233634</v>
      </c>
      <c r="C20" t="n">
        <v>1110537.74099212</v>
      </c>
      <c r="D20" t="n">
        <v>142002490.157108</v>
      </c>
      <c r="E20" t="n">
        <v>28143387.3268722</v>
      </c>
      <c r="F20" t="n">
        <v>31713008.0843271</v>
      </c>
      <c r="G20" t="n">
        <v>19515830.680921</v>
      </c>
      <c r="H20" t="n">
        <v>1731792081.37934</v>
      </c>
      <c r="I20" t="n">
        <v>86581625.1406033</v>
      </c>
      <c r="J20" t="n">
        <v>46979385.0137166</v>
      </c>
      <c r="K20" t="n">
        <v>258480797.937949</v>
      </c>
      <c r="L20" t="n">
        <v>1095600696.61503</v>
      </c>
      <c r="M20" t="n">
        <v>544280020.414647</v>
      </c>
      <c r="N20" t="n">
        <v>77413512.6592382</v>
      </c>
      <c r="O20" t="n">
        <v>298356475.821494</v>
      </c>
      <c r="P20" t="n">
        <v>181199768.418835</v>
      </c>
      <c r="Q20" t="n">
        <v>141337843.627614</v>
      </c>
      <c r="R20" t="n">
        <v>103657264.991515</v>
      </c>
      <c r="S20" t="n">
        <v>95922811.9581812</v>
      </c>
      <c r="T20" t="n">
        <v>348193718.348747</v>
      </c>
      <c r="U20" t="n">
        <v>6438246.02496256</v>
      </c>
      <c r="V20" t="n">
        <v>642332.17856303</v>
      </c>
      <c r="W20" t="n">
        <v>235580703.874629</v>
      </c>
      <c r="X20" t="n">
        <v>22528896.0798907</v>
      </c>
      <c r="Y20" t="n">
        <v>18994419.390095</v>
      </c>
      <c r="Z20" t="n">
        <v>296312086.665829</v>
      </c>
      <c r="AA20" t="n">
        <v>248562021.490381</v>
      </c>
      <c r="AB20" t="n">
        <v>50526619.8522572</v>
      </c>
      <c r="AC20" t="n">
        <v>7702649.58685437</v>
      </c>
      <c r="AD20" t="n">
        <v>5705318.90908648</v>
      </c>
      <c r="AE20" t="n">
        <v>3216636.75750833</v>
      </c>
      <c r="AF20" t="n">
        <v>35235963.5501169</v>
      </c>
      <c r="AG20" t="n">
        <v>4416075.85734458</v>
      </c>
      <c r="AH20" t="n">
        <v>8350218.58852503</v>
      </c>
      <c r="AI20" t="n">
        <v>5207295.92844924</v>
      </c>
      <c r="AJ20" t="n">
        <v>45561894.8039687</v>
      </c>
      <c r="AK20" t="n">
        <v>8798475.10364968</v>
      </c>
      <c r="AL20" t="n">
        <v>148345123.098889</v>
      </c>
      <c r="AM20" t="n">
        <v>6705984.00379013</v>
      </c>
      <c r="AN20" t="n">
        <v>37828983.6424075</v>
      </c>
      <c r="AO20" t="n">
        <v>9180666.14010113</v>
      </c>
      <c r="AP20" t="n">
        <v>313902.671552194</v>
      </c>
      <c r="AQ20" t="n">
        <v>433096857.034754</v>
      </c>
      <c r="AR20" t="n">
        <v>18541044.8670092</v>
      </c>
      <c r="AS20" t="n">
        <v>6377587.10570052</v>
      </c>
      <c r="AT20" t="n">
        <v>3494159.81500711</v>
      </c>
      <c r="AU20" t="n">
        <v>0</v>
      </c>
      <c r="AV20" t="n">
        <v>109176.030110631</v>
      </c>
      <c r="AW20" t="n">
        <v>450974.617769049</v>
      </c>
      <c r="AX20" t="n">
        <v>24129768.3871404</v>
      </c>
      <c r="AY20" t="n">
        <v>25083562.8151964</v>
      </c>
      <c r="AZ20" t="n">
        <v>953375.63561952</v>
      </c>
      <c r="BA20" t="n">
        <v>42266154.998571</v>
      </c>
      <c r="BB20" t="n">
        <v>127024219.576133</v>
      </c>
      <c r="BC20" t="n">
        <v>20996796.3028046</v>
      </c>
      <c r="BD20" t="n">
        <v>46981387.4598283</v>
      </c>
      <c r="BE20" t="n">
        <v>83074345.3474161</v>
      </c>
      <c r="BF20" t="n">
        <v>19619263.1913767</v>
      </c>
      <c r="BG20" t="n">
        <v>9290896.7616424</v>
      </c>
      <c r="BH20" t="n">
        <v>47454445.5196972</v>
      </c>
      <c r="BI20" t="n">
        <v>951171.878042028</v>
      </c>
      <c r="BJ20" t="n">
        <v>87021018.1723757</v>
      </c>
      <c r="BK20" t="n">
        <v>932227.905599261</v>
      </c>
      <c r="BL20" t="n">
        <v>12529961.9913628</v>
      </c>
      <c r="BM20" t="n">
        <v>21966697.143735</v>
      </c>
      <c r="BN20" t="n">
        <v>62085434.7541818</v>
      </c>
      <c r="BO20" t="n">
        <v>104658069.455404</v>
      </c>
      <c r="BP20" t="n">
        <v>43904264.3577855</v>
      </c>
      <c r="BQ20" t="n">
        <v>25632775.1807164</v>
      </c>
      <c r="BR20" t="n">
        <v>4359464.05725876</v>
      </c>
      <c r="BS20" t="n">
        <v>75289688.7062717</v>
      </c>
      <c r="BT20" t="n">
        <v>64380808.3808314</v>
      </c>
      <c r="BU20" t="n">
        <v>474420422.907513</v>
      </c>
      <c r="BV20" t="n">
        <v>0</v>
      </c>
      <c r="BW20" t="n">
        <v>477403884.92493</v>
      </c>
      <c r="BX20" t="n">
        <v>0</v>
      </c>
      <c r="BY20" t="n">
        <v>0</v>
      </c>
      <c r="BZ20" t="n">
        <v>198772045.957077</v>
      </c>
      <c r="CA20" t="n">
        <v>1125597129.28405</v>
      </c>
      <c r="CB20" t="n">
        <v>-2744301782.94111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104867789.209558</v>
      </c>
      <c r="CJ20" t="n">
        <v>0</v>
      </c>
      <c r="CK20" t="n">
        <v>0</v>
      </c>
      <c r="CL20" t="n">
        <v>0</v>
      </c>
      <c r="CM20" t="n">
        <v>6623278.59240734</v>
      </c>
      <c r="CN20" t="n">
        <v>0</v>
      </c>
    </row>
    <row r="21">
      <c r="A21" t="s">
        <v>116</v>
      </c>
      <c r="B21" t="n">
        <v>38278261.6417419</v>
      </c>
      <c r="C21" t="n">
        <v>346804.969342545</v>
      </c>
      <c r="D21" t="n">
        <v>138056617.61655</v>
      </c>
      <c r="E21" t="n">
        <v>112059896.127637</v>
      </c>
      <c r="F21" t="n">
        <v>170856350.35247</v>
      </c>
      <c r="G21" t="n">
        <v>40313814.514449</v>
      </c>
      <c r="H21" t="n">
        <v>678838542.58681</v>
      </c>
      <c r="I21" t="n">
        <v>13633899.4892577</v>
      </c>
      <c r="J21" t="n">
        <v>3204936.95825199</v>
      </c>
      <c r="K21" t="n">
        <v>51589094.0194357</v>
      </c>
      <c r="L21" t="n">
        <v>151665381.500649</v>
      </c>
      <c r="M21" t="n">
        <v>838538376.167334</v>
      </c>
      <c r="N21" t="n">
        <v>5723201.04027948</v>
      </c>
      <c r="O21" t="n">
        <v>79349387.4620434</v>
      </c>
      <c r="P21" t="n">
        <v>257409254.565786</v>
      </c>
      <c r="Q21" t="n">
        <v>42068281.705068</v>
      </c>
      <c r="R21" t="n">
        <v>2785241.97850843</v>
      </c>
      <c r="S21" t="n">
        <v>19685068.6380849</v>
      </c>
      <c r="T21" t="n">
        <v>104511597.613796</v>
      </c>
      <c r="U21" t="n">
        <v>410581.240922619</v>
      </c>
      <c r="V21" t="n">
        <v>11855.2838927211</v>
      </c>
      <c r="W21" t="n">
        <v>62618595.6596374</v>
      </c>
      <c r="X21" t="n">
        <v>46348893.8171292</v>
      </c>
      <c r="Y21" t="n">
        <v>911409.46917725</v>
      </c>
      <c r="Z21" t="n">
        <v>141191212.465031</v>
      </c>
      <c r="AA21" t="n">
        <v>64013899.4697838</v>
      </c>
      <c r="AB21" t="n">
        <v>55596899.1232111</v>
      </c>
      <c r="AC21" t="n">
        <v>4739518.86108032</v>
      </c>
      <c r="AD21" t="n">
        <v>3281388.48013038</v>
      </c>
      <c r="AE21" t="n">
        <v>2515611.49386725</v>
      </c>
      <c r="AF21" t="n">
        <v>13737428.5688071</v>
      </c>
      <c r="AG21" t="n">
        <v>86334.1869512485</v>
      </c>
      <c r="AH21" t="n">
        <v>954762.216460604</v>
      </c>
      <c r="AI21" t="n">
        <v>299589.089903857</v>
      </c>
      <c r="AJ21" t="n">
        <v>12086172.6077814</v>
      </c>
      <c r="AK21" t="n">
        <v>1183862.54683706</v>
      </c>
      <c r="AL21" t="n">
        <v>8714347.16005597</v>
      </c>
      <c r="AM21" t="n">
        <v>126058252.644228</v>
      </c>
      <c r="AN21" t="n">
        <v>68587530.5189958</v>
      </c>
      <c r="AO21" t="n">
        <v>937474.213737744</v>
      </c>
      <c r="AP21" t="n">
        <v>214016.862345396</v>
      </c>
      <c r="AQ21" t="n">
        <v>44387470.5672082</v>
      </c>
      <c r="AR21" t="n">
        <v>5796689.61769897</v>
      </c>
      <c r="AS21" t="n">
        <v>91268.5903816033</v>
      </c>
      <c r="AT21" t="n">
        <v>653567.426432535</v>
      </c>
      <c r="AU21" t="n">
        <v>22467132.519155</v>
      </c>
      <c r="AV21" t="n">
        <v>0</v>
      </c>
      <c r="AW21" t="n">
        <v>737138.799717802</v>
      </c>
      <c r="AX21" t="n">
        <v>1078883.14580572</v>
      </c>
      <c r="AY21" t="n">
        <v>10257657.4186923</v>
      </c>
      <c r="AZ21" t="n">
        <v>441519.941168198</v>
      </c>
      <c r="BA21" t="n">
        <v>45792827.5633472</v>
      </c>
      <c r="BB21" t="n">
        <v>68143893.3875717</v>
      </c>
      <c r="BC21" t="n">
        <v>13039880.1207384</v>
      </c>
      <c r="BD21" t="n">
        <v>88518362.8793121</v>
      </c>
      <c r="BE21" t="n">
        <v>144043672.084374</v>
      </c>
      <c r="BF21" t="n">
        <v>87251853.7155588</v>
      </c>
      <c r="BG21" t="n">
        <v>27998917.9802875</v>
      </c>
      <c r="BH21" t="n">
        <v>23863165.406618</v>
      </c>
      <c r="BI21" t="n">
        <v>4838747.89886623</v>
      </c>
      <c r="BJ21" t="n">
        <v>5689025.51434537</v>
      </c>
      <c r="BK21" t="n">
        <v>544799.650570517</v>
      </c>
      <c r="BL21" t="n">
        <v>4101194.88725307</v>
      </c>
      <c r="BM21" t="n">
        <v>953897.429396334</v>
      </c>
      <c r="BN21" t="n">
        <v>11345232.5398728</v>
      </c>
      <c r="BO21" t="n">
        <v>148184040.207832</v>
      </c>
      <c r="BP21" t="n">
        <v>9057212.7658952</v>
      </c>
      <c r="BQ21" t="n">
        <v>4794167.34228006</v>
      </c>
      <c r="BR21" t="n">
        <v>1229140.48622167</v>
      </c>
      <c r="BS21" t="n">
        <v>97041914.6400687</v>
      </c>
      <c r="BT21" t="n">
        <v>36681103.1888282</v>
      </c>
      <c r="BU21" t="n">
        <v>279589145.533291</v>
      </c>
      <c r="BV21" t="n">
        <v>0</v>
      </c>
      <c r="BW21" t="n">
        <v>5644646017.95873</v>
      </c>
      <c r="BX21" t="n">
        <v>0</v>
      </c>
      <c r="BY21" t="n">
        <v>0</v>
      </c>
      <c r="BZ21" t="n">
        <v>133341995.599396</v>
      </c>
      <c r="CA21" t="n">
        <v>2944161046.15686</v>
      </c>
      <c r="CB21" t="n">
        <v>-6709947630.4955</v>
      </c>
      <c r="CC21" t="n">
        <v>0</v>
      </c>
      <c r="CD21" t="n">
        <v>0</v>
      </c>
      <c r="CE21" t="n">
        <v>7043930.5380571</v>
      </c>
      <c r="CF21" t="n">
        <v>0</v>
      </c>
      <c r="CG21" t="n">
        <v>0</v>
      </c>
      <c r="CH21" t="n">
        <v>0</v>
      </c>
      <c r="CI21" t="n">
        <v>8641360.80502701</v>
      </c>
      <c r="CJ21" t="n">
        <v>0</v>
      </c>
      <c r="CK21" t="n">
        <v>0</v>
      </c>
      <c r="CL21" t="n">
        <v>0</v>
      </c>
      <c r="CM21" t="n">
        <v>278820086.187655</v>
      </c>
      <c r="CN21" t="n">
        <v>0</v>
      </c>
    </row>
    <row r="22">
      <c r="A22" t="s">
        <v>117</v>
      </c>
      <c r="B22" t="n">
        <v>209651.822160099</v>
      </c>
      <c r="C22" t="n">
        <v>0</v>
      </c>
      <c r="D22" t="n">
        <v>1209581.33732498</v>
      </c>
      <c r="E22" t="n">
        <v>970382.222542523</v>
      </c>
      <c r="F22" t="n">
        <v>6111865.13455847</v>
      </c>
      <c r="G22" t="n">
        <v>1602767.0735659</v>
      </c>
      <c r="H22" t="n">
        <v>138402905.8235</v>
      </c>
      <c r="I22" t="n">
        <v>24878878.6996728</v>
      </c>
      <c r="J22" t="n">
        <v>10577490.7896289</v>
      </c>
      <c r="K22" t="n">
        <v>52980803.6230978</v>
      </c>
      <c r="L22" t="n">
        <v>131265918.779741</v>
      </c>
      <c r="M22" t="n">
        <v>112876897.288653</v>
      </c>
      <c r="N22" t="n">
        <v>374539183.786325</v>
      </c>
      <c r="O22" t="n">
        <v>67423862.6940078</v>
      </c>
      <c r="P22" t="n">
        <v>130912781.542057</v>
      </c>
      <c r="Q22" t="n">
        <v>142021283.185945</v>
      </c>
      <c r="R22" t="n">
        <v>15512989.2242336</v>
      </c>
      <c r="S22" t="n">
        <v>30380772.6469626</v>
      </c>
      <c r="T22" t="n">
        <v>60144408.3392895</v>
      </c>
      <c r="U22" t="n">
        <v>3211908.48869036</v>
      </c>
      <c r="V22" t="n">
        <v>144670.953173796</v>
      </c>
      <c r="W22" t="n">
        <v>1136134.30809088</v>
      </c>
      <c r="X22" t="n">
        <v>18977185.6834089</v>
      </c>
      <c r="Y22" t="n">
        <v>4371610.53483167</v>
      </c>
      <c r="Z22" t="n">
        <v>122221322.015432</v>
      </c>
      <c r="AA22" t="n">
        <v>50951897.5546525</v>
      </c>
      <c r="AB22" t="n">
        <v>849846764.74681</v>
      </c>
      <c r="AC22" t="n">
        <v>19416758.80601</v>
      </c>
      <c r="AD22" t="n">
        <v>12309728.7120843</v>
      </c>
      <c r="AE22" t="n">
        <v>14028783.9160993</v>
      </c>
      <c r="AF22" t="n">
        <v>31790797.9790643</v>
      </c>
      <c r="AG22" t="n">
        <v>90673.5370814925</v>
      </c>
      <c r="AH22" t="n">
        <v>887370.41522417</v>
      </c>
      <c r="AI22" t="n">
        <v>1615.220092809</v>
      </c>
      <c r="AJ22" t="n">
        <v>7589471.26812422</v>
      </c>
      <c r="AK22" t="n">
        <v>74087.1613663133</v>
      </c>
      <c r="AL22" t="n">
        <v>1388984.55370223</v>
      </c>
      <c r="AM22" t="n">
        <v>1315416.54905386</v>
      </c>
      <c r="AN22" t="n">
        <v>7707660.45060269</v>
      </c>
      <c r="AO22" t="n">
        <v>38437633.5961138</v>
      </c>
      <c r="AP22" t="n">
        <v>4484285.07299446</v>
      </c>
      <c r="AQ22" t="n">
        <v>711371831.612484</v>
      </c>
      <c r="AR22" t="n">
        <v>89343431.2035593</v>
      </c>
      <c r="AS22" t="n">
        <v>11033639.1203793</v>
      </c>
      <c r="AT22" t="n">
        <v>20434894.2613809</v>
      </c>
      <c r="AU22" t="n">
        <v>1705601.48016245</v>
      </c>
      <c r="AV22" t="n">
        <v>3801134.10166128</v>
      </c>
      <c r="AW22" t="n">
        <v>12427.7958147744</v>
      </c>
      <c r="AX22" t="n">
        <v>8840830.72213118</v>
      </c>
      <c r="AY22" t="n">
        <v>2476908.57847803</v>
      </c>
      <c r="AZ22" t="n">
        <v>37943788.4604283</v>
      </c>
      <c r="BA22" t="n">
        <v>90457624.320978</v>
      </c>
      <c r="BB22" t="n">
        <v>230826821.292475</v>
      </c>
      <c r="BC22" t="n">
        <v>235924116.851783</v>
      </c>
      <c r="BD22" t="n">
        <v>140655203.313975</v>
      </c>
      <c r="BE22" t="n">
        <v>25323310.1008231</v>
      </c>
      <c r="BF22" t="n">
        <v>34883495.2821209</v>
      </c>
      <c r="BG22" t="n">
        <v>183720570.484597</v>
      </c>
      <c r="BH22" t="n">
        <v>25183754.7336744</v>
      </c>
      <c r="BI22" t="n">
        <v>5320317.115111</v>
      </c>
      <c r="BJ22" t="n">
        <v>24819241.9408334</v>
      </c>
      <c r="BK22" t="n">
        <v>727224.889572801</v>
      </c>
      <c r="BL22" t="n">
        <v>3976641.80888307</v>
      </c>
      <c r="BM22" t="n">
        <v>3913244.17993443</v>
      </c>
      <c r="BN22" t="n">
        <v>3773422.28260987</v>
      </c>
      <c r="BO22" t="n">
        <v>88692576.9598051</v>
      </c>
      <c r="BP22" t="n">
        <v>64949848.7105403</v>
      </c>
      <c r="BQ22" t="n">
        <v>61086648.9050047</v>
      </c>
      <c r="BR22" t="n">
        <v>0</v>
      </c>
      <c r="BS22" t="n">
        <v>41932040.3261832</v>
      </c>
      <c r="BT22" t="n">
        <v>20465790.1514627</v>
      </c>
      <c r="BU22" t="n">
        <v>2843347007.44956</v>
      </c>
      <c r="BV22" t="n">
        <v>0</v>
      </c>
      <c r="BW22" t="n">
        <v>3036792382.4036</v>
      </c>
      <c r="BX22" t="n">
        <v>0</v>
      </c>
      <c r="BY22" t="n">
        <v>7369377.42344106</v>
      </c>
      <c r="BZ22" t="n">
        <v>39237890.8232257</v>
      </c>
      <c r="CA22" t="n">
        <v>1958728858.95612</v>
      </c>
      <c r="CB22" t="n">
        <v>-9395201612.07063</v>
      </c>
      <c r="CC22" t="n">
        <v>0</v>
      </c>
      <c r="CD22" t="n">
        <v>0</v>
      </c>
      <c r="CE22" t="n">
        <v>27178.3576667655</v>
      </c>
      <c r="CF22" t="n">
        <v>0</v>
      </c>
      <c r="CG22" t="n">
        <v>0</v>
      </c>
      <c r="CH22" t="n">
        <v>0</v>
      </c>
      <c r="CI22" t="n">
        <v>95626319.4910316</v>
      </c>
      <c r="CJ22" t="n">
        <v>0</v>
      </c>
      <c r="CK22" t="n">
        <v>0</v>
      </c>
      <c r="CL22" t="n">
        <v>0</v>
      </c>
      <c r="CM22" t="n">
        <v>292553567.816248</v>
      </c>
      <c r="CN22" t="n">
        <v>0</v>
      </c>
    </row>
    <row r="23">
      <c r="A23" t="s">
        <v>118</v>
      </c>
      <c r="B23" t="n">
        <v>39224011.8485992</v>
      </c>
      <c r="C23" t="n">
        <v>468582.419644699</v>
      </c>
      <c r="D23" t="n">
        <v>2391320.33540202</v>
      </c>
      <c r="E23" t="n">
        <v>2240429.23340465</v>
      </c>
      <c r="F23" t="n">
        <v>22319412.291549</v>
      </c>
      <c r="G23" t="n">
        <v>478174.450585207</v>
      </c>
      <c r="H23" t="n">
        <v>838519111.463846</v>
      </c>
      <c r="I23" t="n">
        <v>15889720.6609433</v>
      </c>
      <c r="J23" t="n">
        <v>3250971.28088144</v>
      </c>
      <c r="K23" t="n">
        <v>108898077.60457</v>
      </c>
      <c r="L23" t="n">
        <v>98366616.4041553</v>
      </c>
      <c r="M23" t="n">
        <v>379635557.972578</v>
      </c>
      <c r="N23" t="n">
        <v>36597714.6578291</v>
      </c>
      <c r="O23" t="n">
        <v>398716343.190034</v>
      </c>
      <c r="P23" t="n">
        <v>47069301.0458388</v>
      </c>
      <c r="Q23" t="n">
        <v>19815408.7417971</v>
      </c>
      <c r="R23" t="n">
        <v>3759048.93622796</v>
      </c>
      <c r="S23" t="n">
        <v>22556557.1917719</v>
      </c>
      <c r="T23" t="n">
        <v>46161046.0809136</v>
      </c>
      <c r="U23" t="n">
        <v>842157.343464048</v>
      </c>
      <c r="V23" t="n">
        <v>31281.8380878598</v>
      </c>
      <c r="W23" t="n">
        <v>27036998.5193806</v>
      </c>
      <c r="X23" t="n">
        <v>3017792.44558595</v>
      </c>
      <c r="Y23" t="n">
        <v>2995172.33240431</v>
      </c>
      <c r="Z23" t="n">
        <v>39516900.1564477</v>
      </c>
      <c r="AA23" t="n">
        <v>38528147.5942195</v>
      </c>
      <c r="AB23" t="n">
        <v>23162511.8536795</v>
      </c>
      <c r="AC23" t="n">
        <v>8682965.12612446</v>
      </c>
      <c r="AD23" t="n">
        <v>3190570.55202481</v>
      </c>
      <c r="AE23" t="n">
        <v>25459126.1703199</v>
      </c>
      <c r="AF23" t="n">
        <v>6735031.50331122</v>
      </c>
      <c r="AG23" t="n">
        <v>32467.5424098593</v>
      </c>
      <c r="AH23" t="n">
        <v>2724420.10188638</v>
      </c>
      <c r="AI23" t="n">
        <v>36804.8898677708</v>
      </c>
      <c r="AJ23" t="n">
        <v>1999012.9089396</v>
      </c>
      <c r="AK23" t="n">
        <v>4384592.64585851</v>
      </c>
      <c r="AL23" t="n">
        <v>468606.20637215</v>
      </c>
      <c r="AM23" t="n">
        <v>1705120.58566705</v>
      </c>
      <c r="AN23" t="n">
        <v>5622880.18167439</v>
      </c>
      <c r="AO23" t="n">
        <v>53318.1345134058</v>
      </c>
      <c r="AP23" t="n">
        <v>0</v>
      </c>
      <c r="AQ23" t="n">
        <v>180137237.344521</v>
      </c>
      <c r="AR23" t="n">
        <v>2444471.46800404</v>
      </c>
      <c r="AS23" t="n">
        <v>2858924.82617124</v>
      </c>
      <c r="AT23" t="n">
        <v>1751926.4479711</v>
      </c>
      <c r="AU23" t="n">
        <v>1531777.27589456</v>
      </c>
      <c r="AV23" t="n">
        <v>0</v>
      </c>
      <c r="AW23" t="n">
        <v>94545.1701873568</v>
      </c>
      <c r="AX23" t="n">
        <v>26885777.3556685</v>
      </c>
      <c r="AY23" t="n">
        <v>3350656.04678793</v>
      </c>
      <c r="AZ23" t="n">
        <v>0</v>
      </c>
      <c r="BA23" t="n">
        <v>60583622.7307769</v>
      </c>
      <c r="BB23" t="n">
        <v>147641699.633384</v>
      </c>
      <c r="BC23" t="n">
        <v>2316383.94295854</v>
      </c>
      <c r="BD23" t="n">
        <v>47224154.3109162</v>
      </c>
      <c r="BE23" t="n">
        <v>36616731.7730787</v>
      </c>
      <c r="BF23" t="n">
        <v>21267324.7021358</v>
      </c>
      <c r="BG23" t="n">
        <v>358308.038070504</v>
      </c>
      <c r="BH23" t="n">
        <v>36715003.8525715</v>
      </c>
      <c r="BI23" t="n">
        <v>51412202.7347862</v>
      </c>
      <c r="BJ23" t="n">
        <v>14704684.370089</v>
      </c>
      <c r="BK23" t="n">
        <v>1551150.23188418</v>
      </c>
      <c r="BL23" t="n">
        <v>11590355.3411383</v>
      </c>
      <c r="BM23" t="n">
        <v>15948687.8237569</v>
      </c>
      <c r="BN23" t="n">
        <v>11013102.2057315</v>
      </c>
      <c r="BO23" t="n">
        <v>95653745.8697712</v>
      </c>
      <c r="BP23" t="n">
        <v>12421682.276445</v>
      </c>
      <c r="BQ23" t="n">
        <v>70495663.6720034</v>
      </c>
      <c r="BR23" t="n">
        <v>1675611.62612945</v>
      </c>
      <c r="BS23" t="n">
        <v>28958813.5190309</v>
      </c>
      <c r="BT23" t="n">
        <v>44913133.6745975</v>
      </c>
      <c r="BU23" t="n">
        <v>1245274941.51141</v>
      </c>
      <c r="BV23" t="n">
        <v>0</v>
      </c>
      <c r="BW23" t="n">
        <v>1328220348.07123</v>
      </c>
      <c r="BX23" t="n">
        <v>0</v>
      </c>
      <c r="BY23" t="n">
        <v>183042013.039335</v>
      </c>
      <c r="BZ23" t="n">
        <v>92326441.0514779</v>
      </c>
      <c r="CA23" t="n">
        <v>1173985892.95239</v>
      </c>
      <c r="CB23" t="n">
        <v>-4554040228.19911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11524498.1594898</v>
      </c>
      <c r="CJ23" t="n">
        <v>0</v>
      </c>
      <c r="CK23" t="n">
        <v>0</v>
      </c>
      <c r="CL23" t="n">
        <v>0</v>
      </c>
      <c r="CM23" t="n">
        <v>32041979.7906726</v>
      </c>
      <c r="CN23" t="n">
        <v>0</v>
      </c>
    </row>
    <row r="24">
      <c r="A24" t="s">
        <v>119</v>
      </c>
      <c r="B24" t="n">
        <v>15491142.0227679</v>
      </c>
      <c r="C24" t="n">
        <v>490504.949681445</v>
      </c>
      <c r="D24" t="n">
        <v>13441715.9608884</v>
      </c>
      <c r="E24" t="n">
        <v>21251639.121964</v>
      </c>
      <c r="F24" t="n">
        <v>18404233.7198311</v>
      </c>
      <c r="G24" t="n">
        <v>802328.062293134</v>
      </c>
      <c r="H24" t="n">
        <v>40602558.5812881</v>
      </c>
      <c r="I24" t="n">
        <v>55764122.83476</v>
      </c>
      <c r="J24" t="n">
        <v>13503757.2523149</v>
      </c>
      <c r="K24" t="n">
        <v>46579787.7042254</v>
      </c>
      <c r="L24" t="n">
        <v>43593116.6760216</v>
      </c>
      <c r="M24" t="n">
        <v>254956185.461372</v>
      </c>
      <c r="N24" t="n">
        <v>12887186.5789775</v>
      </c>
      <c r="O24" t="n">
        <v>25835426.7859452</v>
      </c>
      <c r="P24" t="n">
        <v>1131772237.71329</v>
      </c>
      <c r="Q24" t="n">
        <v>30759310.8104135</v>
      </c>
      <c r="R24" t="n">
        <v>11920806.7584049</v>
      </c>
      <c r="S24" t="n">
        <v>19911386.2458704</v>
      </c>
      <c r="T24" t="n">
        <v>119956599.72771</v>
      </c>
      <c r="U24" t="n">
        <v>933142.610188883</v>
      </c>
      <c r="V24" t="n">
        <v>8693.38065480917</v>
      </c>
      <c r="W24" t="n">
        <v>58251892.9102158</v>
      </c>
      <c r="X24" t="n">
        <v>4275654.04540232</v>
      </c>
      <c r="Y24" t="n">
        <v>2543705.98144662</v>
      </c>
      <c r="Z24" t="n">
        <v>49758281.7039872</v>
      </c>
      <c r="AA24" t="n">
        <v>24004851.3699859</v>
      </c>
      <c r="AB24" t="n">
        <v>167767754.500582</v>
      </c>
      <c r="AC24" t="n">
        <v>102605252.016178</v>
      </c>
      <c r="AD24" t="n">
        <v>49993324.7680217</v>
      </c>
      <c r="AE24" t="n">
        <v>8548862.38449712</v>
      </c>
      <c r="AF24" t="n">
        <v>78683764.7571288</v>
      </c>
      <c r="AG24" t="n">
        <v>0</v>
      </c>
      <c r="AH24" t="n">
        <v>1460233.90036384</v>
      </c>
      <c r="AI24" t="n">
        <v>0</v>
      </c>
      <c r="AJ24" t="n">
        <v>162408645.056231</v>
      </c>
      <c r="AK24" t="n">
        <v>10197121.2418075</v>
      </c>
      <c r="AL24" t="n">
        <v>177499.037008262</v>
      </c>
      <c r="AM24" t="n">
        <v>1900292.41315005</v>
      </c>
      <c r="AN24" t="n">
        <v>79484917.1571903</v>
      </c>
      <c r="AO24" t="n">
        <v>2747140.93423296</v>
      </c>
      <c r="AP24" t="n">
        <v>1007784.95926244</v>
      </c>
      <c r="AQ24" t="n">
        <v>49181466.7459821</v>
      </c>
      <c r="AR24" t="n">
        <v>3513791.6770247</v>
      </c>
      <c r="AS24" t="n">
        <v>2548737.03372737</v>
      </c>
      <c r="AT24" t="n">
        <v>443452.51284323</v>
      </c>
      <c r="AU24" t="n">
        <v>0</v>
      </c>
      <c r="AV24" t="n">
        <v>0</v>
      </c>
      <c r="AW24" t="n">
        <v>0</v>
      </c>
      <c r="AX24" t="n">
        <v>0</v>
      </c>
      <c r="AY24" t="n">
        <v>30339409.7643117</v>
      </c>
      <c r="AZ24" t="n">
        <v>0</v>
      </c>
      <c r="BA24" t="n">
        <v>1439334.44704735</v>
      </c>
      <c r="BB24" t="n">
        <v>71040472.386774</v>
      </c>
      <c r="BC24" t="n">
        <v>23116869.8665047</v>
      </c>
      <c r="BD24" t="n">
        <v>222978031.858241</v>
      </c>
      <c r="BE24" t="n">
        <v>33408344.6125494</v>
      </c>
      <c r="BF24" t="n">
        <v>23729881.9732608</v>
      </c>
      <c r="BG24" t="n">
        <v>18472312.1768587</v>
      </c>
      <c r="BH24" t="n">
        <v>64640535.9059348</v>
      </c>
      <c r="BI24" t="n">
        <v>5310214.9026434</v>
      </c>
      <c r="BJ24" t="n">
        <v>78693648.1523423</v>
      </c>
      <c r="BK24" t="n">
        <v>1251338.8365363</v>
      </c>
      <c r="BL24" t="n">
        <v>2563051.06720502</v>
      </c>
      <c r="BM24" t="n">
        <v>2436317.0959216</v>
      </c>
      <c r="BN24" t="n">
        <v>23507222.4715165</v>
      </c>
      <c r="BO24" t="n">
        <v>253692450.006231</v>
      </c>
      <c r="BP24" t="n">
        <v>50014441.7765125</v>
      </c>
      <c r="BQ24" t="n">
        <v>2284180.63887755</v>
      </c>
      <c r="BR24" t="n">
        <v>57667124.5972602</v>
      </c>
      <c r="BS24" t="n">
        <v>132254126.741327</v>
      </c>
      <c r="BT24" t="n">
        <v>14594695.5950194</v>
      </c>
      <c r="BU24" t="n">
        <v>4284880089.03777</v>
      </c>
      <c r="BV24" t="n">
        <v>0</v>
      </c>
      <c r="BW24" t="n">
        <v>2321806034.12143</v>
      </c>
      <c r="BX24" t="n">
        <v>0</v>
      </c>
      <c r="BY24" t="n">
        <v>0</v>
      </c>
      <c r="BZ24" t="n">
        <v>91930484.333833</v>
      </c>
      <c r="CA24" t="n">
        <v>755535988.952796</v>
      </c>
      <c r="CB24" t="n">
        <v>-8480361425.03403</v>
      </c>
      <c r="CC24" t="n">
        <v>0</v>
      </c>
      <c r="CD24" t="n">
        <v>0</v>
      </c>
      <c r="CE24" t="n">
        <v>56754757.1086881</v>
      </c>
      <c r="CF24" t="n">
        <v>0</v>
      </c>
      <c r="CG24" t="n">
        <v>0</v>
      </c>
      <c r="CH24" t="n">
        <v>0</v>
      </c>
      <c r="CI24" t="n">
        <v>533319013.495762</v>
      </c>
      <c r="CJ24" t="n">
        <v>0</v>
      </c>
      <c r="CK24" t="n">
        <v>0</v>
      </c>
      <c r="CL24" t="n">
        <v>0</v>
      </c>
      <c r="CM24" t="n">
        <v>738214790.892841</v>
      </c>
      <c r="CN24" t="n">
        <v>0</v>
      </c>
    </row>
    <row r="25">
      <c r="A25" t="s">
        <v>120</v>
      </c>
      <c r="B25" t="n">
        <v>0</v>
      </c>
      <c r="C25" t="n">
        <v>48725.6675578829</v>
      </c>
      <c r="D25" t="n">
        <v>0</v>
      </c>
      <c r="E25" t="n">
        <v>138944.988934502</v>
      </c>
      <c r="F25" t="n">
        <v>0</v>
      </c>
      <c r="G25" t="n">
        <v>0</v>
      </c>
      <c r="H25" t="n">
        <v>357204.426206159</v>
      </c>
      <c r="I25" t="n">
        <v>173588.483134953</v>
      </c>
      <c r="J25" t="n">
        <v>0</v>
      </c>
      <c r="K25" t="n">
        <v>0</v>
      </c>
      <c r="L25" t="n">
        <v>1244712.14474538</v>
      </c>
      <c r="M25" t="n">
        <v>2231128.29777949</v>
      </c>
      <c r="N25" t="n">
        <v>0</v>
      </c>
      <c r="O25" t="n">
        <v>0</v>
      </c>
      <c r="P25" t="n">
        <v>2478849.44331245</v>
      </c>
      <c r="Q25" t="n">
        <v>1017385535.44354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653568.965790665</v>
      </c>
      <c r="AD25" t="n">
        <v>0</v>
      </c>
      <c r="AE25" t="n">
        <v>0</v>
      </c>
      <c r="AF25" t="n">
        <v>0</v>
      </c>
      <c r="AG25" t="n">
        <v>10822777.0881947</v>
      </c>
      <c r="AH25" t="n">
        <v>14458008.9783778</v>
      </c>
      <c r="AI25" t="n">
        <v>1977597.18751735</v>
      </c>
      <c r="AJ25" t="n">
        <v>114627.232441916</v>
      </c>
      <c r="AK25" t="n">
        <v>1243488.98080038</v>
      </c>
      <c r="AL25" t="n">
        <v>0</v>
      </c>
      <c r="AM25" t="n">
        <v>52057495.3825512</v>
      </c>
      <c r="AN25" t="n">
        <v>0</v>
      </c>
      <c r="AO25" t="n">
        <v>0</v>
      </c>
      <c r="AP25" t="n">
        <v>0</v>
      </c>
      <c r="AQ25" t="n">
        <v>61517.1597487046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17122893.643793</v>
      </c>
      <c r="BC25" t="n">
        <v>941404.453569501</v>
      </c>
      <c r="BD25" t="n">
        <v>679003.565910064</v>
      </c>
      <c r="BE25" t="n">
        <v>1164861.98036196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257574.448778606</v>
      </c>
      <c r="BM25" t="n">
        <v>0</v>
      </c>
      <c r="BN25" t="n">
        <v>0</v>
      </c>
      <c r="BO25" t="n">
        <v>2802296.7961271</v>
      </c>
      <c r="BP25" t="n">
        <v>166592856.145382</v>
      </c>
      <c r="BQ25" t="n">
        <v>30457980.1688767</v>
      </c>
      <c r="BR25" t="n">
        <v>9309.39859573782</v>
      </c>
      <c r="BS25" t="n">
        <v>0</v>
      </c>
      <c r="BT25" t="n">
        <v>631982.031873926</v>
      </c>
      <c r="BU25" t="n">
        <v>459891878.19434</v>
      </c>
      <c r="BV25" t="n">
        <v>0</v>
      </c>
      <c r="BW25" t="n">
        <v>433932988.158969</v>
      </c>
      <c r="BX25" t="n">
        <v>0</v>
      </c>
      <c r="BY25" t="n">
        <v>0</v>
      </c>
      <c r="BZ25" t="n">
        <v>367241639.350207</v>
      </c>
      <c r="CA25" t="n">
        <v>2576135348.06773</v>
      </c>
      <c r="CB25" t="n">
        <v>-1294623528.24041</v>
      </c>
      <c r="CC25" t="n">
        <v>0</v>
      </c>
      <c r="CD25" t="n">
        <v>0</v>
      </c>
      <c r="CE25" t="n">
        <v>680675007.704323</v>
      </c>
      <c r="CF25" t="n">
        <v>0</v>
      </c>
      <c r="CG25" t="n">
        <v>0</v>
      </c>
      <c r="CH25" t="n">
        <v>0</v>
      </c>
      <c r="CI25" t="n">
        <v>7081204.86878706</v>
      </c>
      <c r="CJ25" t="n">
        <v>0</v>
      </c>
      <c r="CK25" t="n">
        <v>0</v>
      </c>
      <c r="CL25" t="n">
        <v>0</v>
      </c>
      <c r="CM25" t="n">
        <v>3330861.85238315</v>
      </c>
      <c r="CN25" t="n">
        <v>0</v>
      </c>
    </row>
    <row r="26">
      <c r="A26" t="s">
        <v>121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310392226.631908</v>
      </c>
      <c r="I26" t="n">
        <v>13598393.0655301</v>
      </c>
      <c r="J26" t="n">
        <v>0</v>
      </c>
      <c r="K26" t="n">
        <v>0</v>
      </c>
      <c r="L26" t="n">
        <v>0</v>
      </c>
      <c r="M26" t="n">
        <v>4935897.53553279</v>
      </c>
      <c r="N26" t="n">
        <v>525703.825040439</v>
      </c>
      <c r="O26" t="n">
        <v>0</v>
      </c>
      <c r="P26" t="n">
        <v>142079.71636927</v>
      </c>
      <c r="Q26" t="n">
        <v>2421563.02116481</v>
      </c>
      <c r="R26" t="n">
        <v>118755454.89345</v>
      </c>
      <c r="S26" t="n">
        <v>1740277.78922629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9425003.62499215</v>
      </c>
      <c r="AB26" t="n">
        <v>23485155.2016773</v>
      </c>
      <c r="AC26" t="n">
        <v>3009801.49940315</v>
      </c>
      <c r="AD26" t="n">
        <v>0</v>
      </c>
      <c r="AE26" t="n">
        <v>240642.833509156</v>
      </c>
      <c r="AF26" t="n">
        <v>36576085.9331487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13189.6551261123</v>
      </c>
      <c r="AP26" t="n">
        <v>0</v>
      </c>
      <c r="AQ26" t="n">
        <v>3227862.24910136</v>
      </c>
      <c r="AR26" t="n">
        <v>2950444.51817143</v>
      </c>
      <c r="AS26" t="n">
        <v>0</v>
      </c>
      <c r="AT26" t="n">
        <v>0</v>
      </c>
      <c r="AU26" t="n">
        <v>0</v>
      </c>
      <c r="AV26" t="n">
        <v>0</v>
      </c>
      <c r="AW26" t="n">
        <v>77308802.7943689</v>
      </c>
      <c r="AX26" t="n">
        <v>857918.994797921</v>
      </c>
      <c r="AY26" t="n">
        <v>0</v>
      </c>
      <c r="AZ26" t="n">
        <v>241846.461706422</v>
      </c>
      <c r="BA26" t="n">
        <v>44421.5554157604</v>
      </c>
      <c r="BB26" t="n">
        <v>16688306.2748351</v>
      </c>
      <c r="BC26" t="n">
        <v>274504.922882858</v>
      </c>
      <c r="BD26" t="n">
        <v>48917.0868075035</v>
      </c>
      <c r="BE26" t="n">
        <v>0</v>
      </c>
      <c r="BF26" t="n">
        <v>0</v>
      </c>
      <c r="BG26" t="n">
        <v>7979593.97207999</v>
      </c>
      <c r="BH26" t="n">
        <v>3570321.39805294</v>
      </c>
      <c r="BI26" t="n">
        <v>32189.1404479916</v>
      </c>
      <c r="BJ26" t="n">
        <v>5351707.27657495</v>
      </c>
      <c r="BK26" t="n">
        <v>11275707.2337152</v>
      </c>
      <c r="BL26" t="n">
        <v>11521899.1142526</v>
      </c>
      <c r="BM26" t="n">
        <v>24927.8498075011</v>
      </c>
      <c r="BN26" t="n">
        <v>4342864.14555568</v>
      </c>
      <c r="BO26" t="n">
        <v>11155894.726017</v>
      </c>
      <c r="BP26" t="n">
        <v>0</v>
      </c>
      <c r="BQ26" t="n">
        <v>0</v>
      </c>
      <c r="BR26" t="n">
        <v>1948282.40218237</v>
      </c>
      <c r="BS26" t="n">
        <v>178688.314809824</v>
      </c>
      <c r="BT26" t="n">
        <v>14960086.8562569</v>
      </c>
      <c r="BU26" t="n">
        <v>1487970275.1696</v>
      </c>
      <c r="BV26" t="n">
        <v>0</v>
      </c>
      <c r="BW26" t="n">
        <v>1003540722.9108</v>
      </c>
      <c r="BX26" t="n">
        <v>0</v>
      </c>
      <c r="BY26" t="n">
        <v>16846757.5155402</v>
      </c>
      <c r="BZ26" t="n">
        <v>25010307.2183309</v>
      </c>
      <c r="CA26" t="n">
        <v>93124436.4617291</v>
      </c>
      <c r="CB26" t="n">
        <v>-1860238372.60985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1290087.74777614</v>
      </c>
      <c r="CJ26" t="n">
        <v>0</v>
      </c>
      <c r="CK26" t="n">
        <v>0</v>
      </c>
      <c r="CL26" t="n">
        <v>0</v>
      </c>
      <c r="CM26" t="n">
        <v>41734573.4695676</v>
      </c>
      <c r="CN26" t="n">
        <v>0</v>
      </c>
    </row>
    <row r="27">
      <c r="A27" t="s">
        <v>122</v>
      </c>
      <c r="B27" t="n">
        <v>1201411.3528018</v>
      </c>
      <c r="C27" t="n">
        <v>0</v>
      </c>
      <c r="D27" t="n">
        <v>657541.587603464</v>
      </c>
      <c r="E27" t="n">
        <v>1011274.81569888</v>
      </c>
      <c r="F27" t="n">
        <v>902884.289794222</v>
      </c>
      <c r="G27" t="n">
        <v>0</v>
      </c>
      <c r="H27" t="n">
        <v>25536534.5795585</v>
      </c>
      <c r="I27" t="n">
        <v>688376.953726183</v>
      </c>
      <c r="J27" t="n">
        <v>1744121.40602266</v>
      </c>
      <c r="K27" t="n">
        <v>1474474.79770968</v>
      </c>
      <c r="L27" t="n">
        <v>1917662.0413694</v>
      </c>
      <c r="M27" t="n">
        <v>53882637.8821491</v>
      </c>
      <c r="N27" t="n">
        <v>9434.12477853345</v>
      </c>
      <c r="O27" t="n">
        <v>19875259.9417066</v>
      </c>
      <c r="P27" t="n">
        <v>19321130.8552776</v>
      </c>
      <c r="Q27" t="n">
        <v>277591.716883512</v>
      </c>
      <c r="R27" t="n">
        <v>168535.10816124</v>
      </c>
      <c r="S27" t="n">
        <v>142989761.598246</v>
      </c>
      <c r="T27" t="n">
        <v>1226914.26262493</v>
      </c>
      <c r="U27" t="n">
        <v>131096.201425604</v>
      </c>
      <c r="V27" t="n">
        <v>1996027.62958548</v>
      </c>
      <c r="W27" t="n">
        <v>0</v>
      </c>
      <c r="X27" t="n">
        <v>110615.48132397</v>
      </c>
      <c r="Y27" t="n">
        <v>17672.5857137394</v>
      </c>
      <c r="Z27" t="n">
        <v>13769687.476843</v>
      </c>
      <c r="AA27" t="n">
        <v>4443333.73042228</v>
      </c>
      <c r="AB27" t="n">
        <v>18378327.7703718</v>
      </c>
      <c r="AC27" t="n">
        <v>14450637.0848588</v>
      </c>
      <c r="AD27" t="n">
        <v>3476954.26356874</v>
      </c>
      <c r="AE27" t="n">
        <v>130994.647133085</v>
      </c>
      <c r="AF27" t="n">
        <v>26341284.1397098</v>
      </c>
      <c r="AG27" t="n">
        <v>0</v>
      </c>
      <c r="AH27" t="n">
        <v>16583.8452145498</v>
      </c>
      <c r="AI27" t="n">
        <v>0</v>
      </c>
      <c r="AJ27" t="n">
        <v>224357.561170971</v>
      </c>
      <c r="AK27" t="n">
        <v>493582.979570641</v>
      </c>
      <c r="AL27" t="n">
        <v>68014.3765455124</v>
      </c>
      <c r="AM27" t="n">
        <v>2083115.15818088</v>
      </c>
      <c r="AN27" t="n">
        <v>6461043.72561655</v>
      </c>
      <c r="AO27" t="n">
        <v>49752.4261482844</v>
      </c>
      <c r="AP27" t="n">
        <v>19438.3021927307</v>
      </c>
      <c r="AQ27" t="n">
        <v>5319550.31474172</v>
      </c>
      <c r="AR27" t="n">
        <v>974579.203619059</v>
      </c>
      <c r="AS27" t="n">
        <v>1138486.79404625</v>
      </c>
      <c r="AT27" t="n">
        <v>437515.68782416</v>
      </c>
      <c r="AU27" t="n">
        <v>562745.825169183</v>
      </c>
      <c r="AV27" t="n">
        <v>0</v>
      </c>
      <c r="AW27" t="n">
        <v>0</v>
      </c>
      <c r="AX27" t="n">
        <v>4189122.92632152</v>
      </c>
      <c r="AY27" t="n">
        <v>1015594.65947561</v>
      </c>
      <c r="AZ27" t="n">
        <v>363953.395437195</v>
      </c>
      <c r="BA27" t="n">
        <v>460065.734958615</v>
      </c>
      <c r="BB27" t="n">
        <v>49491013.3753169</v>
      </c>
      <c r="BC27" t="n">
        <v>511287.913450709</v>
      </c>
      <c r="BD27" t="n">
        <v>45191198.1971018</v>
      </c>
      <c r="BE27" t="n">
        <v>6431328.91739124</v>
      </c>
      <c r="BF27" t="n">
        <v>16455640.0494877</v>
      </c>
      <c r="BG27" t="n">
        <v>511608571.824571</v>
      </c>
      <c r="BH27" t="n">
        <v>872729765.442192</v>
      </c>
      <c r="BI27" t="n">
        <v>24726836.584072</v>
      </c>
      <c r="BJ27" t="n">
        <v>64447518.2513715</v>
      </c>
      <c r="BK27" t="n">
        <v>1923559.64026326</v>
      </c>
      <c r="BL27" t="n">
        <v>7691815.81298518</v>
      </c>
      <c r="BM27" t="n">
        <v>753220.11371972</v>
      </c>
      <c r="BN27" t="n">
        <v>20297349.2586559</v>
      </c>
      <c r="BO27" t="n">
        <v>36544498.5847192</v>
      </c>
      <c r="BP27" t="n">
        <v>8085827.47081481</v>
      </c>
      <c r="BQ27" t="n">
        <v>9507490.65965485</v>
      </c>
      <c r="BR27" t="n">
        <v>0</v>
      </c>
      <c r="BS27" t="n">
        <v>132339810.312335</v>
      </c>
      <c r="BT27" t="n">
        <v>548186.368945945</v>
      </c>
      <c r="BU27" t="n">
        <v>2868988256.72255</v>
      </c>
      <c r="BV27" t="n">
        <v>0</v>
      </c>
      <c r="BW27" t="n">
        <v>1281276256.79767</v>
      </c>
      <c r="BX27" t="n">
        <v>0</v>
      </c>
      <c r="BY27" t="n">
        <v>0</v>
      </c>
      <c r="BZ27" t="n">
        <v>77214783.6724852</v>
      </c>
      <c r="CA27" t="n">
        <v>880721021.785362</v>
      </c>
      <c r="CB27" t="n">
        <v>-4046470230.14041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909953.7340257</v>
      </c>
      <c r="CJ27" t="n">
        <v>0</v>
      </c>
      <c r="CK27" t="n">
        <v>0</v>
      </c>
      <c r="CL27" t="n">
        <v>0</v>
      </c>
      <c r="CM27" t="n">
        <v>23143270.6252799</v>
      </c>
      <c r="CN27" t="n">
        <v>0</v>
      </c>
    </row>
    <row r="28">
      <c r="A28" t="s">
        <v>123</v>
      </c>
      <c r="B28" t="n">
        <v>241392833.901932</v>
      </c>
      <c r="C28" t="n">
        <v>815463.707625841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433982.978377841</v>
      </c>
      <c r="J28" t="n">
        <v>9767320.52486798</v>
      </c>
      <c r="K28" t="n">
        <v>214599.847651526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111588.421784532</v>
      </c>
      <c r="T28" t="n">
        <v>2876753761.08514</v>
      </c>
      <c r="U28" t="n">
        <v>102019.957567462</v>
      </c>
      <c r="V28" t="n">
        <v>2076176.61299573</v>
      </c>
      <c r="W28" t="n">
        <v>12436518.4414735</v>
      </c>
      <c r="X28" t="n">
        <v>5548802.15543495</v>
      </c>
      <c r="Y28" t="n">
        <v>4647478.25180383</v>
      </c>
      <c r="Z28" t="n">
        <v>136949661.895116</v>
      </c>
      <c r="AA28" t="n">
        <v>5946902.07542033</v>
      </c>
      <c r="AB28" t="n">
        <v>33666576.0150189</v>
      </c>
      <c r="AC28" t="n">
        <v>15039.6586521469</v>
      </c>
      <c r="AD28" t="n">
        <v>48075736.8947477</v>
      </c>
      <c r="AE28" t="n">
        <v>13768108.4720318</v>
      </c>
      <c r="AF28" t="n">
        <v>22325472.1746611</v>
      </c>
      <c r="AG28" t="n">
        <v>6961145.99929379</v>
      </c>
      <c r="AH28" t="n">
        <v>26108.3354337733</v>
      </c>
      <c r="AI28" t="n">
        <v>1081049.03421345</v>
      </c>
      <c r="AJ28" t="n">
        <v>766371.016390386</v>
      </c>
      <c r="AK28" t="n">
        <v>0</v>
      </c>
      <c r="AL28" t="n">
        <v>0</v>
      </c>
      <c r="AM28" t="n">
        <v>94493.0179900485</v>
      </c>
      <c r="AN28" t="n">
        <v>0</v>
      </c>
      <c r="AO28" t="n">
        <v>373653.129515437</v>
      </c>
      <c r="AP28" t="n">
        <v>91482.5854528685</v>
      </c>
      <c r="AQ28" t="n">
        <v>0</v>
      </c>
      <c r="AR28" t="n">
        <v>1419716.96512116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78885597.7597358</v>
      </c>
      <c r="BC28" t="n">
        <v>1781620.32154435</v>
      </c>
      <c r="BD28" t="n">
        <v>0</v>
      </c>
      <c r="BE28" t="n">
        <v>0</v>
      </c>
      <c r="BF28" t="n">
        <v>179350028.986701</v>
      </c>
      <c r="BG28" t="n">
        <v>133295.343767627</v>
      </c>
      <c r="BH28" t="n">
        <v>140873436.023517</v>
      </c>
      <c r="BI28" t="n">
        <v>127658792.560333</v>
      </c>
      <c r="BJ28" t="n">
        <v>423663732.215365</v>
      </c>
      <c r="BK28" t="n">
        <v>16263905.7324704</v>
      </c>
      <c r="BL28" t="n">
        <v>96803779.5411197</v>
      </c>
      <c r="BM28" t="n">
        <v>75156029.0316859</v>
      </c>
      <c r="BN28" t="n">
        <v>1061726741.42834</v>
      </c>
      <c r="BO28" t="n">
        <v>25493577.1651571</v>
      </c>
      <c r="BP28" t="n">
        <v>14792086.0492246</v>
      </c>
      <c r="BQ28" t="n">
        <v>620811.701065685</v>
      </c>
      <c r="BR28" t="n">
        <v>11008796.9329173</v>
      </c>
      <c r="BS28" t="n">
        <v>823760341.789308</v>
      </c>
      <c r="BT28" t="n">
        <v>0</v>
      </c>
      <c r="BU28" t="n">
        <v>10501666002.8232</v>
      </c>
      <c r="BV28" t="n">
        <v>0</v>
      </c>
      <c r="BW28" t="n">
        <v>0</v>
      </c>
      <c r="BX28" t="n">
        <v>0</v>
      </c>
      <c r="BY28" t="n">
        <v>0</v>
      </c>
      <c r="BZ28" t="n">
        <v>294684089.345675</v>
      </c>
      <c r="CA28" t="n">
        <v>1599791672.82391</v>
      </c>
      <c r="CB28" t="n">
        <v>-3832690697.0006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124</v>
      </c>
      <c r="B29" t="n">
        <v>931823.323939268</v>
      </c>
      <c r="C29" t="n">
        <v>240039.947938237</v>
      </c>
      <c r="D29" t="n">
        <v>0</v>
      </c>
      <c r="E29" t="n">
        <v>46314.9963115008</v>
      </c>
      <c r="F29" t="n">
        <v>0</v>
      </c>
      <c r="G29" t="n">
        <v>0</v>
      </c>
      <c r="H29" t="n">
        <v>24088258.1621658</v>
      </c>
      <c r="I29" t="n">
        <v>10833409.197838</v>
      </c>
      <c r="J29" t="n">
        <v>5886339.23557172</v>
      </c>
      <c r="K29" t="n">
        <v>0</v>
      </c>
      <c r="L29" t="n">
        <v>10659.0690917154</v>
      </c>
      <c r="M29" t="n">
        <v>7365879.90422692</v>
      </c>
      <c r="N29" t="n">
        <v>8150.72753637432</v>
      </c>
      <c r="O29" t="n">
        <v>0</v>
      </c>
      <c r="P29" t="n">
        <v>12122135.9014175</v>
      </c>
      <c r="Q29" t="n">
        <v>10781904.5707483</v>
      </c>
      <c r="R29" t="n">
        <v>75290730.7676277</v>
      </c>
      <c r="S29" t="n">
        <v>18998041.490622</v>
      </c>
      <c r="T29" t="n">
        <v>4491904.06822453</v>
      </c>
      <c r="U29" t="n">
        <v>84455369.7232836</v>
      </c>
      <c r="V29" t="n">
        <v>20941143.1159296</v>
      </c>
      <c r="W29" t="n">
        <v>90448523.5862809</v>
      </c>
      <c r="X29" t="n">
        <v>3667901.38707745</v>
      </c>
      <c r="Y29" t="n">
        <v>345983.262838828</v>
      </c>
      <c r="Z29" t="n">
        <v>79926.6388680156</v>
      </c>
      <c r="AA29" t="n">
        <v>95830568.8869927</v>
      </c>
      <c r="AB29" t="n">
        <v>49474743.507679</v>
      </c>
      <c r="AC29" t="n">
        <v>769846.691883241</v>
      </c>
      <c r="AD29" t="n">
        <v>2905886.20184095</v>
      </c>
      <c r="AE29" t="n">
        <v>115123112.661048</v>
      </c>
      <c r="AF29" t="n">
        <v>18496169.9644597</v>
      </c>
      <c r="AG29" t="n">
        <v>0</v>
      </c>
      <c r="AH29" t="n">
        <v>0</v>
      </c>
      <c r="AI29" t="n">
        <v>72296.2946925931</v>
      </c>
      <c r="AJ29" t="n">
        <v>281904.446579868</v>
      </c>
      <c r="AK29" t="n">
        <v>0</v>
      </c>
      <c r="AL29" t="n">
        <v>168279.381783251</v>
      </c>
      <c r="AM29" t="n">
        <v>495324.574157387</v>
      </c>
      <c r="AN29" t="n">
        <v>327590.700569345</v>
      </c>
      <c r="AO29" t="n">
        <v>5316.94327278059</v>
      </c>
      <c r="AP29" t="n">
        <v>2304580.9125634</v>
      </c>
      <c r="AQ29" t="n">
        <v>68484.1355900944</v>
      </c>
      <c r="AR29" t="n">
        <v>17088.612404873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943212.412512666</v>
      </c>
      <c r="AY29" t="n">
        <v>2779084.40510806</v>
      </c>
      <c r="AZ29" t="n">
        <v>0</v>
      </c>
      <c r="BA29" t="n">
        <v>0</v>
      </c>
      <c r="BB29" t="n">
        <v>8490794.17932551</v>
      </c>
      <c r="BC29" t="n">
        <v>335997.809962716</v>
      </c>
      <c r="BD29" t="n">
        <v>3813153.24184715</v>
      </c>
      <c r="BE29" t="n">
        <v>6157243.18535648</v>
      </c>
      <c r="BF29" t="n">
        <v>1205491.44678093</v>
      </c>
      <c r="BG29" t="n">
        <v>2963336.95607219</v>
      </c>
      <c r="BH29" t="n">
        <v>18826715.431146</v>
      </c>
      <c r="BI29" t="n">
        <v>124027369.154136</v>
      </c>
      <c r="BJ29" t="n">
        <v>74095716.7716355</v>
      </c>
      <c r="BK29" t="n">
        <v>0</v>
      </c>
      <c r="BL29" t="n">
        <v>6441103.22133544</v>
      </c>
      <c r="BM29" t="n">
        <v>37834550.0448689</v>
      </c>
      <c r="BN29" t="n">
        <v>9627606.84476531</v>
      </c>
      <c r="BO29" t="n">
        <v>17869230.5276107</v>
      </c>
      <c r="BP29" t="n">
        <v>5775521.86553707</v>
      </c>
      <c r="BQ29" t="n">
        <v>6519404.67943367</v>
      </c>
      <c r="BR29" t="n">
        <v>24872.9083708193</v>
      </c>
      <c r="BS29" t="n">
        <v>59986901.2802978</v>
      </c>
      <c r="BT29" t="n">
        <v>393837.596336217</v>
      </c>
      <c r="BU29" t="n">
        <v>542351770.696905</v>
      </c>
      <c r="BV29" t="n">
        <v>0</v>
      </c>
      <c r="BW29" t="n">
        <v>11389153.409821</v>
      </c>
      <c r="BX29" t="n">
        <v>0</v>
      </c>
      <c r="BY29" t="n">
        <v>8779594.03684818</v>
      </c>
      <c r="BZ29" t="n">
        <v>9622176.04078286</v>
      </c>
      <c r="CA29" t="n">
        <v>287888633.283246</v>
      </c>
      <c r="CB29" t="n">
        <v>-1328004320.21446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886944.292326681</v>
      </c>
      <c r="CJ29" t="n">
        <v>0</v>
      </c>
      <c r="CK29" t="n">
        <v>0</v>
      </c>
      <c r="CL29" t="n">
        <v>0</v>
      </c>
      <c r="CM29" t="n">
        <v>110038.56390688</v>
      </c>
      <c r="CN29" t="n">
        <v>0</v>
      </c>
    </row>
    <row r="30">
      <c r="A30" t="s">
        <v>125</v>
      </c>
      <c r="B30" t="n">
        <v>946338.956844419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13529305.452491</v>
      </c>
      <c r="Q30" t="n">
        <v>0</v>
      </c>
      <c r="R30" t="n">
        <v>0</v>
      </c>
      <c r="S30" t="n">
        <v>4567067.89761234</v>
      </c>
      <c r="T30" t="n">
        <v>456941.759811058</v>
      </c>
      <c r="U30" t="n">
        <v>9871209.95430537</v>
      </c>
      <c r="V30" t="n">
        <v>28904838.6142072</v>
      </c>
      <c r="W30" t="n">
        <v>0</v>
      </c>
      <c r="X30" t="n">
        <v>115375990.196704</v>
      </c>
      <c r="Y30" t="n">
        <v>0</v>
      </c>
      <c r="Z30" t="n">
        <v>0</v>
      </c>
      <c r="AA30" t="n">
        <v>12509.6945396615</v>
      </c>
      <c r="AB30" t="n">
        <v>9896027.98189461</v>
      </c>
      <c r="AC30" t="n">
        <v>3198278.67319991</v>
      </c>
      <c r="AD30" t="n">
        <v>184502.289100867</v>
      </c>
      <c r="AE30" t="n">
        <v>1880551.41621097</v>
      </c>
      <c r="AF30" t="n">
        <v>6039046.37524946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1449235.80459217</v>
      </c>
      <c r="AP30" t="n">
        <v>272365.37505157</v>
      </c>
      <c r="AQ30" t="n">
        <v>67505639.5220206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1544762.66532689</v>
      </c>
      <c r="AZ30" t="n">
        <v>0</v>
      </c>
      <c r="BA30" t="n">
        <v>0</v>
      </c>
      <c r="BB30" t="n">
        <v>132567.283530589</v>
      </c>
      <c r="BC30" t="n">
        <v>140273.048509058</v>
      </c>
      <c r="BD30" t="n">
        <v>4668740.72632139</v>
      </c>
      <c r="BE30" t="n">
        <v>716026.821746286</v>
      </c>
      <c r="BF30" t="n">
        <v>4093957.72234169</v>
      </c>
      <c r="BG30" t="n">
        <v>2891499.63781045</v>
      </c>
      <c r="BH30" t="n">
        <v>5313579.67459111</v>
      </c>
      <c r="BI30" t="n">
        <v>0</v>
      </c>
      <c r="BJ30" t="n">
        <v>30774446.1088968</v>
      </c>
      <c r="BK30" t="n">
        <v>2464658.52975463</v>
      </c>
      <c r="BL30" t="n">
        <v>2093871.61674847</v>
      </c>
      <c r="BM30" t="n">
        <v>624988.146940118</v>
      </c>
      <c r="BN30" t="n">
        <v>15680820.6533927</v>
      </c>
      <c r="BO30" t="n">
        <v>55002205.2378042</v>
      </c>
      <c r="BP30" t="n">
        <v>3991255.80111367</v>
      </c>
      <c r="BQ30" t="n">
        <v>2181183.71354447</v>
      </c>
      <c r="BR30" t="n">
        <v>1368463.64441759</v>
      </c>
      <c r="BS30" t="n">
        <v>74982973.4007239</v>
      </c>
      <c r="BT30" t="n">
        <v>137466.099235608</v>
      </c>
      <c r="BU30" t="n">
        <v>5163738417.83524</v>
      </c>
      <c r="BV30" t="n">
        <v>0</v>
      </c>
      <c r="BW30" t="n">
        <v>0</v>
      </c>
      <c r="BX30" t="n">
        <v>0</v>
      </c>
      <c r="BY30" t="n">
        <v>0</v>
      </c>
      <c r="BZ30" t="n">
        <v>-11341747.5206081</v>
      </c>
      <c r="CA30" t="n">
        <v>78244749.5205662</v>
      </c>
      <c r="CB30" t="n">
        <v>-5512357060.30721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126</v>
      </c>
      <c r="B31" t="n">
        <v>5922272.72679517</v>
      </c>
      <c r="C31" t="n">
        <v>0</v>
      </c>
      <c r="D31" t="n">
        <v>1030686.30119563</v>
      </c>
      <c r="E31" t="n">
        <v>3473396.57438627</v>
      </c>
      <c r="F31" t="n">
        <v>1854422.36613624</v>
      </c>
      <c r="G31" t="n">
        <v>375086.581311001</v>
      </c>
      <c r="H31" t="n">
        <v>47025928.5500592</v>
      </c>
      <c r="I31" t="n">
        <v>22063355.5998075</v>
      </c>
      <c r="J31" t="n">
        <v>30442544.1680631</v>
      </c>
      <c r="K31" t="n">
        <v>62866130.2104306</v>
      </c>
      <c r="L31" t="n">
        <v>43280297.3869988</v>
      </c>
      <c r="M31" t="n">
        <v>31740159.7160533</v>
      </c>
      <c r="N31" t="n">
        <v>5257430.39842253</v>
      </c>
      <c r="O31" t="n">
        <v>31015442.3178934</v>
      </c>
      <c r="P31" t="n">
        <v>25413937.9832308</v>
      </c>
      <c r="Q31" t="n">
        <v>4305257.91039193</v>
      </c>
      <c r="R31" t="n">
        <v>23993919.0519478</v>
      </c>
      <c r="S31" t="n">
        <v>34155939.6262905</v>
      </c>
      <c r="T31" t="n">
        <v>448507827.919535</v>
      </c>
      <c r="U31" t="n">
        <v>4069474.27487744</v>
      </c>
      <c r="V31" t="n">
        <v>195726.771874761</v>
      </c>
      <c r="W31" t="n">
        <v>1655838237.47922</v>
      </c>
      <c r="X31" t="n">
        <v>240596909.314381</v>
      </c>
      <c r="Y31" t="n">
        <v>3380236.09786718</v>
      </c>
      <c r="Z31" t="n">
        <v>151694567.604989</v>
      </c>
      <c r="AA31" t="n">
        <v>117283456.183172</v>
      </c>
      <c r="AB31" t="n">
        <v>123539244.203076</v>
      </c>
      <c r="AC31" t="n">
        <v>3036643.24634073</v>
      </c>
      <c r="AD31" t="n">
        <v>26283703.7359216</v>
      </c>
      <c r="AE31" t="n">
        <v>7192923.75889661</v>
      </c>
      <c r="AF31" t="n">
        <v>20172690.1138661</v>
      </c>
      <c r="AG31" t="n">
        <v>448672.893885375</v>
      </c>
      <c r="AH31" t="n">
        <v>1523675.05510013</v>
      </c>
      <c r="AI31" t="n">
        <v>9370.02677944675</v>
      </c>
      <c r="AJ31" t="n">
        <v>4075090.92897728</v>
      </c>
      <c r="AK31" t="n">
        <v>31473926.4752817</v>
      </c>
      <c r="AL31" t="n">
        <v>5042887.33366863</v>
      </c>
      <c r="AM31" t="n">
        <v>23066689.5008358</v>
      </c>
      <c r="AN31" t="n">
        <v>7920494.558816</v>
      </c>
      <c r="AO31" t="n">
        <v>20149500.6856519</v>
      </c>
      <c r="AP31" t="n">
        <v>418775.071772483</v>
      </c>
      <c r="AQ31" t="n">
        <v>9035963.8893658</v>
      </c>
      <c r="AR31" t="n">
        <v>1893950.38066656</v>
      </c>
      <c r="AS31" t="n">
        <v>11092361.867598</v>
      </c>
      <c r="AT31" t="n">
        <v>4935369.67934956</v>
      </c>
      <c r="AU31" t="n">
        <v>22826773.2214731</v>
      </c>
      <c r="AV31" t="n">
        <v>2995.37439933742</v>
      </c>
      <c r="AW31" t="n">
        <v>0</v>
      </c>
      <c r="AX31" t="n">
        <v>9038201.25468274</v>
      </c>
      <c r="AY31" t="n">
        <v>9379388.79510221</v>
      </c>
      <c r="AZ31" t="n">
        <v>7287968.13157368</v>
      </c>
      <c r="BA31" t="n">
        <v>6783121.33657496</v>
      </c>
      <c r="BB31" t="n">
        <v>46455391.1071796</v>
      </c>
      <c r="BC31" t="n">
        <v>31884251.7412248</v>
      </c>
      <c r="BD31" t="n">
        <v>72811321.1740562</v>
      </c>
      <c r="BE31" t="n">
        <v>6722797.58157993</v>
      </c>
      <c r="BF31" t="n">
        <v>9446012.628048</v>
      </c>
      <c r="BG31" t="n">
        <v>27164352.7571577</v>
      </c>
      <c r="BH31" t="n">
        <v>37230409.1556582</v>
      </c>
      <c r="BI31" t="n">
        <v>23496153.1526005</v>
      </c>
      <c r="BJ31" t="n">
        <v>33780448.0743273</v>
      </c>
      <c r="BK31" t="n">
        <v>1287693.22145394</v>
      </c>
      <c r="BL31" t="n">
        <v>2985496.99021207</v>
      </c>
      <c r="BM31" t="n">
        <v>36444489.9552408</v>
      </c>
      <c r="BN31" t="n">
        <v>73429161.0766926</v>
      </c>
      <c r="BO31" t="n">
        <v>17321742.1169885</v>
      </c>
      <c r="BP31" t="n">
        <v>1803078.18419915</v>
      </c>
      <c r="BQ31" t="n">
        <v>29057169.6830532</v>
      </c>
      <c r="BR31" t="n">
        <v>2315451.86809386</v>
      </c>
      <c r="BS31" t="n">
        <v>179681332.365464</v>
      </c>
      <c r="BT31" t="n">
        <v>339611.575885087</v>
      </c>
      <c r="BU31" t="n">
        <v>438565559.577242</v>
      </c>
      <c r="BV31" t="n">
        <v>0</v>
      </c>
      <c r="BW31" t="n">
        <v>0</v>
      </c>
      <c r="BX31" t="n">
        <v>0</v>
      </c>
      <c r="BY31" t="n">
        <v>0</v>
      </c>
      <c r="BZ31" t="n">
        <v>56401002.9579853</v>
      </c>
      <c r="CA31" t="n">
        <v>390622277.44645</v>
      </c>
      <c r="CB31" t="n">
        <v>-1265659430.88835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127</v>
      </c>
      <c r="B32" t="n">
        <v>230782.479386519</v>
      </c>
      <c r="C32" t="n">
        <v>0</v>
      </c>
      <c r="D32" t="n">
        <v>158619.277333045</v>
      </c>
      <c r="E32" t="n">
        <v>76018.5712410753</v>
      </c>
      <c r="F32" t="n">
        <v>0</v>
      </c>
      <c r="G32" t="n">
        <v>255635.948096811</v>
      </c>
      <c r="H32" t="n">
        <v>1119652.09214264</v>
      </c>
      <c r="I32" t="n">
        <v>163581.117755835</v>
      </c>
      <c r="J32" t="n">
        <v>0</v>
      </c>
      <c r="K32" t="n">
        <v>0</v>
      </c>
      <c r="L32" t="n">
        <v>472969.096067732</v>
      </c>
      <c r="M32" t="n">
        <v>125013.744727577</v>
      </c>
      <c r="N32" t="n">
        <v>0</v>
      </c>
      <c r="O32" t="n">
        <v>96460.5851580756</v>
      </c>
      <c r="P32" t="n">
        <v>40401.5458782631</v>
      </c>
      <c r="Q32" t="n">
        <v>0</v>
      </c>
      <c r="R32" t="n">
        <v>0</v>
      </c>
      <c r="S32" t="n">
        <v>0</v>
      </c>
      <c r="T32" t="n">
        <v>1609319.6520712</v>
      </c>
      <c r="U32" t="n">
        <v>0</v>
      </c>
      <c r="V32" t="n">
        <v>25672.037424337</v>
      </c>
      <c r="W32" t="n">
        <v>0</v>
      </c>
      <c r="X32" t="n">
        <v>48292005.1966947</v>
      </c>
      <c r="Y32" t="n">
        <v>29618.6230637314</v>
      </c>
      <c r="Z32" t="n">
        <v>6190697.18630497</v>
      </c>
      <c r="AA32" t="n">
        <v>0</v>
      </c>
      <c r="AB32" t="n">
        <v>287778830.170284</v>
      </c>
      <c r="AC32" t="n">
        <v>6169078.94955333</v>
      </c>
      <c r="AD32" t="n">
        <v>6097971.69274196</v>
      </c>
      <c r="AE32" t="n">
        <v>5265066.99468348</v>
      </c>
      <c r="AF32" t="n">
        <v>129429343.253399</v>
      </c>
      <c r="AG32" t="n">
        <v>155169.144121501</v>
      </c>
      <c r="AH32" t="n">
        <v>277939.328354845</v>
      </c>
      <c r="AI32" t="n">
        <v>0</v>
      </c>
      <c r="AJ32" t="n">
        <v>8609837.71040395</v>
      </c>
      <c r="AK32" t="n">
        <v>3404858.40184159</v>
      </c>
      <c r="AL32" t="n">
        <v>1189714.25637259</v>
      </c>
      <c r="AM32" t="n">
        <v>5019795.60741403</v>
      </c>
      <c r="AN32" t="n">
        <v>877516.348146511</v>
      </c>
      <c r="AO32" t="n">
        <v>70142944.7613474</v>
      </c>
      <c r="AP32" t="n">
        <v>8233277.97543145</v>
      </c>
      <c r="AQ32" t="n">
        <v>26572263.192906</v>
      </c>
      <c r="AR32" t="n">
        <v>54647542.1472611</v>
      </c>
      <c r="AS32" t="n">
        <v>21714197.6476364</v>
      </c>
      <c r="AT32" t="n">
        <v>30550438.3411056</v>
      </c>
      <c r="AU32" t="n">
        <v>148027731.681114</v>
      </c>
      <c r="AV32" t="n">
        <v>0</v>
      </c>
      <c r="AW32" t="n">
        <v>0</v>
      </c>
      <c r="AX32" t="n">
        <v>2225384.0760368</v>
      </c>
      <c r="AY32" t="n">
        <v>8330200.33994897</v>
      </c>
      <c r="AZ32" t="n">
        <v>24051349.2832221</v>
      </c>
      <c r="BA32" t="n">
        <v>7247682.74224815</v>
      </c>
      <c r="BB32" t="n">
        <v>171381068.028692</v>
      </c>
      <c r="BC32" t="n">
        <v>47086956.7812289</v>
      </c>
      <c r="BD32" t="n">
        <v>79134947.1843803</v>
      </c>
      <c r="BE32" t="n">
        <v>538008.578953832</v>
      </c>
      <c r="BF32" t="n">
        <v>41411103.7198391</v>
      </c>
      <c r="BG32" t="n">
        <v>60505304.7221909</v>
      </c>
      <c r="BH32" t="n">
        <v>151048921.869053</v>
      </c>
      <c r="BI32" t="n">
        <v>6365203.25971697</v>
      </c>
      <c r="BJ32" t="n">
        <v>86667167.5568933</v>
      </c>
      <c r="BK32" t="n">
        <v>21678365.1724477</v>
      </c>
      <c r="BL32" t="n">
        <v>6434553.42447115</v>
      </c>
      <c r="BM32" t="n">
        <v>16669219.1202784</v>
      </c>
      <c r="BN32" t="n">
        <v>25109542.5583528</v>
      </c>
      <c r="BO32" t="n">
        <v>39331404.0482306</v>
      </c>
      <c r="BP32" t="n">
        <v>4564261.99851343</v>
      </c>
      <c r="BQ32" t="n">
        <v>35640585.3506504</v>
      </c>
      <c r="BR32" t="n">
        <v>1375122.65915549</v>
      </c>
      <c r="BS32" t="n">
        <v>215485224.959882</v>
      </c>
      <c r="BT32" t="n">
        <v>6561553.73761159</v>
      </c>
      <c r="BU32" t="n">
        <v>99309009.3084266</v>
      </c>
      <c r="BV32" t="n">
        <v>0</v>
      </c>
      <c r="BW32" t="n">
        <v>0</v>
      </c>
      <c r="BX32" t="n">
        <v>0</v>
      </c>
      <c r="BY32" t="n">
        <v>0</v>
      </c>
      <c r="BZ32" t="n">
        <v>6422865.84651621</v>
      </c>
      <c r="CA32" t="n">
        <v>90527447.6859808</v>
      </c>
      <c r="CB32" t="n">
        <v>-100858540.281703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128</v>
      </c>
      <c r="B33" t="n">
        <v>161390844.900629</v>
      </c>
      <c r="C33" t="n">
        <v>2810039.0983282</v>
      </c>
      <c r="D33" t="n">
        <v>113865229.985239</v>
      </c>
      <c r="E33" t="n">
        <v>130215122.565823</v>
      </c>
      <c r="F33" t="n">
        <v>112406162.97309</v>
      </c>
      <c r="G33" t="n">
        <v>507764410.832791</v>
      </c>
      <c r="H33" t="n">
        <v>1125334669.2696</v>
      </c>
      <c r="I33" t="n">
        <v>33807002.0694041</v>
      </c>
      <c r="J33" t="n">
        <v>21256667.7788126</v>
      </c>
      <c r="K33" t="n">
        <v>130800257.926193</v>
      </c>
      <c r="L33" t="n">
        <v>50605343.8145068</v>
      </c>
      <c r="M33" t="n">
        <v>27078386.9029921</v>
      </c>
      <c r="N33" t="n">
        <v>2585125.10894424</v>
      </c>
      <c r="O33" t="n">
        <v>28614384.2434632</v>
      </c>
      <c r="P33" t="n">
        <v>4404347.84371585</v>
      </c>
      <c r="Q33" t="n">
        <v>2911277.80986075</v>
      </c>
      <c r="R33" t="n">
        <v>8783014.35986861</v>
      </c>
      <c r="S33" t="n">
        <v>28499128.5489337</v>
      </c>
      <c r="T33" t="n">
        <v>88498718.8534247</v>
      </c>
      <c r="U33" t="n">
        <v>1398096.89349041</v>
      </c>
      <c r="V33" t="n">
        <v>95150.3091193631</v>
      </c>
      <c r="W33" t="n">
        <v>90979137.4342787</v>
      </c>
      <c r="X33" t="n">
        <v>21536959.1179536</v>
      </c>
      <c r="Y33" t="n">
        <v>325341513.974711</v>
      </c>
      <c r="Z33" t="n">
        <v>444399135.913724</v>
      </c>
      <c r="AA33" t="n">
        <v>35022460.4425943</v>
      </c>
      <c r="AB33" t="n">
        <v>126032985.280667</v>
      </c>
      <c r="AC33" t="n">
        <v>26291089.6186985</v>
      </c>
      <c r="AD33" t="n">
        <v>17180072.2793959</v>
      </c>
      <c r="AE33" t="n">
        <v>8110382.26706582</v>
      </c>
      <c r="AF33" t="n">
        <v>42847138.8042885</v>
      </c>
      <c r="AG33" t="n">
        <v>573186059.944185</v>
      </c>
      <c r="AH33" t="n">
        <v>142201041.705177</v>
      </c>
      <c r="AI33" t="n">
        <v>20508379.2401064</v>
      </c>
      <c r="AJ33" t="n">
        <v>654422075.295399</v>
      </c>
      <c r="AK33" t="n">
        <v>76306956.456248</v>
      </c>
      <c r="AL33" t="n">
        <v>26187036.0951734</v>
      </c>
      <c r="AM33" t="n">
        <v>250447420.999487</v>
      </c>
      <c r="AN33" t="n">
        <v>233854663.075823</v>
      </c>
      <c r="AO33" t="n">
        <v>8098562.27145183</v>
      </c>
      <c r="AP33" t="n">
        <v>1116496.88742522</v>
      </c>
      <c r="AQ33" t="n">
        <v>31945977.4602553</v>
      </c>
      <c r="AR33" t="n">
        <v>8940998.4281888</v>
      </c>
      <c r="AS33" t="n">
        <v>96667412.0614522</v>
      </c>
      <c r="AT33" t="n">
        <v>79053067.9350562</v>
      </c>
      <c r="AU33" t="n">
        <v>3044924.67081031</v>
      </c>
      <c r="AV33" t="n">
        <v>2479544.26496852</v>
      </c>
      <c r="AW33" t="n">
        <v>993589.372246713</v>
      </c>
      <c r="AX33" t="n">
        <v>96981720.5042411</v>
      </c>
      <c r="AY33" t="n">
        <v>35668795.682658</v>
      </c>
      <c r="AZ33" t="n">
        <v>2123016.62797963</v>
      </c>
      <c r="BA33" t="n">
        <v>28229997.9546135</v>
      </c>
      <c r="BB33" t="n">
        <v>64028673.3003523</v>
      </c>
      <c r="BC33" t="n">
        <v>43624956.2202083</v>
      </c>
      <c r="BD33" t="n">
        <v>135520223.674227</v>
      </c>
      <c r="BE33" t="n">
        <v>51760492.1366071</v>
      </c>
      <c r="BF33" t="n">
        <v>76978095.9068462</v>
      </c>
      <c r="BG33" t="n">
        <v>33205737.9485055</v>
      </c>
      <c r="BH33" t="n">
        <v>57440692.0530576</v>
      </c>
      <c r="BI33" t="n">
        <v>41142323.8519037</v>
      </c>
      <c r="BJ33" t="n">
        <v>43685575.9330163</v>
      </c>
      <c r="BK33" t="n">
        <v>7514511.13480404</v>
      </c>
      <c r="BL33" t="n">
        <v>25625022.3114183</v>
      </c>
      <c r="BM33" t="n">
        <v>18113728.0994735</v>
      </c>
      <c r="BN33" t="n">
        <v>99939398.5085262</v>
      </c>
      <c r="BO33" t="n">
        <v>79733438.999222</v>
      </c>
      <c r="BP33" t="n">
        <v>105321507.352432</v>
      </c>
      <c r="BQ33" t="n">
        <v>26908779.6597281</v>
      </c>
      <c r="BR33" t="n">
        <v>40686752.0803472</v>
      </c>
      <c r="BS33" t="n">
        <v>2159156535.40675</v>
      </c>
      <c r="BT33" t="n">
        <v>353430085.231962</v>
      </c>
      <c r="BU33" t="n">
        <v>6595762740.94463</v>
      </c>
      <c r="BV33" t="n">
        <v>0</v>
      </c>
      <c r="BW33" t="n">
        <v>0</v>
      </c>
      <c r="BX33" t="n">
        <v>0</v>
      </c>
      <c r="BY33" t="n">
        <v>0</v>
      </c>
      <c r="BZ33" t="n">
        <v>92380367.5198526</v>
      </c>
      <c r="CA33" t="n">
        <v>769990429.449774</v>
      </c>
      <c r="CB33" t="n">
        <v>-2269727330.01535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129</v>
      </c>
      <c r="B34" t="n">
        <v>236971978.422033</v>
      </c>
      <c r="C34" t="n">
        <v>8130698.0910205</v>
      </c>
      <c r="D34" t="n">
        <v>82945279.1571794</v>
      </c>
      <c r="E34" t="n">
        <v>41221543.8931686</v>
      </c>
      <c r="F34" t="n">
        <v>49012878.3751802</v>
      </c>
      <c r="G34" t="n">
        <v>17239606.4248879</v>
      </c>
      <c r="H34" t="n">
        <v>211379428.706742</v>
      </c>
      <c r="I34" t="n">
        <v>72150957.1069584</v>
      </c>
      <c r="J34" t="n">
        <v>81925039.5655233</v>
      </c>
      <c r="K34" t="n">
        <v>68240262.8962196</v>
      </c>
      <c r="L34" t="n">
        <v>145589037.898059</v>
      </c>
      <c r="M34" t="n">
        <v>42438627.2898033</v>
      </c>
      <c r="N34" t="n">
        <v>21069443.441905</v>
      </c>
      <c r="O34" t="n">
        <v>60409871.8348735</v>
      </c>
      <c r="P34" t="n">
        <v>61629935.1740174</v>
      </c>
      <c r="Q34" t="n">
        <v>11113185.5446032</v>
      </c>
      <c r="R34" t="n">
        <v>33913737.8503292</v>
      </c>
      <c r="S34" t="n">
        <v>122115716.625634</v>
      </c>
      <c r="T34" t="n">
        <v>158912186.428967</v>
      </c>
      <c r="U34" t="n">
        <v>132934666.415794</v>
      </c>
      <c r="V34" t="n">
        <v>1145549.6228578</v>
      </c>
      <c r="W34" t="n">
        <v>300016097.336495</v>
      </c>
      <c r="X34" t="n">
        <v>69389590.5350289</v>
      </c>
      <c r="Y34" t="n">
        <v>313124946.142987</v>
      </c>
      <c r="Z34" t="n">
        <v>6352092015.76445</v>
      </c>
      <c r="AA34" t="n">
        <v>1809173456.66599</v>
      </c>
      <c r="AB34" t="n">
        <v>33431425.3821479</v>
      </c>
      <c r="AC34" t="n">
        <v>2684587.69560988</v>
      </c>
      <c r="AD34" t="n">
        <v>1819238.40060772</v>
      </c>
      <c r="AE34" t="n">
        <v>903495.407897583</v>
      </c>
      <c r="AF34" t="n">
        <v>9806506.72786711</v>
      </c>
      <c r="AG34" t="n">
        <v>17528.5266253236</v>
      </c>
      <c r="AH34" t="n">
        <v>3523983.99341877</v>
      </c>
      <c r="AI34" t="n">
        <v>18030.2401521696</v>
      </c>
      <c r="AJ34" t="n">
        <v>5279306.73115431</v>
      </c>
      <c r="AK34" t="n">
        <v>376293.627915326</v>
      </c>
      <c r="AL34" t="n">
        <v>293419.196882703</v>
      </c>
      <c r="AM34" t="n">
        <v>868917.71273483</v>
      </c>
      <c r="AN34" t="n">
        <v>13863395.5697846</v>
      </c>
      <c r="AO34" t="n">
        <v>3916187.41093726</v>
      </c>
      <c r="AP34" t="n">
        <v>2432310.41347781</v>
      </c>
      <c r="AQ34" t="n">
        <v>30908754.6589387</v>
      </c>
      <c r="AR34" t="n">
        <v>6486546.05319479</v>
      </c>
      <c r="AS34" t="n">
        <v>713112.835750433</v>
      </c>
      <c r="AT34" t="n">
        <v>1017296.4382712</v>
      </c>
      <c r="AU34" t="n">
        <v>1661622.73034745</v>
      </c>
      <c r="AV34" t="n">
        <v>0</v>
      </c>
      <c r="AW34" t="n">
        <v>5976569.28661132</v>
      </c>
      <c r="AX34" t="n">
        <v>132729489.586662</v>
      </c>
      <c r="AY34" t="n">
        <v>1396449.28218486</v>
      </c>
      <c r="AZ34" t="n">
        <v>2502424.65875389</v>
      </c>
      <c r="BA34" t="n">
        <v>3816718.27982384</v>
      </c>
      <c r="BB34" t="n">
        <v>648230881.840878</v>
      </c>
      <c r="BC34" t="n">
        <v>55150330.9252003</v>
      </c>
      <c r="BD34" t="n">
        <v>149430959.340179</v>
      </c>
      <c r="BE34" t="n">
        <v>37160752.5573574</v>
      </c>
      <c r="BF34" t="n">
        <v>27088862.2120063</v>
      </c>
      <c r="BG34" t="n">
        <v>856425584.702994</v>
      </c>
      <c r="BH34" t="n">
        <v>306010198.172677</v>
      </c>
      <c r="BI34" t="n">
        <v>90591283.7917634</v>
      </c>
      <c r="BJ34" t="n">
        <v>15929067.5524367</v>
      </c>
      <c r="BK34" t="n">
        <v>5992375.08163258</v>
      </c>
      <c r="BL34" t="n">
        <v>14638956.4128052</v>
      </c>
      <c r="BM34" t="n">
        <v>1072422.07877549</v>
      </c>
      <c r="BN34" t="n">
        <v>22330689.8961759</v>
      </c>
      <c r="BO34" t="n">
        <v>107457288.686736</v>
      </c>
      <c r="BP34" t="n">
        <v>20299916.5829365</v>
      </c>
      <c r="BQ34" t="n">
        <v>40036705.9058207</v>
      </c>
      <c r="BR34" t="n">
        <v>1589484.28770947</v>
      </c>
      <c r="BS34" t="n">
        <v>524995700.623056</v>
      </c>
      <c r="BT34" t="n">
        <v>21235404.4020138</v>
      </c>
      <c r="BU34" t="n">
        <v>7697068734.99655</v>
      </c>
      <c r="BV34" t="n">
        <v>0</v>
      </c>
      <c r="BW34" t="n">
        <v>74040510.8256298</v>
      </c>
      <c r="BX34" t="n">
        <v>0</v>
      </c>
      <c r="BY34" t="n">
        <v>0</v>
      </c>
      <c r="BZ34" t="n">
        <v>456184925.264227</v>
      </c>
      <c r="CA34" t="n">
        <v>7413689214.73318</v>
      </c>
      <c r="CB34" t="n">
        <v>-12247034268.5096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130</v>
      </c>
      <c r="B35" t="n">
        <v>20173909.4887516</v>
      </c>
      <c r="C35" t="n">
        <v>326663.004023137</v>
      </c>
      <c r="D35" t="n">
        <v>1238480.42350262</v>
      </c>
      <c r="E35" t="n">
        <v>36404282.4311381</v>
      </c>
      <c r="F35" t="n">
        <v>31569355.2027585</v>
      </c>
      <c r="G35" t="n">
        <v>448261.914434869</v>
      </c>
      <c r="H35" t="n">
        <v>515756506.461528</v>
      </c>
      <c r="I35" t="n">
        <v>29077313.2488516</v>
      </c>
      <c r="J35" t="n">
        <v>23393813.9106137</v>
      </c>
      <c r="K35" t="n">
        <v>30170824.0946487</v>
      </c>
      <c r="L35" t="n">
        <v>60378012.39878</v>
      </c>
      <c r="M35" t="n">
        <v>195504007.089818</v>
      </c>
      <c r="N35" t="n">
        <v>26058091.6477503</v>
      </c>
      <c r="O35" t="n">
        <v>59231217.3498996</v>
      </c>
      <c r="P35" t="n">
        <v>139206882.567937</v>
      </c>
      <c r="Q35" t="n">
        <v>29035585.9422336</v>
      </c>
      <c r="R35" t="n">
        <v>56707601.3599809</v>
      </c>
      <c r="S35" t="n">
        <v>87192170.6156721</v>
      </c>
      <c r="T35" t="n">
        <v>345076521.15164</v>
      </c>
      <c r="U35" t="n">
        <v>4274453.81331637</v>
      </c>
      <c r="V35" t="n">
        <v>1007274.37409604</v>
      </c>
      <c r="W35" t="n">
        <v>93710132.2650714</v>
      </c>
      <c r="X35" t="n">
        <v>68320069.9092979</v>
      </c>
      <c r="Y35" t="n">
        <v>6056382.69231973</v>
      </c>
      <c r="Z35" t="n">
        <v>268502293.506874</v>
      </c>
      <c r="AA35" t="n">
        <v>531765263.820381</v>
      </c>
      <c r="AB35" t="n">
        <v>317029248.719657</v>
      </c>
      <c r="AC35" t="n">
        <v>19436903.8373598</v>
      </c>
      <c r="AD35" t="n">
        <v>32505367.0985329</v>
      </c>
      <c r="AE35" t="n">
        <v>8146304.52900234</v>
      </c>
      <c r="AF35" t="n">
        <v>56149075.1545531</v>
      </c>
      <c r="AG35" t="n">
        <v>10698450.797413</v>
      </c>
      <c r="AH35" t="n">
        <v>65780.8380589457</v>
      </c>
      <c r="AI35" t="n">
        <v>0</v>
      </c>
      <c r="AJ35" t="n">
        <v>25142520.1941357</v>
      </c>
      <c r="AK35" t="n">
        <v>1590166.18001504</v>
      </c>
      <c r="AL35" t="n">
        <v>14001493.740011</v>
      </c>
      <c r="AM35" t="n">
        <v>22431426.1690044</v>
      </c>
      <c r="AN35" t="n">
        <v>13941747.5998199</v>
      </c>
      <c r="AO35" t="n">
        <v>3271141.26148562</v>
      </c>
      <c r="AP35" t="n">
        <v>612135.604607446</v>
      </c>
      <c r="AQ35" t="n">
        <v>150163020.764253</v>
      </c>
      <c r="AR35" t="n">
        <v>5260376.19904671</v>
      </c>
      <c r="AS35" t="n">
        <v>606086.913225354</v>
      </c>
      <c r="AT35" t="n">
        <v>1618481.05610094</v>
      </c>
      <c r="AU35" t="n">
        <v>25598432.3119554</v>
      </c>
      <c r="AV35" t="n">
        <v>0</v>
      </c>
      <c r="AW35" t="n">
        <v>183086.297344966</v>
      </c>
      <c r="AX35" t="n">
        <v>6636386.9494911</v>
      </c>
      <c r="AY35" t="n">
        <v>26465763.7117745</v>
      </c>
      <c r="AZ35" t="n">
        <v>560339.229467447</v>
      </c>
      <c r="BA35" t="n">
        <v>24707170.2514885</v>
      </c>
      <c r="BB35" t="n">
        <v>133117726.555821</v>
      </c>
      <c r="BC35" t="n">
        <v>3314316.92305402</v>
      </c>
      <c r="BD35" t="n">
        <v>34228549.4300126</v>
      </c>
      <c r="BE35" t="n">
        <v>8465293.64899051</v>
      </c>
      <c r="BF35" t="n">
        <v>25956787.7574836</v>
      </c>
      <c r="BG35" t="n">
        <v>174913374.659567</v>
      </c>
      <c r="BH35" t="n">
        <v>119522080.726185</v>
      </c>
      <c r="BI35" t="n">
        <v>45553539.4721306</v>
      </c>
      <c r="BJ35" t="n">
        <v>45237692.2814709</v>
      </c>
      <c r="BK35" t="n">
        <v>906619.068995286</v>
      </c>
      <c r="BL35" t="n">
        <v>4850625.07600622</v>
      </c>
      <c r="BM35" t="n">
        <v>1830062.30975492</v>
      </c>
      <c r="BN35" t="n">
        <v>101462976.855328</v>
      </c>
      <c r="BO35" t="n">
        <v>63260385.8092235</v>
      </c>
      <c r="BP35" t="n">
        <v>17981575.2182853</v>
      </c>
      <c r="BQ35" t="n">
        <v>15283929.4902037</v>
      </c>
      <c r="BR35" t="n">
        <v>659616.408971385</v>
      </c>
      <c r="BS35" t="n">
        <v>209844527.604914</v>
      </c>
      <c r="BT35" t="n">
        <v>31184448.4024731</v>
      </c>
      <c r="BU35" t="n">
        <v>1089957796.08177</v>
      </c>
      <c r="BV35" t="n">
        <v>0</v>
      </c>
      <c r="BW35" t="n">
        <v>9302503.5183916</v>
      </c>
      <c r="BX35" t="n">
        <v>0</v>
      </c>
      <c r="BY35" t="n">
        <v>604912.039312274</v>
      </c>
      <c r="BZ35" t="n">
        <v>83542410.9105504</v>
      </c>
      <c r="CA35" t="n">
        <v>1299419601.96376</v>
      </c>
      <c r="CB35" t="n">
        <v>-2311391249.41284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298987.977884489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131</v>
      </c>
      <c r="B36" t="n">
        <v>245672447.029664</v>
      </c>
      <c r="C36" t="n">
        <v>6034864.7681034</v>
      </c>
      <c r="D36" t="n">
        <v>59042236.984731</v>
      </c>
      <c r="E36" t="n">
        <v>53148284.5243279</v>
      </c>
      <c r="F36" t="n">
        <v>53853303.808374</v>
      </c>
      <c r="G36" t="n">
        <v>71057584.4759259</v>
      </c>
      <c r="H36" t="n">
        <v>877127164.037093</v>
      </c>
      <c r="I36" t="n">
        <v>130318163.367326</v>
      </c>
      <c r="J36" t="n">
        <v>77510979.144349</v>
      </c>
      <c r="K36" t="n">
        <v>653773195.941158</v>
      </c>
      <c r="L36" t="n">
        <v>263733236.572986</v>
      </c>
      <c r="M36" t="n">
        <v>286609563.085812</v>
      </c>
      <c r="N36" t="n">
        <v>66042744.1722637</v>
      </c>
      <c r="O36" t="n">
        <v>154619582.55728</v>
      </c>
      <c r="P36" t="n">
        <v>221386572.46943</v>
      </c>
      <c r="Q36" t="n">
        <v>68313046.1121565</v>
      </c>
      <c r="R36" t="n">
        <v>63707108.0808017</v>
      </c>
      <c r="S36" t="n">
        <v>95901902.129332</v>
      </c>
      <c r="T36" t="n">
        <v>859440155.233145</v>
      </c>
      <c r="U36" t="n">
        <v>20859063.3534791</v>
      </c>
      <c r="V36" t="n">
        <v>8128896.85415184</v>
      </c>
      <c r="W36" t="n">
        <v>266405346.32259</v>
      </c>
      <c r="X36" t="n">
        <v>58985758.9152672</v>
      </c>
      <c r="Y36" t="n">
        <v>122049422.531128</v>
      </c>
      <c r="Z36" t="n">
        <v>828586802.226124</v>
      </c>
      <c r="AA36" t="n">
        <v>294086380.823722</v>
      </c>
      <c r="AB36" t="n">
        <v>569789292.387891</v>
      </c>
      <c r="AC36" t="n">
        <v>44918957.9483799</v>
      </c>
      <c r="AD36" t="n">
        <v>34417831.7913676</v>
      </c>
      <c r="AE36" t="n">
        <v>29169703.6311412</v>
      </c>
      <c r="AF36" t="n">
        <v>149192215.672838</v>
      </c>
      <c r="AG36" t="n">
        <v>26114540.605903</v>
      </c>
      <c r="AH36" t="n">
        <v>23124322.7871266</v>
      </c>
      <c r="AI36" t="n">
        <v>2786711.8771034</v>
      </c>
      <c r="AJ36" t="n">
        <v>120407013.125552</v>
      </c>
      <c r="AK36" t="n">
        <v>15394034.3392032</v>
      </c>
      <c r="AL36" t="n">
        <v>24038408.6736874</v>
      </c>
      <c r="AM36" t="n">
        <v>44766857.3438485</v>
      </c>
      <c r="AN36" t="n">
        <v>55479366.9094127</v>
      </c>
      <c r="AO36" t="n">
        <v>70659865.615373</v>
      </c>
      <c r="AP36" t="n">
        <v>1547844.28256262</v>
      </c>
      <c r="AQ36" t="n">
        <v>256006549.656004</v>
      </c>
      <c r="AR36" t="n">
        <v>18396648.7396147</v>
      </c>
      <c r="AS36" t="n">
        <v>17184620.3366401</v>
      </c>
      <c r="AT36" t="n">
        <v>15477037.7371938</v>
      </c>
      <c r="AU36" t="n">
        <v>15497885.3753593</v>
      </c>
      <c r="AV36" t="n">
        <v>784177.759215414</v>
      </c>
      <c r="AW36" t="n">
        <v>6447679.67742245</v>
      </c>
      <c r="AX36" t="n">
        <v>36970880.2840552</v>
      </c>
      <c r="AY36" t="n">
        <v>106531889.221827</v>
      </c>
      <c r="AZ36" t="n">
        <v>7927940.97638465</v>
      </c>
      <c r="BA36" t="n">
        <v>34957175.5578232</v>
      </c>
      <c r="BB36" t="n">
        <v>212298051.185095</v>
      </c>
      <c r="BC36" t="n">
        <v>69060021.4311787</v>
      </c>
      <c r="BD36" t="n">
        <v>113482301.917434</v>
      </c>
      <c r="BE36" t="n">
        <v>40633389.3170267</v>
      </c>
      <c r="BF36" t="n">
        <v>64253339.240061</v>
      </c>
      <c r="BG36" t="n">
        <v>337084934.990133</v>
      </c>
      <c r="BH36" t="n">
        <v>255852603.207544</v>
      </c>
      <c r="BI36" t="n">
        <v>64392313.6085727</v>
      </c>
      <c r="BJ36" t="n">
        <v>96288284.862236</v>
      </c>
      <c r="BK36" t="n">
        <v>7689041.79965305</v>
      </c>
      <c r="BL36" t="n">
        <v>39891967.4201001</v>
      </c>
      <c r="BM36" t="n">
        <v>26982423.2034862</v>
      </c>
      <c r="BN36" t="n">
        <v>239288662.969118</v>
      </c>
      <c r="BO36" t="n">
        <v>131741118.967644</v>
      </c>
      <c r="BP36" t="n">
        <v>43100343.1203512</v>
      </c>
      <c r="BQ36" t="n">
        <v>37247968.3559332</v>
      </c>
      <c r="BR36" t="n">
        <v>15092484.1067774</v>
      </c>
      <c r="BS36" t="n">
        <v>366133391.378925</v>
      </c>
      <c r="BT36" t="n">
        <v>74269140.9758441</v>
      </c>
      <c r="BU36" t="n">
        <v>6325838109.546</v>
      </c>
      <c r="BV36" t="n">
        <v>920528.522118993</v>
      </c>
      <c r="BW36" t="n">
        <v>2191335310.0158</v>
      </c>
      <c r="BX36" t="n">
        <v>252962424.663139</v>
      </c>
      <c r="BY36" t="n">
        <v>43090480.4187618</v>
      </c>
      <c r="BZ36" t="n">
        <v>326964650.068035</v>
      </c>
      <c r="CA36" t="n">
        <v>7390286215.11654</v>
      </c>
      <c r="CB36" t="n">
        <v>2752807639.77288</v>
      </c>
      <c r="CC36" t="n">
        <v>0</v>
      </c>
      <c r="CD36" t="n">
        <v>0</v>
      </c>
      <c r="CE36" t="n">
        <v>64908258.3100963</v>
      </c>
      <c r="CF36" t="n">
        <v>5739940.52909083</v>
      </c>
      <c r="CG36" t="n">
        <v>0</v>
      </c>
      <c r="CH36" t="n">
        <v>0</v>
      </c>
      <c r="CI36" t="n">
        <v>14842488.3501478</v>
      </c>
      <c r="CJ36" t="n">
        <v>0</v>
      </c>
      <c r="CK36" t="n">
        <v>0</v>
      </c>
      <c r="CL36" t="n">
        <v>0</v>
      </c>
      <c r="CM36" t="n">
        <v>123715206.050539</v>
      </c>
      <c r="CN36" t="n">
        <v>28106923.3539118</v>
      </c>
    </row>
    <row r="37">
      <c r="A37" t="s">
        <v>132</v>
      </c>
      <c r="B37" t="n">
        <v>281212.590740463</v>
      </c>
      <c r="C37" t="n">
        <v>19232.8965004266</v>
      </c>
      <c r="D37" t="n">
        <v>4500672.97775133</v>
      </c>
      <c r="E37" t="n">
        <v>7549344.39877463</v>
      </c>
      <c r="F37" t="n">
        <v>8354401.51490102</v>
      </c>
      <c r="G37" t="n">
        <v>530625.821787887</v>
      </c>
      <c r="H37" t="n">
        <v>72561566.5521812</v>
      </c>
      <c r="I37" t="n">
        <v>14202014.990639</v>
      </c>
      <c r="J37" t="n">
        <v>6082849.98132909</v>
      </c>
      <c r="K37" t="n">
        <v>9798843.45175012</v>
      </c>
      <c r="L37" t="n">
        <v>17435214.9844419</v>
      </c>
      <c r="M37" t="n">
        <v>67711347.4632566</v>
      </c>
      <c r="N37" t="n">
        <v>2658749.35266269</v>
      </c>
      <c r="O37" t="n">
        <v>176308.42988223</v>
      </c>
      <c r="P37" t="n">
        <v>39839384.2541308</v>
      </c>
      <c r="Q37" t="n">
        <v>10208345.6634682</v>
      </c>
      <c r="R37" t="n">
        <v>4173196.41937715</v>
      </c>
      <c r="S37" t="n">
        <v>9377670.07510754</v>
      </c>
      <c r="T37" t="n">
        <v>50448476.6514424</v>
      </c>
      <c r="U37" t="n">
        <v>409047.852539681</v>
      </c>
      <c r="V37" t="n">
        <v>0</v>
      </c>
      <c r="W37" t="n">
        <v>22058055.3614322</v>
      </c>
      <c r="X37" t="n">
        <v>1844206.49452475</v>
      </c>
      <c r="Y37" t="n">
        <v>54136.2352206601</v>
      </c>
      <c r="Z37" t="n">
        <v>23912730.3731343</v>
      </c>
      <c r="AA37" t="n">
        <v>7951099.6332312</v>
      </c>
      <c r="AB37" t="n">
        <v>3550430.60105246</v>
      </c>
      <c r="AC37" t="n">
        <v>42530179.8803114</v>
      </c>
      <c r="AD37" t="n">
        <v>24400427.7335897</v>
      </c>
      <c r="AE37" t="n">
        <v>4318477.36403759</v>
      </c>
      <c r="AF37" t="n">
        <v>38363349.0212399</v>
      </c>
      <c r="AG37" t="n">
        <v>0</v>
      </c>
      <c r="AH37" t="n">
        <v>270939.245658858</v>
      </c>
      <c r="AI37" t="n">
        <v>0</v>
      </c>
      <c r="AJ37" t="n">
        <v>56556785.3705335</v>
      </c>
      <c r="AK37" t="n">
        <v>222261.48409894</v>
      </c>
      <c r="AL37" t="n">
        <v>138898.455370223</v>
      </c>
      <c r="AM37" t="n">
        <v>313769.590245325</v>
      </c>
      <c r="AN37" t="n">
        <v>3851345.23647267</v>
      </c>
      <c r="AO37" t="n">
        <v>1231657.73187088</v>
      </c>
      <c r="AP37" t="n">
        <v>482803.094471734</v>
      </c>
      <c r="AQ37" t="n">
        <v>4662130.23532156</v>
      </c>
      <c r="AR37" t="n">
        <v>193887.571883079</v>
      </c>
      <c r="AS37" t="n">
        <v>1099356.42875384</v>
      </c>
      <c r="AT37" t="n">
        <v>206161.703042684</v>
      </c>
      <c r="AU37" t="n">
        <v>659945.485962081</v>
      </c>
      <c r="AV37" t="n">
        <v>0</v>
      </c>
      <c r="AW37" t="n">
        <v>2941726.5150687</v>
      </c>
      <c r="AX37" t="n">
        <v>5194615.78723144</v>
      </c>
      <c r="AY37" t="n">
        <v>14418046.5100912</v>
      </c>
      <c r="AZ37" t="n">
        <v>0</v>
      </c>
      <c r="BA37" t="n">
        <v>705461.037333536</v>
      </c>
      <c r="BB37" t="n">
        <v>18867371.7789167</v>
      </c>
      <c r="BC37" t="n">
        <v>0</v>
      </c>
      <c r="BD37" t="n">
        <v>82564128.7525562</v>
      </c>
      <c r="BE37" t="n">
        <v>2627382.59536348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188607.135485983</v>
      </c>
      <c r="BL37" t="n">
        <v>697160.661235728</v>
      </c>
      <c r="BM37" t="n">
        <v>783843.355006902</v>
      </c>
      <c r="BN37" t="n">
        <v>4122177.680943</v>
      </c>
      <c r="BO37" t="n">
        <v>120331577.185141</v>
      </c>
      <c r="BP37" t="n">
        <v>0</v>
      </c>
      <c r="BQ37" t="n">
        <v>0</v>
      </c>
      <c r="BR37" t="n">
        <v>0</v>
      </c>
      <c r="BS37" t="n">
        <v>0</v>
      </c>
      <c r="BT37" t="n">
        <v>60830.426313647</v>
      </c>
      <c r="BU37" t="n">
        <v>10295127188.5301</v>
      </c>
      <c r="BV37" t="n">
        <v>0</v>
      </c>
      <c r="BW37" t="n">
        <v>1053498801.85217</v>
      </c>
      <c r="BX37" t="n">
        <v>0</v>
      </c>
      <c r="BY37" t="n">
        <v>235734.780205624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133</v>
      </c>
      <c r="B38" t="n">
        <v>1081586.88746332</v>
      </c>
      <c r="C38" t="n">
        <v>0</v>
      </c>
      <c r="D38" t="n">
        <v>27611.4906610511</v>
      </c>
      <c r="E38" t="n">
        <v>0</v>
      </c>
      <c r="F38" t="n">
        <v>0</v>
      </c>
      <c r="G38" t="n">
        <v>3070049.39748706</v>
      </c>
      <c r="H38" t="n">
        <v>7259630.16247289</v>
      </c>
      <c r="I38" t="n">
        <v>0</v>
      </c>
      <c r="J38" t="n">
        <v>90788.805691479</v>
      </c>
      <c r="K38" t="n">
        <v>0</v>
      </c>
      <c r="L38" t="n">
        <v>100781.589505445</v>
      </c>
      <c r="M38" t="n">
        <v>571243.088835123</v>
      </c>
      <c r="N38" t="n">
        <v>19266.299656976</v>
      </c>
      <c r="O38" t="n">
        <v>117538.95325482</v>
      </c>
      <c r="P38" t="n">
        <v>98460.016692322</v>
      </c>
      <c r="Q38" t="n">
        <v>0</v>
      </c>
      <c r="R38" t="n">
        <v>215113.217493668</v>
      </c>
      <c r="S38" t="n">
        <v>419326.71067554</v>
      </c>
      <c r="T38" t="n">
        <v>523557.207650255</v>
      </c>
      <c r="U38" t="n">
        <v>0</v>
      </c>
      <c r="V38" t="n">
        <v>0</v>
      </c>
      <c r="W38" t="n">
        <v>71385.2924318196</v>
      </c>
      <c r="X38" t="n">
        <v>782390.634040802</v>
      </c>
      <c r="Y38" t="n">
        <v>72181.6469608801</v>
      </c>
      <c r="Z38" t="n">
        <v>2752932.84205383</v>
      </c>
      <c r="AA38" t="n">
        <v>57202.1556347569</v>
      </c>
      <c r="AB38" t="n">
        <v>284034.448084197</v>
      </c>
      <c r="AC38" t="n">
        <v>429203.65016828</v>
      </c>
      <c r="AD38" t="n">
        <v>1014762.59005477</v>
      </c>
      <c r="AE38" t="n">
        <v>343949.524569366</v>
      </c>
      <c r="AF38" t="n">
        <v>1384089.45488395</v>
      </c>
      <c r="AG38" t="n">
        <v>0</v>
      </c>
      <c r="AH38" t="n">
        <v>135469.622829429</v>
      </c>
      <c r="AI38" t="n">
        <v>0</v>
      </c>
      <c r="AJ38" t="n">
        <v>9456294.5139532</v>
      </c>
      <c r="AK38" t="n">
        <v>1037220.25912839</v>
      </c>
      <c r="AL38" t="n">
        <v>0</v>
      </c>
      <c r="AM38" t="n">
        <v>969833.278940096</v>
      </c>
      <c r="AN38" t="n">
        <v>0</v>
      </c>
      <c r="AO38" t="n">
        <v>25135.8720789975</v>
      </c>
      <c r="AP38" t="n">
        <v>0</v>
      </c>
      <c r="AQ38" t="n">
        <v>0</v>
      </c>
      <c r="AR38" t="n">
        <v>32314.5953138465</v>
      </c>
      <c r="AS38" t="n">
        <v>99941.4935230763</v>
      </c>
      <c r="AT38" t="n">
        <v>88355.0155897215</v>
      </c>
      <c r="AU38" t="n">
        <v>47138.9632830058</v>
      </c>
      <c r="AV38" t="n">
        <v>0</v>
      </c>
      <c r="AW38" t="n">
        <v>2317723.92096322</v>
      </c>
      <c r="AX38" t="n">
        <v>455304.969398772</v>
      </c>
      <c r="AY38" t="n">
        <v>76964.6610858962</v>
      </c>
      <c r="AZ38" t="n">
        <v>0</v>
      </c>
      <c r="BA38" t="n">
        <v>28218.4414933414</v>
      </c>
      <c r="BB38" t="n">
        <v>189431.443563421</v>
      </c>
      <c r="BC38" t="n">
        <v>0</v>
      </c>
      <c r="BD38" t="n">
        <v>2330564.41717791</v>
      </c>
      <c r="BE38" t="n">
        <v>0</v>
      </c>
      <c r="BF38" t="n">
        <v>667673.404149046</v>
      </c>
      <c r="BG38" t="n">
        <v>91072.1693435054</v>
      </c>
      <c r="BH38" t="n">
        <v>251087.677057062</v>
      </c>
      <c r="BI38" t="n">
        <v>61343.690103904</v>
      </c>
      <c r="BJ38" t="n">
        <v>59295.8666884496</v>
      </c>
      <c r="BK38" t="n">
        <v>301771.416777573</v>
      </c>
      <c r="BL38" t="n">
        <v>658429.513389299</v>
      </c>
      <c r="BM38" t="n">
        <v>878854.670765315</v>
      </c>
      <c r="BN38" t="n">
        <v>42436061.7076923</v>
      </c>
      <c r="BO38" t="n">
        <v>1017106.95930223</v>
      </c>
      <c r="BP38" t="n">
        <v>0</v>
      </c>
      <c r="BQ38" t="n">
        <v>0</v>
      </c>
      <c r="BR38" t="n">
        <v>0</v>
      </c>
      <c r="BS38" t="n">
        <v>681062.026281386</v>
      </c>
      <c r="BT38" t="n">
        <v>0</v>
      </c>
      <c r="BU38" t="n">
        <v>9416084395.04896</v>
      </c>
      <c r="BV38" t="n">
        <v>0</v>
      </c>
      <c r="BW38" t="n">
        <v>10768131.7462356</v>
      </c>
      <c r="BX38" t="n">
        <v>45627.6768908288</v>
      </c>
      <c r="BY38" t="n">
        <v>304698.067988511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134</v>
      </c>
      <c r="B39" t="n">
        <v>108311.560469221</v>
      </c>
      <c r="C39" t="n">
        <v>0</v>
      </c>
      <c r="D39" t="n">
        <v>10473.6806065276</v>
      </c>
      <c r="E39" t="n">
        <v>12297.8487192074</v>
      </c>
      <c r="F39" t="n">
        <v>12392.8109674058</v>
      </c>
      <c r="G39" t="n">
        <v>296167.25311015</v>
      </c>
      <c r="H39" t="n">
        <v>2048840.14982229</v>
      </c>
      <c r="I39" t="n">
        <v>30243.6749582525</v>
      </c>
      <c r="J39" t="n">
        <v>18941.0680800762</v>
      </c>
      <c r="K39" t="n">
        <v>16895.1328480076</v>
      </c>
      <c r="L39" t="n">
        <v>42051.6810085118</v>
      </c>
      <c r="M39" t="n">
        <v>206573.786265648</v>
      </c>
      <c r="N39" t="n">
        <v>8769.78667557983</v>
      </c>
      <c r="O39" t="n">
        <v>24521.8923049385</v>
      </c>
      <c r="P39" t="n">
        <v>78898.0183202221</v>
      </c>
      <c r="Q39" t="n">
        <v>15014.8971136191</v>
      </c>
      <c r="R39" t="n">
        <v>50590.4168809899</v>
      </c>
      <c r="S39" t="n">
        <v>93990.2211317677</v>
      </c>
      <c r="T39" t="n">
        <v>174482.02423536</v>
      </c>
      <c r="U39" t="n">
        <v>2738.14172227727</v>
      </c>
      <c r="V39" t="n">
        <v>0</v>
      </c>
      <c r="W39" t="n">
        <v>46032.7729346932</v>
      </c>
      <c r="X39" t="n">
        <v>99632.9381282701</v>
      </c>
      <c r="Y39" t="n">
        <v>5476.03550421724</v>
      </c>
      <c r="Z39" t="n">
        <v>300990.125487793</v>
      </c>
      <c r="AA39" t="n">
        <v>26037.7296747015</v>
      </c>
      <c r="AB39" t="n">
        <v>40402.8271282581</v>
      </c>
      <c r="AC39" t="n">
        <v>130245.541675431</v>
      </c>
      <c r="AD39" t="n">
        <v>80483.9109042678</v>
      </c>
      <c r="AE39" t="n">
        <v>15946.0955354559</v>
      </c>
      <c r="AF39" t="n">
        <v>132395.672486304</v>
      </c>
      <c r="AG39" t="n">
        <v>0</v>
      </c>
      <c r="AH39" t="n">
        <v>15416.0336233167</v>
      </c>
      <c r="AI39" t="n">
        <v>219.738133443985</v>
      </c>
      <c r="AJ39" t="n">
        <v>1019461.01134325</v>
      </c>
      <c r="AK39" t="n">
        <v>101170.740435344</v>
      </c>
      <c r="AL39" t="n">
        <v>5268.74146762334</v>
      </c>
      <c r="AM39" t="n">
        <v>97380.0845633791</v>
      </c>
      <c r="AN39" t="n">
        <v>5618.86470876848</v>
      </c>
      <c r="AO39" t="n">
        <v>4767.31044972732</v>
      </c>
      <c r="AP39" t="n">
        <v>989.937529488188</v>
      </c>
      <c r="AQ39" t="n">
        <v>7368.5601329004</v>
      </c>
      <c r="AR39" t="n">
        <v>3064.41939699262</v>
      </c>
      <c r="AS39" t="n">
        <v>14216.299864289</v>
      </c>
      <c r="AT39" t="n">
        <v>8937.36330893465</v>
      </c>
      <c r="AU39" t="n">
        <v>5364.27154487689</v>
      </c>
      <c r="AV39" t="n">
        <v>0</v>
      </c>
      <c r="AW39" t="n">
        <v>456490.344675766</v>
      </c>
      <c r="AX39" t="n">
        <v>123250.541067404</v>
      </c>
      <c r="AY39" t="n">
        <v>45738.0281041225</v>
      </c>
      <c r="AZ39" t="n">
        <v>1748.27492166953</v>
      </c>
      <c r="BA39" t="n">
        <v>4281.56446956556</v>
      </c>
      <c r="BB39" t="n">
        <v>54610.3718344961</v>
      </c>
      <c r="BC39" t="n">
        <v>0</v>
      </c>
      <c r="BD39" t="n">
        <v>386618.974218515</v>
      </c>
      <c r="BE39" t="n">
        <v>4599.81843280546</v>
      </c>
      <c r="BF39" t="n">
        <v>143516.295680849</v>
      </c>
      <c r="BG39" t="n">
        <v>17272.8960119671</v>
      </c>
      <c r="BH39" t="n">
        <v>15238.9433284179</v>
      </c>
      <c r="BI39" t="n">
        <v>2326.90884118185</v>
      </c>
      <c r="BJ39" t="n">
        <v>6747.69040837891</v>
      </c>
      <c r="BK39" t="n">
        <v>5723.44585503684</v>
      </c>
      <c r="BL39" t="n">
        <v>10284.1376415778</v>
      </c>
      <c r="BM39" t="n">
        <v>54961.0028628948</v>
      </c>
      <c r="BN39" t="n">
        <v>355151.857202301</v>
      </c>
      <c r="BO39" t="n">
        <v>381360.645248821</v>
      </c>
      <c r="BP39" t="n">
        <v>0</v>
      </c>
      <c r="BQ39" t="n">
        <v>3651.88409227828</v>
      </c>
      <c r="BR39" t="n">
        <v>0</v>
      </c>
      <c r="BS39" t="n">
        <v>28417.6933671484</v>
      </c>
      <c r="BT39" t="n">
        <v>0</v>
      </c>
      <c r="BU39" t="n">
        <v>327030205.054582</v>
      </c>
      <c r="BV39" t="n">
        <v>0</v>
      </c>
      <c r="BW39" t="n">
        <v>2851798.93429361</v>
      </c>
      <c r="BX39" t="n">
        <v>764028.876947481</v>
      </c>
      <c r="BY39" t="n">
        <v>269343.638220996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135</v>
      </c>
      <c r="B40" t="n">
        <v>28506737.8433266</v>
      </c>
      <c r="C40" t="n">
        <v>187744.420262371</v>
      </c>
      <c r="D40" t="n">
        <v>1459971.26559761</v>
      </c>
      <c r="E40" t="n">
        <v>4860180.98815535</v>
      </c>
      <c r="F40" t="n">
        <v>759334.979572312</v>
      </c>
      <c r="G40" t="n">
        <v>85743741.7222625</v>
      </c>
      <c r="H40" t="n">
        <v>2225802848.80017</v>
      </c>
      <c r="I40" t="n">
        <v>15566014.4484524</v>
      </c>
      <c r="J40" t="n">
        <v>627758.102586949</v>
      </c>
      <c r="K40" t="n">
        <v>1721023.6814285</v>
      </c>
      <c r="L40" t="n">
        <v>5656807.40250443</v>
      </c>
      <c r="M40" t="n">
        <v>33674436.8809349</v>
      </c>
      <c r="N40" t="n">
        <v>1426201.2121844</v>
      </c>
      <c r="O40" t="n">
        <v>6119316.14469895</v>
      </c>
      <c r="P40" t="n">
        <v>8469960.388261</v>
      </c>
      <c r="Q40" t="n">
        <v>965995.806293559</v>
      </c>
      <c r="R40" t="n">
        <v>11479210.8658709</v>
      </c>
      <c r="S40" t="n">
        <v>21210799.6652786</v>
      </c>
      <c r="T40" t="n">
        <v>30208311.6919178</v>
      </c>
      <c r="U40" t="n">
        <v>841656.243365867</v>
      </c>
      <c r="V40" t="n">
        <v>25446.810869146</v>
      </c>
      <c r="W40" t="n">
        <v>5516624.78635922</v>
      </c>
      <c r="X40" t="n">
        <v>38914411.7695582</v>
      </c>
      <c r="Y40" t="n">
        <v>4286380.74493254</v>
      </c>
      <c r="Z40" t="n">
        <v>142488967.684202</v>
      </c>
      <c r="AA40" t="n">
        <v>4699751.19739886</v>
      </c>
      <c r="AB40" t="n">
        <v>16144847.0154434</v>
      </c>
      <c r="AC40" t="n">
        <v>35612681.5856974</v>
      </c>
      <c r="AD40" t="n">
        <v>12157040.8440035</v>
      </c>
      <c r="AE40" t="n">
        <v>16818628.0960138</v>
      </c>
      <c r="AF40" t="n">
        <v>34707525.9594394</v>
      </c>
      <c r="AG40" t="n">
        <v>96129.8814620934</v>
      </c>
      <c r="AH40" t="n">
        <v>3912112.83891105</v>
      </c>
      <c r="AI40" t="n">
        <v>2200665.00482511</v>
      </c>
      <c r="AJ40" t="n">
        <v>284103669.220742</v>
      </c>
      <c r="AK40" t="n">
        <v>27210831.185436</v>
      </c>
      <c r="AL40" t="n">
        <v>1581854.55709267</v>
      </c>
      <c r="AM40" t="n">
        <v>35501826.2658182</v>
      </c>
      <c r="AN40" t="n">
        <v>481992.402054981</v>
      </c>
      <c r="AO40" t="n">
        <v>1288177.19102102</v>
      </c>
      <c r="AP40" t="n">
        <v>159221.121320708</v>
      </c>
      <c r="AQ40" t="n">
        <v>842777.603003639</v>
      </c>
      <c r="AR40" t="n">
        <v>1235485.5705371</v>
      </c>
      <c r="AS40" t="n">
        <v>5182831.89204134</v>
      </c>
      <c r="AT40" t="n">
        <v>3617662.08745283</v>
      </c>
      <c r="AU40" t="n">
        <v>2032342.94713254</v>
      </c>
      <c r="AV40" t="n">
        <v>0</v>
      </c>
      <c r="AW40" t="n">
        <v>114175288.651633</v>
      </c>
      <c r="AX40" t="n">
        <v>19697298.6391599</v>
      </c>
      <c r="AY40" t="n">
        <v>3443460.84401428</v>
      </c>
      <c r="AZ40" t="n">
        <v>824829.213627691</v>
      </c>
      <c r="BA40" t="n">
        <v>1239560.93791743</v>
      </c>
      <c r="BB40" t="n">
        <v>10940861.3824962</v>
      </c>
      <c r="BC40" t="n">
        <v>0</v>
      </c>
      <c r="BD40" t="n">
        <v>38220180.8154145</v>
      </c>
      <c r="BE40" t="n">
        <v>723392.065655576</v>
      </c>
      <c r="BF40" t="n">
        <v>7845236.09976934</v>
      </c>
      <c r="BG40" t="n">
        <v>10779280.4934517</v>
      </c>
      <c r="BH40" t="n">
        <v>6250113.77905546</v>
      </c>
      <c r="BI40" t="n">
        <v>3742590.0510671</v>
      </c>
      <c r="BJ40" t="n">
        <v>2701180.13012812</v>
      </c>
      <c r="BK40" t="n">
        <v>9512417.57890951</v>
      </c>
      <c r="BL40" t="n">
        <v>10554709.2232984</v>
      </c>
      <c r="BM40" t="n">
        <v>22587644.839179</v>
      </c>
      <c r="BN40" t="n">
        <v>146711818.577121</v>
      </c>
      <c r="BO40" t="n">
        <v>66699972.4233483</v>
      </c>
      <c r="BP40" t="n">
        <v>14813.8963013242</v>
      </c>
      <c r="BQ40" t="n">
        <v>1200840.11535536</v>
      </c>
      <c r="BR40" t="n">
        <v>47826.6104894816</v>
      </c>
      <c r="BS40" t="n">
        <v>10166321.3402049</v>
      </c>
      <c r="BT40" t="n">
        <v>0</v>
      </c>
      <c r="BU40" t="n">
        <v>28112025617.7237</v>
      </c>
      <c r="BV40" t="n">
        <v>0</v>
      </c>
      <c r="BW40" t="n">
        <v>860974832.399216</v>
      </c>
      <c r="BX40" t="n">
        <v>300317466.70825</v>
      </c>
      <c r="BY40" t="n">
        <v>225330913.597019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136</v>
      </c>
      <c r="B41" t="n">
        <v>4207466.35073333</v>
      </c>
      <c r="C41" t="n">
        <v>19233.3232642031</v>
      </c>
      <c r="D41" t="n">
        <v>358956.730736819</v>
      </c>
      <c r="E41" t="n">
        <v>741052.27333098</v>
      </c>
      <c r="F41" t="n">
        <v>13185185.3694357</v>
      </c>
      <c r="G41" t="n">
        <v>27630824.715689</v>
      </c>
      <c r="H41" t="n">
        <v>12556934.1297075</v>
      </c>
      <c r="I41" t="n">
        <v>5381883.65633333</v>
      </c>
      <c r="J41" t="n">
        <v>10395468.3346497</v>
      </c>
      <c r="K41" t="n">
        <v>17092539.2244556</v>
      </c>
      <c r="L41" t="n">
        <v>17964560.4054733</v>
      </c>
      <c r="M41" t="n">
        <v>10015938.3011197</v>
      </c>
      <c r="N41" t="n">
        <v>1184896.45287509</v>
      </c>
      <c r="O41" t="n">
        <v>2027581.50100524</v>
      </c>
      <c r="P41" t="n">
        <v>3630770.46535053</v>
      </c>
      <c r="Q41" t="n">
        <v>2187538.69976581</v>
      </c>
      <c r="R41" t="n">
        <v>3656973.38406815</v>
      </c>
      <c r="S41" t="n">
        <v>5432256.71787768</v>
      </c>
      <c r="T41" t="n">
        <v>22382439.4778465</v>
      </c>
      <c r="U41" t="n">
        <v>685768.173028465</v>
      </c>
      <c r="V41" t="n">
        <v>109488.16860975</v>
      </c>
      <c r="W41" t="n">
        <v>9815614.724246</v>
      </c>
      <c r="X41" t="n">
        <v>7628407.26570613</v>
      </c>
      <c r="Y41" t="n">
        <v>2183526.05288719</v>
      </c>
      <c r="Z41" t="n">
        <v>16706798.7009579</v>
      </c>
      <c r="AA41" t="n">
        <v>18419354.3154817</v>
      </c>
      <c r="AB41" t="n">
        <v>212159165.305371</v>
      </c>
      <c r="AC41" t="n">
        <v>5482184.71698806</v>
      </c>
      <c r="AD41" t="n">
        <v>1683616.65154845</v>
      </c>
      <c r="AE41" t="n">
        <v>2006404.87459501</v>
      </c>
      <c r="AF41" t="n">
        <v>6078085.56225901</v>
      </c>
      <c r="AG41" t="n">
        <v>4845188.31196932</v>
      </c>
      <c r="AH41" t="n">
        <v>846689.65164033</v>
      </c>
      <c r="AI41" t="n">
        <v>703852.463788571</v>
      </c>
      <c r="AJ41" t="n">
        <v>68842416.5633145</v>
      </c>
      <c r="AK41" t="n">
        <v>1148375.6602692</v>
      </c>
      <c r="AL41" t="n">
        <v>1250098.42654879</v>
      </c>
      <c r="AM41" t="n">
        <v>20794809.5372509</v>
      </c>
      <c r="AN41" t="n">
        <v>16516697.6125788</v>
      </c>
      <c r="AO41" t="n">
        <v>9388371.76234362</v>
      </c>
      <c r="AP41" t="n">
        <v>3379670.30431402</v>
      </c>
      <c r="AQ41" t="n">
        <v>29559573.5763764</v>
      </c>
      <c r="AR41" t="n">
        <v>27467715.7767608</v>
      </c>
      <c r="AS41" t="n">
        <v>138458004.195977</v>
      </c>
      <c r="AT41" t="n">
        <v>80212718.7024034</v>
      </c>
      <c r="AU41" t="n">
        <v>4713949.67321935</v>
      </c>
      <c r="AV41" t="n">
        <v>1487057.70592353</v>
      </c>
      <c r="AW41" t="n">
        <v>245147.337794963</v>
      </c>
      <c r="AX41" t="n">
        <v>205013951.645851</v>
      </c>
      <c r="AY41" t="n">
        <v>29901198.6330196</v>
      </c>
      <c r="AZ41" t="n">
        <v>31801998.7202694</v>
      </c>
      <c r="BA41" t="n">
        <v>82342362.1416396</v>
      </c>
      <c r="BB41" t="n">
        <v>159105591.717254</v>
      </c>
      <c r="BC41" t="n">
        <v>20839609.9810867</v>
      </c>
      <c r="BD41" t="n">
        <v>132952662.475303</v>
      </c>
      <c r="BE41" t="n">
        <v>16370845.1406164</v>
      </c>
      <c r="BF41" t="n">
        <v>43362250.3333516</v>
      </c>
      <c r="BG41" t="n">
        <v>116141201.058284</v>
      </c>
      <c r="BH41" t="n">
        <v>15668127.3350705</v>
      </c>
      <c r="BI41" t="n">
        <v>15918912.8557971</v>
      </c>
      <c r="BJ41" t="n">
        <v>34243833.3865953</v>
      </c>
      <c r="BK41" t="n">
        <v>4338026.89197434</v>
      </c>
      <c r="BL41" t="n">
        <v>6003425.8895728</v>
      </c>
      <c r="BM41" t="n">
        <v>3883642.60915903</v>
      </c>
      <c r="BN41" t="n">
        <v>52055081.1203746</v>
      </c>
      <c r="BO41" t="n">
        <v>20909634.4932679</v>
      </c>
      <c r="BP41" t="n">
        <v>52480037.9569992</v>
      </c>
      <c r="BQ41" t="n">
        <v>87514172.1731667</v>
      </c>
      <c r="BR41" t="n">
        <v>7158235.84874765</v>
      </c>
      <c r="BS41" t="n">
        <v>99061995.7944151</v>
      </c>
      <c r="BT41" t="n">
        <v>1368704.16389979</v>
      </c>
      <c r="BU41" t="n">
        <v>3211000764.49196</v>
      </c>
      <c r="BV41" t="n">
        <v>0</v>
      </c>
      <c r="BW41" t="n">
        <v>9272491.92043476</v>
      </c>
      <c r="BX41" t="n">
        <v>1111752.85780723</v>
      </c>
      <c r="BY41" t="n">
        <v>137761.125896236</v>
      </c>
      <c r="BZ41" t="n">
        <v>638652.364111532</v>
      </c>
      <c r="CA41" t="n">
        <v>1100989368.14575</v>
      </c>
      <c r="CB41" t="n">
        <v>-1710809417.01014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676613.332836159</v>
      </c>
      <c r="CN41" t="n">
        <v>193318.095096046</v>
      </c>
    </row>
    <row r="42">
      <c r="A42" t="s">
        <v>137</v>
      </c>
      <c r="B42" t="n">
        <v>35631549.4930187</v>
      </c>
      <c r="C42" t="n">
        <v>300167.761161952</v>
      </c>
      <c r="D42" t="n">
        <v>8313405.30617716</v>
      </c>
      <c r="E42" t="n">
        <v>27618435.8667877</v>
      </c>
      <c r="F42" t="n">
        <v>7102091.77326898</v>
      </c>
      <c r="G42" t="n">
        <v>61568828.2433159</v>
      </c>
      <c r="H42" t="n">
        <v>56176167.2768465</v>
      </c>
      <c r="I42" t="n">
        <v>30460783.5143169</v>
      </c>
      <c r="J42" t="n">
        <v>62640583.8200603</v>
      </c>
      <c r="K42" t="n">
        <v>213827571.680948</v>
      </c>
      <c r="L42" t="n">
        <v>35652354.252369</v>
      </c>
      <c r="M42" t="n">
        <v>14759922.232786</v>
      </c>
      <c r="N42" t="n">
        <v>1052411.79446035</v>
      </c>
      <c r="O42" t="n">
        <v>10356886.6641533</v>
      </c>
      <c r="P42" t="n">
        <v>10236431.211468</v>
      </c>
      <c r="Q42" t="n">
        <v>3928849.51796035</v>
      </c>
      <c r="R42" t="n">
        <v>7693746.90249514</v>
      </c>
      <c r="S42" t="n">
        <v>6470062.25318633</v>
      </c>
      <c r="T42" t="n">
        <v>157270431.305034</v>
      </c>
      <c r="U42" t="n">
        <v>1204825.16661363</v>
      </c>
      <c r="V42" t="n">
        <v>40684.6298634533</v>
      </c>
      <c r="W42" t="n">
        <v>117074398.45033</v>
      </c>
      <c r="X42" t="n">
        <v>3815865.12737594</v>
      </c>
      <c r="Y42" t="n">
        <v>44275320.2041956</v>
      </c>
      <c r="Z42" t="n">
        <v>167121271.822406</v>
      </c>
      <c r="AA42" t="n">
        <v>67514512.2384173</v>
      </c>
      <c r="AB42" t="n">
        <v>7272767.29279909</v>
      </c>
      <c r="AC42" t="n">
        <v>837322.518937102</v>
      </c>
      <c r="AD42" t="n">
        <v>3449433.02961354</v>
      </c>
      <c r="AE42" t="n">
        <v>944373.757814856</v>
      </c>
      <c r="AF42" t="n">
        <v>2289287.30368184</v>
      </c>
      <c r="AG42" t="n">
        <v>2597419.63183607</v>
      </c>
      <c r="AH42" t="n">
        <v>5351756.111804</v>
      </c>
      <c r="AI42" t="n">
        <v>97943.9052507824</v>
      </c>
      <c r="AJ42" t="n">
        <v>130460338.847445</v>
      </c>
      <c r="AK42" t="n">
        <v>770852.078284282</v>
      </c>
      <c r="AL42" t="n">
        <v>812920.424708421</v>
      </c>
      <c r="AM42" t="n">
        <v>4878451.85889272</v>
      </c>
      <c r="AN42" t="n">
        <v>1926536.35218197</v>
      </c>
      <c r="AO42" t="n">
        <v>523060.645711097</v>
      </c>
      <c r="AP42" t="n">
        <v>67883.8425837881</v>
      </c>
      <c r="AQ42" t="n">
        <v>13390202.1820755</v>
      </c>
      <c r="AR42" t="n">
        <v>567375.522142296</v>
      </c>
      <c r="AS42" t="n">
        <v>1137344.4002862</v>
      </c>
      <c r="AT42" t="n">
        <v>861847.798653462</v>
      </c>
      <c r="AU42" t="n">
        <v>4168953.44254404</v>
      </c>
      <c r="AV42" t="n">
        <v>12042.4360843078</v>
      </c>
      <c r="AW42" t="n">
        <v>1652118.99668837</v>
      </c>
      <c r="AX42" t="n">
        <v>4225882.98703661</v>
      </c>
      <c r="AY42" t="n">
        <v>1267919.87224817</v>
      </c>
      <c r="AZ42" t="n">
        <v>1108945.20954642</v>
      </c>
      <c r="BA42" t="n">
        <v>807409.416723645</v>
      </c>
      <c r="BB42" t="n">
        <v>18379301.4834887</v>
      </c>
      <c r="BC42" t="n">
        <v>1420259.36857149</v>
      </c>
      <c r="BD42" t="n">
        <v>12609345.5808175</v>
      </c>
      <c r="BE42" t="n">
        <v>1471994.2001297</v>
      </c>
      <c r="BF42" t="n">
        <v>3280489.03222008</v>
      </c>
      <c r="BG42" t="n">
        <v>12229644.9096977</v>
      </c>
      <c r="BH42" t="n">
        <v>7347608.74511626</v>
      </c>
      <c r="BI42" t="n">
        <v>3390759.07468597</v>
      </c>
      <c r="BJ42" t="n">
        <v>9524221.43998558</v>
      </c>
      <c r="BK42" t="n">
        <v>417008.729091062</v>
      </c>
      <c r="BL42" t="n">
        <v>2140855.73937337</v>
      </c>
      <c r="BM42" t="n">
        <v>2224262.00356415</v>
      </c>
      <c r="BN42" t="n">
        <v>19491620.4223364</v>
      </c>
      <c r="BO42" t="n">
        <v>4400960.70431671</v>
      </c>
      <c r="BP42" t="n">
        <v>2078324.86087272</v>
      </c>
      <c r="BQ42" t="n">
        <v>23289414.0536165</v>
      </c>
      <c r="BR42" t="n">
        <v>19192888.1306142</v>
      </c>
      <c r="BS42" t="n">
        <v>51751565.5965565</v>
      </c>
      <c r="BT42" t="n">
        <v>27914417.7240164</v>
      </c>
      <c r="BU42" t="n">
        <v>190990760.092248</v>
      </c>
      <c r="BV42" t="n">
        <v>0</v>
      </c>
      <c r="BW42" t="n">
        <v>84363213.1478916</v>
      </c>
      <c r="BX42" t="n">
        <v>0</v>
      </c>
      <c r="BY42" t="n">
        <v>873433.354080401</v>
      </c>
      <c r="BZ42" t="n">
        <v>19766010.8974524</v>
      </c>
      <c r="CA42" t="n">
        <v>419926193.843651</v>
      </c>
      <c r="CB42" t="n">
        <v>14689476.5787111</v>
      </c>
      <c r="CC42" t="n">
        <v>0</v>
      </c>
      <c r="CD42" t="n">
        <v>0</v>
      </c>
      <c r="CE42" t="n">
        <v>1746861.61081782</v>
      </c>
      <c r="CF42" t="n">
        <v>0</v>
      </c>
      <c r="CG42" t="n">
        <v>0</v>
      </c>
      <c r="CH42" t="n">
        <v>0</v>
      </c>
      <c r="CI42" t="n">
        <v>2562913.75017797</v>
      </c>
      <c r="CJ42" t="n">
        <v>0</v>
      </c>
      <c r="CK42" t="n">
        <v>0</v>
      </c>
      <c r="CL42" t="n">
        <v>0</v>
      </c>
      <c r="CM42" t="n">
        <v>16065780.6856769</v>
      </c>
      <c r="CN42" t="n">
        <v>0</v>
      </c>
    </row>
    <row r="43">
      <c r="A43" t="s">
        <v>138</v>
      </c>
      <c r="B43" t="n">
        <v>2126913.12333862</v>
      </c>
      <c r="C43" t="n">
        <v>26402.0957226115</v>
      </c>
      <c r="D43" t="n">
        <v>1118164.18156757</v>
      </c>
      <c r="E43" t="n">
        <v>1533849.19449362</v>
      </c>
      <c r="F43" t="n">
        <v>696763.32853389</v>
      </c>
      <c r="G43" t="n">
        <v>1632442.09722492</v>
      </c>
      <c r="H43" t="n">
        <v>6073598.98840738</v>
      </c>
      <c r="I43" t="n">
        <v>68406.7273000141</v>
      </c>
      <c r="J43" t="n">
        <v>2336830.8743383</v>
      </c>
      <c r="K43" t="n">
        <v>7929466.40935673</v>
      </c>
      <c r="L43" t="n">
        <v>1098142.37090102</v>
      </c>
      <c r="M43" t="n">
        <v>379019.37672878</v>
      </c>
      <c r="N43" t="n">
        <v>56201.8940555582</v>
      </c>
      <c r="O43" t="n">
        <v>554648.997550649</v>
      </c>
      <c r="P43" t="n">
        <v>149944.999322766</v>
      </c>
      <c r="Q43" t="n">
        <v>78647.6386656474</v>
      </c>
      <c r="R43" t="n">
        <v>88589.4606567572</v>
      </c>
      <c r="S43" t="n">
        <v>340147.20418489</v>
      </c>
      <c r="T43" t="n">
        <v>5788237.7913435</v>
      </c>
      <c r="U43" t="n">
        <v>115607.749436726</v>
      </c>
      <c r="V43" t="n">
        <v>0</v>
      </c>
      <c r="W43" t="n">
        <v>1702657.37161736</v>
      </c>
      <c r="X43" t="n">
        <v>9589.57426888433</v>
      </c>
      <c r="Y43" t="n">
        <v>483053.36734479</v>
      </c>
      <c r="Z43" t="n">
        <v>6706064.50847538</v>
      </c>
      <c r="AA43" t="n">
        <v>1364366.08502998</v>
      </c>
      <c r="AB43" t="n">
        <v>146216.367227989</v>
      </c>
      <c r="AC43" t="n">
        <v>80344.4139858768</v>
      </c>
      <c r="AD43" t="n">
        <v>118723.515050453</v>
      </c>
      <c r="AE43" t="n">
        <v>32788.8306112281</v>
      </c>
      <c r="AF43" t="n">
        <v>108424.977998654</v>
      </c>
      <c r="AG43" t="n">
        <v>85166.7978749901</v>
      </c>
      <c r="AH43" t="n">
        <v>63926.118465604</v>
      </c>
      <c r="AI43" t="n">
        <v>2982.09128209437</v>
      </c>
      <c r="AJ43" t="n">
        <v>139749.714243469</v>
      </c>
      <c r="AK43" t="n">
        <v>12712.9598378914</v>
      </c>
      <c r="AL43" t="n">
        <v>119171.152741026</v>
      </c>
      <c r="AM43" t="n">
        <v>44051.8746374219</v>
      </c>
      <c r="AN43" t="n">
        <v>50836.1694005731</v>
      </c>
      <c r="AO43" t="n">
        <v>8626.36187802351</v>
      </c>
      <c r="AP43" t="n">
        <v>0</v>
      </c>
      <c r="AQ43" t="n">
        <v>211110.204072232</v>
      </c>
      <c r="AR43" t="n">
        <v>30497.562553961</v>
      </c>
      <c r="AS43" t="n">
        <v>21436.7808447892</v>
      </c>
      <c r="AT43" t="n">
        <v>10107.4981049652</v>
      </c>
      <c r="AU43" t="n">
        <v>0</v>
      </c>
      <c r="AV43" t="n">
        <v>635.535706434069</v>
      </c>
      <c r="AW43" t="n">
        <v>84130.7507500509</v>
      </c>
      <c r="AX43" t="n">
        <v>166909.588842848</v>
      </c>
      <c r="AY43" t="n">
        <v>48424.652351147</v>
      </c>
      <c r="AZ43" t="n">
        <v>0</v>
      </c>
      <c r="BA43" t="n">
        <v>38737.0666417087</v>
      </c>
      <c r="BB43" t="n">
        <v>9790632.65538136</v>
      </c>
      <c r="BC43" t="n">
        <v>1113895.75701052</v>
      </c>
      <c r="BD43" t="n">
        <v>773163.903502383</v>
      </c>
      <c r="BE43" t="n">
        <v>117913.248200302</v>
      </c>
      <c r="BF43" t="n">
        <v>4353628.76076005</v>
      </c>
      <c r="BG43" t="n">
        <v>1289268.43482163</v>
      </c>
      <c r="BH43" t="n">
        <v>1637241.39004948</v>
      </c>
      <c r="BI43" t="n">
        <v>94736.2361838611</v>
      </c>
      <c r="BJ43" t="n">
        <v>152622.79412408</v>
      </c>
      <c r="BK43" t="n">
        <v>19418.3841925137</v>
      </c>
      <c r="BL43" t="n">
        <v>79752.6888005685</v>
      </c>
      <c r="BM43" t="n">
        <v>36682.72333545</v>
      </c>
      <c r="BN43" t="n">
        <v>361896.724668811</v>
      </c>
      <c r="BO43" t="n">
        <v>255082.458629434</v>
      </c>
      <c r="BP43" t="n">
        <v>2679575.82272596</v>
      </c>
      <c r="BQ43" t="n">
        <v>1272043.48329998</v>
      </c>
      <c r="BR43" t="n">
        <v>4640770.12281923</v>
      </c>
      <c r="BS43" t="n">
        <v>4002680.83489298</v>
      </c>
      <c r="BT43" t="n">
        <v>876806.712531196</v>
      </c>
      <c r="BU43" t="n">
        <v>160251615.57252</v>
      </c>
      <c r="BV43" t="n">
        <v>0</v>
      </c>
      <c r="BW43" t="n">
        <v>5191.20595560554</v>
      </c>
      <c r="BX43" t="n">
        <v>0</v>
      </c>
      <c r="BY43" t="n">
        <v>0</v>
      </c>
      <c r="BZ43" t="n">
        <v>375133.824535315</v>
      </c>
      <c r="CA43" t="n">
        <v>36944631.1711715</v>
      </c>
      <c r="CB43" t="n">
        <v>78724991.8557265</v>
      </c>
      <c r="CC43" t="n">
        <v>0</v>
      </c>
      <c r="CD43" t="n">
        <v>0</v>
      </c>
      <c r="CE43" t="n">
        <v>10093.8023963058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139</v>
      </c>
      <c r="B44" t="n">
        <v>89970030.4978683</v>
      </c>
      <c r="C44" t="n">
        <v>3119571.63890459</v>
      </c>
      <c r="D44" t="n">
        <v>14180060.3944956</v>
      </c>
      <c r="E44" t="n">
        <v>23383301.4041182</v>
      </c>
      <c r="F44" t="n">
        <v>16100196.6354107</v>
      </c>
      <c r="G44" t="n">
        <v>27967573.4280935</v>
      </c>
      <c r="H44" t="n">
        <v>396143109.629854</v>
      </c>
      <c r="I44" t="n">
        <v>54188106.9857532</v>
      </c>
      <c r="J44" t="n">
        <v>80142214.9100657</v>
      </c>
      <c r="K44" t="n">
        <v>384013024.495321</v>
      </c>
      <c r="L44" t="n">
        <v>102593136.17297</v>
      </c>
      <c r="M44" t="n">
        <v>73097798.4453264</v>
      </c>
      <c r="N44" t="n">
        <v>11426018.3985798</v>
      </c>
      <c r="O44" t="n">
        <v>40519397.469096</v>
      </c>
      <c r="P44" t="n">
        <v>42950822.7980895</v>
      </c>
      <c r="Q44" t="n">
        <v>17838190.1696106</v>
      </c>
      <c r="R44" t="n">
        <v>24355122.2587203</v>
      </c>
      <c r="S44" t="n">
        <v>26735612.4892978</v>
      </c>
      <c r="T44" t="n">
        <v>542861331.363821</v>
      </c>
      <c r="U44" t="n">
        <v>9190801.55115564</v>
      </c>
      <c r="V44" t="n">
        <v>2086733.72696504</v>
      </c>
      <c r="W44" t="n">
        <v>116341261.370411</v>
      </c>
      <c r="X44" t="n">
        <v>18895102.090259</v>
      </c>
      <c r="Y44" t="n">
        <v>66586321.2671383</v>
      </c>
      <c r="Z44" t="n">
        <v>189757757.155652</v>
      </c>
      <c r="AA44" t="n">
        <v>78224181.5586195</v>
      </c>
      <c r="AB44" t="n">
        <v>119182635.20503</v>
      </c>
      <c r="AC44" t="n">
        <v>40379491.333616</v>
      </c>
      <c r="AD44" t="n">
        <v>31822964.2227948</v>
      </c>
      <c r="AE44" t="n">
        <v>19015248.2483961</v>
      </c>
      <c r="AF44" t="n">
        <v>84740471.093441</v>
      </c>
      <c r="AG44" t="n">
        <v>21402912.2173237</v>
      </c>
      <c r="AH44" t="n">
        <v>6793105.60862936</v>
      </c>
      <c r="AI44" t="n">
        <v>627286.903489464</v>
      </c>
      <c r="AJ44" t="n">
        <v>228143611.039488</v>
      </c>
      <c r="AK44" t="n">
        <v>5263750.12051113</v>
      </c>
      <c r="AL44" t="n">
        <v>8440554.39335878</v>
      </c>
      <c r="AM44" t="n">
        <v>52366073.821794</v>
      </c>
      <c r="AN44" t="n">
        <v>44127427.9287053</v>
      </c>
      <c r="AO44" t="n">
        <v>9405887.39267694</v>
      </c>
      <c r="AP44" t="n">
        <v>1192395.23649638</v>
      </c>
      <c r="AQ44" t="n">
        <v>41271288.534594</v>
      </c>
      <c r="AR44" t="n">
        <v>7958100.18998374</v>
      </c>
      <c r="AS44" t="n">
        <v>3185018.52742531</v>
      </c>
      <c r="AT44" t="n">
        <v>2731667.94766074</v>
      </c>
      <c r="AU44" t="n">
        <v>6009054.54290928</v>
      </c>
      <c r="AV44" t="n">
        <v>62612.3314673161</v>
      </c>
      <c r="AW44" t="n">
        <v>2586330.35018785</v>
      </c>
      <c r="AX44" t="n">
        <v>10212342.7165195</v>
      </c>
      <c r="AY44" t="n">
        <v>7689460.34795822</v>
      </c>
      <c r="AZ44" t="n">
        <v>3074503.74879051</v>
      </c>
      <c r="BA44" t="n">
        <v>7194309.85494388</v>
      </c>
      <c r="BB44" t="n">
        <v>73655222.3186428</v>
      </c>
      <c r="BC44" t="n">
        <v>9701681.48717182</v>
      </c>
      <c r="BD44" t="n">
        <v>31348793.6291443</v>
      </c>
      <c r="BE44" t="n">
        <v>10490114.1375024</v>
      </c>
      <c r="BF44" t="n">
        <v>17151179.8193519</v>
      </c>
      <c r="BG44" t="n">
        <v>39925703.4308313</v>
      </c>
      <c r="BH44" t="n">
        <v>45705308.4694766</v>
      </c>
      <c r="BI44" t="n">
        <v>14826801.9020729</v>
      </c>
      <c r="BJ44" t="n">
        <v>29097161.0885166</v>
      </c>
      <c r="BK44" t="n">
        <v>3671044.37385638</v>
      </c>
      <c r="BL44" t="n">
        <v>13059863.7375249</v>
      </c>
      <c r="BM44" t="n">
        <v>7586027.84820285</v>
      </c>
      <c r="BN44" t="n">
        <v>51115312.9175283</v>
      </c>
      <c r="BO44" t="n">
        <v>38625130.5746064</v>
      </c>
      <c r="BP44" t="n">
        <v>30049533.6963922</v>
      </c>
      <c r="BQ44" t="n">
        <v>12287179.1988237</v>
      </c>
      <c r="BR44" t="n">
        <v>16399707.0063551</v>
      </c>
      <c r="BS44" t="n">
        <v>105349238.34882</v>
      </c>
      <c r="BT44" t="n">
        <v>17083719.7298643</v>
      </c>
      <c r="BU44" t="n">
        <v>1507880287.08666</v>
      </c>
      <c r="BV44" t="n">
        <v>270922.22524642</v>
      </c>
      <c r="BW44" t="n">
        <v>486081417.616557</v>
      </c>
      <c r="BX44" t="n">
        <v>18691471.684589</v>
      </c>
      <c r="BY44" t="n">
        <v>11423931.5477362</v>
      </c>
      <c r="BZ44" t="n">
        <v>68588476.691552</v>
      </c>
      <c r="CA44" t="n">
        <v>1489124011.06695</v>
      </c>
      <c r="CB44" t="n">
        <v>242158676.310002</v>
      </c>
      <c r="CC44" t="n">
        <v>0</v>
      </c>
      <c r="CD44" t="n">
        <v>0</v>
      </c>
      <c r="CE44" t="n">
        <v>7391042.30754883</v>
      </c>
      <c r="CF44" t="n">
        <v>331477.048944614</v>
      </c>
      <c r="CG44" t="n">
        <v>0</v>
      </c>
      <c r="CH44" t="n">
        <v>0</v>
      </c>
      <c r="CI44" t="n">
        <v>170001.641781563</v>
      </c>
      <c r="CJ44" t="n">
        <v>412106.601390602</v>
      </c>
      <c r="CK44" t="n">
        <v>0</v>
      </c>
      <c r="CL44" t="n">
        <v>0</v>
      </c>
      <c r="CM44" t="n">
        <v>17665046.3779394</v>
      </c>
      <c r="CN44" t="n">
        <v>1625184.26677042</v>
      </c>
    </row>
    <row r="45">
      <c r="A45" t="s">
        <v>140</v>
      </c>
      <c r="B45" t="n">
        <v>0</v>
      </c>
      <c r="C45" t="n">
        <v>19232.8965004266</v>
      </c>
      <c r="D45" t="n">
        <v>27611.4906610511</v>
      </c>
      <c r="E45" t="n">
        <v>231574.981557504</v>
      </c>
      <c r="F45" t="n">
        <v>7280930.92918748</v>
      </c>
      <c r="G45" t="n">
        <v>39872740.3229184</v>
      </c>
      <c r="H45" t="n">
        <v>20597898.0207963</v>
      </c>
      <c r="I45" t="n">
        <v>3189224.4189505</v>
      </c>
      <c r="J45" t="n">
        <v>5174961.9244143</v>
      </c>
      <c r="K45" t="n">
        <v>9464791.97044046</v>
      </c>
      <c r="L45" t="n">
        <v>10027768.1557918</v>
      </c>
      <c r="M45" t="n">
        <v>5331602.16246115</v>
      </c>
      <c r="N45" t="n">
        <v>462391.191767424</v>
      </c>
      <c r="O45" t="n">
        <v>822772.672783741</v>
      </c>
      <c r="P45" t="n">
        <v>1526130.25873099</v>
      </c>
      <c r="Q45" t="n">
        <v>791667.622881207</v>
      </c>
      <c r="R45" t="n">
        <v>2065086.88793921</v>
      </c>
      <c r="S45" t="n">
        <v>3430854.90552715</v>
      </c>
      <c r="T45" t="n">
        <v>8339518.37900048</v>
      </c>
      <c r="U45" t="n">
        <v>216554.745462184</v>
      </c>
      <c r="V45" t="n">
        <v>31281.8380878598</v>
      </c>
      <c r="W45" t="n">
        <v>5211126.34752283</v>
      </c>
      <c r="X45" t="n">
        <v>4303148.48722441</v>
      </c>
      <c r="Y45" t="n">
        <v>1082724.7044132</v>
      </c>
      <c r="Z45" t="n">
        <v>6639426.26612983</v>
      </c>
      <c r="AA45" t="n">
        <v>9209547.05719586</v>
      </c>
      <c r="AB45" t="n">
        <v>56380837.9447131</v>
      </c>
      <c r="AC45" t="n">
        <v>4721240.15185108</v>
      </c>
      <c r="AD45" t="n">
        <v>276753.433651301</v>
      </c>
      <c r="AE45" t="n">
        <v>1108281.80139018</v>
      </c>
      <c r="AF45" t="n">
        <v>4483246.27777628</v>
      </c>
      <c r="AG45" t="n">
        <v>23634.5481778895</v>
      </c>
      <c r="AH45" t="n">
        <v>10634365.3921102</v>
      </c>
      <c r="AI45" t="n">
        <v>0</v>
      </c>
      <c r="AJ45" t="n">
        <v>0</v>
      </c>
      <c r="AK45" t="n">
        <v>0</v>
      </c>
      <c r="AL45" t="n">
        <v>555593.821480891</v>
      </c>
      <c r="AM45" t="n">
        <v>4934739.91931284</v>
      </c>
      <c r="AN45" t="n">
        <v>444385.98882377</v>
      </c>
      <c r="AO45" t="n">
        <v>6334239.76390736</v>
      </c>
      <c r="AP45" t="n">
        <v>2048650.96843411</v>
      </c>
      <c r="AQ45" t="n">
        <v>37232290.0737486</v>
      </c>
      <c r="AR45" t="n">
        <v>23347295.1142541</v>
      </c>
      <c r="AS45" t="n">
        <v>115932132.486768</v>
      </c>
      <c r="AT45" t="n">
        <v>53778752.8222772</v>
      </c>
      <c r="AU45" t="n">
        <v>58735148.2506252</v>
      </c>
      <c r="AV45" t="n">
        <v>962962.962962963</v>
      </c>
      <c r="AW45" t="n">
        <v>267429.683188064</v>
      </c>
      <c r="AX45" t="n">
        <v>160019001.063241</v>
      </c>
      <c r="AY45" t="n">
        <v>25552267.4805175</v>
      </c>
      <c r="AZ45" t="n">
        <v>29865876.2463768</v>
      </c>
      <c r="BA45" t="n">
        <v>68909434.1267398</v>
      </c>
      <c r="BB45" t="n">
        <v>181664754.377321</v>
      </c>
      <c r="BC45" t="n">
        <v>15955587.5260736</v>
      </c>
      <c r="BD45" t="n">
        <v>110002640.490798</v>
      </c>
      <c r="BE45" t="n">
        <v>10064896.403777</v>
      </c>
      <c r="BF45" t="n">
        <v>38947615.2420277</v>
      </c>
      <c r="BG45" t="n">
        <v>114386644.695443</v>
      </c>
      <c r="BH45" t="n">
        <v>170488532.721745</v>
      </c>
      <c r="BI45" t="n">
        <v>41836396.6508625</v>
      </c>
      <c r="BJ45" t="n">
        <v>19686227.7405653</v>
      </c>
      <c r="BK45" t="n">
        <v>93322810.6384644</v>
      </c>
      <c r="BL45" t="n">
        <v>3524534.45402507</v>
      </c>
      <c r="BM45" t="n">
        <v>3159126.24896721</v>
      </c>
      <c r="BN45" t="n">
        <v>40838318.420505</v>
      </c>
      <c r="BO45" t="n">
        <v>13848302.4458842</v>
      </c>
      <c r="BP45" t="n">
        <v>519006.816847998</v>
      </c>
      <c r="BQ45" t="n">
        <v>224638.555467748</v>
      </c>
      <c r="BR45" t="n">
        <v>617330.599100324</v>
      </c>
      <c r="BS45" t="n">
        <v>614181735.300554</v>
      </c>
      <c r="BT45" t="n">
        <v>20560684.0940127</v>
      </c>
      <c r="BU45" t="n">
        <v>2047945895.44719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141</v>
      </c>
      <c r="B46" t="n">
        <v>4356653.49243321</v>
      </c>
      <c r="C46" t="n">
        <v>75360.3984359048</v>
      </c>
      <c r="D46" t="n">
        <v>140604120.324719</v>
      </c>
      <c r="E46" t="n">
        <v>2613259.97815318</v>
      </c>
      <c r="F46" t="n">
        <v>1828777.22364008</v>
      </c>
      <c r="G46" t="n">
        <v>214954927.080876</v>
      </c>
      <c r="H46" t="n">
        <v>12711991.0357062</v>
      </c>
      <c r="I46" t="n">
        <v>507664.676542585</v>
      </c>
      <c r="J46" t="n">
        <v>391312.282437845</v>
      </c>
      <c r="K46" t="n">
        <v>1396177.44234788</v>
      </c>
      <c r="L46" t="n">
        <v>789786.472356429</v>
      </c>
      <c r="M46" t="n">
        <v>477505.270506132</v>
      </c>
      <c r="N46" t="n">
        <v>45294.7693604978</v>
      </c>
      <c r="O46" t="n">
        <v>322387.615624</v>
      </c>
      <c r="P46" t="n">
        <v>67514.4050902869</v>
      </c>
      <c r="Q46" t="n">
        <v>48978.9001999039</v>
      </c>
      <c r="R46" t="n">
        <v>168575.937366404</v>
      </c>
      <c r="S46" t="n">
        <v>507852.09775688</v>
      </c>
      <c r="T46" t="n">
        <v>1553246.78652745</v>
      </c>
      <c r="U46" t="n">
        <v>150849.428688016</v>
      </c>
      <c r="V46" t="n">
        <v>0</v>
      </c>
      <c r="W46" t="n">
        <v>1622315.16527091</v>
      </c>
      <c r="X46" t="n">
        <v>394154.603964058</v>
      </c>
      <c r="Y46" t="n">
        <v>322482621.200169</v>
      </c>
      <c r="Z46" t="n">
        <v>17512746.8134066</v>
      </c>
      <c r="AA46" t="n">
        <v>896542.492168519</v>
      </c>
      <c r="AB46" t="n">
        <v>2587572.12340657</v>
      </c>
      <c r="AC46" t="n">
        <v>489236.883915149</v>
      </c>
      <c r="AD46" t="n">
        <v>325321.498423352</v>
      </c>
      <c r="AE46" t="n">
        <v>149744.436355078</v>
      </c>
      <c r="AF46" t="n">
        <v>801703.412695276</v>
      </c>
      <c r="AG46" t="n">
        <v>10205337.9332838</v>
      </c>
      <c r="AH46" t="n">
        <v>2494814.5660305</v>
      </c>
      <c r="AI46" t="n">
        <v>358634.063489617</v>
      </c>
      <c r="AJ46" t="n">
        <v>12268155.9930009</v>
      </c>
      <c r="AK46" t="n">
        <v>1451481.3198903</v>
      </c>
      <c r="AL46" t="n">
        <v>544246.829311412</v>
      </c>
      <c r="AM46" t="n">
        <v>4537772.20285903</v>
      </c>
      <c r="AN46" t="n">
        <v>4295060.77958651</v>
      </c>
      <c r="AO46" t="n">
        <v>157584.113021368</v>
      </c>
      <c r="AP46" t="n">
        <v>20451.577096773</v>
      </c>
      <c r="AQ46" t="n">
        <v>456691.471414769</v>
      </c>
      <c r="AR46" t="n">
        <v>164604.06842621</v>
      </c>
      <c r="AS46" t="n">
        <v>1820946.89116914</v>
      </c>
      <c r="AT46" t="n">
        <v>1500209.10475889</v>
      </c>
      <c r="AU46" t="n">
        <v>73881.9772629465</v>
      </c>
      <c r="AV46" t="n">
        <v>46439.1974312897</v>
      </c>
      <c r="AW46" t="n">
        <v>139716.223386275</v>
      </c>
      <c r="AX46" t="n">
        <v>1767806.37063197</v>
      </c>
      <c r="AY46" t="n">
        <v>663456.622591169</v>
      </c>
      <c r="AZ46" t="n">
        <v>36118.4198818739</v>
      </c>
      <c r="BA46" t="n">
        <v>530728.919163595</v>
      </c>
      <c r="BB46" t="n">
        <v>890700.725992762</v>
      </c>
      <c r="BC46" t="n">
        <v>760686.172619773</v>
      </c>
      <c r="BD46" t="n">
        <v>3141362.43030164</v>
      </c>
      <c r="BE46" t="n">
        <v>855267.980621812</v>
      </c>
      <c r="BF46" t="n">
        <v>1569689.73739175</v>
      </c>
      <c r="BG46" t="n">
        <v>713697.488882814</v>
      </c>
      <c r="BH46" t="n">
        <v>1141252.86155092</v>
      </c>
      <c r="BI46" t="n">
        <v>721090.283149447</v>
      </c>
      <c r="BJ46" t="n">
        <v>836421.93472632</v>
      </c>
      <c r="BK46" t="n">
        <v>147804.142530098</v>
      </c>
      <c r="BL46" t="n">
        <v>485633.723826817</v>
      </c>
      <c r="BM46" t="n">
        <v>316441.000949467</v>
      </c>
      <c r="BN46" t="n">
        <v>1752925.76451258</v>
      </c>
      <c r="BO46" t="n">
        <v>1440852.82696304</v>
      </c>
      <c r="BP46" t="n">
        <v>1869510.82777603</v>
      </c>
      <c r="BQ46" t="n">
        <v>528121.732794853</v>
      </c>
      <c r="BR46" t="n">
        <v>11656750.8306135</v>
      </c>
      <c r="BS46" t="n">
        <v>38027696.7455541</v>
      </c>
      <c r="BT46" t="n">
        <v>104954463.853798</v>
      </c>
      <c r="BU46" t="n">
        <v>94866061.8255791</v>
      </c>
      <c r="BV46" t="n">
        <v>0</v>
      </c>
      <c r="BW46" t="n">
        <v>0</v>
      </c>
      <c r="BX46" t="n">
        <v>0</v>
      </c>
      <c r="BY46" t="n">
        <v>0</v>
      </c>
      <c r="BZ46" t="n">
        <v>265017634.874187</v>
      </c>
      <c r="CA46" t="n">
        <v>1210493207.18989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142</v>
      </c>
      <c r="B47" t="n">
        <v>0</v>
      </c>
      <c r="C47" t="n">
        <v>711617.170515784</v>
      </c>
      <c r="D47" t="n">
        <v>579841.303882073</v>
      </c>
      <c r="E47" t="n">
        <v>24500633.0487839</v>
      </c>
      <c r="F47" t="n">
        <v>373381.073291666</v>
      </c>
      <c r="G47" t="n">
        <v>324401886.334466</v>
      </c>
      <c r="H47" t="n">
        <v>0</v>
      </c>
      <c r="I47" t="n">
        <v>32490223.7680582</v>
      </c>
      <c r="J47" t="n">
        <v>38085903.9875754</v>
      </c>
      <c r="K47" t="n">
        <v>14920966.165165</v>
      </c>
      <c r="L47" t="n">
        <v>4484780.73299229</v>
      </c>
      <c r="M47" t="n">
        <v>723574.579191155</v>
      </c>
      <c r="N47" t="n">
        <v>0</v>
      </c>
      <c r="O47" t="n">
        <v>235077.90650964</v>
      </c>
      <c r="P47" t="n">
        <v>135382.522951943</v>
      </c>
      <c r="Q47" t="n">
        <v>0</v>
      </c>
      <c r="R47" t="n">
        <v>10325434.4396961</v>
      </c>
      <c r="S47" t="n">
        <v>6823589.20099288</v>
      </c>
      <c r="T47" t="n">
        <v>18997647.2490235</v>
      </c>
      <c r="U47" t="n">
        <v>1371513.38792716</v>
      </c>
      <c r="V47" t="n">
        <v>0</v>
      </c>
      <c r="W47" t="n">
        <v>40332690.2239781</v>
      </c>
      <c r="X47" t="n">
        <v>19559765.8510201</v>
      </c>
      <c r="Y47" t="n">
        <v>19236408.9150745</v>
      </c>
      <c r="Z47" t="n">
        <v>10148066.1628651</v>
      </c>
      <c r="AA47" t="n">
        <v>30603153.2645949</v>
      </c>
      <c r="AB47" t="n">
        <v>2216569328.54306</v>
      </c>
      <c r="AC47" t="n">
        <v>74057138.9108541</v>
      </c>
      <c r="AD47" t="n">
        <v>74308296.9353742</v>
      </c>
      <c r="AE47" t="n">
        <v>19566906.2866128</v>
      </c>
      <c r="AF47" t="n">
        <v>388718514.514038</v>
      </c>
      <c r="AG47" t="n">
        <v>666376085.875594</v>
      </c>
      <c r="AH47" t="n">
        <v>42300389.7284891</v>
      </c>
      <c r="AI47" t="n">
        <v>23044152.3294027</v>
      </c>
      <c r="AJ47" t="n">
        <v>2222455437.92048</v>
      </c>
      <c r="AK47" t="n">
        <v>44637514.7232038</v>
      </c>
      <c r="AL47" t="n">
        <v>126953188.208384</v>
      </c>
      <c r="AM47" t="n">
        <v>821020919.639199</v>
      </c>
      <c r="AN47" t="n">
        <v>420685402.753169</v>
      </c>
      <c r="AO47" t="n">
        <v>32525818.4702227</v>
      </c>
      <c r="AP47" t="n">
        <v>13988241.0073973</v>
      </c>
      <c r="AQ47" t="n">
        <v>8158727.91181273</v>
      </c>
      <c r="AR47" t="n">
        <v>69395593.4364853</v>
      </c>
      <c r="AS47" t="n">
        <v>27783735.1994152</v>
      </c>
      <c r="AT47" t="n">
        <v>130942133.103967</v>
      </c>
      <c r="AU47" t="n">
        <v>3205449.50324439</v>
      </c>
      <c r="AV47" t="n">
        <v>0</v>
      </c>
      <c r="AW47" t="n">
        <v>0</v>
      </c>
      <c r="AX47" t="n">
        <v>0</v>
      </c>
      <c r="AY47" t="n">
        <v>109264163.854944</v>
      </c>
      <c r="AZ47" t="n">
        <v>30418948.0287171</v>
      </c>
      <c r="BA47" t="n">
        <v>27625854.2219813</v>
      </c>
      <c r="BB47" t="n">
        <v>335672517.994382</v>
      </c>
      <c r="BC47" t="n">
        <v>34459215.6456647</v>
      </c>
      <c r="BD47" t="n">
        <v>87007738.2413088</v>
      </c>
      <c r="BE47" t="n">
        <v>68635317.6450338</v>
      </c>
      <c r="BF47" t="n">
        <v>28190654.8418486</v>
      </c>
      <c r="BG47" t="n">
        <v>99997241.939169</v>
      </c>
      <c r="BH47" t="n">
        <v>248928323.034371</v>
      </c>
      <c r="BI47" t="n">
        <v>22697165.3384445</v>
      </c>
      <c r="BJ47" t="n">
        <v>77499697.7618036</v>
      </c>
      <c r="BK47" t="n">
        <v>21916149.1434712</v>
      </c>
      <c r="BL47" t="n">
        <v>24671741.1781755</v>
      </c>
      <c r="BM47" t="n">
        <v>2755328.15699396</v>
      </c>
      <c r="BN47" t="n">
        <v>30229302.993582</v>
      </c>
      <c r="BO47" t="n">
        <v>43344404.2656488</v>
      </c>
      <c r="BP47" t="n">
        <v>36421.531006877</v>
      </c>
      <c r="BQ47" t="n">
        <v>8183261.66346797</v>
      </c>
      <c r="BR47" t="n">
        <v>37804150.0210961</v>
      </c>
      <c r="BS47" t="n">
        <v>29183507.8261574</v>
      </c>
      <c r="BT47" t="n">
        <v>66730977.6660708</v>
      </c>
      <c r="BU47" t="n">
        <v>660412183.487688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318614415.773133</v>
      </c>
      <c r="CB47" t="n">
        <v>102286488.382545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143</v>
      </c>
      <c r="B48" t="n">
        <v>7329407.37295517</v>
      </c>
      <c r="C48" t="n">
        <v>0</v>
      </c>
      <c r="D48" t="n">
        <v>77318.2355791522</v>
      </c>
      <c r="E48" t="n">
        <v>3177457.85878316</v>
      </c>
      <c r="F48" t="n">
        <v>0</v>
      </c>
      <c r="G48" t="n">
        <v>12063839.4836451</v>
      </c>
      <c r="H48" t="n">
        <v>0</v>
      </c>
      <c r="I48" t="n">
        <v>27396256.774204</v>
      </c>
      <c r="J48" t="n">
        <v>36333502.280701</v>
      </c>
      <c r="K48" t="n">
        <v>3585767.0225297</v>
      </c>
      <c r="L48" t="n">
        <v>14016458.6003544</v>
      </c>
      <c r="M48" t="n">
        <v>7766976.07875386</v>
      </c>
      <c r="N48" t="n">
        <v>3920357.12511653</v>
      </c>
      <c r="O48" t="n">
        <v>2303944.11237341</v>
      </c>
      <c r="P48" t="n">
        <v>516955.616811564</v>
      </c>
      <c r="Q48" t="n">
        <v>807008.688369425</v>
      </c>
      <c r="R48" t="n">
        <v>2007880.78057013</v>
      </c>
      <c r="S48" t="n">
        <v>8343985.02155096</v>
      </c>
      <c r="T48" t="n">
        <v>64734197.9156423</v>
      </c>
      <c r="U48" t="n">
        <v>10241436.2222801</v>
      </c>
      <c r="V48" t="n">
        <v>2058506.33250629</v>
      </c>
      <c r="W48" t="n">
        <v>85388263.1840852</v>
      </c>
      <c r="X48" t="n">
        <v>16796635.7956602</v>
      </c>
      <c r="Y48" t="n">
        <v>10973673.6984753</v>
      </c>
      <c r="Z48" t="n">
        <v>67263201.2829597</v>
      </c>
      <c r="AA48" t="n">
        <v>82732243.6639257</v>
      </c>
      <c r="AB48" t="n">
        <v>461059560.488234</v>
      </c>
      <c r="AC48" t="n">
        <v>131859097.814122</v>
      </c>
      <c r="AD48" t="n">
        <v>131314424.091185</v>
      </c>
      <c r="AE48" t="n">
        <v>72306406.6409483</v>
      </c>
      <c r="AF48" t="n">
        <v>331966784.066334</v>
      </c>
      <c r="AG48" t="n">
        <v>1698669.37092486</v>
      </c>
      <c r="AH48" t="n">
        <v>15806.0285183488</v>
      </c>
      <c r="AI48" t="n">
        <v>2427801.22452326</v>
      </c>
      <c r="AJ48" t="n">
        <v>133095337.428623</v>
      </c>
      <c r="AK48" t="n">
        <v>4667857.12478072</v>
      </c>
      <c r="AL48" t="n">
        <v>38246373.2169793</v>
      </c>
      <c r="AM48" t="n">
        <v>14470666.6912623</v>
      </c>
      <c r="AN48" t="n">
        <v>238782374.64481</v>
      </c>
      <c r="AO48" t="n">
        <v>5020865.15101269</v>
      </c>
      <c r="AP48" t="n">
        <v>1735617.4655692</v>
      </c>
      <c r="AQ48" t="n">
        <v>11453334.5255702</v>
      </c>
      <c r="AR48" t="n">
        <v>10375952.8739244</v>
      </c>
      <c r="AS48" t="n">
        <v>0</v>
      </c>
      <c r="AT48" t="n">
        <v>0</v>
      </c>
      <c r="AU48" t="n">
        <v>395998.337737015</v>
      </c>
      <c r="AV48" t="n">
        <v>0</v>
      </c>
      <c r="AW48" t="n">
        <v>20801.7173190469</v>
      </c>
      <c r="AX48" t="n">
        <v>4278822.45881313</v>
      </c>
      <c r="AY48" t="n">
        <v>8596771.46489041</v>
      </c>
      <c r="AZ48" t="n">
        <v>3828785.95795655</v>
      </c>
      <c r="BA48" t="n">
        <v>3279239.99303155</v>
      </c>
      <c r="BB48" t="n">
        <v>22455700.9644404</v>
      </c>
      <c r="BC48" t="n">
        <v>311451.601371236</v>
      </c>
      <c r="BD48" t="n">
        <v>189619229.012443</v>
      </c>
      <c r="BE48" t="n">
        <v>6074445.84507265</v>
      </c>
      <c r="BF48" t="n">
        <v>6439843.93532568</v>
      </c>
      <c r="BG48" t="n">
        <v>15025050.1624627</v>
      </c>
      <c r="BH48" t="n">
        <v>35905004.9258863</v>
      </c>
      <c r="BI48" t="n">
        <v>5124644.68406696</v>
      </c>
      <c r="BJ48" t="n">
        <v>6946067.08783882</v>
      </c>
      <c r="BK48" t="n">
        <v>4436387.63818981</v>
      </c>
      <c r="BL48" t="n">
        <v>2241418.14860744</v>
      </c>
      <c r="BM48" t="n">
        <v>6518287.29294166</v>
      </c>
      <c r="BN48" t="n">
        <v>15331016.2068809</v>
      </c>
      <c r="BO48" t="n">
        <v>12999124.4743208</v>
      </c>
      <c r="BP48" t="n">
        <v>1852787.13521363</v>
      </c>
      <c r="BQ48" t="n">
        <v>19185636.7855446</v>
      </c>
      <c r="BR48" t="n">
        <v>0</v>
      </c>
      <c r="BS48" t="n">
        <v>98216844.3631132</v>
      </c>
      <c r="BT48" t="n">
        <v>1050421.04706751</v>
      </c>
      <c r="BU48" t="n">
        <v>6831406.3595827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12201278.4117889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144</v>
      </c>
      <c r="B49" t="n">
        <v>447260.118627347</v>
      </c>
      <c r="C49" t="n">
        <v>0</v>
      </c>
      <c r="D49" t="n">
        <v>190540.718436626</v>
      </c>
      <c r="E49" t="n">
        <v>11882.3664930793</v>
      </c>
      <c r="F49" t="n">
        <v>166413.83862446</v>
      </c>
      <c r="G49" t="n">
        <v>3172552.16701482</v>
      </c>
      <c r="H49" t="n">
        <v>8119190.29461989</v>
      </c>
      <c r="I49" t="n">
        <v>305523.202801538</v>
      </c>
      <c r="J49" t="n">
        <v>11646.1831869695</v>
      </c>
      <c r="K49" t="n">
        <v>482729.037651963</v>
      </c>
      <c r="L49" t="n">
        <v>1234484.6301362</v>
      </c>
      <c r="M49" t="n">
        <v>437669.434139347</v>
      </c>
      <c r="N49" t="n">
        <v>246133.345774096</v>
      </c>
      <c r="O49" t="n">
        <v>30155.2635434384</v>
      </c>
      <c r="P49" t="n">
        <v>100719.103889221</v>
      </c>
      <c r="Q49" t="n">
        <v>882338.846472184</v>
      </c>
      <c r="R49" t="n">
        <v>131324.205975784</v>
      </c>
      <c r="S49" t="n">
        <v>340302.61676767</v>
      </c>
      <c r="T49" t="n">
        <v>114152.072002324</v>
      </c>
      <c r="U49" t="n">
        <v>0</v>
      </c>
      <c r="V49" t="n">
        <v>0</v>
      </c>
      <c r="W49" t="n">
        <v>128200.01988771</v>
      </c>
      <c r="X49" t="n">
        <v>685274.693825536</v>
      </c>
      <c r="Y49" t="n">
        <v>64341.9059412926</v>
      </c>
      <c r="Z49" t="n">
        <v>564962.875624539</v>
      </c>
      <c r="AA49" t="n">
        <v>117404.215753343</v>
      </c>
      <c r="AB49" t="n">
        <v>36171775.3481463</v>
      </c>
      <c r="AC49" t="n">
        <v>4849492.99025293</v>
      </c>
      <c r="AD49" t="n">
        <v>1049576.90803155</v>
      </c>
      <c r="AE49" t="n">
        <v>2544992.40872437</v>
      </c>
      <c r="AF49" t="n">
        <v>7064213.83478231</v>
      </c>
      <c r="AG49" t="n">
        <v>132778.863040096</v>
      </c>
      <c r="AH49" t="n">
        <v>674179.488913365</v>
      </c>
      <c r="AI49" t="n">
        <v>0</v>
      </c>
      <c r="AJ49" t="n">
        <v>485161.596849684</v>
      </c>
      <c r="AK49" t="n">
        <v>236621.99320399</v>
      </c>
      <c r="AL49" t="n">
        <v>0</v>
      </c>
      <c r="AM49" t="n">
        <v>3461895.18877527</v>
      </c>
      <c r="AN49" t="n">
        <v>2817645.21790957</v>
      </c>
      <c r="AO49" t="n">
        <v>219767651.068373</v>
      </c>
      <c r="AP49" t="n">
        <v>256748.249193323</v>
      </c>
      <c r="AQ49" t="n">
        <v>11055987.7183865</v>
      </c>
      <c r="AR49" t="n">
        <v>12525552.7888745</v>
      </c>
      <c r="AS49" t="n">
        <v>4751964.3768134</v>
      </c>
      <c r="AT49" t="n">
        <v>8520003.60772223</v>
      </c>
      <c r="AU49" t="n">
        <v>8064500.68078227</v>
      </c>
      <c r="AV49" t="n">
        <v>87980.6392483489</v>
      </c>
      <c r="AW49" t="n">
        <v>0</v>
      </c>
      <c r="AX49" t="n">
        <v>5089800.26252035</v>
      </c>
      <c r="AY49" t="n">
        <v>5075701.3163449</v>
      </c>
      <c r="AZ49" t="n">
        <v>15717723.1739311</v>
      </c>
      <c r="BA49" t="n">
        <v>8592021.22982873</v>
      </c>
      <c r="BB49" t="n">
        <v>50483762.3236851</v>
      </c>
      <c r="BC49" t="n">
        <v>9163688.89900985</v>
      </c>
      <c r="BD49" t="n">
        <v>23976271.9812707</v>
      </c>
      <c r="BE49" t="n">
        <v>329729.713568573</v>
      </c>
      <c r="BF49" t="n">
        <v>14642330.1427335</v>
      </c>
      <c r="BG49" t="n">
        <v>23030436.2304674</v>
      </c>
      <c r="BH49" t="n">
        <v>28647329.1412063</v>
      </c>
      <c r="BI49" t="n">
        <v>2302235.01441236</v>
      </c>
      <c r="BJ49" t="n">
        <v>18372464.3531238</v>
      </c>
      <c r="BK49" t="n">
        <v>606723.877803478</v>
      </c>
      <c r="BL49" t="n">
        <v>830619.412590635</v>
      </c>
      <c r="BM49" t="n">
        <v>952385.305392518</v>
      </c>
      <c r="BN49" t="n">
        <v>1559990.03813272</v>
      </c>
      <c r="BO49" t="n">
        <v>6309104.45930837</v>
      </c>
      <c r="BP49" t="n">
        <v>158372.920570467</v>
      </c>
      <c r="BQ49" t="n">
        <v>10415564.0596051</v>
      </c>
      <c r="BR49" t="n">
        <v>299362.823290179</v>
      </c>
      <c r="BS49" t="n">
        <v>96027939.2075398</v>
      </c>
      <c r="BT49" t="n">
        <v>1883471.82023185</v>
      </c>
      <c r="BU49" t="n">
        <v>1591836703.62788</v>
      </c>
      <c r="BV49" t="n">
        <v>0</v>
      </c>
      <c r="BW49" t="n">
        <v>0</v>
      </c>
      <c r="BX49" t="n">
        <v>953963760.478227</v>
      </c>
      <c r="BY49" t="n">
        <v>0</v>
      </c>
      <c r="BZ49" t="n">
        <v>9318482.65566826</v>
      </c>
      <c r="CA49" t="n">
        <v>1194704296.3904</v>
      </c>
      <c r="CB49" t="n">
        <v>-210212018.761644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100375649.922413</v>
      </c>
    </row>
    <row r="50">
      <c r="A50" t="s">
        <v>145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402590.396970471</v>
      </c>
      <c r="AC50" t="n">
        <v>2164499.88631262</v>
      </c>
      <c r="AD50" t="n">
        <v>2178397.13853443</v>
      </c>
      <c r="AE50" t="n">
        <v>0</v>
      </c>
      <c r="AF50" t="n">
        <v>650474.377234975</v>
      </c>
      <c r="AG50" t="n">
        <v>49468.8161206489</v>
      </c>
      <c r="AH50" t="n">
        <v>0</v>
      </c>
      <c r="AI50" t="n">
        <v>0</v>
      </c>
      <c r="AJ50" t="n">
        <v>14130.4344446105</v>
      </c>
      <c r="AK50" t="n">
        <v>0</v>
      </c>
      <c r="AL50" t="n">
        <v>1284272.75103802</v>
      </c>
      <c r="AM50" t="n">
        <v>86429.0104869936</v>
      </c>
      <c r="AN50" t="n">
        <v>0</v>
      </c>
      <c r="AO50" t="n">
        <v>854386.004505607</v>
      </c>
      <c r="AP50" t="n">
        <v>123479946.160091</v>
      </c>
      <c r="AQ50" t="n">
        <v>714433593.045286</v>
      </c>
      <c r="AR50" t="n">
        <v>926730.836104896</v>
      </c>
      <c r="AS50" t="n">
        <v>234919.479435087</v>
      </c>
      <c r="AT50" t="n">
        <v>196872.504661764</v>
      </c>
      <c r="AU50" t="n">
        <v>0</v>
      </c>
      <c r="AV50" t="n">
        <v>0</v>
      </c>
      <c r="AW50" t="n">
        <v>0</v>
      </c>
      <c r="AX50" t="n">
        <v>320002.046186715</v>
      </c>
      <c r="AY50" t="n">
        <v>2557689.50974338</v>
      </c>
      <c r="AZ50" t="n">
        <v>96468.2650731749</v>
      </c>
      <c r="BA50" t="n">
        <v>260911.292282291</v>
      </c>
      <c r="BB50" t="n">
        <v>21390840.2777383</v>
      </c>
      <c r="BC50" t="n">
        <v>3672433.01547383</v>
      </c>
      <c r="BD50" t="n">
        <v>415436.793054022</v>
      </c>
      <c r="BE50" t="n">
        <v>0</v>
      </c>
      <c r="BF50" t="n">
        <v>13608480.3827015</v>
      </c>
      <c r="BG50" t="n">
        <v>537674.545574926</v>
      </c>
      <c r="BH50" t="n">
        <v>218059.483744491</v>
      </c>
      <c r="BI50" t="n">
        <v>14494877.4742433</v>
      </c>
      <c r="BJ50" t="n">
        <v>17695807.2314349</v>
      </c>
      <c r="BK50" t="n">
        <v>2890235.40015411</v>
      </c>
      <c r="BL50" t="n">
        <v>661914.300890679</v>
      </c>
      <c r="BM50" t="n">
        <v>6171782.06374496</v>
      </c>
      <c r="BN50" t="n">
        <v>27013868.4059446</v>
      </c>
      <c r="BO50" t="n">
        <v>2506076.7429602</v>
      </c>
      <c r="BP50" t="n">
        <v>64858.2192891311</v>
      </c>
      <c r="BQ50" t="n">
        <v>5397036.32384942</v>
      </c>
      <c r="BR50" t="n">
        <v>304819.930194799</v>
      </c>
      <c r="BS50" t="n">
        <v>3863919.1275128</v>
      </c>
      <c r="BT50" t="n">
        <v>0</v>
      </c>
      <c r="BU50" t="n">
        <v>257445108.345426</v>
      </c>
      <c r="BV50" t="n">
        <v>0</v>
      </c>
      <c r="BW50" t="n">
        <v>0</v>
      </c>
      <c r="BX50" t="n">
        <v>88389521.6716411</v>
      </c>
      <c r="BY50" t="n">
        <v>0</v>
      </c>
      <c r="BZ50" t="n">
        <v>-1227480.163108</v>
      </c>
      <c r="CA50" t="n">
        <v>272041977.247935</v>
      </c>
      <c r="CB50" t="n">
        <v>-513718327.171587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146</v>
      </c>
      <c r="B51" t="n">
        <v>12890329.9885192</v>
      </c>
      <c r="C51" t="n">
        <v>101167.769120291</v>
      </c>
      <c r="D51" t="n">
        <v>9876344.83603432</v>
      </c>
      <c r="E51" t="n">
        <v>5464126.24704597</v>
      </c>
      <c r="F51" t="n">
        <v>24410180.5227036</v>
      </c>
      <c r="G51" t="n">
        <v>40851602.3938736</v>
      </c>
      <c r="H51" t="n">
        <v>152155041.721327</v>
      </c>
      <c r="I51" t="n">
        <v>14304342.7709695</v>
      </c>
      <c r="J51" t="n">
        <v>29722462.8845481</v>
      </c>
      <c r="K51" t="n">
        <v>25436957.8085526</v>
      </c>
      <c r="L51" t="n">
        <v>44808128.1422933</v>
      </c>
      <c r="M51" t="n">
        <v>31688851.8197941</v>
      </c>
      <c r="N51" t="n">
        <v>4806576.21777955</v>
      </c>
      <c r="O51" t="n">
        <v>6403527.28225226</v>
      </c>
      <c r="P51" t="n">
        <v>4476253.96327228</v>
      </c>
      <c r="Q51" t="n">
        <v>9831467.9946218</v>
      </c>
      <c r="R51" t="n">
        <v>6498192.73176715</v>
      </c>
      <c r="S51" t="n">
        <v>13520765.4722563</v>
      </c>
      <c r="T51" t="n">
        <v>41909214.6282955</v>
      </c>
      <c r="U51" t="n">
        <v>1699622.56379823</v>
      </c>
      <c r="V51" t="n">
        <v>399613.934871821</v>
      </c>
      <c r="W51" t="n">
        <v>18667554.4056356</v>
      </c>
      <c r="X51" t="n">
        <v>18813649.9861236</v>
      </c>
      <c r="Y51" t="n">
        <v>1708585.74912749</v>
      </c>
      <c r="Z51" t="n">
        <v>22471633.5618866</v>
      </c>
      <c r="AA51" t="n">
        <v>19686898.9489273</v>
      </c>
      <c r="AB51" t="n">
        <v>320440495.856338</v>
      </c>
      <c r="AC51" t="n">
        <v>55034424.9669692</v>
      </c>
      <c r="AD51" t="n">
        <v>26827621.2856426</v>
      </c>
      <c r="AE51" t="n">
        <v>12635845.8565238</v>
      </c>
      <c r="AF51" t="n">
        <v>136505684.435829</v>
      </c>
      <c r="AG51" t="n">
        <v>34815777.5048791</v>
      </c>
      <c r="AH51" t="n">
        <v>2646760.88884502</v>
      </c>
      <c r="AI51" t="n">
        <v>1101326.06715021</v>
      </c>
      <c r="AJ51" t="n">
        <v>53379413.1495917</v>
      </c>
      <c r="AK51" t="n">
        <v>44241178.5678437</v>
      </c>
      <c r="AL51" t="n">
        <v>176324047.136928</v>
      </c>
      <c r="AM51" t="n">
        <v>27757948.9463302</v>
      </c>
      <c r="AN51" t="n">
        <v>19702067.7409255</v>
      </c>
      <c r="AO51" t="n">
        <v>42706497.8637624</v>
      </c>
      <c r="AP51" t="n">
        <v>10544107.6163877</v>
      </c>
      <c r="AQ51" t="n">
        <v>4569487813.37152</v>
      </c>
      <c r="AR51" t="n">
        <v>191376403.542715</v>
      </c>
      <c r="AS51" t="n">
        <v>168407464.686544</v>
      </c>
      <c r="AT51" t="n">
        <v>102586478.365732</v>
      </c>
      <c r="AU51" t="n">
        <v>114343897.614041</v>
      </c>
      <c r="AV51" t="n">
        <v>3186699.86045415</v>
      </c>
      <c r="AW51" t="n">
        <v>435412.758468619</v>
      </c>
      <c r="AX51" t="n">
        <v>193691729.844324</v>
      </c>
      <c r="AY51" t="n">
        <v>41602649.1008337</v>
      </c>
      <c r="AZ51" t="n">
        <v>121252808.012013</v>
      </c>
      <c r="BA51" t="n">
        <v>51725316.3553558</v>
      </c>
      <c r="BB51" t="n">
        <v>293398154.577156</v>
      </c>
      <c r="BC51" t="n">
        <v>89672824.834035</v>
      </c>
      <c r="BD51" t="n">
        <v>307847287.530525</v>
      </c>
      <c r="BE51" t="n">
        <v>33260097.6565512</v>
      </c>
      <c r="BF51" t="n">
        <v>122420272.597002</v>
      </c>
      <c r="BG51" t="n">
        <v>201589789.424649</v>
      </c>
      <c r="BH51" t="n">
        <v>104390010.095037</v>
      </c>
      <c r="BI51" t="n">
        <v>60570994.0803539</v>
      </c>
      <c r="BJ51" t="n">
        <v>35423460.8090011</v>
      </c>
      <c r="BK51" t="n">
        <v>23952136.7549284</v>
      </c>
      <c r="BL51" t="n">
        <v>41328358.0383551</v>
      </c>
      <c r="BM51" t="n">
        <v>73627275.9503242</v>
      </c>
      <c r="BN51" t="n">
        <v>138463717.161468</v>
      </c>
      <c r="BO51" t="n">
        <v>169009069.743753</v>
      </c>
      <c r="BP51" t="n">
        <v>45537301.3326768</v>
      </c>
      <c r="BQ51" t="n">
        <v>220659428.789728</v>
      </c>
      <c r="BR51" t="n">
        <v>45159498.6669833</v>
      </c>
      <c r="BS51" t="n">
        <v>1922699557.40291</v>
      </c>
      <c r="BT51" t="n">
        <v>28589623.9606094</v>
      </c>
      <c r="BU51" t="n">
        <v>14558691779.8682</v>
      </c>
      <c r="BV51" t="n">
        <v>0</v>
      </c>
      <c r="BW51" t="n">
        <v>354239581.235659</v>
      </c>
      <c r="BX51" t="n">
        <v>1577530759.77946</v>
      </c>
      <c r="BY51" t="n">
        <v>0</v>
      </c>
      <c r="BZ51" t="n">
        <v>0</v>
      </c>
      <c r="CA51" t="n">
        <v>696651737.532928</v>
      </c>
      <c r="CB51" t="n">
        <v>-7367971.34421583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147</v>
      </c>
      <c r="B52" t="n">
        <v>0</v>
      </c>
      <c r="C52" t="n">
        <v>0</v>
      </c>
      <c r="D52" t="n">
        <v>744932.491918767</v>
      </c>
      <c r="E52" t="n">
        <v>240295.34297224</v>
      </c>
      <c r="F52" t="n">
        <v>702237.521896027</v>
      </c>
      <c r="G52" t="n">
        <v>98087897.3657318</v>
      </c>
      <c r="H52" t="n">
        <v>35387766.9897347</v>
      </c>
      <c r="I52" t="n">
        <v>15691540.6196764</v>
      </c>
      <c r="J52" t="n">
        <v>25691708.7633716</v>
      </c>
      <c r="K52" t="n">
        <v>38529594.6960398</v>
      </c>
      <c r="L52" t="n">
        <v>49197643.1484083</v>
      </c>
      <c r="M52" t="n">
        <v>36469842.4695223</v>
      </c>
      <c r="N52" t="n">
        <v>2089143.71713</v>
      </c>
      <c r="O52" t="n">
        <v>12346752.1277396</v>
      </c>
      <c r="P52" t="n">
        <v>3537093.18737411</v>
      </c>
      <c r="Q52" t="n">
        <v>14125712.3381028</v>
      </c>
      <c r="R52" t="n">
        <v>10801922.1331682</v>
      </c>
      <c r="S52" t="n">
        <v>14752992.9281171</v>
      </c>
      <c r="T52" t="n">
        <v>33659278.26723</v>
      </c>
      <c r="U52" t="n">
        <v>1523031.01208662</v>
      </c>
      <c r="V52" t="n">
        <v>324598.104750698</v>
      </c>
      <c r="W52" t="n">
        <v>30108161.4059529</v>
      </c>
      <c r="X52" t="n">
        <v>8640434.68389966</v>
      </c>
      <c r="Y52" t="n">
        <v>2481054.98944063</v>
      </c>
      <c r="Z52" t="n">
        <v>16885510.5310885</v>
      </c>
      <c r="AA52" t="n">
        <v>13384823.7686679</v>
      </c>
      <c r="AB52" t="n">
        <v>78202010.6373466</v>
      </c>
      <c r="AC52" t="n">
        <v>95688237.9042255</v>
      </c>
      <c r="AD52" t="n">
        <v>37488119.1580325</v>
      </c>
      <c r="AE52" t="n">
        <v>26416151.1449466</v>
      </c>
      <c r="AF52" t="n">
        <v>156571917.828448</v>
      </c>
      <c r="AG52" t="n">
        <v>10126858.5188631</v>
      </c>
      <c r="AH52" t="n">
        <v>0</v>
      </c>
      <c r="AI52" t="n">
        <v>0</v>
      </c>
      <c r="AJ52" t="n">
        <v>4317624.82348665</v>
      </c>
      <c r="AK52" t="n">
        <v>5341559.55824211</v>
      </c>
      <c r="AL52" t="n">
        <v>7566768.29560165</v>
      </c>
      <c r="AM52" t="n">
        <v>13625881.0760413</v>
      </c>
      <c r="AN52" t="n">
        <v>8643213.25314821</v>
      </c>
      <c r="AO52" t="n">
        <v>50747845.8946736</v>
      </c>
      <c r="AP52" t="n">
        <v>1604011.08685155</v>
      </c>
      <c r="AQ52" t="n">
        <v>129172524.660326</v>
      </c>
      <c r="AR52" t="n">
        <v>144674315.009431</v>
      </c>
      <c r="AS52" t="n">
        <v>268428385.578153</v>
      </c>
      <c r="AT52" t="n">
        <v>72004151.5440548</v>
      </c>
      <c r="AU52" t="n">
        <v>63746661.6802217</v>
      </c>
      <c r="AV52" t="n">
        <v>6183355.67664332</v>
      </c>
      <c r="AW52" t="n">
        <v>23125.0180144769</v>
      </c>
      <c r="AX52" t="n">
        <v>16210517.1178589</v>
      </c>
      <c r="AY52" t="n">
        <v>16906997.4745814</v>
      </c>
      <c r="AZ52" t="n">
        <v>104266164.84176</v>
      </c>
      <c r="BA52" t="n">
        <v>65485783.7606074</v>
      </c>
      <c r="BB52" t="n">
        <v>358417713.338941</v>
      </c>
      <c r="BC52" t="n">
        <v>51750752.786598</v>
      </c>
      <c r="BD52" t="n">
        <v>593779100.206016</v>
      </c>
      <c r="BE52" t="n">
        <v>36438163.5075501</v>
      </c>
      <c r="BF52" t="n">
        <v>195093768.130145</v>
      </c>
      <c r="BG52" t="n">
        <v>49231549.9081268</v>
      </c>
      <c r="BH52" t="n">
        <v>97972716.4108484</v>
      </c>
      <c r="BI52" t="n">
        <v>11737176.561552</v>
      </c>
      <c r="BJ52" t="n">
        <v>28043715.568765</v>
      </c>
      <c r="BK52" t="n">
        <v>23610768.9866028</v>
      </c>
      <c r="BL52" t="n">
        <v>29925236.2108989</v>
      </c>
      <c r="BM52" t="n">
        <v>13501344.524491</v>
      </c>
      <c r="BN52" t="n">
        <v>192263039.983807</v>
      </c>
      <c r="BO52" t="n">
        <v>160256848.548238</v>
      </c>
      <c r="BP52" t="n">
        <v>8536161.73181512</v>
      </c>
      <c r="BQ52" t="n">
        <v>75114395.5206632</v>
      </c>
      <c r="BR52" t="n">
        <v>8754555.93785814</v>
      </c>
      <c r="BS52" t="n">
        <v>616166271.117414</v>
      </c>
      <c r="BT52" t="n">
        <v>31684333.1550656</v>
      </c>
      <c r="BU52" t="n">
        <v>1975287785.89786</v>
      </c>
      <c r="BV52" t="n">
        <v>0</v>
      </c>
      <c r="BW52" t="n">
        <v>0</v>
      </c>
      <c r="BX52" t="n">
        <v>448795444.259878</v>
      </c>
      <c r="BY52" t="n">
        <v>0</v>
      </c>
      <c r="BZ52" t="n">
        <v>0</v>
      </c>
      <c r="CA52" t="n">
        <v>130547915.514717</v>
      </c>
      <c r="CB52" t="n">
        <v>-51425460.6527689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23219436.3003421</v>
      </c>
      <c r="CK52" t="n">
        <v>0</v>
      </c>
      <c r="CL52" t="n">
        <v>0</v>
      </c>
      <c r="CM52" t="n">
        <v>0</v>
      </c>
      <c r="CN52" t="n">
        <v>119249849.874075</v>
      </c>
    </row>
    <row r="53">
      <c r="A53" t="s">
        <v>148</v>
      </c>
      <c r="B53" t="n">
        <v>16467267.4663784</v>
      </c>
      <c r="C53" t="n">
        <v>1431387.368684</v>
      </c>
      <c r="D53" t="n">
        <v>13859629.9276769</v>
      </c>
      <c r="E53" t="n">
        <v>7433491.60473577</v>
      </c>
      <c r="F53" t="n">
        <v>7378179.10194321</v>
      </c>
      <c r="G53" t="n">
        <v>52853129.6521881</v>
      </c>
      <c r="H53" t="n">
        <v>59401519.6711046</v>
      </c>
      <c r="I53" t="n">
        <v>7589762.54898977</v>
      </c>
      <c r="J53" t="n">
        <v>10086495.4265964</v>
      </c>
      <c r="K53" t="n">
        <v>27179321.1989814</v>
      </c>
      <c r="L53" t="n">
        <v>21383714.281738</v>
      </c>
      <c r="M53" t="n">
        <v>18787086.6730885</v>
      </c>
      <c r="N53" t="n">
        <v>13460043.4457786</v>
      </c>
      <c r="O53" t="n">
        <v>14589997.5919108</v>
      </c>
      <c r="P53" t="n">
        <v>8811598.12956937</v>
      </c>
      <c r="Q53" t="n">
        <v>3649988.7648803</v>
      </c>
      <c r="R53" t="n">
        <v>4619804.45539258</v>
      </c>
      <c r="S53" t="n">
        <v>13112084.5717221</v>
      </c>
      <c r="T53" t="n">
        <v>35422222.1284745</v>
      </c>
      <c r="U53" t="n">
        <v>2030067.69624084</v>
      </c>
      <c r="V53" t="n">
        <v>2848203.04934075</v>
      </c>
      <c r="W53" t="n">
        <v>16185332.9225514</v>
      </c>
      <c r="X53" t="n">
        <v>7366041.85178829</v>
      </c>
      <c r="Y53" t="n">
        <v>5755167.12513714</v>
      </c>
      <c r="Z53" t="n">
        <v>53497701.8788237</v>
      </c>
      <c r="AA53" t="n">
        <v>22566017.3456783</v>
      </c>
      <c r="AB53" t="n">
        <v>277204167.356133</v>
      </c>
      <c r="AC53" t="n">
        <v>35192691.9003071</v>
      </c>
      <c r="AD53" t="n">
        <v>24015901.1287775</v>
      </c>
      <c r="AE53" t="n">
        <v>21819828.1150488</v>
      </c>
      <c r="AF53" t="n">
        <v>68869143.3479423</v>
      </c>
      <c r="AG53" t="n">
        <v>8219824.53565254</v>
      </c>
      <c r="AH53" t="n">
        <v>44856492.1105992</v>
      </c>
      <c r="AI53" t="n">
        <v>1004862.59792437</v>
      </c>
      <c r="AJ53" t="n">
        <v>18752299.490271</v>
      </c>
      <c r="AK53" t="n">
        <v>41570970.4794887</v>
      </c>
      <c r="AL53" t="n">
        <v>112803939.08729</v>
      </c>
      <c r="AM53" t="n">
        <v>12798491.4225255</v>
      </c>
      <c r="AN53" t="n">
        <v>5522905.4573684</v>
      </c>
      <c r="AO53" t="n">
        <v>26402595.7402188</v>
      </c>
      <c r="AP53" t="n">
        <v>3852061.97333497</v>
      </c>
      <c r="AQ53" t="n">
        <v>234274292.274199</v>
      </c>
      <c r="AR53" t="n">
        <v>12989859.1057638</v>
      </c>
      <c r="AS53" t="n">
        <v>466918510.459267</v>
      </c>
      <c r="AT53" t="n">
        <v>361669034.829133</v>
      </c>
      <c r="AU53" t="n">
        <v>6390258.22417334</v>
      </c>
      <c r="AV53" t="n">
        <v>2545246.34471674</v>
      </c>
      <c r="AW53" t="n">
        <v>1138264442.04055</v>
      </c>
      <c r="AX53" t="n">
        <v>248295364.055296</v>
      </c>
      <c r="AY53" t="n">
        <v>70227597.6960909</v>
      </c>
      <c r="AZ53" t="n">
        <v>20391716.6711264</v>
      </c>
      <c r="BA53" t="n">
        <v>20658998.4171582</v>
      </c>
      <c r="BB53" t="n">
        <v>117599350.73351</v>
      </c>
      <c r="BC53" t="n">
        <v>358016954.570812</v>
      </c>
      <c r="BD53" t="n">
        <v>49273153.8097085</v>
      </c>
      <c r="BE53" t="n">
        <v>9087987.83810802</v>
      </c>
      <c r="BF53" t="n">
        <v>31636122.8316975</v>
      </c>
      <c r="BG53" t="n">
        <v>56241716.0507782</v>
      </c>
      <c r="BH53" t="n">
        <v>70757406.4565209</v>
      </c>
      <c r="BI53" t="n">
        <v>14988003.7119331</v>
      </c>
      <c r="BJ53" t="n">
        <v>14688676.6489229</v>
      </c>
      <c r="BK53" t="n">
        <v>8610563.86484203</v>
      </c>
      <c r="BL53" t="n">
        <v>16299724.8693411</v>
      </c>
      <c r="BM53" t="n">
        <v>30719410.334256</v>
      </c>
      <c r="BN53" t="n">
        <v>55612671.8653503</v>
      </c>
      <c r="BO53" t="n">
        <v>87537483.0661999</v>
      </c>
      <c r="BP53" t="n">
        <v>0</v>
      </c>
      <c r="BQ53" t="n">
        <v>34058771.0088149</v>
      </c>
      <c r="BR53" t="n">
        <v>8954443.78004224</v>
      </c>
      <c r="BS53" t="n">
        <v>165584190.257952</v>
      </c>
      <c r="BT53" t="n">
        <v>15124816.7006935</v>
      </c>
      <c r="BU53" t="n">
        <v>2518985745.77917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1757513256.55085</v>
      </c>
      <c r="CB53" t="n">
        <v>-281890454.172316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149</v>
      </c>
      <c r="B54" t="n">
        <v>4645473.43762333</v>
      </c>
      <c r="C54" t="n">
        <v>92816.0870699864</v>
      </c>
      <c r="D54" t="n">
        <v>46859712.4713086</v>
      </c>
      <c r="E54" t="n">
        <v>61987235.247788</v>
      </c>
      <c r="F54" t="n">
        <v>296450209.38236</v>
      </c>
      <c r="G54" t="n">
        <v>18534942.1306661</v>
      </c>
      <c r="H54" t="n">
        <v>33246235.9158144</v>
      </c>
      <c r="I54" t="n">
        <v>1002010.85423263</v>
      </c>
      <c r="J54" t="n">
        <v>2154178.21550936</v>
      </c>
      <c r="K54" t="n">
        <v>124422168.413006</v>
      </c>
      <c r="L54" t="n">
        <v>77756603.9921397</v>
      </c>
      <c r="M54" t="n">
        <v>50678092.4680201</v>
      </c>
      <c r="N54" t="n">
        <v>2122981.39684869</v>
      </c>
      <c r="O54" t="n">
        <v>14842558.9277039</v>
      </c>
      <c r="P54" t="n">
        <v>16684858.5074578</v>
      </c>
      <c r="Q54" t="n">
        <v>7691291.71139066</v>
      </c>
      <c r="R54" t="n">
        <v>17924793.543908</v>
      </c>
      <c r="S54" t="n">
        <v>24229696.2744109</v>
      </c>
      <c r="T54" t="n">
        <v>3218453.17810335</v>
      </c>
      <c r="U54" t="n">
        <v>116119.125546696</v>
      </c>
      <c r="V54" t="n">
        <v>25160.5177931087</v>
      </c>
      <c r="W54" t="n">
        <v>1090911.83809906</v>
      </c>
      <c r="X54" t="n">
        <v>1078783.16285942</v>
      </c>
      <c r="Y54" t="n">
        <v>522512.406986706</v>
      </c>
      <c r="Z54" t="n">
        <v>1041991.06069808</v>
      </c>
      <c r="AA54" t="n">
        <v>3266615.77217175</v>
      </c>
      <c r="AB54" t="n">
        <v>80158715.8889586</v>
      </c>
      <c r="AC54" t="n">
        <v>2573427.18632291</v>
      </c>
      <c r="AD54" t="n">
        <v>8792602.18178802</v>
      </c>
      <c r="AE54" t="n">
        <v>17705247.3370454</v>
      </c>
      <c r="AF54" t="n">
        <v>14157595.664786</v>
      </c>
      <c r="AG54" t="n">
        <v>39563751.5338457</v>
      </c>
      <c r="AH54" t="n">
        <v>11141214.8403444</v>
      </c>
      <c r="AI54" t="n">
        <v>4604549.47563533</v>
      </c>
      <c r="AJ54" t="n">
        <v>14010793.8733334</v>
      </c>
      <c r="AK54" t="n">
        <v>73518234.6028721</v>
      </c>
      <c r="AL54" t="n">
        <v>21561652.1719956</v>
      </c>
      <c r="AM54" t="n">
        <v>34832676.5210062</v>
      </c>
      <c r="AN54" t="n">
        <v>1370137.81815037</v>
      </c>
      <c r="AO54" t="n">
        <v>5620384.9743648</v>
      </c>
      <c r="AP54" t="n">
        <v>6688071.43626969</v>
      </c>
      <c r="AQ54" t="n">
        <v>8385039.08847486</v>
      </c>
      <c r="AR54" t="n">
        <v>1624448.8816633</v>
      </c>
      <c r="AS54" t="n">
        <v>986641241.187305</v>
      </c>
      <c r="AT54" t="n">
        <v>902019068.580703</v>
      </c>
      <c r="AU54" t="n">
        <v>97478629.4189953</v>
      </c>
      <c r="AV54" t="n">
        <v>281122922.095364</v>
      </c>
      <c r="AW54" t="n">
        <v>71699.4238356477</v>
      </c>
      <c r="AX54" t="n">
        <v>114140867.690798</v>
      </c>
      <c r="AY54" t="n">
        <v>50224773.9903985</v>
      </c>
      <c r="AZ54" t="n">
        <v>17126536.3845371</v>
      </c>
      <c r="BA54" t="n">
        <v>11075928.8338151</v>
      </c>
      <c r="BB54" t="n">
        <v>69210666.6607029</v>
      </c>
      <c r="BC54" t="n">
        <v>420655961.08269</v>
      </c>
      <c r="BD54" t="n">
        <v>29817251.0770346</v>
      </c>
      <c r="BE54" t="n">
        <v>1170414.71537869</v>
      </c>
      <c r="BF54" t="n">
        <v>62891143.1961159</v>
      </c>
      <c r="BG54" t="n">
        <v>48089218.8643976</v>
      </c>
      <c r="BH54" t="n">
        <v>428223508.131424</v>
      </c>
      <c r="BI54" t="n">
        <v>16134108.0297229</v>
      </c>
      <c r="BJ54" t="n">
        <v>107117760.366778</v>
      </c>
      <c r="BK54" t="n">
        <v>27283031.956016</v>
      </c>
      <c r="BL54" t="n">
        <v>2367561.51019147</v>
      </c>
      <c r="BM54" t="n">
        <v>91664863.3567966</v>
      </c>
      <c r="BN54" t="n">
        <v>134195588.147413</v>
      </c>
      <c r="BO54" t="n">
        <v>104941703.01735</v>
      </c>
      <c r="BP54" t="n">
        <v>0</v>
      </c>
      <c r="BQ54" t="n">
        <v>103246.077182731</v>
      </c>
      <c r="BR54" t="n">
        <v>401952.506675075</v>
      </c>
      <c r="BS54" t="n">
        <v>617742607.954141</v>
      </c>
      <c r="BT54" t="n">
        <v>42272887.4402955</v>
      </c>
      <c r="BU54" t="n">
        <v>7671754127.69235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2131020308.77211</v>
      </c>
      <c r="CB54" t="n">
        <v>-2010993.9206299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150</v>
      </c>
      <c r="B55" t="n">
        <v>15360827.1062869</v>
      </c>
      <c r="C55" t="n">
        <v>1265665.4110218</v>
      </c>
      <c r="D55" t="n">
        <v>19458147.5982529</v>
      </c>
      <c r="E55" t="n">
        <v>8113448.69681505</v>
      </c>
      <c r="F55" t="n">
        <v>46451711.3946236</v>
      </c>
      <c r="G55" t="n">
        <v>16242532.3651793</v>
      </c>
      <c r="H55" t="n">
        <v>3156587.20416541</v>
      </c>
      <c r="I55" t="n">
        <v>2519740.90413428</v>
      </c>
      <c r="J55" t="n">
        <v>11181852.0734021</v>
      </c>
      <c r="K55" t="n">
        <v>17491469.6446782</v>
      </c>
      <c r="L55" t="n">
        <v>11376059.0144478</v>
      </c>
      <c r="M55" t="n">
        <v>13465716.5128426</v>
      </c>
      <c r="N55" t="n">
        <v>1314129.58493673</v>
      </c>
      <c r="O55" t="n">
        <v>11236086.5773536</v>
      </c>
      <c r="P55" t="n">
        <v>9898314.79172104</v>
      </c>
      <c r="Q55" t="n">
        <v>5452180.14285979</v>
      </c>
      <c r="R55" t="n">
        <v>4193513.37339169</v>
      </c>
      <c r="S55" t="n">
        <v>5378331.7250887</v>
      </c>
      <c r="T55" t="n">
        <v>37226844.4915201</v>
      </c>
      <c r="U55" t="n">
        <v>1533536.61765649</v>
      </c>
      <c r="V55" t="n">
        <v>429101.596344292</v>
      </c>
      <c r="W55" t="n">
        <v>6246947.29914819</v>
      </c>
      <c r="X55" t="n">
        <v>955351.316140472</v>
      </c>
      <c r="Y55" t="n">
        <v>1640110.41331729</v>
      </c>
      <c r="Z55" t="n">
        <v>29939146.4113389</v>
      </c>
      <c r="AA55" t="n">
        <v>9357333.04661915</v>
      </c>
      <c r="AB55" t="n">
        <v>330437047.83666</v>
      </c>
      <c r="AC55" t="n">
        <v>28985808.2927126</v>
      </c>
      <c r="AD55" t="n">
        <v>13928327.2006696</v>
      </c>
      <c r="AE55" t="n">
        <v>12556417.0529249</v>
      </c>
      <c r="AF55" t="n">
        <v>52657985.8938928</v>
      </c>
      <c r="AG55" t="n">
        <v>4770003.94902852</v>
      </c>
      <c r="AH55" t="n">
        <v>303518.112885073</v>
      </c>
      <c r="AI55" t="n">
        <v>1123157.04906792</v>
      </c>
      <c r="AJ55" t="n">
        <v>129597293.671524</v>
      </c>
      <c r="AK55" t="n">
        <v>80618781.0271954</v>
      </c>
      <c r="AL55" t="n">
        <v>16824455.0896559</v>
      </c>
      <c r="AM55" t="n">
        <v>24426693.133238</v>
      </c>
      <c r="AN55" t="n">
        <v>40300142.6655184</v>
      </c>
      <c r="AO55" t="n">
        <v>2647136.00183558</v>
      </c>
      <c r="AP55" t="n">
        <v>5706330.59034446</v>
      </c>
      <c r="AQ55" t="n">
        <v>25865846.8922918</v>
      </c>
      <c r="AR55" t="n">
        <v>4292449.23109675</v>
      </c>
      <c r="AS55" t="n">
        <v>27329241.9615785</v>
      </c>
      <c r="AT55" t="n">
        <v>73900773.3544229</v>
      </c>
      <c r="AU55" t="n">
        <v>4909115016.63324</v>
      </c>
      <c r="AV55" t="n">
        <v>10573074.6746328</v>
      </c>
      <c r="AW55" t="n">
        <v>48504488.3927763</v>
      </c>
      <c r="AX55" t="n">
        <v>221528435.223036</v>
      </c>
      <c r="AY55" t="n">
        <v>54994999.9073928</v>
      </c>
      <c r="AZ55" t="n">
        <v>29634862.956998</v>
      </c>
      <c r="BA55" t="n">
        <v>15116572.8975042</v>
      </c>
      <c r="BB55" t="n">
        <v>102175631.637648</v>
      </c>
      <c r="BC55" t="n">
        <v>4348884.07936947</v>
      </c>
      <c r="BD55" t="n">
        <v>56814961.3305753</v>
      </c>
      <c r="BE55" t="n">
        <v>12666684.3399477</v>
      </c>
      <c r="BF55" t="n">
        <v>36025124.9883727</v>
      </c>
      <c r="BG55" t="n">
        <v>117831192.565344</v>
      </c>
      <c r="BH55" t="n">
        <v>168181134.454205</v>
      </c>
      <c r="BI55" t="n">
        <v>42625958.5889555</v>
      </c>
      <c r="BJ55" t="n">
        <v>138007087.375553</v>
      </c>
      <c r="BK55" t="n">
        <v>20682899.4763977</v>
      </c>
      <c r="BL55" t="n">
        <v>13610029.0272254</v>
      </c>
      <c r="BM55" t="n">
        <v>8075305.86833596</v>
      </c>
      <c r="BN55" t="n">
        <v>53618361.9868532</v>
      </c>
      <c r="BO55" t="n">
        <v>28765621.8332228</v>
      </c>
      <c r="BP55" t="n">
        <v>0</v>
      </c>
      <c r="BQ55" t="n">
        <v>6376217.0603022</v>
      </c>
      <c r="BR55" t="n">
        <v>22159349.0256672</v>
      </c>
      <c r="BS55" t="n">
        <v>27225944.4424281</v>
      </c>
      <c r="BT55" t="n">
        <v>46760225.8253776</v>
      </c>
      <c r="BU55" t="n">
        <v>4246097554.65839</v>
      </c>
      <c r="BV55" t="n">
        <v>0</v>
      </c>
      <c r="BW55" t="n">
        <v>0</v>
      </c>
      <c r="BX55" t="n">
        <v>0</v>
      </c>
      <c r="BY55" t="n">
        <v>53802152.7524829</v>
      </c>
      <c r="BZ55" t="n">
        <v>0</v>
      </c>
      <c r="CA55" t="n">
        <v>899502873.799475</v>
      </c>
      <c r="CB55" t="n">
        <v>-2354342005.15413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151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41862232.6086249</v>
      </c>
      <c r="AV56" t="n">
        <v>8347081.75276711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1171865.24406095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480406.175940744</v>
      </c>
      <c r="BR56" t="n">
        <v>0</v>
      </c>
      <c r="BS56" t="n">
        <v>9241737.23728739</v>
      </c>
      <c r="BT56" t="n">
        <v>0</v>
      </c>
      <c r="BU56" t="n">
        <v>1616743305.86416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152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81200543413.1112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153</v>
      </c>
      <c r="B58" t="n">
        <v>74131965.266736</v>
      </c>
      <c r="C58" t="n">
        <v>250027.654505546</v>
      </c>
      <c r="D58" t="n">
        <v>52682724.1812855</v>
      </c>
      <c r="E58" t="n">
        <v>9679834.22910367</v>
      </c>
      <c r="F58" t="n">
        <v>51806623.9192186</v>
      </c>
      <c r="G58" t="n">
        <v>329518635.330278</v>
      </c>
      <c r="H58" t="n">
        <v>568404727.170844</v>
      </c>
      <c r="I58" t="n">
        <v>36526585.9232925</v>
      </c>
      <c r="J58" t="n">
        <v>49843054.324622</v>
      </c>
      <c r="K58" t="n">
        <v>49773670.7151398</v>
      </c>
      <c r="L58" t="n">
        <v>254675076.680259</v>
      </c>
      <c r="M58" t="n">
        <v>80278695.4176293</v>
      </c>
      <c r="N58" t="n">
        <v>60207186.42805</v>
      </c>
      <c r="O58" t="n">
        <v>40492169.3962855</v>
      </c>
      <c r="P58" t="n">
        <v>21575051.157705</v>
      </c>
      <c r="Q58" t="n">
        <v>24395862.7998393</v>
      </c>
      <c r="R58" t="n">
        <v>51971353.3464701</v>
      </c>
      <c r="S58" t="n">
        <v>67702203.469069</v>
      </c>
      <c r="T58" t="n">
        <v>196034777.321617</v>
      </c>
      <c r="U58" t="n">
        <v>13161716.1964238</v>
      </c>
      <c r="V58" t="n">
        <v>4723557.55126683</v>
      </c>
      <c r="W58" t="n">
        <v>110433047.392025</v>
      </c>
      <c r="X58" t="n">
        <v>102046092.697036</v>
      </c>
      <c r="Y58" t="n">
        <v>3139901.64279828</v>
      </c>
      <c r="Z58" t="n">
        <v>245928667.223476</v>
      </c>
      <c r="AA58" t="n">
        <v>161081270.267475</v>
      </c>
      <c r="AB58" t="n">
        <v>3250348206.65151</v>
      </c>
      <c r="AC58" t="n">
        <v>770849755.702231</v>
      </c>
      <c r="AD58" t="n">
        <v>1215639457.31334</v>
      </c>
      <c r="AE58" t="n">
        <v>694434090.10555</v>
      </c>
      <c r="AF58" t="n">
        <v>3242440170.37401</v>
      </c>
      <c r="AG58" t="n">
        <v>9312011.98208845</v>
      </c>
      <c r="AH58" t="n">
        <v>7315359.63278916</v>
      </c>
      <c r="AI58" t="n">
        <v>6007236.29099813</v>
      </c>
      <c r="AJ58" t="n">
        <v>345267863.330033</v>
      </c>
      <c r="AK58" t="n">
        <v>114798056.537102</v>
      </c>
      <c r="AL58" t="n">
        <v>69727024.5958519</v>
      </c>
      <c r="AM58" t="n">
        <v>213933811.530903</v>
      </c>
      <c r="AN58" t="n">
        <v>693094013.90214</v>
      </c>
      <c r="AO58" t="n">
        <v>196889285.994787</v>
      </c>
      <c r="AP58" t="n">
        <v>50668227.454966</v>
      </c>
      <c r="AQ58" t="n">
        <v>1725700456.96604</v>
      </c>
      <c r="AR58" t="n">
        <v>201853119.627942</v>
      </c>
      <c r="AS58" t="n">
        <v>654691738.696292</v>
      </c>
      <c r="AT58" t="n">
        <v>863140147.29599</v>
      </c>
      <c r="AU58" t="n">
        <v>1042902423.67322</v>
      </c>
      <c r="AV58" t="n">
        <v>3011111.11111111</v>
      </c>
      <c r="AW58" t="n">
        <v>228518664.2842</v>
      </c>
      <c r="AX58" t="n">
        <v>4094764546.60743</v>
      </c>
      <c r="AY58" t="n">
        <v>288232655.766681</v>
      </c>
      <c r="AZ58" t="n">
        <v>945199676.01959</v>
      </c>
      <c r="BA58" t="n">
        <v>248801998.646791</v>
      </c>
      <c r="BB58" t="n">
        <v>2345085498.73773</v>
      </c>
      <c r="BC58" t="n">
        <v>2380294587.77756</v>
      </c>
      <c r="BD58" t="n">
        <v>1300641389.93865</v>
      </c>
      <c r="BE58" t="n">
        <v>130156491.647237</v>
      </c>
      <c r="BF58" t="n">
        <v>2609341849.34827</v>
      </c>
      <c r="BG58" t="n">
        <v>2360818309.80702</v>
      </c>
      <c r="BH58" t="n">
        <v>3911443833.19491</v>
      </c>
      <c r="BI58" t="n">
        <v>1744001109.65399</v>
      </c>
      <c r="BJ58" t="n">
        <v>755251454.010782</v>
      </c>
      <c r="BK58" t="n">
        <v>571592784.80382</v>
      </c>
      <c r="BL58" t="n">
        <v>772918786.423344</v>
      </c>
      <c r="BM58" t="n">
        <v>71567273.5950241</v>
      </c>
      <c r="BN58" t="n">
        <v>1857312661.62364</v>
      </c>
      <c r="BO58" t="n">
        <v>2476616326.40249</v>
      </c>
      <c r="BP58" t="n">
        <v>2631455.61524687</v>
      </c>
      <c r="BQ58" t="n">
        <v>406114417.063479</v>
      </c>
      <c r="BR58" t="n">
        <v>18431727.887424</v>
      </c>
      <c r="BS58" t="n">
        <v>808931421.715716</v>
      </c>
      <c r="BT58" t="n">
        <v>48421019.345663</v>
      </c>
      <c r="BU58" t="n">
        <v>235864865.497817</v>
      </c>
      <c r="BV58" t="n">
        <v>754618003.241968</v>
      </c>
      <c r="BW58" t="n">
        <v>0</v>
      </c>
      <c r="BX58" t="n">
        <v>0</v>
      </c>
      <c r="BY58" t="n">
        <v>5006336574.50466</v>
      </c>
      <c r="BZ58" t="n">
        <v>0</v>
      </c>
      <c r="CA58" t="n">
        <v>67149969.6190363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154</v>
      </c>
      <c r="B59" t="n">
        <v>15817430.1562616</v>
      </c>
      <c r="C59" t="n">
        <v>341669.57549497</v>
      </c>
      <c r="D59" t="n">
        <v>39731639.4705065</v>
      </c>
      <c r="E59" t="n">
        <v>41124262.1412941</v>
      </c>
      <c r="F59" t="n">
        <v>91500691.1308471</v>
      </c>
      <c r="G59" t="n">
        <v>29517897.9896454</v>
      </c>
      <c r="H59" t="n">
        <v>292576227.816035</v>
      </c>
      <c r="I59" t="n">
        <v>3920399.94215283</v>
      </c>
      <c r="J59" t="n">
        <v>10555525.727949</v>
      </c>
      <c r="K59" t="n">
        <v>21335492.5001138</v>
      </c>
      <c r="L59" t="n">
        <v>28134387.3455839</v>
      </c>
      <c r="M59" t="n">
        <v>17650357.3380101</v>
      </c>
      <c r="N59" t="n">
        <v>3330952.19324522</v>
      </c>
      <c r="O59" t="n">
        <v>7047209.93967797</v>
      </c>
      <c r="P59" t="n">
        <v>20727944.158794</v>
      </c>
      <c r="Q59" t="n">
        <v>5214466.44313038</v>
      </c>
      <c r="R59" t="n">
        <v>3302828.6590847</v>
      </c>
      <c r="S59" t="n">
        <v>9057643.9844835</v>
      </c>
      <c r="T59" t="n">
        <v>40003432.6833316</v>
      </c>
      <c r="U59" t="n">
        <v>580112.701604462</v>
      </c>
      <c r="V59" t="n">
        <v>17405858.1313146</v>
      </c>
      <c r="W59" t="n">
        <v>19226047.8907644</v>
      </c>
      <c r="X59" t="n">
        <v>7605477.50201225</v>
      </c>
      <c r="Y59" t="n">
        <v>6491625.1911259</v>
      </c>
      <c r="Z59" t="n">
        <v>61285922.231215</v>
      </c>
      <c r="AA59" t="n">
        <v>16621930.2480973</v>
      </c>
      <c r="AB59" t="n">
        <v>265795861.696772</v>
      </c>
      <c r="AC59" t="n">
        <v>9827992.36940278</v>
      </c>
      <c r="AD59" t="n">
        <v>14983570.3291972</v>
      </c>
      <c r="AE59" t="n">
        <v>33739527.5510533</v>
      </c>
      <c r="AF59" t="n">
        <v>57127348.7940017</v>
      </c>
      <c r="AG59" t="n">
        <v>103998880.08413</v>
      </c>
      <c r="AH59" t="n">
        <v>71209513.163657</v>
      </c>
      <c r="AI59" t="n">
        <v>15403421.572329</v>
      </c>
      <c r="AJ59" t="n">
        <v>342682297.903713</v>
      </c>
      <c r="AK59" t="n">
        <v>19824471.9747351</v>
      </c>
      <c r="AL59" t="n">
        <v>3657203.23381354</v>
      </c>
      <c r="AM59" t="n">
        <v>24395607.6377695</v>
      </c>
      <c r="AN59" t="n">
        <v>110404846.610119</v>
      </c>
      <c r="AO59" t="n">
        <v>13101019.935813</v>
      </c>
      <c r="AP59" t="n">
        <v>5488901.42752372</v>
      </c>
      <c r="AQ59" t="n">
        <v>169526398.791495</v>
      </c>
      <c r="AR59" t="n">
        <v>48047109.0369149</v>
      </c>
      <c r="AS59" t="n">
        <v>31633056.5894498</v>
      </c>
      <c r="AT59" t="n">
        <v>58673660.4797504</v>
      </c>
      <c r="AU59" t="n">
        <v>49826296.2961563</v>
      </c>
      <c r="AV59" t="n">
        <v>35247.7238350315</v>
      </c>
      <c r="AW59" t="n">
        <v>68958007.0716944</v>
      </c>
      <c r="AX59" t="n">
        <v>19564536.3503786</v>
      </c>
      <c r="AY59" t="n">
        <v>84640268.513189</v>
      </c>
      <c r="AZ59" t="n">
        <v>27341066.3264441</v>
      </c>
      <c r="BA59" t="n">
        <v>26559760.6435867</v>
      </c>
      <c r="BB59" t="n">
        <v>193800714.72366</v>
      </c>
      <c r="BC59" t="n">
        <v>332909762.961153</v>
      </c>
      <c r="BD59" t="n">
        <v>95727648.0333567</v>
      </c>
      <c r="BE59" t="n">
        <v>32300683.7804761</v>
      </c>
      <c r="BF59" t="n">
        <v>36642387.8045636</v>
      </c>
      <c r="BG59" t="n">
        <v>57275971.4822207</v>
      </c>
      <c r="BH59" t="n">
        <v>63180301.0459894</v>
      </c>
      <c r="BI59" t="n">
        <v>9982994.89251182</v>
      </c>
      <c r="BJ59" t="n">
        <v>8690404.33908101</v>
      </c>
      <c r="BK59" t="n">
        <v>25416527.4103383</v>
      </c>
      <c r="BL59" t="n">
        <v>29635431.7057972</v>
      </c>
      <c r="BM59" t="n">
        <v>15544907.9845009</v>
      </c>
      <c r="BN59" t="n">
        <v>101603417.073455</v>
      </c>
      <c r="BO59" t="n">
        <v>34151933.3344275</v>
      </c>
      <c r="BP59" t="n">
        <v>1126513.49842346</v>
      </c>
      <c r="BQ59" t="n">
        <v>3247510.22652729</v>
      </c>
      <c r="BR59" t="n">
        <v>1883750.8677191</v>
      </c>
      <c r="BS59" t="n">
        <v>95463007.4244087</v>
      </c>
      <c r="BT59" t="n">
        <v>3885170.93025685</v>
      </c>
      <c r="BU59" t="n">
        <v>1772166596.86309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2291757272.16121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155</v>
      </c>
      <c r="B60" t="n">
        <v>5393062.89835522</v>
      </c>
      <c r="C60" t="n">
        <v>591505.558917209</v>
      </c>
      <c r="D60" t="n">
        <v>17319945.6742705</v>
      </c>
      <c r="E60" t="n">
        <v>16585755.2680395</v>
      </c>
      <c r="F60" t="n">
        <v>15864772.9817809</v>
      </c>
      <c r="G60" t="n">
        <v>176876136.564964</v>
      </c>
      <c r="H60" t="n">
        <v>139365480.225252</v>
      </c>
      <c r="I60" t="n">
        <v>13626718.9143711</v>
      </c>
      <c r="J60" t="n">
        <v>14455143.2526345</v>
      </c>
      <c r="K60" t="n">
        <v>32475028.0342098</v>
      </c>
      <c r="L60" t="n">
        <v>61068069.1214012</v>
      </c>
      <c r="M60" t="n">
        <v>38546278.2197375</v>
      </c>
      <c r="N60" t="n">
        <v>39071700.7038519</v>
      </c>
      <c r="O60" t="n">
        <v>10727152.7297676</v>
      </c>
      <c r="P60" t="n">
        <v>19042082.7915359</v>
      </c>
      <c r="Q60" t="n">
        <v>15189961.8566326</v>
      </c>
      <c r="R60" t="n">
        <v>8052025.89282048</v>
      </c>
      <c r="S60" t="n">
        <v>42088745.5501433</v>
      </c>
      <c r="T60" t="n">
        <v>32794292.353464</v>
      </c>
      <c r="U60" t="n">
        <v>2339167.53797412</v>
      </c>
      <c r="V60" t="n">
        <v>1603278.60279187</v>
      </c>
      <c r="W60" t="n">
        <v>35831666.6015251</v>
      </c>
      <c r="X60" t="n">
        <v>11826560.3479026</v>
      </c>
      <c r="Y60" t="n">
        <v>8795345.08193521</v>
      </c>
      <c r="Z60" t="n">
        <v>151217895.18416</v>
      </c>
      <c r="AA60" t="n">
        <v>40988439.9460346</v>
      </c>
      <c r="AB60" t="n">
        <v>429341835.84734</v>
      </c>
      <c r="AC60" t="n">
        <v>16475410.4897989</v>
      </c>
      <c r="AD60" t="n">
        <v>21642529.9159338</v>
      </c>
      <c r="AE60" t="n">
        <v>17185811.2683586</v>
      </c>
      <c r="AF60" t="n">
        <v>95612516.8347275</v>
      </c>
      <c r="AG60" t="n">
        <v>7572938.04408925</v>
      </c>
      <c r="AH60" t="n">
        <v>24343716.7724923</v>
      </c>
      <c r="AI60" t="n">
        <v>1017107.62223117</v>
      </c>
      <c r="AJ60" t="n">
        <v>7226105.34885891</v>
      </c>
      <c r="AK60" t="n">
        <v>7251418.58542241</v>
      </c>
      <c r="AL60" t="n">
        <v>10149719.6839068</v>
      </c>
      <c r="AM60" t="n">
        <v>13469061.0753707</v>
      </c>
      <c r="AN60" t="n">
        <v>17068834.7804986</v>
      </c>
      <c r="AO60" t="n">
        <v>73141381.4899157</v>
      </c>
      <c r="AP60" t="n">
        <v>10156954.798952</v>
      </c>
      <c r="AQ60" t="n">
        <v>143668181.452971</v>
      </c>
      <c r="AR60" t="n">
        <v>70586974.60068</v>
      </c>
      <c r="AS60" t="n">
        <v>93991961.6016429</v>
      </c>
      <c r="AT60" t="n">
        <v>230171600.042196</v>
      </c>
      <c r="AU60" t="n">
        <v>419715622.860435</v>
      </c>
      <c r="AV60" t="n">
        <v>6070811.18583546</v>
      </c>
      <c r="AW60" t="n">
        <v>44730845.5690361</v>
      </c>
      <c r="AX60" t="n">
        <v>179504526.937797</v>
      </c>
      <c r="AY60" t="n">
        <v>16652416.8858022</v>
      </c>
      <c r="AZ60" t="n">
        <v>81319786.9748497</v>
      </c>
      <c r="BA60" t="n">
        <v>79665508.5751665</v>
      </c>
      <c r="BB60" t="n">
        <v>386597607.494277</v>
      </c>
      <c r="BC60" t="n">
        <v>459263603.851003</v>
      </c>
      <c r="BD60" t="n">
        <v>183984040.835634</v>
      </c>
      <c r="BE60" t="n">
        <v>13579470.7585391</v>
      </c>
      <c r="BF60" t="n">
        <v>21832311.5627978</v>
      </c>
      <c r="BG60" t="n">
        <v>147605939.530258</v>
      </c>
      <c r="BH60" t="n">
        <v>606476166.002262</v>
      </c>
      <c r="BI60" t="n">
        <v>67118784.5155746</v>
      </c>
      <c r="BJ60" t="n">
        <v>33097024.5861975</v>
      </c>
      <c r="BK60" t="n">
        <v>58810675.5332592</v>
      </c>
      <c r="BL60" t="n">
        <v>52726947.0762457</v>
      </c>
      <c r="BM60" t="n">
        <v>20672377.0045721</v>
      </c>
      <c r="BN60" t="n">
        <v>49978882.2356039</v>
      </c>
      <c r="BO60" t="n">
        <v>123197126.372019</v>
      </c>
      <c r="BP60" t="n">
        <v>0</v>
      </c>
      <c r="BQ60" t="n">
        <v>2631723.63617299</v>
      </c>
      <c r="BR60" t="n">
        <v>1681599.01213914</v>
      </c>
      <c r="BS60" t="n">
        <v>321686952.19775</v>
      </c>
      <c r="BT60" t="n">
        <v>17753419.5995626</v>
      </c>
      <c r="BU60" t="n">
        <v>3938710319.56703</v>
      </c>
      <c r="BV60" t="n">
        <v>0</v>
      </c>
      <c r="BW60" t="n">
        <v>0</v>
      </c>
      <c r="BX60" t="n">
        <v>0</v>
      </c>
      <c r="BY60" t="n">
        <v>829101246.041289</v>
      </c>
      <c r="BZ60" t="n">
        <v>0</v>
      </c>
      <c r="CA60" t="n">
        <v>739092120.835993</v>
      </c>
      <c r="CB60" t="n">
        <v>-206022368.553513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156</v>
      </c>
      <c r="B61" t="n">
        <v>7962085.77449788</v>
      </c>
      <c r="C61" t="n">
        <v>236003.569669334</v>
      </c>
      <c r="D61" t="n">
        <v>82397050.1940435</v>
      </c>
      <c r="E61" t="n">
        <v>21336455.2624607</v>
      </c>
      <c r="F61" t="n">
        <v>5539247.61839582</v>
      </c>
      <c r="G61" t="n">
        <v>74937838.2117412</v>
      </c>
      <c r="H61" t="n">
        <v>143988964.420555</v>
      </c>
      <c r="I61" t="n">
        <v>12019206.563054</v>
      </c>
      <c r="J61" t="n">
        <v>14144944.0976749</v>
      </c>
      <c r="K61" t="n">
        <v>28962549.6772444</v>
      </c>
      <c r="L61" t="n">
        <v>64632841.1631398</v>
      </c>
      <c r="M61" t="n">
        <v>63586526.5066999</v>
      </c>
      <c r="N61" t="n">
        <v>7150689.87747804</v>
      </c>
      <c r="O61" t="n">
        <v>5579949.60929934</v>
      </c>
      <c r="P61" t="n">
        <v>6590682.94165729</v>
      </c>
      <c r="Q61" t="n">
        <v>33669607.5515758</v>
      </c>
      <c r="R61" t="n">
        <v>8412139.73314266</v>
      </c>
      <c r="S61" t="n">
        <v>15497836.8322363</v>
      </c>
      <c r="T61" t="n">
        <v>40856867.1549669</v>
      </c>
      <c r="U61" t="n">
        <v>1868392.60391189</v>
      </c>
      <c r="V61" t="n">
        <v>257935.41089824</v>
      </c>
      <c r="W61" t="n">
        <v>18739906.2218428</v>
      </c>
      <c r="X61" t="n">
        <v>17919632.1369561</v>
      </c>
      <c r="Y61" t="n">
        <v>9892265.0188737</v>
      </c>
      <c r="Z61" t="n">
        <v>16809414.4286333</v>
      </c>
      <c r="AA61" t="n">
        <v>27030135.3530281</v>
      </c>
      <c r="AB61" t="n">
        <v>585721009.124232</v>
      </c>
      <c r="AC61" t="n">
        <v>128758720.023636</v>
      </c>
      <c r="AD61" t="n">
        <v>32835765.5378729</v>
      </c>
      <c r="AE61" t="n">
        <v>51023879.0426451</v>
      </c>
      <c r="AF61" t="n">
        <v>143334556.48074</v>
      </c>
      <c r="AG61" t="n">
        <v>9508224.06448791</v>
      </c>
      <c r="AH61" t="n">
        <v>37346913.4441551</v>
      </c>
      <c r="AI61" t="n">
        <v>408976.780998888</v>
      </c>
      <c r="AJ61" t="n">
        <v>26737748.040207</v>
      </c>
      <c r="AK61" t="n">
        <v>12026259.6933262</v>
      </c>
      <c r="AL61" t="n">
        <v>2263506.45919578</v>
      </c>
      <c r="AM61" t="n">
        <v>6298905.0379201</v>
      </c>
      <c r="AN61" t="n">
        <v>20290532.523109</v>
      </c>
      <c r="AO61" t="n">
        <v>147462562.651493</v>
      </c>
      <c r="AP61" t="n">
        <v>8063220.02577014</v>
      </c>
      <c r="AQ61" t="n">
        <v>207889066.686041</v>
      </c>
      <c r="AR61" t="n">
        <v>167584072.918026</v>
      </c>
      <c r="AS61" t="n">
        <v>161357967.640222</v>
      </c>
      <c r="AT61" t="n">
        <v>205437204.173982</v>
      </c>
      <c r="AU61" t="n">
        <v>266184848.231921</v>
      </c>
      <c r="AV61" t="n">
        <v>4309825.17095001</v>
      </c>
      <c r="AW61" t="n">
        <v>23867028.152152</v>
      </c>
      <c r="AX61" t="n">
        <v>69977795.1518934</v>
      </c>
      <c r="AY61" t="n">
        <v>13969118.4516219</v>
      </c>
      <c r="AZ61" t="n">
        <v>147792943.026854</v>
      </c>
      <c r="BA61" t="n">
        <v>165152141.983457</v>
      </c>
      <c r="BB61" t="n">
        <v>337724894.850161</v>
      </c>
      <c r="BC61" t="n">
        <v>111294637.061771</v>
      </c>
      <c r="BD61" t="n">
        <v>439224835.48948</v>
      </c>
      <c r="BE61" t="n">
        <v>18188361.3413922</v>
      </c>
      <c r="BF61" t="n">
        <v>102673623.057422</v>
      </c>
      <c r="BG61" t="n">
        <v>155457283.847179</v>
      </c>
      <c r="BH61" t="n">
        <v>205547314.212129</v>
      </c>
      <c r="BI61" t="n">
        <v>52118289.9469471</v>
      </c>
      <c r="BJ61" t="n">
        <v>84321335.3220017</v>
      </c>
      <c r="BK61" t="n">
        <v>16153577.1000137</v>
      </c>
      <c r="BL61" t="n">
        <v>36413776.8759319</v>
      </c>
      <c r="BM61" t="n">
        <v>21132162.1944471</v>
      </c>
      <c r="BN61" t="n">
        <v>135366081.201658</v>
      </c>
      <c r="BO61" t="n">
        <v>108021406.940123</v>
      </c>
      <c r="BP61" t="n">
        <v>40006975.9349329</v>
      </c>
      <c r="BQ61" t="n">
        <v>306144020.069424</v>
      </c>
      <c r="BR61" t="n">
        <v>3240021.95076761</v>
      </c>
      <c r="BS61" t="n">
        <v>963488321.327606</v>
      </c>
      <c r="BT61" t="n">
        <v>83931681.3087676</v>
      </c>
      <c r="BU61" t="n">
        <v>0</v>
      </c>
      <c r="BV61" t="n">
        <v>0</v>
      </c>
      <c r="BW61" t="n">
        <v>1049510403.26536</v>
      </c>
      <c r="BX61" t="n">
        <v>5833819927.03831</v>
      </c>
      <c r="BY61" t="n">
        <v>0</v>
      </c>
      <c r="BZ61" t="n">
        <v>0</v>
      </c>
      <c r="CA61" t="n">
        <v>1120654499.6427</v>
      </c>
      <c r="CB61" t="n">
        <v>-1044072255.13295</v>
      </c>
      <c r="CC61" t="n">
        <v>0</v>
      </c>
      <c r="CD61" t="n">
        <v>0</v>
      </c>
      <c r="CE61" t="n">
        <v>27265014.6953991</v>
      </c>
      <c r="CF61" t="n">
        <v>70059490.6731921</v>
      </c>
      <c r="CG61" t="n">
        <v>0</v>
      </c>
      <c r="CH61" t="n">
        <v>0</v>
      </c>
      <c r="CI61" t="n">
        <v>0</v>
      </c>
      <c r="CJ61" t="n">
        <v>123960406.426651</v>
      </c>
      <c r="CK61" t="n">
        <v>0</v>
      </c>
      <c r="CL61" t="n">
        <v>0</v>
      </c>
      <c r="CM61" t="n">
        <v>42473729.5024879</v>
      </c>
      <c r="CN61" t="n">
        <v>281977865.138662</v>
      </c>
    </row>
    <row r="62">
      <c r="A62" t="s">
        <v>157</v>
      </c>
      <c r="B62" t="n">
        <v>9318979.40579678</v>
      </c>
      <c r="C62" t="n">
        <v>980189.013629197</v>
      </c>
      <c r="D62" t="n">
        <v>20056514.6679334</v>
      </c>
      <c r="E62" t="n">
        <v>18247582.0222705</v>
      </c>
      <c r="F62" t="n">
        <v>26348215.4442443</v>
      </c>
      <c r="G62" t="n">
        <v>128663121.830907</v>
      </c>
      <c r="H62" t="n">
        <v>369779286.172431</v>
      </c>
      <c r="I62" t="n">
        <v>18173257.3854453</v>
      </c>
      <c r="J62" t="n">
        <v>24517491.9454575</v>
      </c>
      <c r="K62" t="n">
        <v>60717878.3534054</v>
      </c>
      <c r="L62" t="n">
        <v>58564089.5413715</v>
      </c>
      <c r="M62" t="n">
        <v>43165945.9101636</v>
      </c>
      <c r="N62" t="n">
        <v>28672342.3007717</v>
      </c>
      <c r="O62" t="n">
        <v>21924100.6130437</v>
      </c>
      <c r="P62" t="n">
        <v>17019767.2338874</v>
      </c>
      <c r="Q62" t="n">
        <v>17829942.4471225</v>
      </c>
      <c r="R62" t="n">
        <v>18046739.5561535</v>
      </c>
      <c r="S62" t="n">
        <v>39085570.0408158</v>
      </c>
      <c r="T62" t="n">
        <v>106072888.48526</v>
      </c>
      <c r="U62" t="n">
        <v>3851684.40964759</v>
      </c>
      <c r="V62" t="n">
        <v>1229672.18703835</v>
      </c>
      <c r="W62" t="n">
        <v>41139605.1991393</v>
      </c>
      <c r="X62" t="n">
        <v>18801565.6496418</v>
      </c>
      <c r="Y62" t="n">
        <v>12706954.2533338</v>
      </c>
      <c r="Z62" t="n">
        <v>148754846.063851</v>
      </c>
      <c r="AA62" t="n">
        <v>55278818.4319417</v>
      </c>
      <c r="AB62" t="n">
        <v>1152625531.90046</v>
      </c>
      <c r="AC62" t="n">
        <v>212124113.64948</v>
      </c>
      <c r="AD62" t="n">
        <v>108137789.224797</v>
      </c>
      <c r="AE62" t="n">
        <v>44713877.8243234</v>
      </c>
      <c r="AF62" t="n">
        <v>458009188.382298</v>
      </c>
      <c r="AG62" t="n">
        <v>8939163.20361614</v>
      </c>
      <c r="AH62" t="n">
        <v>17312013.3243955</v>
      </c>
      <c r="AI62" t="n">
        <v>3397784.09717965</v>
      </c>
      <c r="AJ62" t="n">
        <v>37011001.5132276</v>
      </c>
      <c r="AK62" t="n">
        <v>20741201.1205424</v>
      </c>
      <c r="AL62" t="n">
        <v>56697254.4654502</v>
      </c>
      <c r="AM62" t="n">
        <v>18585242.5083473</v>
      </c>
      <c r="AN62" t="n">
        <v>44249083.7994567</v>
      </c>
      <c r="AO62" t="n">
        <v>132766962.809072</v>
      </c>
      <c r="AP62" t="n">
        <v>23316547.2362096</v>
      </c>
      <c r="AQ62" t="n">
        <v>546337219.016527</v>
      </c>
      <c r="AR62" t="n">
        <v>178419152.029055</v>
      </c>
      <c r="AS62" t="n">
        <v>302165222.023843</v>
      </c>
      <c r="AT62" t="n">
        <v>328175171.948424</v>
      </c>
      <c r="AU62" t="n">
        <v>412610474.421519</v>
      </c>
      <c r="AV62" t="n">
        <v>3171980.74221111</v>
      </c>
      <c r="AW62" t="n">
        <v>20578033.8279909</v>
      </c>
      <c r="AX62" t="n">
        <v>252982204.748132</v>
      </c>
      <c r="AY62" t="n">
        <v>62766972.1855381</v>
      </c>
      <c r="AZ62" t="n">
        <v>108685553.595694</v>
      </c>
      <c r="BA62" t="n">
        <v>187746970.9639</v>
      </c>
      <c r="BB62" t="n">
        <v>1300281942.16371</v>
      </c>
      <c r="BC62" t="n">
        <v>728656188.448545</v>
      </c>
      <c r="BD62" t="n">
        <v>403467217.648281</v>
      </c>
      <c r="BE62" t="n">
        <v>28672485.8103348</v>
      </c>
      <c r="BF62" t="n">
        <v>133320300.317665</v>
      </c>
      <c r="BG62" t="n">
        <v>313929218.69189</v>
      </c>
      <c r="BH62" t="n">
        <v>519736319.711334</v>
      </c>
      <c r="BI62" t="n">
        <v>134971963.5033</v>
      </c>
      <c r="BJ62" t="n">
        <v>93732462.1155878</v>
      </c>
      <c r="BK62" t="n">
        <v>78210127.1658012</v>
      </c>
      <c r="BL62" t="n">
        <v>73398163.7925414</v>
      </c>
      <c r="BM62" t="n">
        <v>48805946.0876561</v>
      </c>
      <c r="BN62" t="n">
        <v>182960422.967184</v>
      </c>
      <c r="BO62" t="n">
        <v>276399840.637694</v>
      </c>
      <c r="BP62" t="n">
        <v>138016564.194088</v>
      </c>
      <c r="BQ62" t="n">
        <v>102744291.872483</v>
      </c>
      <c r="BR62" t="n">
        <v>11664563.2375147</v>
      </c>
      <c r="BS62" t="n">
        <v>588797658.144452</v>
      </c>
      <c r="BT62" t="n">
        <v>102595933.680329</v>
      </c>
      <c r="BU62" t="n">
        <v>903226567.609085</v>
      </c>
      <c r="BV62" t="n">
        <v>0</v>
      </c>
      <c r="BW62" t="n">
        <v>445458628.563049</v>
      </c>
      <c r="BX62" t="n">
        <v>4682617324.98216</v>
      </c>
      <c r="BY62" t="n">
        <v>37276755.9440499</v>
      </c>
      <c r="BZ62" t="n">
        <v>0</v>
      </c>
      <c r="CA62" t="n">
        <v>6054307811.88748</v>
      </c>
      <c r="CB62" t="n">
        <v>-3371790515.91374</v>
      </c>
      <c r="CC62" t="n">
        <v>0</v>
      </c>
      <c r="CD62" t="n">
        <v>0</v>
      </c>
      <c r="CE62" t="n">
        <v>0</v>
      </c>
      <c r="CF62" t="n">
        <v>357455601.269369</v>
      </c>
      <c r="CG62" t="n">
        <v>0</v>
      </c>
      <c r="CH62" t="n">
        <v>0</v>
      </c>
      <c r="CI62" t="n">
        <v>0</v>
      </c>
      <c r="CJ62" t="n">
        <v>440265489.629911</v>
      </c>
      <c r="CK62" t="n">
        <v>0</v>
      </c>
      <c r="CL62" t="n">
        <v>0</v>
      </c>
      <c r="CM62" t="n">
        <v>0</v>
      </c>
      <c r="CN62" t="n">
        <v>176620699.602957</v>
      </c>
    </row>
    <row r="63">
      <c r="A63" t="s">
        <v>158</v>
      </c>
      <c r="B63" t="n">
        <v>0</v>
      </c>
      <c r="C63" t="n">
        <v>0</v>
      </c>
      <c r="D63" t="n">
        <v>543119029.787083</v>
      </c>
      <c r="E63" t="n">
        <v>242086210.823612</v>
      </c>
      <c r="F63" t="n">
        <v>249990074.556185</v>
      </c>
      <c r="G63" t="n">
        <v>2028867.20352611</v>
      </c>
      <c r="H63" t="n">
        <v>302845443.680752</v>
      </c>
      <c r="I63" t="n">
        <v>18713278.0293142</v>
      </c>
      <c r="J63" t="n">
        <v>87776916.5372539</v>
      </c>
      <c r="K63" t="n">
        <v>93809690.1760321</v>
      </c>
      <c r="L63" t="n">
        <v>198611240.060214</v>
      </c>
      <c r="M63" t="n">
        <v>415018955.422194</v>
      </c>
      <c r="N63" t="n">
        <v>68511088.7942193</v>
      </c>
      <c r="O63" t="n">
        <v>115478778.970242</v>
      </c>
      <c r="P63" t="n">
        <v>83922840.6471286</v>
      </c>
      <c r="Q63" t="n">
        <v>57630078.5787946</v>
      </c>
      <c r="R63" t="n">
        <v>16758616.1326644</v>
      </c>
      <c r="S63" t="n">
        <v>144629863.127267</v>
      </c>
      <c r="T63" t="n">
        <v>847917870.977355</v>
      </c>
      <c r="U63" t="n">
        <v>17833953.3293001</v>
      </c>
      <c r="V63" t="n">
        <v>8527076.87452884</v>
      </c>
      <c r="W63" t="n">
        <v>140797252.922372</v>
      </c>
      <c r="X63" t="n">
        <v>19053548.4671755</v>
      </c>
      <c r="Y63" t="n">
        <v>82478299.7497527</v>
      </c>
      <c r="Z63" t="n">
        <v>937300755.001706</v>
      </c>
      <c r="AA63" t="n">
        <v>94451028.8313233</v>
      </c>
      <c r="AB63" t="n">
        <v>2863306464.10773</v>
      </c>
      <c r="AC63" t="n">
        <v>58514107.8886162</v>
      </c>
      <c r="AD63" t="n">
        <v>180812579.058569</v>
      </c>
      <c r="AE63" t="n">
        <v>356426786.797315</v>
      </c>
      <c r="AF63" t="n">
        <v>673001472.57699</v>
      </c>
      <c r="AG63" t="n">
        <v>132742991.189615</v>
      </c>
      <c r="AH63" t="n">
        <v>418362.8473348</v>
      </c>
      <c r="AI63" t="n">
        <v>9212089.5933545</v>
      </c>
      <c r="AJ63" t="n">
        <v>155192107.22339</v>
      </c>
      <c r="AK63" t="n">
        <v>10402728.3856779</v>
      </c>
      <c r="AL63" t="n">
        <v>457548.702578212</v>
      </c>
      <c r="AM63" t="n">
        <v>172727963.289576</v>
      </c>
      <c r="AN63" t="n">
        <v>98200772.4222459</v>
      </c>
      <c r="AO63" t="n">
        <v>82966274.8841736</v>
      </c>
      <c r="AP63" t="n">
        <v>6447620.86497555</v>
      </c>
      <c r="AQ63" t="n">
        <v>220019437.064301</v>
      </c>
      <c r="AR63" t="n">
        <v>49791181.2571655</v>
      </c>
      <c r="AS63" t="n">
        <v>147675588.7128</v>
      </c>
      <c r="AT63" t="n">
        <v>372571270.679737</v>
      </c>
      <c r="AU63" t="n">
        <v>228419202.925809</v>
      </c>
      <c r="AV63" t="n">
        <v>3708939.34877422</v>
      </c>
      <c r="AW63" t="n">
        <v>734122.062093577</v>
      </c>
      <c r="AX63" t="n">
        <v>386615506.550347</v>
      </c>
      <c r="AY63" t="n">
        <v>262299070.249694</v>
      </c>
      <c r="AZ63" t="n">
        <v>161085166.851909</v>
      </c>
      <c r="BA63" t="n">
        <v>106782100.704543</v>
      </c>
      <c r="BB63" t="n">
        <v>556711074.487493</v>
      </c>
      <c r="BC63" t="n">
        <v>2697930.34393296</v>
      </c>
      <c r="BD63" t="n">
        <v>549736383.389151</v>
      </c>
      <c r="BE63" t="n">
        <v>124064998.749523</v>
      </c>
      <c r="BF63" t="n">
        <v>436091911.866031</v>
      </c>
      <c r="BG63" t="n">
        <v>1766905152.66335</v>
      </c>
      <c r="BH63" t="n">
        <v>457187199.253537</v>
      </c>
      <c r="BI63" t="n">
        <v>319478531.2811</v>
      </c>
      <c r="BJ63" t="n">
        <v>108260501.626721</v>
      </c>
      <c r="BK63" t="n">
        <v>119506140.762449</v>
      </c>
      <c r="BL63" t="n">
        <v>94572525.4356085</v>
      </c>
      <c r="BM63" t="n">
        <v>398637482.172539</v>
      </c>
      <c r="BN63" t="n">
        <v>1290027844.23998</v>
      </c>
      <c r="BO63" t="n">
        <v>349061631.536873</v>
      </c>
      <c r="BP63" t="n">
        <v>0</v>
      </c>
      <c r="BQ63" t="n">
        <v>0</v>
      </c>
      <c r="BR63" t="n">
        <v>5035490.3153017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269364291.314703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159</v>
      </c>
      <c r="B64" t="n">
        <v>5730889.19222891</v>
      </c>
      <c r="C64" t="n">
        <v>180085.664092465</v>
      </c>
      <c r="D64" t="n">
        <v>7056565.22139478</v>
      </c>
      <c r="E64" t="n">
        <v>14821197.4156295</v>
      </c>
      <c r="F64" t="n">
        <v>65930434.8303188</v>
      </c>
      <c r="G64" t="n">
        <v>253653354.438694</v>
      </c>
      <c r="H64" t="n">
        <v>151254184.07211</v>
      </c>
      <c r="I64" t="n">
        <v>17615739.7409353</v>
      </c>
      <c r="J64" t="n">
        <v>30139486.9960302</v>
      </c>
      <c r="K64" t="n">
        <v>227841662.26031</v>
      </c>
      <c r="L64" t="n">
        <v>273530542.955125</v>
      </c>
      <c r="M64" t="n">
        <v>71551176.0468909</v>
      </c>
      <c r="N64" t="n">
        <v>25291225.4118875</v>
      </c>
      <c r="O64" t="n">
        <v>18315224.5584974</v>
      </c>
      <c r="P64" t="n">
        <v>23930364.4162396</v>
      </c>
      <c r="Q64" t="n">
        <v>61838217.5918035</v>
      </c>
      <c r="R64" t="n">
        <v>8625494.47478666</v>
      </c>
      <c r="S64" t="n">
        <v>41297732.1996337</v>
      </c>
      <c r="T64" t="n">
        <v>83967592.5005519</v>
      </c>
      <c r="U64" t="n">
        <v>3403549.58568609</v>
      </c>
      <c r="V64" t="n">
        <v>5975529.35097101</v>
      </c>
      <c r="W64" t="n">
        <v>58805611.6133649</v>
      </c>
      <c r="X64" t="n">
        <v>86541221.7973094</v>
      </c>
      <c r="Y64" t="n">
        <v>25147001.7167193</v>
      </c>
      <c r="Z64" t="n">
        <v>168968783.46146</v>
      </c>
      <c r="AA64" t="n">
        <v>63556547.0272968</v>
      </c>
      <c r="AB64" t="n">
        <v>1426943910.75905</v>
      </c>
      <c r="AC64" t="n">
        <v>135505658.67593</v>
      </c>
      <c r="AD64" t="n">
        <v>74130464.849609</v>
      </c>
      <c r="AE64" t="n">
        <v>101683060.521021</v>
      </c>
      <c r="AF64" t="n">
        <v>340157297.136024</v>
      </c>
      <c r="AG64" t="n">
        <v>65225291.6472907</v>
      </c>
      <c r="AH64" t="n">
        <v>17907653.7763507</v>
      </c>
      <c r="AI64" t="n">
        <v>23175828.423806</v>
      </c>
      <c r="AJ64" t="n">
        <v>250201680.768925</v>
      </c>
      <c r="AK64" t="n">
        <v>212001052.913204</v>
      </c>
      <c r="AL64" t="n">
        <v>255069588.966912</v>
      </c>
      <c r="AM64" t="n">
        <v>162043525.711619</v>
      </c>
      <c r="AN64" t="n">
        <v>231476980.254006</v>
      </c>
      <c r="AO64" t="n">
        <v>260365191.216668</v>
      </c>
      <c r="AP64" t="n">
        <v>14029784.0798244</v>
      </c>
      <c r="AQ64" t="n">
        <v>1281273346.52965</v>
      </c>
      <c r="AR64" t="n">
        <v>213209194.863892</v>
      </c>
      <c r="AS64" t="n">
        <v>334302840.493439</v>
      </c>
      <c r="AT64" t="n">
        <v>246869705.286276</v>
      </c>
      <c r="AU64" t="n">
        <v>310737402.799743</v>
      </c>
      <c r="AV64" t="n">
        <v>297834.235383808</v>
      </c>
      <c r="AW64" t="n">
        <v>60019170.5299527</v>
      </c>
      <c r="AX64" t="n">
        <v>1652398497.67601</v>
      </c>
      <c r="AY64" t="n">
        <v>347700167.239265</v>
      </c>
      <c r="AZ64" t="n">
        <v>249699720.310433</v>
      </c>
      <c r="BA64" t="n">
        <v>489665117.683625</v>
      </c>
      <c r="BB64" t="n">
        <v>1282931358.69371</v>
      </c>
      <c r="BC64" t="n">
        <v>609171667.152542</v>
      </c>
      <c r="BD64" t="n">
        <v>1584910227.0506</v>
      </c>
      <c r="BE64" t="n">
        <v>115304306.007752</v>
      </c>
      <c r="BF64" t="n">
        <v>204874987.682829</v>
      </c>
      <c r="BG64" t="n">
        <v>724302383.334756</v>
      </c>
      <c r="BH64" t="n">
        <v>1154227675.90822</v>
      </c>
      <c r="BI64" t="n">
        <v>326740435.184259</v>
      </c>
      <c r="BJ64" t="n">
        <v>121406587.930466</v>
      </c>
      <c r="BK64" t="n">
        <v>109994344.368834</v>
      </c>
      <c r="BL64" t="n">
        <v>68941090.0762913</v>
      </c>
      <c r="BM64" t="n">
        <v>73906803.0232385</v>
      </c>
      <c r="BN64" t="n">
        <v>197902498.522627</v>
      </c>
      <c r="BO64" t="n">
        <v>367067131.394392</v>
      </c>
      <c r="BP64" t="n">
        <v>38970719.6018412</v>
      </c>
      <c r="BQ64" t="n">
        <v>193758864.781346</v>
      </c>
      <c r="BR64" t="n">
        <v>11411941.2833463</v>
      </c>
      <c r="BS64" t="n">
        <v>829217136.442569</v>
      </c>
      <c r="BT64" t="n">
        <v>88785208.5647177</v>
      </c>
      <c r="BU64" t="n">
        <v>2303320881.04907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97750900.3223738</v>
      </c>
      <c r="CB64" t="n">
        <v>-93081629.6249928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160</v>
      </c>
      <c r="B65" t="n">
        <v>451446.946311614</v>
      </c>
      <c r="C65" t="n">
        <v>2524.42737322557</v>
      </c>
      <c r="D65" t="n">
        <v>1811561.48687116</v>
      </c>
      <c r="E65" t="n">
        <v>571436.100684993</v>
      </c>
      <c r="F65" t="n">
        <v>931159.518212841</v>
      </c>
      <c r="G65" t="n">
        <v>2722414.99245518</v>
      </c>
      <c r="H65" t="n">
        <v>7368055.73195206</v>
      </c>
      <c r="I65" t="n">
        <v>699853.390025819</v>
      </c>
      <c r="J65" t="n">
        <v>1302590.28236142</v>
      </c>
      <c r="K65" t="n">
        <v>3385197.28670918</v>
      </c>
      <c r="L65" t="n">
        <v>2100755.36179327</v>
      </c>
      <c r="M65" t="n">
        <v>1197756.74048136</v>
      </c>
      <c r="N65" t="n">
        <v>207362.561700893</v>
      </c>
      <c r="O65" t="n">
        <v>408832.939009963</v>
      </c>
      <c r="P65" t="n">
        <v>268161.355570766</v>
      </c>
      <c r="Q65" t="n">
        <v>429316.050909776</v>
      </c>
      <c r="R65" t="n">
        <v>451757.389384669</v>
      </c>
      <c r="S65" t="n">
        <v>510361.846700381</v>
      </c>
      <c r="T65" t="n">
        <v>5442889.31416362</v>
      </c>
      <c r="U65" t="n">
        <v>164227.819051791</v>
      </c>
      <c r="V65" t="n">
        <v>4105.91968568291</v>
      </c>
      <c r="W65" t="n">
        <v>2385707.81818244</v>
      </c>
      <c r="X65" t="n">
        <v>491460.475086953</v>
      </c>
      <c r="Y65" t="n">
        <v>1079161.73647024</v>
      </c>
      <c r="Z65" t="n">
        <v>9925152.03224747</v>
      </c>
      <c r="AA65" t="n">
        <v>1934229.45998133</v>
      </c>
      <c r="AB65" t="n">
        <v>9431458.43305961</v>
      </c>
      <c r="AC65" t="n">
        <v>3248185.16531872</v>
      </c>
      <c r="AD65" t="n">
        <v>1844236.17951717</v>
      </c>
      <c r="AE65" t="n">
        <v>902906.740866171</v>
      </c>
      <c r="AF65" t="n">
        <v>3763152.82317627</v>
      </c>
      <c r="AG65" t="n">
        <v>356749.465316747</v>
      </c>
      <c r="AH65" t="n">
        <v>662348.237451281</v>
      </c>
      <c r="AI65" t="n">
        <v>7603.51040924288</v>
      </c>
      <c r="AJ65" t="n">
        <v>4185943.70075905</v>
      </c>
      <c r="AK65" t="n">
        <v>262557.788430148</v>
      </c>
      <c r="AL65" t="n">
        <v>4630728.49990125</v>
      </c>
      <c r="AM65" t="n">
        <v>887329.045214464</v>
      </c>
      <c r="AN65" t="n">
        <v>1827616.80431818</v>
      </c>
      <c r="AO65" t="n">
        <v>141866.743345836</v>
      </c>
      <c r="AP65" t="n">
        <v>78785.1450341436</v>
      </c>
      <c r="AQ65" t="n">
        <v>586434.054140275</v>
      </c>
      <c r="AR65" t="n">
        <v>148451.623691262</v>
      </c>
      <c r="AS65" t="n">
        <v>1303979.75634319</v>
      </c>
      <c r="AT65" t="n">
        <v>463883.991496586</v>
      </c>
      <c r="AU65" t="n">
        <v>7490410.11971593</v>
      </c>
      <c r="AV65" t="n">
        <v>166257.225271024</v>
      </c>
      <c r="AW65" t="n">
        <v>11700.5571268307</v>
      </c>
      <c r="AX65" t="n">
        <v>128315918.816058</v>
      </c>
      <c r="AY65" t="n">
        <v>2308233.96980483</v>
      </c>
      <c r="AZ65" t="n">
        <v>1603113.66286276</v>
      </c>
      <c r="BA65" t="n">
        <v>1003738.31171541</v>
      </c>
      <c r="BB65" t="n">
        <v>9758978.33872982</v>
      </c>
      <c r="BC65" t="n">
        <v>4723933.60990409</v>
      </c>
      <c r="BD65" t="n">
        <v>8988790.90301184</v>
      </c>
      <c r="BE65" t="n">
        <v>62024498.3888911</v>
      </c>
      <c r="BF65" t="n">
        <v>2366170.45590722</v>
      </c>
      <c r="BG65" t="n">
        <v>9108450.74312702</v>
      </c>
      <c r="BH65" t="n">
        <v>12444114.7575355</v>
      </c>
      <c r="BI65" t="n">
        <v>5678366.75611323</v>
      </c>
      <c r="BJ65" t="n">
        <v>3353319.26037338</v>
      </c>
      <c r="BK65" t="n">
        <v>559480.22974427</v>
      </c>
      <c r="BL65" t="n">
        <v>2502379.60355091</v>
      </c>
      <c r="BM65" t="n">
        <v>2660133.47146735</v>
      </c>
      <c r="BN65" t="n">
        <v>7069317.12254836</v>
      </c>
      <c r="BO65" t="n">
        <v>7187781.61597286</v>
      </c>
      <c r="BP65" t="n">
        <v>133399.258924199</v>
      </c>
      <c r="BQ65" t="n">
        <v>4035639.60209526</v>
      </c>
      <c r="BR65" t="n">
        <v>918319.174832855</v>
      </c>
      <c r="BS65" t="n">
        <v>98922861.9283176</v>
      </c>
      <c r="BT65" t="n">
        <v>10801414.999503</v>
      </c>
      <c r="BU65" t="n">
        <v>215188923.251216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9862607.63942091</v>
      </c>
      <c r="CB65" t="n">
        <v>-10194216.0586201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161</v>
      </c>
      <c r="B66" t="n">
        <v>12711.5215632183</v>
      </c>
      <c r="C66" t="n">
        <v>0</v>
      </c>
      <c r="D66" t="n">
        <v>0</v>
      </c>
      <c r="E66" t="n">
        <v>0</v>
      </c>
      <c r="F66" t="n">
        <v>0</v>
      </c>
      <c r="G66" t="n">
        <v>1302933.76846027</v>
      </c>
      <c r="H66" t="n">
        <v>40822.9453230343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311978.985765178</v>
      </c>
      <c r="Y66" t="n">
        <v>31812.2348437872</v>
      </c>
      <c r="Z66" t="n">
        <v>0</v>
      </c>
      <c r="AA66" t="n">
        <v>16806.9353290501</v>
      </c>
      <c r="AB66" t="n">
        <v>16784685.4118644</v>
      </c>
      <c r="AC66" t="n">
        <v>802499.730668318</v>
      </c>
      <c r="AD66" t="n">
        <v>5786897.31534309</v>
      </c>
      <c r="AE66" t="n">
        <v>0</v>
      </c>
      <c r="AF66" t="n">
        <v>24170240.5180487</v>
      </c>
      <c r="AG66" t="n">
        <v>1041632.92016502</v>
      </c>
      <c r="AH66" t="n">
        <v>99508.0152434666</v>
      </c>
      <c r="AI66" t="n">
        <v>0</v>
      </c>
      <c r="AJ66" t="n">
        <v>0</v>
      </c>
      <c r="AK66" t="n">
        <v>0</v>
      </c>
      <c r="AL66" t="n">
        <v>408106.535637939</v>
      </c>
      <c r="AM66" t="n">
        <v>251429.107536105</v>
      </c>
      <c r="AN66" t="n">
        <v>0</v>
      </c>
      <c r="AO66" t="n">
        <v>0</v>
      </c>
      <c r="AP66" t="n">
        <v>0</v>
      </c>
      <c r="AQ66" t="n">
        <v>285377.216452632</v>
      </c>
      <c r="AR66" t="n">
        <v>526948.094379688</v>
      </c>
      <c r="AS66" t="n">
        <v>271621.223835859</v>
      </c>
      <c r="AT66" t="n">
        <v>69227.0896220732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696447.596147376</v>
      </c>
      <c r="BB66" t="n">
        <v>411869.774764247</v>
      </c>
      <c r="BC66" t="n">
        <v>0</v>
      </c>
      <c r="BD66" t="n">
        <v>2346438.11730407</v>
      </c>
      <c r="BE66" t="n">
        <v>0</v>
      </c>
      <c r="BF66" t="n">
        <v>49335896.601138</v>
      </c>
      <c r="BG66" t="n">
        <v>0</v>
      </c>
      <c r="BH66" t="n">
        <v>73773.6944244686</v>
      </c>
      <c r="BI66" t="n">
        <v>0</v>
      </c>
      <c r="BJ66" t="n">
        <v>0</v>
      </c>
      <c r="BK66" t="n">
        <v>31963880.95852</v>
      </c>
      <c r="BL66" t="n">
        <v>2947380.90674218</v>
      </c>
      <c r="BM66" t="n">
        <v>0</v>
      </c>
      <c r="BN66" t="n">
        <v>0</v>
      </c>
      <c r="BO66" t="n">
        <v>22459183.8864115</v>
      </c>
      <c r="BP66" t="n">
        <v>0</v>
      </c>
      <c r="BQ66" t="n">
        <v>179149.661689145</v>
      </c>
      <c r="BR66" t="n">
        <v>1053742.44458674</v>
      </c>
      <c r="BS66" t="n">
        <v>95259052.5918555</v>
      </c>
      <c r="BT66" t="n">
        <v>47661.2826793915</v>
      </c>
      <c r="BU66" t="n">
        <v>6181343264.10543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154833321.349594</v>
      </c>
      <c r="CB66" t="n">
        <v>-85310774.7610821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162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3296107.11800353</v>
      </c>
      <c r="BC67" t="n">
        <v>0</v>
      </c>
      <c r="BD67" t="n">
        <v>2952048.26175869</v>
      </c>
      <c r="BE67" t="n">
        <v>0</v>
      </c>
      <c r="BF67" t="n">
        <v>0</v>
      </c>
      <c r="BG67" t="n">
        <v>694106538.651527</v>
      </c>
      <c r="BH67" t="n">
        <v>650065995.900734</v>
      </c>
      <c r="BI67" t="n">
        <v>5643619.48955916</v>
      </c>
      <c r="BJ67" t="n">
        <v>59295.8666884496</v>
      </c>
      <c r="BK67" t="n">
        <v>5167835.51231594</v>
      </c>
      <c r="BL67" t="n">
        <v>116193.443539288</v>
      </c>
      <c r="BM67" t="n">
        <v>0</v>
      </c>
      <c r="BN67" t="n">
        <v>0</v>
      </c>
      <c r="BO67" t="n">
        <v>2073333.41703916</v>
      </c>
      <c r="BP67" t="n">
        <v>0</v>
      </c>
      <c r="BQ67" t="n">
        <v>19415189.4368554</v>
      </c>
      <c r="BR67" t="n">
        <v>0</v>
      </c>
      <c r="BS67" t="n">
        <v>350236147.015203</v>
      </c>
      <c r="BT67" t="n">
        <v>0</v>
      </c>
      <c r="BU67" t="n">
        <v>62639212013.3077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46058383.4257194</v>
      </c>
      <c r="CB67" t="n">
        <v>-22203927.7154967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163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46852960.5388478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62289052798.2444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208927055.826783</v>
      </c>
      <c r="CB68" t="n">
        <v>-302383023.792831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164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61101687.0872275</v>
      </c>
      <c r="BR69" t="n">
        <v>0</v>
      </c>
      <c r="BS69" t="n">
        <v>41953420.8189334</v>
      </c>
      <c r="BT69" t="n">
        <v>0</v>
      </c>
      <c r="BU69" t="n">
        <v>14046853211.0809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16252133.8505379</v>
      </c>
      <c r="CB69" t="n">
        <v>-6344207.60874349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165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13632158047.4449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166</v>
      </c>
      <c r="B71" t="n">
        <v>1451439.44724284</v>
      </c>
      <c r="C71" t="n">
        <v>0</v>
      </c>
      <c r="D71" t="n">
        <v>0</v>
      </c>
      <c r="E71" t="n">
        <v>0</v>
      </c>
      <c r="F71" t="n">
        <v>1175313.93979699</v>
      </c>
      <c r="G71" t="n">
        <v>3704083.36026906</v>
      </c>
      <c r="H71" t="n">
        <v>5088004.98510759</v>
      </c>
      <c r="I71" t="n">
        <v>1004193.69045357</v>
      </c>
      <c r="J71" t="n">
        <v>1353868.25250927</v>
      </c>
      <c r="K71" t="n">
        <v>4128785.79404448</v>
      </c>
      <c r="L71" t="n">
        <v>3015539.24377281</v>
      </c>
      <c r="M71" t="n">
        <v>1688358.86363199</v>
      </c>
      <c r="N71" t="n">
        <v>93179.8343517165</v>
      </c>
      <c r="O71" t="n">
        <v>236861.350067999</v>
      </c>
      <c r="P71" t="n">
        <v>376986.577536659</v>
      </c>
      <c r="Q71" t="n">
        <v>251896.95586222</v>
      </c>
      <c r="R71" t="n">
        <v>520188.472353254</v>
      </c>
      <c r="S71" t="n">
        <v>921835.587048672</v>
      </c>
      <c r="T71" t="n">
        <v>3353294.96137076</v>
      </c>
      <c r="U71" t="n">
        <v>96976.7382612155</v>
      </c>
      <c r="V71" t="n">
        <v>25215.328865608</v>
      </c>
      <c r="W71" t="n">
        <v>2244118.17398432</v>
      </c>
      <c r="X71" t="n">
        <v>1396463.77369495</v>
      </c>
      <c r="Y71" t="n">
        <v>683655.050657409</v>
      </c>
      <c r="Z71" t="n">
        <v>1740434.98671041</v>
      </c>
      <c r="AA71" t="n">
        <v>4253112.11946705</v>
      </c>
      <c r="AB71" t="n">
        <v>94572215.5711223</v>
      </c>
      <c r="AC71" t="n">
        <v>12706456.6643256</v>
      </c>
      <c r="AD71" t="n">
        <v>14174680.2592336</v>
      </c>
      <c r="AE71" t="n">
        <v>2217977.17917398</v>
      </c>
      <c r="AF71" t="n">
        <v>14842375.2236893</v>
      </c>
      <c r="AG71" t="n">
        <v>0</v>
      </c>
      <c r="AH71" t="n">
        <v>4176819.75277892</v>
      </c>
      <c r="AI71" t="n">
        <v>0</v>
      </c>
      <c r="AJ71" t="n">
        <v>2407082.70284672</v>
      </c>
      <c r="AK71" t="n">
        <v>806211.700216409</v>
      </c>
      <c r="AL71" t="n">
        <v>0</v>
      </c>
      <c r="AM71" t="n">
        <v>7334680.84999996</v>
      </c>
      <c r="AN71" t="n">
        <v>417906.879064645</v>
      </c>
      <c r="AO71" t="n">
        <v>3692422.92541096</v>
      </c>
      <c r="AP71" t="n">
        <v>122434481.873661</v>
      </c>
      <c r="AQ71" t="n">
        <v>1556507776.78702</v>
      </c>
      <c r="AR71" t="n">
        <v>6559932.26285994</v>
      </c>
      <c r="AS71" t="n">
        <v>57606134.0709275</v>
      </c>
      <c r="AT71" t="n">
        <v>18752882.0813825</v>
      </c>
      <c r="AU71" t="n">
        <v>7988568.48444198</v>
      </c>
      <c r="AV71" t="n">
        <v>944836.131616983</v>
      </c>
      <c r="AW71" t="n">
        <v>0</v>
      </c>
      <c r="AX71" t="n">
        <v>90581820.2678143</v>
      </c>
      <c r="AY71" t="n">
        <v>5929296.11579389</v>
      </c>
      <c r="AZ71" t="n">
        <v>20171692.8282809</v>
      </c>
      <c r="BA71" t="n">
        <v>21401434.8572308</v>
      </c>
      <c r="BB71" t="n">
        <v>165340751.854111</v>
      </c>
      <c r="BC71" t="n">
        <v>201489306.035375</v>
      </c>
      <c r="BD71" t="n">
        <v>57117610.88786</v>
      </c>
      <c r="BE71" t="n">
        <v>3494149.81697981</v>
      </c>
      <c r="BF71" t="n">
        <v>85486930.4281549</v>
      </c>
      <c r="BG71" t="n">
        <v>37601062.9371703</v>
      </c>
      <c r="BH71" t="n">
        <v>56163590.8971436</v>
      </c>
      <c r="BI71" t="n">
        <v>10198032.8983393</v>
      </c>
      <c r="BJ71" t="n">
        <v>40697885.4992425</v>
      </c>
      <c r="BK71" t="n">
        <v>728791026.718672</v>
      </c>
      <c r="BL71" t="n">
        <v>21822772.0716252</v>
      </c>
      <c r="BM71" t="n">
        <v>5423044.91683401</v>
      </c>
      <c r="BN71" t="n">
        <v>83427690.6824045</v>
      </c>
      <c r="BO71" t="n">
        <v>44326661.1416521</v>
      </c>
      <c r="BP71" t="n">
        <v>0</v>
      </c>
      <c r="BQ71" t="n">
        <v>439751.725283574</v>
      </c>
      <c r="BR71" t="n">
        <v>763965.660729885</v>
      </c>
      <c r="BS71" t="n">
        <v>43161219.1051145</v>
      </c>
      <c r="BT71" t="n">
        <v>490335.382539115</v>
      </c>
      <c r="BU71" t="n">
        <v>2859556210.70824</v>
      </c>
      <c r="BV71" t="n">
        <v>0</v>
      </c>
      <c r="BW71" t="n">
        <v>0</v>
      </c>
      <c r="BX71" t="n">
        <v>191293131.297121</v>
      </c>
      <c r="BY71" t="n">
        <v>0</v>
      </c>
      <c r="BZ71" t="n">
        <v>0</v>
      </c>
      <c r="CA71" t="n">
        <v>58258897.7343698</v>
      </c>
      <c r="CB71" t="n">
        <v>-49164234.5278586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167</v>
      </c>
      <c r="B72" t="n">
        <v>152935.286774816</v>
      </c>
      <c r="C72" t="n">
        <v>0</v>
      </c>
      <c r="D72" t="n">
        <v>0</v>
      </c>
      <c r="E72" t="n">
        <v>0</v>
      </c>
      <c r="F72" t="n">
        <v>267121.123109587</v>
      </c>
      <c r="G72" t="n">
        <v>625249.599807772</v>
      </c>
      <c r="H72" t="n">
        <v>1122629.47664941</v>
      </c>
      <c r="I72" t="n">
        <v>100659.172307643</v>
      </c>
      <c r="J72" t="n">
        <v>213957.414414387</v>
      </c>
      <c r="K72" t="n">
        <v>299901.841224545</v>
      </c>
      <c r="L72" t="n">
        <v>339295.579558453</v>
      </c>
      <c r="M72" t="n">
        <v>166674.841175552</v>
      </c>
      <c r="N72" t="n">
        <v>12972.548538158</v>
      </c>
      <c r="O72" t="n">
        <v>19785.5816032419</v>
      </c>
      <c r="P72" t="n">
        <v>41434.9592406849</v>
      </c>
      <c r="Q72" t="n">
        <v>28055.3878145133</v>
      </c>
      <c r="R72" t="n">
        <v>72420.9294161354</v>
      </c>
      <c r="S72" t="n">
        <v>102670.771892996</v>
      </c>
      <c r="T72" t="n">
        <v>276984.70351403</v>
      </c>
      <c r="U72" t="n">
        <v>0</v>
      </c>
      <c r="V72" t="n">
        <v>0</v>
      </c>
      <c r="W72" t="n">
        <v>168230.130131126</v>
      </c>
      <c r="X72" t="n">
        <v>150515.973585285</v>
      </c>
      <c r="Y72" t="n">
        <v>36451.4697464942</v>
      </c>
      <c r="Z72" t="n">
        <v>199901.072343015</v>
      </c>
      <c r="AA72" t="n">
        <v>327384.651240954</v>
      </c>
      <c r="AB72" t="n">
        <v>5797219.76973308</v>
      </c>
      <c r="AC72" t="n">
        <v>91952.9696598438</v>
      </c>
      <c r="AD72" t="n">
        <v>481393.762973865</v>
      </c>
      <c r="AE72" t="n">
        <v>25732.3350536299</v>
      </c>
      <c r="AF72" t="n">
        <v>3211164.75372847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48015.9103970771</v>
      </c>
      <c r="AN72" t="n">
        <v>24934.8123940619</v>
      </c>
      <c r="AO72" t="n">
        <v>228483.435137551</v>
      </c>
      <c r="AP72" t="n">
        <v>70288.6660819115</v>
      </c>
      <c r="AQ72" t="n">
        <v>762986.663889934</v>
      </c>
      <c r="AR72" t="n">
        <v>837696.005514416</v>
      </c>
      <c r="AS72" t="n">
        <v>4138547.50395374</v>
      </c>
      <c r="AT72" t="n">
        <v>1903742.3874592</v>
      </c>
      <c r="AU72" t="n">
        <v>491970.111115252</v>
      </c>
      <c r="AV72" t="n">
        <v>33666.4247134267</v>
      </c>
      <c r="AW72" t="n">
        <v>0</v>
      </c>
      <c r="AX72" t="n">
        <v>0</v>
      </c>
      <c r="AY72" t="n">
        <v>639144.158783872</v>
      </c>
      <c r="AZ72" t="n">
        <v>1241329.96808538</v>
      </c>
      <c r="BA72" t="n">
        <v>2527037.33593507</v>
      </c>
      <c r="BB72" t="n">
        <v>5408102.55925493</v>
      </c>
      <c r="BC72" t="n">
        <v>17217957.230831</v>
      </c>
      <c r="BD72" t="n">
        <v>5324938.89183628</v>
      </c>
      <c r="BE72" t="n">
        <v>381035.106696127</v>
      </c>
      <c r="BF72" t="n">
        <v>1273763.32899</v>
      </c>
      <c r="BG72" t="n">
        <v>4813736.70232577</v>
      </c>
      <c r="BH72" t="n">
        <v>236690.282531102</v>
      </c>
      <c r="BI72" t="n">
        <v>598914.590112789</v>
      </c>
      <c r="BJ72" t="n">
        <v>1257656.29396097</v>
      </c>
      <c r="BK72" t="n">
        <v>2019213.48086674</v>
      </c>
      <c r="BL72" t="n">
        <v>3272887.57532139</v>
      </c>
      <c r="BM72" t="n">
        <v>2822845.08010796</v>
      </c>
      <c r="BN72" t="n">
        <v>8789335.68821956</v>
      </c>
      <c r="BO72" t="n">
        <v>566315.869017917</v>
      </c>
      <c r="BP72" t="n">
        <v>18392.7409738614</v>
      </c>
      <c r="BQ72" t="n">
        <v>21607.9343296796</v>
      </c>
      <c r="BR72" t="n">
        <v>9896.81625614555</v>
      </c>
      <c r="BS72" t="n">
        <v>7967800.8929592</v>
      </c>
      <c r="BT72" t="n">
        <v>716780.038720916</v>
      </c>
      <c r="BU72" t="n">
        <v>2860485695.53466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658441.162138273</v>
      </c>
      <c r="CB72" t="n">
        <v>-1038393.91623572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168</v>
      </c>
      <c r="B73" t="n">
        <v>17359.7244566489</v>
      </c>
      <c r="C73" t="n">
        <v>0</v>
      </c>
      <c r="D73" t="n">
        <v>22158.5466349987</v>
      </c>
      <c r="E73" t="n">
        <v>334514.972929101</v>
      </c>
      <c r="F73" t="n">
        <v>9663477.43994739</v>
      </c>
      <c r="G73" t="n">
        <v>33367094.4330658</v>
      </c>
      <c r="H73" t="n">
        <v>11066496.1027886</v>
      </c>
      <c r="I73" t="n">
        <v>3679123.38186201</v>
      </c>
      <c r="J73" t="n">
        <v>6666606.40939154</v>
      </c>
      <c r="K73" t="n">
        <v>12063611.2627175</v>
      </c>
      <c r="L73" t="n">
        <v>13102302.9398859</v>
      </c>
      <c r="M73" t="n">
        <v>7120935.28878269</v>
      </c>
      <c r="N73" t="n">
        <v>618457.300511004</v>
      </c>
      <c r="O73" t="n">
        <v>1179079.93862849</v>
      </c>
      <c r="P73" t="n">
        <v>2064275.33084604</v>
      </c>
      <c r="Q73" t="n">
        <v>1036578.97329695</v>
      </c>
      <c r="R73" t="n">
        <v>2658515.73644926</v>
      </c>
      <c r="S73" t="n">
        <v>4527651.34172232</v>
      </c>
      <c r="T73" t="n">
        <v>10834147.0866598</v>
      </c>
      <c r="U73" t="n">
        <v>328265.721967419</v>
      </c>
      <c r="V73" t="n">
        <v>50208.0873942887</v>
      </c>
      <c r="W73" t="n">
        <v>6759929.53067557</v>
      </c>
      <c r="X73" t="n">
        <v>7803622.8884758</v>
      </c>
      <c r="Y73" t="n">
        <v>1404720.59052117</v>
      </c>
      <c r="Z73" t="n">
        <v>8837044.18750815</v>
      </c>
      <c r="AA73" t="n">
        <v>13633904.9817337</v>
      </c>
      <c r="AB73" t="n">
        <v>98698449.4096209</v>
      </c>
      <c r="AC73" t="n">
        <v>1158574.22928406</v>
      </c>
      <c r="AD73" t="n">
        <v>2146946.2876393</v>
      </c>
      <c r="AE73" t="n">
        <v>1502794.86503514</v>
      </c>
      <c r="AF73" t="n">
        <v>6253994.72535892</v>
      </c>
      <c r="AG73" t="n">
        <v>0</v>
      </c>
      <c r="AH73" t="n">
        <v>434863.874890456</v>
      </c>
      <c r="AI73" t="n">
        <v>0</v>
      </c>
      <c r="AJ73" t="n">
        <v>0</v>
      </c>
      <c r="AK73" t="n">
        <v>0</v>
      </c>
      <c r="AL73" t="n">
        <v>1449079.41415473</v>
      </c>
      <c r="AM73" t="n">
        <v>8973371.55721962</v>
      </c>
      <c r="AN73" t="n">
        <v>891562.481918231</v>
      </c>
      <c r="AO73" t="n">
        <v>9985057.60710164</v>
      </c>
      <c r="AP73" t="n">
        <v>3675588.26055338</v>
      </c>
      <c r="AQ73" t="n">
        <v>33984514.6179341</v>
      </c>
      <c r="AR73" t="n">
        <v>36669040.7672893</v>
      </c>
      <c r="AS73" t="n">
        <v>180178794.345786</v>
      </c>
      <c r="AT73" t="n">
        <v>83810822.50371</v>
      </c>
      <c r="AU73" t="n">
        <v>21071072.4561461</v>
      </c>
      <c r="AV73" t="n">
        <v>1506938.79478759</v>
      </c>
      <c r="AW73" t="n">
        <v>178846.226837506</v>
      </c>
      <c r="AX73" t="n">
        <v>241056167.046616</v>
      </c>
      <c r="AY73" t="n">
        <v>30656051.9036495</v>
      </c>
      <c r="AZ73" t="n">
        <v>42424339.6998034</v>
      </c>
      <c r="BA73" t="n">
        <v>112344979.510344</v>
      </c>
      <c r="BB73" t="n">
        <v>226572047.367029</v>
      </c>
      <c r="BC73" t="n">
        <v>46495598.4714767</v>
      </c>
      <c r="BD73" t="n">
        <v>152641858.750262</v>
      </c>
      <c r="BE73" t="n">
        <v>19333373.4563264</v>
      </c>
      <c r="BF73" t="n">
        <v>44829919.8275117</v>
      </c>
      <c r="BG73" t="n">
        <v>138206550.909666</v>
      </c>
      <c r="BH73" t="n">
        <v>11163145.4117847</v>
      </c>
      <c r="BI73" t="n">
        <v>15113313.4978923</v>
      </c>
      <c r="BJ73" t="n">
        <v>19557694.6583795</v>
      </c>
      <c r="BK73" t="n">
        <v>4298608.34628681</v>
      </c>
      <c r="BL73" t="n">
        <v>7957043.85602565</v>
      </c>
      <c r="BM73" t="n">
        <v>10731863.8494683</v>
      </c>
      <c r="BN73" t="n">
        <v>66341432.4052426</v>
      </c>
      <c r="BO73" t="n">
        <v>20751340.4593066</v>
      </c>
      <c r="BP73" t="n">
        <v>21673086.8573226</v>
      </c>
      <c r="BQ73" t="n">
        <v>26706466.6005888</v>
      </c>
      <c r="BR73" t="n">
        <v>1226742.10416757</v>
      </c>
      <c r="BS73" t="n">
        <v>96413237.2492165</v>
      </c>
      <c r="BT73" t="n">
        <v>2912755.65931508</v>
      </c>
      <c r="BU73" t="n">
        <v>5169197573.30463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169</v>
      </c>
      <c r="B74" t="n">
        <v>8501272.9354617</v>
      </c>
      <c r="C74" t="n">
        <v>76931.5860017064</v>
      </c>
      <c r="D74" t="n">
        <v>358949.378593664</v>
      </c>
      <c r="E74" t="n">
        <v>1528394.87827953</v>
      </c>
      <c r="F74" t="n">
        <v>23523007.6173749</v>
      </c>
      <c r="G74" t="n">
        <v>81034143.3558931</v>
      </c>
      <c r="H74" t="n">
        <v>16742304.9679997</v>
      </c>
      <c r="I74" t="n">
        <v>6478112.10099321</v>
      </c>
      <c r="J74" t="n">
        <v>10395318.2516743</v>
      </c>
      <c r="K74" t="n">
        <v>22270098.7539775</v>
      </c>
      <c r="L74" t="n">
        <v>19148502.0060345</v>
      </c>
      <c r="M74" t="n">
        <v>11501027.5218805</v>
      </c>
      <c r="N74" t="n">
        <v>809184.585592992</v>
      </c>
      <c r="O74" t="n">
        <v>2762165.40148827</v>
      </c>
      <c r="P74" t="n">
        <v>2941492.99868312</v>
      </c>
      <c r="Q74" t="n">
        <v>1729168.75524053</v>
      </c>
      <c r="R74" t="n">
        <v>3785992.62788855</v>
      </c>
      <c r="S74" t="n">
        <v>6404262.49031734</v>
      </c>
      <c r="T74" t="n">
        <v>20381334.1549563</v>
      </c>
      <c r="U74" t="n">
        <v>842157.343464048</v>
      </c>
      <c r="V74" t="n">
        <v>187691.028527159</v>
      </c>
      <c r="W74" t="n">
        <v>12492426.1755684</v>
      </c>
      <c r="X74" t="n">
        <v>8773952.11031471</v>
      </c>
      <c r="Y74" t="n">
        <v>3771491.05370598</v>
      </c>
      <c r="Z74" t="n">
        <v>13062936.2309221</v>
      </c>
      <c r="AA74" t="n">
        <v>20592776.0285125</v>
      </c>
      <c r="AB74" t="n">
        <v>295395826.007565</v>
      </c>
      <c r="AC74" t="n">
        <v>31136773.8940261</v>
      </c>
      <c r="AD74" t="n">
        <v>35931820.8023939</v>
      </c>
      <c r="AE74" t="n">
        <v>37261198.4950146</v>
      </c>
      <c r="AF74" t="n">
        <v>105551865.385498</v>
      </c>
      <c r="AG74" t="n">
        <v>191794358.463573</v>
      </c>
      <c r="AH74" t="n">
        <v>101602.217122072</v>
      </c>
      <c r="AI74" t="n">
        <v>110065.081512984</v>
      </c>
      <c r="AJ74" t="n">
        <v>43661838.3060518</v>
      </c>
      <c r="AK74" t="n">
        <v>7001236.74911661</v>
      </c>
      <c r="AL74" t="n">
        <v>9445094.96517515</v>
      </c>
      <c r="AM74" t="n">
        <v>42729713.2897724</v>
      </c>
      <c r="AN74" t="n">
        <v>20145498.1600109</v>
      </c>
      <c r="AO74" t="n">
        <v>10833560.8660479</v>
      </c>
      <c r="AP74" t="n">
        <v>6159001.63758536</v>
      </c>
      <c r="AQ74" t="n">
        <v>38721581.6766985</v>
      </c>
      <c r="AR74" t="n">
        <v>39504592.7711773</v>
      </c>
      <c r="AS74" t="n">
        <v>319812779.273844</v>
      </c>
      <c r="AT74" t="n">
        <v>103257561.552521</v>
      </c>
      <c r="AU74" t="n">
        <v>148676290.1946</v>
      </c>
      <c r="AV74" t="n">
        <v>4366666.66666667</v>
      </c>
      <c r="AW74" t="n">
        <v>178286.455458709</v>
      </c>
      <c r="AX74" t="n">
        <v>836622881.270243</v>
      </c>
      <c r="AY74" t="n">
        <v>89073767.7634106</v>
      </c>
      <c r="AZ74" t="n">
        <v>94990078.6169483</v>
      </c>
      <c r="BA74" t="n">
        <v>181839636.983092</v>
      </c>
      <c r="BB74" t="n">
        <v>688583297.353035</v>
      </c>
      <c r="BC74" t="n">
        <v>281619153.216859</v>
      </c>
      <c r="BD74" t="n">
        <v>363754494.233129</v>
      </c>
      <c r="BE74" t="n">
        <v>21746643.6354701</v>
      </c>
      <c r="BF74" t="n">
        <v>116471916.057111</v>
      </c>
      <c r="BG74" t="n">
        <v>1102838434.66518</v>
      </c>
      <c r="BH74" t="n">
        <v>987126093.582134</v>
      </c>
      <c r="BI74" t="n">
        <v>464126359.326137</v>
      </c>
      <c r="BJ74" t="n">
        <v>218445972.880248</v>
      </c>
      <c r="BK74" t="n">
        <v>20407292.0595834</v>
      </c>
      <c r="BL74" t="n">
        <v>53681370.9151511</v>
      </c>
      <c r="BM74" t="n">
        <v>206435836.314091</v>
      </c>
      <c r="BN74" t="n">
        <v>206620161.89905</v>
      </c>
      <c r="BO74" t="n">
        <v>68811197.7466392</v>
      </c>
      <c r="BP74" t="n">
        <v>9651705.71682242</v>
      </c>
      <c r="BQ74" t="n">
        <v>10558012.1069842</v>
      </c>
      <c r="BR74" t="n">
        <v>8907198.64416182</v>
      </c>
      <c r="BS74" t="n">
        <v>410714454.94899</v>
      </c>
      <c r="BT74" t="n">
        <v>12125531.645187</v>
      </c>
      <c r="BU74" t="n">
        <v>26989058791.1891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91780084.2900937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170</v>
      </c>
      <c r="B75" t="n">
        <v>6961380.49947</v>
      </c>
      <c r="C75" t="n">
        <v>394136.417961783</v>
      </c>
      <c r="D75" t="n">
        <v>2009880.04663339</v>
      </c>
      <c r="E75" t="n">
        <v>5245594.90188079</v>
      </c>
      <c r="F75" t="n">
        <v>23997984.4697208</v>
      </c>
      <c r="G75" t="n">
        <v>34371008.0966913</v>
      </c>
      <c r="H75" t="n">
        <v>182586964.337408</v>
      </c>
      <c r="I75" t="n">
        <v>14977467.9608069</v>
      </c>
      <c r="J75" t="n">
        <v>37830558.6055629</v>
      </c>
      <c r="K75" t="n">
        <v>106149974.261678</v>
      </c>
      <c r="L75" t="n">
        <v>69570001.6519094</v>
      </c>
      <c r="M75" t="n">
        <v>31795121.6905756</v>
      </c>
      <c r="N75" t="n">
        <v>9037012.69683168</v>
      </c>
      <c r="O75" t="n">
        <v>8118229.37220212</v>
      </c>
      <c r="P75" t="n">
        <v>9033051.75951927</v>
      </c>
      <c r="Q75" t="n">
        <v>8143378.5334126</v>
      </c>
      <c r="R75" t="n">
        <v>5420549.14727043</v>
      </c>
      <c r="S75" t="n">
        <v>14090516.4093847</v>
      </c>
      <c r="T75" t="n">
        <v>66390270.0961994</v>
      </c>
      <c r="U75" t="n">
        <v>2483717.57592516</v>
      </c>
      <c r="V75" t="n">
        <v>213684.43057855</v>
      </c>
      <c r="W75" t="n">
        <v>69460015.3161481</v>
      </c>
      <c r="X75" t="n">
        <v>16245477.7537577</v>
      </c>
      <c r="Y75" t="n">
        <v>18202451.5310912</v>
      </c>
      <c r="Z75" t="n">
        <v>98286483.097709</v>
      </c>
      <c r="AA75" t="n">
        <v>44371222.8332887</v>
      </c>
      <c r="AB75" t="n">
        <v>560021351.639589</v>
      </c>
      <c r="AC75" t="n">
        <v>67558940.6601171</v>
      </c>
      <c r="AD75" t="n">
        <v>85083681.2620113</v>
      </c>
      <c r="AE75" t="n">
        <v>68067431.867306</v>
      </c>
      <c r="AF75" t="n">
        <v>158734158.417703</v>
      </c>
      <c r="AG75" t="n">
        <v>9399758.54544321</v>
      </c>
      <c r="AH75" t="n">
        <v>3169894.94339604</v>
      </c>
      <c r="AI75" t="n">
        <v>1982944.71931996</v>
      </c>
      <c r="AJ75" t="n">
        <v>253498347.520184</v>
      </c>
      <c r="AK75" t="n">
        <v>74478860.6644524</v>
      </c>
      <c r="AL75" t="n">
        <v>83772842.1487616</v>
      </c>
      <c r="AM75" t="n">
        <v>56525268.7786104</v>
      </c>
      <c r="AN75" t="n">
        <v>52283875.8500523</v>
      </c>
      <c r="AO75" t="n">
        <v>24305056.5071682</v>
      </c>
      <c r="AP75" t="n">
        <v>3274108.5981287</v>
      </c>
      <c r="AQ75" t="n">
        <v>191835812.244116</v>
      </c>
      <c r="AR75" t="n">
        <v>28687950.1502306</v>
      </c>
      <c r="AS75" t="n">
        <v>115599352.573423</v>
      </c>
      <c r="AT75" t="n">
        <v>98107326.4310996</v>
      </c>
      <c r="AU75" t="n">
        <v>233530561.026472</v>
      </c>
      <c r="AV75" t="n">
        <v>635305.743472744</v>
      </c>
      <c r="AW75" t="n">
        <v>665326135.498515</v>
      </c>
      <c r="AX75" t="n">
        <v>106778505.016896</v>
      </c>
      <c r="AY75" t="n">
        <v>165598125.841347</v>
      </c>
      <c r="AZ75" t="n">
        <v>36559639.2148204</v>
      </c>
      <c r="BA75" t="n">
        <v>55237856.8195869</v>
      </c>
      <c r="BB75" t="n">
        <v>278295514.49793</v>
      </c>
      <c r="BC75" t="n">
        <v>347819237.90367</v>
      </c>
      <c r="BD75" t="n">
        <v>389034396.409394</v>
      </c>
      <c r="BE75" t="n">
        <v>148417456.301141</v>
      </c>
      <c r="BF75" t="n">
        <v>154003479.711265</v>
      </c>
      <c r="BG75" t="n">
        <v>200193538.991758</v>
      </c>
      <c r="BH75" t="n">
        <v>471396275.467801</v>
      </c>
      <c r="BI75" t="n">
        <v>72810179.8355025</v>
      </c>
      <c r="BJ75" t="n">
        <v>38804491.8007234</v>
      </c>
      <c r="BK75" t="n">
        <v>24694805.140424</v>
      </c>
      <c r="BL75" t="n">
        <v>46887306.2487556</v>
      </c>
      <c r="BM75" t="n">
        <v>38820278.8741289</v>
      </c>
      <c r="BN75" t="n">
        <v>244937511.856377</v>
      </c>
      <c r="BO75" t="n">
        <v>201045157.541782</v>
      </c>
      <c r="BP75" t="n">
        <v>31693511.7667382</v>
      </c>
      <c r="BQ75" t="n">
        <v>242790893.649045</v>
      </c>
      <c r="BR75" t="n">
        <v>16052197.8352966</v>
      </c>
      <c r="BS75" t="n">
        <v>687675757.45508</v>
      </c>
      <c r="BT75" t="n">
        <v>54973394.8217567</v>
      </c>
      <c r="BU75" t="n">
        <v>27687357746.8999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3040969.66943613</v>
      </c>
      <c r="CB75" t="n">
        <v>-192022790.853574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171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9574402875.23854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172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7957745170.81836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173</v>
      </c>
      <c r="B78" t="n">
        <v>59370.912319013</v>
      </c>
      <c r="C78" t="n">
        <v>4398.91694094327</v>
      </c>
      <c r="D78" t="n">
        <v>0</v>
      </c>
      <c r="E78" t="n">
        <v>31779.2728552145</v>
      </c>
      <c r="F78" t="n">
        <v>0</v>
      </c>
      <c r="G78" t="n">
        <v>2439172.87178154</v>
      </c>
      <c r="H78" t="n">
        <v>63556.3963323599</v>
      </c>
      <c r="I78" t="n">
        <v>0</v>
      </c>
      <c r="J78" t="n">
        <v>0</v>
      </c>
      <c r="K78" t="n">
        <v>865908.756704448</v>
      </c>
      <c r="L78" t="n">
        <v>1406086.7184229</v>
      </c>
      <c r="M78" t="n">
        <v>2363720.409013</v>
      </c>
      <c r="N78" t="n">
        <v>286426.195692952</v>
      </c>
      <c r="O78" t="n">
        <v>1967485.128501</v>
      </c>
      <c r="P78" t="n">
        <v>0</v>
      </c>
      <c r="Q78" t="n">
        <v>0</v>
      </c>
      <c r="R78" t="n">
        <v>0</v>
      </c>
      <c r="S78" t="n">
        <v>156939.91558169</v>
      </c>
      <c r="T78" t="n">
        <v>0</v>
      </c>
      <c r="U78" t="n">
        <v>11006.6779296507</v>
      </c>
      <c r="V78" t="n">
        <v>0</v>
      </c>
      <c r="W78" t="n">
        <v>0</v>
      </c>
      <c r="X78" t="n">
        <v>613532.97866932</v>
      </c>
      <c r="Y78" t="n">
        <v>222875.136881428</v>
      </c>
      <c r="Z78" t="n">
        <v>753106.408351824</v>
      </c>
      <c r="AA78" t="n">
        <v>0</v>
      </c>
      <c r="AB78" t="n">
        <v>160302821.974599</v>
      </c>
      <c r="AC78" t="n">
        <v>7149365.52913718</v>
      </c>
      <c r="AD78" t="n">
        <v>6358812.26314566</v>
      </c>
      <c r="AE78" t="n">
        <v>2826545.22076869</v>
      </c>
      <c r="AF78" t="n">
        <v>29894597.8557481</v>
      </c>
      <c r="AG78" t="n">
        <v>16216.9667531282</v>
      </c>
      <c r="AH78" t="n">
        <v>0</v>
      </c>
      <c r="AI78" t="n">
        <v>3705988.77827756</v>
      </c>
      <c r="AJ78" t="n">
        <v>34390116.0633725</v>
      </c>
      <c r="AK78" t="n">
        <v>3547831.75271562</v>
      </c>
      <c r="AL78" t="n">
        <v>4586506.62369537</v>
      </c>
      <c r="AM78" t="n">
        <v>6024913.89904693</v>
      </c>
      <c r="AN78" t="n">
        <v>10549211.2687253</v>
      </c>
      <c r="AO78" t="n">
        <v>2332639.01858071</v>
      </c>
      <c r="AP78" t="n">
        <v>1087463.30206355</v>
      </c>
      <c r="AQ78" t="n">
        <v>2212191.4923867</v>
      </c>
      <c r="AR78" t="n">
        <v>5444290.25670214</v>
      </c>
      <c r="AS78" t="n">
        <v>10824811.4485563</v>
      </c>
      <c r="AT78" t="n">
        <v>20594731.6227646</v>
      </c>
      <c r="AU78" t="n">
        <v>937994.618848908</v>
      </c>
      <c r="AV78" t="n">
        <v>0</v>
      </c>
      <c r="AW78" t="n">
        <v>0</v>
      </c>
      <c r="AX78" t="n">
        <v>2872013.90289851</v>
      </c>
      <c r="AY78" t="n">
        <v>8949677.89969013</v>
      </c>
      <c r="AZ78" t="n">
        <v>3008243.37775907</v>
      </c>
      <c r="BA78" t="n">
        <v>2986587.49600082</v>
      </c>
      <c r="BB78" t="n">
        <v>20609091.3108138</v>
      </c>
      <c r="BC78" t="n">
        <v>3224350.67448634</v>
      </c>
      <c r="BD78" t="n">
        <v>8439766.30959169</v>
      </c>
      <c r="BE78" t="n">
        <v>1270017.91803522</v>
      </c>
      <c r="BF78" t="n">
        <v>9073375.03882895</v>
      </c>
      <c r="BG78" t="n">
        <v>11440693.9845621</v>
      </c>
      <c r="BH78" t="n">
        <v>37942534.5661492</v>
      </c>
      <c r="BI78" t="n">
        <v>3779407.49641585</v>
      </c>
      <c r="BJ78" t="n">
        <v>7184422.18129884</v>
      </c>
      <c r="BK78" t="n">
        <v>1340486.56849443</v>
      </c>
      <c r="BL78" t="n">
        <v>726399.083819991</v>
      </c>
      <c r="BM78" t="n">
        <v>4249011.37610752</v>
      </c>
      <c r="BN78" t="n">
        <v>46041377.1381172</v>
      </c>
      <c r="BO78" t="n">
        <v>4721912.78017868</v>
      </c>
      <c r="BP78" t="n">
        <v>2082.56839729897</v>
      </c>
      <c r="BQ78" t="n">
        <v>733985.237380118</v>
      </c>
      <c r="BR78" t="n">
        <v>551332.290533607</v>
      </c>
      <c r="BS78" t="n">
        <v>17116203.3009614</v>
      </c>
      <c r="BT78" t="n">
        <v>477680.923090752</v>
      </c>
      <c r="BU78" t="n">
        <v>84520846.797906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24939014.0647107</v>
      </c>
      <c r="CB78" t="n">
        <v>-9638331.37382926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174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79121780329.5429</v>
      </c>
      <c r="CL79" t="n">
        <v>0</v>
      </c>
      <c r="CM79" t="n">
        <v>0</v>
      </c>
      <c r="CN79" t="n">
        <v>0</v>
      </c>
    </row>
    <row r="80">
      <c r="A80" t="s">
        <v>175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23385438.0030805</v>
      </c>
      <c r="H80" t="n">
        <v>0</v>
      </c>
      <c r="I80" t="n">
        <v>3338719.31358881</v>
      </c>
      <c r="J80" t="n">
        <v>7898626.09515867</v>
      </c>
      <c r="K80" t="n">
        <v>21156593.8162787</v>
      </c>
      <c r="L80" t="n">
        <v>13403951.4042242</v>
      </c>
      <c r="M80" t="n">
        <v>8759060.69547188</v>
      </c>
      <c r="N80" t="n">
        <v>1213776.87838949</v>
      </c>
      <c r="O80" t="n">
        <v>2585856.97160604</v>
      </c>
      <c r="P80" t="n">
        <v>1895355.3213272</v>
      </c>
      <c r="Q80" t="n">
        <v>3291670.64250607</v>
      </c>
      <c r="R80" t="n">
        <v>2022064.24444048</v>
      </c>
      <c r="S80" t="n">
        <v>3545216.73571139</v>
      </c>
      <c r="T80" t="n">
        <v>38070088.3848542</v>
      </c>
      <c r="U80" t="n">
        <v>1299328.4727731</v>
      </c>
      <c r="V80" t="n">
        <v>62563.6761757197</v>
      </c>
      <c r="W80" t="n">
        <v>16061690.7971594</v>
      </c>
      <c r="X80" t="n">
        <v>2906022.35500869</v>
      </c>
      <c r="Y80" t="n">
        <v>7308391.75478911</v>
      </c>
      <c r="Z80" t="n">
        <v>72116044.6467435</v>
      </c>
      <c r="AA80" t="n">
        <v>11154420.3487776</v>
      </c>
      <c r="AB80" t="n">
        <v>52723894.4256291</v>
      </c>
      <c r="AC80" t="n">
        <v>18143608.8480227</v>
      </c>
      <c r="AD80" t="n">
        <v>13653169.3934642</v>
      </c>
      <c r="AE80" t="n">
        <v>5961791.75920234</v>
      </c>
      <c r="AF80" t="n">
        <v>24281743.2628554</v>
      </c>
      <c r="AG80" t="n">
        <v>189076.385423116</v>
      </c>
      <c r="AH80" t="n">
        <v>0</v>
      </c>
      <c r="AI80" t="n">
        <v>0</v>
      </c>
      <c r="AJ80" t="n">
        <v>18867343.59961</v>
      </c>
      <c r="AK80" t="n">
        <v>296348.645465253</v>
      </c>
      <c r="AL80" t="n">
        <v>16945611.5551672</v>
      </c>
      <c r="AM80" t="n">
        <v>2823926.31220793</v>
      </c>
      <c r="AN80" t="n">
        <v>12294679.0241243</v>
      </c>
      <c r="AO80" t="n">
        <v>1382472.96434486</v>
      </c>
      <c r="AP80" t="n">
        <v>926459.992094408</v>
      </c>
      <c r="AQ80" t="n">
        <v>4921137.4706172</v>
      </c>
      <c r="AR80" t="n">
        <v>1631887.06334925</v>
      </c>
      <c r="AS80" t="n">
        <v>13617028.4925191</v>
      </c>
      <c r="AT80" t="n">
        <v>6508819.48177615</v>
      </c>
      <c r="AU80" t="n">
        <v>3488283.28294243</v>
      </c>
      <c r="AV80" t="n">
        <v>0</v>
      </c>
      <c r="AW80" t="n">
        <v>0</v>
      </c>
      <c r="AX80" t="n">
        <v>65688089.6759864</v>
      </c>
      <c r="AY80" t="n">
        <v>34351893.7313384</v>
      </c>
      <c r="AZ80" t="n">
        <v>21477620.8808821</v>
      </c>
      <c r="BA80" t="n">
        <v>6433804.66048185</v>
      </c>
      <c r="BB80" t="n">
        <v>45842409.3423479</v>
      </c>
      <c r="BC80" t="n">
        <v>31304498.7203574</v>
      </c>
      <c r="BD80" t="n">
        <v>43255275.5828221</v>
      </c>
      <c r="BE80" t="n">
        <v>38400207.1630048</v>
      </c>
      <c r="BF80" t="n">
        <v>9347427.65808664</v>
      </c>
      <c r="BG80" t="n">
        <v>33878846.995784</v>
      </c>
      <c r="BH80" t="n">
        <v>46401002.7201451</v>
      </c>
      <c r="BI80" t="n">
        <v>33370967.4165238</v>
      </c>
      <c r="BJ80" t="n">
        <v>14171712.1385395</v>
      </c>
      <c r="BK80" t="n">
        <v>4375685.54327481</v>
      </c>
      <c r="BL80" t="n">
        <v>10147560.7357645</v>
      </c>
      <c r="BM80" t="n">
        <v>19049768.8095617</v>
      </c>
      <c r="BN80" t="n">
        <v>49370267.5740847</v>
      </c>
      <c r="BO80" t="n">
        <v>53006920.37902</v>
      </c>
      <c r="BP80" t="n">
        <v>12656482.0248898</v>
      </c>
      <c r="BQ80" t="n">
        <v>27502177.4336943</v>
      </c>
      <c r="BR80" t="n">
        <v>7114000.23725136</v>
      </c>
      <c r="BS80" t="n">
        <v>229960593.17391</v>
      </c>
      <c r="BT80" t="n">
        <v>40148081.367007</v>
      </c>
      <c r="BU80" t="n">
        <v>4305483689.03063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176</v>
      </c>
      <c r="B81" t="n">
        <v>-389371.279486795</v>
      </c>
      <c r="C81" t="n">
        <v>2384879.1660529</v>
      </c>
      <c r="D81" t="n">
        <v>0</v>
      </c>
      <c r="E81" t="n">
        <v>0</v>
      </c>
      <c r="F81" t="n">
        <v>53020112.4074166</v>
      </c>
      <c r="G81" t="n">
        <v>184354571.226877</v>
      </c>
      <c r="H81" t="n">
        <v>98300255.3100396</v>
      </c>
      <c r="I81" t="n">
        <v>0</v>
      </c>
      <c r="J81" t="n">
        <v>3495369.01912194</v>
      </c>
      <c r="K81" t="n">
        <v>2837321931.75051</v>
      </c>
      <c r="L81" t="n">
        <v>28823534.5985572</v>
      </c>
      <c r="M81" t="n">
        <v>266580.108123057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3583337.3457728</v>
      </c>
      <c r="T81" t="n">
        <v>37396.9434035896</v>
      </c>
      <c r="U81" t="n">
        <v>481232.767693742</v>
      </c>
      <c r="V81" t="n">
        <v>0</v>
      </c>
      <c r="W81" t="n">
        <v>124710105.878389</v>
      </c>
      <c r="X81" t="n">
        <v>0</v>
      </c>
      <c r="Y81" t="n">
        <v>0</v>
      </c>
      <c r="Z81" t="n">
        <v>1943246.712038</v>
      </c>
      <c r="AA81" t="n">
        <v>2745703.47046833</v>
      </c>
      <c r="AB81" t="n">
        <v>0</v>
      </c>
      <c r="AC81" t="n">
        <v>1560740.54606647</v>
      </c>
      <c r="AD81" t="n">
        <v>0</v>
      </c>
      <c r="AE81" t="n">
        <v>0</v>
      </c>
      <c r="AF81" t="n">
        <v>6770002.76845411</v>
      </c>
      <c r="AG81" t="n">
        <v>-5908637.04447237</v>
      </c>
      <c r="AH81" t="n">
        <v>0</v>
      </c>
      <c r="AI81" t="n">
        <v>-1060100.52194085</v>
      </c>
      <c r="AJ81" t="n">
        <v>14614273.3397458</v>
      </c>
      <c r="AK81" t="n">
        <v>148174.322732627</v>
      </c>
      <c r="AL81" t="n">
        <v>32502238.5566321</v>
      </c>
      <c r="AM81" t="n">
        <v>46124129.7660628</v>
      </c>
      <c r="AN81" t="n">
        <v>0</v>
      </c>
      <c r="AO81" t="n">
        <v>0</v>
      </c>
      <c r="AP81" t="n">
        <v>1644140.2676605</v>
      </c>
      <c r="AQ81" t="n">
        <v>64751.8088239106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282203.757314953</v>
      </c>
      <c r="AZ81" t="n">
        <v>0</v>
      </c>
      <c r="BA81" t="n">
        <v>0</v>
      </c>
      <c r="BB81" t="n">
        <v>0</v>
      </c>
      <c r="BC81" t="n">
        <v>14317561.430241</v>
      </c>
      <c r="BD81" t="n">
        <v>0</v>
      </c>
      <c r="BE81" t="n">
        <v>0</v>
      </c>
      <c r="BF81" t="n">
        <v>20401131.7934431</v>
      </c>
      <c r="BG81" t="n">
        <v>0</v>
      </c>
      <c r="BH81" t="n">
        <v>0</v>
      </c>
      <c r="BI81" t="n">
        <v>0</v>
      </c>
      <c r="BJ81" t="n">
        <v>0</v>
      </c>
      <c r="BK81" t="n">
        <v>-5205556.93941313</v>
      </c>
      <c r="BL81" t="n">
        <v>20488777.2107611</v>
      </c>
      <c r="BM81" t="n">
        <v>0</v>
      </c>
      <c r="BN81" t="n">
        <v>0</v>
      </c>
      <c r="BO81" t="n">
        <v>1064558910.90352</v>
      </c>
      <c r="BP81" t="n">
        <v>-682903.706378945</v>
      </c>
      <c r="BQ81" t="n">
        <v>0</v>
      </c>
      <c r="BR81" t="n">
        <v>0</v>
      </c>
      <c r="BS81" t="n">
        <v>0</v>
      </c>
      <c r="BT81" t="n">
        <v>0</v>
      </c>
      <c r="BU81" t="n">
        <v>3263971391.56259</v>
      </c>
      <c r="BV81" t="n">
        <v>-124570209.062733</v>
      </c>
      <c r="BW81" t="n">
        <v>-5334417158.49673</v>
      </c>
      <c r="BX81" t="n">
        <v>0</v>
      </c>
      <c r="BY81" t="n">
        <v>-37810476.4265115</v>
      </c>
      <c r="BZ81" t="n">
        <v>106426914.793418</v>
      </c>
      <c r="CA81" t="n">
        <v>1039734465.9109</v>
      </c>
      <c r="CB81" t="n">
        <v>-1090020964.49678</v>
      </c>
      <c r="CC81" t="n">
        <v>0</v>
      </c>
      <c r="CD81" t="n">
        <v>-164939.038811961</v>
      </c>
      <c r="CE81" t="n">
        <v>0</v>
      </c>
      <c r="CF81" t="n">
        <v>0</v>
      </c>
      <c r="CG81" t="n">
        <v>0</v>
      </c>
      <c r="CH81" t="n">
        <v>-22802822.1157536</v>
      </c>
      <c r="CI81" t="n">
        <v>1360747.07019867</v>
      </c>
      <c r="CJ81" t="n">
        <v>0</v>
      </c>
      <c r="CK81" t="n">
        <v>0</v>
      </c>
      <c r="CL81" t="n">
        <v>174523703.70055</v>
      </c>
      <c r="CM81" t="n">
        <v>-724849445.497987</v>
      </c>
      <c r="CN81" t="n">
        <v>0</v>
      </c>
    </row>
    <row r="82">
      <c r="A82" t="s">
        <v>177</v>
      </c>
      <c r="B82" t="n">
        <v>20182411.3200656</v>
      </c>
      <c r="C82" t="n">
        <v>346192.137007679</v>
      </c>
      <c r="D82" t="n">
        <v>21840689.1128914</v>
      </c>
      <c r="E82" t="n">
        <v>926299.926230016</v>
      </c>
      <c r="F82" t="n">
        <v>20815994.8360104</v>
      </c>
      <c r="G82" t="n">
        <v>58975269.9072823</v>
      </c>
      <c r="H82" t="n">
        <v>52693105.0548869</v>
      </c>
      <c r="I82" t="n">
        <v>10065989.5723125</v>
      </c>
      <c r="J82" t="n">
        <v>13436743.2423389</v>
      </c>
      <c r="K82" t="n">
        <v>69705409.0999497</v>
      </c>
      <c r="L82" t="n">
        <v>36482935.400971</v>
      </c>
      <c r="M82" t="n">
        <v>51830789.5936401</v>
      </c>
      <c r="N82" t="n">
        <v>48878602.2297481</v>
      </c>
      <c r="O82" t="n">
        <v>19864083.1000646</v>
      </c>
      <c r="P82" t="n">
        <v>27630342.1842829</v>
      </c>
      <c r="Q82" t="n">
        <v>9770845.13503385</v>
      </c>
      <c r="R82" t="n">
        <v>5033649.28935183</v>
      </c>
      <c r="S82" t="n">
        <v>16811189.037083</v>
      </c>
      <c r="T82" t="n">
        <v>82722038.8087402</v>
      </c>
      <c r="U82" t="n">
        <v>2333978.92331465</v>
      </c>
      <c r="V82" t="n">
        <v>469227.571317897</v>
      </c>
      <c r="W82" t="n">
        <v>41046543.1482963</v>
      </c>
      <c r="X82" t="n">
        <v>13691836.095714</v>
      </c>
      <c r="Y82" t="n">
        <v>119532807.367217</v>
      </c>
      <c r="Z82" t="n">
        <v>128416220.220511</v>
      </c>
      <c r="AA82" t="n">
        <v>37982231.3414786</v>
      </c>
      <c r="AB82" t="n">
        <v>256163567.865935</v>
      </c>
      <c r="AC82" t="n">
        <v>4409092.04263779</v>
      </c>
      <c r="AD82" t="n">
        <v>19926247.2228936</v>
      </c>
      <c r="AE82" t="n">
        <v>31719789.4880637</v>
      </c>
      <c r="AF82" t="n">
        <v>102603153.068571</v>
      </c>
      <c r="AG82" t="n">
        <v>398974807.790952</v>
      </c>
      <c r="AH82" t="n">
        <v>4402762.74195644</v>
      </c>
      <c r="AI82" t="n">
        <v>10826928.2814614</v>
      </c>
      <c r="AJ82" t="n">
        <v>44928710.2983518</v>
      </c>
      <c r="AK82" t="n">
        <v>777915.19434629</v>
      </c>
      <c r="AL82" t="n">
        <v>29585370.9938575</v>
      </c>
      <c r="AM82" t="n">
        <v>13805861.9707943</v>
      </c>
      <c r="AN82" t="n">
        <v>6517661.16941529</v>
      </c>
      <c r="AO82" t="n">
        <v>17494566.9669822</v>
      </c>
      <c r="AP82" t="n">
        <v>6733145.85803823</v>
      </c>
      <c r="AQ82" t="n">
        <v>397252347.134691</v>
      </c>
      <c r="AR82" t="n">
        <v>13329770.5669617</v>
      </c>
      <c r="AS82" t="n">
        <v>99716625.1626493</v>
      </c>
      <c r="AT82" t="n">
        <v>1140574896.24772</v>
      </c>
      <c r="AU82" t="n">
        <v>68351496.7603584</v>
      </c>
      <c r="AV82" t="n">
        <v>737037.037037037</v>
      </c>
      <c r="AW82" t="n">
        <v>1025147.11888758</v>
      </c>
      <c r="AX82" t="n">
        <v>21213072.4378973</v>
      </c>
      <c r="AY82" t="n">
        <v>39534180.911122</v>
      </c>
      <c r="AZ82" t="n">
        <v>9770934.82134548</v>
      </c>
      <c r="BA82" t="n">
        <v>56719067.4016163</v>
      </c>
      <c r="BB82" t="n">
        <v>126161341.413238</v>
      </c>
      <c r="BC82" t="n">
        <v>114601159.075107</v>
      </c>
      <c r="BD82" t="n">
        <v>44280723.9263804</v>
      </c>
      <c r="BE82" t="n">
        <v>4527182.31816477</v>
      </c>
      <c r="BF82" t="n">
        <v>32122509.3329485</v>
      </c>
      <c r="BG82" t="n">
        <v>0</v>
      </c>
      <c r="BH82" t="n">
        <v>0</v>
      </c>
      <c r="BI82" t="n">
        <v>19139231.312418</v>
      </c>
      <c r="BJ82" t="n">
        <v>0</v>
      </c>
      <c r="BK82" t="n">
        <v>13089335.2027272</v>
      </c>
      <c r="BL82" t="n">
        <v>9024357.44821804</v>
      </c>
      <c r="BM82" t="n">
        <v>16294440.6525677</v>
      </c>
      <c r="BN82" t="n">
        <v>64548828.8023632</v>
      </c>
      <c r="BO82" t="n">
        <v>160820258.065056</v>
      </c>
      <c r="BP82" t="n">
        <v>80282159.7219087</v>
      </c>
      <c r="BQ82" t="n">
        <v>60459862.6430339</v>
      </c>
      <c r="BR82" t="n">
        <v>117586.780781014</v>
      </c>
      <c r="BS82" t="n">
        <v>0</v>
      </c>
      <c r="BT82" t="n">
        <v>0</v>
      </c>
      <c r="BU82" t="n">
        <v>-2949456974.01479</v>
      </c>
      <c r="BV82" t="n">
        <v>0</v>
      </c>
      <c r="BW82" t="n">
        <v>0</v>
      </c>
      <c r="BX82" t="n">
        <v>308798509.602296</v>
      </c>
      <c r="BY82" t="n">
        <v>0</v>
      </c>
      <c r="BZ82" t="n">
        <v>0</v>
      </c>
      <c r="CA82" t="n">
        <v>6647414134.43853</v>
      </c>
      <c r="CB82" t="n">
        <v>-9919780375.65571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257</v>
      </c>
    </row>
    <row r="2">
      <c r="A2" t="s">
        <v>258</v>
      </c>
    </row>
    <row r="3">
      <c r="A3" t="s">
        <v>259</v>
      </c>
    </row>
    <row r="4">
      <c r="A4" t="s">
        <v>52</v>
      </c>
    </row>
    <row r="5">
      <c r="A5" t="s">
        <v>1</v>
      </c>
    </row>
    <row r="6">
      <c r="A6" t="s">
        <v>260</v>
      </c>
    </row>
    <row r="7">
      <c r="A7" t="s">
        <v>1</v>
      </c>
    </row>
    <row r="9">
      <c r="A9" t="s">
        <v>261</v>
      </c>
      <c r="B9" t="s">
        <v>262</v>
      </c>
      <c r="C9" t="s">
        <v>263</v>
      </c>
      <c r="D9" t="s">
        <v>264</v>
      </c>
      <c r="E9" t="s">
        <v>265</v>
      </c>
    </row>
    <row r="10">
      <c r="A10" t="s">
        <v>266</v>
      </c>
      <c r="B10" t="n">
        <v>12031000</v>
      </c>
      <c r="C10" t="s">
        <v>267</v>
      </c>
      <c r="D10" t="n">
        <v>600000000</v>
      </c>
      <c r="E10" t="s">
        <v>268</v>
      </c>
    </row>
    <row r="11">
      <c r="A11" t="s">
        <v>269</v>
      </c>
      <c r="B11" t="n">
        <v>1000000</v>
      </c>
      <c r="C11" t="s">
        <v>267</v>
      </c>
      <c r="D11" t="n">
        <v>40000000</v>
      </c>
      <c r="E11" t="s">
        <v>270</v>
      </c>
    </row>
    <row r="12">
      <c r="A12" t="s">
        <v>271</v>
      </c>
      <c r="B12" t="n">
        <v>4220000</v>
      </c>
      <c r="C12" t="s">
        <v>267</v>
      </c>
      <c r="D12" t="n">
        <v>125000000</v>
      </c>
      <c r="E12" t="s">
        <v>272</v>
      </c>
    </row>
    <row r="13">
      <c r="A13" t="s">
        <v>273</v>
      </c>
      <c r="B13" t="n">
        <v>0</v>
      </c>
      <c r="C13" t="s">
        <v>267</v>
      </c>
      <c r="D13" t="n">
        <v>0</v>
      </c>
      <c r="E13"/>
    </row>
    <row r="14">
      <c r="A14" t="s">
        <v>274</v>
      </c>
      <c r="B14" t="n">
        <v>0</v>
      </c>
      <c r="C14" t="s">
        <v>267</v>
      </c>
      <c r="D14" t="n">
        <v>0</v>
      </c>
      <c r="E14"/>
    </row>
    <row r="15">
      <c r="A15" t="s">
        <v>275</v>
      </c>
      <c r="B15" t="n">
        <v>10710000</v>
      </c>
      <c r="C15" t="s">
        <v>267</v>
      </c>
      <c r="D15" t="n">
        <v>330000000</v>
      </c>
      <c r="E15" t="s">
        <v>276</v>
      </c>
    </row>
    <row r="16">
      <c r="A16" t="s">
        <v>277</v>
      </c>
      <c r="B16" t="n">
        <v>0</v>
      </c>
      <c r="C16" t="s">
        <v>267</v>
      </c>
      <c r="D16" t="n">
        <v>0</v>
      </c>
      <c r="E16"/>
    </row>
    <row r="17">
      <c r="A17" t="s">
        <v>278</v>
      </c>
      <c r="B17" t="n">
        <v>0</v>
      </c>
      <c r="C17" t="s">
        <v>267</v>
      </c>
      <c r="D17" t="n">
        <v>0</v>
      </c>
      <c r="E17"/>
    </row>
    <row r="18">
      <c r="A18" t="s">
        <v>279</v>
      </c>
      <c r="B18" t="n">
        <v>0</v>
      </c>
      <c r="C18" t="s">
        <v>267</v>
      </c>
      <c r="D18" t="n">
        <v>0</v>
      </c>
      <c r="E18"/>
    </row>
    <row r="19">
      <c r="A19" t="s">
        <v>280</v>
      </c>
      <c r="B19" t="n">
        <v>0</v>
      </c>
      <c r="C19" t="s">
        <v>267</v>
      </c>
      <c r="D19" t="n">
        <v>0</v>
      </c>
      <c r="E19"/>
    </row>
    <row r="20">
      <c r="A20" t="s">
        <v>281</v>
      </c>
      <c r="B20" t="n">
        <v>0</v>
      </c>
      <c r="C20" t="s">
        <v>267</v>
      </c>
      <c r="D20" t="n">
        <v>0</v>
      </c>
      <c r="E20"/>
    </row>
    <row r="21">
      <c r="A21" t="s">
        <v>282</v>
      </c>
      <c r="B21" t="n">
        <v>0</v>
      </c>
      <c r="C21" t="s">
        <v>267</v>
      </c>
      <c r="D21" t="n">
        <v>0</v>
      </c>
      <c r="E21"/>
    </row>
    <row r="22">
      <c r="A22" t="s">
        <v>283</v>
      </c>
      <c r="B22" t="n">
        <v>0</v>
      </c>
      <c r="C22" t="s">
        <v>267</v>
      </c>
      <c r="D22" t="n">
        <v>0</v>
      </c>
      <c r="E22"/>
    </row>
    <row r="23">
      <c r="A23" t="s">
        <v>284</v>
      </c>
      <c r="B23" t="n">
        <v>45919000</v>
      </c>
      <c r="C23" t="s">
        <v>267</v>
      </c>
      <c r="D23" t="n">
        <v>1950000000</v>
      </c>
      <c r="E23" t="s">
        <v>285</v>
      </c>
    </row>
    <row r="24">
      <c r="A24" t="s">
        <v>286</v>
      </c>
      <c r="B24" t="n">
        <v>28820000</v>
      </c>
      <c r="C24" t="s">
        <v>267</v>
      </c>
      <c r="D24" t="n">
        <v>1210000000</v>
      </c>
      <c r="E24" t="s">
        <v>285</v>
      </c>
    </row>
    <row r="25">
      <c r="A25" t="s">
        <v>287</v>
      </c>
      <c r="B25" t="n">
        <v>0</v>
      </c>
      <c r="C25" t="s">
        <v>267</v>
      </c>
      <c r="D25" t="n">
        <v>0</v>
      </c>
      <c r="E25"/>
    </row>
    <row r="26">
      <c r="A26" t="s">
        <v>288</v>
      </c>
      <c r="B26" t="n">
        <v>0</v>
      </c>
      <c r="C26" t="s">
        <v>267</v>
      </c>
      <c r="D26" t="n">
        <v>0</v>
      </c>
      <c r="E26"/>
    </row>
    <row r="27">
      <c r="A27" t="s">
        <v>289</v>
      </c>
      <c r="B27" t="n">
        <v>36140000</v>
      </c>
      <c r="C27" t="s">
        <v>267</v>
      </c>
      <c r="D27" t="n">
        <v>1730000000</v>
      </c>
      <c r="E27" t="s">
        <v>290</v>
      </c>
    </row>
    <row r="28">
      <c r="A28" t="s">
        <v>291</v>
      </c>
      <c r="B28" t="n">
        <v>2720000</v>
      </c>
      <c r="C28" t="s">
        <v>267</v>
      </c>
      <c r="D28" t="n">
        <v>60000000</v>
      </c>
      <c r="E28" t="s">
        <v>292</v>
      </c>
    </row>
    <row r="29">
      <c r="A29" t="s">
        <v>293</v>
      </c>
      <c r="B29" t="n">
        <v>0</v>
      </c>
      <c r="C29" t="s">
        <v>267</v>
      </c>
      <c r="D29" t="n">
        <v>0</v>
      </c>
      <c r="E29"/>
    </row>
    <row r="30">
      <c r="A30" t="s">
        <v>294</v>
      </c>
      <c r="B30" t="n">
        <v>1320000</v>
      </c>
      <c r="C30" t="s">
        <v>267</v>
      </c>
      <c r="D30" t="n">
        <v>70000000</v>
      </c>
      <c r="E30" t="s">
        <v>295</v>
      </c>
    </row>
    <row r="31">
      <c r="A31" t="s">
        <v>296</v>
      </c>
      <c r="B31" t="n">
        <v>0</v>
      </c>
      <c r="C31" t="s">
        <v>267</v>
      </c>
      <c r="D31" t="n">
        <v>0</v>
      </c>
      <c r="E31"/>
    </row>
    <row r="32">
      <c r="A32" t="s">
        <v>297</v>
      </c>
      <c r="B32" t="n">
        <v>0</v>
      </c>
      <c r="C32" t="s">
        <v>267</v>
      </c>
      <c r="D32" t="n">
        <v>0</v>
      </c>
      <c r="E32"/>
    </row>
    <row r="33">
      <c r="A33" t="s">
        <v>298</v>
      </c>
      <c r="B33" t="n">
        <v>0</v>
      </c>
      <c r="C33" t="s">
        <v>267</v>
      </c>
      <c r="D33" t="n">
        <v>0</v>
      </c>
      <c r="E33"/>
    </row>
    <row r="34">
      <c r="A34" t="s">
        <v>299</v>
      </c>
      <c r="B34" t="n">
        <v>2800000</v>
      </c>
      <c r="C34" t="s">
        <v>267</v>
      </c>
      <c r="D34" t="n">
        <v>65000000</v>
      </c>
      <c r="E34" t="s">
        <v>300</v>
      </c>
    </row>
    <row r="35">
      <c r="A35" t="s">
        <v>301</v>
      </c>
      <c r="B35" t="n">
        <v>264000</v>
      </c>
      <c r="C35" t="s">
        <v>267</v>
      </c>
      <c r="D35" t="n">
        <v>12000000</v>
      </c>
      <c r="E35"/>
    </row>
    <row r="36">
      <c r="A36" t="s">
        <v>302</v>
      </c>
      <c r="B36" t="n">
        <v>38660000</v>
      </c>
      <c r="C36" t="s">
        <v>267</v>
      </c>
      <c r="D36" t="n">
        <v>590000000</v>
      </c>
      <c r="E36" t="s">
        <v>303</v>
      </c>
    </row>
    <row r="37">
      <c r="A37" t="s">
        <v>304</v>
      </c>
      <c r="B37" t="n">
        <v>0</v>
      </c>
      <c r="C37" t="s">
        <v>267</v>
      </c>
      <c r="D37" t="n">
        <v>0</v>
      </c>
      <c r="E37"/>
    </row>
    <row r="38">
      <c r="A38" t="s">
        <v>305</v>
      </c>
      <c r="B38" t="n">
        <v>0</v>
      </c>
      <c r="C38" t="s">
        <v>267</v>
      </c>
      <c r="D38" t="n">
        <v>0</v>
      </c>
      <c r="E38"/>
    </row>
    <row r="39">
      <c r="A39" t="s">
        <v>306</v>
      </c>
      <c r="B39" t="n">
        <v>0</v>
      </c>
      <c r="C39" t="s">
        <v>267</v>
      </c>
      <c r="D39" t="n">
        <v>0</v>
      </c>
      <c r="E39"/>
    </row>
    <row r="40">
      <c r="A40" t="s">
        <v>307</v>
      </c>
      <c r="B40" t="n">
        <v>0</v>
      </c>
      <c r="C40" t="s">
        <v>267</v>
      </c>
      <c r="D40" t="n">
        <v>0</v>
      </c>
      <c r="E40"/>
    </row>
    <row r="41">
      <c r="A41" t="s">
        <v>308</v>
      </c>
      <c r="B41" t="n">
        <v>10720000</v>
      </c>
      <c r="C41" t="s">
        <v>267</v>
      </c>
      <c r="D41" t="n">
        <v>260000000</v>
      </c>
      <c r="E41" t="s">
        <v>309</v>
      </c>
    </row>
    <row r="42">
      <c r="A42" t="s">
        <v>310</v>
      </c>
      <c r="B42" t="n">
        <v>0</v>
      </c>
      <c r="C42" t="s">
        <v>267</v>
      </c>
      <c r="D42" t="n">
        <v>0</v>
      </c>
      <c r="E42"/>
    </row>
    <row r="43">
      <c r="A43" t="s">
        <v>311</v>
      </c>
      <c r="B43" t="n">
        <v>0</v>
      </c>
      <c r="C43" t="s">
        <v>267</v>
      </c>
      <c r="D43" t="n">
        <v>0</v>
      </c>
      <c r="E43"/>
    </row>
    <row r="44">
      <c r="A44" t="s">
        <v>312</v>
      </c>
      <c r="B44" t="n">
        <v>27870000</v>
      </c>
      <c r="C44" t="s">
        <v>267</v>
      </c>
      <c r="D44" t="n">
        <v>560000000</v>
      </c>
      <c r="E44" t="s">
        <v>313</v>
      </c>
    </row>
    <row r="45">
      <c r="A45" t="s">
        <v>314</v>
      </c>
      <c r="B45" t="n">
        <v>8220000</v>
      </c>
      <c r="C45" t="s">
        <v>267</v>
      </c>
      <c r="D45" t="n">
        <v>430000000</v>
      </c>
      <c r="E45" t="s">
        <v>315</v>
      </c>
    </row>
    <row r="46">
      <c r="A46" t="s">
        <v>316</v>
      </c>
      <c r="B46" t="n">
        <v>930000</v>
      </c>
      <c r="C46" t="s">
        <v>267</v>
      </c>
      <c r="D46" t="n">
        <v>40000000</v>
      </c>
      <c r="E46"/>
    </row>
    <row r="47">
      <c r="A47" t="s">
        <v>317</v>
      </c>
      <c r="B47" t="n">
        <v>0</v>
      </c>
      <c r="C47" t="s">
        <v>267</v>
      </c>
      <c r="D47" t="n">
        <v>0</v>
      </c>
      <c r="E47"/>
    </row>
    <row r="48">
      <c r="A48" t="s">
        <v>318</v>
      </c>
      <c r="B48" t="n">
        <v>50110000</v>
      </c>
      <c r="C48" t="s">
        <v>267</v>
      </c>
      <c r="D48" t="n">
        <v>3000000000</v>
      </c>
      <c r="E48" t="s">
        <v>319</v>
      </c>
    </row>
    <row r="49">
      <c r="A49" t="s">
        <v>320</v>
      </c>
      <c r="B49" t="n">
        <v>0</v>
      </c>
      <c r="C49" t="s">
        <v>267</v>
      </c>
      <c r="D49" t="n">
        <v>0</v>
      </c>
      <c r="E49"/>
    </row>
    <row r="50">
      <c r="A50" t="s">
        <v>321</v>
      </c>
      <c r="B50" t="n">
        <v>0</v>
      </c>
      <c r="C50" t="s">
        <v>267</v>
      </c>
      <c r="D50" t="n">
        <v>0</v>
      </c>
      <c r="E50"/>
    </row>
    <row r="51">
      <c r="A51" t="s">
        <v>322</v>
      </c>
      <c r="B51" t="n">
        <v>0</v>
      </c>
      <c r="C51" t="s">
        <v>267</v>
      </c>
      <c r="D51" t="n">
        <v>0</v>
      </c>
      <c r="E51"/>
    </row>
    <row r="52">
      <c r="A52" t="s">
        <v>323</v>
      </c>
      <c r="B52" t="n">
        <v>400000</v>
      </c>
      <c r="C52" t="s">
        <v>267</v>
      </c>
      <c r="D52" t="n">
        <v>22000000</v>
      </c>
      <c r="E52" t="s">
        <v>324</v>
      </c>
    </row>
    <row r="53">
      <c r="A53" t="s">
        <v>325</v>
      </c>
      <c r="B53" t="n">
        <v>22820000</v>
      </c>
      <c r="C53" t="s">
        <v>267</v>
      </c>
      <c r="D53" t="n">
        <v>500000000</v>
      </c>
      <c r="E53" t="s">
        <v>292</v>
      </c>
    </row>
    <row r="54">
      <c r="A54" t="s">
        <v>326</v>
      </c>
      <c r="B54" t="n">
        <v>12810000</v>
      </c>
      <c r="C54" t="s">
        <v>267</v>
      </c>
      <c r="D54" t="n">
        <v>380000000</v>
      </c>
      <c r="E54" t="s">
        <v>327</v>
      </c>
    </row>
    <row r="55">
      <c r="A55" t="s">
        <v>328</v>
      </c>
      <c r="B55" t="n">
        <v>0</v>
      </c>
      <c r="C55" t="s">
        <v>267</v>
      </c>
      <c r="D55" t="n">
        <v>0</v>
      </c>
      <c r="E55"/>
    </row>
    <row r="56">
      <c r="A56" t="s">
        <v>329</v>
      </c>
      <c r="B56" t="n">
        <v>11480000</v>
      </c>
      <c r="C56" t="s">
        <v>267</v>
      </c>
      <c r="D56" t="n">
        <v>620000000</v>
      </c>
      <c r="E56" t="s">
        <v>330</v>
      </c>
    </row>
    <row r="57">
      <c r="A57" t="s">
        <v>331</v>
      </c>
      <c r="B57" t="n">
        <v>3050000</v>
      </c>
      <c r="C57" t="s">
        <v>267</v>
      </c>
      <c r="D57" t="n">
        <v>90000000</v>
      </c>
      <c r="E57" t="s">
        <v>332</v>
      </c>
    </row>
    <row r="58">
      <c r="A58" t="s">
        <v>333</v>
      </c>
      <c r="B58" t="n">
        <v>93320000</v>
      </c>
      <c r="C58" t="s">
        <v>267</v>
      </c>
      <c r="D58" t="n">
        <v>5050000000</v>
      </c>
      <c r="E58" t="s">
        <v>334</v>
      </c>
    </row>
    <row r="59">
      <c r="A59" t="s">
        <v>335</v>
      </c>
      <c r="B59" t="n">
        <v>0</v>
      </c>
      <c r="C59" t="s">
        <v>267</v>
      </c>
      <c r="D59" t="n">
        <v>0</v>
      </c>
      <c r="E59"/>
    </row>
    <row r="60">
      <c r="A60" t="s">
        <v>336</v>
      </c>
      <c r="B60" t="n">
        <v>276040000</v>
      </c>
      <c r="C60" t="s">
        <v>267</v>
      </c>
      <c r="D60" t="n">
        <v>3690000000</v>
      </c>
      <c r="E60" t="s">
        <v>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338</v>
      </c>
    </row>
    <row r="2">
      <c r="A2" t="s">
        <v>339</v>
      </c>
    </row>
    <row r="3">
      <c r="A3" t="s">
        <v>340</v>
      </c>
    </row>
    <row r="4">
      <c r="A4" t="s">
        <v>1</v>
      </c>
    </row>
    <row r="5">
      <c r="A5" t="s">
        <v>341</v>
      </c>
    </row>
    <row r="6">
      <c r="A6" t="s">
        <v>342</v>
      </c>
    </row>
    <row r="7">
      <c r="A7" t="s">
        <v>343</v>
      </c>
    </row>
    <row r="8">
      <c r="A8" t="s">
        <v>344</v>
      </c>
    </row>
    <row r="9">
      <c r="A9" t="s">
        <v>345</v>
      </c>
    </row>
    <row r="10">
      <c r="A10" t="s">
        <v>346</v>
      </c>
    </row>
    <row r="11">
      <c r="A11" t="s">
        <v>347</v>
      </c>
    </row>
    <row r="12">
      <c r="A12" t="s">
        <v>348</v>
      </c>
    </row>
    <row r="13">
      <c r="A13" t="s">
        <v>1</v>
      </c>
    </row>
    <row r="14">
      <c r="A14" t="s">
        <v>349</v>
      </c>
    </row>
    <row r="15">
      <c r="A15" t="s">
        <v>1</v>
      </c>
    </row>
    <row r="17">
      <c r="A17" t="s">
        <v>350</v>
      </c>
    </row>
    <row r="18">
      <c r="A18" t="s">
        <v>351</v>
      </c>
    </row>
    <row r="20">
      <c r="A20" t="s">
        <v>352</v>
      </c>
    </row>
    <row r="21">
      <c r="A21" t="s">
        <v>353</v>
      </c>
    </row>
    <row r="23">
      <c r="A23" t="s">
        <v>354</v>
      </c>
    </row>
    <row r="25">
      <c r="A25" t="s">
        <v>261</v>
      </c>
      <c r="B25" t="s">
        <v>355</v>
      </c>
      <c r="C25" t="s">
        <v>356</v>
      </c>
      <c r="D25" t="s">
        <v>357</v>
      </c>
      <c r="E25" t="s">
        <v>358</v>
      </c>
    </row>
    <row r="26">
      <c r="A26" t="s">
        <v>269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266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273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271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274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275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277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279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278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280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281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282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287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283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284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286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288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289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291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296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294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293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297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298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301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299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302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311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312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304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306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307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308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305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310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314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316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317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318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320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321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322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323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325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326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329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328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331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335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333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336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8.71" hidden="0" customWidth="1"/>
  </cols>
  <sheetData>
    <row r="1">
      <c r="A1" t="s">
        <v>359</v>
      </c>
    </row>
    <row r="2">
      <c r="A2" t="s">
        <v>1</v>
      </c>
    </row>
    <row r="3">
      <c r="A3" t="s">
        <v>360</v>
      </c>
    </row>
    <row r="4">
      <c r="A4" t="s">
        <v>361</v>
      </c>
    </row>
    <row r="5">
      <c r="A5" t="s">
        <v>362</v>
      </c>
    </row>
    <row r="6">
      <c r="A6" t="s">
        <v>1</v>
      </c>
    </row>
    <row r="8">
      <c r="A8" t="s">
        <v>363</v>
      </c>
      <c r="B8" t="s">
        <v>364</v>
      </c>
      <c r="C8" t="s">
        <v>188</v>
      </c>
      <c r="D8" t="s">
        <v>365</v>
      </c>
      <c r="E8" t="s">
        <v>366</v>
      </c>
      <c r="F8" t="s">
        <v>367</v>
      </c>
      <c r="G8" t="s">
        <v>368</v>
      </c>
    </row>
    <row r="9">
      <c r="A9" t="s">
        <v>105</v>
      </c>
      <c r="B9" t="s">
        <v>369</v>
      </c>
      <c r="C9" t="s">
        <v>190</v>
      </c>
      <c r="D9" t="s">
        <v>370</v>
      </c>
      <c r="E9" t="n">
        <v>1</v>
      </c>
      <c r="F9"/>
      <c r="G9"/>
    </row>
    <row r="10">
      <c r="A10" t="s">
        <v>106</v>
      </c>
      <c r="B10" t="s">
        <v>371</v>
      </c>
      <c r="C10" t="s">
        <v>190</v>
      </c>
      <c r="D10" t="s">
        <v>370</v>
      </c>
      <c r="E10" t="n">
        <v>1</v>
      </c>
      <c r="F10"/>
      <c r="G10"/>
    </row>
    <row r="11">
      <c r="A11" t="s">
        <v>107</v>
      </c>
      <c r="B11" t="s">
        <v>372</v>
      </c>
      <c r="C11" t="s">
        <v>192</v>
      </c>
      <c r="D11" t="s">
        <v>373</v>
      </c>
      <c r="E11" t="n">
        <v>1</v>
      </c>
      <c r="F11"/>
      <c r="G11"/>
    </row>
    <row r="12">
      <c r="A12" t="s">
        <v>109</v>
      </c>
      <c r="B12" t="s">
        <v>374</v>
      </c>
      <c r="C12" t="s">
        <v>194</v>
      </c>
      <c r="D12" t="s">
        <v>375</v>
      </c>
      <c r="E12" t="n">
        <v>1</v>
      </c>
      <c r="F12"/>
      <c r="G12"/>
    </row>
    <row r="13">
      <c r="A13" t="s">
        <v>110</v>
      </c>
      <c r="B13" t="s">
        <v>376</v>
      </c>
      <c r="C13" t="s">
        <v>213</v>
      </c>
      <c r="D13" t="s">
        <v>377</v>
      </c>
      <c r="E13" t="n">
        <v>0.72</v>
      </c>
      <c r="F13" t="s">
        <v>378</v>
      </c>
      <c r="G13"/>
    </row>
    <row r="14">
      <c r="A14" t="s">
        <v>110</v>
      </c>
      <c r="B14" t="s">
        <v>376</v>
      </c>
      <c r="C14" t="s">
        <v>214</v>
      </c>
      <c r="D14" t="s">
        <v>379</v>
      </c>
      <c r="E14" t="n">
        <v>0.2</v>
      </c>
      <c r="F14" t="s">
        <v>380</v>
      </c>
      <c r="G14"/>
    </row>
    <row r="15">
      <c r="A15" t="s">
        <v>110</v>
      </c>
      <c r="B15" t="s">
        <v>376</v>
      </c>
      <c r="C15" t="s">
        <v>215</v>
      </c>
      <c r="D15" t="s">
        <v>381</v>
      </c>
      <c r="E15" t="n">
        <v>0.08</v>
      </c>
      <c r="F15" t="s">
        <v>382</v>
      </c>
      <c r="G15"/>
    </row>
    <row r="16">
      <c r="A16" t="s">
        <v>111</v>
      </c>
      <c r="B16" t="s">
        <v>383</v>
      </c>
      <c r="C16" t="s">
        <v>216</v>
      </c>
      <c r="D16" t="s">
        <v>383</v>
      </c>
      <c r="E16" t="n">
        <v>1</v>
      </c>
      <c r="F16"/>
      <c r="G16"/>
    </row>
    <row r="17">
      <c r="A17" t="s">
        <v>123</v>
      </c>
      <c r="B17" t="s">
        <v>384</v>
      </c>
      <c r="C17" t="s">
        <v>195</v>
      </c>
      <c r="D17" t="s">
        <v>385</v>
      </c>
      <c r="E17" t="n">
        <v>1</v>
      </c>
      <c r="F17"/>
      <c r="G17"/>
    </row>
    <row r="18">
      <c r="A18" t="s">
        <v>124</v>
      </c>
      <c r="B18" t="s">
        <v>386</v>
      </c>
      <c r="C18" t="s">
        <v>196</v>
      </c>
      <c r="D18" t="s">
        <v>387</v>
      </c>
      <c r="E18" t="n">
        <v>1</v>
      </c>
      <c r="F18"/>
      <c r="G18"/>
    </row>
    <row r="19">
      <c r="A19" t="s">
        <v>125</v>
      </c>
      <c r="B19" t="s">
        <v>388</v>
      </c>
      <c r="C19" t="s">
        <v>196</v>
      </c>
      <c r="D19" t="s">
        <v>387</v>
      </c>
      <c r="E19" t="n">
        <v>1</v>
      </c>
      <c r="F19"/>
      <c r="G19"/>
    </row>
    <row r="20">
      <c r="A20" t="s">
        <v>112</v>
      </c>
      <c r="B20" t="s">
        <v>389</v>
      </c>
      <c r="C20" t="s">
        <v>197</v>
      </c>
      <c r="D20" t="s">
        <v>390</v>
      </c>
      <c r="E20" t="n">
        <v>1</v>
      </c>
      <c r="F20"/>
      <c r="G20"/>
    </row>
    <row r="21">
      <c r="A21" t="s">
        <v>126</v>
      </c>
      <c r="B21" t="s">
        <v>391</v>
      </c>
      <c r="C21" t="s">
        <v>198</v>
      </c>
      <c r="D21" t="s">
        <v>392</v>
      </c>
      <c r="E21" t="n">
        <v>1</v>
      </c>
      <c r="F21"/>
      <c r="G21"/>
    </row>
    <row r="22">
      <c r="A22" t="s">
        <v>127</v>
      </c>
      <c r="B22" t="s">
        <v>393</v>
      </c>
      <c r="C22" t="s">
        <v>198</v>
      </c>
      <c r="D22" t="s">
        <v>392</v>
      </c>
      <c r="E22" t="n">
        <v>1</v>
      </c>
      <c r="F22"/>
      <c r="G22"/>
    </row>
    <row r="23">
      <c r="A23" t="s">
        <v>128</v>
      </c>
      <c r="B23" t="s">
        <v>394</v>
      </c>
      <c r="C23" t="s">
        <v>199</v>
      </c>
      <c r="D23" t="s">
        <v>395</v>
      </c>
      <c r="E23" t="n">
        <v>0.961</v>
      </c>
      <c r="F23" t="s">
        <v>396</v>
      </c>
      <c r="G23"/>
    </row>
    <row r="24">
      <c r="A24" t="s">
        <v>128</v>
      </c>
      <c r="B24" t="s">
        <v>394</v>
      </c>
      <c r="C24" t="s">
        <v>204</v>
      </c>
      <c r="D24" t="s">
        <v>397</v>
      </c>
      <c r="E24" t="n">
        <v>0.039</v>
      </c>
      <c r="F24" t="s">
        <v>398</v>
      </c>
      <c r="G24"/>
    </row>
    <row r="25">
      <c r="A25" t="s">
        <v>130</v>
      </c>
      <c r="B25" t="s">
        <v>399</v>
      </c>
      <c r="C25" t="s">
        <v>110</v>
      </c>
      <c r="D25" t="s">
        <v>400</v>
      </c>
      <c r="E25" t="n">
        <v>1</v>
      </c>
      <c r="F25"/>
      <c r="G25"/>
    </row>
    <row r="26">
      <c r="A26" t="s">
        <v>115</v>
      </c>
      <c r="B26" t="s">
        <v>401</v>
      </c>
      <c r="C26" t="s">
        <v>206</v>
      </c>
      <c r="D26" t="s">
        <v>401</v>
      </c>
      <c r="E26" t="n">
        <v>1</v>
      </c>
      <c r="F26"/>
      <c r="G26"/>
    </row>
    <row r="27">
      <c r="A27" t="s">
        <v>116</v>
      </c>
      <c r="B27" t="s">
        <v>402</v>
      </c>
      <c r="C27" t="s">
        <v>209</v>
      </c>
      <c r="D27" t="s">
        <v>403</v>
      </c>
      <c r="E27" t="n">
        <v>1</v>
      </c>
      <c r="F27"/>
      <c r="G27"/>
    </row>
    <row r="28">
      <c r="A28" t="s">
        <v>117</v>
      </c>
      <c r="B28" t="s">
        <v>404</v>
      </c>
      <c r="C28" t="s">
        <v>207</v>
      </c>
      <c r="D28" t="s">
        <v>405</v>
      </c>
      <c r="E28" t="n">
        <v>1</v>
      </c>
      <c r="F28"/>
      <c r="G28"/>
    </row>
    <row r="29">
      <c r="A29" t="s">
        <v>118</v>
      </c>
      <c r="B29" t="s">
        <v>406</v>
      </c>
      <c r="C29" t="s">
        <v>208</v>
      </c>
      <c r="D29" t="s">
        <v>407</v>
      </c>
      <c r="E29" t="n">
        <v>1</v>
      </c>
      <c r="F29"/>
      <c r="G29"/>
    </row>
    <row r="30">
      <c r="A30" t="s">
        <v>119</v>
      </c>
      <c r="B30" t="s">
        <v>408</v>
      </c>
      <c r="C30" t="s">
        <v>210</v>
      </c>
      <c r="D30" t="s">
        <v>409</v>
      </c>
      <c r="E30" t="n">
        <v>1</v>
      </c>
      <c r="F30"/>
      <c r="G30"/>
    </row>
    <row r="31">
      <c r="A31" t="s">
        <v>120</v>
      </c>
      <c r="B31" t="s">
        <v>410</v>
      </c>
      <c r="C31" t="s">
        <v>211</v>
      </c>
      <c r="D31" t="s">
        <v>411</v>
      </c>
      <c r="E31" t="n">
        <v>1</v>
      </c>
      <c r="F31"/>
      <c r="G31"/>
    </row>
    <row r="32">
      <c r="A32" t="s">
        <v>121</v>
      </c>
      <c r="B32" t="s">
        <v>412</v>
      </c>
      <c r="C32" t="s">
        <v>212</v>
      </c>
      <c r="D32" t="s">
        <v>413</v>
      </c>
      <c r="E32" t="n">
        <v>1</v>
      </c>
      <c r="F32"/>
      <c r="G32"/>
    </row>
    <row r="33">
      <c r="A33" t="s">
        <v>122</v>
      </c>
      <c r="B33" t="s">
        <v>414</v>
      </c>
      <c r="C33" t="s">
        <v>212</v>
      </c>
      <c r="D33" t="s">
        <v>413</v>
      </c>
      <c r="E33" t="n">
        <v>1</v>
      </c>
      <c r="F33"/>
      <c r="G33"/>
    </row>
    <row r="34">
      <c r="A34" t="s">
        <v>131</v>
      </c>
      <c r="B34" t="s">
        <v>415</v>
      </c>
      <c r="C34" t="s">
        <v>217</v>
      </c>
      <c r="D34" t="s">
        <v>416</v>
      </c>
      <c r="E34" t="n">
        <v>1</v>
      </c>
      <c r="F34"/>
      <c r="G34"/>
    </row>
    <row r="35">
      <c r="A35" t="s">
        <v>132</v>
      </c>
      <c r="B35" t="s">
        <v>417</v>
      </c>
      <c r="C35" t="s">
        <v>217</v>
      </c>
      <c r="D35" t="s">
        <v>416</v>
      </c>
      <c r="E35" t="n">
        <v>1</v>
      </c>
      <c r="F35"/>
      <c r="G35"/>
    </row>
    <row r="36">
      <c r="A36" t="s">
        <v>133</v>
      </c>
      <c r="B36" t="s">
        <v>418</v>
      </c>
      <c r="C36" t="s">
        <v>217</v>
      </c>
      <c r="D36" t="s">
        <v>416</v>
      </c>
      <c r="E36" t="n">
        <v>1</v>
      </c>
      <c r="F36"/>
      <c r="G36"/>
    </row>
    <row r="37">
      <c r="A37" t="s">
        <v>134</v>
      </c>
      <c r="B37" t="s">
        <v>419</v>
      </c>
      <c r="C37" t="s">
        <v>217</v>
      </c>
      <c r="D37" t="s">
        <v>416</v>
      </c>
      <c r="E37" t="n">
        <v>1</v>
      </c>
      <c r="F37"/>
      <c r="G37"/>
    </row>
    <row r="38">
      <c r="A38" t="s">
        <v>135</v>
      </c>
      <c r="B38" t="s">
        <v>420</v>
      </c>
      <c r="C38" t="s">
        <v>217</v>
      </c>
      <c r="D38" t="s">
        <v>416</v>
      </c>
      <c r="E38" t="n">
        <v>1</v>
      </c>
      <c r="F38"/>
      <c r="G38"/>
    </row>
    <row r="39">
      <c r="A39" t="s">
        <v>136</v>
      </c>
      <c r="B39" t="s">
        <v>421</v>
      </c>
      <c r="C39" t="s">
        <v>218</v>
      </c>
      <c r="D39" t="s">
        <v>422</v>
      </c>
      <c r="E39" t="n">
        <v>1</v>
      </c>
      <c r="F39"/>
      <c r="G39"/>
    </row>
    <row r="40">
      <c r="A40" t="s">
        <v>137</v>
      </c>
      <c r="B40" t="s">
        <v>423</v>
      </c>
      <c r="C40" t="s">
        <v>218</v>
      </c>
      <c r="D40" t="s">
        <v>422</v>
      </c>
      <c r="E40" t="n">
        <v>1</v>
      </c>
      <c r="F40"/>
      <c r="G40"/>
    </row>
    <row r="41">
      <c r="A41" t="s">
        <v>138</v>
      </c>
      <c r="B41" t="s">
        <v>424</v>
      </c>
      <c r="C41" t="s">
        <v>218</v>
      </c>
      <c r="D41" t="s">
        <v>422</v>
      </c>
      <c r="E41" t="n">
        <v>1</v>
      </c>
      <c r="F41"/>
      <c r="G41"/>
    </row>
    <row r="42">
      <c r="A42" t="s">
        <v>139</v>
      </c>
      <c r="B42" t="s">
        <v>425</v>
      </c>
      <c r="C42" t="s">
        <v>218</v>
      </c>
      <c r="D42" t="s">
        <v>422</v>
      </c>
      <c r="E42" t="n">
        <v>1</v>
      </c>
      <c r="F42"/>
      <c r="G42"/>
    </row>
    <row r="43">
      <c r="A43" t="s">
        <v>140</v>
      </c>
      <c r="B43" t="s">
        <v>426</v>
      </c>
      <c r="C43" t="s">
        <v>218</v>
      </c>
      <c r="D43" t="s">
        <v>422</v>
      </c>
      <c r="E43" t="n">
        <v>1</v>
      </c>
      <c r="F43"/>
      <c r="G43"/>
    </row>
    <row r="44">
      <c r="A44" t="s">
        <v>141</v>
      </c>
      <c r="B44" t="s">
        <v>427</v>
      </c>
      <c r="C44" t="s">
        <v>214</v>
      </c>
      <c r="D44" t="s">
        <v>428</v>
      </c>
      <c r="E44" t="n">
        <v>1</v>
      </c>
      <c r="F44" t="s">
        <v>429</v>
      </c>
      <c r="G44"/>
    </row>
    <row r="45">
      <c r="A45" t="s">
        <v>142</v>
      </c>
      <c r="B45" t="s">
        <v>430</v>
      </c>
      <c r="C45" t="s">
        <v>218</v>
      </c>
      <c r="D45" t="s">
        <v>422</v>
      </c>
      <c r="E45" t="n">
        <v>1</v>
      </c>
      <c r="F45"/>
      <c r="G45"/>
    </row>
    <row r="46">
      <c r="A46" t="s">
        <v>143</v>
      </c>
      <c r="B46" t="s">
        <v>431</v>
      </c>
      <c r="C46" t="s">
        <v>218</v>
      </c>
      <c r="D46" t="s">
        <v>422</v>
      </c>
      <c r="E46" t="n">
        <v>1</v>
      </c>
      <c r="F46"/>
      <c r="G46"/>
    </row>
    <row r="47">
      <c r="A47" t="s">
        <v>144</v>
      </c>
      <c r="B47" t="s">
        <v>432</v>
      </c>
      <c r="C47" t="s">
        <v>220</v>
      </c>
      <c r="D47" t="s">
        <v>433</v>
      </c>
      <c r="E47" t="n">
        <v>1</v>
      </c>
      <c r="F47"/>
      <c r="G47"/>
    </row>
    <row r="48">
      <c r="A48" t="s">
        <v>145</v>
      </c>
      <c r="B48" t="s">
        <v>434</v>
      </c>
      <c r="C48" t="s">
        <v>220</v>
      </c>
      <c r="D48" t="s">
        <v>433</v>
      </c>
      <c r="E48" t="n">
        <v>1</v>
      </c>
      <c r="F48"/>
      <c r="G48"/>
    </row>
    <row r="49">
      <c r="A49" t="s">
        <v>146</v>
      </c>
      <c r="B49" t="s">
        <v>435</v>
      </c>
      <c r="C49" t="s">
        <v>220</v>
      </c>
      <c r="D49" t="s">
        <v>433</v>
      </c>
      <c r="E49" t="n">
        <v>0.25</v>
      </c>
      <c r="F49" t="s">
        <v>436</v>
      </c>
      <c r="G49"/>
    </row>
    <row r="50">
      <c r="A50" t="s">
        <v>146</v>
      </c>
      <c r="B50" t="s">
        <v>435</v>
      </c>
      <c r="C50" t="s">
        <v>161</v>
      </c>
      <c r="D50" t="s">
        <v>437</v>
      </c>
      <c r="E50" t="n">
        <v>0.75</v>
      </c>
      <c r="F50"/>
      <c r="G50"/>
    </row>
    <row r="51">
      <c r="A51" t="s">
        <v>147</v>
      </c>
      <c r="B51" t="s">
        <v>438</v>
      </c>
      <c r="C51" t="s">
        <v>221</v>
      </c>
      <c r="D51" t="s">
        <v>439</v>
      </c>
      <c r="E51" t="n">
        <v>1</v>
      </c>
      <c r="F51"/>
      <c r="G51"/>
    </row>
    <row r="52">
      <c r="A52" t="s">
        <v>148</v>
      </c>
      <c r="B52" t="s">
        <v>440</v>
      </c>
      <c r="C52" t="s">
        <v>222</v>
      </c>
      <c r="D52" t="s">
        <v>441</v>
      </c>
      <c r="E52" t="n">
        <v>1</v>
      </c>
      <c r="F52"/>
      <c r="G52"/>
    </row>
    <row r="53">
      <c r="A53" t="s">
        <v>149</v>
      </c>
      <c r="B53" t="s">
        <v>442</v>
      </c>
      <c r="C53" t="s">
        <v>222</v>
      </c>
      <c r="D53" t="s">
        <v>441</v>
      </c>
      <c r="E53" t="n">
        <v>1</v>
      </c>
      <c r="F53"/>
      <c r="G53"/>
    </row>
    <row r="54">
      <c r="A54" t="s">
        <v>150</v>
      </c>
      <c r="B54" t="s">
        <v>443</v>
      </c>
      <c r="C54" t="s">
        <v>222</v>
      </c>
      <c r="D54" t="s">
        <v>441</v>
      </c>
      <c r="E54" t="n">
        <v>1</v>
      </c>
      <c r="F54"/>
      <c r="G54"/>
    </row>
    <row r="55">
      <c r="A55" t="s">
        <v>151</v>
      </c>
      <c r="B55" t="s">
        <v>444</v>
      </c>
      <c r="C55" t="s">
        <v>222</v>
      </c>
      <c r="D55" t="s">
        <v>441</v>
      </c>
      <c r="E55" t="n">
        <v>1</v>
      </c>
      <c r="F55"/>
      <c r="G55"/>
    </row>
    <row r="56">
      <c r="A56" t="s">
        <v>152</v>
      </c>
      <c r="B56" t="s">
        <v>445</v>
      </c>
      <c r="C56" t="s">
        <v>223</v>
      </c>
      <c r="D56" t="s">
        <v>446</v>
      </c>
      <c r="E56" t="n">
        <v>1</v>
      </c>
      <c r="F56"/>
      <c r="G56"/>
    </row>
    <row r="57">
      <c r="A57" t="s">
        <v>153</v>
      </c>
      <c r="B57" t="s">
        <v>447</v>
      </c>
      <c r="C57" t="s">
        <v>223</v>
      </c>
      <c r="D57" t="s">
        <v>446</v>
      </c>
      <c r="E57" t="n">
        <v>1</v>
      </c>
      <c r="F57"/>
      <c r="G57"/>
    </row>
    <row r="58">
      <c r="A58" t="s">
        <v>154</v>
      </c>
      <c r="B58" t="s">
        <v>448</v>
      </c>
      <c r="C58" t="s">
        <v>224</v>
      </c>
      <c r="D58" t="s">
        <v>449</v>
      </c>
      <c r="E58" t="n">
        <v>1</v>
      </c>
      <c r="F58" t="s">
        <v>450</v>
      </c>
      <c r="G58"/>
    </row>
    <row r="59">
      <c r="A59" t="s">
        <v>155</v>
      </c>
      <c r="B59" t="s">
        <v>451</v>
      </c>
      <c r="C59" t="s">
        <v>224</v>
      </c>
      <c r="D59" t="s">
        <v>449</v>
      </c>
      <c r="E59" t="n">
        <v>1</v>
      </c>
      <c r="F59"/>
      <c r="G59"/>
    </row>
    <row r="60">
      <c r="A60" t="s">
        <v>157</v>
      </c>
      <c r="B60" t="s">
        <v>452</v>
      </c>
      <c r="C60" t="s">
        <v>224</v>
      </c>
      <c r="D60" t="s">
        <v>449</v>
      </c>
      <c r="E60" t="n">
        <v>1</v>
      </c>
      <c r="F60"/>
      <c r="G60"/>
    </row>
    <row r="61">
      <c r="A61" t="s">
        <v>156</v>
      </c>
      <c r="B61" t="s">
        <v>453</v>
      </c>
      <c r="C61" t="s">
        <v>221</v>
      </c>
      <c r="D61" t="s">
        <v>439</v>
      </c>
      <c r="E61" t="n">
        <v>1</v>
      </c>
      <c r="F61" t="s">
        <v>454</v>
      </c>
      <c r="G61"/>
    </row>
    <row r="62">
      <c r="A62" t="s">
        <v>158</v>
      </c>
      <c r="B62" t="s">
        <v>455</v>
      </c>
      <c r="C62" t="s">
        <v>224</v>
      </c>
      <c r="D62" t="s">
        <v>449</v>
      </c>
      <c r="E62" t="n">
        <v>1</v>
      </c>
      <c r="F62"/>
      <c r="G62"/>
    </row>
    <row r="63">
      <c r="A63" t="s">
        <v>159</v>
      </c>
      <c r="B63" t="s">
        <v>456</v>
      </c>
      <c r="C63" t="s">
        <v>224</v>
      </c>
      <c r="D63" t="s">
        <v>449</v>
      </c>
      <c r="E63" t="n">
        <v>1</v>
      </c>
      <c r="F63"/>
      <c r="G63"/>
    </row>
    <row r="64">
      <c r="A64" t="s">
        <v>160</v>
      </c>
      <c r="B64" t="s">
        <v>457</v>
      </c>
      <c r="C64" t="s">
        <v>215</v>
      </c>
      <c r="D64" t="s">
        <v>458</v>
      </c>
      <c r="E64" t="n">
        <v>1</v>
      </c>
      <c r="F64"/>
      <c r="G64"/>
    </row>
    <row r="65">
      <c r="A65" t="s">
        <v>161</v>
      </c>
      <c r="B65" t="s">
        <v>459</v>
      </c>
      <c r="C65" t="s">
        <v>226</v>
      </c>
      <c r="D65" t="s">
        <v>460</v>
      </c>
      <c r="E65" t="n">
        <v>1</v>
      </c>
      <c r="F65"/>
      <c r="G65"/>
    </row>
    <row r="66">
      <c r="A66" t="s">
        <v>162</v>
      </c>
      <c r="B66" t="s">
        <v>461</v>
      </c>
      <c r="C66" t="s">
        <v>227</v>
      </c>
      <c r="D66" t="s">
        <v>462</v>
      </c>
      <c r="E66" t="n">
        <v>1</v>
      </c>
      <c r="F66"/>
      <c r="G66"/>
    </row>
    <row r="67">
      <c r="A67" t="s">
        <v>163</v>
      </c>
      <c r="B67" t="s">
        <v>463</v>
      </c>
      <c r="C67" t="s">
        <v>227</v>
      </c>
      <c r="D67" t="s">
        <v>462</v>
      </c>
      <c r="E67" t="n">
        <v>1</v>
      </c>
      <c r="F67"/>
      <c r="G67"/>
    </row>
    <row r="68">
      <c r="A68" t="s">
        <v>164</v>
      </c>
      <c r="B68" t="s">
        <v>464</v>
      </c>
      <c r="C68" t="s">
        <v>227</v>
      </c>
      <c r="D68" t="s">
        <v>462</v>
      </c>
      <c r="E68" t="n">
        <v>1</v>
      </c>
      <c r="F68"/>
      <c r="G68"/>
    </row>
    <row r="69">
      <c r="A69" t="s">
        <v>165</v>
      </c>
      <c r="B69" t="s">
        <v>465</v>
      </c>
      <c r="C69" t="s">
        <v>227</v>
      </c>
      <c r="D69" t="s">
        <v>462</v>
      </c>
      <c r="E69" t="n">
        <v>1</v>
      </c>
      <c r="F69"/>
      <c r="G69"/>
    </row>
    <row r="70">
      <c r="A70" t="s">
        <v>166</v>
      </c>
      <c r="B70" t="s">
        <v>466</v>
      </c>
      <c r="C70" t="s">
        <v>228</v>
      </c>
      <c r="D70" t="s">
        <v>467</v>
      </c>
      <c r="E70" t="n">
        <v>1</v>
      </c>
      <c r="F70"/>
      <c r="G70"/>
    </row>
    <row r="71">
      <c r="A71" t="s">
        <v>167</v>
      </c>
      <c r="B71" t="s">
        <v>468</v>
      </c>
      <c r="C71" t="s">
        <v>228</v>
      </c>
      <c r="D71" t="s">
        <v>467</v>
      </c>
      <c r="E71" t="n">
        <v>1</v>
      </c>
      <c r="F71"/>
      <c r="G71"/>
    </row>
    <row r="72">
      <c r="A72" t="s">
        <v>168</v>
      </c>
      <c r="B72" t="s">
        <v>469</v>
      </c>
      <c r="C72" t="s">
        <v>219</v>
      </c>
      <c r="D72" t="s">
        <v>470</v>
      </c>
      <c r="E72" t="n">
        <v>1</v>
      </c>
      <c r="F72"/>
      <c r="G72"/>
    </row>
    <row r="73">
      <c r="A73" t="s">
        <v>169</v>
      </c>
      <c r="B73" t="s">
        <v>471</v>
      </c>
      <c r="C73" t="s">
        <v>219</v>
      </c>
      <c r="D73" t="s">
        <v>470</v>
      </c>
      <c r="E73" t="n">
        <v>1</v>
      </c>
      <c r="F73"/>
      <c r="G73"/>
    </row>
    <row r="74">
      <c r="A74" t="s">
        <v>170</v>
      </c>
      <c r="B74" t="s">
        <v>472</v>
      </c>
      <c r="C74" t="s">
        <v>228</v>
      </c>
      <c r="D74" t="s">
        <v>467</v>
      </c>
      <c r="E74" t="n">
        <v>1</v>
      </c>
      <c r="F74"/>
      <c r="G74"/>
    </row>
    <row r="75">
      <c r="A75" t="s">
        <v>171</v>
      </c>
      <c r="B75" t="s">
        <v>473</v>
      </c>
      <c r="C75" t="s">
        <v>225</v>
      </c>
      <c r="D75" t="s">
        <v>474</v>
      </c>
      <c r="E75" t="n">
        <v>1</v>
      </c>
      <c r="F75"/>
      <c r="G75"/>
    </row>
    <row r="76">
      <c r="A76" t="s">
        <v>172</v>
      </c>
      <c r="B76" t="s">
        <v>475</v>
      </c>
      <c r="C76" t="s">
        <v>225</v>
      </c>
      <c r="D76" t="s">
        <v>474</v>
      </c>
      <c r="E76" t="n">
        <v>1</v>
      </c>
      <c r="F76"/>
      <c r="G76"/>
    </row>
    <row r="77">
      <c r="A77" t="s">
        <v>173</v>
      </c>
      <c r="B77" t="s">
        <v>476</v>
      </c>
      <c r="C77" t="s">
        <v>225</v>
      </c>
      <c r="D77" t="s">
        <v>474</v>
      </c>
      <c r="E77" t="n">
        <v>1</v>
      </c>
      <c r="F77"/>
      <c r="G77"/>
    </row>
    <row r="78">
      <c r="A78" t="s">
        <v>174</v>
      </c>
      <c r="B78" t="s">
        <v>477</v>
      </c>
      <c r="C78" t="s">
        <v>225</v>
      </c>
      <c r="D78" t="s">
        <v>474</v>
      </c>
      <c r="E78" t="n">
        <v>1</v>
      </c>
      <c r="F78"/>
      <c r="G78"/>
    </row>
    <row r="79">
      <c r="A79" t="s">
        <v>175</v>
      </c>
      <c r="B79" t="s">
        <v>478</v>
      </c>
      <c r="C79" t="s">
        <v>225</v>
      </c>
      <c r="D79" t="s">
        <v>474</v>
      </c>
      <c r="E79" t="n">
        <v>1</v>
      </c>
      <c r="F79"/>
      <c r="G79"/>
    </row>
    <row r="80">
      <c r="A80" t="s">
        <v>108</v>
      </c>
      <c r="B80" t="s">
        <v>479</v>
      </c>
      <c r="C80" t="s">
        <v>191</v>
      </c>
      <c r="D80" t="s">
        <v>480</v>
      </c>
      <c r="E80" t="n">
        <v>0.601182857798244</v>
      </c>
      <c r="F80"/>
      <c r="G80" t="s">
        <v>481</v>
      </c>
    </row>
    <row r="81">
      <c r="A81" t="s">
        <v>108</v>
      </c>
      <c r="B81" t="s">
        <v>479</v>
      </c>
      <c r="C81" t="s">
        <v>193</v>
      </c>
      <c r="D81" t="s">
        <v>482</v>
      </c>
      <c r="E81" t="n">
        <v>0.398817142201756</v>
      </c>
      <c r="F81"/>
      <c r="G81" t="s">
        <v>481</v>
      </c>
    </row>
    <row r="82">
      <c r="A82" t="s">
        <v>113</v>
      </c>
      <c r="B82" t="s">
        <v>483</v>
      </c>
      <c r="C82" t="s">
        <v>202</v>
      </c>
      <c r="D82" t="s">
        <v>484</v>
      </c>
      <c r="E82" t="n">
        <v>0.25</v>
      </c>
      <c r="F82"/>
      <c r="G82" t="s">
        <v>485</v>
      </c>
    </row>
    <row r="83">
      <c r="A83" t="s">
        <v>113</v>
      </c>
      <c r="B83" t="s">
        <v>483</v>
      </c>
      <c r="C83" t="s">
        <v>203</v>
      </c>
      <c r="D83" t="s">
        <v>486</v>
      </c>
      <c r="E83" t="n">
        <v>0.75</v>
      </c>
      <c r="F83"/>
      <c r="G83" t="s">
        <v>485</v>
      </c>
    </row>
    <row r="84">
      <c r="A84" t="s">
        <v>114</v>
      </c>
      <c r="B84" t="s">
        <v>487</v>
      </c>
      <c r="C84" t="s">
        <v>204</v>
      </c>
      <c r="D84" t="s">
        <v>397</v>
      </c>
      <c r="E84" t="n">
        <v>0.75</v>
      </c>
      <c r="F84"/>
      <c r="G84" t="s">
        <v>488</v>
      </c>
    </row>
    <row r="85">
      <c r="A85" t="s">
        <v>114</v>
      </c>
      <c r="B85" t="s">
        <v>487</v>
      </c>
      <c r="C85" t="s">
        <v>205</v>
      </c>
      <c r="D85" t="s">
        <v>489</v>
      </c>
      <c r="E85" t="n">
        <v>0.25</v>
      </c>
      <c r="F85"/>
      <c r="G85" t="s">
        <v>488</v>
      </c>
    </row>
    <row r="86">
      <c r="A86" t="s">
        <v>129</v>
      </c>
      <c r="B86" t="s">
        <v>490</v>
      </c>
      <c r="C86" t="s">
        <v>200</v>
      </c>
      <c r="D86" t="s">
        <v>491</v>
      </c>
      <c r="E86" t="n">
        <v>0.45</v>
      </c>
      <c r="F86"/>
      <c r="G86" t="s">
        <v>492</v>
      </c>
    </row>
    <row r="87">
      <c r="A87" t="s">
        <v>129</v>
      </c>
      <c r="B87" t="s">
        <v>490</v>
      </c>
      <c r="C87" t="s">
        <v>201</v>
      </c>
      <c r="D87" t="s">
        <v>493</v>
      </c>
      <c r="E87" t="n">
        <v>0.55</v>
      </c>
      <c r="F87"/>
      <c r="G87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494</v>
      </c>
    </row>
    <row r="2">
      <c r="A2" t="s">
        <v>1</v>
      </c>
    </row>
    <row r="3">
      <c r="A3" t="s">
        <v>495</v>
      </c>
    </row>
    <row r="4">
      <c r="A4" t="s">
        <v>496</v>
      </c>
    </row>
    <row r="5">
      <c r="A5" t="s">
        <v>497</v>
      </c>
    </row>
    <row r="6">
      <c r="A6" t="s">
        <v>498</v>
      </c>
    </row>
    <row r="7">
      <c r="A7" t="s">
        <v>499</v>
      </c>
    </row>
    <row r="8">
      <c r="A8" t="s">
        <v>500</v>
      </c>
    </row>
    <row r="9">
      <c r="A9" t="s">
        <v>1</v>
      </c>
    </row>
    <row r="11">
      <c r="A11" t="s">
        <v>363</v>
      </c>
      <c r="B11" t="s">
        <v>188</v>
      </c>
      <c r="C11" t="s">
        <v>366</v>
      </c>
      <c r="D11" t="s">
        <v>368</v>
      </c>
    </row>
    <row r="12">
      <c r="A12" t="n">
        <v>212</v>
      </c>
      <c r="B12" t="s">
        <v>191</v>
      </c>
      <c r="C12" t="n">
        <v>0.601182857798244</v>
      </c>
      <c r="D12" t="s">
        <v>481</v>
      </c>
    </row>
    <row r="13">
      <c r="A13" t="n">
        <v>212</v>
      </c>
      <c r="B13" t="s">
        <v>193</v>
      </c>
      <c r="C13" t="n">
        <v>0.398817142201756</v>
      </c>
      <c r="D13" t="s">
        <v>481</v>
      </c>
    </row>
    <row r="14">
      <c r="A14" t="n">
        <v>327</v>
      </c>
      <c r="B14" t="s">
        <v>202</v>
      </c>
      <c r="C14" t="n">
        <v>0.25</v>
      </c>
      <c r="D14" t="s">
        <v>485</v>
      </c>
    </row>
    <row r="15">
      <c r="A15" t="n">
        <v>327</v>
      </c>
      <c r="B15" t="s">
        <v>203</v>
      </c>
      <c r="C15" t="n">
        <v>0.75</v>
      </c>
      <c r="D15" t="s">
        <v>485</v>
      </c>
    </row>
    <row r="16">
      <c r="A16" t="n">
        <v>331</v>
      </c>
      <c r="B16" t="s">
        <v>204</v>
      </c>
      <c r="C16" t="n">
        <v>0.75</v>
      </c>
      <c r="D16" t="s">
        <v>488</v>
      </c>
    </row>
    <row r="17">
      <c r="A17" t="n">
        <v>331</v>
      </c>
      <c r="B17" t="s">
        <v>205</v>
      </c>
      <c r="C17" t="n">
        <v>0.25</v>
      </c>
      <c r="D17" t="s">
        <v>488</v>
      </c>
    </row>
    <row r="18">
      <c r="A18" t="n">
        <v>325</v>
      </c>
      <c r="B18" t="s">
        <v>200</v>
      </c>
      <c r="C18" t="n">
        <v>0.45</v>
      </c>
      <c r="D18" t="s">
        <v>492</v>
      </c>
    </row>
    <row r="19">
      <c r="A19" t="n">
        <v>325</v>
      </c>
      <c r="B19" t="s">
        <v>201</v>
      </c>
      <c r="C19" t="n">
        <v>0.55</v>
      </c>
      <c r="D19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501</v>
      </c>
    </row>
    <row r="2">
      <c r="A2" t="s">
        <v>502</v>
      </c>
    </row>
    <row r="3">
      <c r="A3" t="s">
        <v>503</v>
      </c>
    </row>
    <row r="4">
      <c r="A4" t="s">
        <v>504</v>
      </c>
    </row>
    <row r="5">
      <c r="A5" t="s">
        <v>1</v>
      </c>
    </row>
    <row r="7">
      <c r="A7" t="s">
        <v>505</v>
      </c>
      <c r="B7" t="s">
        <v>506</v>
      </c>
      <c r="C7" t="s">
        <v>507</v>
      </c>
    </row>
    <row r="8">
      <c r="A8" t="s">
        <v>190</v>
      </c>
      <c r="B8" t="s">
        <v>508</v>
      </c>
      <c r="C8" t="s">
        <v>509</v>
      </c>
    </row>
    <row r="9">
      <c r="A9" t="s">
        <v>191</v>
      </c>
      <c r="B9" t="s">
        <v>480</v>
      </c>
      <c r="C9" t="s">
        <v>510</v>
      </c>
    </row>
    <row r="10">
      <c r="A10" t="s">
        <v>192</v>
      </c>
      <c r="B10" t="s">
        <v>373</v>
      </c>
      <c r="C10" t="s">
        <v>511</v>
      </c>
    </row>
    <row r="11">
      <c r="A11" t="s">
        <v>193</v>
      </c>
      <c r="B11" t="s">
        <v>512</v>
      </c>
      <c r="C11" t="s">
        <v>513</v>
      </c>
    </row>
    <row r="12">
      <c r="A12" t="s">
        <v>194</v>
      </c>
      <c r="B12" t="s">
        <v>375</v>
      </c>
      <c r="C12" t="s">
        <v>514</v>
      </c>
    </row>
    <row r="13">
      <c r="A13" t="s">
        <v>195</v>
      </c>
      <c r="B13" t="s">
        <v>515</v>
      </c>
      <c r="C13" t="s">
        <v>516</v>
      </c>
    </row>
    <row r="14">
      <c r="A14" t="s">
        <v>196</v>
      </c>
      <c r="B14" t="s">
        <v>517</v>
      </c>
      <c r="C14" t="s">
        <v>518</v>
      </c>
    </row>
    <row r="15">
      <c r="A15" t="s">
        <v>197</v>
      </c>
      <c r="B15" t="s">
        <v>519</v>
      </c>
      <c r="C15" t="s">
        <v>520</v>
      </c>
    </row>
    <row r="16">
      <c r="A16" t="s">
        <v>198</v>
      </c>
      <c r="B16" t="s">
        <v>392</v>
      </c>
      <c r="C16" t="s">
        <v>521</v>
      </c>
    </row>
    <row r="17">
      <c r="A17" t="s">
        <v>199</v>
      </c>
      <c r="B17" t="s">
        <v>395</v>
      </c>
      <c r="C17" t="s">
        <v>522</v>
      </c>
    </row>
    <row r="18">
      <c r="A18" t="s">
        <v>200</v>
      </c>
      <c r="B18" t="s">
        <v>523</v>
      </c>
      <c r="C18" t="s">
        <v>524</v>
      </c>
    </row>
    <row r="19">
      <c r="A19" t="s">
        <v>201</v>
      </c>
      <c r="B19" t="s">
        <v>525</v>
      </c>
      <c r="C19" t="s">
        <v>526</v>
      </c>
    </row>
    <row r="20">
      <c r="A20" t="s">
        <v>110</v>
      </c>
      <c r="B20" t="s">
        <v>400</v>
      </c>
      <c r="C20" t="s">
        <v>527</v>
      </c>
    </row>
    <row r="21">
      <c r="A21" t="s">
        <v>202</v>
      </c>
      <c r="B21" t="s">
        <v>528</v>
      </c>
      <c r="C21" t="s">
        <v>529</v>
      </c>
    </row>
    <row r="22">
      <c r="A22" t="s">
        <v>203</v>
      </c>
      <c r="B22" t="s">
        <v>530</v>
      </c>
      <c r="C22" t="s">
        <v>531</v>
      </c>
    </row>
    <row r="23">
      <c r="A23" t="s">
        <v>204</v>
      </c>
      <c r="B23" t="s">
        <v>532</v>
      </c>
      <c r="C23" t="s">
        <v>533</v>
      </c>
    </row>
    <row r="24">
      <c r="A24" t="s">
        <v>205</v>
      </c>
      <c r="B24" t="s">
        <v>534</v>
      </c>
      <c r="C24" t="s">
        <v>535</v>
      </c>
    </row>
    <row r="25">
      <c r="A25" t="s">
        <v>206</v>
      </c>
      <c r="B25" t="s">
        <v>536</v>
      </c>
      <c r="C25" t="s">
        <v>537</v>
      </c>
    </row>
    <row r="26">
      <c r="A26" t="s">
        <v>207</v>
      </c>
      <c r="B26" t="s">
        <v>405</v>
      </c>
      <c r="C26" t="s">
        <v>538</v>
      </c>
    </row>
    <row r="27">
      <c r="A27" t="s">
        <v>208</v>
      </c>
      <c r="B27" t="s">
        <v>407</v>
      </c>
      <c r="C27" t="s">
        <v>539</v>
      </c>
    </row>
    <row r="28">
      <c r="A28" t="s">
        <v>209</v>
      </c>
      <c r="B28" t="s">
        <v>403</v>
      </c>
      <c r="C28" t="s">
        <v>540</v>
      </c>
    </row>
    <row r="29">
      <c r="A29" t="s">
        <v>210</v>
      </c>
      <c r="B29" t="s">
        <v>541</v>
      </c>
      <c r="C29" t="s">
        <v>542</v>
      </c>
    </row>
    <row r="30">
      <c r="A30" t="s">
        <v>211</v>
      </c>
      <c r="B30" t="s">
        <v>411</v>
      </c>
      <c r="C30" t="s">
        <v>543</v>
      </c>
    </row>
    <row r="31">
      <c r="A31" t="s">
        <v>212</v>
      </c>
      <c r="B31" t="s">
        <v>544</v>
      </c>
      <c r="C31" t="s">
        <v>545</v>
      </c>
    </row>
    <row r="32">
      <c r="A32" t="s">
        <v>213</v>
      </c>
      <c r="B32" t="s">
        <v>546</v>
      </c>
      <c r="C32" t="s">
        <v>547</v>
      </c>
    </row>
    <row r="33">
      <c r="A33" t="s">
        <v>214</v>
      </c>
      <c r="B33" t="s">
        <v>548</v>
      </c>
      <c r="C33" t="s">
        <v>549</v>
      </c>
    </row>
    <row r="34">
      <c r="A34" t="s">
        <v>215</v>
      </c>
      <c r="B34" t="s">
        <v>550</v>
      </c>
      <c r="C34" t="s">
        <v>551</v>
      </c>
    </row>
    <row r="35">
      <c r="A35" t="s">
        <v>216</v>
      </c>
      <c r="B35" t="s">
        <v>383</v>
      </c>
      <c r="C35" t="s">
        <v>552</v>
      </c>
    </row>
    <row r="36">
      <c r="A36" t="s">
        <v>217</v>
      </c>
      <c r="B36" t="s">
        <v>553</v>
      </c>
      <c r="C36" t="s">
        <v>554</v>
      </c>
    </row>
    <row r="37">
      <c r="A37" t="s">
        <v>218</v>
      </c>
      <c r="B37" t="s">
        <v>422</v>
      </c>
      <c r="C37" t="s">
        <v>555</v>
      </c>
    </row>
    <row r="38">
      <c r="A38" t="s">
        <v>219</v>
      </c>
      <c r="B38" t="s">
        <v>556</v>
      </c>
      <c r="C38" t="s">
        <v>557</v>
      </c>
    </row>
    <row r="39">
      <c r="A39" t="s">
        <v>220</v>
      </c>
      <c r="B39" t="s">
        <v>558</v>
      </c>
      <c r="C39" t="s">
        <v>559</v>
      </c>
    </row>
    <row r="40">
      <c r="A40" t="s">
        <v>161</v>
      </c>
      <c r="B40" t="s">
        <v>437</v>
      </c>
      <c r="C40" t="s">
        <v>560</v>
      </c>
    </row>
    <row r="41">
      <c r="A41" t="s">
        <v>221</v>
      </c>
      <c r="B41" t="s">
        <v>439</v>
      </c>
      <c r="C41" t="s">
        <v>561</v>
      </c>
    </row>
    <row r="42">
      <c r="A42" t="s">
        <v>222</v>
      </c>
      <c r="B42" t="s">
        <v>562</v>
      </c>
      <c r="C42" t="s">
        <v>563</v>
      </c>
    </row>
    <row r="43">
      <c r="A43" t="s">
        <v>223</v>
      </c>
      <c r="B43" t="s">
        <v>446</v>
      </c>
      <c r="C43" t="s">
        <v>564</v>
      </c>
    </row>
    <row r="44">
      <c r="A44" t="s">
        <v>224</v>
      </c>
      <c r="B44" t="s">
        <v>565</v>
      </c>
      <c r="C44" t="s">
        <v>566</v>
      </c>
    </row>
    <row r="45">
      <c r="A45" t="s">
        <v>225</v>
      </c>
      <c r="B45" t="s">
        <v>567</v>
      </c>
      <c r="C45" t="s">
        <v>568</v>
      </c>
    </row>
    <row r="46">
      <c r="A46" t="s">
        <v>226</v>
      </c>
      <c r="B46" t="s">
        <v>460</v>
      </c>
      <c r="C46" t="s">
        <v>569</v>
      </c>
    </row>
    <row r="47">
      <c r="A47" t="s">
        <v>227</v>
      </c>
      <c r="B47" t="s">
        <v>570</v>
      </c>
      <c r="C47" t="s">
        <v>571</v>
      </c>
    </row>
    <row r="48">
      <c r="A48" t="s">
        <v>228</v>
      </c>
      <c r="B48" t="s">
        <v>572</v>
      </c>
      <c r="C48" t="s">
        <v>573</v>
      </c>
    </row>
    <row r="49">
      <c r="A49" t="s">
        <v>229</v>
      </c>
      <c r="B49" t="s">
        <v>574</v>
      </c>
      <c r="C49" t="s">
        <v>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IFERROR(INDEX('1_Gov_purchases_by_BEA'!$B$2:$B$74, MATCH($A3, '1_Gov_purchases_by_BEA'!$A$2:$A$74,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IFERROR(INDEX('1_Gov_purchases_by_BEA'!$B$2:$B$74, MATCH($A4, '1_Gov_purchases_by_BEA'!$A$2:$A$74,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IFERROR(INDEX('1_Gov_purchases_by_BEA'!$B$2:$B$74, MATCH($A5, '1_Gov_purchases_by_BEA'!$A$2:$A$74,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IFERROR(INDEX('1_Gov_purchases_by_BEA'!$B$2:$B$74, MATCH($A6, '1_Gov_purchases_by_BEA'!$A$2:$A$74,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IFERROR(INDEX('1_Gov_purchases_by_BEA'!$B$2:$B$74, MATCH($A7, '1_Gov_purchases_by_BEA'!$A$2:$A$74,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IFERROR(INDEX('1_Gov_purchases_by_BEA'!$B$2:$B$74, MATCH($A8, '1_Gov_purchases_by_BEA'!$A$2:$A$74,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IFERROR(INDEX('1_Gov_purchases_by_BEA'!$B$2:$B$74, MATCH($A9, '1_Gov_purchases_by_BEA'!$A$2:$A$74,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IFERROR(INDEX('1_Gov_purchases_by_BEA'!$B$2:$B$74, MATCH($A10, '1_Gov_purchases_by_BEA'!$A$2:$A$74,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IFERROR(INDEX('1_Gov_purchases_by_BEA'!$B$2:$B$74, MATCH($A11, '1_Gov_purchases_by_BEA'!$A$2:$A$74,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IFERROR(INDEX('1_Gov_purchases_by_BEA'!$B$2:$B$74, MATCH($A12, '1_Gov_purchases_by_BEA'!$A$2:$A$74,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IFERROR(INDEX('1_Gov_purchases_by_BEA'!$B$2:$B$74, MATCH($A13, '1_Gov_purchases_by_BEA'!$A$2:$A$74,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IFERROR(INDEX('1_Gov_purchases_by_BEA'!$B$2:$B$74, MATCH($A14, '1_Gov_purchases_by_BEA'!$A$2:$A$74,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IFERROR(INDEX('1_Gov_purchases_by_BEA'!$B$2:$B$74, MATCH($A15, '1_Gov_purchases_by_BEA'!$A$2:$A$74,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IFERROR(INDEX('1_Gov_purchases_by_BEA'!$B$2:$B$74, MATCH($A16, '1_Gov_purchases_by_BEA'!$A$2:$A$74,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IFERROR(INDEX('1_Gov_purchases_by_BEA'!$B$2:$B$74, MATCH($A17, '1_Gov_purchases_by_BEA'!$A$2:$A$74,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IFERROR(INDEX('1_Gov_purchases_by_BEA'!$B$2:$B$74, MATCH($A18, '1_Gov_purchases_by_BEA'!$A$2:$A$74,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IFERROR(INDEX('1_Gov_purchases_by_BEA'!$B$2:$B$74, MATCH($A19, '1_Gov_purchases_by_BEA'!$A$2:$A$74,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IFERROR(INDEX('1_Gov_purchases_by_BEA'!$B$2:$B$74, MATCH($A20, '1_Gov_purchases_by_BEA'!$A$2:$A$74,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IFERROR(INDEX('1_Gov_purchases_by_BEA'!$B$2:$B$74, MATCH($A21, '1_Gov_purchases_by_BEA'!$A$2:$A$74,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IFERROR(INDEX('1_Gov_purchases_by_BEA'!$B$2:$B$74, MATCH($A22, '1_Gov_purchases_by_BEA'!$A$2:$A$74,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IFERROR(INDEX('1_Gov_purchases_by_BEA'!$B$2:$B$74, MATCH($A23, '1_Gov_purchases_by_BEA'!$A$2:$A$74,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IFERROR(INDEX('1_Gov_purchases_by_BEA'!$B$2:$B$74, MATCH($A24, '1_Gov_purchases_by_BEA'!$A$2:$A$74,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IFERROR(INDEX('1_Gov_purchases_by_BEA'!$B$2:$B$74, MATCH($A25, '1_Gov_purchases_by_BEA'!$A$2:$A$74,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IFERROR(INDEX('1_Gov_purchases_by_BEA'!$B$2:$B$74, MATCH($A26, '1_Gov_purchases_by_BEA'!$A$2:$A$74,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IFERROR(INDEX('1_Gov_purchases_by_BEA'!$B$2:$B$74, MATCH($A27, '1_Gov_purchases_by_BEA'!$A$2:$A$74,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IFERROR(INDEX('1_Gov_purchases_by_BEA'!$B$2:$B$74, MATCH($A28, '1_Gov_purchases_by_BEA'!$A$2:$A$74,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IFERROR(INDEX('1_Gov_purchases_by_BEA'!$B$2:$B$74, MATCH($A29, '1_Gov_purchases_by_BEA'!$A$2:$A$74,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IFERROR(INDEX('1_Gov_purchases_by_BEA'!$B$2:$B$74, MATCH($A30, '1_Gov_purchases_by_BEA'!$A$2:$A$74,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IFERROR(INDEX('1_Gov_purchases_by_BEA'!$B$2:$B$74, MATCH($A31, '1_Gov_purchases_by_BEA'!$A$2:$A$74,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IFERROR(INDEX('1_Gov_purchases_by_BEA'!$B$2:$B$74, MATCH($A32, '1_Gov_purchases_by_BEA'!$A$2:$A$74,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IFERROR(INDEX('1_Gov_purchases_by_BEA'!$B$2:$B$74, MATCH($A33, '1_Gov_purchases_by_BEA'!$A$2:$A$74,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IFERROR(INDEX('1_Gov_purchases_by_BEA'!$B$2:$B$74, MATCH($A34, '1_Gov_purchases_by_BEA'!$A$2:$A$74,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IFERROR(INDEX('1_Gov_purchases_by_BEA'!$B$2:$B$74, MATCH($A35, '1_Gov_purchases_by_BEA'!$A$2:$A$74,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IFERROR(INDEX('1_Gov_purchases_by_BEA'!$B$2:$B$74, MATCH($A36, '1_Gov_purchases_by_BEA'!$A$2:$A$74,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IFERROR(INDEX('1_Gov_purchases_by_BEA'!$B$2:$B$74, MATCH($A37, '1_Gov_purchases_by_BEA'!$A$2:$A$74,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IFERROR(INDEX('1_Gov_purchases_by_BEA'!$B$2:$B$74, MATCH($A38, '1_Gov_purchases_by_BEA'!$A$2:$A$74,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IFERROR(INDEX('1_Gov_purchases_by_BEA'!$B$2:$B$74, MATCH($A39, '1_Gov_purchases_by_BEA'!$A$2:$A$74,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IFERROR(INDEX('1_Gov_purchases_by_BEA'!$B$2:$B$74, MATCH($A40, '1_Gov_purchases_by_BEA'!$A$2:$A$74,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IFERROR(INDEX('1_Gov_purchases_by_BEA'!$B$2:$B$74, MATCH($A41, '1_Gov_purchases_by_BEA'!$A$2:$A$74,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IFERROR(INDEX('1_Gov_purchases_by_BEA'!$B$2:$B$74, MATCH($A42, '1_Gov_purchases_by_BEA'!$A$2:$A$74,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IFERROR(INDEX('1_Gov_purchases_by_BEA'!$B$2:$B$74, MATCH($A43, '1_Gov_purchases_by_BEA'!$A$2:$A$74,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IFERROR(INDEX('1_Gov_purchases_by_BEA'!$B$2:$B$74, MATCH($A44, '1_Gov_purchases_by_BEA'!$A$2:$A$74,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IFERROR(INDEX('1_Gov_purchases_by_BEA'!$B$2:$B$74, MATCH($A45, '1_Gov_purchases_by_BEA'!$A$2:$A$74,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IFERROR(INDEX('1_Gov_purchases_by_BEA'!$B$2:$B$74, MATCH($A46, '1_Gov_purchases_by_BEA'!$A$2:$A$74,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IFERROR(INDEX('1_Gov_purchases_by_BEA'!$B$2:$B$74, MATCH($A47, '1_Gov_purchases_by_BEA'!$A$2:$A$74,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IFERROR(INDEX('1_Gov_purchases_by_BEA'!$B$2:$B$74, MATCH($A48, '1_Gov_purchases_by_BEA'!$A$2:$A$74,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IFERROR(INDEX('1_Gov_purchases_by_BEA'!$B$2:$B$74, MATCH($A49, '1_Gov_purchases_by_BEA'!$A$2:$A$74,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IFERROR(INDEX('1_Gov_purchases_by_BEA'!$B$2:$B$74, MATCH($A50, '1_Gov_purchases_by_BEA'!$A$2:$A$74,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IFERROR(INDEX('1_Gov_purchases_by_BEA'!$B$2:$B$74, MATCH($A51, '1_Gov_purchases_by_BEA'!$A$2:$A$74,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IFERROR(INDEX('1_Gov_purchases_by_BEA'!$B$2:$B$74, MATCH($A52, '1_Gov_purchases_by_BEA'!$A$2:$A$74,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IFERROR(INDEX('1_Gov_purchases_by_BEA'!$B$2:$B$74, MATCH($A53, '1_Gov_purchases_by_BEA'!$A$2:$A$74,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IFERROR(INDEX('1_Gov_purchases_by_BEA'!$B$2:$B$74, MATCH($A54, '1_Gov_purchases_by_BEA'!$A$2:$A$74,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IFERROR(INDEX('1_Gov_purchases_by_BEA'!$B$2:$B$74, MATCH($A55, '1_Gov_purchases_by_BEA'!$A$2:$A$74,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IFERROR(INDEX('1_Gov_purchases_by_BEA'!$B$2:$B$74, MATCH($A56, '1_Gov_purchases_by_BEA'!$A$2:$A$74,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IFERROR(INDEX('1_Gov_purchases_by_BEA'!$B$2:$B$74, MATCH($A57, '1_Gov_purchases_by_BEA'!$A$2:$A$74,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IFERROR(INDEX('1_Gov_purchases_by_BEA'!$B$2:$B$74, MATCH($A58, '1_Gov_purchases_by_BEA'!$A$2:$A$74,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IFERROR(INDEX('1_Gov_purchases_by_BEA'!$B$2:$B$74, MATCH($A59, '1_Gov_purchases_by_BEA'!$A$2:$A$74,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IFERROR(INDEX('1_Gov_purchases_by_BEA'!$B$2:$B$74, MATCH($A60, '1_Gov_purchases_by_BEA'!$A$2:$A$74,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IFERROR(INDEX('1_Gov_purchases_by_BEA'!$B$2:$B$74, MATCH($A61, '1_Gov_purchases_by_BEA'!$A$2:$A$74,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IFERROR(INDEX('1_Gov_purchases_by_BEA'!$B$2:$B$74, MATCH($A62, '1_Gov_purchases_by_BEA'!$A$2:$A$74,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IFERROR(INDEX('1_Gov_purchases_by_BEA'!$B$2:$B$74, MATCH($A63, '1_Gov_purchases_by_BEA'!$A$2:$A$74,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IFERROR(INDEX('1_Gov_purchases_by_BEA'!$B$2:$B$74, MATCH($A64, '1_Gov_purchases_by_BEA'!$A$2:$A$74,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IFERROR(INDEX('1_Gov_purchases_by_BEA'!$B$2:$B$74, MATCH($A65, '1_Gov_purchases_by_BEA'!$A$2:$A$74,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IFERROR(INDEX('1_Gov_purchases_by_BEA'!$B$2:$B$74, MATCH($A66, '1_Gov_purchases_by_BEA'!$A$2:$A$74,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IFERROR(INDEX('1_Gov_purchases_by_BEA'!$B$2:$B$74, MATCH($A67, '1_Gov_purchases_by_BEA'!$A$2:$A$74,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IFERROR(INDEX('1_Gov_purchases_by_BEA'!$B$2:$B$74, MATCH($A68, '1_Gov_purchases_by_BEA'!$A$2:$A$74,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IFERROR(INDEX('1_Gov_purchases_by_BEA'!$B$2:$B$74, MATCH($A69, '1_Gov_purchases_by_BEA'!$A$2:$A$74,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IFERROR(INDEX('1_Gov_purchases_by_BEA'!$B$2:$B$74, MATCH($A70, '1_Gov_purchases_by_BEA'!$A$2:$A$74,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IFERROR(INDEX('1_Gov_purchases_by_BEA'!$B$2:$B$74, MATCH($A71, '1_Gov_purchases_by_BEA'!$A$2:$A$74,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IFERROR(INDEX('1_Gov_purchases_by_BEA'!$B$2:$B$74, MATCH($A72, '1_Gov_purchases_by_BEA'!$A$2:$A$74,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IFERROR(INDEX('1_Gov_purchases_by_BEA'!$B$2:$B$74, MATCH($A73, '1_Gov_purchases_by_BEA'!$A$2:$A$74,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IFERROR(INDEX('1_Gov_purchases_by_BEA'!$B$2:$B$74, MATCH($A74, '1_Gov_purchases_by_BEA'!$A$2:$A$74,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IFERROR(INDEX('1_Gov_purchases_by_BEA'!$B$2:$B$74, MATCH($A75, '1_Gov_purchases_by_BEA'!$A$2:$A$74,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IFERROR(INDEX('1_Gov_purchases_by_BEA'!$B$2:$B$74, MATCH($A76, '1_Gov_purchases_by_BEA'!$A$2:$A$74,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IFERROR(INDEX('1_Gov_purchases_by_BEA'!$B$2:$B$74, MATCH($A77, '1_Gov_purchases_by_BEA'!$A$2:$A$74,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IFERROR(INDEX('1_Gov_purchases_by_BEA'!$B$2:$B$74, MATCH($A78, '1_Gov_purchases_by_BEA'!$A$2:$A$74,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IFERROR(INDEX('1_Gov_purchases_by_BEA'!$B$2:$B$74, MATCH($A79, '1_Gov_purchases_by_BEA'!$A$2:$A$74,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IFERROR(INDEX('1_Gov_purchases_by_BEA'!$B$2:$B$74, MATCH($A80, '1_Gov_purchases_by_BEA'!$A$2:$A$74,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IFERROR(INDEX('1_Gov_purchases_by_BEA'!$B$2:$B$74, MATCH($A81, '1_Gov_purchases_by_BEA'!$A$2:$A$74,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SUMIFS('6_Calc_Gov_ISIC'!$E$3:$E$81, '6_Calc_Gov_ISIC'!$B$3:$B$81, $A85)</f>
      </c>
      <c r="C85" t="str">
        <f>B85</f>
      </c>
    </row>
    <row r="86">
      <c r="A86" t="s">
        <v>191</v>
      </c>
      <c r="B86" t="str">
        <f>SUMIFS('6_Calc_Gov_ISIC'!$E$3:$E$81, '6_Calc_Gov_ISIC'!$B$3:$B$81, $A86)</f>
      </c>
      <c r="C86" t="str">
        <f>B86</f>
      </c>
    </row>
    <row r="87">
      <c r="A87" t="s">
        <v>192</v>
      </c>
      <c r="B87" t="str">
        <f>SUMIFS('6_Calc_Gov_ISIC'!$E$3:$E$81, '6_Calc_Gov_ISIC'!$B$3:$B$81, $A87)</f>
      </c>
      <c r="C87" t="str">
        <f>B87</f>
      </c>
    </row>
    <row r="88">
      <c r="A88" t="s">
        <v>193</v>
      </c>
      <c r="B88" t="str">
        <f>SUMIFS('6_Calc_Gov_ISIC'!$E$3:$E$81, '6_Calc_Gov_ISIC'!$B$3:$B$81, $A88)</f>
      </c>
      <c r="C88" t="str">
        <f>B88</f>
      </c>
    </row>
    <row r="89">
      <c r="A89" t="s">
        <v>195</v>
      </c>
      <c r="B89" t="str">
        <f>SUMIFS('6_Calc_Gov_ISIC'!$E$3:$E$81, '6_Calc_Gov_ISIC'!$B$3:$B$81, $A89)</f>
      </c>
      <c r="C89" t="str">
        <f>B89</f>
      </c>
    </row>
    <row r="90">
      <c r="A90" t="s">
        <v>196</v>
      </c>
      <c r="B90" t="str">
        <f>SUMIFS('6_Calc_Gov_ISIC'!$E$3:$E$81, '6_Calc_Gov_ISIC'!$B$3:$B$81, $A90)</f>
      </c>
      <c r="C90" t="str">
        <f>B90</f>
      </c>
    </row>
    <row r="91">
      <c r="A91" t="s">
        <v>197</v>
      </c>
      <c r="B91" t="str">
        <f>SUMIFS('6_Calc_Gov_ISIC'!$E$3:$E$81, '6_Calc_Gov_ISIC'!$B$3:$B$81, $A91)</f>
      </c>
      <c r="C91" t="str">
        <f>B91</f>
      </c>
    </row>
    <row r="92">
      <c r="A92" t="s">
        <v>198</v>
      </c>
      <c r="B92" t="str">
        <f>SUMIFS('6_Calc_Gov_ISIC'!$E$3:$E$81, '6_Calc_Gov_ISIC'!$B$3:$B$81, $A92)</f>
      </c>
      <c r="C92" t="str">
        <f>B92</f>
      </c>
    </row>
    <row r="93">
      <c r="A93" t="s">
        <v>199</v>
      </c>
      <c r="B93" t="str">
        <f>SUMIFS('6_Calc_Gov_ISIC'!$E$3:$E$81, '6_Calc_Gov_ISIC'!$B$3:$B$81, $A93)</f>
      </c>
      <c r="C93" t="str">
        <f>B93</f>
      </c>
    </row>
    <row r="94">
      <c r="A94" t="s">
        <v>200</v>
      </c>
      <c r="B94" t="str">
        <f>SUMIFS('6_Calc_Gov_ISIC'!$E$3:$E$81, '6_Calc_Gov_ISIC'!$B$3:$B$81, $A94)</f>
      </c>
      <c r="C94" t="str">
        <f>B94</f>
      </c>
    </row>
    <row r="95">
      <c r="A95" t="s">
        <v>110</v>
      </c>
      <c r="B95" t="str">
        <f>SUMIFS('6_Calc_Gov_ISIC'!$E$3:$E$81, '6_Calc_Gov_ISIC'!$B$3:$B$81, $A95)</f>
      </c>
      <c r="C95" t="str">
        <f>B95</f>
      </c>
    </row>
    <row r="96">
      <c r="A96" t="s">
        <v>202</v>
      </c>
      <c r="B96" t="str">
        <f>SUMIFS('6_Calc_Gov_ISIC'!$E$3:$E$81, '6_Calc_Gov_ISIC'!$B$3:$B$81, $A96)</f>
      </c>
      <c r="C96" t="str">
        <f>B96</f>
      </c>
    </row>
    <row r="97">
      <c r="A97" t="s">
        <v>203</v>
      </c>
      <c r="B97" t="str">
        <f>SUMIFS('6_Calc_Gov_ISIC'!$E$3:$E$81, '6_Calc_Gov_ISIC'!$B$3:$B$81, $A97)</f>
      </c>
      <c r="C97" t="str">
        <f>B97</f>
      </c>
    </row>
    <row r="98">
      <c r="A98" t="s">
        <v>204</v>
      </c>
      <c r="B98" t="str">
        <f>SUMIFS('6_Calc_Gov_ISIC'!$E$3:$E$81, '6_Calc_Gov_ISIC'!$B$3:$B$81, $A98)</f>
      </c>
      <c r="C98" t="str">
        <f>B98</f>
      </c>
    </row>
    <row r="99">
      <c r="A99" t="s">
        <v>205</v>
      </c>
      <c r="B99" t="str">
        <f>SUMIFS('6_Calc_Gov_ISIC'!$E$3:$E$81, '6_Calc_Gov_ISIC'!$B$3:$B$81, $A99)</f>
      </c>
      <c r="C99" t="str">
        <f>B99</f>
      </c>
    </row>
    <row r="100">
      <c r="A100" t="s">
        <v>206</v>
      </c>
      <c r="B100" t="str">
        <f>SUMIFS('6_Calc_Gov_ISIC'!$E$3:$E$81, '6_Calc_Gov_ISIC'!$B$3:$B$81, $A100)</f>
      </c>
      <c r="C100" t="str">
        <f>B100</f>
      </c>
    </row>
    <row r="101">
      <c r="A101" t="s">
        <v>207</v>
      </c>
      <c r="B101" t="str">
        <f>SUMIFS('6_Calc_Gov_ISIC'!$E$3:$E$81, '6_Calc_Gov_ISIC'!$B$3:$B$81, $A101)</f>
      </c>
      <c r="C101" t="str">
        <f>B101</f>
      </c>
    </row>
    <row r="102">
      <c r="A102" t="s">
        <v>208</v>
      </c>
      <c r="B102" t="str">
        <f>SUMIFS('6_Calc_Gov_ISIC'!$E$3:$E$81, '6_Calc_Gov_ISIC'!$B$3:$B$81, $A102)</f>
      </c>
      <c r="C102" t="str">
        <f>B102</f>
      </c>
    </row>
    <row r="103">
      <c r="A103" t="s">
        <v>209</v>
      </c>
      <c r="B103" t="str">
        <f>SUMIFS('6_Calc_Gov_ISIC'!$E$3:$E$81, '6_Calc_Gov_ISIC'!$B$3:$B$81, $A103)</f>
      </c>
      <c r="C103" t="str">
        <f>B103</f>
      </c>
    </row>
    <row r="104">
      <c r="A104" t="s">
        <v>210</v>
      </c>
      <c r="B104" t="str">
        <f>SUMIFS('6_Calc_Gov_ISIC'!$E$3:$E$81, '6_Calc_Gov_ISIC'!$B$3:$B$81, $A104)</f>
      </c>
      <c r="C104" t="str">
        <f>B104</f>
      </c>
    </row>
    <row r="105">
      <c r="A105" t="s">
        <v>211</v>
      </c>
      <c r="B105" t="str">
        <f>SUMIFS('6_Calc_Gov_ISIC'!$E$3:$E$81, '6_Calc_Gov_ISIC'!$B$3:$B$81, $A105)</f>
      </c>
      <c r="C105" t="str">
        <f>B105</f>
      </c>
    </row>
    <row r="106">
      <c r="A106" t="s">
        <v>212</v>
      </c>
      <c r="B106" t="str">
        <f>SUMIFS('6_Calc_Gov_ISIC'!$E$3:$E$81, '6_Calc_Gov_ISIC'!$B$3:$B$81, $A106)</f>
      </c>
      <c r="C106" t="str">
        <f>B106</f>
      </c>
    </row>
    <row r="107">
      <c r="A107" t="s">
        <v>214</v>
      </c>
      <c r="B107" t="str">
        <f>SUMIFS('6_Calc_Gov_ISIC'!$E$3:$E$81, '6_Calc_Gov_ISIC'!$B$3:$B$81, $A107)</f>
      </c>
      <c r="C107" t="str">
        <f>B107</f>
      </c>
    </row>
    <row r="108">
      <c r="A108" t="s">
        <v>215</v>
      </c>
      <c r="B108" t="str">
        <f>SUMIFS('6_Calc_Gov_ISIC'!$E$3:$E$81, '6_Calc_Gov_ISIC'!$B$3:$B$81, $A108)</f>
      </c>
      <c r="C108" t="str">
        <f>B108</f>
      </c>
    </row>
    <row r="109">
      <c r="A109" t="s">
        <v>216</v>
      </c>
      <c r="B109" t="str">
        <f>SUMIFS('6_Calc_Gov_ISIC'!$E$3:$E$81, '6_Calc_Gov_ISIC'!$B$3:$B$81,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IFERROR(INDEX('2_HH_purchases_by_BEA'!$B$2:$B$74, MATCH($A3, '2_HH_purchases_by_BEA'!$A$2:$A$74,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IFERROR(INDEX('2_HH_purchases_by_BEA'!$B$2:$B$74, MATCH($A4, '2_HH_purchases_by_BEA'!$A$2:$A$74,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IFERROR(INDEX('2_HH_purchases_by_BEA'!$B$2:$B$74, MATCH($A5, '2_HH_purchases_by_BEA'!$A$2:$A$74,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IFERROR(INDEX('2_HH_purchases_by_BEA'!$B$2:$B$74, MATCH($A6, '2_HH_purchases_by_BEA'!$A$2:$A$74,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IFERROR(INDEX('2_HH_purchases_by_BEA'!$B$2:$B$74, MATCH($A7, '2_HH_purchases_by_BEA'!$A$2:$A$74,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IFERROR(INDEX('2_HH_purchases_by_BEA'!$B$2:$B$74, MATCH($A8, '2_HH_purchases_by_BEA'!$A$2:$A$74,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IFERROR(INDEX('2_HH_purchases_by_BEA'!$B$2:$B$74, MATCH($A9, '2_HH_purchases_by_BEA'!$A$2:$A$74,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IFERROR(INDEX('2_HH_purchases_by_BEA'!$B$2:$B$74, MATCH($A10, '2_HH_purchases_by_BEA'!$A$2:$A$74,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IFERROR(INDEX('2_HH_purchases_by_BEA'!$B$2:$B$74, MATCH($A11, '2_HH_purchases_by_BEA'!$A$2:$A$74,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IFERROR(INDEX('2_HH_purchases_by_BEA'!$B$2:$B$74, MATCH($A12, '2_HH_purchases_by_BEA'!$A$2:$A$74,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IFERROR(INDEX('2_HH_purchases_by_BEA'!$B$2:$B$74, MATCH($A13, '2_HH_purchases_by_BEA'!$A$2:$A$74,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IFERROR(INDEX('2_HH_purchases_by_BEA'!$B$2:$B$74, MATCH($A14, '2_HH_purchases_by_BEA'!$A$2:$A$74,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IFERROR(INDEX('2_HH_purchases_by_BEA'!$B$2:$B$74, MATCH($A15, '2_HH_purchases_by_BEA'!$A$2:$A$74,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IFERROR(INDEX('2_HH_purchases_by_BEA'!$B$2:$B$74, MATCH($A16, '2_HH_purchases_by_BEA'!$A$2:$A$74,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IFERROR(INDEX('2_HH_purchases_by_BEA'!$B$2:$B$74, MATCH($A17, '2_HH_purchases_by_BEA'!$A$2:$A$74,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IFERROR(INDEX('2_HH_purchases_by_BEA'!$B$2:$B$74, MATCH($A18, '2_HH_purchases_by_BEA'!$A$2:$A$74,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IFERROR(INDEX('2_HH_purchases_by_BEA'!$B$2:$B$74, MATCH($A19, '2_HH_purchases_by_BEA'!$A$2:$A$74,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IFERROR(INDEX('2_HH_purchases_by_BEA'!$B$2:$B$74, MATCH($A20, '2_HH_purchases_by_BEA'!$A$2:$A$74,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IFERROR(INDEX('2_HH_purchases_by_BEA'!$B$2:$B$74, MATCH($A21, '2_HH_purchases_by_BEA'!$A$2:$A$74,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IFERROR(INDEX('2_HH_purchases_by_BEA'!$B$2:$B$74, MATCH($A22, '2_HH_purchases_by_BEA'!$A$2:$A$74,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IFERROR(INDEX('2_HH_purchases_by_BEA'!$B$2:$B$74, MATCH($A23, '2_HH_purchases_by_BEA'!$A$2:$A$74,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IFERROR(INDEX('2_HH_purchases_by_BEA'!$B$2:$B$74, MATCH($A24, '2_HH_purchases_by_BEA'!$A$2:$A$74,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IFERROR(INDEX('2_HH_purchases_by_BEA'!$B$2:$B$74, MATCH($A25, '2_HH_purchases_by_BEA'!$A$2:$A$74,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IFERROR(INDEX('2_HH_purchases_by_BEA'!$B$2:$B$74, MATCH($A26, '2_HH_purchases_by_BEA'!$A$2:$A$74,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IFERROR(INDEX('2_HH_purchases_by_BEA'!$B$2:$B$74, MATCH($A27, '2_HH_purchases_by_BEA'!$A$2:$A$74,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IFERROR(INDEX('2_HH_purchases_by_BEA'!$B$2:$B$74, MATCH($A28, '2_HH_purchases_by_BEA'!$A$2:$A$74,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IFERROR(INDEX('2_HH_purchases_by_BEA'!$B$2:$B$74, MATCH($A29, '2_HH_purchases_by_BEA'!$A$2:$A$74,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IFERROR(INDEX('2_HH_purchases_by_BEA'!$B$2:$B$74, MATCH($A30, '2_HH_purchases_by_BEA'!$A$2:$A$74,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IFERROR(INDEX('2_HH_purchases_by_BEA'!$B$2:$B$74, MATCH($A31, '2_HH_purchases_by_BEA'!$A$2:$A$74,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IFERROR(INDEX('2_HH_purchases_by_BEA'!$B$2:$B$74, MATCH($A32, '2_HH_purchases_by_BEA'!$A$2:$A$74,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IFERROR(INDEX('2_HH_purchases_by_BEA'!$B$2:$B$74, MATCH($A33, '2_HH_purchases_by_BEA'!$A$2:$A$74,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IFERROR(INDEX('2_HH_purchases_by_BEA'!$B$2:$B$74, MATCH($A34, '2_HH_purchases_by_BEA'!$A$2:$A$74,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IFERROR(INDEX('2_HH_purchases_by_BEA'!$B$2:$B$74, MATCH($A35, '2_HH_purchases_by_BEA'!$A$2:$A$74,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IFERROR(INDEX('2_HH_purchases_by_BEA'!$B$2:$B$74, MATCH($A36, '2_HH_purchases_by_BEA'!$A$2:$A$74,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IFERROR(INDEX('2_HH_purchases_by_BEA'!$B$2:$B$74, MATCH($A37, '2_HH_purchases_by_BEA'!$A$2:$A$74,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IFERROR(INDEX('2_HH_purchases_by_BEA'!$B$2:$B$74, MATCH($A38, '2_HH_purchases_by_BEA'!$A$2:$A$74,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IFERROR(INDEX('2_HH_purchases_by_BEA'!$B$2:$B$74, MATCH($A39, '2_HH_purchases_by_BEA'!$A$2:$A$74,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IFERROR(INDEX('2_HH_purchases_by_BEA'!$B$2:$B$74, MATCH($A40, '2_HH_purchases_by_BEA'!$A$2:$A$74,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IFERROR(INDEX('2_HH_purchases_by_BEA'!$B$2:$B$74, MATCH($A41, '2_HH_purchases_by_BEA'!$A$2:$A$74,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IFERROR(INDEX('2_HH_purchases_by_BEA'!$B$2:$B$74, MATCH($A42, '2_HH_purchases_by_BEA'!$A$2:$A$74,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IFERROR(INDEX('2_HH_purchases_by_BEA'!$B$2:$B$74, MATCH($A43, '2_HH_purchases_by_BEA'!$A$2:$A$74,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IFERROR(INDEX('2_HH_purchases_by_BEA'!$B$2:$B$74, MATCH($A44, '2_HH_purchases_by_BEA'!$A$2:$A$74,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IFERROR(INDEX('2_HH_purchases_by_BEA'!$B$2:$B$74, MATCH($A45, '2_HH_purchases_by_BEA'!$A$2:$A$74,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IFERROR(INDEX('2_HH_purchases_by_BEA'!$B$2:$B$74, MATCH($A46, '2_HH_purchases_by_BEA'!$A$2:$A$74,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IFERROR(INDEX('2_HH_purchases_by_BEA'!$B$2:$B$74, MATCH($A47, '2_HH_purchases_by_BEA'!$A$2:$A$74,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IFERROR(INDEX('2_HH_purchases_by_BEA'!$B$2:$B$74, MATCH($A48, '2_HH_purchases_by_BEA'!$A$2:$A$74,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IFERROR(INDEX('2_HH_purchases_by_BEA'!$B$2:$B$74, MATCH($A49, '2_HH_purchases_by_BEA'!$A$2:$A$74,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IFERROR(INDEX('2_HH_purchases_by_BEA'!$B$2:$B$74, MATCH($A50, '2_HH_purchases_by_BEA'!$A$2:$A$74,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IFERROR(INDEX('2_HH_purchases_by_BEA'!$B$2:$B$74, MATCH($A51, '2_HH_purchases_by_BEA'!$A$2:$A$74,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IFERROR(INDEX('2_HH_purchases_by_BEA'!$B$2:$B$74, MATCH($A52, '2_HH_purchases_by_BEA'!$A$2:$A$74,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IFERROR(INDEX('2_HH_purchases_by_BEA'!$B$2:$B$74, MATCH($A53, '2_HH_purchases_by_BEA'!$A$2:$A$74,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IFERROR(INDEX('2_HH_purchases_by_BEA'!$B$2:$B$74, MATCH($A54, '2_HH_purchases_by_BEA'!$A$2:$A$74,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IFERROR(INDEX('2_HH_purchases_by_BEA'!$B$2:$B$74, MATCH($A55, '2_HH_purchases_by_BEA'!$A$2:$A$74,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IFERROR(INDEX('2_HH_purchases_by_BEA'!$B$2:$B$74, MATCH($A56, '2_HH_purchases_by_BEA'!$A$2:$A$74,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IFERROR(INDEX('2_HH_purchases_by_BEA'!$B$2:$B$74, MATCH($A57, '2_HH_purchases_by_BEA'!$A$2:$A$74,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IFERROR(INDEX('2_HH_purchases_by_BEA'!$B$2:$B$74, MATCH($A58, '2_HH_purchases_by_BEA'!$A$2:$A$74,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IFERROR(INDEX('2_HH_purchases_by_BEA'!$B$2:$B$74, MATCH($A59, '2_HH_purchases_by_BEA'!$A$2:$A$74,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IFERROR(INDEX('2_HH_purchases_by_BEA'!$B$2:$B$74, MATCH($A60, '2_HH_purchases_by_BEA'!$A$2:$A$74,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IFERROR(INDEX('2_HH_purchases_by_BEA'!$B$2:$B$74, MATCH($A61, '2_HH_purchases_by_BEA'!$A$2:$A$74,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IFERROR(INDEX('2_HH_purchases_by_BEA'!$B$2:$B$74, MATCH($A62, '2_HH_purchases_by_BEA'!$A$2:$A$74,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IFERROR(INDEX('2_HH_purchases_by_BEA'!$B$2:$B$74, MATCH($A63, '2_HH_purchases_by_BEA'!$A$2:$A$74,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IFERROR(INDEX('2_HH_purchases_by_BEA'!$B$2:$B$74, MATCH($A64, '2_HH_purchases_by_BEA'!$A$2:$A$74,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IFERROR(INDEX('2_HH_purchases_by_BEA'!$B$2:$B$74, MATCH($A65, '2_HH_purchases_by_BEA'!$A$2:$A$74,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IFERROR(INDEX('2_HH_purchases_by_BEA'!$B$2:$B$74, MATCH($A66, '2_HH_purchases_by_BEA'!$A$2:$A$74,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IFERROR(INDEX('2_HH_purchases_by_BEA'!$B$2:$B$74, MATCH($A67, '2_HH_purchases_by_BEA'!$A$2:$A$74,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IFERROR(INDEX('2_HH_purchases_by_BEA'!$B$2:$B$74, MATCH($A68, '2_HH_purchases_by_BEA'!$A$2:$A$74,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IFERROR(INDEX('2_HH_purchases_by_BEA'!$B$2:$B$74, MATCH($A69, '2_HH_purchases_by_BEA'!$A$2:$A$74,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IFERROR(INDEX('2_HH_purchases_by_BEA'!$B$2:$B$74, MATCH($A70, '2_HH_purchases_by_BEA'!$A$2:$A$74,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IFERROR(INDEX('2_HH_purchases_by_BEA'!$B$2:$B$74, MATCH($A71, '2_HH_purchases_by_BEA'!$A$2:$A$74,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IFERROR(INDEX('2_HH_purchases_by_BEA'!$B$2:$B$74, MATCH($A72, '2_HH_purchases_by_BEA'!$A$2:$A$74,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IFERROR(INDEX('2_HH_purchases_by_BEA'!$B$2:$B$74, MATCH($A73, '2_HH_purchases_by_BEA'!$A$2:$A$74,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IFERROR(INDEX('2_HH_purchases_by_BEA'!$B$2:$B$74, MATCH($A74, '2_HH_purchases_by_BEA'!$A$2:$A$74,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IFERROR(INDEX('2_HH_purchases_by_BEA'!$B$2:$B$74, MATCH($A75, '2_HH_purchases_by_BEA'!$A$2:$A$74,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IFERROR(INDEX('2_HH_purchases_by_BEA'!$B$2:$B$74, MATCH($A76, '2_HH_purchases_by_BEA'!$A$2:$A$74,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IFERROR(INDEX('2_HH_purchases_by_BEA'!$B$2:$B$74, MATCH($A77, '2_HH_purchases_by_BEA'!$A$2:$A$74,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IFERROR(INDEX('2_HH_purchases_by_BEA'!$B$2:$B$74, MATCH($A78, '2_HH_purchases_by_BEA'!$A$2:$A$74,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IFERROR(INDEX('2_HH_purchases_by_BEA'!$B$2:$B$74, MATCH($A79, '2_HH_purchases_by_BEA'!$A$2:$A$74,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IFERROR(INDEX('2_HH_purchases_by_BEA'!$B$2:$B$74, MATCH($A80, '2_HH_purchases_by_BEA'!$A$2:$A$74,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IFERROR(INDEX('2_HH_purchases_by_BEA'!$B$2:$B$74, MATCH($A81, '2_HH_purchases_by_BEA'!$A$2:$A$74,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SUMIFS('7_Calc_HH_ISIC'!$E$3:$E$81, '7_Calc_HH_ISIC'!$B$3:$B$81, $A85)</f>
      </c>
      <c r="C85" t="str">
        <f>B85</f>
      </c>
    </row>
    <row r="86">
      <c r="A86" t="s">
        <v>191</v>
      </c>
      <c r="B86" t="str">
        <f>SUMIFS('7_Calc_HH_ISIC'!$E$3:$E$81, '7_Calc_HH_ISIC'!$B$3:$B$81, $A86)</f>
      </c>
      <c r="C86" t="str">
        <f>B86</f>
      </c>
    </row>
    <row r="87">
      <c r="A87" t="s">
        <v>192</v>
      </c>
      <c r="B87" t="str">
        <f>SUMIFS('7_Calc_HH_ISIC'!$E$3:$E$81, '7_Calc_HH_ISIC'!$B$3:$B$81, $A87)</f>
      </c>
      <c r="C87" t="str">
        <f>B87</f>
      </c>
    </row>
    <row r="88">
      <c r="A88" t="s">
        <v>193</v>
      </c>
      <c r="B88" t="str">
        <f>SUMIFS('7_Calc_HH_ISIC'!$E$3:$E$81, '7_Calc_HH_ISIC'!$B$3:$B$81, $A88)</f>
      </c>
      <c r="C88" t="str">
        <f>B88</f>
      </c>
    </row>
    <row r="89">
      <c r="A89" t="s">
        <v>195</v>
      </c>
      <c r="B89" t="str">
        <f>SUMIFS('7_Calc_HH_ISIC'!$E$3:$E$81, '7_Calc_HH_ISIC'!$B$3:$B$81, $A89)</f>
      </c>
      <c r="C89" t="str">
        <f>B89</f>
      </c>
    </row>
    <row r="90">
      <c r="A90" t="s">
        <v>196</v>
      </c>
      <c r="B90" t="str">
        <f>SUMIFS('7_Calc_HH_ISIC'!$E$3:$E$81, '7_Calc_HH_ISIC'!$B$3:$B$81, $A90)</f>
      </c>
      <c r="C90" t="str">
        <f>B90</f>
      </c>
    </row>
    <row r="91">
      <c r="A91" t="s">
        <v>197</v>
      </c>
      <c r="B91" t="str">
        <f>SUMIFS('7_Calc_HH_ISIC'!$E$3:$E$81, '7_Calc_HH_ISIC'!$B$3:$B$81, $A91)</f>
      </c>
      <c r="C91" t="str">
        <f>B91</f>
      </c>
    </row>
    <row r="92">
      <c r="A92" t="s">
        <v>198</v>
      </c>
      <c r="B92" t="str">
        <f>SUMIFS('7_Calc_HH_ISIC'!$E$3:$E$81, '7_Calc_HH_ISIC'!$B$3:$B$81, $A92)</f>
      </c>
      <c r="C92" t="str">
        <f>B92</f>
      </c>
    </row>
    <row r="93">
      <c r="A93" t="s">
        <v>199</v>
      </c>
      <c r="B93" t="str">
        <f>SUMIFS('7_Calc_HH_ISIC'!$E$3:$E$81, '7_Calc_HH_ISIC'!$B$3:$B$81, $A93)</f>
      </c>
      <c r="C93" t="str">
        <f>B93</f>
      </c>
    </row>
    <row r="94">
      <c r="A94" t="s">
        <v>200</v>
      </c>
      <c r="B94" t="str">
        <f>SUMIFS('7_Calc_HH_ISIC'!$E$3:$E$81, '7_Calc_HH_ISIC'!$B$3:$B$81, $A94)</f>
      </c>
      <c r="C94" t="str">
        <f>B94</f>
      </c>
    </row>
    <row r="95">
      <c r="A95" t="s">
        <v>110</v>
      </c>
      <c r="B95" t="str">
        <f>SUMIFS('7_Calc_HH_ISIC'!$E$3:$E$81, '7_Calc_HH_ISIC'!$B$3:$B$81, $A95)</f>
      </c>
      <c r="C95" t="str">
        <f>B95</f>
      </c>
    </row>
    <row r="96">
      <c r="A96" t="s">
        <v>202</v>
      </c>
      <c r="B96" t="str">
        <f>SUMIFS('7_Calc_HH_ISIC'!$E$3:$E$81, '7_Calc_HH_ISIC'!$B$3:$B$81, $A96)</f>
      </c>
      <c r="C96" t="str">
        <f>B96</f>
      </c>
    </row>
    <row r="97">
      <c r="A97" t="s">
        <v>203</v>
      </c>
      <c r="B97" t="str">
        <f>SUMIFS('7_Calc_HH_ISIC'!$E$3:$E$81, '7_Calc_HH_ISIC'!$B$3:$B$81, $A97)</f>
      </c>
      <c r="C97" t="str">
        <f>B97</f>
      </c>
    </row>
    <row r="98">
      <c r="A98" t="s">
        <v>204</v>
      </c>
      <c r="B98" t="str">
        <f>SUMIFS('7_Calc_HH_ISIC'!$E$3:$E$81, '7_Calc_HH_ISIC'!$B$3:$B$81, $A98)</f>
      </c>
      <c r="C98" t="str">
        <f>B98</f>
      </c>
    </row>
    <row r="99">
      <c r="A99" t="s">
        <v>205</v>
      </c>
      <c r="B99" t="str">
        <f>SUMIFS('7_Calc_HH_ISIC'!$E$3:$E$81, '7_Calc_HH_ISIC'!$B$3:$B$81, $A99)</f>
      </c>
      <c r="C99" t="str">
        <f>B99</f>
      </c>
    </row>
    <row r="100">
      <c r="A100" t="s">
        <v>206</v>
      </c>
      <c r="B100" t="str">
        <f>SUMIFS('7_Calc_HH_ISIC'!$E$3:$E$81, '7_Calc_HH_ISIC'!$B$3:$B$81, $A100)</f>
      </c>
      <c r="C100" t="str">
        <f>B100</f>
      </c>
    </row>
    <row r="101">
      <c r="A101" t="s">
        <v>207</v>
      </c>
      <c r="B101" t="str">
        <f>SUMIFS('7_Calc_HH_ISIC'!$E$3:$E$81, '7_Calc_HH_ISIC'!$B$3:$B$81, $A101)</f>
      </c>
      <c r="C101" t="str">
        <f>B101</f>
      </c>
    </row>
    <row r="102">
      <c r="A102" t="s">
        <v>208</v>
      </c>
      <c r="B102" t="str">
        <f>SUMIFS('7_Calc_HH_ISIC'!$E$3:$E$81, '7_Calc_HH_ISIC'!$B$3:$B$81, $A102)</f>
      </c>
      <c r="C102" t="str">
        <f>B102</f>
      </c>
    </row>
    <row r="103">
      <c r="A103" t="s">
        <v>209</v>
      </c>
      <c r="B103" t="str">
        <f>SUMIFS('7_Calc_HH_ISIC'!$E$3:$E$81, '7_Calc_HH_ISIC'!$B$3:$B$81, $A103)</f>
      </c>
      <c r="C103" t="str">
        <f>B103</f>
      </c>
    </row>
    <row r="104">
      <c r="A104" t="s">
        <v>210</v>
      </c>
      <c r="B104" t="str">
        <f>SUMIFS('7_Calc_HH_ISIC'!$E$3:$E$81, '7_Calc_HH_ISIC'!$B$3:$B$81, $A104)</f>
      </c>
      <c r="C104" t="str">
        <f>B104</f>
      </c>
    </row>
    <row r="105">
      <c r="A105" t="s">
        <v>211</v>
      </c>
      <c r="B105" t="str">
        <f>SUMIFS('7_Calc_HH_ISIC'!$E$3:$E$81, '7_Calc_HH_ISIC'!$B$3:$B$81, $A105)</f>
      </c>
      <c r="C105" t="str">
        <f>B105</f>
      </c>
    </row>
    <row r="106">
      <c r="A106" t="s">
        <v>212</v>
      </c>
      <c r="B106" t="str">
        <f>SUMIFS('7_Calc_HH_ISIC'!$E$3:$E$81, '7_Calc_HH_ISIC'!$B$3:$B$81, $A106)</f>
      </c>
      <c r="C106" t="str">
        <f>B106</f>
      </c>
    </row>
    <row r="107">
      <c r="A107" t="s">
        <v>214</v>
      </c>
      <c r="B107" t="str">
        <f>SUMIFS('7_Calc_HH_ISIC'!$E$3:$E$81, '7_Calc_HH_ISIC'!$B$3:$B$81, $A107)</f>
      </c>
      <c r="C107" t="str">
        <f>B107</f>
      </c>
    </row>
    <row r="108">
      <c r="A108" t="s">
        <v>215</v>
      </c>
      <c r="B108" t="str">
        <f>SUMIFS('7_Calc_HH_ISIC'!$E$3:$E$81, '7_Calc_HH_ISIC'!$B$3:$B$81, $A108)</f>
      </c>
      <c r="C108" t="str">
        <f>B108</f>
      </c>
    </row>
    <row r="109">
      <c r="A109" t="s">
        <v>216</v>
      </c>
      <c r="B109" t="str">
        <f>SUMIFS('7_Calc_HH_ISIC'!$E$3:$E$81, '7_Calc_HH_ISIC'!$B$3:$B$81,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IFERROR(INDEX('3_Intl_purchases_by_BEA'!$B$2:$B$74, MATCH($A3, '3_Intl_purchases_by_BEA'!$A$2:$A$74,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IFERROR(INDEX('3_Intl_purchases_by_BEA'!$B$2:$B$74, MATCH($A4, '3_Intl_purchases_by_BEA'!$A$2:$A$74,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IFERROR(INDEX('3_Intl_purchases_by_BEA'!$B$2:$B$74, MATCH($A5, '3_Intl_purchases_by_BEA'!$A$2:$A$74,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IFERROR(INDEX('3_Intl_purchases_by_BEA'!$B$2:$B$74, MATCH($A6, '3_Intl_purchases_by_BEA'!$A$2:$A$74,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IFERROR(INDEX('3_Intl_purchases_by_BEA'!$B$2:$B$74, MATCH($A7, '3_Intl_purchases_by_BEA'!$A$2:$A$74,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IFERROR(INDEX('3_Intl_purchases_by_BEA'!$B$2:$B$74, MATCH($A8, '3_Intl_purchases_by_BEA'!$A$2:$A$74,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IFERROR(INDEX('3_Intl_purchases_by_BEA'!$B$2:$B$74, MATCH($A9, '3_Intl_purchases_by_BEA'!$A$2:$A$74,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IFERROR(INDEX('3_Intl_purchases_by_BEA'!$B$2:$B$74, MATCH($A10, '3_Intl_purchases_by_BEA'!$A$2:$A$74,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IFERROR(INDEX('3_Intl_purchases_by_BEA'!$B$2:$B$74, MATCH($A11, '3_Intl_purchases_by_BEA'!$A$2:$A$74,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IFERROR(INDEX('3_Intl_purchases_by_BEA'!$B$2:$B$74, MATCH($A12, '3_Intl_purchases_by_BEA'!$A$2:$A$74,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IFERROR(INDEX('3_Intl_purchases_by_BEA'!$B$2:$B$74, MATCH($A13, '3_Intl_purchases_by_BEA'!$A$2:$A$74,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IFERROR(INDEX('3_Intl_purchases_by_BEA'!$B$2:$B$74, MATCH($A14, '3_Intl_purchases_by_BEA'!$A$2:$A$74,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IFERROR(INDEX('3_Intl_purchases_by_BEA'!$B$2:$B$74, MATCH($A15, '3_Intl_purchases_by_BEA'!$A$2:$A$74,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IFERROR(INDEX('3_Intl_purchases_by_BEA'!$B$2:$B$74, MATCH($A16, '3_Intl_purchases_by_BEA'!$A$2:$A$74,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IFERROR(INDEX('3_Intl_purchases_by_BEA'!$B$2:$B$74, MATCH($A17, '3_Intl_purchases_by_BEA'!$A$2:$A$74,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IFERROR(INDEX('3_Intl_purchases_by_BEA'!$B$2:$B$74, MATCH($A18, '3_Intl_purchases_by_BEA'!$A$2:$A$74,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IFERROR(INDEX('3_Intl_purchases_by_BEA'!$B$2:$B$74, MATCH($A19, '3_Intl_purchases_by_BEA'!$A$2:$A$74,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IFERROR(INDEX('3_Intl_purchases_by_BEA'!$B$2:$B$74, MATCH($A20, '3_Intl_purchases_by_BEA'!$A$2:$A$74,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IFERROR(INDEX('3_Intl_purchases_by_BEA'!$B$2:$B$74, MATCH($A21, '3_Intl_purchases_by_BEA'!$A$2:$A$74,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IFERROR(INDEX('3_Intl_purchases_by_BEA'!$B$2:$B$74, MATCH($A22, '3_Intl_purchases_by_BEA'!$A$2:$A$74,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IFERROR(INDEX('3_Intl_purchases_by_BEA'!$B$2:$B$74, MATCH($A23, '3_Intl_purchases_by_BEA'!$A$2:$A$74,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IFERROR(INDEX('3_Intl_purchases_by_BEA'!$B$2:$B$74, MATCH($A24, '3_Intl_purchases_by_BEA'!$A$2:$A$74,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IFERROR(INDEX('3_Intl_purchases_by_BEA'!$B$2:$B$74, MATCH($A25, '3_Intl_purchases_by_BEA'!$A$2:$A$74,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IFERROR(INDEX('3_Intl_purchases_by_BEA'!$B$2:$B$74, MATCH($A26, '3_Intl_purchases_by_BEA'!$A$2:$A$74,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IFERROR(INDEX('3_Intl_purchases_by_BEA'!$B$2:$B$74, MATCH($A27, '3_Intl_purchases_by_BEA'!$A$2:$A$74,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IFERROR(INDEX('3_Intl_purchases_by_BEA'!$B$2:$B$74, MATCH($A28, '3_Intl_purchases_by_BEA'!$A$2:$A$74,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IFERROR(INDEX('3_Intl_purchases_by_BEA'!$B$2:$B$74, MATCH($A29, '3_Intl_purchases_by_BEA'!$A$2:$A$74,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IFERROR(INDEX('3_Intl_purchases_by_BEA'!$B$2:$B$74, MATCH($A30, '3_Intl_purchases_by_BEA'!$A$2:$A$74,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IFERROR(INDEX('3_Intl_purchases_by_BEA'!$B$2:$B$74, MATCH($A31, '3_Intl_purchases_by_BEA'!$A$2:$A$74,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IFERROR(INDEX('3_Intl_purchases_by_BEA'!$B$2:$B$74, MATCH($A32, '3_Intl_purchases_by_BEA'!$A$2:$A$74,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IFERROR(INDEX('3_Intl_purchases_by_BEA'!$B$2:$B$74, MATCH($A33, '3_Intl_purchases_by_BEA'!$A$2:$A$74,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IFERROR(INDEX('3_Intl_purchases_by_BEA'!$B$2:$B$74, MATCH($A34, '3_Intl_purchases_by_BEA'!$A$2:$A$74,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IFERROR(INDEX('3_Intl_purchases_by_BEA'!$B$2:$B$74, MATCH($A35, '3_Intl_purchases_by_BEA'!$A$2:$A$74,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IFERROR(INDEX('3_Intl_purchases_by_BEA'!$B$2:$B$74, MATCH($A36, '3_Intl_purchases_by_BEA'!$A$2:$A$74,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IFERROR(INDEX('3_Intl_purchases_by_BEA'!$B$2:$B$74, MATCH($A37, '3_Intl_purchases_by_BEA'!$A$2:$A$74,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IFERROR(INDEX('3_Intl_purchases_by_BEA'!$B$2:$B$74, MATCH($A38, '3_Intl_purchases_by_BEA'!$A$2:$A$74,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IFERROR(INDEX('3_Intl_purchases_by_BEA'!$B$2:$B$74, MATCH($A39, '3_Intl_purchases_by_BEA'!$A$2:$A$74,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IFERROR(INDEX('3_Intl_purchases_by_BEA'!$B$2:$B$74, MATCH($A40, '3_Intl_purchases_by_BEA'!$A$2:$A$74,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IFERROR(INDEX('3_Intl_purchases_by_BEA'!$B$2:$B$74, MATCH($A41, '3_Intl_purchases_by_BEA'!$A$2:$A$74,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IFERROR(INDEX('3_Intl_purchases_by_BEA'!$B$2:$B$74, MATCH($A42, '3_Intl_purchases_by_BEA'!$A$2:$A$74,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IFERROR(INDEX('3_Intl_purchases_by_BEA'!$B$2:$B$74, MATCH($A43, '3_Intl_purchases_by_BEA'!$A$2:$A$74,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IFERROR(INDEX('3_Intl_purchases_by_BEA'!$B$2:$B$74, MATCH($A44, '3_Intl_purchases_by_BEA'!$A$2:$A$74,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IFERROR(INDEX('3_Intl_purchases_by_BEA'!$B$2:$B$74, MATCH($A45, '3_Intl_purchases_by_BEA'!$A$2:$A$74,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IFERROR(INDEX('3_Intl_purchases_by_BEA'!$B$2:$B$74, MATCH($A46, '3_Intl_purchases_by_BEA'!$A$2:$A$74,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IFERROR(INDEX('3_Intl_purchases_by_BEA'!$B$2:$B$74, MATCH($A47, '3_Intl_purchases_by_BEA'!$A$2:$A$74,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IFERROR(INDEX('3_Intl_purchases_by_BEA'!$B$2:$B$74, MATCH($A48, '3_Intl_purchases_by_BEA'!$A$2:$A$74,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IFERROR(INDEX('3_Intl_purchases_by_BEA'!$B$2:$B$74, MATCH($A49, '3_Intl_purchases_by_BEA'!$A$2:$A$74,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IFERROR(INDEX('3_Intl_purchases_by_BEA'!$B$2:$B$74, MATCH($A50, '3_Intl_purchases_by_BEA'!$A$2:$A$74,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IFERROR(INDEX('3_Intl_purchases_by_BEA'!$B$2:$B$74, MATCH($A51, '3_Intl_purchases_by_BEA'!$A$2:$A$74,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IFERROR(INDEX('3_Intl_purchases_by_BEA'!$B$2:$B$74, MATCH($A52, '3_Intl_purchases_by_BEA'!$A$2:$A$74,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IFERROR(INDEX('3_Intl_purchases_by_BEA'!$B$2:$B$74, MATCH($A53, '3_Intl_purchases_by_BEA'!$A$2:$A$74,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IFERROR(INDEX('3_Intl_purchases_by_BEA'!$B$2:$B$74, MATCH($A54, '3_Intl_purchases_by_BEA'!$A$2:$A$74,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IFERROR(INDEX('3_Intl_purchases_by_BEA'!$B$2:$B$74, MATCH($A55, '3_Intl_purchases_by_BEA'!$A$2:$A$74,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IFERROR(INDEX('3_Intl_purchases_by_BEA'!$B$2:$B$74, MATCH($A56, '3_Intl_purchases_by_BEA'!$A$2:$A$74,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IFERROR(INDEX('3_Intl_purchases_by_BEA'!$B$2:$B$74, MATCH($A57, '3_Intl_purchases_by_BEA'!$A$2:$A$74,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IFERROR(INDEX('3_Intl_purchases_by_BEA'!$B$2:$B$74, MATCH($A58, '3_Intl_purchases_by_BEA'!$A$2:$A$74,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IFERROR(INDEX('3_Intl_purchases_by_BEA'!$B$2:$B$74, MATCH($A59, '3_Intl_purchases_by_BEA'!$A$2:$A$74,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IFERROR(INDEX('3_Intl_purchases_by_BEA'!$B$2:$B$74, MATCH($A60, '3_Intl_purchases_by_BEA'!$A$2:$A$74,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IFERROR(INDEX('3_Intl_purchases_by_BEA'!$B$2:$B$74, MATCH($A61, '3_Intl_purchases_by_BEA'!$A$2:$A$74,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IFERROR(INDEX('3_Intl_purchases_by_BEA'!$B$2:$B$74, MATCH($A62, '3_Intl_purchases_by_BEA'!$A$2:$A$74,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IFERROR(INDEX('3_Intl_purchases_by_BEA'!$B$2:$B$74, MATCH($A63, '3_Intl_purchases_by_BEA'!$A$2:$A$74,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IFERROR(INDEX('3_Intl_purchases_by_BEA'!$B$2:$B$74, MATCH($A64, '3_Intl_purchases_by_BEA'!$A$2:$A$74,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IFERROR(INDEX('3_Intl_purchases_by_BEA'!$B$2:$B$74, MATCH($A65, '3_Intl_purchases_by_BEA'!$A$2:$A$74,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IFERROR(INDEX('3_Intl_purchases_by_BEA'!$B$2:$B$74, MATCH($A66, '3_Intl_purchases_by_BEA'!$A$2:$A$74,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IFERROR(INDEX('3_Intl_purchases_by_BEA'!$B$2:$B$74, MATCH($A67, '3_Intl_purchases_by_BEA'!$A$2:$A$74,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IFERROR(INDEX('3_Intl_purchases_by_BEA'!$B$2:$B$74, MATCH($A68, '3_Intl_purchases_by_BEA'!$A$2:$A$74,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IFERROR(INDEX('3_Intl_purchases_by_BEA'!$B$2:$B$74, MATCH($A69, '3_Intl_purchases_by_BEA'!$A$2:$A$74,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IFERROR(INDEX('3_Intl_purchases_by_BEA'!$B$2:$B$74, MATCH($A70, '3_Intl_purchases_by_BEA'!$A$2:$A$74,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IFERROR(INDEX('3_Intl_purchases_by_BEA'!$B$2:$B$74, MATCH($A71, '3_Intl_purchases_by_BEA'!$A$2:$A$74,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IFERROR(INDEX('3_Intl_purchases_by_BEA'!$B$2:$B$74, MATCH($A72, '3_Intl_purchases_by_BEA'!$A$2:$A$74,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IFERROR(INDEX('3_Intl_purchases_by_BEA'!$B$2:$B$74, MATCH($A73, '3_Intl_purchases_by_BEA'!$A$2:$A$74,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IFERROR(INDEX('3_Intl_purchases_by_BEA'!$B$2:$B$74, MATCH($A74, '3_Intl_purchases_by_BEA'!$A$2:$A$74,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IFERROR(INDEX('3_Intl_purchases_by_BEA'!$B$2:$B$74, MATCH($A75, '3_Intl_purchases_by_BEA'!$A$2:$A$74,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IFERROR(INDEX('3_Intl_purchases_by_BEA'!$B$2:$B$74, MATCH($A76, '3_Intl_purchases_by_BEA'!$A$2:$A$74,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IFERROR(INDEX('3_Intl_purchases_by_BEA'!$B$2:$B$74, MATCH($A77, '3_Intl_purchases_by_BEA'!$A$2:$A$74,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IFERROR(INDEX('3_Intl_purchases_by_BEA'!$B$2:$B$74, MATCH($A78, '3_Intl_purchases_by_BEA'!$A$2:$A$74,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IFERROR(INDEX('3_Intl_purchases_by_BEA'!$B$2:$B$74, MATCH($A79, '3_Intl_purchases_by_BEA'!$A$2:$A$74,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IFERROR(INDEX('3_Intl_purchases_by_BEA'!$B$2:$B$74, MATCH($A80, '3_Intl_purchases_by_BEA'!$A$2:$A$74,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IFERROR(INDEX('3_Intl_purchases_by_BEA'!$B$2:$B$74, MATCH($A81, '3_Intl_purchases_by_BEA'!$A$2:$A$74,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SUMIFS('8_Calc_Intl_ISIC'!$E$3:$E$81, '8_Calc_Intl_ISIC'!$B$3:$B$81, $A85)</f>
      </c>
      <c r="C85" t="str">
        <f>B85</f>
      </c>
    </row>
    <row r="86">
      <c r="A86" t="s">
        <v>191</v>
      </c>
      <c r="B86" t="str">
        <f>SUMIFS('8_Calc_Intl_ISIC'!$E$3:$E$81, '8_Calc_Intl_ISIC'!$B$3:$B$81, $A86)</f>
      </c>
      <c r="C86" t="str">
        <f>B86</f>
      </c>
    </row>
    <row r="87">
      <c r="A87" t="s">
        <v>192</v>
      </c>
      <c r="B87" t="str">
        <f>SUMIFS('8_Calc_Intl_ISIC'!$E$3:$E$81, '8_Calc_Intl_ISIC'!$B$3:$B$81, $A87)</f>
      </c>
      <c r="C87" t="str">
        <f>B87</f>
      </c>
    </row>
    <row r="88">
      <c r="A88" t="s">
        <v>193</v>
      </c>
      <c r="B88" t="str">
        <f>SUMIFS('8_Calc_Intl_ISIC'!$E$3:$E$81, '8_Calc_Intl_ISIC'!$B$3:$B$81, $A88)</f>
      </c>
      <c r="C88" t="str">
        <f>B88</f>
      </c>
    </row>
    <row r="89">
      <c r="A89" t="s">
        <v>195</v>
      </c>
      <c r="B89" t="str">
        <f>SUMIFS('8_Calc_Intl_ISIC'!$E$3:$E$81, '8_Calc_Intl_ISIC'!$B$3:$B$81, $A89)</f>
      </c>
      <c r="C89" t="str">
        <f>B89</f>
      </c>
    </row>
    <row r="90">
      <c r="A90" t="s">
        <v>196</v>
      </c>
      <c r="B90" t="str">
        <f>SUMIFS('8_Calc_Intl_ISIC'!$E$3:$E$81, '8_Calc_Intl_ISIC'!$B$3:$B$81, $A90)</f>
      </c>
      <c r="C90" t="str">
        <f>B90</f>
      </c>
    </row>
    <row r="91">
      <c r="A91" t="s">
        <v>197</v>
      </c>
      <c r="B91" t="str">
        <f>SUMIFS('8_Calc_Intl_ISIC'!$E$3:$E$81, '8_Calc_Intl_ISIC'!$B$3:$B$81, $A91)</f>
      </c>
      <c r="C91" t="str">
        <f>B91</f>
      </c>
    </row>
    <row r="92">
      <c r="A92" t="s">
        <v>198</v>
      </c>
      <c r="B92" t="str">
        <f>SUMIFS('8_Calc_Intl_ISIC'!$E$3:$E$81, '8_Calc_Intl_ISIC'!$B$3:$B$81, $A92)</f>
      </c>
      <c r="C92" t="str">
        <f>B92</f>
      </c>
    </row>
    <row r="93">
      <c r="A93" t="s">
        <v>199</v>
      </c>
      <c r="B93" t="str">
        <f>SUMIFS('8_Calc_Intl_ISIC'!$E$3:$E$81, '8_Calc_Intl_ISIC'!$B$3:$B$81, $A93)</f>
      </c>
      <c r="C93" t="str">
        <f>B93</f>
      </c>
    </row>
    <row r="94">
      <c r="A94" t="s">
        <v>200</v>
      </c>
      <c r="B94" t="str">
        <f>SUMIFS('8_Calc_Intl_ISIC'!$E$3:$E$81, '8_Calc_Intl_ISIC'!$B$3:$B$81, $A94)</f>
      </c>
      <c r="C94" t="str">
        <f>B94</f>
      </c>
    </row>
    <row r="95">
      <c r="A95" t="s">
        <v>110</v>
      </c>
      <c r="B95" t="str">
        <f>SUMIFS('8_Calc_Intl_ISIC'!$E$3:$E$81, '8_Calc_Intl_ISIC'!$B$3:$B$81, $A95)</f>
      </c>
      <c r="C95" t="str">
        <f>B95</f>
      </c>
    </row>
    <row r="96">
      <c r="A96" t="s">
        <v>202</v>
      </c>
      <c r="B96" t="str">
        <f>SUMIFS('8_Calc_Intl_ISIC'!$E$3:$E$81, '8_Calc_Intl_ISIC'!$B$3:$B$81, $A96)</f>
      </c>
      <c r="C96" t="str">
        <f>B96</f>
      </c>
    </row>
    <row r="97">
      <c r="A97" t="s">
        <v>203</v>
      </c>
      <c r="B97" t="str">
        <f>SUMIFS('8_Calc_Intl_ISIC'!$E$3:$E$81, '8_Calc_Intl_ISIC'!$B$3:$B$81, $A97)</f>
      </c>
      <c r="C97" t="str">
        <f>B97</f>
      </c>
    </row>
    <row r="98">
      <c r="A98" t="s">
        <v>204</v>
      </c>
      <c r="B98" t="str">
        <f>SUMIFS('8_Calc_Intl_ISIC'!$E$3:$E$81, '8_Calc_Intl_ISIC'!$B$3:$B$81, $A98)</f>
      </c>
      <c r="C98" t="str">
        <f>B98</f>
      </c>
    </row>
    <row r="99">
      <c r="A99" t="s">
        <v>205</v>
      </c>
      <c r="B99" t="str">
        <f>SUMIFS('8_Calc_Intl_ISIC'!$E$3:$E$81, '8_Calc_Intl_ISIC'!$B$3:$B$81, $A99)</f>
      </c>
      <c r="C99" t="str">
        <f>B99</f>
      </c>
    </row>
    <row r="100">
      <c r="A100" t="s">
        <v>206</v>
      </c>
      <c r="B100" t="str">
        <f>SUMIFS('8_Calc_Intl_ISIC'!$E$3:$E$81, '8_Calc_Intl_ISIC'!$B$3:$B$81, $A100)</f>
      </c>
      <c r="C100" t="str">
        <f>B100</f>
      </c>
    </row>
    <row r="101">
      <c r="A101" t="s">
        <v>207</v>
      </c>
      <c r="B101" t="str">
        <f>SUMIFS('8_Calc_Intl_ISIC'!$E$3:$E$81, '8_Calc_Intl_ISIC'!$B$3:$B$81, $A101)</f>
      </c>
      <c r="C101" t="str">
        <f>B101</f>
      </c>
    </row>
    <row r="102">
      <c r="A102" t="s">
        <v>208</v>
      </c>
      <c r="B102" t="str">
        <f>SUMIFS('8_Calc_Intl_ISIC'!$E$3:$E$81, '8_Calc_Intl_ISIC'!$B$3:$B$81, $A102)</f>
      </c>
      <c r="C102" t="str">
        <f>B102</f>
      </c>
    </row>
    <row r="103">
      <c r="A103" t="s">
        <v>209</v>
      </c>
      <c r="B103" t="str">
        <f>SUMIFS('8_Calc_Intl_ISIC'!$E$3:$E$81, '8_Calc_Intl_ISIC'!$B$3:$B$81, $A103)</f>
      </c>
      <c r="C103" t="str">
        <f>B103</f>
      </c>
    </row>
    <row r="104">
      <c r="A104" t="s">
        <v>210</v>
      </c>
      <c r="B104" t="str">
        <f>SUMIFS('8_Calc_Intl_ISIC'!$E$3:$E$81, '8_Calc_Intl_ISIC'!$B$3:$B$81, $A104)</f>
      </c>
      <c r="C104" t="str">
        <f>B104</f>
      </c>
    </row>
    <row r="105">
      <c r="A105" t="s">
        <v>211</v>
      </c>
      <c r="B105" t="str">
        <f>SUMIFS('8_Calc_Intl_ISIC'!$E$3:$E$81, '8_Calc_Intl_ISIC'!$B$3:$B$81, $A105)</f>
      </c>
      <c r="C105" t="str">
        <f>B105</f>
      </c>
    </row>
    <row r="106">
      <c r="A106" t="s">
        <v>212</v>
      </c>
      <c r="B106" t="str">
        <f>SUMIFS('8_Calc_Intl_ISIC'!$E$3:$E$81, '8_Calc_Intl_ISIC'!$B$3:$B$81, $A106)</f>
      </c>
      <c r="C106" t="str">
        <f>B106</f>
      </c>
    </row>
    <row r="107">
      <c r="A107" t="s">
        <v>214</v>
      </c>
      <c r="B107" t="str">
        <f>SUMIFS('8_Calc_Intl_ISIC'!$E$3:$E$81, '8_Calc_Intl_ISIC'!$B$3:$B$81, $A107)</f>
      </c>
      <c r="C107" t="str">
        <f>B107</f>
      </c>
    </row>
    <row r="108">
      <c r="A108" t="s">
        <v>215</v>
      </c>
      <c r="B108" t="str">
        <f>SUMIFS('8_Calc_Intl_ISIC'!$E$3:$E$81, '8_Calc_Intl_ISIC'!$B$3:$B$81, $A108)</f>
      </c>
      <c r="C108" t="str">
        <f>B108</f>
      </c>
    </row>
    <row r="109">
      <c r="A109" t="s">
        <v>216</v>
      </c>
      <c r="B109" t="str">
        <f>SUMIFS('8_Calc_Intl_ISIC'!$E$3:$E$81, '8_Calc_Intl_ISIC'!$B$3:$B$81,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IFERROR(INDEX('5_Total_purchases_by_BEA'!$B$2:$B$74, MATCH($A3, '5_Total_purchases_by_BEA'!$A$2:$A$74,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IFERROR(INDEX('5_Total_purchases_by_BEA'!$B$2:$B$74, MATCH($A4, '5_Total_purchases_by_BEA'!$A$2:$A$74,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IFERROR(INDEX('5_Total_purchases_by_BEA'!$B$2:$B$74, MATCH($A5, '5_Total_purchases_by_BEA'!$A$2:$A$74,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IFERROR(INDEX('5_Total_purchases_by_BEA'!$B$2:$B$74, MATCH($A6, '5_Total_purchases_by_BEA'!$A$2:$A$74,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IFERROR(INDEX('5_Total_purchases_by_BEA'!$B$2:$B$74, MATCH($A7, '5_Total_purchases_by_BEA'!$A$2:$A$74,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IFERROR(INDEX('5_Total_purchases_by_BEA'!$B$2:$B$74, MATCH($A8, '5_Total_purchases_by_BEA'!$A$2:$A$74,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IFERROR(INDEX('5_Total_purchases_by_BEA'!$B$2:$B$74, MATCH($A9, '5_Total_purchases_by_BEA'!$A$2:$A$74,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IFERROR(INDEX('5_Total_purchases_by_BEA'!$B$2:$B$74, MATCH($A10, '5_Total_purchases_by_BEA'!$A$2:$A$74,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IFERROR(INDEX('5_Total_purchases_by_BEA'!$B$2:$B$74, MATCH($A11, '5_Total_purchases_by_BEA'!$A$2:$A$74,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IFERROR(INDEX('5_Total_purchases_by_BEA'!$B$2:$B$74, MATCH($A12, '5_Total_purchases_by_BEA'!$A$2:$A$74,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IFERROR(INDEX('5_Total_purchases_by_BEA'!$B$2:$B$74, MATCH($A13, '5_Total_purchases_by_BEA'!$A$2:$A$74,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IFERROR(INDEX('5_Total_purchases_by_BEA'!$B$2:$B$74, MATCH($A14, '5_Total_purchases_by_BEA'!$A$2:$A$74,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IFERROR(INDEX('5_Total_purchases_by_BEA'!$B$2:$B$74, MATCH($A15, '5_Total_purchases_by_BEA'!$A$2:$A$74,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IFERROR(INDEX('5_Total_purchases_by_BEA'!$B$2:$B$74, MATCH($A16, '5_Total_purchases_by_BEA'!$A$2:$A$74,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IFERROR(INDEX('5_Total_purchases_by_BEA'!$B$2:$B$74, MATCH($A17, '5_Total_purchases_by_BEA'!$A$2:$A$74,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IFERROR(INDEX('5_Total_purchases_by_BEA'!$B$2:$B$74, MATCH($A18, '5_Total_purchases_by_BEA'!$A$2:$A$74,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IFERROR(INDEX('5_Total_purchases_by_BEA'!$B$2:$B$74, MATCH($A19, '5_Total_purchases_by_BEA'!$A$2:$A$74,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IFERROR(INDEX('5_Total_purchases_by_BEA'!$B$2:$B$74, MATCH($A20, '5_Total_purchases_by_BEA'!$A$2:$A$74,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IFERROR(INDEX('5_Total_purchases_by_BEA'!$B$2:$B$74, MATCH($A21, '5_Total_purchases_by_BEA'!$A$2:$A$74,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IFERROR(INDEX('5_Total_purchases_by_BEA'!$B$2:$B$74, MATCH($A22, '5_Total_purchases_by_BEA'!$A$2:$A$74,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IFERROR(INDEX('5_Total_purchases_by_BEA'!$B$2:$B$74, MATCH($A23, '5_Total_purchases_by_BEA'!$A$2:$A$74,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IFERROR(INDEX('5_Total_purchases_by_BEA'!$B$2:$B$74, MATCH($A24, '5_Total_purchases_by_BEA'!$A$2:$A$74,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IFERROR(INDEX('5_Total_purchases_by_BEA'!$B$2:$B$74, MATCH($A25, '5_Total_purchases_by_BEA'!$A$2:$A$74,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IFERROR(INDEX('5_Total_purchases_by_BEA'!$B$2:$B$74, MATCH($A26, '5_Total_purchases_by_BEA'!$A$2:$A$74,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IFERROR(INDEX('5_Total_purchases_by_BEA'!$B$2:$B$74, MATCH($A27, '5_Total_purchases_by_BEA'!$A$2:$A$74,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IFERROR(INDEX('5_Total_purchases_by_BEA'!$B$2:$B$74, MATCH($A28, '5_Total_purchases_by_BEA'!$A$2:$A$74,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IFERROR(INDEX('5_Total_purchases_by_BEA'!$B$2:$B$74, MATCH($A29, '5_Total_purchases_by_BEA'!$A$2:$A$74,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IFERROR(INDEX('5_Total_purchases_by_BEA'!$B$2:$B$74, MATCH($A30, '5_Total_purchases_by_BEA'!$A$2:$A$74,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IFERROR(INDEX('5_Total_purchases_by_BEA'!$B$2:$B$74, MATCH($A31, '5_Total_purchases_by_BEA'!$A$2:$A$74,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IFERROR(INDEX('5_Total_purchases_by_BEA'!$B$2:$B$74, MATCH($A32, '5_Total_purchases_by_BEA'!$A$2:$A$74,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IFERROR(INDEX('5_Total_purchases_by_BEA'!$B$2:$B$74, MATCH($A33, '5_Total_purchases_by_BEA'!$A$2:$A$74,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IFERROR(INDEX('5_Total_purchases_by_BEA'!$B$2:$B$74, MATCH($A34, '5_Total_purchases_by_BEA'!$A$2:$A$74,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IFERROR(INDEX('5_Total_purchases_by_BEA'!$B$2:$B$74, MATCH($A35, '5_Total_purchases_by_BEA'!$A$2:$A$74,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IFERROR(INDEX('5_Total_purchases_by_BEA'!$B$2:$B$74, MATCH($A36, '5_Total_purchases_by_BEA'!$A$2:$A$74,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IFERROR(INDEX('5_Total_purchases_by_BEA'!$B$2:$B$74, MATCH($A37, '5_Total_purchases_by_BEA'!$A$2:$A$74,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IFERROR(INDEX('5_Total_purchases_by_BEA'!$B$2:$B$74, MATCH($A38, '5_Total_purchases_by_BEA'!$A$2:$A$74,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IFERROR(INDEX('5_Total_purchases_by_BEA'!$B$2:$B$74, MATCH($A39, '5_Total_purchases_by_BEA'!$A$2:$A$74,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IFERROR(INDEX('5_Total_purchases_by_BEA'!$B$2:$B$74, MATCH($A40, '5_Total_purchases_by_BEA'!$A$2:$A$74,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IFERROR(INDEX('5_Total_purchases_by_BEA'!$B$2:$B$74, MATCH($A41, '5_Total_purchases_by_BEA'!$A$2:$A$74,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IFERROR(INDEX('5_Total_purchases_by_BEA'!$B$2:$B$74, MATCH($A42, '5_Total_purchases_by_BEA'!$A$2:$A$74,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IFERROR(INDEX('5_Total_purchases_by_BEA'!$B$2:$B$74, MATCH($A43, '5_Total_purchases_by_BEA'!$A$2:$A$74,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IFERROR(INDEX('5_Total_purchases_by_BEA'!$B$2:$B$74, MATCH($A44, '5_Total_purchases_by_BEA'!$A$2:$A$74,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IFERROR(INDEX('5_Total_purchases_by_BEA'!$B$2:$B$74, MATCH($A45, '5_Total_purchases_by_BEA'!$A$2:$A$74,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IFERROR(INDEX('5_Total_purchases_by_BEA'!$B$2:$B$74, MATCH($A46, '5_Total_purchases_by_BEA'!$A$2:$A$74,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IFERROR(INDEX('5_Total_purchases_by_BEA'!$B$2:$B$74, MATCH($A47, '5_Total_purchases_by_BEA'!$A$2:$A$74,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IFERROR(INDEX('5_Total_purchases_by_BEA'!$B$2:$B$74, MATCH($A48, '5_Total_purchases_by_BEA'!$A$2:$A$74,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IFERROR(INDEX('5_Total_purchases_by_BEA'!$B$2:$B$74, MATCH($A49, '5_Total_purchases_by_BEA'!$A$2:$A$74,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IFERROR(INDEX('5_Total_purchases_by_BEA'!$B$2:$B$74, MATCH($A50, '5_Total_purchases_by_BEA'!$A$2:$A$74,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IFERROR(INDEX('5_Total_purchases_by_BEA'!$B$2:$B$74, MATCH($A51, '5_Total_purchases_by_BEA'!$A$2:$A$74,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IFERROR(INDEX('5_Total_purchases_by_BEA'!$B$2:$B$74, MATCH($A52, '5_Total_purchases_by_BEA'!$A$2:$A$74,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IFERROR(INDEX('5_Total_purchases_by_BEA'!$B$2:$B$74, MATCH($A53, '5_Total_purchases_by_BEA'!$A$2:$A$74,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IFERROR(INDEX('5_Total_purchases_by_BEA'!$B$2:$B$74, MATCH($A54, '5_Total_purchases_by_BEA'!$A$2:$A$74,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IFERROR(INDEX('5_Total_purchases_by_BEA'!$B$2:$B$74, MATCH($A55, '5_Total_purchases_by_BEA'!$A$2:$A$74,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IFERROR(INDEX('5_Total_purchases_by_BEA'!$B$2:$B$74, MATCH($A56, '5_Total_purchases_by_BEA'!$A$2:$A$74,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IFERROR(INDEX('5_Total_purchases_by_BEA'!$B$2:$B$74, MATCH($A57, '5_Total_purchases_by_BEA'!$A$2:$A$74,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IFERROR(INDEX('5_Total_purchases_by_BEA'!$B$2:$B$74, MATCH($A58, '5_Total_purchases_by_BEA'!$A$2:$A$74,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IFERROR(INDEX('5_Total_purchases_by_BEA'!$B$2:$B$74, MATCH($A59, '5_Total_purchases_by_BEA'!$A$2:$A$74,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IFERROR(INDEX('5_Total_purchases_by_BEA'!$B$2:$B$74, MATCH($A60, '5_Total_purchases_by_BEA'!$A$2:$A$74,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IFERROR(INDEX('5_Total_purchases_by_BEA'!$B$2:$B$74, MATCH($A61, '5_Total_purchases_by_BEA'!$A$2:$A$74,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IFERROR(INDEX('5_Total_purchases_by_BEA'!$B$2:$B$74, MATCH($A62, '5_Total_purchases_by_BEA'!$A$2:$A$74,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IFERROR(INDEX('5_Total_purchases_by_BEA'!$B$2:$B$74, MATCH($A63, '5_Total_purchases_by_BEA'!$A$2:$A$74,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IFERROR(INDEX('5_Total_purchases_by_BEA'!$B$2:$B$74, MATCH($A64, '5_Total_purchases_by_BEA'!$A$2:$A$74,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IFERROR(INDEX('5_Total_purchases_by_BEA'!$B$2:$B$74, MATCH($A65, '5_Total_purchases_by_BEA'!$A$2:$A$74,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IFERROR(INDEX('5_Total_purchases_by_BEA'!$B$2:$B$74, MATCH($A66, '5_Total_purchases_by_BEA'!$A$2:$A$74,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IFERROR(INDEX('5_Total_purchases_by_BEA'!$B$2:$B$74, MATCH($A67, '5_Total_purchases_by_BEA'!$A$2:$A$74,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IFERROR(INDEX('5_Total_purchases_by_BEA'!$B$2:$B$74, MATCH($A68, '5_Total_purchases_by_BEA'!$A$2:$A$74,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IFERROR(INDEX('5_Total_purchases_by_BEA'!$B$2:$B$74, MATCH($A69, '5_Total_purchases_by_BEA'!$A$2:$A$74,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IFERROR(INDEX('5_Total_purchases_by_BEA'!$B$2:$B$74, MATCH($A70, '5_Total_purchases_by_BEA'!$A$2:$A$74,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IFERROR(INDEX('5_Total_purchases_by_BEA'!$B$2:$B$74, MATCH($A71, '5_Total_purchases_by_BEA'!$A$2:$A$74,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IFERROR(INDEX('5_Total_purchases_by_BEA'!$B$2:$B$74, MATCH($A72, '5_Total_purchases_by_BEA'!$A$2:$A$74,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IFERROR(INDEX('5_Total_purchases_by_BEA'!$B$2:$B$74, MATCH($A73, '5_Total_purchases_by_BEA'!$A$2:$A$74,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IFERROR(INDEX('5_Total_purchases_by_BEA'!$B$2:$B$74, MATCH($A74, '5_Total_purchases_by_BEA'!$A$2:$A$74,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IFERROR(INDEX('5_Total_purchases_by_BEA'!$B$2:$B$74, MATCH($A75, '5_Total_purchases_by_BEA'!$A$2:$A$74,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IFERROR(INDEX('5_Total_purchases_by_BEA'!$B$2:$B$74, MATCH($A76, '5_Total_purchases_by_BEA'!$A$2:$A$74,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IFERROR(INDEX('5_Total_purchases_by_BEA'!$B$2:$B$74, MATCH($A77, '5_Total_purchases_by_BEA'!$A$2:$A$74,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IFERROR(INDEX('5_Total_purchases_by_BEA'!$B$2:$B$74, MATCH($A78, '5_Total_purchases_by_BEA'!$A$2:$A$74,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IFERROR(INDEX('5_Total_purchases_by_BEA'!$B$2:$B$74, MATCH($A79, '5_Total_purchases_by_BEA'!$A$2:$A$74,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IFERROR(INDEX('5_Total_purchases_by_BEA'!$B$2:$B$74, MATCH($A80, '5_Total_purchases_by_BEA'!$A$2:$A$74,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IFERROR(INDEX('5_Total_purchases_by_BEA'!$B$2:$B$74, MATCH($A81, '5_Total_purchases_by_BEA'!$A$2:$A$74,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SUMIFS('9_Calc_Total_ISIC'!$E$3:$E$81, '9_Calc_Total_ISIC'!$B$3:$B$81, $A85)</f>
      </c>
      <c r="C85" t="str">
        <f>B85</f>
      </c>
    </row>
    <row r="86">
      <c r="A86" t="s">
        <v>191</v>
      </c>
      <c r="B86" t="str">
        <f>SUMIFS('9_Calc_Total_ISIC'!$E$3:$E$81, '9_Calc_Total_ISIC'!$B$3:$B$81, $A86)</f>
      </c>
      <c r="C86" t="str">
        <f>B86</f>
      </c>
    </row>
    <row r="87">
      <c r="A87" t="s">
        <v>192</v>
      </c>
      <c r="B87" t="str">
        <f>SUMIFS('9_Calc_Total_ISIC'!$E$3:$E$81, '9_Calc_Total_ISIC'!$B$3:$B$81, $A87)</f>
      </c>
      <c r="C87" t="str">
        <f>B87</f>
      </c>
    </row>
    <row r="88">
      <c r="A88" t="s">
        <v>193</v>
      </c>
      <c r="B88" t="str">
        <f>SUMIFS('9_Calc_Total_ISIC'!$E$3:$E$81, '9_Calc_Total_ISIC'!$B$3:$B$81, $A88)</f>
      </c>
      <c r="C88" t="str">
        <f>B88</f>
      </c>
    </row>
    <row r="89">
      <c r="A89" t="s">
        <v>195</v>
      </c>
      <c r="B89" t="str">
        <f>SUMIFS('9_Calc_Total_ISIC'!$E$3:$E$81, '9_Calc_Total_ISIC'!$B$3:$B$81, $A89)</f>
      </c>
      <c r="C89" t="str">
        <f>B89</f>
      </c>
    </row>
    <row r="90">
      <c r="A90" t="s">
        <v>196</v>
      </c>
      <c r="B90" t="str">
        <f>SUMIFS('9_Calc_Total_ISIC'!$E$3:$E$81, '9_Calc_Total_ISIC'!$B$3:$B$81, $A90)</f>
      </c>
      <c r="C90" t="str">
        <f>B90</f>
      </c>
    </row>
    <row r="91">
      <c r="A91" t="s">
        <v>197</v>
      </c>
      <c r="B91" t="str">
        <f>SUMIFS('9_Calc_Total_ISIC'!$E$3:$E$81, '9_Calc_Total_ISIC'!$B$3:$B$81, $A91)</f>
      </c>
      <c r="C91" t="str">
        <f>B91</f>
      </c>
    </row>
    <row r="92">
      <c r="A92" t="s">
        <v>198</v>
      </c>
      <c r="B92" t="str">
        <f>SUMIFS('9_Calc_Total_ISIC'!$E$3:$E$81, '9_Calc_Total_ISIC'!$B$3:$B$81, $A92)</f>
      </c>
      <c r="C92" t="str">
        <f>B92</f>
      </c>
    </row>
    <row r="93">
      <c r="A93" t="s">
        <v>199</v>
      </c>
      <c r="B93" t="str">
        <f>SUMIFS('9_Calc_Total_ISIC'!$E$3:$E$81, '9_Calc_Total_ISIC'!$B$3:$B$81, $A93)</f>
      </c>
      <c r="C93" t="str">
        <f>B93</f>
      </c>
    </row>
    <row r="94">
      <c r="A94" t="s">
        <v>200</v>
      </c>
      <c r="B94" t="str">
        <f>SUMIFS('9_Calc_Total_ISIC'!$E$3:$E$81, '9_Calc_Total_ISIC'!$B$3:$B$81, $A94)</f>
      </c>
      <c r="C94" t="str">
        <f>B94</f>
      </c>
    </row>
    <row r="95">
      <c r="A95" t="s">
        <v>110</v>
      </c>
      <c r="B95" t="str">
        <f>SUMIFS('9_Calc_Total_ISIC'!$E$3:$E$81, '9_Calc_Total_ISIC'!$B$3:$B$81, $A95)</f>
      </c>
      <c r="C95" t="str">
        <f>B95</f>
      </c>
    </row>
    <row r="96">
      <c r="A96" t="s">
        <v>202</v>
      </c>
      <c r="B96" t="str">
        <f>SUMIFS('9_Calc_Total_ISIC'!$E$3:$E$81, '9_Calc_Total_ISIC'!$B$3:$B$81, $A96)</f>
      </c>
      <c r="C96" t="str">
        <f>B96</f>
      </c>
    </row>
    <row r="97">
      <c r="A97" t="s">
        <v>203</v>
      </c>
      <c r="B97" t="str">
        <f>SUMIFS('9_Calc_Total_ISIC'!$E$3:$E$81, '9_Calc_Total_ISIC'!$B$3:$B$81, $A97)</f>
      </c>
      <c r="C97" t="str">
        <f>B97</f>
      </c>
    </row>
    <row r="98">
      <c r="A98" t="s">
        <v>204</v>
      </c>
      <c r="B98" t="str">
        <f>SUMIFS('9_Calc_Total_ISIC'!$E$3:$E$81, '9_Calc_Total_ISIC'!$B$3:$B$81, $A98)</f>
      </c>
      <c r="C98" t="str">
        <f>B98</f>
      </c>
    </row>
    <row r="99">
      <c r="A99" t="s">
        <v>205</v>
      </c>
      <c r="B99" t="str">
        <f>SUMIFS('9_Calc_Total_ISIC'!$E$3:$E$81, '9_Calc_Total_ISIC'!$B$3:$B$81, $A99)</f>
      </c>
      <c r="C99" t="str">
        <f>B99</f>
      </c>
    </row>
    <row r="100">
      <c r="A100" t="s">
        <v>206</v>
      </c>
      <c r="B100" t="str">
        <f>SUMIFS('9_Calc_Total_ISIC'!$E$3:$E$81, '9_Calc_Total_ISIC'!$B$3:$B$81, $A100)</f>
      </c>
      <c r="C100" t="str">
        <f>B100</f>
      </c>
    </row>
    <row r="101">
      <c r="A101" t="s">
        <v>207</v>
      </c>
      <c r="B101" t="str">
        <f>SUMIFS('9_Calc_Total_ISIC'!$E$3:$E$81, '9_Calc_Total_ISIC'!$B$3:$B$81, $A101)</f>
      </c>
      <c r="C101" t="str">
        <f>B101</f>
      </c>
    </row>
    <row r="102">
      <c r="A102" t="s">
        <v>208</v>
      </c>
      <c r="B102" t="str">
        <f>SUMIFS('9_Calc_Total_ISIC'!$E$3:$E$81, '9_Calc_Total_ISIC'!$B$3:$B$81, $A102)</f>
      </c>
      <c r="C102" t="str">
        <f>B102</f>
      </c>
    </row>
    <row r="103">
      <c r="A103" t="s">
        <v>209</v>
      </c>
      <c r="B103" t="str">
        <f>SUMIFS('9_Calc_Total_ISIC'!$E$3:$E$81, '9_Calc_Total_ISIC'!$B$3:$B$81, $A103)</f>
      </c>
      <c r="C103" t="str">
        <f>B103</f>
      </c>
    </row>
    <row r="104">
      <c r="A104" t="s">
        <v>210</v>
      </c>
      <c r="B104" t="str">
        <f>SUMIFS('9_Calc_Total_ISIC'!$E$3:$E$81, '9_Calc_Total_ISIC'!$B$3:$B$81, $A104)</f>
      </c>
      <c r="C104" t="str">
        <f>B104</f>
      </c>
    </row>
    <row r="105">
      <c r="A105" t="s">
        <v>211</v>
      </c>
      <c r="B105" t="str">
        <f>SUMIFS('9_Calc_Total_ISIC'!$E$3:$E$81, '9_Calc_Total_ISIC'!$B$3:$B$81, $A105)</f>
      </c>
      <c r="C105" t="str">
        <f>B105</f>
      </c>
    </row>
    <row r="106">
      <c r="A106" t="s">
        <v>212</v>
      </c>
      <c r="B106" t="str">
        <f>SUMIFS('9_Calc_Total_ISIC'!$E$3:$E$81, '9_Calc_Total_ISIC'!$B$3:$B$81, $A106)</f>
      </c>
      <c r="C106" t="str">
        <f>B106</f>
      </c>
    </row>
    <row r="107">
      <c r="A107" t="s">
        <v>214</v>
      </c>
      <c r="B107" t="str">
        <f>SUMIFS('9_Calc_Total_ISIC'!$E$3:$E$81, '9_Calc_Total_ISIC'!$B$3:$B$81, $A107)</f>
      </c>
      <c r="C107" t="str">
        <f>B107</f>
      </c>
    </row>
    <row r="108">
      <c r="A108" t="s">
        <v>215</v>
      </c>
      <c r="B108" t="str">
        <f>SUMIFS('9_Calc_Total_ISIC'!$E$3:$E$81, '9_Calc_Total_ISIC'!$B$3:$B$81, $A108)</f>
      </c>
      <c r="C108" t="str">
        <f>B108</f>
      </c>
    </row>
    <row r="109">
      <c r="A109" t="s">
        <v>216</v>
      </c>
      <c r="B109" t="str">
        <f>SUMIFS('9_Calc_Total_ISIC'!$E$3:$E$81, '9_Calc_Total_ISIC'!$B$3:$B$81,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</cols>
  <sheetData>
    <row r="1">
      <c r="A1" t="s">
        <v>582</v>
      </c>
    </row>
    <row r="2">
      <c r="A2" t="s">
        <v>188</v>
      </c>
      <c r="B2" t="s">
        <v>583</v>
      </c>
      <c r="C2" t="s">
        <v>584</v>
      </c>
      <c r="D2" t="s">
        <v>585</v>
      </c>
      <c r="E2" t="s">
        <v>586</v>
      </c>
      <c r="F2" t="s">
        <v>587</v>
      </c>
      <c r="G2" t="s">
        <v>588</v>
      </c>
      <c r="H2" t="s">
        <v>589</v>
      </c>
      <c r="I2" t="s">
        <v>590</v>
      </c>
      <c r="J2" t="s">
        <v>591</v>
      </c>
    </row>
    <row r="3">
      <c r="A3" t="s">
        <v>190</v>
      </c>
      <c r="B3" t="str">
        <f>IFERROR(INDEX('6_Calc_Gov_ISIC'!$C$85:$C$109, MATCH($A3, '6_Calc_Gov_ISIC'!$A$85:$A$109, 0)), 0)</f>
      </c>
      <c r="C3" t="str">
        <f>IFERROR(INDEX('7_Calc_HH_ISIC'!$C$85:$C$109, MATCH($A3, '7_Calc_HH_ISIC'!$A$85:$A$109, 0)), 0)</f>
      </c>
      <c r="D3" t="str">
        <f>IFERROR(INDEX('8_Calc_Intl_ISIC'!$C$85:$C$109, MATCH($A3, '8_Calc_Intl_ISIC'!$A$85:$A$109, 0)), 0)</f>
      </c>
      <c r="E3" t="str">
        <f>IFERROR(INDEX('9_Calc_Total_ISIC'!$C$85:$C$109, MATCH($A3, '9_Calc_Total_ISIC'!$A$85:$A$109, 0)), 0)</f>
      </c>
      <c r="F3" t="str">
        <f>MAX(E3, Keys!$C$5)</f>
      </c>
      <c r="G3" t="str">
        <f>B3/F3</f>
      </c>
      <c r="H3" t="str">
        <f>C3/F3</f>
      </c>
      <c r="I3" t="str">
        <f>D3/F3</f>
      </c>
      <c r="J3" t="str">
        <f>MAX(0, 1-G3-H3-I3)</f>
      </c>
    </row>
    <row r="4">
      <c r="A4" t="s">
        <v>191</v>
      </c>
      <c r="B4" t="str">
        <f>IFERROR(INDEX('6_Calc_Gov_ISIC'!$C$85:$C$109, MATCH($A4, '6_Calc_Gov_ISIC'!$A$85:$A$109, 0)), 0)</f>
      </c>
      <c r="C4" t="str">
        <f>IFERROR(INDEX('7_Calc_HH_ISIC'!$C$85:$C$109, MATCH($A4, '7_Calc_HH_ISIC'!$A$85:$A$109, 0)), 0)</f>
      </c>
      <c r="D4" t="str">
        <f>IFERROR(INDEX('8_Calc_Intl_ISIC'!$C$85:$C$109, MATCH($A4, '8_Calc_Intl_ISIC'!$A$85:$A$109, 0)), 0)</f>
      </c>
      <c r="E4" t="str">
        <f>IFERROR(INDEX('9_Calc_Total_ISIC'!$C$85:$C$109, MATCH($A4, '9_Calc_Total_ISIC'!$A$85:$A$109, 0)), 0)</f>
      </c>
      <c r="F4" t="str">
        <f>MAX(E4, Keys!$C$5)</f>
      </c>
      <c r="G4" t="str">
        <f>B4/F4</f>
      </c>
      <c r="H4" t="str">
        <f>C4/F4</f>
      </c>
      <c r="I4" t="str">
        <f>D4/F4</f>
      </c>
      <c r="J4" t="str">
        <f>MAX(0, 1-G4-H4-I4)</f>
      </c>
    </row>
    <row r="5">
      <c r="A5" t="s">
        <v>192</v>
      </c>
      <c r="B5" t="str">
        <f>IFERROR(INDEX('6_Calc_Gov_ISIC'!$C$85:$C$109, MATCH($A5, '6_Calc_Gov_ISIC'!$A$85:$A$109, 0)), 0)</f>
      </c>
      <c r="C5" t="str">
        <f>IFERROR(INDEX('7_Calc_HH_ISIC'!$C$85:$C$109, MATCH($A5, '7_Calc_HH_ISIC'!$A$85:$A$109, 0)), 0)</f>
      </c>
      <c r="D5" t="str">
        <f>IFERROR(INDEX('8_Calc_Intl_ISIC'!$C$85:$C$109, MATCH($A5, '8_Calc_Intl_ISIC'!$A$85:$A$109, 0)), 0)</f>
      </c>
      <c r="E5" t="str">
        <f>IFERROR(INDEX('9_Calc_Total_ISIC'!$C$85:$C$109, MATCH($A5, '9_Calc_Total_ISIC'!$A$85:$A$109, 0)), 0)</f>
      </c>
      <c r="F5" t="str">
        <f>MAX(E5, Keys!$C$5)</f>
      </c>
      <c r="G5" t="str">
        <f>B5/F5</f>
      </c>
      <c r="H5" t="str">
        <f>C5/F5</f>
      </c>
      <c r="I5" t="str">
        <f>D5/F5</f>
      </c>
      <c r="J5" t="str">
        <f>MAX(0, 1-G5-H5-I5)</f>
      </c>
    </row>
    <row r="6">
      <c r="A6" t="s">
        <v>193</v>
      </c>
      <c r="B6" t="str">
        <f>IFERROR(INDEX('6_Calc_Gov_ISIC'!$C$85:$C$109, MATCH($A6, '6_Calc_Gov_ISIC'!$A$85:$A$109, 0)), 0)</f>
      </c>
      <c r="C6" t="str">
        <f>IFERROR(INDEX('7_Calc_HH_ISIC'!$C$85:$C$109, MATCH($A6, '7_Calc_HH_ISIC'!$A$85:$A$109, 0)), 0)</f>
      </c>
      <c r="D6" t="str">
        <f>IFERROR(INDEX('8_Calc_Intl_ISIC'!$C$85:$C$109, MATCH($A6, '8_Calc_Intl_ISIC'!$A$85:$A$109, 0)), 0)</f>
      </c>
      <c r="E6" t="str">
        <f>IFERROR(INDEX('9_Calc_Total_ISIC'!$C$85:$C$109, MATCH($A6, '9_Calc_Total_ISIC'!$A$85:$A$109, 0)), 0)</f>
      </c>
      <c r="F6" t="str">
        <f>MAX(E6, Keys!$C$5)</f>
      </c>
      <c r="G6" t="str">
        <f>B6/F6</f>
      </c>
      <c r="H6" t="str">
        <f>C6/F6</f>
      </c>
      <c r="I6" t="str">
        <f>D6/F6</f>
      </c>
      <c r="J6" t="str">
        <f>MAX(0, 1-G6-H6-I6)</f>
      </c>
    </row>
    <row r="7">
      <c r="A7" t="s">
        <v>195</v>
      </c>
      <c r="B7" t="str">
        <f>IFERROR(INDEX('6_Calc_Gov_ISIC'!$C$85:$C$109, MATCH($A7, '6_Calc_Gov_ISIC'!$A$85:$A$109, 0)), 0)</f>
      </c>
      <c r="C7" t="str">
        <f>IFERROR(INDEX('7_Calc_HH_ISIC'!$C$85:$C$109, MATCH($A7, '7_Calc_HH_ISIC'!$A$85:$A$109, 0)), 0)</f>
      </c>
      <c r="D7" t="str">
        <f>IFERROR(INDEX('8_Calc_Intl_ISIC'!$C$85:$C$109, MATCH($A7, '8_Calc_Intl_ISIC'!$A$85:$A$109, 0)), 0)</f>
      </c>
      <c r="E7" t="str">
        <f>IFERROR(INDEX('9_Calc_Total_ISIC'!$C$85:$C$109, MATCH($A7, '9_Calc_Total_ISIC'!$A$85:$A$109, 0)), 0)</f>
      </c>
      <c r="F7" t="str">
        <f>MAX(E7, Keys!$C$5)</f>
      </c>
      <c r="G7" t="str">
        <f>B7/F7</f>
      </c>
      <c r="H7" t="str">
        <f>C7/F7</f>
      </c>
      <c r="I7" t="str">
        <f>D7/F7</f>
      </c>
      <c r="J7" t="str">
        <f>MAX(0, 1-G7-H7-I7)</f>
      </c>
    </row>
    <row r="8">
      <c r="A8" t="s">
        <v>196</v>
      </c>
      <c r="B8" t="str">
        <f>IFERROR(INDEX('6_Calc_Gov_ISIC'!$C$85:$C$109, MATCH($A8, '6_Calc_Gov_ISIC'!$A$85:$A$109, 0)), 0)</f>
      </c>
      <c r="C8" t="str">
        <f>IFERROR(INDEX('7_Calc_HH_ISIC'!$C$85:$C$109, MATCH($A8, '7_Calc_HH_ISIC'!$A$85:$A$109, 0)), 0)</f>
      </c>
      <c r="D8" t="str">
        <f>IFERROR(INDEX('8_Calc_Intl_ISIC'!$C$85:$C$109, MATCH($A8, '8_Calc_Intl_ISIC'!$A$85:$A$109, 0)), 0)</f>
      </c>
      <c r="E8" t="str">
        <f>IFERROR(INDEX('9_Calc_Total_ISIC'!$C$85:$C$109, MATCH($A8, '9_Calc_Total_ISIC'!$A$85:$A$109, 0)), 0)</f>
      </c>
      <c r="F8" t="str">
        <f>MAX(E8, Keys!$C$5)</f>
      </c>
      <c r="G8" t="str">
        <f>B8/F8</f>
      </c>
      <c r="H8" t="str">
        <f>C8/F8</f>
      </c>
      <c r="I8" t="str">
        <f>D8/F8</f>
      </c>
      <c r="J8" t="str">
        <f>MAX(0, 1-G8-H8-I8)</f>
      </c>
    </row>
    <row r="9">
      <c r="A9" t="s">
        <v>197</v>
      </c>
      <c r="B9" t="str">
        <f>IFERROR(INDEX('6_Calc_Gov_ISIC'!$C$85:$C$109, MATCH($A9, '6_Calc_Gov_ISIC'!$A$85:$A$109, 0)), 0)</f>
      </c>
      <c r="C9" t="str">
        <f>IFERROR(INDEX('7_Calc_HH_ISIC'!$C$85:$C$109, MATCH($A9, '7_Calc_HH_ISIC'!$A$85:$A$109, 0)), 0)</f>
      </c>
      <c r="D9" t="str">
        <f>IFERROR(INDEX('8_Calc_Intl_ISIC'!$C$85:$C$109, MATCH($A9, '8_Calc_Intl_ISIC'!$A$85:$A$109, 0)), 0)</f>
      </c>
      <c r="E9" t="str">
        <f>IFERROR(INDEX('9_Calc_Total_ISIC'!$C$85:$C$109, MATCH($A9, '9_Calc_Total_ISIC'!$A$85:$A$109, 0)), 0)</f>
      </c>
      <c r="F9" t="str">
        <f>MAX(E9, Keys!$C$5)</f>
      </c>
      <c r="G9" t="str">
        <f>B9/F9</f>
      </c>
      <c r="H9" t="str">
        <f>C9/F9</f>
      </c>
      <c r="I9" t="str">
        <f>D9/F9</f>
      </c>
      <c r="J9" t="str">
        <f>MAX(0, 1-G9-H9-I9)</f>
      </c>
    </row>
    <row r="10">
      <c r="A10" t="s">
        <v>198</v>
      </c>
      <c r="B10" t="str">
        <f>IFERROR(INDEX('6_Calc_Gov_ISIC'!$C$85:$C$109, MATCH($A10, '6_Calc_Gov_ISIC'!$A$85:$A$109, 0)), 0)</f>
      </c>
      <c r="C10" t="str">
        <f>IFERROR(INDEX('7_Calc_HH_ISIC'!$C$85:$C$109, MATCH($A10, '7_Calc_HH_ISIC'!$A$85:$A$109, 0)), 0)</f>
      </c>
      <c r="D10" t="str">
        <f>IFERROR(INDEX('8_Calc_Intl_ISIC'!$C$85:$C$109, MATCH($A10, '8_Calc_Intl_ISIC'!$A$85:$A$109, 0)), 0)</f>
      </c>
      <c r="E10" t="str">
        <f>IFERROR(INDEX('9_Calc_Total_ISIC'!$C$85:$C$109, MATCH($A10, '9_Calc_Total_ISIC'!$A$85:$A$109, 0)), 0)</f>
      </c>
      <c r="F10" t="str">
        <f>MAX(E10, Keys!$C$5)</f>
      </c>
      <c r="G10" t="str">
        <f>B10/F10</f>
      </c>
      <c r="H10" t="str">
        <f>C10/F10</f>
      </c>
      <c r="I10" t="str">
        <f>D10/F10</f>
      </c>
      <c r="J10" t="str">
        <f>MAX(0, 1-G10-H10-I10)</f>
      </c>
    </row>
    <row r="11">
      <c r="A11" t="s">
        <v>199</v>
      </c>
      <c r="B11" t="str">
        <f>IFERROR(INDEX('6_Calc_Gov_ISIC'!$C$85:$C$109, MATCH($A11, '6_Calc_Gov_ISIC'!$A$85:$A$109, 0)), 0)</f>
      </c>
      <c r="C11" t="str">
        <f>IFERROR(INDEX('7_Calc_HH_ISIC'!$C$85:$C$109, MATCH($A11, '7_Calc_HH_ISIC'!$A$85:$A$109, 0)), 0)</f>
      </c>
      <c r="D11" t="str">
        <f>IFERROR(INDEX('8_Calc_Intl_ISIC'!$C$85:$C$109, MATCH($A11, '8_Calc_Intl_ISIC'!$A$85:$A$109, 0)), 0)</f>
      </c>
      <c r="E11" t="str">
        <f>IFERROR(INDEX('9_Calc_Total_ISIC'!$C$85:$C$109, MATCH($A11, '9_Calc_Total_ISIC'!$A$85:$A$109, 0)), 0)</f>
      </c>
      <c r="F11" t="str">
        <f>MAX(E11, Keys!$C$5)</f>
      </c>
      <c r="G11" t="str">
        <f>B11/F11</f>
      </c>
      <c r="H11" t="str">
        <f>C11/F11</f>
      </c>
      <c r="I11" t="str">
        <f>D11/F11</f>
      </c>
      <c r="J11" t="str">
        <f>MAX(0, 1-G11-H11-I11)</f>
      </c>
    </row>
    <row r="12">
      <c r="A12" t="s">
        <v>200</v>
      </c>
      <c r="B12" t="str">
        <f>IFERROR(INDEX('6_Calc_Gov_ISIC'!$C$85:$C$109, MATCH($A12, '6_Calc_Gov_ISIC'!$A$85:$A$109, 0)), 0)</f>
      </c>
      <c r="C12" t="str">
        <f>IFERROR(INDEX('7_Calc_HH_ISIC'!$C$85:$C$109, MATCH($A12, '7_Calc_HH_ISIC'!$A$85:$A$109, 0)), 0)</f>
      </c>
      <c r="D12" t="str">
        <f>IFERROR(INDEX('8_Calc_Intl_ISIC'!$C$85:$C$109, MATCH($A12, '8_Calc_Intl_ISIC'!$A$85:$A$109, 0)), 0)</f>
      </c>
      <c r="E12" t="str">
        <f>IFERROR(INDEX('9_Calc_Total_ISIC'!$C$85:$C$109, MATCH($A12, '9_Calc_Total_ISIC'!$A$85:$A$109, 0)), 0)</f>
      </c>
      <c r="F12" t="str">
        <f>MAX(E12, Keys!$C$5)</f>
      </c>
      <c r="G12" t="str">
        <f>B12/F12</f>
      </c>
      <c r="H12" t="str">
        <f>C12/F12</f>
      </c>
      <c r="I12" t="str">
        <f>D12/F12</f>
      </c>
      <c r="J12" t="str">
        <f>MAX(0, 1-G12-H12-I12)</f>
      </c>
    </row>
    <row r="13">
      <c r="A13" t="s">
        <v>110</v>
      </c>
      <c r="B13" t="str">
        <f>IFERROR(INDEX('6_Calc_Gov_ISIC'!$C$85:$C$109, MATCH($A13, '6_Calc_Gov_ISIC'!$A$85:$A$109, 0)), 0)</f>
      </c>
      <c r="C13" t="str">
        <f>IFERROR(INDEX('7_Calc_HH_ISIC'!$C$85:$C$109, MATCH($A13, '7_Calc_HH_ISIC'!$A$85:$A$109, 0)), 0)</f>
      </c>
      <c r="D13" t="str">
        <f>IFERROR(INDEX('8_Calc_Intl_ISIC'!$C$85:$C$109, MATCH($A13, '8_Calc_Intl_ISIC'!$A$85:$A$109, 0)), 0)</f>
      </c>
      <c r="E13" t="str">
        <f>IFERROR(INDEX('9_Calc_Total_ISIC'!$C$85:$C$109, MATCH($A13, '9_Calc_Total_ISIC'!$A$85:$A$109, 0)), 0)</f>
      </c>
      <c r="F13" t="str">
        <f>MAX(E13, Keys!$C$5)</f>
      </c>
      <c r="G13" t="str">
        <f>B13/F13</f>
      </c>
      <c r="H13" t="str">
        <f>C13/F13</f>
      </c>
      <c r="I13" t="str">
        <f>D13/F13</f>
      </c>
      <c r="J13" t="str">
        <f>MAX(0, 1-G13-H13-I13)</f>
      </c>
    </row>
    <row r="14">
      <c r="A14" t="s">
        <v>202</v>
      </c>
      <c r="B14" t="str">
        <f>IFERROR(INDEX('6_Calc_Gov_ISIC'!$C$85:$C$109, MATCH($A14, '6_Calc_Gov_ISIC'!$A$85:$A$109, 0)), 0)</f>
      </c>
      <c r="C14" t="str">
        <f>IFERROR(INDEX('7_Calc_HH_ISIC'!$C$85:$C$109, MATCH($A14, '7_Calc_HH_ISIC'!$A$85:$A$109, 0)), 0)</f>
      </c>
      <c r="D14" t="str">
        <f>IFERROR(INDEX('8_Calc_Intl_ISIC'!$C$85:$C$109, MATCH($A14, '8_Calc_Intl_ISIC'!$A$85:$A$109, 0)), 0)</f>
      </c>
      <c r="E14" t="str">
        <f>IFERROR(INDEX('9_Calc_Total_ISIC'!$C$85:$C$109, MATCH($A14, '9_Calc_Total_ISIC'!$A$85:$A$109, 0)), 0)</f>
      </c>
      <c r="F14" t="str">
        <f>MAX(E14, Keys!$C$5)</f>
      </c>
      <c r="G14" t="str">
        <f>B14/F14</f>
      </c>
      <c r="H14" t="str">
        <f>C14/F14</f>
      </c>
      <c r="I14" t="str">
        <f>D14/F14</f>
      </c>
      <c r="J14" t="str">
        <f>MAX(0, 1-G14-H14-I14)</f>
      </c>
    </row>
    <row r="15">
      <c r="A15" t="s">
        <v>203</v>
      </c>
      <c r="B15" t="str">
        <f>IFERROR(INDEX('6_Calc_Gov_ISIC'!$C$85:$C$109, MATCH($A15, '6_Calc_Gov_ISIC'!$A$85:$A$109, 0)), 0)</f>
      </c>
      <c r="C15" t="str">
        <f>IFERROR(INDEX('7_Calc_HH_ISIC'!$C$85:$C$109, MATCH($A15, '7_Calc_HH_ISIC'!$A$85:$A$109, 0)), 0)</f>
      </c>
      <c r="D15" t="str">
        <f>IFERROR(INDEX('8_Calc_Intl_ISIC'!$C$85:$C$109, MATCH($A15, '8_Calc_Intl_ISIC'!$A$85:$A$109, 0)), 0)</f>
      </c>
      <c r="E15" t="str">
        <f>IFERROR(INDEX('9_Calc_Total_ISIC'!$C$85:$C$109, MATCH($A15, '9_Calc_Total_ISIC'!$A$85:$A$109, 0)), 0)</f>
      </c>
      <c r="F15" t="str">
        <f>MAX(E15, Keys!$C$5)</f>
      </c>
      <c r="G15" t="str">
        <f>B15/F15</f>
      </c>
      <c r="H15" t="str">
        <f>C15/F15</f>
      </c>
      <c r="I15" t="str">
        <f>D15/F15</f>
      </c>
      <c r="J15" t="str">
        <f>MAX(0, 1-G15-H15-I15)</f>
      </c>
    </row>
    <row r="16">
      <c r="A16" t="s">
        <v>204</v>
      </c>
      <c r="B16" t="str">
        <f>IFERROR(INDEX('6_Calc_Gov_ISIC'!$C$85:$C$109, MATCH($A16, '6_Calc_Gov_ISIC'!$A$85:$A$109, 0)), 0)</f>
      </c>
      <c r="C16" t="str">
        <f>IFERROR(INDEX('7_Calc_HH_ISIC'!$C$85:$C$109, MATCH($A16, '7_Calc_HH_ISIC'!$A$85:$A$109, 0)), 0)</f>
      </c>
      <c r="D16" t="str">
        <f>IFERROR(INDEX('8_Calc_Intl_ISIC'!$C$85:$C$109, MATCH($A16, '8_Calc_Intl_ISIC'!$A$85:$A$109, 0)), 0)</f>
      </c>
      <c r="E16" t="str">
        <f>IFERROR(INDEX('9_Calc_Total_ISIC'!$C$85:$C$109, MATCH($A16, '9_Calc_Total_ISIC'!$A$85:$A$109, 0)), 0)</f>
      </c>
      <c r="F16" t="str">
        <f>MAX(E16, Keys!$C$5)</f>
      </c>
      <c r="G16" t="str">
        <f>B16/F16</f>
      </c>
      <c r="H16" t="str">
        <f>C16/F16</f>
      </c>
      <c r="I16" t="str">
        <f>D16/F16</f>
      </c>
      <c r="J16" t="str">
        <f>MAX(0, 1-G16-H16-I16)</f>
      </c>
    </row>
    <row r="17">
      <c r="A17" t="s">
        <v>205</v>
      </c>
      <c r="B17" t="str">
        <f>IFERROR(INDEX('6_Calc_Gov_ISIC'!$C$85:$C$109, MATCH($A17, '6_Calc_Gov_ISIC'!$A$85:$A$109, 0)), 0)</f>
      </c>
      <c r="C17" t="str">
        <f>IFERROR(INDEX('7_Calc_HH_ISIC'!$C$85:$C$109, MATCH($A17, '7_Calc_HH_ISIC'!$A$85:$A$109, 0)), 0)</f>
      </c>
      <c r="D17" t="str">
        <f>IFERROR(INDEX('8_Calc_Intl_ISIC'!$C$85:$C$109, MATCH($A17, '8_Calc_Intl_ISIC'!$A$85:$A$109, 0)), 0)</f>
      </c>
      <c r="E17" t="str">
        <f>IFERROR(INDEX('9_Calc_Total_ISIC'!$C$85:$C$109, MATCH($A17, '9_Calc_Total_ISIC'!$A$85:$A$109, 0)), 0)</f>
      </c>
      <c r="F17" t="str">
        <f>MAX(E17, Keys!$C$5)</f>
      </c>
      <c r="G17" t="str">
        <f>B17/F17</f>
      </c>
      <c r="H17" t="str">
        <f>C17/F17</f>
      </c>
      <c r="I17" t="str">
        <f>D17/F17</f>
      </c>
      <c r="J17" t="str">
        <f>MAX(0, 1-G17-H17-I17)</f>
      </c>
    </row>
    <row r="18">
      <c r="A18" t="s">
        <v>206</v>
      </c>
      <c r="B18" t="str">
        <f>IFERROR(INDEX('6_Calc_Gov_ISIC'!$C$85:$C$109, MATCH($A18, '6_Calc_Gov_ISIC'!$A$85:$A$109, 0)), 0)</f>
      </c>
      <c r="C18" t="str">
        <f>IFERROR(INDEX('7_Calc_HH_ISIC'!$C$85:$C$109, MATCH($A18, '7_Calc_HH_ISIC'!$A$85:$A$109, 0)), 0)</f>
      </c>
      <c r="D18" t="str">
        <f>IFERROR(INDEX('8_Calc_Intl_ISIC'!$C$85:$C$109, MATCH($A18, '8_Calc_Intl_ISIC'!$A$85:$A$109, 0)), 0)</f>
      </c>
      <c r="E18" t="str">
        <f>IFERROR(INDEX('9_Calc_Total_ISIC'!$C$85:$C$109, MATCH($A18, '9_Calc_Total_ISIC'!$A$85:$A$109, 0)), 0)</f>
      </c>
      <c r="F18" t="str">
        <f>MAX(E18, Keys!$C$5)</f>
      </c>
      <c r="G18" t="str">
        <f>B18/F18</f>
      </c>
      <c r="H18" t="str">
        <f>C18/F18</f>
      </c>
      <c r="I18" t="str">
        <f>D18/F18</f>
      </c>
      <c r="J18" t="str">
        <f>MAX(0, 1-G18-H18-I18)</f>
      </c>
    </row>
    <row r="19">
      <c r="A19" t="s">
        <v>207</v>
      </c>
      <c r="B19" t="str">
        <f>IFERROR(INDEX('6_Calc_Gov_ISIC'!$C$85:$C$109, MATCH($A19, '6_Calc_Gov_ISIC'!$A$85:$A$109, 0)), 0)</f>
      </c>
      <c r="C19" t="str">
        <f>IFERROR(INDEX('7_Calc_HH_ISIC'!$C$85:$C$109, MATCH($A19, '7_Calc_HH_ISIC'!$A$85:$A$109, 0)), 0)</f>
      </c>
      <c r="D19" t="str">
        <f>IFERROR(INDEX('8_Calc_Intl_ISIC'!$C$85:$C$109, MATCH($A19, '8_Calc_Intl_ISIC'!$A$85:$A$109, 0)), 0)</f>
      </c>
      <c r="E19" t="str">
        <f>IFERROR(INDEX('9_Calc_Total_ISIC'!$C$85:$C$109, MATCH($A19, '9_Calc_Total_ISIC'!$A$85:$A$109, 0)), 0)</f>
      </c>
      <c r="F19" t="str">
        <f>MAX(E19, Keys!$C$5)</f>
      </c>
      <c r="G19" t="str">
        <f>B19/F19</f>
      </c>
      <c r="H19" t="str">
        <f>C19/F19</f>
      </c>
      <c r="I19" t="str">
        <f>D19/F19</f>
      </c>
      <c r="J19" t="str">
        <f>MAX(0, 1-G19-H19-I19)</f>
      </c>
    </row>
    <row r="20">
      <c r="A20" t="s">
        <v>208</v>
      </c>
      <c r="B20" t="str">
        <f>IFERROR(INDEX('6_Calc_Gov_ISIC'!$C$85:$C$109, MATCH($A20, '6_Calc_Gov_ISIC'!$A$85:$A$109, 0)), 0)</f>
      </c>
      <c r="C20" t="str">
        <f>IFERROR(INDEX('7_Calc_HH_ISIC'!$C$85:$C$109, MATCH($A20, '7_Calc_HH_ISIC'!$A$85:$A$109, 0)), 0)</f>
      </c>
      <c r="D20" t="str">
        <f>IFERROR(INDEX('8_Calc_Intl_ISIC'!$C$85:$C$109, MATCH($A20, '8_Calc_Intl_ISIC'!$A$85:$A$109, 0)), 0)</f>
      </c>
      <c r="E20" t="str">
        <f>IFERROR(INDEX('9_Calc_Total_ISIC'!$C$85:$C$109, MATCH($A20, '9_Calc_Total_ISIC'!$A$85:$A$109, 0)), 0)</f>
      </c>
      <c r="F20" t="str">
        <f>MAX(E20, Keys!$C$5)</f>
      </c>
      <c r="G20" t="str">
        <f>B20/F20</f>
      </c>
      <c r="H20" t="str">
        <f>C20/F20</f>
      </c>
      <c r="I20" t="str">
        <f>D20/F20</f>
      </c>
      <c r="J20" t="str">
        <f>MAX(0, 1-G20-H20-I20)</f>
      </c>
    </row>
    <row r="21">
      <c r="A21" t="s">
        <v>209</v>
      </c>
      <c r="B21" t="str">
        <f>IFERROR(INDEX('6_Calc_Gov_ISIC'!$C$85:$C$109, MATCH($A21, '6_Calc_Gov_ISIC'!$A$85:$A$109, 0)), 0)</f>
      </c>
      <c r="C21" t="str">
        <f>IFERROR(INDEX('7_Calc_HH_ISIC'!$C$85:$C$109, MATCH($A21, '7_Calc_HH_ISIC'!$A$85:$A$109, 0)), 0)</f>
      </c>
      <c r="D21" t="str">
        <f>IFERROR(INDEX('8_Calc_Intl_ISIC'!$C$85:$C$109, MATCH($A21, '8_Calc_Intl_ISIC'!$A$85:$A$109, 0)), 0)</f>
      </c>
      <c r="E21" t="str">
        <f>IFERROR(INDEX('9_Calc_Total_ISIC'!$C$85:$C$109, MATCH($A21, '9_Calc_Total_ISIC'!$A$85:$A$109, 0)), 0)</f>
      </c>
      <c r="F21" t="str">
        <f>MAX(E21, Keys!$C$5)</f>
      </c>
      <c r="G21" t="str">
        <f>B21/F21</f>
      </c>
      <c r="H21" t="str">
        <f>C21/F21</f>
      </c>
      <c r="I21" t="str">
        <f>D21/F21</f>
      </c>
      <c r="J21" t="str">
        <f>MAX(0, 1-G21-H21-I21)</f>
      </c>
    </row>
    <row r="22">
      <c r="A22" t="s">
        <v>210</v>
      </c>
      <c r="B22" t="str">
        <f>IFERROR(INDEX('6_Calc_Gov_ISIC'!$C$85:$C$109, MATCH($A22, '6_Calc_Gov_ISIC'!$A$85:$A$109, 0)), 0)</f>
      </c>
      <c r="C22" t="str">
        <f>IFERROR(INDEX('7_Calc_HH_ISIC'!$C$85:$C$109, MATCH($A22, '7_Calc_HH_ISIC'!$A$85:$A$109, 0)), 0)</f>
      </c>
      <c r="D22" t="str">
        <f>IFERROR(INDEX('8_Calc_Intl_ISIC'!$C$85:$C$109, MATCH($A22, '8_Calc_Intl_ISIC'!$A$85:$A$109, 0)), 0)</f>
      </c>
      <c r="E22" t="str">
        <f>IFERROR(INDEX('9_Calc_Total_ISIC'!$C$85:$C$109, MATCH($A22, '9_Calc_Total_ISIC'!$A$85:$A$109, 0)), 0)</f>
      </c>
      <c r="F22" t="str">
        <f>MAX(E22, Keys!$C$5)</f>
      </c>
      <c r="G22" t="str">
        <f>B22/F22</f>
      </c>
      <c r="H22" t="str">
        <f>C22/F22</f>
      </c>
      <c r="I22" t="str">
        <f>D22/F22</f>
      </c>
      <c r="J22" t="str">
        <f>MAX(0, 1-G22-H22-I22)</f>
      </c>
    </row>
    <row r="23">
      <c r="A23" t="s">
        <v>211</v>
      </c>
      <c r="B23" t="str">
        <f>IFERROR(INDEX('6_Calc_Gov_ISIC'!$C$85:$C$109, MATCH($A23, '6_Calc_Gov_ISIC'!$A$85:$A$109, 0)), 0)</f>
      </c>
      <c r="C23" t="str">
        <f>IFERROR(INDEX('7_Calc_HH_ISIC'!$C$85:$C$109, MATCH($A23, '7_Calc_HH_ISIC'!$A$85:$A$109, 0)), 0)</f>
      </c>
      <c r="D23" t="str">
        <f>IFERROR(INDEX('8_Calc_Intl_ISIC'!$C$85:$C$109, MATCH($A23, '8_Calc_Intl_ISIC'!$A$85:$A$109, 0)), 0)</f>
      </c>
      <c r="E23" t="str">
        <f>IFERROR(INDEX('9_Calc_Total_ISIC'!$C$85:$C$109, MATCH($A23, '9_Calc_Total_ISIC'!$A$85:$A$109, 0)), 0)</f>
      </c>
      <c r="F23" t="str">
        <f>MAX(E23, Keys!$C$5)</f>
      </c>
      <c r="G23" t="str">
        <f>B23/F23</f>
      </c>
      <c r="H23" t="str">
        <f>C23/F23</f>
      </c>
      <c r="I23" t="str">
        <f>D23/F23</f>
      </c>
      <c r="J23" t="str">
        <f>MAX(0, 1-G23-H23-I23)</f>
      </c>
    </row>
    <row r="24">
      <c r="A24" t="s">
        <v>212</v>
      </c>
      <c r="B24" t="str">
        <f>IFERROR(INDEX('6_Calc_Gov_ISIC'!$C$85:$C$109, MATCH($A24, '6_Calc_Gov_ISIC'!$A$85:$A$109, 0)), 0)</f>
      </c>
      <c r="C24" t="str">
        <f>IFERROR(INDEX('7_Calc_HH_ISIC'!$C$85:$C$109, MATCH($A24, '7_Calc_HH_ISIC'!$A$85:$A$109, 0)), 0)</f>
      </c>
      <c r="D24" t="str">
        <f>IFERROR(INDEX('8_Calc_Intl_ISIC'!$C$85:$C$109, MATCH($A24, '8_Calc_Intl_ISIC'!$A$85:$A$109, 0)), 0)</f>
      </c>
      <c r="E24" t="str">
        <f>IFERROR(INDEX('9_Calc_Total_ISIC'!$C$85:$C$109, MATCH($A24, '9_Calc_Total_ISIC'!$A$85:$A$109, 0)), 0)</f>
      </c>
      <c r="F24" t="str">
        <f>MAX(E24, Keys!$C$5)</f>
      </c>
      <c r="G24" t="str">
        <f>B24/F24</f>
      </c>
      <c r="H24" t="str">
        <f>C24/F24</f>
      </c>
      <c r="I24" t="str">
        <f>D24/F24</f>
      </c>
      <c r="J24" t="str">
        <f>MAX(0, 1-G24-H24-I24)</f>
      </c>
    </row>
    <row r="25">
      <c r="A25" t="s">
        <v>214</v>
      </c>
      <c r="B25" t="str">
        <f>IFERROR(INDEX('6_Calc_Gov_ISIC'!$C$85:$C$109, MATCH($A25, '6_Calc_Gov_ISIC'!$A$85:$A$109, 0)), 0)</f>
      </c>
      <c r="C25" t="str">
        <f>IFERROR(INDEX('7_Calc_HH_ISIC'!$C$85:$C$109, MATCH($A25, '7_Calc_HH_ISIC'!$A$85:$A$109, 0)), 0)</f>
      </c>
      <c r="D25" t="str">
        <f>IFERROR(INDEX('8_Calc_Intl_ISIC'!$C$85:$C$109, MATCH($A25, '8_Calc_Intl_ISIC'!$A$85:$A$109, 0)), 0)</f>
      </c>
      <c r="E25" t="str">
        <f>IFERROR(INDEX('9_Calc_Total_ISIC'!$C$85:$C$109, MATCH($A25, '9_Calc_Total_ISIC'!$A$85:$A$109, 0)), 0)</f>
      </c>
      <c r="F25" t="str">
        <f>MAX(E25, Keys!$C$5)</f>
      </c>
      <c r="G25" t="str">
        <f>B25/F25</f>
      </c>
      <c r="H25" t="str">
        <f>C25/F25</f>
      </c>
      <c r="I25" t="str">
        <f>D25/F25</f>
      </c>
      <c r="J25" t="str">
        <f>MAX(0, 1-G25-H25-I25)</f>
      </c>
    </row>
    <row r="26">
      <c r="A26" t="s">
        <v>215</v>
      </c>
      <c r="B26" t="str">
        <f>IFERROR(INDEX('6_Calc_Gov_ISIC'!$C$85:$C$109, MATCH($A26, '6_Calc_Gov_ISIC'!$A$85:$A$109, 0)), 0)</f>
      </c>
      <c r="C26" t="str">
        <f>IFERROR(INDEX('7_Calc_HH_ISIC'!$C$85:$C$109, MATCH($A26, '7_Calc_HH_ISIC'!$A$85:$A$109, 0)), 0)</f>
      </c>
      <c r="D26" t="str">
        <f>IFERROR(INDEX('8_Calc_Intl_ISIC'!$C$85:$C$109, MATCH($A26, '8_Calc_Intl_ISIC'!$A$85:$A$109, 0)), 0)</f>
      </c>
      <c r="E26" t="str">
        <f>IFERROR(INDEX('9_Calc_Total_ISIC'!$C$85:$C$109, MATCH($A26, '9_Calc_Total_ISIC'!$A$85:$A$109, 0)), 0)</f>
      </c>
      <c r="F26" t="str">
        <f>MAX(E26, Keys!$C$5)</f>
      </c>
      <c r="G26" t="str">
        <f>B26/F26</f>
      </c>
      <c r="H26" t="str">
        <f>C26/F26</f>
      </c>
      <c r="I26" t="str">
        <f>D26/F26</f>
      </c>
      <c r="J26" t="str">
        <f>MAX(0, 1-G26-H26-I26)</f>
      </c>
    </row>
    <row r="27">
      <c r="A27" t="s">
        <v>216</v>
      </c>
      <c r="B27" t="str">
        <f>IFERROR(INDEX('6_Calc_Gov_ISIC'!$C$85:$C$109, MATCH($A27, '6_Calc_Gov_ISIC'!$A$85:$A$109, 0)), 0)</f>
      </c>
      <c r="C27" t="str">
        <f>IFERROR(INDEX('7_Calc_HH_ISIC'!$C$85:$C$109, MATCH($A27, '7_Calc_HH_ISIC'!$A$85:$A$109, 0)), 0)</f>
      </c>
      <c r="D27" t="str">
        <f>IFERROR(INDEX('8_Calc_Intl_ISIC'!$C$85:$C$109, MATCH($A27, '8_Calc_Intl_ISIC'!$A$85:$A$109, 0)), 0)</f>
      </c>
      <c r="E27" t="str">
        <f>IFERROR(INDEX('9_Calc_Total_ISIC'!$C$85:$C$109, MATCH($A27, '9_Calc_Total_ISIC'!$A$85:$A$109, 0)), 0)</f>
      </c>
      <c r="F27" t="str">
        <f>MAX(E27, Keys!$C$5)</f>
      </c>
      <c r="G27" t="str">
        <f>B27/F27</f>
      </c>
      <c r="H27" t="str">
        <f>C27/F27</f>
      </c>
      <c r="I27" t="str">
        <f>D27/F27</f>
      </c>
      <c r="J27" t="str">
        <f>MAX(0, 1-G27-H27-I27)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</cols>
  <sheetData>
    <row r="1">
      <c r="A1" t="s">
        <v>592</v>
      </c>
      <c r="B1" t="s">
        <v>593</v>
      </c>
      <c r="C1" t="s">
        <v>594</v>
      </c>
      <c r="D1" t="s">
        <v>595</v>
      </c>
      <c r="E1" t="s">
        <v>596</v>
      </c>
    </row>
    <row r="2">
      <c r="A2" t="s">
        <v>597</v>
      </c>
      <c r="B2" t="str">
        <f>'10_Calc_Entity_fractions'!G3</f>
      </c>
      <c r="C2" t="str">
        <f>'10_Calc_Entity_fractions'!J3</f>
      </c>
      <c r="D2" t="str">
        <f>'10_Calc_Entity_fractions'!H3</f>
      </c>
      <c r="E2" t="str">
        <f>'10_Calc_Entity_fractions'!I3</f>
      </c>
    </row>
    <row r="3">
      <c r="A3" t="s">
        <v>598</v>
      </c>
      <c r="B3" t="str">
        <f>'10_Calc_Entity_fractions'!G4</f>
      </c>
      <c r="C3" t="str">
        <f>'10_Calc_Entity_fractions'!J4</f>
      </c>
      <c r="D3" t="str">
        <f>'10_Calc_Entity_fractions'!H4</f>
      </c>
      <c r="E3" t="str">
        <f>'10_Calc_Entity_fractions'!I4</f>
      </c>
    </row>
    <row r="4">
      <c r="A4" t="s">
        <v>599</v>
      </c>
      <c r="B4" t="str">
        <f>'10_Calc_Entity_fractions'!G5</f>
      </c>
      <c r="C4" t="str">
        <f>'10_Calc_Entity_fractions'!J5</f>
      </c>
      <c r="D4" t="str">
        <f>'10_Calc_Entity_fractions'!H5</f>
      </c>
      <c r="E4" t="str">
        <f>'10_Calc_Entity_fractions'!I5</f>
      </c>
    </row>
    <row r="5">
      <c r="A5" t="s">
        <v>600</v>
      </c>
      <c r="B5" t="str">
        <f>'10_Calc_Entity_fractions'!G6</f>
      </c>
      <c r="C5" t="str">
        <f>'10_Calc_Entity_fractions'!J6</f>
      </c>
      <c r="D5" t="str">
        <f>'10_Calc_Entity_fractions'!H6</f>
      </c>
      <c r="E5" t="str">
        <f>'10_Calc_Entity_fractions'!I6</f>
      </c>
    </row>
    <row r="6">
      <c r="A6" t="s">
        <v>601</v>
      </c>
      <c r="B6" t="str">
        <f>'10_Calc_Entity_fractions'!G7</f>
      </c>
      <c r="C6" t="str">
        <f>'10_Calc_Entity_fractions'!J7</f>
      </c>
      <c r="D6" t="str">
        <f>'10_Calc_Entity_fractions'!H7</f>
      </c>
      <c r="E6" t="str">
        <f>'10_Calc_Entity_fractions'!I7</f>
      </c>
    </row>
    <row r="7">
      <c r="A7" t="s">
        <v>602</v>
      </c>
      <c r="B7" t="str">
        <f>'10_Calc_Entity_fractions'!G8</f>
      </c>
      <c r="C7" t="str">
        <f>'10_Calc_Entity_fractions'!J8</f>
      </c>
      <c r="D7" t="str">
        <f>'10_Calc_Entity_fractions'!H8</f>
      </c>
      <c r="E7" t="str">
        <f>'10_Calc_Entity_fractions'!I8</f>
      </c>
    </row>
    <row r="8">
      <c r="A8" t="s">
        <v>603</v>
      </c>
      <c r="B8" t="str">
        <f>'10_Calc_Entity_fractions'!G9</f>
      </c>
      <c r="C8" t="str">
        <f>'10_Calc_Entity_fractions'!J9</f>
      </c>
      <c r="D8" t="str">
        <f>'10_Calc_Entity_fractions'!H9</f>
      </c>
      <c r="E8" t="str">
        <f>'10_Calc_Entity_fractions'!I9</f>
      </c>
    </row>
    <row r="9">
      <c r="A9" t="s">
        <v>604</v>
      </c>
      <c r="B9" t="str">
        <f>'10_Calc_Entity_fractions'!G10</f>
      </c>
      <c r="C9" t="str">
        <f>'10_Calc_Entity_fractions'!J10</f>
      </c>
      <c r="D9" t="str">
        <f>'10_Calc_Entity_fractions'!H10</f>
      </c>
      <c r="E9" t="str">
        <f>'10_Calc_Entity_fractions'!I10</f>
      </c>
    </row>
    <row r="10">
      <c r="A10" t="s">
        <v>605</v>
      </c>
      <c r="B10" t="str">
        <f>'10_Calc_Entity_fractions'!G11</f>
      </c>
      <c r="C10" t="str">
        <f>'10_Calc_Entity_fractions'!J11</f>
      </c>
      <c r="D10" t="str">
        <f>'10_Calc_Entity_fractions'!H11</f>
      </c>
      <c r="E10" t="str">
        <f>'10_Calc_Entity_fractions'!I11</f>
      </c>
    </row>
    <row r="11">
      <c r="A11" t="s">
        <v>606</v>
      </c>
      <c r="B11" t="str">
        <f>'10_Calc_Entity_fractions'!G12</f>
      </c>
      <c r="C11" t="str">
        <f>'10_Calc_Entity_fractions'!J12</f>
      </c>
      <c r="D11" t="str">
        <f>'10_Calc_Entity_fractions'!H12</f>
      </c>
      <c r="E11" t="str">
        <f>'10_Calc_Entity_fractions'!I12</f>
      </c>
    </row>
    <row r="12">
      <c r="A12" t="s">
        <v>607</v>
      </c>
      <c r="B12" t="str">
        <f>'10_Calc_Entity_fractions'!G13</f>
      </c>
      <c r="C12" t="str">
        <f>'10_Calc_Entity_fractions'!J13</f>
      </c>
      <c r="D12" t="str">
        <f>'10_Calc_Entity_fractions'!H13</f>
      </c>
      <c r="E12" t="str">
        <f>'10_Calc_Entity_fractions'!I13</f>
      </c>
    </row>
    <row r="13">
      <c r="A13" t="s">
        <v>608</v>
      </c>
      <c r="B13" t="str">
        <f>'10_Calc_Entity_fractions'!G14</f>
      </c>
      <c r="C13" t="str">
        <f>'10_Calc_Entity_fractions'!J14</f>
      </c>
      <c r="D13" t="str">
        <f>'10_Calc_Entity_fractions'!H14</f>
      </c>
      <c r="E13" t="str">
        <f>'10_Calc_Entity_fractions'!I14</f>
      </c>
    </row>
    <row r="14">
      <c r="A14" t="s">
        <v>609</v>
      </c>
      <c r="B14" t="str">
        <f>'10_Calc_Entity_fractions'!G15</f>
      </c>
      <c r="C14" t="str">
        <f>'10_Calc_Entity_fractions'!J15</f>
      </c>
      <c r="D14" t="str">
        <f>'10_Calc_Entity_fractions'!H15</f>
      </c>
      <c r="E14" t="str">
        <f>'10_Calc_Entity_fractions'!I15</f>
      </c>
    </row>
    <row r="15">
      <c r="A15" t="s">
        <v>610</v>
      </c>
      <c r="B15" t="str">
        <f>'10_Calc_Entity_fractions'!G16</f>
      </c>
      <c r="C15" t="str">
        <f>'10_Calc_Entity_fractions'!J16</f>
      </c>
      <c r="D15" t="str">
        <f>'10_Calc_Entity_fractions'!H16</f>
      </c>
      <c r="E15" t="str">
        <f>'10_Calc_Entity_fractions'!I16</f>
      </c>
    </row>
    <row r="16">
      <c r="A16" t="s">
        <v>611</v>
      </c>
      <c r="B16" t="str">
        <f>'10_Calc_Entity_fractions'!G17</f>
      </c>
      <c r="C16" t="str">
        <f>'10_Calc_Entity_fractions'!J17</f>
      </c>
      <c r="D16" t="str">
        <f>'10_Calc_Entity_fractions'!H17</f>
      </c>
      <c r="E16" t="str">
        <f>'10_Calc_Entity_fractions'!I17</f>
      </c>
    </row>
    <row r="17">
      <c r="A17" t="s">
        <v>612</v>
      </c>
      <c r="B17" t="str">
        <f>'10_Calc_Entity_fractions'!G18</f>
      </c>
      <c r="C17" t="str">
        <f>'10_Calc_Entity_fractions'!J18</f>
      </c>
      <c r="D17" t="str">
        <f>'10_Calc_Entity_fractions'!H18</f>
      </c>
      <c r="E17" t="str">
        <f>'10_Calc_Entity_fractions'!I18</f>
      </c>
    </row>
    <row r="18">
      <c r="A18" t="s">
        <v>613</v>
      </c>
      <c r="B18" t="str">
        <f>'10_Calc_Entity_fractions'!G19</f>
      </c>
      <c r="C18" t="str">
        <f>'10_Calc_Entity_fractions'!J19</f>
      </c>
      <c r="D18" t="str">
        <f>'10_Calc_Entity_fractions'!H19</f>
      </c>
      <c r="E18" t="str">
        <f>'10_Calc_Entity_fractions'!I19</f>
      </c>
    </row>
    <row r="19">
      <c r="A19" t="s">
        <v>614</v>
      </c>
      <c r="B19" t="str">
        <f>'10_Calc_Entity_fractions'!G20</f>
      </c>
      <c r="C19" t="str">
        <f>'10_Calc_Entity_fractions'!J20</f>
      </c>
      <c r="D19" t="str">
        <f>'10_Calc_Entity_fractions'!H20</f>
      </c>
      <c r="E19" t="str">
        <f>'10_Calc_Entity_fractions'!I20</f>
      </c>
    </row>
    <row r="20">
      <c r="A20" t="s">
        <v>615</v>
      </c>
      <c r="B20" t="str">
        <f>'10_Calc_Entity_fractions'!G21</f>
      </c>
      <c r="C20" t="str">
        <f>'10_Calc_Entity_fractions'!J21</f>
      </c>
      <c r="D20" t="str">
        <f>'10_Calc_Entity_fractions'!H21</f>
      </c>
      <c r="E20" t="str">
        <f>'10_Calc_Entity_fractions'!I21</f>
      </c>
    </row>
    <row r="21">
      <c r="A21" t="s">
        <v>616</v>
      </c>
      <c r="B21" t="str">
        <f>'10_Calc_Entity_fractions'!G22</f>
      </c>
      <c r="C21" t="str">
        <f>'10_Calc_Entity_fractions'!J22</f>
      </c>
      <c r="D21" t="str">
        <f>'10_Calc_Entity_fractions'!H22</f>
      </c>
      <c r="E21" t="str">
        <f>'10_Calc_Entity_fractions'!I22</f>
      </c>
    </row>
    <row r="22">
      <c r="A22" t="s">
        <v>617</v>
      </c>
      <c r="B22" t="str">
        <f>'10_Calc_Entity_fractions'!G23</f>
      </c>
      <c r="C22" t="str">
        <f>'10_Calc_Entity_fractions'!J23</f>
      </c>
      <c r="D22" t="str">
        <f>'10_Calc_Entity_fractions'!H23</f>
      </c>
      <c r="E22" t="str">
        <f>'10_Calc_Entity_fractions'!I23</f>
      </c>
    </row>
    <row r="23">
      <c r="A23" t="s">
        <v>618</v>
      </c>
      <c r="B23" t="str">
        <f>'10_Calc_Entity_fractions'!G24</f>
      </c>
      <c r="C23" t="str">
        <f>'10_Calc_Entity_fractions'!J24</f>
      </c>
      <c r="D23" t="str">
        <f>'10_Calc_Entity_fractions'!H24</f>
      </c>
      <c r="E23" t="str">
        <f>'10_Calc_Entity_fractions'!I24</f>
      </c>
    </row>
    <row r="24">
      <c r="A24" t="s">
        <v>619</v>
      </c>
      <c r="B24" t="str">
        <f>'10_Calc_Entity_fractions'!G25</f>
      </c>
      <c r="C24" t="str">
        <f>'10_Calc_Entity_fractions'!J25</f>
      </c>
      <c r="D24" t="str">
        <f>'10_Calc_Entity_fractions'!H25</f>
      </c>
      <c r="E24" t="str">
        <f>'10_Calc_Entity_fractions'!I25</f>
      </c>
    </row>
    <row r="25">
      <c r="A25" t="s">
        <v>620</v>
      </c>
      <c r="B25" t="str">
        <f>'10_Calc_Entity_fractions'!G26</f>
      </c>
      <c r="C25" t="str">
        <f>'10_Calc_Entity_fractions'!J26</f>
      </c>
      <c r="D25" t="str">
        <f>'10_Calc_Entity_fractions'!H26</f>
      </c>
      <c r="E25" t="str">
        <f>'10_Calc_Entity_fractions'!I26</f>
      </c>
    </row>
    <row r="26">
      <c r="A26" t="s">
        <v>621</v>
      </c>
      <c r="B26" t="str">
        <f>'10_Calc_Entity_fractions'!G27</f>
      </c>
      <c r="C26" t="str">
        <f>'10_Calc_Entity_fractions'!J27</f>
      </c>
      <c r="D26" t="str">
        <f>'10_Calc_Entity_fractions'!H27</f>
      </c>
      <c r="E26" t="str">
        <f>'10_Calc_Entity_fractions'!I27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592</v>
      </c>
      <c r="B1" t="s">
        <v>622</v>
      </c>
      <c r="C1" t="s">
        <v>623</v>
      </c>
      <c r="D1" t="s">
        <v>624</v>
      </c>
      <c r="E1" t="s">
        <v>625</v>
      </c>
      <c r="F1" t="s">
        <v>626</v>
      </c>
      <c r="G1" t="s">
        <v>627</v>
      </c>
      <c r="H1" t="s">
        <v>628</v>
      </c>
      <c r="I1" t="s">
        <v>629</v>
      </c>
      <c r="J1" t="s">
        <v>630</v>
      </c>
      <c r="K1" t="s">
        <v>631</v>
      </c>
      <c r="L1" t="s">
        <v>632</v>
      </c>
      <c r="M1" t="s">
        <v>633</v>
      </c>
      <c r="N1" t="s">
        <v>634</v>
      </c>
      <c r="O1" t="s">
        <v>635</v>
      </c>
      <c r="P1" t="s">
        <v>636</v>
      </c>
      <c r="Q1" t="s">
        <v>637</v>
      </c>
      <c r="R1" t="s">
        <v>638</v>
      </c>
      <c r="S1" t="s">
        <v>639</v>
      </c>
      <c r="T1" t="s">
        <v>640</v>
      </c>
      <c r="U1" t="s">
        <v>641</v>
      </c>
      <c r="V1" t="s">
        <v>642</v>
      </c>
      <c r="W1" t="s">
        <v>643</v>
      </c>
      <c r="X1" t="s">
        <v>644</v>
      </c>
      <c r="Y1" t="s">
        <v>645</v>
      </c>
      <c r="Z1" t="s">
        <v>646</v>
      </c>
      <c r="AA1" t="s">
        <v>647</v>
      </c>
      <c r="AB1" t="s">
        <v>648</v>
      </c>
      <c r="AC1" t="s">
        <v>649</v>
      </c>
      <c r="AD1" t="s">
        <v>650</v>
      </c>
      <c r="AE1" t="s">
        <v>651</v>
      </c>
      <c r="AF1" t="s">
        <v>652</v>
      </c>
      <c r="AG1" t="s">
        <v>653</v>
      </c>
      <c r="AH1" t="s">
        <v>654</v>
      </c>
      <c r="AI1" t="s">
        <v>655</v>
      </c>
      <c r="AJ1" t="s">
        <v>656</v>
      </c>
      <c r="AK1" t="s">
        <v>657</v>
      </c>
      <c r="AL1" t="s">
        <v>658</v>
      </c>
      <c r="AM1" t="s">
        <v>659</v>
      </c>
      <c r="AN1" t="s">
        <v>660</v>
      </c>
      <c r="AO1" t="s">
        <v>661</v>
      </c>
      <c r="AP1" t="s">
        <v>662</v>
      </c>
      <c r="AQ1" t="s">
        <v>663</v>
      </c>
    </row>
    <row r="2">
      <c r="A2" t="s">
        <v>597</v>
      </c>
      <c r="B2" t="n">
        <v>0.17579434566618</v>
      </c>
      <c r="C2" t="n">
        <v>0.00027640209682185</v>
      </c>
      <c r="D2" t="n">
        <v>0</v>
      </c>
      <c r="E2" t="n">
        <v>0.00018336167261452</v>
      </c>
      <c r="F2" t="n">
        <v>0.0000578398938852307</v>
      </c>
      <c r="G2" t="n">
        <v>0.583118901179441</v>
      </c>
      <c r="H2" t="n">
        <v>0.00261744524188501</v>
      </c>
      <c r="I2" t="n">
        <v>0.0561968520792566</v>
      </c>
      <c r="J2" t="n">
        <v>0.0195039940850949</v>
      </c>
      <c r="K2" t="n">
        <v>0</v>
      </c>
      <c r="L2" t="n">
        <v>0.0223901466005665</v>
      </c>
      <c r="M2" t="n">
        <v>0.0273657347340257</v>
      </c>
      <c r="N2" t="n">
        <v>0.0130372746785258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0.0024083655879239</v>
      </c>
      <c r="Z2" t="n">
        <v>0</v>
      </c>
      <c r="AA2" t="n">
        <v>0</v>
      </c>
      <c r="AB2" t="n">
        <v>0</v>
      </c>
      <c r="AC2" t="n">
        <v>0.00329383710806364</v>
      </c>
      <c r="AD2" t="n">
        <v>0.0113966017969623</v>
      </c>
      <c r="AE2" t="n">
        <v>0.0000775957690311874</v>
      </c>
      <c r="AF2" t="n">
        <v>0.0433336572177346</v>
      </c>
      <c r="AG2" t="n">
        <v>0</v>
      </c>
      <c r="AH2" t="n">
        <v>0</v>
      </c>
      <c r="AI2" t="n">
        <v>0</v>
      </c>
      <c r="AJ2" t="n">
        <v>0.00000154817846795108</v>
      </c>
      <c r="AK2" t="n">
        <v>0.00000641187272423854</v>
      </c>
      <c r="AL2" t="n">
        <v>0.00811489395269068</v>
      </c>
      <c r="AM2" t="n">
        <v>0.0257227105731173</v>
      </c>
      <c r="AN2" t="n">
        <v>0.00167105299523081</v>
      </c>
      <c r="AO2" t="n">
        <v>0</v>
      </c>
      <c r="AP2" t="n">
        <v>0.00343102701975656</v>
      </c>
      <c r="AQ2" t="n">
        <v>0</v>
      </c>
    </row>
    <row r="3">
      <c r="A3" t="s">
        <v>598</v>
      </c>
      <c r="B3" t="n">
        <v>0.00747702918016411</v>
      </c>
      <c r="C3" t="n">
        <v>0.0491153974067181</v>
      </c>
      <c r="D3" t="n">
        <v>0.000574188599295691</v>
      </c>
      <c r="E3" t="n">
        <v>0.0325825365406952</v>
      </c>
      <c r="F3" t="n">
        <v>0.00202087261213917</v>
      </c>
      <c r="G3" t="n">
        <v>0.0144925156078105</v>
      </c>
      <c r="H3" t="n">
        <v>0.000253655367119072</v>
      </c>
      <c r="I3" t="n">
        <v>0.000110474064420355</v>
      </c>
      <c r="J3" t="n">
        <v>0.0264970369508538</v>
      </c>
      <c r="K3" t="n">
        <v>0.0152892199871225</v>
      </c>
      <c r="L3" t="n">
        <v>0.0425458290638523</v>
      </c>
      <c r="M3" t="n">
        <v>0.0520004577447083</v>
      </c>
      <c r="N3" t="n">
        <v>0.00190351639436024</v>
      </c>
      <c r="O3" t="n">
        <v>0.0309753152884535</v>
      </c>
      <c r="P3" t="n">
        <v>0.0929259458653606</v>
      </c>
      <c r="Q3" t="n">
        <v>0.20051001198843</v>
      </c>
      <c r="R3" t="n">
        <v>0.066629844585981</v>
      </c>
      <c r="S3" t="n">
        <v>0.00688705615215663</v>
      </c>
      <c r="T3" t="n">
        <v>0.0000487104846880031</v>
      </c>
      <c r="U3" t="n">
        <v>0.00184883862937687</v>
      </c>
      <c r="V3" t="n">
        <v>0.00123201824730677</v>
      </c>
      <c r="W3" t="n">
        <v>0.000324529227847971</v>
      </c>
      <c r="X3" t="n">
        <v>0.000510664068373706</v>
      </c>
      <c r="Y3" t="n">
        <v>0.00148939075425136</v>
      </c>
      <c r="Z3" t="n">
        <v>0.0395391316096266</v>
      </c>
      <c r="AA3" t="n">
        <v>0.0109830921137852</v>
      </c>
      <c r="AB3" t="n">
        <v>0.00493136855446069</v>
      </c>
      <c r="AC3" t="n">
        <v>0.150421859705423</v>
      </c>
      <c r="AD3" t="n">
        <v>0.00026392025249459</v>
      </c>
      <c r="AE3" t="n">
        <v>0.00124268456490481</v>
      </c>
      <c r="AF3" t="n">
        <v>0.00693977757294356</v>
      </c>
      <c r="AG3" t="n">
        <v>0.00139289509862914</v>
      </c>
      <c r="AH3" t="n">
        <v>0.00364986909888421</v>
      </c>
      <c r="AI3" t="n">
        <v>0.00322618304995056</v>
      </c>
      <c r="AJ3" t="n">
        <v>0</v>
      </c>
      <c r="AK3" t="n">
        <v>0.0000494064431429474</v>
      </c>
      <c r="AL3" t="n">
        <v>0.022649199064121</v>
      </c>
      <c r="AM3" t="n">
        <v>0.0735687337853983</v>
      </c>
      <c r="AN3" t="n">
        <v>0.00810588448592018</v>
      </c>
      <c r="AO3" t="n">
        <v>0.00299862756887232</v>
      </c>
      <c r="AP3" t="n">
        <v>0.021792312219957</v>
      </c>
      <c r="AQ3" t="n">
        <v>0</v>
      </c>
    </row>
    <row r="4">
      <c r="A4" t="s">
        <v>599</v>
      </c>
      <c r="B4" t="n">
        <v>0</v>
      </c>
      <c r="C4" t="n">
        <v>0</v>
      </c>
      <c r="D4" t="n">
        <v>0.0262314807264231</v>
      </c>
      <c r="E4" t="n">
        <v>0</v>
      </c>
      <c r="F4" t="n">
        <v>0.0000558064485375854</v>
      </c>
      <c r="G4" t="n">
        <v>0.000000423280213086043</v>
      </c>
      <c r="H4" t="n">
        <v>0</v>
      </c>
      <c r="I4" t="n">
        <v>0.0000204252433141332</v>
      </c>
      <c r="J4" t="n">
        <v>0.0000274683670524195</v>
      </c>
      <c r="K4" t="n">
        <v>0.889636782661267</v>
      </c>
      <c r="L4" t="n">
        <v>0.00285499454219033</v>
      </c>
      <c r="M4" t="n">
        <v>0.00348943777378818</v>
      </c>
      <c r="N4" t="n">
        <v>0</v>
      </c>
      <c r="O4" t="n">
        <v>0.000000128450019979533</v>
      </c>
      <c r="P4" t="n">
        <v>0.0000003853500599386</v>
      </c>
      <c r="Q4" t="n">
        <v>0.0361067218217046</v>
      </c>
      <c r="R4" t="n">
        <v>0.000000945246919410599</v>
      </c>
      <c r="S4" t="n">
        <v>0</v>
      </c>
      <c r="T4" t="n">
        <v>0</v>
      </c>
      <c r="U4" t="n">
        <v>0</v>
      </c>
      <c r="V4" t="n">
        <v>0</v>
      </c>
      <c r="W4" t="n">
        <v>0.00000013930341978825</v>
      </c>
      <c r="X4" t="n">
        <v>0</v>
      </c>
      <c r="Y4" t="n">
        <v>0</v>
      </c>
      <c r="Z4" t="n">
        <v>0.0179146452489083</v>
      </c>
      <c r="AA4" t="n">
        <v>0.00509958795948449</v>
      </c>
      <c r="AB4" t="n">
        <v>0.0020061691927842</v>
      </c>
      <c r="AC4" t="n">
        <v>0</v>
      </c>
      <c r="AD4" t="n">
        <v>0.0000537791527108027</v>
      </c>
      <c r="AE4" t="n">
        <v>0.000705954604879932</v>
      </c>
      <c r="AF4" t="n">
        <v>0.000000630531875870798</v>
      </c>
      <c r="AG4" t="n">
        <v>0.000206350591597852</v>
      </c>
      <c r="AH4" t="n">
        <v>0.0000188062536820486</v>
      </c>
      <c r="AI4" t="n">
        <v>0.0000262613020422521</v>
      </c>
      <c r="AJ4" t="n">
        <v>0</v>
      </c>
      <c r="AK4" t="n">
        <v>0.0000822518082013276</v>
      </c>
      <c r="AL4" t="n">
        <v>0.000039709112873004</v>
      </c>
      <c r="AM4" t="n">
        <v>0.0132609221540466</v>
      </c>
      <c r="AN4" t="n">
        <v>0.00200390858419526</v>
      </c>
      <c r="AO4" t="n">
        <v>0.00000120972704515968</v>
      </c>
      <c r="AP4" t="n">
        <v>0.00015467456076346</v>
      </c>
      <c r="AQ4" t="n">
        <v>0</v>
      </c>
    </row>
    <row r="5">
      <c r="A5" t="s">
        <v>600</v>
      </c>
      <c r="B5" t="n">
        <v>0.00747702918016411</v>
      </c>
      <c r="C5" t="n">
        <v>0.0491153974067181</v>
      </c>
      <c r="D5" t="n">
        <v>0.000574188599295691</v>
      </c>
      <c r="E5" t="n">
        <v>0.0325825365406952</v>
      </c>
      <c r="F5" t="n">
        <v>0.00202087261213917</v>
      </c>
      <c r="G5" t="n">
        <v>0.0144925156078105</v>
      </c>
      <c r="H5" t="n">
        <v>0.000253655367119072</v>
      </c>
      <c r="I5" t="n">
        <v>0.000110474064420355</v>
      </c>
      <c r="J5" t="n">
        <v>0.0264970369508538</v>
      </c>
      <c r="K5" t="n">
        <v>0.0152892199871225</v>
      </c>
      <c r="L5" t="n">
        <v>0.0425458290638523</v>
      </c>
      <c r="M5" t="n">
        <v>0.0520004577447083</v>
      </c>
      <c r="N5" t="n">
        <v>0.00190351639436024</v>
      </c>
      <c r="O5" t="n">
        <v>0.0309753152884535</v>
      </c>
      <c r="P5" t="n">
        <v>0.0929259458653606</v>
      </c>
      <c r="Q5" t="n">
        <v>0.20051001198843</v>
      </c>
      <c r="R5" t="n">
        <v>0.066629844585981</v>
      </c>
      <c r="S5" t="n">
        <v>0.00688705615215663</v>
      </c>
      <c r="T5" t="n">
        <v>0.0000487104846880031</v>
      </c>
      <c r="U5" t="n">
        <v>0.00184883862937687</v>
      </c>
      <c r="V5" t="n">
        <v>0.00123201824730677</v>
      </c>
      <c r="W5" t="n">
        <v>0.000324529227847971</v>
      </c>
      <c r="X5" t="n">
        <v>0.000510664068373706</v>
      </c>
      <c r="Y5" t="n">
        <v>0.00148939075425136</v>
      </c>
      <c r="Z5" t="n">
        <v>0.0395391316096266</v>
      </c>
      <c r="AA5" t="n">
        <v>0.0109830921137852</v>
      </c>
      <c r="AB5" t="n">
        <v>0.00493136855446069</v>
      </c>
      <c r="AC5" t="n">
        <v>0.150421859705423</v>
      </c>
      <c r="AD5" t="n">
        <v>0.00026392025249459</v>
      </c>
      <c r="AE5" t="n">
        <v>0.00124268456490481</v>
      </c>
      <c r="AF5" t="n">
        <v>0.00693977757294356</v>
      </c>
      <c r="AG5" t="n">
        <v>0.00139289509862914</v>
      </c>
      <c r="AH5" t="n">
        <v>0.00364986909888421</v>
      </c>
      <c r="AI5" t="n">
        <v>0.00322618304995056</v>
      </c>
      <c r="AJ5" t="n">
        <v>0</v>
      </c>
      <c r="AK5" t="n">
        <v>0.0000494064431429474</v>
      </c>
      <c r="AL5" t="n">
        <v>0.022649199064121</v>
      </c>
      <c r="AM5" t="n">
        <v>0.0735687337853983</v>
      </c>
      <c r="AN5" t="n">
        <v>0.00810588448592018</v>
      </c>
      <c r="AO5" t="n">
        <v>0.00299862756887232</v>
      </c>
      <c r="AP5" t="n">
        <v>0.021792312219957</v>
      </c>
      <c r="AQ5" t="n">
        <v>0</v>
      </c>
    </row>
    <row r="6">
      <c r="A6" t="s">
        <v>601</v>
      </c>
      <c r="B6" t="n">
        <v>0.0372408450052905</v>
      </c>
      <c r="C6" t="n">
        <v>0</v>
      </c>
      <c r="D6" t="n">
        <v>0</v>
      </c>
      <c r="E6" t="n">
        <v>0</v>
      </c>
      <c r="F6" t="n">
        <v>0</v>
      </c>
      <c r="G6" t="n">
        <v>0.442316559722728</v>
      </c>
      <c r="H6" t="n">
        <v>0.000334909586814248</v>
      </c>
      <c r="I6" t="n">
        <v>0.0000667272467219793</v>
      </c>
      <c r="J6" t="n">
        <v>0.00276534100330301</v>
      </c>
      <c r="K6" t="n">
        <v>0.000686706666163064</v>
      </c>
      <c r="L6" t="n">
        <v>0.00947554040106825</v>
      </c>
      <c r="M6" t="n">
        <v>0.0115812160457501</v>
      </c>
      <c r="N6" t="n">
        <v>0.000914368585379255</v>
      </c>
      <c r="O6" t="n">
        <v>0.000375444682710622</v>
      </c>
      <c r="P6" t="n">
        <v>0.00112633404813187</v>
      </c>
      <c r="Q6" t="n">
        <v>0.0000526153502856036</v>
      </c>
      <c r="R6" t="n">
        <v>0.00000824897386198598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0.0000171573276435049</v>
      </c>
      <c r="Z6" t="n">
        <v>0</v>
      </c>
      <c r="AA6" t="n">
        <v>0</v>
      </c>
      <c r="AB6" t="n">
        <v>0</v>
      </c>
      <c r="AC6" t="n">
        <v>0</v>
      </c>
      <c r="AD6" t="n">
        <v>0.0181202228862849</v>
      </c>
      <c r="AE6" t="n">
        <v>0.00137290812319497</v>
      </c>
      <c r="AF6" t="n">
        <v>0.174801918273408</v>
      </c>
      <c r="AG6" t="n">
        <v>0.0000715171496539023</v>
      </c>
      <c r="AH6" t="n">
        <v>0</v>
      </c>
      <c r="AI6" t="n">
        <v>0.000218289216229446</v>
      </c>
      <c r="AJ6" t="n">
        <v>0</v>
      </c>
      <c r="AK6" t="n">
        <v>0</v>
      </c>
      <c r="AL6" t="n">
        <v>0.0124030241540923</v>
      </c>
      <c r="AM6" t="n">
        <v>0.13072011883587</v>
      </c>
      <c r="AN6" t="n">
        <v>0.0275760438313098</v>
      </c>
      <c r="AO6" t="n">
        <v>0.106449394075719</v>
      </c>
      <c r="AP6" t="n">
        <v>0.0213045488083854</v>
      </c>
      <c r="AQ6" t="n">
        <v>0</v>
      </c>
    </row>
    <row r="7">
      <c r="A7" t="s">
        <v>602</v>
      </c>
      <c r="B7" t="n">
        <v>0.00139504058016528</v>
      </c>
      <c r="C7" t="n">
        <v>0.0000183378173469053</v>
      </c>
      <c r="D7" t="n">
        <v>0</v>
      </c>
      <c r="E7" t="n">
        <v>0.0000121650772533586</v>
      </c>
      <c r="F7" t="n">
        <v>0</v>
      </c>
      <c r="G7" t="n">
        <v>0.00325929255548793</v>
      </c>
      <c r="H7" t="n">
        <v>0.0949515447500515</v>
      </c>
      <c r="I7" t="n">
        <v>0.00713484541163886</v>
      </c>
      <c r="J7" t="n">
        <v>0.137970972004598</v>
      </c>
      <c r="K7" t="n">
        <v>0.000218976695639215</v>
      </c>
      <c r="L7" t="n">
        <v>0.0000236877321793626</v>
      </c>
      <c r="M7" t="n">
        <v>0.0000289516726636654</v>
      </c>
      <c r="N7" t="n">
        <v>0.0631219163761726</v>
      </c>
      <c r="O7" t="n">
        <v>0.000969180608784033</v>
      </c>
      <c r="P7" t="n">
        <v>0.0029075418263521</v>
      </c>
      <c r="Q7" t="n">
        <v>0.00000888667131106075</v>
      </c>
      <c r="R7" t="n">
        <v>0</v>
      </c>
      <c r="S7" t="n">
        <v>0.00000702002562744004</v>
      </c>
      <c r="T7" t="n">
        <v>0.00000536804065113912</v>
      </c>
      <c r="U7" t="n">
        <v>0</v>
      </c>
      <c r="V7" t="n">
        <v>0.00485114274533676</v>
      </c>
      <c r="W7" t="n">
        <v>0.0168939495687453</v>
      </c>
      <c r="X7" t="n">
        <v>0.00710092464435702</v>
      </c>
      <c r="Y7" t="n">
        <v>0.0651061106129469</v>
      </c>
      <c r="Z7" t="n">
        <v>0</v>
      </c>
      <c r="AA7" t="n">
        <v>0.000110828212344205</v>
      </c>
      <c r="AB7" t="n">
        <v>0.00452671158982151</v>
      </c>
      <c r="AC7" t="n">
        <v>0.0158644425853498</v>
      </c>
      <c r="AD7" t="n">
        <v>0.136967106675351</v>
      </c>
      <c r="AE7" t="n">
        <v>0.000775244491585764</v>
      </c>
      <c r="AF7" t="n">
        <v>0.0419973591972695</v>
      </c>
      <c r="AG7" t="n">
        <v>0.0137811515470237</v>
      </c>
      <c r="AH7" t="n">
        <v>0.0333780611430406</v>
      </c>
      <c r="AI7" t="n">
        <v>0.0000112545003684081</v>
      </c>
      <c r="AJ7" t="n">
        <v>0</v>
      </c>
      <c r="AK7" t="n">
        <v>0.00062119639632553</v>
      </c>
      <c r="AL7" t="n">
        <v>0.0144268022884738</v>
      </c>
      <c r="AM7" t="n">
        <v>0.102320791495557</v>
      </c>
      <c r="AN7" t="n">
        <v>0.00349019868981537</v>
      </c>
      <c r="AO7" t="n">
        <v>0.170505802948917</v>
      </c>
      <c r="AP7" t="n">
        <v>0.0552371928214493</v>
      </c>
      <c r="AQ7" t="n">
        <v>0</v>
      </c>
    </row>
    <row r="8">
      <c r="A8" t="s">
        <v>603</v>
      </c>
      <c r="B8" t="n">
        <v>0.00272362675577437</v>
      </c>
      <c r="C8" t="n">
        <v>0.000908132025326176</v>
      </c>
      <c r="D8" t="n">
        <v>0</v>
      </c>
      <c r="E8" t="n">
        <v>0.000602443357099221</v>
      </c>
      <c r="F8" t="n">
        <v>0.0030230329009884</v>
      </c>
      <c r="G8" t="n">
        <v>0.00299360154610389</v>
      </c>
      <c r="H8" t="n">
        <v>0.00034569064572339</v>
      </c>
      <c r="I8" t="n">
        <v>0.268478604408896</v>
      </c>
      <c r="J8" t="n">
        <v>0.0632832748553091</v>
      </c>
      <c r="K8" t="n">
        <v>0</v>
      </c>
      <c r="L8" t="n">
        <v>0.00136455696978899</v>
      </c>
      <c r="M8" t="n">
        <v>0.00166779185196432</v>
      </c>
      <c r="N8" t="n">
        <v>0.0241244015919305</v>
      </c>
      <c r="O8" t="n">
        <v>0.000433028671209561</v>
      </c>
      <c r="P8" t="n">
        <v>0.00129908601362868</v>
      </c>
      <c r="Q8" t="n">
        <v>0.00747349894753847</v>
      </c>
      <c r="R8" t="n">
        <v>0.00249116631584616</v>
      </c>
      <c r="S8" t="n">
        <v>0.00211650578367824</v>
      </c>
      <c r="T8" t="n">
        <v>0.00113389105284592</v>
      </c>
      <c r="U8" t="n">
        <v>0.00782319540905274</v>
      </c>
      <c r="V8" t="n">
        <v>0.0067223154956949</v>
      </c>
      <c r="W8" t="n">
        <v>0.0079887130767043</v>
      </c>
      <c r="X8" t="n">
        <v>0.000909492186028895</v>
      </c>
      <c r="Y8" t="n">
        <v>0.0690038266210507</v>
      </c>
      <c r="Z8" t="n">
        <v>0.0000272722501199008</v>
      </c>
      <c r="AA8" t="n">
        <v>0.000373438116747812</v>
      </c>
      <c r="AB8" t="n">
        <v>0.000288684563627055</v>
      </c>
      <c r="AC8" t="n">
        <v>0.320865611055596</v>
      </c>
      <c r="AD8" t="n">
        <v>0.0605441887485693</v>
      </c>
      <c r="AE8" t="n">
        <v>0.0206806208443181</v>
      </c>
      <c r="AF8" t="n">
        <v>0.0111226363682823</v>
      </c>
      <c r="AG8" t="n">
        <v>0.00307882868497522</v>
      </c>
      <c r="AH8" t="n">
        <v>0.00788629729426419</v>
      </c>
      <c r="AI8" t="n">
        <v>0.0042607679530901</v>
      </c>
      <c r="AJ8" t="n">
        <v>0.00151575300950686</v>
      </c>
      <c r="AK8" t="n">
        <v>0.0330469859099787</v>
      </c>
      <c r="AL8" t="n">
        <v>0.0162284051932098</v>
      </c>
      <c r="AM8" t="n">
        <v>0.0203438823051558</v>
      </c>
      <c r="AN8" t="n">
        <v>0.000609173333791016</v>
      </c>
      <c r="AO8" t="n">
        <v>0.0175195404540765</v>
      </c>
      <c r="AP8" t="n">
        <v>0.00469803743250842</v>
      </c>
      <c r="AQ8" t="n">
        <v>0</v>
      </c>
    </row>
    <row r="9">
      <c r="A9" t="s">
        <v>604</v>
      </c>
      <c r="B9" t="n">
        <v>0.00103972528075415</v>
      </c>
      <c r="C9" t="n">
        <v>0.000360571319297599</v>
      </c>
      <c r="D9" t="n">
        <v>0.000200965379815852</v>
      </c>
      <c r="E9" t="n">
        <v>0.000239198475566722</v>
      </c>
      <c r="F9" t="n">
        <v>0.000313354870167705</v>
      </c>
      <c r="G9" t="n">
        <v>0.0760594797135854</v>
      </c>
      <c r="H9" t="n">
        <v>0.000725059189724774</v>
      </c>
      <c r="I9" t="n">
        <v>0.00375584278778384</v>
      </c>
      <c r="J9" t="n">
        <v>0.328614308882187</v>
      </c>
      <c r="K9" t="n">
        <v>0.000553715978283908</v>
      </c>
      <c r="L9" t="n">
        <v>0.01200554571552</v>
      </c>
      <c r="M9" t="n">
        <v>0.0146734447634133</v>
      </c>
      <c r="N9" t="n">
        <v>0.0198182155566159</v>
      </c>
      <c r="O9" t="n">
        <v>0.00128602302926727</v>
      </c>
      <c r="P9" t="n">
        <v>0.00385806908780181</v>
      </c>
      <c r="Q9" t="n">
        <v>0.00798967247798471</v>
      </c>
      <c r="R9" t="n">
        <v>0.00265573372465842</v>
      </c>
      <c r="S9" t="n">
        <v>0.00739329906097942</v>
      </c>
      <c r="T9" t="n">
        <v>0.000888385219029657</v>
      </c>
      <c r="U9" t="n">
        <v>0.00525719839928834</v>
      </c>
      <c r="V9" t="n">
        <v>0.00538448385600457</v>
      </c>
      <c r="W9" t="n">
        <v>0.00430119987981349</v>
      </c>
      <c r="X9" t="n">
        <v>0.00072748989560571</v>
      </c>
      <c r="Y9" t="n">
        <v>0.00982599312278303</v>
      </c>
      <c r="Z9" t="n">
        <v>0.0000767359073881748</v>
      </c>
      <c r="AA9" t="n">
        <v>0.00107448232598102</v>
      </c>
      <c r="AB9" t="n">
        <v>0.00123543601052737</v>
      </c>
      <c r="AC9" t="n">
        <v>0.0081354994669955</v>
      </c>
      <c r="AD9" t="n">
        <v>0.103915071729541</v>
      </c>
      <c r="AE9" t="n">
        <v>0.0146778618824493</v>
      </c>
      <c r="AF9" t="n">
        <v>0.0256257813555981</v>
      </c>
      <c r="AG9" t="n">
        <v>0.0182235956274827</v>
      </c>
      <c r="AH9" t="n">
        <v>0.00451273058582478</v>
      </c>
      <c r="AI9" t="n">
        <v>0.0119251003678956</v>
      </c>
      <c r="AJ9" t="n">
        <v>0.040410845526633</v>
      </c>
      <c r="AK9" t="n">
        <v>0.00190328772095449</v>
      </c>
      <c r="AL9" t="n">
        <v>0.0841172690483576</v>
      </c>
      <c r="AM9" t="n">
        <v>0.0805722228880669</v>
      </c>
      <c r="AN9" t="n">
        <v>0.00859368684357489</v>
      </c>
      <c r="AO9" t="n">
        <v>0.0720278240407775</v>
      </c>
      <c r="AP9" t="n">
        <v>0.0150455930060195</v>
      </c>
      <c r="AQ9" t="n">
        <v>0</v>
      </c>
    </row>
    <row r="10">
      <c r="A10" t="s">
        <v>605</v>
      </c>
      <c r="B10" t="n">
        <v>0.0171809672515715</v>
      </c>
      <c r="C10" t="n">
        <v>0.00819106046400607</v>
      </c>
      <c r="D10" t="n">
        <v>0.0119141550266044</v>
      </c>
      <c r="E10" t="n">
        <v>0.00543384643038674</v>
      </c>
      <c r="F10" t="n">
        <v>0.0117614872580573</v>
      </c>
      <c r="G10" t="n">
        <v>0.00925995983332454</v>
      </c>
      <c r="H10" t="n">
        <v>0.000156244172757939</v>
      </c>
      <c r="I10" t="n">
        <v>0.00353735608044553</v>
      </c>
      <c r="J10" t="n">
        <v>0.0117729900294011</v>
      </c>
      <c r="K10" t="n">
        <v>0.0327141009985089</v>
      </c>
      <c r="L10" t="n">
        <v>0.0209246324786168</v>
      </c>
      <c r="M10" t="n">
        <v>0.0255745508071983</v>
      </c>
      <c r="N10" t="n">
        <v>0.00366453414427107</v>
      </c>
      <c r="O10" t="n">
        <v>0.000556041636456162</v>
      </c>
      <c r="P10" t="n">
        <v>0.00166812490936849</v>
      </c>
      <c r="Q10" t="n">
        <v>0.0115922262936613</v>
      </c>
      <c r="R10" t="n">
        <v>0.00342153296193781</v>
      </c>
      <c r="S10" t="n">
        <v>0.0052950309015211</v>
      </c>
      <c r="T10" t="n">
        <v>0.000270491539121485</v>
      </c>
      <c r="U10" t="n">
        <v>0.0029940325937219</v>
      </c>
      <c r="V10" t="n">
        <v>0.00283331531034051</v>
      </c>
      <c r="W10" t="n">
        <v>0.000460843780036485</v>
      </c>
      <c r="X10" t="n">
        <v>0.000304618145123762</v>
      </c>
      <c r="Y10" t="n">
        <v>0.00390097337349664</v>
      </c>
      <c r="Z10" t="n">
        <v>0.038253120940218</v>
      </c>
      <c r="AA10" t="n">
        <v>0.0133659167899923</v>
      </c>
      <c r="AB10" t="n">
        <v>0.00966624526489692</v>
      </c>
      <c r="AC10" t="n">
        <v>0.117748075582235</v>
      </c>
      <c r="AD10" t="n">
        <v>0.0230677485418173</v>
      </c>
      <c r="AE10" t="n">
        <v>0.204132920311304</v>
      </c>
      <c r="AF10" t="n">
        <v>0.0123523506865563</v>
      </c>
      <c r="AG10" t="n">
        <v>0.00179986441347575</v>
      </c>
      <c r="AH10" t="n">
        <v>0.0025069724620099</v>
      </c>
      <c r="AI10" t="n">
        <v>0.00388934368687848</v>
      </c>
      <c r="AJ10" t="n">
        <v>0.0189643530307557</v>
      </c>
      <c r="AK10" t="n">
        <v>0.0102515318398724</v>
      </c>
      <c r="AL10" t="n">
        <v>0.0293985134568178</v>
      </c>
      <c r="AM10" t="n">
        <v>0.280994531260323</v>
      </c>
      <c r="AN10" t="n">
        <v>0.00805451293960303</v>
      </c>
      <c r="AO10" t="n">
        <v>0.0183605510526495</v>
      </c>
      <c r="AP10" t="n">
        <v>0.0118103313206586</v>
      </c>
      <c r="AQ10" t="n">
        <v>0</v>
      </c>
    </row>
    <row r="11">
      <c r="A11" t="s">
        <v>606</v>
      </c>
      <c r="B11" t="n">
        <v>0.0178693202430794</v>
      </c>
      <c r="C11" t="n">
        <v>0.00180671986836177</v>
      </c>
      <c r="D11" t="n">
        <v>0.00604716267075249</v>
      </c>
      <c r="E11" t="n">
        <v>0.00119855522377684</v>
      </c>
      <c r="F11" t="n">
        <v>0.00357330581689733</v>
      </c>
      <c r="G11" t="n">
        <v>0.0115855640184163</v>
      </c>
      <c r="H11" t="n">
        <v>0.00977517811205277</v>
      </c>
      <c r="I11" t="n">
        <v>0.00526019779437318</v>
      </c>
      <c r="J11" t="n">
        <v>0.0269316868754787</v>
      </c>
      <c r="K11" t="n">
        <v>0.021938202175566</v>
      </c>
      <c r="L11" t="n">
        <v>0.208395949102257</v>
      </c>
      <c r="M11" t="n">
        <v>0.25470616001387</v>
      </c>
      <c r="N11" t="n">
        <v>0.131898599935207</v>
      </c>
      <c r="O11" t="n">
        <v>0.00149319541176586</v>
      </c>
      <c r="P11" t="n">
        <v>0.00447958623529757</v>
      </c>
      <c r="Q11" t="n">
        <v>0.00462162721802569</v>
      </c>
      <c r="R11" t="n">
        <v>0.00124377172101131</v>
      </c>
      <c r="S11" t="n">
        <v>0.0106142339165509</v>
      </c>
      <c r="T11" t="n">
        <v>0.00153607719655725</v>
      </c>
      <c r="U11" t="n">
        <v>0.00440420872190373</v>
      </c>
      <c r="V11" t="n">
        <v>0.00309400710145977</v>
      </c>
      <c r="W11" t="n">
        <v>0.00449315798526619</v>
      </c>
      <c r="X11" t="n">
        <v>0.000810211762035571</v>
      </c>
      <c r="Y11" t="n">
        <v>0.0113753971562015</v>
      </c>
      <c r="Z11" t="n">
        <v>0.000904940075590265</v>
      </c>
      <c r="AA11" t="n">
        <v>0.000272764100987685</v>
      </c>
      <c r="AB11" t="n">
        <v>0.00280977018107043</v>
      </c>
      <c r="AC11" t="n">
        <v>0.0154107117804517</v>
      </c>
      <c r="AD11" t="n">
        <v>0.00354650396928822</v>
      </c>
      <c r="AE11" t="n">
        <v>0.00174590001846796</v>
      </c>
      <c r="AF11" t="n">
        <v>0.0017062143445944</v>
      </c>
      <c r="AG11" t="n">
        <v>0.00102619421825207</v>
      </c>
      <c r="AH11" t="n">
        <v>0.00169006243579086</v>
      </c>
      <c r="AI11" t="n">
        <v>0.000751164093901695</v>
      </c>
      <c r="AJ11" t="n">
        <v>0.000247297610222619</v>
      </c>
      <c r="AK11" t="n">
        <v>0.0101124272526251</v>
      </c>
      <c r="AL11" t="n">
        <v>0.0624589019401655</v>
      </c>
      <c r="AM11" t="n">
        <v>0.0443379734992048</v>
      </c>
      <c r="AN11" t="n">
        <v>0.00197492561392414</v>
      </c>
      <c r="AO11" t="n">
        <v>0.0925138144527252</v>
      </c>
      <c r="AP11" t="n">
        <v>0.00933835813657329</v>
      </c>
      <c r="AQ11" t="n">
        <v>0</v>
      </c>
    </row>
    <row r="12">
      <c r="A12" t="s">
        <v>607</v>
      </c>
      <c r="B12" t="n">
        <v>0.00459141376642194</v>
      </c>
      <c r="C12" t="n">
        <v>0.00490161849970475</v>
      </c>
      <c r="D12" t="n">
        <v>0.000277376452190206</v>
      </c>
      <c r="E12" t="n">
        <v>0.00325167202766708</v>
      </c>
      <c r="F12" t="n">
        <v>0.00707043533179842</v>
      </c>
      <c r="G12" t="n">
        <v>0.0772851143665883</v>
      </c>
      <c r="H12" t="n">
        <v>0.0011829230387947</v>
      </c>
      <c r="I12" t="n">
        <v>0.00651230478506847</v>
      </c>
      <c r="J12" t="n">
        <v>0.0362891183210482</v>
      </c>
      <c r="K12" t="n">
        <v>0.00130351832280749</v>
      </c>
      <c r="L12" t="n">
        <v>0.0270608202390942</v>
      </c>
      <c r="M12" t="n">
        <v>0.0330743358477818</v>
      </c>
      <c r="N12" t="n">
        <v>0.119096886375753</v>
      </c>
      <c r="O12" t="n">
        <v>0.0013098497526857</v>
      </c>
      <c r="P12" t="n">
        <v>0.00392954925805709</v>
      </c>
      <c r="Q12" t="n">
        <v>0.00512081015553147</v>
      </c>
      <c r="R12" t="n">
        <v>0.00168930327605836</v>
      </c>
      <c r="S12" t="n">
        <v>0.0135225705240503</v>
      </c>
      <c r="T12" t="n">
        <v>0.00583610437027223</v>
      </c>
      <c r="U12" t="n">
        <v>0.0132657284004194</v>
      </c>
      <c r="V12" t="n">
        <v>0.0437860840159077</v>
      </c>
      <c r="W12" t="n">
        <v>0.0311774901519639</v>
      </c>
      <c r="X12" t="n">
        <v>0.00650295932263766</v>
      </c>
      <c r="Y12" t="n">
        <v>0.0322285338259139</v>
      </c>
      <c r="Z12" t="n">
        <v>0.0000722844333468975</v>
      </c>
      <c r="AA12" t="n">
        <v>0.00315592563652255</v>
      </c>
      <c r="AB12" t="n">
        <v>0.00190396235444292</v>
      </c>
      <c r="AC12" t="n">
        <v>0.115511482653655</v>
      </c>
      <c r="AD12" t="n">
        <v>0.0970366855297153</v>
      </c>
      <c r="AE12" t="n">
        <v>0.0165443260883544</v>
      </c>
      <c r="AF12" t="n">
        <v>0.0231340408744814</v>
      </c>
      <c r="AG12" t="n">
        <v>0.00927753949871223</v>
      </c>
      <c r="AH12" t="n">
        <v>0.0252234624540664</v>
      </c>
      <c r="AI12" t="n">
        <v>0.00671168599644571</v>
      </c>
      <c r="AJ12" t="n">
        <v>0.00623138239479222</v>
      </c>
      <c r="AK12" t="n">
        <v>0.00152732433966439</v>
      </c>
      <c r="AL12" t="n">
        <v>0.0442749302286388</v>
      </c>
      <c r="AM12" t="n">
        <v>0.061580135243446</v>
      </c>
      <c r="AN12" t="n">
        <v>0.00581341582942653</v>
      </c>
      <c r="AO12" t="n">
        <v>0.0862773522616562</v>
      </c>
      <c r="AP12" t="n">
        <v>0.015457543754416</v>
      </c>
      <c r="AQ12" t="n">
        <v>0</v>
      </c>
    </row>
    <row r="13">
      <c r="A13" t="s">
        <v>608</v>
      </c>
      <c r="B13" t="n">
        <v>0.000220364558823778</v>
      </c>
      <c r="C13" t="n">
        <v>0.00222222116714765</v>
      </c>
      <c r="D13" t="n">
        <v>0.00575751355795745</v>
      </c>
      <c r="E13" t="n">
        <v>0.00147419355646282</v>
      </c>
      <c r="F13" t="n">
        <v>0.00924828343355642</v>
      </c>
      <c r="G13" t="n">
        <v>0.0283910297740492</v>
      </c>
      <c r="H13" t="n">
        <v>0.000142811219197135</v>
      </c>
      <c r="I13" t="n">
        <v>0.00890783090839197</v>
      </c>
      <c r="J13" t="n">
        <v>0.0057834081254828</v>
      </c>
      <c r="K13" t="n">
        <v>0.0056809877496502</v>
      </c>
      <c r="L13" t="n">
        <v>0.0068968152618784</v>
      </c>
      <c r="M13" t="n">
        <v>0.00842944087562916</v>
      </c>
      <c r="N13" t="n">
        <v>0.0211014262837264</v>
      </c>
      <c r="O13" t="n">
        <v>0.0309144524208386</v>
      </c>
      <c r="P13" t="n">
        <v>0.0927433572625159</v>
      </c>
      <c r="Q13" t="n">
        <v>0.0330771022583926</v>
      </c>
      <c r="R13" t="n">
        <v>0.0109488507624276</v>
      </c>
      <c r="S13" t="n">
        <v>0.0161116211977954</v>
      </c>
      <c r="T13" t="n">
        <v>0.00119686203368264</v>
      </c>
      <c r="U13" t="n">
        <v>0.0202092383536995</v>
      </c>
      <c r="V13" t="n">
        <v>0.0131903511819836</v>
      </c>
      <c r="W13" t="n">
        <v>0.0161404991364025</v>
      </c>
      <c r="X13" t="n">
        <v>0.00126078185051916</v>
      </c>
      <c r="Y13" t="n">
        <v>0.00904661602938611</v>
      </c>
      <c r="Z13" t="n">
        <v>0.000269017483608766</v>
      </c>
      <c r="AA13" t="n">
        <v>0.0000747270787802128</v>
      </c>
      <c r="AB13" t="n">
        <v>0.00253585702811234</v>
      </c>
      <c r="AC13" t="n">
        <v>0.442324492356485</v>
      </c>
      <c r="AD13" t="n">
        <v>0.0080708197061024</v>
      </c>
      <c r="AE13" t="n">
        <v>0.00260827327820459</v>
      </c>
      <c r="AF13" t="n">
        <v>0.0155575954730079</v>
      </c>
      <c r="AG13" t="n">
        <v>0.00867715864181276</v>
      </c>
      <c r="AH13" t="n">
        <v>0.0259996414119298</v>
      </c>
      <c r="AI13" t="n">
        <v>0.00327186221894937</v>
      </c>
      <c r="AJ13" t="n">
        <v>0.000733242645844902</v>
      </c>
      <c r="AK13" t="n">
        <v>0.000950533285850618</v>
      </c>
      <c r="AL13" t="n">
        <v>0.0432986655109189</v>
      </c>
      <c r="AM13" t="n">
        <v>0.0275486418425489</v>
      </c>
      <c r="AN13" t="n">
        <v>0.00119372613146811</v>
      </c>
      <c r="AO13" t="n">
        <v>0.0554679761832821</v>
      </c>
      <c r="AP13" t="n">
        <v>0.0123217107634963</v>
      </c>
      <c r="AQ13" t="n">
        <v>0</v>
      </c>
    </row>
    <row r="14">
      <c r="A14" t="s">
        <v>609</v>
      </c>
      <c r="B14" t="n">
        <v>0.000220364558823778</v>
      </c>
      <c r="C14" t="n">
        <v>0.00222222116714765</v>
      </c>
      <c r="D14" t="n">
        <v>0.00575751355795745</v>
      </c>
      <c r="E14" t="n">
        <v>0.00147419355646282</v>
      </c>
      <c r="F14" t="n">
        <v>0.00924828343355642</v>
      </c>
      <c r="G14" t="n">
        <v>0.0283910297740492</v>
      </c>
      <c r="H14" t="n">
        <v>0.000142811219197135</v>
      </c>
      <c r="I14" t="n">
        <v>0.00890783090839197</v>
      </c>
      <c r="J14" t="n">
        <v>0.0057834081254828</v>
      </c>
      <c r="K14" t="n">
        <v>0.0056809877496502</v>
      </c>
      <c r="L14" t="n">
        <v>0.0068968152618784</v>
      </c>
      <c r="M14" t="n">
        <v>0.00842944087562916</v>
      </c>
      <c r="N14" t="n">
        <v>0.0211014262837264</v>
      </c>
      <c r="O14" t="n">
        <v>0.0309144524208386</v>
      </c>
      <c r="P14" t="n">
        <v>0.0927433572625159</v>
      </c>
      <c r="Q14" t="n">
        <v>0.0330771022583926</v>
      </c>
      <c r="R14" t="n">
        <v>0.0109488507624276</v>
      </c>
      <c r="S14" t="n">
        <v>0.0161116211977954</v>
      </c>
      <c r="T14" t="n">
        <v>0.00119686203368264</v>
      </c>
      <c r="U14" t="n">
        <v>0.0202092383536995</v>
      </c>
      <c r="V14" t="n">
        <v>0.0131903511819836</v>
      </c>
      <c r="W14" t="n">
        <v>0.0161404991364025</v>
      </c>
      <c r="X14" t="n">
        <v>0.00126078185051916</v>
      </c>
      <c r="Y14" t="n">
        <v>0.00904661602938611</v>
      </c>
      <c r="Z14" t="n">
        <v>0.000269017483608766</v>
      </c>
      <c r="AA14" t="n">
        <v>0.0000747270787802128</v>
      </c>
      <c r="AB14" t="n">
        <v>0.00253585702811234</v>
      </c>
      <c r="AC14" t="n">
        <v>0.442324492356485</v>
      </c>
      <c r="AD14" t="n">
        <v>0.00807081970610239</v>
      </c>
      <c r="AE14" t="n">
        <v>0.00260827327820459</v>
      </c>
      <c r="AF14" t="n">
        <v>0.0155575954730079</v>
      </c>
      <c r="AG14" t="n">
        <v>0.00867715864181276</v>
      </c>
      <c r="AH14" t="n">
        <v>0.0259996414119298</v>
      </c>
      <c r="AI14" t="n">
        <v>0.00327186221894937</v>
      </c>
      <c r="AJ14" t="n">
        <v>0.000733242645844902</v>
      </c>
      <c r="AK14" t="n">
        <v>0.000950533285850618</v>
      </c>
      <c r="AL14" t="n">
        <v>0.0432986655109189</v>
      </c>
      <c r="AM14" t="n">
        <v>0.0275486418425488</v>
      </c>
      <c r="AN14" t="n">
        <v>0.00119372613146811</v>
      </c>
      <c r="AO14" t="n">
        <v>0.0554679761832821</v>
      </c>
      <c r="AP14" t="n">
        <v>0.0123217107634963</v>
      </c>
      <c r="AQ14" t="n">
        <v>0</v>
      </c>
    </row>
    <row r="15">
      <c r="A15" t="s">
        <v>610</v>
      </c>
      <c r="B15" t="n">
        <v>0.000920017536024206</v>
      </c>
      <c r="C15" t="n">
        <v>0.0011545633135592</v>
      </c>
      <c r="D15" t="n">
        <v>0.00793010624802671</v>
      </c>
      <c r="E15" t="n">
        <v>0.000765922772467341</v>
      </c>
      <c r="F15" t="n">
        <v>0.00227565075765708</v>
      </c>
      <c r="G15" t="n">
        <v>0.00548302637413595</v>
      </c>
      <c r="H15" t="n">
        <v>0.000112706574231362</v>
      </c>
      <c r="I15" t="n">
        <v>0.000999150029463883</v>
      </c>
      <c r="J15" t="n">
        <v>0.00493087772814427</v>
      </c>
      <c r="K15" t="n">
        <v>0.00149517476448235</v>
      </c>
      <c r="L15" t="n">
        <v>0.00103600375548872</v>
      </c>
      <c r="M15" t="n">
        <v>0.001266226812264</v>
      </c>
      <c r="N15" t="n">
        <v>0.00572204163091243</v>
      </c>
      <c r="O15" t="n">
        <v>0.00103386042285485</v>
      </c>
      <c r="P15" t="n">
        <v>0.00310158126856454</v>
      </c>
      <c r="Q15" t="n">
        <v>0.359799390656367</v>
      </c>
      <c r="R15" t="n">
        <v>0.119912904129363</v>
      </c>
      <c r="S15" t="n">
        <v>0.212402676157403</v>
      </c>
      <c r="T15" t="n">
        <v>0.00619406295216157</v>
      </c>
      <c r="U15" t="n">
        <v>0.0510268075762825</v>
      </c>
      <c r="V15" t="n">
        <v>0.0814958425241986</v>
      </c>
      <c r="W15" t="n">
        <v>0.0304589392365045</v>
      </c>
      <c r="X15" t="n">
        <v>0.00889280547264499</v>
      </c>
      <c r="Y15" t="n">
        <v>0.0215174127888614</v>
      </c>
      <c r="Z15" t="n">
        <v>0.00173480752313954</v>
      </c>
      <c r="AA15" t="n">
        <v>0.000605772437129326</v>
      </c>
      <c r="AB15" t="n">
        <v>0.00119019908871678</v>
      </c>
      <c r="AC15" t="n">
        <v>0.0157346689815584</v>
      </c>
      <c r="AD15" t="n">
        <v>0.00330654251793056</v>
      </c>
      <c r="AE15" t="n">
        <v>0.010704175499726</v>
      </c>
      <c r="AF15" t="n">
        <v>0.000833290329306938</v>
      </c>
      <c r="AG15" t="n">
        <v>0.000512938972317854</v>
      </c>
      <c r="AH15" t="n">
        <v>0.00132974911880974</v>
      </c>
      <c r="AI15" t="n">
        <v>0.000817768451521561</v>
      </c>
      <c r="AJ15" t="n">
        <v>0.000857404730117739</v>
      </c>
      <c r="AK15" t="n">
        <v>0.00355643741622784</v>
      </c>
      <c r="AL15" t="n">
        <v>0.00670822119838924</v>
      </c>
      <c r="AM15" t="n">
        <v>0.0150734603272568</v>
      </c>
      <c r="AN15" t="n">
        <v>0.00118275235277473</v>
      </c>
      <c r="AO15" t="n">
        <v>0.00250733998351888</v>
      </c>
      <c r="AP15" t="n">
        <v>0.00341671958949403</v>
      </c>
      <c r="AQ15" t="n">
        <v>0</v>
      </c>
    </row>
    <row r="16">
      <c r="A16" t="s">
        <v>611</v>
      </c>
      <c r="B16" t="n">
        <v>0.000150024991127739</v>
      </c>
      <c r="C16" t="n">
        <v>0.000821369346244423</v>
      </c>
      <c r="D16" t="n">
        <v>0.00774145257701292</v>
      </c>
      <c r="E16" t="n">
        <v>0.000544886087672278</v>
      </c>
      <c r="F16" t="n">
        <v>0.00182647506280627</v>
      </c>
      <c r="G16" t="n">
        <v>0.00530418007936113</v>
      </c>
      <c r="H16" t="n">
        <v>0.000110644971011711</v>
      </c>
      <c r="I16" t="n">
        <v>0.000878960263745688</v>
      </c>
      <c r="J16" t="n">
        <v>0.00460688832066981</v>
      </c>
      <c r="K16" t="n">
        <v>0.000016888386357096</v>
      </c>
      <c r="L16" t="n">
        <v>0.0000942324498201262</v>
      </c>
      <c r="M16" t="n">
        <v>0.000115172994224599</v>
      </c>
      <c r="N16" t="n">
        <v>0.00581946923837055</v>
      </c>
      <c r="O16" t="n">
        <v>0.00105648621715189</v>
      </c>
      <c r="P16" t="n">
        <v>0.00316945865145566</v>
      </c>
      <c r="Q16" t="n">
        <v>0.376287783113695</v>
      </c>
      <c r="R16" t="n">
        <v>0.125429032578978</v>
      </c>
      <c r="S16" t="n">
        <v>0.222209689008911</v>
      </c>
      <c r="T16" t="n">
        <v>0.00647455738249867</v>
      </c>
      <c r="U16" t="n">
        <v>0.0533012675121557</v>
      </c>
      <c r="V16" t="n">
        <v>0.0852206901239347</v>
      </c>
      <c r="W16" t="n">
        <v>0.0318794165312893</v>
      </c>
      <c r="X16" t="n">
        <v>0.00929947546007156</v>
      </c>
      <c r="Y16" t="n">
        <v>0.0223515908199564</v>
      </c>
      <c r="Z16" t="n">
        <v>0.00000558324194898593</v>
      </c>
      <c r="AA16" t="n">
        <v>0.00000155090054138498</v>
      </c>
      <c r="AB16" t="n">
        <v>0.000788839237046075</v>
      </c>
      <c r="AC16" t="n">
        <v>0.0109041047195639</v>
      </c>
      <c r="AD16" t="n">
        <v>0.00237080496368379</v>
      </c>
      <c r="AE16" t="n">
        <v>0.00154488935230044</v>
      </c>
      <c r="AF16" t="n">
        <v>0.000287836911490012</v>
      </c>
      <c r="AG16" t="n">
        <v>0.00045200015798884</v>
      </c>
      <c r="AH16" t="n">
        <v>0.0012740049455727</v>
      </c>
      <c r="AI16" t="n">
        <v>0.000672322455212247</v>
      </c>
      <c r="AJ16" t="n">
        <v>0</v>
      </c>
      <c r="AK16" t="n">
        <v>0.00323940963594663</v>
      </c>
      <c r="AL16" t="n">
        <v>0.00563378482252324</v>
      </c>
      <c r="AM16" t="n">
        <v>0.00248149948049433</v>
      </c>
      <c r="AN16" t="n">
        <v>0.000857359032290374</v>
      </c>
      <c r="AO16" t="n">
        <v>0.00175665478065956</v>
      </c>
      <c r="AP16" t="n">
        <v>0.00301926319421517</v>
      </c>
      <c r="AQ16" t="n">
        <v>0</v>
      </c>
    </row>
    <row r="17">
      <c r="A17" t="s">
        <v>612</v>
      </c>
      <c r="B17" t="n">
        <v>0.00343064101067508</v>
      </c>
      <c r="C17" t="n">
        <v>0.00214793873589765</v>
      </c>
      <c r="D17" t="n">
        <v>0.018027474671771</v>
      </c>
      <c r="E17" t="n">
        <v>0.00142491552638821</v>
      </c>
      <c r="F17" t="n">
        <v>0.00402602411671341</v>
      </c>
      <c r="G17" t="n">
        <v>0.0442038265065425</v>
      </c>
      <c r="H17" t="n">
        <v>0.000898892294665595</v>
      </c>
      <c r="I17" t="n">
        <v>0.0109916949522231</v>
      </c>
      <c r="J17" t="n">
        <v>0.0327674836587232</v>
      </c>
      <c r="K17" t="n">
        <v>0.00231733245615569</v>
      </c>
      <c r="L17" t="n">
        <v>0.0169278115061858</v>
      </c>
      <c r="M17" t="n">
        <v>0.0206895473964494</v>
      </c>
      <c r="N17" t="n">
        <v>0.0315554011892639</v>
      </c>
      <c r="O17" t="n">
        <v>0.00149102961591227</v>
      </c>
      <c r="P17" t="n">
        <v>0.00447308884773681</v>
      </c>
      <c r="Q17" t="n">
        <v>0.0247049996078008</v>
      </c>
      <c r="R17" t="n">
        <v>0.0082036519796415</v>
      </c>
      <c r="S17" t="n">
        <v>0.139088503213924</v>
      </c>
      <c r="T17" t="n">
        <v>0.00982778638017697</v>
      </c>
      <c r="U17" t="n">
        <v>0.0378768978282006</v>
      </c>
      <c r="V17" t="n">
        <v>0.0690973395714422</v>
      </c>
      <c r="W17" t="n">
        <v>0.0230036405142422</v>
      </c>
      <c r="X17" t="n">
        <v>0.0179430965847186</v>
      </c>
      <c r="Y17" t="n">
        <v>0.0253370541475723</v>
      </c>
      <c r="Z17" t="n">
        <v>0.00178385057117613</v>
      </c>
      <c r="AA17" t="n">
        <v>0.0193281975194177</v>
      </c>
      <c r="AB17" t="n">
        <v>0.0107446450157342</v>
      </c>
      <c r="AC17" t="n">
        <v>0.219854157834125</v>
      </c>
      <c r="AD17" t="n">
        <v>0.0129982400179361</v>
      </c>
      <c r="AE17" t="n">
        <v>0.0148367231857027</v>
      </c>
      <c r="AF17" t="n">
        <v>0.0106705711795731</v>
      </c>
      <c r="AG17" t="n">
        <v>0.0149509614343873</v>
      </c>
      <c r="AH17" t="n">
        <v>0.0412368259104795</v>
      </c>
      <c r="AI17" t="n">
        <v>0.00771958473562862</v>
      </c>
      <c r="AJ17" t="n">
        <v>0.00126709634104094</v>
      </c>
      <c r="AK17" t="n">
        <v>0.00312057007904616</v>
      </c>
      <c r="AL17" t="n">
        <v>0.0280613468902409</v>
      </c>
      <c r="AM17" t="n">
        <v>0.0271127195817257</v>
      </c>
      <c r="AN17" t="n">
        <v>0.00249070118326829</v>
      </c>
      <c r="AO17" t="n">
        <v>0.0183721542191658</v>
      </c>
      <c r="AP17" t="n">
        <v>0.014995581988329</v>
      </c>
      <c r="AQ17" t="n">
        <v>0</v>
      </c>
    </row>
    <row r="18">
      <c r="A18" t="s">
        <v>613</v>
      </c>
      <c r="B18" t="n">
        <v>0.0000449317749485423</v>
      </c>
      <c r="C18" t="n">
        <v>0.000125027156406455</v>
      </c>
      <c r="D18" t="n">
        <v>0.000259232835997676</v>
      </c>
      <c r="E18" t="n">
        <v>0.0000829414421400025</v>
      </c>
      <c r="F18" t="n">
        <v>0.00130987150940245</v>
      </c>
      <c r="G18" t="n">
        <v>0.0128899190671022</v>
      </c>
      <c r="H18" t="n">
        <v>0.000719369240509505</v>
      </c>
      <c r="I18" t="n">
        <v>0.00533194592438192</v>
      </c>
      <c r="J18" t="n">
        <v>0.00431060964800946</v>
      </c>
      <c r="K18" t="n">
        <v>0.00090036744809091</v>
      </c>
      <c r="L18" t="n">
        <v>0.0117873023718949</v>
      </c>
      <c r="M18" t="n">
        <v>0.0144067028989827</v>
      </c>
      <c r="N18" t="n">
        <v>0.0109198153898161</v>
      </c>
      <c r="O18" t="n">
        <v>0.000566731820862676</v>
      </c>
      <c r="P18" t="n">
        <v>0.00170019546258803</v>
      </c>
      <c r="Q18" t="n">
        <v>0.00855252143708079</v>
      </c>
      <c r="R18" t="n">
        <v>0.00283866069044714</v>
      </c>
      <c r="S18" t="n">
        <v>0.0281324085822683</v>
      </c>
      <c r="T18" t="n">
        <v>0.0802698022936657</v>
      </c>
      <c r="U18" t="n">
        <v>0.0144500238229036</v>
      </c>
      <c r="V18" t="n">
        <v>0.024191343979784</v>
      </c>
      <c r="W18" t="n">
        <v>0.0280567255630315</v>
      </c>
      <c r="X18" t="n">
        <v>0.0304374570574497</v>
      </c>
      <c r="Y18" t="n">
        <v>0.00983577513752244</v>
      </c>
      <c r="Z18" t="n">
        <v>0.000247319205078839</v>
      </c>
      <c r="AA18" t="n">
        <v>0.000366381624883623</v>
      </c>
      <c r="AB18" t="n">
        <v>0.00545467467048579</v>
      </c>
      <c r="AC18" t="n">
        <v>0.0296619802900493</v>
      </c>
      <c r="AD18" t="n">
        <v>0.198755277602837</v>
      </c>
      <c r="AE18" t="n">
        <v>0.00378617254566541</v>
      </c>
      <c r="AF18" t="n">
        <v>0.00164737689394278</v>
      </c>
      <c r="AG18" t="n">
        <v>0.0473134821747998</v>
      </c>
      <c r="AH18" t="n">
        <v>0.114343863244613</v>
      </c>
      <c r="AI18" t="n">
        <v>0.0385342730585455</v>
      </c>
      <c r="AJ18" t="n">
        <v>0.00792439792135404</v>
      </c>
      <c r="AK18" t="n">
        <v>0.00189739643181275</v>
      </c>
      <c r="AL18" t="n">
        <v>0.138839764963984</v>
      </c>
      <c r="AM18" t="n">
        <v>0.0403845229448925</v>
      </c>
      <c r="AN18" t="n">
        <v>0.00747609700352557</v>
      </c>
      <c r="AO18" t="n">
        <v>0.0512309690436768</v>
      </c>
      <c r="AP18" t="n">
        <v>0.0200163678245668</v>
      </c>
      <c r="AQ18" t="n">
        <v>0</v>
      </c>
    </row>
    <row r="19">
      <c r="A19" t="s">
        <v>614</v>
      </c>
      <c r="B19" t="n">
        <v>0.0123472131413992</v>
      </c>
      <c r="C19" t="n">
        <v>0.000418983846570224</v>
      </c>
      <c r="D19" t="n">
        <v>0.000743870296585611</v>
      </c>
      <c r="E19" t="n">
        <v>0.000277948611059554</v>
      </c>
      <c r="F19" t="n">
        <v>0.0069429208605546</v>
      </c>
      <c r="G19" t="n">
        <v>0.0143593606136999</v>
      </c>
      <c r="H19" t="n">
        <v>0.000271701558930323</v>
      </c>
      <c r="I19" t="n">
        <v>0.00494283055504202</v>
      </c>
      <c r="J19" t="n">
        <v>0.00934917247929883</v>
      </c>
      <c r="K19" t="n">
        <v>0.000895374379590454</v>
      </c>
      <c r="L19" t="n">
        <v>0.00553165191294228</v>
      </c>
      <c r="M19" t="n">
        <v>0.00676090789359612</v>
      </c>
      <c r="N19" t="n">
        <v>0.0119849876043429</v>
      </c>
      <c r="O19" t="n">
        <v>0.000252820683943838</v>
      </c>
      <c r="P19" t="n">
        <v>0.000758462051831513</v>
      </c>
      <c r="Q19" t="n">
        <v>0.0254426083502007</v>
      </c>
      <c r="R19" t="n">
        <v>0.00846875720559792</v>
      </c>
      <c r="S19" t="n">
        <v>0.0305989971462274</v>
      </c>
      <c r="T19" t="n">
        <v>0.0113844859903716</v>
      </c>
      <c r="U19" t="n">
        <v>0.124029073006833</v>
      </c>
      <c r="V19" t="n">
        <v>0.118093594957879</v>
      </c>
      <c r="W19" t="n">
        <v>0.014641892351557</v>
      </c>
      <c r="X19" t="n">
        <v>0.00616399808905053</v>
      </c>
      <c r="Y19" t="n">
        <v>0.00818602068717592</v>
      </c>
      <c r="Z19" t="n">
        <v>0.000107097251204536</v>
      </c>
      <c r="AA19" t="n">
        <v>0.000175519015824638</v>
      </c>
      <c r="AB19" t="n">
        <v>0.0114023013571212</v>
      </c>
      <c r="AC19" t="n">
        <v>0.260838939435712</v>
      </c>
      <c r="AD19" t="n">
        <v>0.0209133640296206</v>
      </c>
      <c r="AE19" t="n">
        <v>0.00513431905115656</v>
      </c>
      <c r="AF19" t="n">
        <v>0.00838702972947485</v>
      </c>
      <c r="AG19" t="n">
        <v>0.0140254512632205</v>
      </c>
      <c r="AH19" t="n">
        <v>0.042026596620854</v>
      </c>
      <c r="AI19" t="n">
        <v>0.0196062093525379</v>
      </c>
      <c r="AJ19" t="n">
        <v>0.00191079331935803</v>
      </c>
      <c r="AK19" t="n">
        <v>0.0083927946507885</v>
      </c>
      <c r="AL19" t="n">
        <v>0.0623799585013825</v>
      </c>
      <c r="AM19" t="n">
        <v>0.049293829004519</v>
      </c>
      <c r="AN19" t="n">
        <v>0.00661564697106993</v>
      </c>
      <c r="AO19" t="n">
        <v>0.0320994735816601</v>
      </c>
      <c r="AP19" t="n">
        <v>0.0338430425902147</v>
      </c>
      <c r="AQ19" t="n">
        <v>0</v>
      </c>
    </row>
    <row r="20">
      <c r="A20" t="s">
        <v>615</v>
      </c>
      <c r="B20" t="n">
        <v>0.0090405212214619</v>
      </c>
      <c r="C20" t="n">
        <v>0.0157681605307203</v>
      </c>
      <c r="D20" t="n">
        <v>0.0323133107806085</v>
      </c>
      <c r="E20" t="n">
        <v>0.0104603992596722</v>
      </c>
      <c r="F20" t="n">
        <v>0.0399903636862536</v>
      </c>
      <c r="G20" t="n">
        <v>0.0244618171310871</v>
      </c>
      <c r="H20" t="n">
        <v>0.0000988748163405814</v>
      </c>
      <c r="I20" t="n">
        <v>0.00319112867571188</v>
      </c>
      <c r="J20" t="n">
        <v>0.0255047560430984</v>
      </c>
      <c r="K20" t="n">
        <v>0.000205003441884341</v>
      </c>
      <c r="L20" t="n">
        <v>0.0148711450634362</v>
      </c>
      <c r="M20" t="n">
        <v>0.0181758439664221</v>
      </c>
      <c r="N20" t="n">
        <v>0.0149829907726044</v>
      </c>
      <c r="O20" t="n">
        <v>0.000187535602697251</v>
      </c>
      <c r="P20" t="n">
        <v>0.000562606808091752</v>
      </c>
      <c r="Q20" t="n">
        <v>0.00906446513176513</v>
      </c>
      <c r="R20" t="n">
        <v>0.00301871517772903</v>
      </c>
      <c r="S20" t="n">
        <v>0.0354985562568389</v>
      </c>
      <c r="T20" t="n">
        <v>0.00133956326807968</v>
      </c>
      <c r="U20" t="n">
        <v>0.018572390527729</v>
      </c>
      <c r="V20" t="n">
        <v>0.196266949157195</v>
      </c>
      <c r="W20" t="n">
        <v>0.0602487978062116</v>
      </c>
      <c r="X20" t="n">
        <v>0.00984643463102697</v>
      </c>
      <c r="Y20" t="n">
        <v>0.00525936491003632</v>
      </c>
      <c r="Z20" t="n">
        <v>0.0067937665324979</v>
      </c>
      <c r="AA20" t="n">
        <v>0.003926823507803</v>
      </c>
      <c r="AB20" t="n">
        <v>0.0344694941073547</v>
      </c>
      <c r="AC20" t="n">
        <v>0.158887861916105</v>
      </c>
      <c r="AD20" t="n">
        <v>0.0186944424012235</v>
      </c>
      <c r="AE20" t="n">
        <v>0.0489782420955308</v>
      </c>
      <c r="AF20" t="n">
        <v>0.0028787146598936</v>
      </c>
      <c r="AG20" t="n">
        <v>0.00286683122211993</v>
      </c>
      <c r="AH20" t="n">
        <v>0.00779194519592173</v>
      </c>
      <c r="AI20" t="n">
        <v>0.0120749597554449</v>
      </c>
      <c r="AJ20" t="n">
        <v>0.00543295617465973</v>
      </c>
      <c r="AK20" t="n">
        <v>0.000425055187670135</v>
      </c>
      <c r="AL20" t="n">
        <v>0.0422244425293934</v>
      </c>
      <c r="AM20" t="n">
        <v>0.0348287178502458</v>
      </c>
      <c r="AN20" t="n">
        <v>0.0204220291208775</v>
      </c>
      <c r="AO20" t="n">
        <v>0.0146028699467295</v>
      </c>
      <c r="AP20" t="n">
        <v>0.0357711531298268</v>
      </c>
      <c r="AQ20" t="n">
        <v>0</v>
      </c>
    </row>
    <row r="21">
      <c r="A21" t="s">
        <v>616</v>
      </c>
      <c r="B21" t="n">
        <v>0.00414697936542906</v>
      </c>
      <c r="C21" t="n">
        <v>0.00331519716523148</v>
      </c>
      <c r="D21" t="n">
        <v>0.0034879082751519</v>
      </c>
      <c r="E21" t="n">
        <v>0.00219926007889715</v>
      </c>
      <c r="F21" t="n">
        <v>0.00477560151367653</v>
      </c>
      <c r="G21" t="n">
        <v>0.0311268009283028</v>
      </c>
      <c r="H21" t="n">
        <v>0.000244391233668241</v>
      </c>
      <c r="I21" t="n">
        <v>0.0144698895630504</v>
      </c>
      <c r="J21" t="n">
        <v>0.0162248889268328</v>
      </c>
      <c r="K21" t="n">
        <v>0.000634308659288926</v>
      </c>
      <c r="L21" t="n">
        <v>0.00581016183930305</v>
      </c>
      <c r="M21" t="n">
        <v>0.00710130891470373</v>
      </c>
      <c r="N21" t="n">
        <v>0.00622887137183871</v>
      </c>
      <c r="O21" t="n">
        <v>0.000876001747154882</v>
      </c>
      <c r="P21" t="n">
        <v>0.00262800524146465</v>
      </c>
      <c r="Q21" t="n">
        <v>0.00909076913315174</v>
      </c>
      <c r="R21" t="n">
        <v>0.00302167571947505</v>
      </c>
      <c r="S21" t="n">
        <v>0.0113117099659283</v>
      </c>
      <c r="T21" t="n">
        <v>0.00334401685343092</v>
      </c>
      <c r="U21" t="n">
        <v>0.00670387613761358</v>
      </c>
      <c r="V21" t="n">
        <v>0.0661570138559237</v>
      </c>
      <c r="W21" t="n">
        <v>0.293676623207449</v>
      </c>
      <c r="X21" t="n">
        <v>0.0079815445457843</v>
      </c>
      <c r="Y21" t="n">
        <v>0.0082599401533929</v>
      </c>
      <c r="Z21" t="n">
        <v>0.000149897648568165</v>
      </c>
      <c r="AA21" t="n">
        <v>0.0000876963700925032</v>
      </c>
      <c r="AB21" t="n">
        <v>0.00868558134303487</v>
      </c>
      <c r="AC21" t="n">
        <v>0.0105357084229486</v>
      </c>
      <c r="AD21" t="n">
        <v>0.105765349020573</v>
      </c>
      <c r="AE21" t="n">
        <v>0.0662854646715118</v>
      </c>
      <c r="AF21" t="n">
        <v>0.00673192965892859</v>
      </c>
      <c r="AG21" t="n">
        <v>0.00416479179230176</v>
      </c>
      <c r="AH21" t="n">
        <v>0.00957134743881772</v>
      </c>
      <c r="AI21" t="n">
        <v>0.00128525626090377</v>
      </c>
      <c r="AJ21" t="n">
        <v>0.000776424878391556</v>
      </c>
      <c r="AK21" t="n">
        <v>0</v>
      </c>
      <c r="AL21" t="n">
        <v>0.0901640964303662</v>
      </c>
      <c r="AM21" t="n">
        <v>0.0666392344711273</v>
      </c>
      <c r="AN21" t="n">
        <v>0.00615752125277346</v>
      </c>
      <c r="AO21" t="n">
        <v>0.0433640884385349</v>
      </c>
      <c r="AP21" t="n">
        <v>0.0668188675049823</v>
      </c>
      <c r="AQ21" t="n">
        <v>0</v>
      </c>
    </row>
    <row r="22">
      <c r="A22" t="s">
        <v>617</v>
      </c>
      <c r="B22" t="n">
        <v>0.0000367433648224102</v>
      </c>
      <c r="C22" t="n">
        <v>0.0000629898543527067</v>
      </c>
      <c r="D22" t="n">
        <v>0</v>
      </c>
      <c r="E22" t="n">
        <v>0.0000417866766738083</v>
      </c>
      <c r="F22" t="n">
        <v>0</v>
      </c>
      <c r="G22" t="n">
        <v>0</v>
      </c>
      <c r="H22" t="n">
        <v>0</v>
      </c>
      <c r="I22" t="n">
        <v>0.000130900719979249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0.000938620540784467</v>
      </c>
      <c r="T22" t="n">
        <v>0</v>
      </c>
      <c r="U22" t="n">
        <v>0</v>
      </c>
      <c r="V22" t="n">
        <v>0.00168246357863705</v>
      </c>
      <c r="W22" t="n">
        <v>0.00186926673353955</v>
      </c>
      <c r="X22" t="n">
        <v>0.767196628952029</v>
      </c>
      <c r="Y22" t="n">
        <v>0</v>
      </c>
      <c r="Z22" t="n">
        <v>0</v>
      </c>
      <c r="AA22" t="n">
        <v>0</v>
      </c>
      <c r="AB22" t="n">
        <v>0.000878406615185928</v>
      </c>
      <c r="AC22" t="n">
        <v>0.000269363011449378</v>
      </c>
      <c r="AD22" t="n">
        <v>0.000492847489839401</v>
      </c>
      <c r="AE22" t="n">
        <v>0.0608351649760199</v>
      </c>
      <c r="AF22" t="n">
        <v>0</v>
      </c>
      <c r="AG22" t="n">
        <v>0.0000115973138838991</v>
      </c>
      <c r="AH22" t="n">
        <v>0.0000347919416516972</v>
      </c>
      <c r="AI22" t="n">
        <v>0</v>
      </c>
      <c r="AJ22" t="n">
        <v>0</v>
      </c>
      <c r="AK22" t="n">
        <v>0</v>
      </c>
      <c r="AL22" t="n">
        <v>0.0141340694854923</v>
      </c>
      <c r="AM22" t="n">
        <v>0.149076951354521</v>
      </c>
      <c r="AN22" t="n">
        <v>0</v>
      </c>
      <c r="AO22" t="n">
        <v>0</v>
      </c>
      <c r="AP22" t="n">
        <v>0.0023074073911376</v>
      </c>
      <c r="AQ22" t="n">
        <v>0</v>
      </c>
    </row>
    <row r="23">
      <c r="A23" t="s">
        <v>618</v>
      </c>
      <c r="B23" t="n">
        <v>0.000415923209540227</v>
      </c>
      <c r="C23" t="n">
        <v>0.000210473394168609</v>
      </c>
      <c r="D23" t="n">
        <v>0.000227637941729461</v>
      </c>
      <c r="E23" t="n">
        <v>0.000139625400962445</v>
      </c>
      <c r="F23" t="n">
        <v>0.00031257448231939</v>
      </c>
      <c r="G23" t="n">
        <v>0.00042475220227574</v>
      </c>
      <c r="H23" t="n">
        <v>0.000736400708067545</v>
      </c>
      <c r="I23" t="n">
        <v>0.00494601555621595</v>
      </c>
      <c r="J23" t="n">
        <v>0.0000382945823758105</v>
      </c>
      <c r="K23" t="n">
        <v>0.00000587956110968445</v>
      </c>
      <c r="L23" t="n">
        <v>0.0021451517570316</v>
      </c>
      <c r="M23" t="n">
        <v>0.00262185214748306</v>
      </c>
      <c r="N23" t="n">
        <v>0.00480115604900745</v>
      </c>
      <c r="O23" t="n">
        <v>0.000150951747569434</v>
      </c>
      <c r="P23" t="n">
        <v>0.000452855242708302</v>
      </c>
      <c r="Q23" t="n">
        <v>0.000383081018602113</v>
      </c>
      <c r="R23" t="n">
        <v>0.000127614136660892</v>
      </c>
      <c r="S23" t="n">
        <v>0.000663885978103792</v>
      </c>
      <c r="T23" t="n">
        <v>0.000185262352579253</v>
      </c>
      <c r="U23" t="n">
        <v>0.00688072564498622</v>
      </c>
      <c r="V23" t="n">
        <v>0.0203627125499734</v>
      </c>
      <c r="W23" t="n">
        <v>0.00673807600538973</v>
      </c>
      <c r="X23" t="n">
        <v>0.000934435236587923</v>
      </c>
      <c r="Y23" t="n">
        <v>0.0912758397496278</v>
      </c>
      <c r="Z23" t="n">
        <v>0</v>
      </c>
      <c r="AA23" t="n">
        <v>0.0000235462714096343</v>
      </c>
      <c r="AB23" t="n">
        <v>0.0022264971599378</v>
      </c>
      <c r="AC23" t="n">
        <v>0.116297027004202</v>
      </c>
      <c r="AD23" t="n">
        <v>0.0436517508020095</v>
      </c>
      <c r="AE23" t="n">
        <v>0.00321223843678776</v>
      </c>
      <c r="AF23" t="n">
        <v>0.00879972244033499</v>
      </c>
      <c r="AG23" t="n">
        <v>0.000768288669860435</v>
      </c>
      <c r="AH23" t="n">
        <v>0.00221930685430556</v>
      </c>
      <c r="AI23" t="n">
        <v>0.00153347680007925</v>
      </c>
      <c r="AJ23" t="n">
        <v>0.000740425049412187</v>
      </c>
      <c r="AK23" t="n">
        <v>0.0285112232197404</v>
      </c>
      <c r="AL23" t="n">
        <v>0.0394062649419198</v>
      </c>
      <c r="AM23" t="n">
        <v>0.0580114172362902</v>
      </c>
      <c r="AN23" t="n">
        <v>0.00569686861078857</v>
      </c>
      <c r="AO23" t="n">
        <v>0.515985879524099</v>
      </c>
      <c r="AP23" t="n">
        <v>0.0277348903237478</v>
      </c>
      <c r="AQ23" t="n">
        <v>0</v>
      </c>
    </row>
    <row r="24">
      <c r="A24" t="s">
        <v>619</v>
      </c>
      <c r="B24" t="n">
        <v>0.00880294830824921</v>
      </c>
      <c r="C24" t="n">
        <v>0.00458065403829878</v>
      </c>
      <c r="D24" t="n">
        <v>0.090022634424113</v>
      </c>
      <c r="E24" t="n">
        <v>0.00303874824318816</v>
      </c>
      <c r="F24" t="n">
        <v>0.00221480846522475</v>
      </c>
      <c r="G24" t="n">
        <v>0.0114539103219927</v>
      </c>
      <c r="H24" t="n">
        <v>0.000795798244652535</v>
      </c>
      <c r="I24" t="n">
        <v>0.00294650687531498</v>
      </c>
      <c r="J24" t="n">
        <v>0.0159443686905983</v>
      </c>
      <c r="K24" t="n">
        <v>0.188776325998235</v>
      </c>
      <c r="L24" t="n">
        <v>0.0152726332114626</v>
      </c>
      <c r="M24" t="n">
        <v>0.0186665517028987</v>
      </c>
      <c r="N24" t="n">
        <v>0.00935128032603657</v>
      </c>
      <c r="O24" t="n">
        <v>0.00143756214961397</v>
      </c>
      <c r="P24" t="n">
        <v>0.0043126864488419</v>
      </c>
      <c r="Q24" t="n">
        <v>0.0212084490366888</v>
      </c>
      <c r="R24" t="n">
        <v>0.00451579702057813</v>
      </c>
      <c r="S24" t="n">
        <v>0.00794671716504731</v>
      </c>
      <c r="T24" t="n">
        <v>0.000961465070595012</v>
      </c>
      <c r="U24" t="n">
        <v>0.0016445174483757</v>
      </c>
      <c r="V24" t="n">
        <v>0.00325623859924067</v>
      </c>
      <c r="W24" t="n">
        <v>0.00124346825099548</v>
      </c>
      <c r="X24" t="n">
        <v>0.00192723327407499</v>
      </c>
      <c r="Y24" t="n">
        <v>0.00234816891978554</v>
      </c>
      <c r="Z24" t="n">
        <v>0.117755021773467</v>
      </c>
      <c r="AA24" t="n">
        <v>0.0407927983527415</v>
      </c>
      <c r="AB24" t="n">
        <v>0.0154477553128028</v>
      </c>
      <c r="AC24" t="n">
        <v>0.0173337328997192</v>
      </c>
      <c r="AD24" t="n">
        <v>0.0637942797856526</v>
      </c>
      <c r="AE24" t="n">
        <v>0.0364769020874142</v>
      </c>
      <c r="AF24" t="n">
        <v>0.0256833965551044</v>
      </c>
      <c r="AG24" t="n">
        <v>0.00412751756878662</v>
      </c>
      <c r="AH24" t="n">
        <v>0.00949259631880489</v>
      </c>
      <c r="AI24" t="n">
        <v>0.00309252881892866</v>
      </c>
      <c r="AJ24" t="n">
        <v>0.00701573141989963</v>
      </c>
      <c r="AK24" t="n">
        <v>0.024528689623078</v>
      </c>
      <c r="AL24" t="n">
        <v>0.0258469805581404</v>
      </c>
      <c r="AM24" t="n">
        <v>0.125560612486519</v>
      </c>
      <c r="AN24" t="n">
        <v>0.0138259149022093</v>
      </c>
      <c r="AO24" t="n">
        <v>0.0306933101935989</v>
      </c>
      <c r="AP24" t="n">
        <v>0.0158627591090307</v>
      </c>
      <c r="AQ24" t="n">
        <v>0</v>
      </c>
    </row>
    <row r="25">
      <c r="A25" t="s">
        <v>620</v>
      </c>
      <c r="B25" t="n">
        <v>0.00596985395808493</v>
      </c>
      <c r="C25" t="n">
        <v>0.00363056540901502</v>
      </c>
      <c r="D25" t="n">
        <v>0.00758639977218722</v>
      </c>
      <c r="E25" t="n">
        <v>0.00240847140303166</v>
      </c>
      <c r="F25" t="n">
        <v>0.00219599723746257</v>
      </c>
      <c r="G25" t="n">
        <v>0.0163044671187152</v>
      </c>
      <c r="H25" t="n">
        <v>0.000836385989427215</v>
      </c>
      <c r="I25" t="n">
        <v>0.00322335966232951</v>
      </c>
      <c r="J25" t="n">
        <v>0.0166359317743567</v>
      </c>
      <c r="K25" t="n">
        <v>0.00443571125971042</v>
      </c>
      <c r="L25" t="n">
        <v>0.0150610543183992</v>
      </c>
      <c r="M25" t="n">
        <v>0.0184079552780435</v>
      </c>
      <c r="N25" t="n">
        <v>0.010228573377964</v>
      </c>
      <c r="O25" t="n">
        <v>0.00163027359105389</v>
      </c>
      <c r="P25" t="n">
        <v>0.00489082077316167</v>
      </c>
      <c r="Q25" t="n">
        <v>0.0147860622024162</v>
      </c>
      <c r="R25" t="n">
        <v>0.00486868298209963</v>
      </c>
      <c r="S25" t="n">
        <v>0.0092744809695564</v>
      </c>
      <c r="T25" t="n">
        <v>0.00108724299217193</v>
      </c>
      <c r="U25" t="n">
        <v>0.00180244213711492</v>
      </c>
      <c r="V25" t="n">
        <v>0.00415992107824465</v>
      </c>
      <c r="W25" t="n">
        <v>0.00140144240067358</v>
      </c>
      <c r="X25" t="n">
        <v>0.00221903316665579</v>
      </c>
      <c r="Y25" t="n">
        <v>0.00295485288020077</v>
      </c>
      <c r="Z25" t="n">
        <v>0.0246150314439441</v>
      </c>
      <c r="AA25" t="n">
        <v>0.0196630416525644</v>
      </c>
      <c r="AB25" t="n">
        <v>0.0853458287293348</v>
      </c>
      <c r="AC25" t="n">
        <v>0.0181276727197244</v>
      </c>
      <c r="AD25" t="n">
        <v>0.0785276799364326</v>
      </c>
      <c r="AE25" t="n">
        <v>0.0239676188281195</v>
      </c>
      <c r="AF25" t="n">
        <v>0.0340660001627044</v>
      </c>
      <c r="AG25" t="n">
        <v>0.0039335596128033</v>
      </c>
      <c r="AH25" t="n">
        <v>0.00869003143635379</v>
      </c>
      <c r="AI25" t="n">
        <v>0.00384359402697218</v>
      </c>
      <c r="AJ25" t="n">
        <v>0.0166393855817272</v>
      </c>
      <c r="AK25" t="n">
        <v>0.188007850492313</v>
      </c>
      <c r="AL25" t="n">
        <v>0.0554732418260531</v>
      </c>
      <c r="AM25" t="n">
        <v>0.177612642372298</v>
      </c>
      <c r="AN25" t="n">
        <v>0.0143509304858291</v>
      </c>
      <c r="AO25" t="n">
        <v>0.0649744630267154</v>
      </c>
      <c r="AP25" t="n">
        <v>0.0261614459340343</v>
      </c>
      <c r="AQ25" t="n">
        <v>0</v>
      </c>
    </row>
    <row r="26">
      <c r="A26" t="s">
        <v>621</v>
      </c>
      <c r="B26" t="n">
        <v>0.00332983823372535</v>
      </c>
      <c r="C26" t="n">
        <v>0.00971165215633249</v>
      </c>
      <c r="D26" t="n">
        <v>0.000412859294924381</v>
      </c>
      <c r="E26" t="n">
        <v>0.00644258782299789</v>
      </c>
      <c r="F26" t="n">
        <v>0.0128594177629167</v>
      </c>
      <c r="G26" t="n">
        <v>0.00767934681094861</v>
      </c>
      <c r="H26" t="n">
        <v>0.00029933825129376</v>
      </c>
      <c r="I26" t="n">
        <v>0.00156471993080619</v>
      </c>
      <c r="J26" t="n">
        <v>0.00960859424921395</v>
      </c>
      <c r="K26" t="n">
        <v>0.015844954277088</v>
      </c>
      <c r="L26" t="n">
        <v>0.00521318261573264</v>
      </c>
      <c r="M26" t="n">
        <v>0.00637166764145101</v>
      </c>
      <c r="N26" t="n">
        <v>0.00469281230562326</v>
      </c>
      <c r="O26" t="n">
        <v>0.00100569208239034</v>
      </c>
      <c r="P26" t="n">
        <v>0.00301707624717102</v>
      </c>
      <c r="Q26" t="n">
        <v>0.00941738187655019</v>
      </c>
      <c r="R26" t="n">
        <v>0.00292478347782113</v>
      </c>
      <c r="S26" t="n">
        <v>0.00703234546968007</v>
      </c>
      <c r="T26" t="n">
        <v>0.00105436652525424</v>
      </c>
      <c r="U26" t="n">
        <v>0.00101348862852498</v>
      </c>
      <c r="V26" t="n">
        <v>0.00350770147152924</v>
      </c>
      <c r="W26" t="n">
        <v>0.00102073780107457</v>
      </c>
      <c r="X26" t="n">
        <v>0.000915838361217273</v>
      </c>
      <c r="Y26" t="n">
        <v>0.00186335605680454</v>
      </c>
      <c r="Z26" t="n">
        <v>0.0157422671163772</v>
      </c>
      <c r="AA26" t="n">
        <v>0.0202816877565955</v>
      </c>
      <c r="AB26" t="n">
        <v>0.00234144968031687</v>
      </c>
      <c r="AC26" t="n">
        <v>0.000976423610952754</v>
      </c>
      <c r="AD26" t="n">
        <v>0.0427306835285563</v>
      </c>
      <c r="AE26" t="n">
        <v>0.0238255230895637</v>
      </c>
      <c r="AF26" t="n">
        <v>0.0147776821700751</v>
      </c>
      <c r="AG26" t="n">
        <v>0.0042952187583059</v>
      </c>
      <c r="AH26" t="n">
        <v>0.0115409184768149</v>
      </c>
      <c r="AI26" t="n">
        <v>0.00182234602266404</v>
      </c>
      <c r="AJ26" t="n">
        <v>0.0241461947349557</v>
      </c>
      <c r="AK26" t="n">
        <v>0.40086602164731</v>
      </c>
      <c r="AL26" t="n">
        <v>0.0205922089127645</v>
      </c>
      <c r="AM26" t="n">
        <v>0.248376535816301</v>
      </c>
      <c r="AN26" t="n">
        <v>0.0148936789466818</v>
      </c>
      <c r="AO26" t="n">
        <v>0.0175502978903888</v>
      </c>
      <c r="AP26" t="n">
        <v>0.0184371224903036</v>
      </c>
      <c r="AQ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2026-07-17T19:26:43Z</dcterms:created>
</coreProperties>
</file>